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ndusbpos-my.sharepoint.com/personal/justin_r_clarke_ndus_edu/Documents/Documents/Git/MTORG-Nesting/raw/"/>
    </mc:Choice>
  </mc:AlternateContent>
  <xr:revisionPtr revIDLastSave="0" documentId="8_{7AD7E928-3A8A-4A1E-9EEF-E82D872651CE}" xr6:coauthVersionLast="47" xr6:coauthVersionMax="47" xr10:uidLastSave="{00000000-0000-0000-0000-000000000000}"/>
  <bookViews>
    <workbookView xWindow="3420" yWindow="3420" windowWidth="38700" windowHeight="15885" xr2:uid="{00000000-000D-0000-FFFF-FFFF00000000}"/>
  </bookViews>
  <sheets>
    <sheet name="Globals" sheetId="1" r:id="rId1"/>
    <sheet name="field definitions" sheetId="2" r:id="rId2"/>
    <sheet name="biomes" sheetId="3" r:id="rId3"/>
    <sheet name="habitats" sheetId="4" r:id="rId4"/>
  </sheets>
  <definedNames>
    <definedName name="_xlnm._FilterDatabase" localSheetId="1" hidden="1">'field definitions'!$A$1:$A$16385</definedName>
    <definedName name="_xlnm._FilterDatabase" localSheetId="0" hidden="1">Globals!$A$1:$BW$1614</definedName>
    <definedName name="Globals">Globals!$A$1:$BW$1614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8" roundtripDataChecksum="0XKi2vdLklmW/2IC0lru8ndtuMMY8lo6/03V+4GGu84="/>
    </ext>
  </extLst>
</workbook>
</file>

<file path=xl/calcChain.xml><?xml version="1.0" encoding="utf-8"?>
<calcChain xmlns="http://schemas.openxmlformats.org/spreadsheetml/2006/main">
  <c r="H67" i="4" l="1"/>
  <c r="G67" i="4"/>
  <c r="F67" i="4"/>
  <c r="E67" i="4"/>
  <c r="I61" i="4"/>
  <c r="I60" i="4"/>
  <c r="I59" i="4"/>
  <c r="I58" i="4"/>
  <c r="I57" i="4"/>
  <c r="I56" i="4"/>
  <c r="I54" i="4"/>
  <c r="I53" i="4"/>
  <c r="I52" i="4"/>
  <c r="I51" i="4"/>
  <c r="I50" i="4"/>
  <c r="I49" i="4"/>
  <c r="I48" i="4"/>
  <c r="I47" i="4"/>
  <c r="I46" i="4"/>
  <c r="I45" i="4"/>
  <c r="I44" i="4"/>
  <c r="I43" i="4"/>
  <c r="I42" i="4"/>
  <c r="I41" i="4"/>
  <c r="I40" i="4"/>
  <c r="I39" i="4"/>
  <c r="I38" i="4"/>
  <c r="I37" i="4"/>
  <c r="I36" i="4"/>
  <c r="I35" i="4"/>
  <c r="I34" i="4"/>
  <c r="I33" i="4"/>
  <c r="I32" i="4"/>
  <c r="I31" i="4"/>
  <c r="I30" i="4"/>
  <c r="I29" i="4"/>
  <c r="I28" i="4"/>
  <c r="I27" i="4"/>
  <c r="I26" i="4"/>
  <c r="I25" i="4"/>
  <c r="I24" i="4"/>
  <c r="I23" i="4"/>
  <c r="I22" i="4"/>
  <c r="I21" i="4"/>
  <c r="I20" i="4"/>
  <c r="I19" i="4"/>
  <c r="I18" i="4"/>
  <c r="I17" i="4"/>
  <c r="I16" i="4"/>
  <c r="I15" i="4"/>
  <c r="I14" i="4"/>
  <c r="I13" i="4"/>
  <c r="I12" i="4"/>
  <c r="I11" i="4"/>
  <c r="I10" i="4"/>
  <c r="I9" i="4"/>
  <c r="I8" i="4"/>
  <c r="I7" i="4"/>
  <c r="I6" i="4"/>
  <c r="I5" i="4"/>
  <c r="I4" i="4"/>
  <c r="I3" i="4"/>
</calcChain>
</file>

<file path=xl/sharedStrings.xml><?xml version="1.0" encoding="utf-8"?>
<sst xmlns="http://schemas.openxmlformats.org/spreadsheetml/2006/main" count="34291" uniqueCount="6491">
  <si>
    <t>Sort</t>
  </si>
  <si>
    <t>Common Name</t>
  </si>
  <si>
    <t>Scientific Name</t>
  </si>
  <si>
    <t>Group</t>
  </si>
  <si>
    <t>order</t>
  </si>
  <si>
    <t>family</t>
  </si>
  <si>
    <t>taxonomic notes</t>
  </si>
  <si>
    <t>Canada</t>
  </si>
  <si>
    <t>USA</t>
  </si>
  <si>
    <t>Mexico</t>
  </si>
  <si>
    <t>C America</t>
  </si>
  <si>
    <t>Mig Status</t>
  </si>
  <si>
    <t>Introduced</t>
  </si>
  <si>
    <t>Nonbreeding only</t>
  </si>
  <si>
    <t>PS-g</t>
  </si>
  <si>
    <t>PS-g_s</t>
  </si>
  <si>
    <t>PS-g_com</t>
  </si>
  <si>
    <t>Global Pop Size</t>
  </si>
  <si>
    <t>Global Pop Size#</t>
  </si>
  <si>
    <t>Pop Size_US-Ca</t>
  </si>
  <si>
    <t>Pop Size_US-Ca#</t>
  </si>
  <si>
    <t>PopYr</t>
  </si>
  <si>
    <t>Pop Size_US-Ca_s</t>
  </si>
  <si>
    <t>Pop Size_US-Ca_com</t>
  </si>
  <si>
    <t>BD-g</t>
  </si>
  <si>
    <t>BD area</t>
  </si>
  <si>
    <t>BD-g_s</t>
  </si>
  <si>
    <t>BD-g_com</t>
  </si>
  <si>
    <t>ND-g</t>
  </si>
  <si>
    <t>ND area</t>
  </si>
  <si>
    <t>ND-g_s</t>
  </si>
  <si>
    <t>ND-g_com</t>
  </si>
  <si>
    <t>TB-c</t>
  </si>
  <si>
    <t>TB-c_s</t>
  </si>
  <si>
    <t>TB-c_com</t>
  </si>
  <si>
    <t>CV-b</t>
  </si>
  <si>
    <t>CV-b certainty</t>
  </si>
  <si>
    <t>TN-c</t>
  </si>
  <si>
    <t>TN-c_s</t>
  </si>
  <si>
    <t>TN-c_com</t>
  </si>
  <si>
    <t>CV-w</t>
  </si>
  <si>
    <t>CV-w certainty</t>
  </si>
  <si>
    <t>PT-c</t>
  </si>
  <si>
    <t>PT-c_s</t>
  </si>
  <si>
    <t>PT-c_com</t>
  </si>
  <si>
    <t>LT % change</t>
  </si>
  <si>
    <t>LT trend (%/yr)</t>
  </si>
  <si>
    <t>LT trend 90% lcl</t>
  </si>
  <si>
    <t>LT trend 90% ucl</t>
  </si>
  <si>
    <t>LT sig</t>
  </si>
  <si>
    <t>ST % change</t>
  </si>
  <si>
    <t>ST trend (%/yr)</t>
  </si>
  <si>
    <t>ST trend 90% lcl</t>
  </si>
  <si>
    <t>ST trend 90% ucl</t>
  </si>
  <si>
    <t>ST sig</t>
  </si>
  <si>
    <t>ST yrs</t>
  </si>
  <si>
    <t>core/extended BBS</t>
  </si>
  <si>
    <t>LT CI width</t>
  </si>
  <si>
    <t>N</t>
  </si>
  <si>
    <t>RA</t>
  </si>
  <si>
    <t>NxRA</t>
  </si>
  <si>
    <t>Half-Life</t>
  </si>
  <si>
    <t>CCS-b</t>
  </si>
  <si>
    <t>CCS-n</t>
  </si>
  <si>
    <t>CCS-max</t>
  </si>
  <si>
    <t>Continental Importance</t>
  </si>
  <si>
    <t>IUCN Red List 2023</t>
  </si>
  <si>
    <t>Urban</t>
  </si>
  <si>
    <t>Agriculture</t>
  </si>
  <si>
    <t>Breeding Biome</t>
  </si>
  <si>
    <t>Nonbreeding Biome</t>
  </si>
  <si>
    <t>Primary Breeding Habitat</t>
  </si>
  <si>
    <t>Secondary Breeding Habitat</t>
  </si>
  <si>
    <t>Primary Nonbreeding Habitat</t>
  </si>
  <si>
    <t>Secondary Nonbreeding Habitat</t>
  </si>
  <si>
    <t>Highland Tinamou</t>
  </si>
  <si>
    <t>Nothocercus bonapartei</t>
  </si>
  <si>
    <t>landbird</t>
  </si>
  <si>
    <t>Tinamiformes</t>
  </si>
  <si>
    <t>Tinamidae</t>
  </si>
  <si>
    <t>R</t>
  </si>
  <si>
    <t>PIF CAW 2016</t>
  </si>
  <si>
    <t>NatureServe</t>
  </si>
  <si>
    <t>PIF CAW 2014</t>
  </si>
  <si>
    <t>cacería; ganadería; la parte de su rango en Panamá no está bien protegida</t>
  </si>
  <si>
    <t>hábitat bien conservado;</t>
  </si>
  <si>
    <t>Yellow Watch List</t>
  </si>
  <si>
    <t>Central and South American Highlands</t>
  </si>
  <si>
    <t>Forests:  Tropical Montane Evergreen</t>
  </si>
  <si>
    <t>Great Tinamou</t>
  </si>
  <si>
    <t>Tinamus major</t>
  </si>
  <si>
    <t>score change from 3 to 2 recommended by Central Americans in 2016</t>
  </si>
  <si>
    <t>Natureserve 3.0</t>
  </si>
  <si>
    <t>MX-NSAC</t>
  </si>
  <si>
    <t>.</t>
  </si>
  <si>
    <t>dependent on primary forest; habitat loss, hunting</t>
  </si>
  <si>
    <t>depends largely on lowland rainforests in Central America, which have been reduced by more than 50% (AP)</t>
  </si>
  <si>
    <t>Neotropical</t>
  </si>
  <si>
    <t>Forests:  Tropical Lowland Evergreen</t>
  </si>
  <si>
    <t>Little Tinamou</t>
  </si>
  <si>
    <t>Crypturellus soui</t>
  </si>
  <si>
    <t>Gomez-Panjabi.  PIF CAW 2016</t>
  </si>
  <si>
    <t>zonas perturbadas, es fácil escucharlo, pero dificil de verlo (CAW);</t>
  </si>
  <si>
    <t>TB=3 more appropriate due to preference for second growth, edge.</t>
  </si>
  <si>
    <t>Thicket Tinamou</t>
  </si>
  <si>
    <t>Crypturellus cinnamomeus</t>
  </si>
  <si>
    <t>se puede encontrar en áreas perturbadas, o áreas perifericas (CAW);</t>
  </si>
  <si>
    <t>hunting, habitat loss</t>
  </si>
  <si>
    <t>Mesoamerican Pacific Lowlands</t>
  </si>
  <si>
    <t>Forests:  Tropical Dry</t>
  </si>
  <si>
    <t>Slaty-breasted Tinamou</t>
  </si>
  <si>
    <t>Crypturellus boucardi</t>
  </si>
  <si>
    <t>Gomez-Panjabi</t>
  </si>
  <si>
    <t>Yellow Watch List; Tipping Point</t>
  </si>
  <si>
    <t>VU</t>
  </si>
  <si>
    <t>Gulf-Caribbean Lowlands</t>
  </si>
  <si>
    <t>Choco Tinamou</t>
  </si>
  <si>
    <t>Crypturellus kerriae</t>
  </si>
  <si>
    <t>Monotypic.</t>
  </si>
  <si>
    <t>cacería; mayoría de su población está en parque de Darién</t>
  </si>
  <si>
    <t>NT</t>
  </si>
  <si>
    <t>Trans-Andean Lowlands</t>
  </si>
  <si>
    <t>Black-bellied Whistling-Duck</t>
  </si>
  <si>
    <t>Dendrocygna autumnalis</t>
  </si>
  <si>
    <t>waterfowl</t>
  </si>
  <si>
    <t>Anseriformes</t>
  </si>
  <si>
    <t>Anatidae</t>
  </si>
  <si>
    <t>M</t>
  </si>
  <si>
    <t>IUCN, WPE5</t>
  </si>
  <si>
    <t>Assumed 2/3 of individual estimate are breeding adults.</t>
  </si>
  <si>
    <t>Natureserve</t>
  </si>
  <si>
    <t>PIFTC-02; PIFSC-CVS 2022</t>
  </si>
  <si>
    <t>H</t>
  </si>
  <si>
    <t>BBS7021-AS,JS</t>
  </si>
  <si>
    <t>core</t>
  </si>
  <si>
    <t>yes</t>
  </si>
  <si>
    <t>w</t>
  </si>
  <si>
    <t>Wetlands:  Generalist</t>
  </si>
  <si>
    <t>Fulvous Whistling-Duck</t>
  </si>
  <si>
    <t>Dendrocygna bicolor</t>
  </si>
  <si>
    <t>Birdlife International 2019</t>
  </si>
  <si>
    <t>survey timing unclear; no adjustment applied</t>
  </si>
  <si>
    <t>BNA Hohman &amp; Lee 2001</t>
  </si>
  <si>
    <t>M-H</t>
  </si>
  <si>
    <t>MX-NSAC; PIF CAW 2014</t>
  </si>
  <si>
    <t>unknown (MX-NSAC)</t>
  </si>
  <si>
    <t>b,w</t>
  </si>
  <si>
    <t>Wetlands:  Freshwater Marsh</t>
  </si>
  <si>
    <t>Coasts:  Saltmarsh</t>
  </si>
  <si>
    <t>Emperor Goose</t>
  </si>
  <si>
    <t>Anser canagicus</t>
  </si>
  <si>
    <t>Monotypic. Formerly placed in the genus Chen.</t>
  </si>
  <si>
    <t>CAFF18</t>
  </si>
  <si>
    <t>spring count, no adjustment applied</t>
  </si>
  <si>
    <t>Natureserve, with Old World extrapolation</t>
  </si>
  <si>
    <t>Natureserve, with ocular estimate of range in W Hemisphere based on PIFTC</t>
  </si>
  <si>
    <t>TrUST 2016; PIFSC-CVS 2022</t>
  </si>
  <si>
    <t>less adaptable than other geese species (TrUST 2016)</t>
  </si>
  <si>
    <t>TrUST 2016</t>
  </si>
  <si>
    <t>wintering on aleutian island chain, potentially susceptible to climate change (sea level rise); specialized on sensitive habitats; herbivores in intertidal zone (TrUST 2016)</t>
  </si>
  <si>
    <t>CAFF8516, CBC7019-JS</t>
  </si>
  <si>
    <t>Arctic</t>
  </si>
  <si>
    <t>Pacific North America</t>
  </si>
  <si>
    <t>Coasts:  Marine Waters</t>
  </si>
  <si>
    <t>Coasts:  Rocky Intertidal</t>
  </si>
  <si>
    <t>Snow Goose</t>
  </si>
  <si>
    <t>Anser caerulescens</t>
  </si>
  <si>
    <t>Formerly placed in the genus Chen.</t>
  </si>
  <si>
    <t>CAFF18, eBird7017(UsCa,WHem), PIF(Glob)</t>
  </si>
  <si>
    <t>extrapolated from US/Canada estimate from first source listed using %US/Canada estimated from the other source(s) listed</t>
  </si>
  <si>
    <t>Increasing substantially on breeding grounds and significantly altering the landscape; habitat effects unpredictable, but SNGO could be its own greatest threat (TrUST 2016).</t>
  </si>
  <si>
    <t>CAFF7016, CBC7019-JS</t>
  </si>
  <si>
    <t>Nearctic</t>
  </si>
  <si>
    <t>Wetlands:  Tundra</t>
  </si>
  <si>
    <t>Tundra:  Arctic</t>
  </si>
  <si>
    <t>Ross's Goose</t>
  </si>
  <si>
    <t>Anser rossii</t>
  </si>
  <si>
    <t>Shaw 2020: applied 2/3 rule to convert non-breeding season survey estimate to breeding adults</t>
  </si>
  <si>
    <t>Same threats as SNGO in Central Valley; no reason to score differently than SNGO (TrUST 2016).</t>
  </si>
  <si>
    <t>CAFF8916, CBC7019-JS</t>
  </si>
  <si>
    <t>Greater White-fronted Goose</t>
  </si>
  <si>
    <t>Anser albifrons</t>
  </si>
  <si>
    <t>Shaw 2020: applied 2/3 rule to convert non-breeding season surveys' estimates to breeding adults; assuming breeding season survey estimate represented adults</t>
  </si>
  <si>
    <t>In general, tolerant of human alterations of the landscape and adaptable to different crop decisions. Population on substantially increasing trajectory, although at least in Central Valley, species is dependent on rice; so decreases in water leading to less rice production may impact GWFG negatively, but hard to predict (TrUST 2016).</t>
  </si>
  <si>
    <t>unreliable trend (CBC7019-TM,JS)</t>
  </si>
  <si>
    <t>Brant</t>
  </si>
  <si>
    <t>Branta bernicla</t>
  </si>
  <si>
    <t>CBC7019-JS</t>
  </si>
  <si>
    <t>Coasts:  Tundra</t>
  </si>
  <si>
    <t>Cackling Goose</t>
  </si>
  <si>
    <t>Branta hutchinsii</t>
  </si>
  <si>
    <t>No new input when split from Canada Goose; Lower score from 3 to 2 for breeding and nonbreeding (TrUST 2016).</t>
  </si>
  <si>
    <t>unreliable trend (CAFF7516)</t>
  </si>
  <si>
    <t>Canada Goose</t>
  </si>
  <si>
    <t>Branta canadensis</t>
  </si>
  <si>
    <t>CAFF18, Fink et al. 2021</t>
  </si>
  <si>
    <t>extrapolated from CAFF US/Canada estimate using standard eBird Status &amp; Trends 2021 model %pop values</t>
  </si>
  <si>
    <t>Shaw 2020: applied 2/3 rule to convert non-breeding season survey estimates to breeding adults; assuming breeding season surveys' estimates represented adults</t>
  </si>
  <si>
    <t>Mute Swan</t>
  </si>
  <si>
    <t>Cygnus olor</t>
  </si>
  <si>
    <t>WPE5, IUCN</t>
  </si>
  <si>
    <t>BNA Ciaranca et al. 1997</t>
  </si>
  <si>
    <t>AOU; NatGeo; Natureserve</t>
  </si>
  <si>
    <t>AOU.NatGeo; Natureserve</t>
  </si>
  <si>
    <t>Trumpeter Swan</t>
  </si>
  <si>
    <t>Cygnus buccinator</t>
  </si>
  <si>
    <t>NATSS15</t>
  </si>
  <si>
    <t>All populations are increasing, so not clear what would be threatening TRUS in future. But is the species "management-dependent?" Recommend 3 for breeding. Not a tremendous amount of migratory movement, so also recommend dropping TN score to 3 (TrUST 2016).</t>
  </si>
  <si>
    <t>BBS7021-AS, BBS9321-JS</t>
  </si>
  <si>
    <t>Shaw-23: switched to BBS since NATS6815 getting out of date and no 3 gen trends for new rule set</t>
  </si>
  <si>
    <t>extended</t>
  </si>
  <si>
    <t>Northern Forest</t>
  </si>
  <si>
    <t>Wetlands:  Lakes and Rivers</t>
  </si>
  <si>
    <t>Tundra Swan</t>
  </si>
  <si>
    <t>Cygnus columbianus</t>
  </si>
  <si>
    <t>WPE5; NAWMP 2018</t>
  </si>
  <si>
    <t>2/3 adjustment applied to mid-point of global estimate</t>
  </si>
  <si>
    <t>NAWMP 2018</t>
  </si>
  <si>
    <t>Combines eastern (winter pop est) and western (breeding pop est) poplations; 2/3 adjustment applied only to eastern pop</t>
  </si>
  <si>
    <t>Natureserve, with ocular estimate of range in W Hemishpere based on PIFTC</t>
  </si>
  <si>
    <t>Similar breeding ecology as Arctic-nesting geese; susceptibility to climate change unknown. So score 2 for TB (TrUST 2016)</t>
  </si>
  <si>
    <t>Populations wintering in Pacific seem to be increasing, so change TN from 3 to 2. Perhaps a bit less adaptable to changes in rice production than geese in Central Valley, but TUSW did survive CA's worse drought (TrUST 2016).</t>
  </si>
  <si>
    <t>CBC7019-TM,JS</t>
  </si>
  <si>
    <t>Muscovy Duck</t>
  </si>
  <si>
    <t>Cairina moschata</t>
  </si>
  <si>
    <t>WPE5</t>
  </si>
  <si>
    <t>no adjustment applied, as likely not a non-breeding pop estimate.  Note that estimate does not include feral populations since may include hybrids and not of conservation interest.</t>
  </si>
  <si>
    <t>&lt;10</t>
  </si>
  <si>
    <t>Gustafson-19</t>
  </si>
  <si>
    <t>Jack Einear-19: I think most of the [native] population moves in and out of Mexico. I'd be surprised if we had more than a handful that actually breed in Texas.  Gustafson-19: They likely nest on the [Rio Grande] river or adjacent on inaccessible areas to birders most years. Numbers fluctuate with rainfall / flooding.  Shaw-20: comments and estimate reflect only the native pop.  In contrast feral pop in FL in "tens of thousands" (Ballou 2015).</t>
  </si>
  <si>
    <t>Mexico scored 4/4, extirpated from some areas. Sought after for food, which will not change. So back to 4/4 (TrUST 2016).</t>
  </si>
  <si>
    <t>NAWMP 2004</t>
  </si>
  <si>
    <t>wild populations have declined significantly, and it has been extirpated from some places (MX-NSAC)</t>
  </si>
  <si>
    <t>Wood Duck</t>
  </si>
  <si>
    <t>Aix sponsa</t>
  </si>
  <si>
    <t>NAWMP 2012</t>
  </si>
  <si>
    <t>breeding pop estimates (2002-2011 mean)</t>
  </si>
  <si>
    <t>Reduce breeding score to 2 due to maturation (increase) of hardwood nesting trees (Greg Soulliere and others); also, nest boxes buffer loss of cavities (TrUST 2016).</t>
  </si>
  <si>
    <t>Wintering in South tied to acorn mast, hydrology shifts; seems score should be the same as breeding, so reduce TN to 2 (TrUST 2016)</t>
  </si>
  <si>
    <t>Eastern Temperate</t>
  </si>
  <si>
    <t>Wetlands:  Forested</t>
  </si>
  <si>
    <t>Forests:  Temperate Eastern</t>
  </si>
  <si>
    <t>Blue-winged Teal</t>
  </si>
  <si>
    <t>Spatula discors</t>
  </si>
  <si>
    <t>Monotypic. Spatula discors orphna recognized by AOU 1957, but validity doubtful. Formerly placed in the genus Anas.</t>
  </si>
  <si>
    <t>Keep as 3 for breeding, as with other grassland-nesting species (TrUST 2016).</t>
  </si>
  <si>
    <t>Uncertainty re. conditions on extensive Central American non-breeding range (including harvest) might justify a 3, but leave as 2 for now (TrUST 2016).</t>
  </si>
  <si>
    <t>Widespread</t>
  </si>
  <si>
    <t>Wetlands:  Seasonally Wet Grasslands</t>
  </si>
  <si>
    <t>Cinnamon Teal</t>
  </si>
  <si>
    <t>Spatula cyanoptera</t>
  </si>
  <si>
    <t>Formerly placed in the genus Anas.</t>
  </si>
  <si>
    <t>WPE5, NAWMP 2012</t>
  </si>
  <si>
    <t>very low estimates for S. America pops in WPE</t>
  </si>
  <si>
    <t>With this species (vs. BWTE), all of the uncertainty lies outside the US, and we haven't seen an increasing population size, so score 3/3 (TrUST 2016).</t>
  </si>
  <si>
    <t>Common Bird in Steep Decline; previously Watch List</t>
  </si>
  <si>
    <t>Western Temperate</t>
  </si>
  <si>
    <t>Northern Shoveler</t>
  </si>
  <si>
    <t>Spatula clypeata</t>
  </si>
  <si>
    <t>Monotypic. Formerly placed in the genus Anas.</t>
  </si>
  <si>
    <t>non-breeding surveys in WPE, 2/3 adjustment applied to all estimates except NAWMP 2018</t>
  </si>
  <si>
    <t>keep as is (TrUST 2016)</t>
  </si>
  <si>
    <t>Gadwall</t>
  </si>
  <si>
    <t>Mareca strepera</t>
  </si>
  <si>
    <t>No extant subspecies. Peters (1979), Clements (2000), and Howard and Moore (2003) recognize Mareca strepera couesi, now extinct. Formerly placed in the genus Anas.</t>
  </si>
  <si>
    <t>estimates in WPE based on non-breeding surveys, 2/3 adjustment applied</t>
  </si>
  <si>
    <t>Projections for land use in PPR suggest loss of grass and conversion to cropland (may reverse in Canada?)—doesn't really fit "2" scenario, therefore 3 seems appropriate for all grassland-nesting prairie ducks (TrUST 2016).</t>
  </si>
  <si>
    <t>Non-breeding score also 3 due to its heavy reliance on vulnerable coastal marshes (Gulf coastal in particular, more like a 2 in CA because there less dependent on coastal marshes). So continentally, TN = 3. A bit different from the other dabblers in its reliance on wetlands vegetation (TrUST 2016).</t>
  </si>
  <si>
    <t>Eurasian Wigeon</t>
  </si>
  <si>
    <t>Mareca penelope</t>
  </si>
  <si>
    <t>AOU; Natureserve</t>
  </si>
  <si>
    <t>PIFTC-02</t>
  </si>
  <si>
    <t>PIFTC</t>
  </si>
  <si>
    <t>Palearctic</t>
  </si>
  <si>
    <t>American Wigeon</t>
  </si>
  <si>
    <t>Mareca americana</t>
  </si>
  <si>
    <t>Breeding score should remain at 3 with half of the population in the boreal, other half in grass, mostly in the West (TrUST 2016).</t>
  </si>
  <si>
    <t>Herbivorous in non-breeding season, uses many different habitats in winter, similar to other dabblers (TrUST 2016).</t>
  </si>
  <si>
    <t>Mallard</t>
  </si>
  <si>
    <t>Anas platyrhynchos</t>
  </si>
  <si>
    <t>mid-point of european estimate is 7.46M mature individuals, so global estimate is easily more than 19M breeding-aged birds.  Shaw-22: Mexican Duck split immaterial due to small pop size.</t>
  </si>
  <si>
    <t>&gt;19,000,000</t>
  </si>
  <si>
    <t>Shaw-22: no change due to Mexican Duck split since Mexican Duck pop size immaterial with rounding</t>
  </si>
  <si>
    <t>BirdLife 2021</t>
  </si>
  <si>
    <t>Shaw-22: includes introduced resident range throughout Oceania</t>
  </si>
  <si>
    <t>Mexican Duck</t>
  </si>
  <si>
    <t>Anas diazi</t>
  </si>
  <si>
    <t>Formerly considered conspecific with Anas platyrhynchos.</t>
  </si>
  <si>
    <t>NAWMP 2018; STEM-21</t>
  </si>
  <si>
    <t>Shaw-22: multiplied global estimate by STEM-21 % in US (6.5%), rounded to 1 significant figure to avoid implying precision</t>
  </si>
  <si>
    <t>BOTW Drilling et al. 2020; Shaw-22</t>
  </si>
  <si>
    <t>Shaw-22: roughly sketched BOTW range map in ArcGIS since the only available range shapefile, from eBird Science &amp; Trends, was too patchy</t>
  </si>
  <si>
    <t>SJV-SWG 2017, TrUST 2016, Mexican Regional Assessment 2005, Shaw-22</t>
  </si>
  <si>
    <t>Shaw-22: weighted pre-split Mallard TB-r scores for BCR's 34, 35, and CEMH which make of vast majority of population by the %pop for each region and calculated weighted average score</t>
  </si>
  <si>
    <t>Shaw-22: because no TN-r scores available and resident in most of range, weighted pre-split Mallard TB-r scores for BCR's 34, 35, and CEMH which make of vast majority of population by the %pop for each region and calculated weighted average score</t>
  </si>
  <si>
    <t>BBS7015, Mexican Regional Assessment 2005, Shaw-22</t>
  </si>
  <si>
    <t>Shaw-22: weighted pre-split Mallard PT-r scores for BCR's 34, 35, and CEMH which make of vast majority of population by the %pop for each region and calculated weighted average score</t>
  </si>
  <si>
    <t>North American Southwest</t>
  </si>
  <si>
    <t>American Black Duck</t>
  </si>
  <si>
    <t>Anas rubripes</t>
  </si>
  <si>
    <t>CWS reviewers 2018; PIFSC-CVS 2022</t>
  </si>
  <si>
    <t>Reduced score during calibration with TB-r.  Josh Vest and Greg Soulliere agreed.</t>
  </si>
  <si>
    <t>Common Bird in Steep Decline</t>
  </si>
  <si>
    <t>Wetlands:  Boreal</t>
  </si>
  <si>
    <t>Mottled Duck</t>
  </si>
  <si>
    <t>Anas fulvigula</t>
  </si>
  <si>
    <t>USFWS 2018, Bielefeld 2008, SCDNR unpublished data, M. Brasher pers. comm. 2019</t>
  </si>
  <si>
    <t>NAWMP 2018 estimate excludes S. TX and contains wrong years, so not used.  USFWS 2018 estimates 26,949 breeding birds in LA and 77,729 in TX. Bielefeld 2008 estimates 53,000 breeders in FL. SCDNR estimated 23,000 breeders in SC in 2009-2011. Consider a minimum estimate, since no data for GA. Mike Brasher estimates a few thousand breeding birds in Mexico of ssp. maculosa.  Ssp. diazi not included due to taxonomic uncertainty (see McCracken et al. 2001), but is estimated at 55,000 breeders.</t>
  </si>
  <si>
    <t>&gt;180,000</t>
  </si>
  <si>
    <t>USFWS 2018, Bielefeld 2008, SCDNR unpublished data</t>
  </si>
  <si>
    <t>Consider a minimum estimate, since no data for GA. USFWS 2018 estimates 26,949 breeding birds in LA and 77,729 in TX. Bielefeld 2008 estimates 53,000 breeders in FL. SCDNR estimated 23,000 breeders in SC in 2009-2011. Ssp. diazi not included due to taxonomic uncertainty (see McCracken et al. 2001).</t>
  </si>
  <si>
    <t>Threatened by hybridization with Mallards in Florida (TrUST 2016).</t>
  </si>
  <si>
    <t>Red Watch List; Tipping Point</t>
  </si>
  <si>
    <t>Northern Pintail</t>
  </si>
  <si>
    <t>Anas acuta</t>
  </si>
  <si>
    <t>Recognized as a monotypic by AOU (1957), Clements (2000), and Howard and Moore (2003). Subspecies &lt;i&gt;Anas acuta acuta, A. a. eatoni&lt;/i&gt;, and &lt;i&gt;A. a. ...</t>
  </si>
  <si>
    <t>NAWMP 2018; WPE5</t>
  </si>
  <si>
    <t>mostly non-breeding population estimates outside of North America, so 2/3 adjustment applied to those pops.</t>
  </si>
  <si>
    <t>Potential increase in cropland and increased drying due to increasing temperature in southern Saskatchewan suggest 4 for breeding (TrUST 2016).</t>
  </si>
  <si>
    <t>Threats increasing for NOPI due to reliance on rice along Gulf Coast; rice production expected to decline, so boost 2 to 3 for non-breeding (TrUST 2016).</t>
  </si>
  <si>
    <t>Green-winged Teal</t>
  </si>
  <si>
    <t>Anas crecca</t>
  </si>
  <si>
    <t>updated WPE estimate with latest NAWMP estimate for North America; most other pop estimates appeared to be based on non-breeding surveys, so 2/3 adjustment applied for breeding pop estimate</t>
  </si>
  <si>
    <t>Breeding goes to 3 due to prairies and boreal development trajectories (TrUST 2016).</t>
  </si>
  <si>
    <t>Non-breeding stays at 2  (TrUST 2016).</t>
  </si>
  <si>
    <t>Canvasback</t>
  </si>
  <si>
    <t>Aythya valisineria</t>
  </si>
  <si>
    <t>More Redheads means more parasitism for CANV, but 4 seems extreme; TB= 3 makes sense (TrUST 2016).</t>
  </si>
  <si>
    <t>Nonbreeding not as concentrated on Gulf Coast, but no reason to expect threats should be 4; keep TN at 3 (TrUST 2016).</t>
  </si>
  <si>
    <t>Redhead</t>
  </si>
  <si>
    <t>Aythya americana</t>
  </si>
  <si>
    <t>Score 3 for breeding, although found in the less threatened permanent wetlands (TrUST 2016).</t>
  </si>
  <si>
    <t>M-L</t>
  </si>
  <si>
    <t>Non-breeding could change due to energy development, but moderate threats (3) seem appropriate. Loss of non-breeding sea-grass habitat mitigated by movement into freshwater habitat to compensate (TrUST 2016).</t>
  </si>
  <si>
    <t>Ring-necked Duck</t>
  </si>
  <si>
    <t>Aythya collaris</t>
  </si>
  <si>
    <t>TB= 3 is consistent for breeding in southern boreal (TrUST 2016)</t>
  </si>
  <si>
    <t>No expected threats NB, so 2 (TrUST 2016)</t>
  </si>
  <si>
    <t>Greater Scaup</t>
  </si>
  <si>
    <t>Aythya marila</t>
  </si>
  <si>
    <t>WPE5; NAWMP 2018; NAWMP 2012</t>
  </si>
  <si>
    <t>Replaced WPE5 estimate for NA with NAWMP 2018 all scaup estimate for North America multiplied by the NAWMP 2012 ratio of GRSC:LESC.  Other WPE5 pop estimates based on non-breeding surveys, so 2/3 adjustment applied for breeding pop estimate.</t>
  </si>
  <si>
    <t>NAWMP 2018; NAWMP 2012</t>
  </si>
  <si>
    <t>NAWMP 2018 all scaup estimate for North America multiplied by the NAWMP 2012 ratio of GRSC:LESC</t>
  </si>
  <si>
    <t>As with LESC, 3 for breeding is appropriate (TrUST 2016).</t>
  </si>
  <si>
    <t>NB should be 2, as it utilizes more open water and less marsh (TrUST 2016).</t>
  </si>
  <si>
    <t>Lesser Scaup</t>
  </si>
  <si>
    <t>Aythya affinis</t>
  </si>
  <si>
    <t>NAWMP 2018 all scaup estimate for North America multiplied by the NAWMP 2012 ratio of LESC:GRSC.</t>
  </si>
  <si>
    <t>Score of 3 in breeding could be impacted by climate change and food availability mismatch (TrUST 2016).</t>
  </si>
  <si>
    <t>Non-breeding =3 for LESC due to spring migration foraging uncertainty (TrUST 2016).</t>
  </si>
  <si>
    <t>Harlequin Duck</t>
  </si>
  <si>
    <t>Histrionicus histrionicus</t>
  </si>
  <si>
    <t>Monotypic. Howard and Moore (2003) list subspecies &lt;i&gt;H. h. histionicus&lt;/i&gt; and &lt;i&gt;H. h. pacificus&lt;/i&gt; but validity doubtful.</t>
  </si>
  <si>
    <t>combined NAWMP 2018 estimates with WPE estimates for Greenland, Iceland, and E. Asia.  Used 2/3 rule for all estimates since NAWMP based on index derived from winter surveys, as was Greenland.  Sources unavailable for Iceland and E. Asia so assumed includes all ages as per WPE5 guidelines.</t>
  </si>
  <si>
    <t>non-breeding survey, 2/3 adjustment applied to estimate breeding adults.  Unclear if it includes birds that breed in Greenland.</t>
  </si>
  <si>
    <t>Derksen et al. 2015; FWS Mig Birds/ Sea Duck JV 2017; PIFSC-CVS 2022</t>
  </si>
  <si>
    <t>Coasts:  Beach and Estuary</t>
  </si>
  <si>
    <t>Surf Scoter</t>
  </si>
  <si>
    <t>Melanitta perspicillata</t>
  </si>
  <si>
    <t>non-breeding survey, 2/3 adjustment applied</t>
  </si>
  <si>
    <t>non-breeding survey, 2/3 adjustment applied to estimate breeding adults</t>
  </si>
  <si>
    <t>FWS Mig Birds/ Sea Duck JV 2017</t>
  </si>
  <si>
    <t>Their winter range is similar to WWSC, which would suggest 2 (FWS Mig Birds/ Sea Duck JV 2017).  This comment overruled BirdLife's ND polygon size of 816,432 km2, since in comparison with WWSC's polygon, SUSC's covered much less coastline but was less detailed and much wider, which seemed like an arbitrary difference in mapping conventions rather than a biological basis, so we relied on expert opinion instead of GIS.</t>
  </si>
  <si>
    <t>Not sure why the threats to scoters' breeding areas is less than many of the other species (including bufflehead and hooded merganser) (FWS Mig Birds/ Sea Duck JV 2017)</t>
  </si>
  <si>
    <t>White-winged Scoter</t>
  </si>
  <si>
    <t>Melanitta deglandi</t>
  </si>
  <si>
    <t>Formerly considered conspecific with Melanitta fusca.</t>
  </si>
  <si>
    <t>does not include Velvet Scoter, recognized as separate species by IUCN/Birdlife</t>
  </si>
  <si>
    <t>BirdLife</t>
  </si>
  <si>
    <t>Black Scoter</t>
  </si>
  <si>
    <t>Melanitta americana</t>
  </si>
  <si>
    <t>combined NAWMP 2018 estimate with WPE5 spring count for E. Asia</t>
  </si>
  <si>
    <t>Long-tailed Duck</t>
  </si>
  <si>
    <t>Clangula hyemalis</t>
  </si>
  <si>
    <t>Orange Watch List; Tipping Point</t>
  </si>
  <si>
    <t>Bufflehead</t>
  </si>
  <si>
    <t>Bucephala albeola</t>
  </si>
  <si>
    <t>Common Goldeneye</t>
  </si>
  <si>
    <t>Bucephala clangula</t>
  </si>
  <si>
    <t>NAWMP 2012; WPE5</t>
  </si>
  <si>
    <t>Estimate is for "Goldeneyes" but similar to 2012 estimates of COGO</t>
  </si>
  <si>
    <t>threats include invasive species and changes in prey communities, contamination from increased shipping and/or coastal development, and again, the unpredictable effects of climate change on wetland and estuarine quality (FWS Mig Birds/ Sea Duck JV 2017).</t>
  </si>
  <si>
    <t>Barrow's Goldeneye</t>
  </si>
  <si>
    <t>Bucephala islandica</t>
  </si>
  <si>
    <t>non-breeding surveys, 2/3 adjustment applied</t>
  </si>
  <si>
    <t>why is non-breeding BAGO a 2 while other Pacific wintering species are 3? (FWS Mig Birds/ Sea Duck JV 2017)</t>
  </si>
  <si>
    <t>PIFSC-23</t>
  </si>
  <si>
    <t>White-bellied Chachalaca</t>
  </si>
  <si>
    <t>Ortalis leucogastra</t>
  </si>
  <si>
    <t>Galliformes</t>
  </si>
  <si>
    <t>Cracidae</t>
  </si>
  <si>
    <t>rango muy pequeño, se encuentra en cafetales. Es dificil de encontrar. Hay lugares en El Salvador donde es abundante (CAW);</t>
  </si>
  <si>
    <t>global score should reflect regional experts' opinion.</t>
  </si>
  <si>
    <t>tolerant of disturbance</t>
  </si>
  <si>
    <t>Crested Guan</t>
  </si>
  <si>
    <t>Penelope purpurascens</t>
  </si>
  <si>
    <t>rango muy amplio, sujeto a mucha cacería. En el área volcanica es común. (CAW); score change from 5 to 4 recommended by Central Americans in 2016</t>
  </si>
  <si>
    <t>hunting, moderate habitat loss</t>
  </si>
  <si>
    <t>extirpated from much of central american range; most Mexican regions score PT=5</t>
  </si>
  <si>
    <t>Mesoamerica</t>
  </si>
  <si>
    <t>Black Guan</t>
  </si>
  <si>
    <t>Chamaepetes unicolor</t>
  </si>
  <si>
    <t>migrante altitudinal pero su tendencía es estable</t>
  </si>
  <si>
    <t>afectado por cacería</t>
  </si>
  <si>
    <t>Highland Guan</t>
  </si>
  <si>
    <t>Penelopina nigra</t>
  </si>
  <si>
    <t>esta presente en bosques nublados, se puede convertir en común si está protegido (CAW);</t>
  </si>
  <si>
    <t>primary forest</t>
  </si>
  <si>
    <t>Mesoamerican Highlands</t>
  </si>
  <si>
    <t>Horned Guan</t>
  </si>
  <si>
    <t>Oreophasis derbianus</t>
  </si>
  <si>
    <t>habitat loss, hunting, capture for trade</t>
  </si>
  <si>
    <t>greater habitat loss in Guatemala; BirdLife states that populations have declined severely during 20th century and the loss and degradation of cloud-forest has caused the disappearance of the species from Cuilco, San Sebastian Coatan and the municipal area of San Pedro Soloma</t>
  </si>
  <si>
    <t>EN</t>
  </si>
  <si>
    <t>Great Curassow</t>
  </si>
  <si>
    <t>Crax rubra</t>
  </si>
  <si>
    <t>widely extirpated within range; score change from 5 to 4 recommended by Central Americans in 2016</t>
  </si>
  <si>
    <t>Tawny-faced Quail</t>
  </si>
  <si>
    <t>Rhynchortyx cinctus</t>
  </si>
  <si>
    <t>Odontophoridae</t>
  </si>
  <si>
    <t>ha pérdida más que 50% de su hábitat</t>
  </si>
  <si>
    <t>Mountain Quail</t>
  </si>
  <si>
    <t>Oreortyx pictus</t>
  </si>
  <si>
    <t>PIFcalc19-bbs0615,eBird7017</t>
  </si>
  <si>
    <t>PIFcalc19-bbs0615</t>
  </si>
  <si>
    <t>CB-grazing, urban/ag, dewatering, increase in habitat from logging, but uses riparian shrub in northern part, petition to list, near extirp in ID, declined greatly in WA, OR and NV (BNA).</t>
  </si>
  <si>
    <t>CB-resident</t>
  </si>
  <si>
    <t>Forests:  Temperate Western</t>
  </si>
  <si>
    <t>Aridlands:  Chaparral</t>
  </si>
  <si>
    <t>Buffy-crowned Wood-Partridge</t>
  </si>
  <si>
    <t>Dendrortyx leucophrys</t>
  </si>
  <si>
    <t>se encuentra en pino roble, cafetales, y en periferia de bosques nublados, y en otros bordes de bosque. Es más común de lo que se piensa. Son muy secretivos. (CAW); score change from 5 to 4 recommended by Central Americans in 2016</t>
  </si>
  <si>
    <t>hunting, moderate habitat loss; global score should reflect regional experts' opinion</t>
  </si>
  <si>
    <t>small global range, situation in other central american countires similar (or worse) than in MX; regional experts scored 5</t>
  </si>
  <si>
    <t>Long-tailed Wood-Partridge</t>
  </si>
  <si>
    <t>Dendrortyx macroura</t>
  </si>
  <si>
    <t>Forests:  Mesoamerican Highland</t>
  </si>
  <si>
    <t>Forests:  Mesoamerican Pine-Oak</t>
  </si>
  <si>
    <t>Bearded Wood-Partridge</t>
  </si>
  <si>
    <t>Dendrortyx barbatus</t>
  </si>
  <si>
    <t>MX-NSAC-12</t>
  </si>
  <si>
    <t>Listed as Vulnerable by IUCN, presumably because of steep declines (species fact sheet temporariliy unavailable on BirdLife website); Recently discovered population in northern Oaxaca, population size unknown</t>
  </si>
  <si>
    <t>Banded Quail</t>
  </si>
  <si>
    <t>Philortyx fasciatus</t>
  </si>
  <si>
    <t>global score should reflect regional expert's opinion.</t>
  </si>
  <si>
    <t>tolerant of disturbance, but needs woody cover; hunted</t>
  </si>
  <si>
    <t>MX endemic found in 1 region, regional experts scored PT=2</t>
  </si>
  <si>
    <t>Northern Bobwhite</t>
  </si>
  <si>
    <t>Colinus virginianus</t>
  </si>
  <si>
    <t>PIFTC-NBCI;  PIF CAW 2016</t>
  </si>
  <si>
    <t>US/Canada estimate derived from global estimate, extrapolated based on eBird showing 76.24% of observations in US/Canada.  19 million is US/Canada estimate from BBS-15, which extrapolates up to 25 million globally using eBird.  Alternatively, 26 million is fall (i.e. juveniles included) NBCI estimate from 2011 cited by Giocomo et al. 2017, but unclear if that or the NBCI website 2009 numbers used here are global estimates or just for US/Canada--Mexico has 15-25% of the global population (PIFSC-18)  En México y unos pocos en Guatemala. Está declinando en EU. Se beneficia de áreas pequeñas de agricultura. (CAW)</t>
  </si>
  <si>
    <t>PIFTC-NBCI; eBird; PIFSC-19</t>
  </si>
  <si>
    <t>US/Canada estimate derived from global estimate, extrapolated based on eBird showing 76.24% of observations in US/Canada.  Alternatively, 19 million is US/Canada estimate from BBS-15, which extrapolates up to 25 million globally using eBird.  Alternatively, 26 million is fall (i.e. juveniles included) NBCI estimate from 2011 cited by Giocomo et al. 2017, but unclear if that or the NBCI website 2009 numbers used here are global estimates or just for US/Canada--Mexico has 15-25% of the global population (PIFSC-18)</t>
  </si>
  <si>
    <t>PIFSC-15; PIFSC-CVS 2022</t>
  </si>
  <si>
    <t>DD='- threats potentially increasing if present trends conditions continue'; loss of fire managed pine, abandoned farm continuing (DP).  Are threats increasing as range continues to shrink? Even with conservation efforts, trends in agricultural intensification and reduction in Farm Bill programs may be increasing threats. (KVR); Demarest, Dean: Suggest TB = 4.  Indicative of large scale and contiuing threats to low-intensity agricultural and grassland habitats, and where seemingly suitable habitat exists, there are no NOBO . . . So hard to pinpoint what is going on, but threats appear to be high and continuing because NOBO are simply hard to find throughout much of SE out of known strongholds.  In woodland settings, significantly limited to pine woodlands managed by fire or some form of hardwood midstory removal.  Camfield,Alaine [NCR]: TB 4 in Canadian BCR strategies.  Main threats related to agricutlural conversion or intensification.</t>
  </si>
  <si>
    <t>DD='- threats potentially increasing if present trends conditions continue</t>
  </si>
  <si>
    <t>Great Plains</t>
  </si>
  <si>
    <t>Open Country:  Habitat Mosaic</t>
  </si>
  <si>
    <t>Black-throated Bobwhite</t>
  </si>
  <si>
    <t>Colinus nigrogularis</t>
  </si>
  <si>
    <t>esta expandiendo su rango y se beneficia de claros en bosque. Está perdiendo terreno en Belice, y está ganando terreno en Petén (CAW);</t>
  </si>
  <si>
    <t>no known threats; global score should reflect regional experts' opinion</t>
  </si>
  <si>
    <t>Grasslands:  Tropical</t>
  </si>
  <si>
    <t>Crested Bobwhite</t>
  </si>
  <si>
    <t>Colinus cristatus</t>
  </si>
  <si>
    <t>pérdida de hábitat; urbanización pero estable</t>
  </si>
  <si>
    <t>un subespecie podría ser elevada a nivel de especie, pero deben tener el mismo score</t>
  </si>
  <si>
    <t>Scaled Quail</t>
  </si>
  <si>
    <t>Callipepla squamata</t>
  </si>
  <si>
    <t>PIFcalc19-eBird7017,bbs0615</t>
  </si>
  <si>
    <t>PIFSC-08; PIFSC-CVS 2022</t>
  </si>
  <si>
    <t>predicted and ongoing loss of grasslands (preferred habitat) is high, desert shrubland habitat relatively secure; more common in disturbed habitats in mexico; although harvested, hunting is likely not a significant threat; CB-overgrazing large effect (BNA).</t>
  </si>
  <si>
    <t>predicted and ongoing loss of grasslands (preferred habitat) is high, desert shrubland habitat relatively secure; although harvested, hunting is likely not a significant threat; benefits from some clearing;</t>
  </si>
  <si>
    <t>Grasslands:  Chihuahuan</t>
  </si>
  <si>
    <t>Aridlands:  Desert Scrub</t>
  </si>
  <si>
    <t>Elegant Quail</t>
  </si>
  <si>
    <t>Callipepla douglasii</t>
  </si>
  <si>
    <t>no known threats</t>
  </si>
  <si>
    <t>California Quail</t>
  </si>
  <si>
    <t>Callipepla californica</t>
  </si>
  <si>
    <t>NS range includes areas where introduced and established --if we count only 'natural' range, then should probably be a '4</t>
  </si>
  <si>
    <t>tolerant generalist; in suburban areas; introductions (KR); but native habitat within range continues to disappear (DP).</t>
  </si>
  <si>
    <t>tolerant generalist; in suburban areas; introductions (KR)</t>
  </si>
  <si>
    <t>Gambel's Quail</t>
  </si>
  <si>
    <t>Callipepla gambelii</t>
  </si>
  <si>
    <t>tolerant generalist; in suburban areas, much undisturbed deserts; tolerant of ag (KR); CB-overgrazing, reduction of ground cover and forage (BNA); tolerant of disturbance (MX-NSAC).</t>
  </si>
  <si>
    <t>Aridlands:  Desert Riparian</t>
  </si>
  <si>
    <t>Montezuma Quail</t>
  </si>
  <si>
    <t>Cyrtonyx montezumae</t>
  </si>
  <si>
    <t>PIFTC-03 &amp; AZ Game &amp; Fish</t>
  </si>
  <si>
    <t>For US/Canada estimate, extrapolated AZ estimate of 100,000-200,000 (based on 2018 AZGF pointing dog surveys, and 2018 seems an average year based on harvest data) into NM and TX parts of the BirdLife species range shapefile.  Did not extrapolate into Mexico because range shapefile has a very general giant blob in Mexico versus just specific areas in the US, and habitat quality is lower in Mexico, so any global extrapolation would be inflated.  Alternatively 16,000 is US/Canada estimate from BBS-15, but that's too low.  34,000 is global estimate extrapolating BBS up using eBird, but is way too low, since 45% of eBird observations are in US, which is likely inflated since just 10% of the range is in US (PIFSC-18).  So kept existing expert-based global estimate.</t>
  </si>
  <si>
    <t>AZ Game &amp; Fish, PIFSC-19</t>
  </si>
  <si>
    <t>CB-grazing, lehman's lovegrass invasion eliminates MZQU, fire suppression then catastrophic fire, urbanization and 2nd homes (BNA, ABQ); hunted; over-grazing (MX-NSAC).</t>
  </si>
  <si>
    <t>why more threatened in NB (KR); CB-threats to habitat the same as TB, fire, grazing; hunted; over-grazing</t>
  </si>
  <si>
    <t>Black-breasted Wood-Quail</t>
  </si>
  <si>
    <t>Odontophorus leucolaemus</t>
  </si>
  <si>
    <t>hay más presión en Panamá que en Costa Rica; pérdida de hábitat; ganadería; cacería;</t>
  </si>
  <si>
    <t>Spotted Wood-Quail</t>
  </si>
  <si>
    <t>Odontophorus guttatus</t>
  </si>
  <si>
    <t>raro y secretivo, se encuentra en bosque pero en bajas densidades. En guate en el pacifico y en otros paises, en zonas altas y volcanicas, se encuentra en mayores cantidades. En la vertiente de pacifico es más común. También se encuentra en cafetales. (CAW); score change from 5 to 4 recommended by Central Americans in 2016</t>
  </si>
  <si>
    <t>forest-interior; hunted</t>
  </si>
  <si>
    <t>Wild Turkey</t>
  </si>
  <si>
    <t>Meleagris gallopavo</t>
  </si>
  <si>
    <t>Phasianidae</t>
  </si>
  <si>
    <t>PIFSC-18; Eriksen et al 2016</t>
  </si>
  <si>
    <t>2 million is US/Canada and global estimate from BBS-15, but timing of BBS is not ideal for their breeding season.  Tapley et al. 2011 cited by BNA was based on 2009 data.  Since more recent, we instead extrapolated from 2014 US population estimates from NWTF (Eriksen et al 2016): 6-6.2M (US, excluding CA) + 300K CA + 300K Canada (both based on BBS%).  Extrapolation beyond US/Canada based on eBird.   (PIFSC-18).</t>
  </si>
  <si>
    <t>DD='pops demonstrably secure.'  BNA supports that management or conservation activities have stabilized or increased populations.</t>
  </si>
  <si>
    <t>not more threatened in winter.  DD='pops demonstrably secure.'  BNA supports that management or conservation activities have stabilized or increased populations</t>
  </si>
  <si>
    <t>Forests:  Temperate Generalist</t>
  </si>
  <si>
    <t>Ocellated Turkey</t>
  </si>
  <si>
    <t>Meleagris ocellata</t>
  </si>
  <si>
    <t>está protegido en Belice  pero tiene mucha presión de cacería (CAW);</t>
  </si>
  <si>
    <t>found in 1 region, regional experts scored 5</t>
  </si>
  <si>
    <t>Ruffed Grouse</t>
  </si>
  <si>
    <t>Bonasa umbellus</t>
  </si>
  <si>
    <t>Ruffed Grouse Conservation Plan 2006</t>
  </si>
  <si>
    <t>Summed BCR-level estimates in Plan.  Alternatively, BBS-15 estimates 2.2 million</t>
  </si>
  <si>
    <t>PIFSC-19; PIFSC-CVS 2022</t>
  </si>
  <si>
    <t>changed due to calibration with TB-r</t>
  </si>
  <si>
    <t>Should be same in both seasons, presumably.  DD='pops demonstrably secure'.  BNA supports that aging of forests in east likely offset by favorable conditions in nc and w US.  Species responds well to creation of early succ habitat, which can be generated</t>
  </si>
  <si>
    <t>Spruce Grouse</t>
  </si>
  <si>
    <t>Canachites canadensis</t>
  </si>
  <si>
    <t>Formerly placed in the genus Falcipennis.</t>
  </si>
  <si>
    <t>Williamson et al. 2008</t>
  </si>
  <si>
    <t>6,800,000 is estimate from BBS-15, which falls within the range listed in the conservation plan: 5-16.5 million.</t>
  </si>
  <si>
    <t>Much range undisturbed; not incompatible with forestry.</t>
  </si>
  <si>
    <t>Forests:  Boreal</t>
  </si>
  <si>
    <t>Willow Ptarmigan</t>
  </si>
  <si>
    <t>Lagopus lagopus</t>
  </si>
  <si>
    <t>PIFcalc19-rng,bbs0615,nwt9501,ona0105</t>
  </si>
  <si>
    <t>PIFcalc19-bbs0615,nwt9501,ona0105</t>
  </si>
  <si>
    <t>BBS8221-AS, BBS9321-JS</t>
  </si>
  <si>
    <t>Rock Ptarmigan</t>
  </si>
  <si>
    <t>Lagopus muta</t>
  </si>
  <si>
    <t>PIFcalc19-rng,nwt9501,bbs0615</t>
  </si>
  <si>
    <t>PIFcalc19-nwt9501,bbs0615</t>
  </si>
  <si>
    <t>PIFSC-08</t>
  </si>
  <si>
    <t>Shaw-23: Most of the pop is modeled by eBird S&amp;T in Nunavut, where virtually no survey coverage, so 3 for unknown trend.</t>
  </si>
  <si>
    <t>Tundra:  Alpine</t>
  </si>
  <si>
    <t>White-tailed Ptarmigan</t>
  </si>
  <si>
    <t>Lagopus leucura</t>
  </si>
  <si>
    <t>PIFTC-03-PS-g midpoint</t>
  </si>
  <si>
    <t>PIFSC-16</t>
  </si>
  <si>
    <t>PIFSC-Dec-08</t>
  </si>
  <si>
    <t>Rosenberg: likely affected by climate change at high elevations; documented contamination from abandoned mines.  Higher threats due to climate change? Most of range in U.S. under protectin status though. (CB, KVR, WE, TW, DP); Scott Wilson: For white-tailed ptarmigan, I would assign a 3 for breeding and non-breeding seasons. The main breeding risk is probably a loss of alpine habitat due to rising tree and shrub lines and I think the 3rd and 4th dashes (area-sensitive and specialized on sensitive habitats) would apply. They are more flexible in habitat use during the non-breeding period and tend to move down in elevation to partially shrubby/treed areas. These habitats may be less likely to be lost but I think weather variability with climate change becomes more of an issue in winter and sufficiently so in my opinion to assign a 3. Even if precipitation increases, the possibility of it falling more frequently as rain is a threat. 
Kathy Martin: Winter habitat may change with climate change with rising shrub and tree lines reducing amount of habitat, especially in Coastal or southern areas of the distribution. Another issue with climate driven habitat is the connection between winter and summer habitat which may also be changing with longer migration distances requited between seasons.  You likely do not want to consider conservation status of subspecies, but both ptarmigan species in NF seems to be having problems, WIPT in the Avalon may be declining because of easy access in winter by hunters, but I understand that both species are also declining on the west coast of NF where there is lower hunting pressure and less good access.
Scott: Rock ptarmigan are similar and bound to lose arctic and alpine tundra with advancing shrub lines. It’s hard to say the extent to which habitat is limiting and could be lost before that would affect populations but it has to be considered a future threat, even if longer term. They would also experience similar effects of weather in the non-breeding period. Therefore, I would say 3 for them as well.  
KM: Agree with Scott</t>
  </si>
  <si>
    <t>Panjabi: non-breeding habitat (alpine willows) also vulnerable to climate change; species concentrates in winter, increasing vulnerability</t>
  </si>
  <si>
    <t>PIFSC-08; Kathy Martin</t>
  </si>
  <si>
    <t>uncertain</t>
  </si>
  <si>
    <t>Greater Sage-Grouse</t>
  </si>
  <si>
    <t>Centrocercus urophasianus</t>
  </si>
  <si>
    <t>WAFWA 2015</t>
  </si>
  <si>
    <t>250,000 is estimate from BBS-15</t>
  </si>
  <si>
    <t>CB-Habitat loss to cultivation, urban, cheatgrass, increased fire, oil and gas, range reduced and extirpated in 4 states/1prov. (BNA).  threats still high; increasing with energy development; potentially mitigated by current conservation activities but not proven yet.</t>
  </si>
  <si>
    <t>CB-same as TB; flock up in small areas</t>
  </si>
  <si>
    <t>Intermountain West</t>
  </si>
  <si>
    <t>Aridlands:  Sagebrush</t>
  </si>
  <si>
    <t>Gunnison Sage-Grouse</t>
  </si>
  <si>
    <t>Centrocercus minimus</t>
  </si>
  <si>
    <t>GUSG Final Rule 2014</t>
  </si>
  <si>
    <t>7,000 is estimate from BBS-15</t>
  </si>
  <si>
    <t>CB-locally extirpated, low productivity, isolation.</t>
  </si>
  <si>
    <t>CB-same as TB</t>
  </si>
  <si>
    <t>Dusky Grouse</t>
  </si>
  <si>
    <t>Dendragapus obscurus</t>
  </si>
  <si>
    <t>PIFSC-19-PS-g midpoint</t>
  </si>
  <si>
    <t>BBS-15 estimate was 52,000 but probably not well detected by BBS since most of call not audible--most eBird detections are in Fall (Blancher 18).  Previously we multiplied BBS estimate by 5-10 x based on studies of detectability of other grouse, but that's based on too many untested assumptions, so changing pop estimate to geometric midpoint of PS-g = 4 pop range</t>
  </si>
  <si>
    <t>77.8% of Blue Grouse range, using BCR breakdown</t>
  </si>
  <si>
    <t>same as BD; 
Ken comment: 77.8% of Blue Grouse range, using BCR breakdown</t>
  </si>
  <si>
    <t>PIFSC-06; PIFSC-CVS 2022</t>
  </si>
  <si>
    <t>Sooty Grouse</t>
  </si>
  <si>
    <t>Dendragapus fuliginosus</t>
  </si>
  <si>
    <t>720,000 is estimate from BBS-15, which is timed appropriately for breeding period and seems to pick up this bird reasonably well in places, i.e., averaging 1-2 birds / route in parts of BC, AK, and WA (Blancher 2018).   Previously we multiplied BBS estimate by 5-10 x based on studies of detectability of other grouse, but that's based on too many untested assumptions, so pop estimate now represents geometric midpoint of PS-g = 3 pop range</t>
  </si>
  <si>
    <t>PIFSC-09</t>
  </si>
  <si>
    <t>22.2% of Blue Grouse range, using BCR breakdown</t>
  </si>
  <si>
    <t>same as BD; 
Ken comment: 22.2% of Blue Grouse range, using BCR breakdown</t>
  </si>
  <si>
    <t>PIFSC-06</t>
  </si>
  <si>
    <t>Sharp-tailed Grouse</t>
  </si>
  <si>
    <t>Tympanuchus phasianellus</t>
  </si>
  <si>
    <t>PIFcalc19-bbs0615,ona0105</t>
  </si>
  <si>
    <t>Natureserve 3.0 with adjustment by PIFSC-08</t>
  </si>
  <si>
    <t>Reduced by 50%; based on BNA map, leaves out large gaps in range compared to NS</t>
  </si>
  <si>
    <t>Natureserve 3.0 with adjustment by PIFSC</t>
  </si>
  <si>
    <t>Much range undisturbed; adapts somewhat to agriculture.</t>
  </si>
  <si>
    <t>Winter habitat requirements said to be narrower than in winter.  sensitive to fragmentation, especially in SE part of range (PIFSC 2014)</t>
  </si>
  <si>
    <t>Grasslands:  Temperate</t>
  </si>
  <si>
    <t>Greater Prairie-Chicken</t>
  </si>
  <si>
    <t>Tympanuchus cupido</t>
  </si>
  <si>
    <t>DD='highly vulnerable to human activities and land use.'  Uses highly specific conditions within habitats for leks.  agricultural practices keep threats high; populations still blinking out.</t>
  </si>
  <si>
    <t>DD='highly vulnerable to human activities and land use.'  Uses highly specific conditions within habitats for leks.</t>
  </si>
  <si>
    <t>BNA Johnson et al 2011</t>
  </si>
  <si>
    <t>PIFSC-19: expert opinion overrides BBS due to consensus that specieshas declined</t>
  </si>
  <si>
    <t>Lesser Prairie-Chicken</t>
  </si>
  <si>
    <t>Tympanuchus pallidicinctus</t>
  </si>
  <si>
    <t>WAFWA/WEST 2017</t>
  </si>
  <si>
    <t>Estimate represents 2012-2017 average.  38,000 is estimate from BBS-15.</t>
  </si>
  <si>
    <t>DD='highly vulnerable to human activities and land use.'  Uses highly specific conditions within habitats for leks.  Sandsage-shinnery oak often controlled by ranchers..  DJK=four+ years of extreme drought has dropped lekking adults by 90% in areas of New Mexico and climate change does not bode well for this species in W Texas and New Mexico.</t>
  </si>
  <si>
    <t>DD='highly vulnerable to human activities and land use.'  Uses highly specific conditions within habitats for leks.  Sandsage-shinnery oak often controlled by ranchers.</t>
  </si>
  <si>
    <t>D Haukos, pers. comm. 2015</t>
  </si>
  <si>
    <t>Population reconstructions projected abundances increasing from ~50,000 to 200,000 birds in the late 1960s, then stabilizing to ~150,000 for nearly 2 decades, and  then declining to ~25,000 birds from the late 1980s to the mid-1990s. Populations rebounded to ~80,000 in 2008 and then declined to 37,000 in 2012."
A second paper, uses actual lek monitoring data from KS. In this paper, populations peaked ~1987 with ~5500 birds and had a low in 2012 of ~1800. The entire time period is from 1981 (~4500 birds) to 2013 (~2000 birds). Keep in mind, 1) these are road-based surveys and 2) KS is widely considered/known to have the most stable LEPC populations.</t>
  </si>
  <si>
    <t>Gray Partridge</t>
  </si>
  <si>
    <t>Perdix perdix</t>
  </si>
  <si>
    <t>PIFcalc19-rng,bbs0615</t>
  </si>
  <si>
    <t>Open Country:  Developed/Disturbed</t>
  </si>
  <si>
    <t>Ring-necked Pheasant</t>
  </si>
  <si>
    <t>Phasianus colchicus</t>
  </si>
  <si>
    <t>PIFcalc19-rng,bbs0615,eBird7017</t>
  </si>
  <si>
    <t>Himalayan Snowcock</t>
  </si>
  <si>
    <t>Tetraogallus himalayensis</t>
  </si>
  <si>
    <t>Not evaluated</t>
  </si>
  <si>
    <t>Not Evaluated</t>
  </si>
  <si>
    <t>Beardmore: ramping up of recreation, ? Climate change</t>
  </si>
  <si>
    <t>Chukar</t>
  </si>
  <si>
    <t>Alectoris chukar</t>
  </si>
  <si>
    <t>American Flamingo</t>
  </si>
  <si>
    <t>Phoenicopterus ruber</t>
  </si>
  <si>
    <t>waterbird</t>
  </si>
  <si>
    <t>Phoenicopteriformes</t>
  </si>
  <si>
    <t>Phoenicopteridae</t>
  </si>
  <si>
    <t>2005 for Galapagos, 2006 for S. Caribbean (best guess) and Mexico, 2003-2007 for Bahamas &amp; Cuba.  Adult estimate assumes 2/3 of total pop. are adults.</t>
  </si>
  <si>
    <t>Waterbird Working Group 2017</t>
  </si>
  <si>
    <t>Kushlan et al. 2002</t>
  </si>
  <si>
    <t>populations highly variable (MX-NSAC)</t>
  </si>
  <si>
    <t>Coasts:  Mangroves</t>
  </si>
  <si>
    <t>Least Grebe</t>
  </si>
  <si>
    <t>Tachybaptus dominicus</t>
  </si>
  <si>
    <t>Podicipediformes</t>
  </si>
  <si>
    <t>Podicipedidae</t>
  </si>
  <si>
    <t>WPE Estimate seems low for this common and widespread neotropical species; global breeding population likely greater than 500,000 individuals worldwide.  Previous PIF score was PS=3.</t>
  </si>
  <si>
    <t>&gt;500,000</t>
  </si>
  <si>
    <t>Waterbird Working Group 2017; PIFSC-CVS 2022</t>
  </si>
  <si>
    <t>Brent Ortego: wetlands are likely to be drained in future in Texas; uses ephemeral wetlands</t>
  </si>
  <si>
    <t>population stable (MX-NSAC)</t>
  </si>
  <si>
    <t>Pied-billed Grebe</t>
  </si>
  <si>
    <t>Podilymbus podiceps</t>
  </si>
  <si>
    <t>PIFcalc19-bbs0615(BBS), eBird7017(WHem)</t>
  </si>
  <si>
    <t>Emergent wetlands in SE USA are under threat</t>
  </si>
  <si>
    <t>Horned Grebe</t>
  </si>
  <si>
    <t>Podiceps auritus</t>
  </si>
  <si>
    <t>PIFcalc19-eBird7017(UsCa,WHem), PIF(Glob)</t>
  </si>
  <si>
    <t>PIFcalc19-eBird7017</t>
  </si>
  <si>
    <t>threats specific to northern prairie wetlands; in wet cycle now, but will eventually turn dry again</t>
  </si>
  <si>
    <t>coastal pollution, bycatch, but also using other habitats like reservoirs (at least in Southeast US)</t>
  </si>
  <si>
    <t>Band-tailed Pigeon</t>
  </si>
  <si>
    <t>Patagioenas fasciata</t>
  </si>
  <si>
    <t>Columbiformes</t>
  </si>
  <si>
    <t>Columbidae</t>
  </si>
  <si>
    <t>incl. S.Am. Group</t>
  </si>
  <si>
    <t>CB-loss of oaks, clearcuts (CAFS), low reprod suc. (BNA), deforestation in Mex, shrub control, (ABQ).</t>
  </si>
  <si>
    <t>CB-threats to winter extensive, disease (CODOW)</t>
  </si>
  <si>
    <t>Ruddy Pigeon</t>
  </si>
  <si>
    <t>Patagioenas subvinacea</t>
  </si>
  <si>
    <t>Short-billed Pigeon</t>
  </si>
  <si>
    <t>Patagioenas nigrirostris</t>
  </si>
  <si>
    <t>likely warrants TB=4 due to requirement for humid lowland forest.</t>
  </si>
  <si>
    <t>requires forest, but not very sensitive</t>
  </si>
  <si>
    <t>Restricted to humid forests (and edge) within C.A. range; loss of such forests has been extensive in C.A.; MX regional experts score PT=4; Ridgely and Gwynne (1989) state 'now very local in pacific west (Panama) due to deforestation</t>
  </si>
  <si>
    <t>Eurasian Collared-Dove</t>
  </si>
  <si>
    <t>Streptopelia decaocto</t>
  </si>
  <si>
    <t>BirdLife International 2018</t>
  </si>
  <si>
    <t>210 million would be the extrapolation of BBS-15 estimate globally using eBird, but US/Canada estimated to be just 4% of global pop, so not appropriate to base extrapolation on such a small proportion of the pop (PIFSC-18).</t>
  </si>
  <si>
    <t>BBS9021-AS, BBS7021-JS</t>
  </si>
  <si>
    <t>Spotted Dove</t>
  </si>
  <si>
    <t>Streptopelia chinensis</t>
  </si>
  <si>
    <t>Not Evaluated; PIFSC-CVS 2022</t>
  </si>
  <si>
    <t>CBC7017</t>
  </si>
  <si>
    <t>Inca Dove</t>
  </si>
  <si>
    <t>Columbina inca</t>
  </si>
  <si>
    <t>Expandiendo (CAW); score change from 3 to 2 recommended by Central Americans in 2016 over PIF estimate of 2,200,000</t>
  </si>
  <si>
    <t>NS map OK</t>
  </si>
  <si>
    <t>DJK= populations in the Southwest have really crashed recently, particularly in southern Arizona;AP=overall populations secure, likely to increase somewhat</t>
  </si>
  <si>
    <t>Common Ground Dove</t>
  </si>
  <si>
    <t>Columbina passerina</t>
  </si>
  <si>
    <t>MX-NSAC 2008</t>
  </si>
  <si>
    <t>BBS data from U.S. portion of range indicates a moderate decline since 1966 (PT=4); I agree this score does not fit with the general perception of this species habitat needs, and U.S. portion of range is relatively small compared to rest of North America</t>
  </si>
  <si>
    <t>Plain-breasted Ground Dove</t>
  </si>
  <si>
    <t>Columbina minuta</t>
  </si>
  <si>
    <t>score change from 2 to 3 recommended by Central Americans in 2016</t>
  </si>
  <si>
    <t>benefits from small clearings</t>
  </si>
  <si>
    <t>Aridlands:  Tropical Arid Scrub</t>
  </si>
  <si>
    <t>Ruddy Ground Dove</t>
  </si>
  <si>
    <t>Columbina talpacoti</t>
  </si>
  <si>
    <t>&lt;50</t>
  </si>
  <si>
    <t>benefits from human activity</t>
  </si>
  <si>
    <t>reliance on open areas, has increased due to deforestation</t>
  </si>
  <si>
    <t>Blue Ground Dove</t>
  </si>
  <si>
    <t>Claravis pretiosa</t>
  </si>
  <si>
    <t>requires clearings in forest</t>
  </si>
  <si>
    <t>Maroon-chested Ground Dove</t>
  </si>
  <si>
    <t>Paraclaravis mondetoura</t>
  </si>
  <si>
    <t>Formerly placed in the genus Claravis.</t>
  </si>
  <si>
    <t>el mapa está equivocada, hay amplia distribución en los Andes (CAW); score change from 5 to 4 recommended by Central Americans in 2016</t>
  </si>
  <si>
    <t>NS map showing 122,304 km2 doesn't include point locations in same as continuous range, although density of records suggests regular range;  score reduced by 1 to account for S. American range</t>
  </si>
  <si>
    <t>NS map (122,304 km2) show dots in S. America, prob. underestimating range size, so adjusted</t>
  </si>
  <si>
    <t>highly specialized (bamboo)</t>
  </si>
  <si>
    <t>Ruddy Quail-Dove</t>
  </si>
  <si>
    <t>Geotrygon montana</t>
  </si>
  <si>
    <t>score change from 2 to 4 recommended by Central Americans in 2016</t>
  </si>
  <si>
    <t>requires forest</t>
  </si>
  <si>
    <t>Violaceous Quail-Dove</t>
  </si>
  <si>
    <t>Geotrygon violacea</t>
  </si>
  <si>
    <t>distribution reduced by 25% per Tom Schulenberg's comment that it may not breed in part of its mapped range in southwestern amazon and E brazil (CAW);</t>
  </si>
  <si>
    <t>Olive-backed Quail-Dove</t>
  </si>
  <si>
    <t>Leptotrygon veraguensis</t>
  </si>
  <si>
    <t>White-tipped Dove</t>
  </si>
  <si>
    <t>Leptotila verreauxi</t>
  </si>
  <si>
    <t>PIFTC-02-PS-g midpoint</t>
  </si>
  <si>
    <t>&lt;10,000</t>
  </si>
  <si>
    <t>150 ish banded at one site with limited habitat in recent study; high densities in limited range. &lt;10000 (M Gustafson)</t>
  </si>
  <si>
    <t>DD='- moderately vulnerable to human activities and land-use trends.'  BNA supports that in US and ne Mexico along Rio Grande, threats potentially increasing if present trends conditions continue, although makes widespread use of cultivated areas (citrus; expected to remain stable (MX-NSAC).</t>
  </si>
  <si>
    <t>DD='- moderately vulnerable to human activities and land-use trends.'  BNA supports that in US and ne Mexico along Rio Grande, threats potentially increasing if present trends conditions continue, although makes widespread use of cultivated areas (citrus; expected to remain stable</t>
  </si>
  <si>
    <t>Groove-billed Ani</t>
  </si>
  <si>
    <t>Crotophaga sulcirostris</t>
  </si>
  <si>
    <t>Cuculiformes</t>
  </si>
  <si>
    <t>Cuculidae</t>
  </si>
  <si>
    <t>PIF CAW 2016-PS-g midpoint</t>
  </si>
  <si>
    <t>Would be 1.9 million globally extrapolated from BBS with eBird, which supports CAW estimate, but not appropriate to extrapolate up from such a small proportion of the population (1-4%), so deferred to Central American experts (PIFSC-18).</t>
  </si>
  <si>
    <t>Striped Cuckoo</t>
  </si>
  <si>
    <t>Tapera naevia</t>
  </si>
  <si>
    <t>requires overgrown fields</t>
  </si>
  <si>
    <t>Pheasant Cuckoo</t>
  </si>
  <si>
    <t>Dromococcyx phasianellus</t>
  </si>
  <si>
    <t>Hábitat menos perturbado (CAW);.  uncommon and local within range</t>
  </si>
  <si>
    <t>moderate decline in habitat expected</t>
  </si>
  <si>
    <t>Lesser Ground-Cuckoo</t>
  </si>
  <si>
    <t>Morococcyx erythropygus</t>
  </si>
  <si>
    <t>Rango pequeño, pero abundante en su habitat (también en áreas perturbadas). En la costa de pacifico de guate no es común (CAW);</t>
  </si>
  <si>
    <t>Lesser Roadrunner</t>
  </si>
  <si>
    <t>Geococcyx velox</t>
  </si>
  <si>
    <t>Es común y está presente en áreas perturbadas (CAW);</t>
  </si>
  <si>
    <t>occurs in altered landscapes</t>
  </si>
  <si>
    <t>Greater Roadrunner</t>
  </si>
  <si>
    <t>Geococcyx californianus</t>
  </si>
  <si>
    <t>not more threatened during breeding season (KR); CB-uses a wide variety of habitats (Birds of the LCR).</t>
  </si>
  <si>
    <t>Rufous-vented Ground-Cuckoo</t>
  </si>
  <si>
    <t>Neomorphus geoffroyi</t>
  </si>
  <si>
    <t>especializada en hormigas arrieras</t>
  </si>
  <si>
    <t>Little Cuckoo</t>
  </si>
  <si>
    <t>Coccycua minuta</t>
  </si>
  <si>
    <t>por la pérdida de bosques en su distribución en la este de Panamá</t>
  </si>
  <si>
    <t>South American Lowlands</t>
  </si>
  <si>
    <t>Squirrel Cuckoo</t>
  </si>
  <si>
    <t>Piaya cayana</t>
  </si>
  <si>
    <t>MX-NSAC-08</t>
  </si>
  <si>
    <t>requires forested landscapes; moderate threats are more appropriate (Panjabi); Ocurre en habitats transformados, ampliamente distribuido, sugerimos TB=2 (Macias).</t>
  </si>
  <si>
    <t>trend uncertain, given use of both primary and secondary forests, and more open and disturbed areas, at least in Costa Rica and Panama (Ridgely and Tudor 1989, Garrigues and Dean 2007)</t>
  </si>
  <si>
    <t>Yellow-billed Cuckoo</t>
  </si>
  <si>
    <t>Coccyzus americanus</t>
  </si>
  <si>
    <t>Reduced by 75%; winter range probably excludes Amazonia, contra NS map (Ken Rosenberg)</t>
  </si>
  <si>
    <t>DD='moderately vulnerable to human activities and land-use trends.'  BNA supports susceptible to riparian habitat loss in West and habitat frag in eastern US.  Population likely to decline in future if trends conditions continue; CB-western popns in ripar.  Demarest, Dean: From Eastern perspective, should score similarly to other widespread eastern forest inhabiting species.  So 3 is prob good.  CB-concern in western riparian, reduced numbers; responding to restoration on LCR, is this a fluke or short-term success?; moderate threats (TB=3) is most appopriate range-wide; western pops should be scored 4-5 (AP)</t>
  </si>
  <si>
    <t>DD='moderately vulnerable to human activities and land-use trends.'  BNA supports susceptible to riparian habitat loss in West and habitat frag in eastern US.  Population likely to decline in future if trends conditions continue.  widespread in tropical forests in winter, including tropical deciduous forests which are under high threats; "moderate" overall seems right (KVR)</t>
  </si>
  <si>
    <t>Mangrove Cuckoo</t>
  </si>
  <si>
    <t>Coccyzus minor</t>
  </si>
  <si>
    <t>Gomez-Panjabi-PS-g midpoint</t>
  </si>
  <si>
    <t>350,000 globally extrapolated with eBird, but not appropriate to extrapolate up from such a small proportion (1-5%) (PIFSC-18).</t>
  </si>
  <si>
    <t>DD='moderately to highly vulnerable to human activities and land-use trends' in Florida (TB 4) , but not much else known through bulk of range (TB 3).; moderate habitat loss (MX-NSAC).</t>
  </si>
  <si>
    <t>see TB</t>
  </si>
  <si>
    <t>Cocos Cuckoo</t>
  </si>
  <si>
    <t>Coccyzus ferrugineus</t>
  </si>
  <si>
    <t>puede ser depredadados por gatos ferales y ratas introducidas</t>
  </si>
  <si>
    <t>Islands:  Terrestrial Habitats</t>
  </si>
  <si>
    <t>Black-billed Cuckoo</t>
  </si>
  <si>
    <t>Coccyzus erythropthalmus</t>
  </si>
  <si>
    <t>PIFSC-20: eBird picks up non-breeders south of the border, so overrode eBird % Breeding Pop in US &amp; Canada with 100% and used US/Canada estimate as global estimate</t>
  </si>
  <si>
    <t>Area sensitive; reduction of caterpiller etc. outbreaks.</t>
  </si>
  <si>
    <t>Uses wide variety of open woods (moist or arid), scrub, edge, riparian (ED); unknown.  very poorly known in winter, could use primarily seasonally dry tropical forests which are under high threats (KVR)</t>
  </si>
  <si>
    <t>Short-tailed Nighthawk</t>
  </si>
  <si>
    <t>Lurocalis semitorquatus</t>
  </si>
  <si>
    <t>Caprimulgiformes</t>
  </si>
  <si>
    <t>Caprimulgidae</t>
  </si>
  <si>
    <t>uncommon and local within range</t>
  </si>
  <si>
    <t>humid evergreen forest edge; benefits from some clearing</t>
  </si>
  <si>
    <t>Lesser Nighthawk</t>
  </si>
  <si>
    <t>Chordeiles acutipennis</t>
  </si>
  <si>
    <t>okay</t>
  </si>
  <si>
    <t>benefits from disturbance; no known threats</t>
  </si>
  <si>
    <t>Aridlands Aerial:  Desert Scrub</t>
  </si>
  <si>
    <t>Open Country Aerial:  Habitat Mosaic</t>
  </si>
  <si>
    <t>Common Nighthawk</t>
  </si>
  <si>
    <t>Chordeiles minor</t>
  </si>
  <si>
    <t>Crashing in North America.  Brad Jacobs says all caprimulgids have declined greatly. (CAW); score change recommended by CA assessment</t>
  </si>
  <si>
    <t>Uses wide variety of open habitats.  DD='Moderately vulnerable to human activities and land-use trends.'  BNA supports that fire suppression and conversion of gravel rooftops may be reducing habitats. Declining for unknown reasons.</t>
  </si>
  <si>
    <t>DD='no information available' for winter range in SA</t>
  </si>
  <si>
    <t>Antillean Nighthawk</t>
  </si>
  <si>
    <t>Chordeiles gundlachii</t>
  </si>
  <si>
    <t>Smith 1996</t>
  </si>
  <si>
    <t>Smith PW 1996 Antillean Nighthawk Pages 335-340 in Rare and Endangered Biota of Florida</t>
  </si>
  <si>
    <t>guestimate based on eBird distribution</t>
  </si>
  <si>
    <t>score adjusted to reflect range area; 200-km rule no longer applies</t>
  </si>
  <si>
    <t>non-breeding range unknown; ND=3 reflects moderate concern for unknown (Ken Rosenberg)</t>
  </si>
  <si>
    <t>Any actual information on this endemic aerial insectivore in the Caribbean?? (KVR)</t>
  </si>
  <si>
    <t>Caribbean</t>
  </si>
  <si>
    <t>Unknown</t>
  </si>
  <si>
    <t>Common Pauraque</t>
  </si>
  <si>
    <t>Nyctidromus albicollis</t>
  </si>
  <si>
    <t>&lt;5,000</t>
  </si>
  <si>
    <t>widespread generalist in most of range (KR).  DD='threats assumed to be low';  BNA supports that species may respond favorably to forest clearing/opening (second growth, plantations, etc), as it does not prefer dense forest.  Widespread throughout CA and; forest edge (MX-NSAC).</t>
  </si>
  <si>
    <t>Forests:  Tropical Generalist</t>
  </si>
  <si>
    <t>Common Poorwill</t>
  </si>
  <si>
    <t>Phalaenoptilus nuttallii</t>
  </si>
  <si>
    <t>PIFSC-Dec-08; PIFSC-CVS 2022</t>
  </si>
  <si>
    <t>DD='threats assumed to be low';  nest in rocky areas; CB-ground disturbance affects nesting and roosting, otherwise not well known (CAFS); Rosenberg: loss of habitat from rapid development in West?</t>
  </si>
  <si>
    <t>DD='information lacking' throughout range, but particularly in Mexican wintering areas.</t>
  </si>
  <si>
    <t>Eared Poorwill</t>
  </si>
  <si>
    <t>Nyctiphrynus mcleodii</t>
  </si>
  <si>
    <t>moderate habitat loss</t>
  </si>
  <si>
    <t>NWMH and SEMH, which together make up &gt;50% of core range, both score PT=4; I suggest to mantain PT=3 given the insufficient known of species habits and precise distribution</t>
  </si>
  <si>
    <t>Yucatan Poorwill</t>
  </si>
  <si>
    <t>Nyctiphrynus yucatanicus</t>
  </si>
  <si>
    <t>Ocellated Poorwill</t>
  </si>
  <si>
    <t>Nyctiphrynus ocellatus</t>
  </si>
  <si>
    <t>no NS map; Neotropical birds map does not include CA (CAW);</t>
  </si>
  <si>
    <t>BirdLife 2016</t>
  </si>
  <si>
    <t>Chuck-will's-widow</t>
  </si>
  <si>
    <t>Antrostomus carolinensis</t>
  </si>
  <si>
    <t>Natureserve 3.0; PIFSC-08</t>
  </si>
  <si>
    <t>Passage migrant range has been switched with Non-breeding resident (winter) range (P. Blancher).  Recalc. ND score from NS maps considering following, Non-br.range in s.TX and north-eastern MX states should be passage.  All of Passage range s</t>
  </si>
  <si>
    <t>DD=' does not breed in highly altered landscapes.'  Not a lot of info, but likely susceptible to forest fragmentation and habitat conversion in SE US.</t>
  </si>
  <si>
    <t>DD='no info available.'  Nothing found on threats to wintering habitat in CA and SA..  poorly known but winters in tropical forest regions (KVR)</t>
  </si>
  <si>
    <t>Rufous Nightjar</t>
  </si>
  <si>
    <t>Antrostomus rufus</t>
  </si>
  <si>
    <t>la cambia de uso de suelo hasta cultivos de arroz; requiere hábitat no modificado</t>
  </si>
  <si>
    <t>Tawny-collared Nightjar</t>
  </si>
  <si>
    <t>Antrostomus salvini</t>
  </si>
  <si>
    <t>global scores should reflect regional expert's opinion -- all scored TB=3.</t>
  </si>
  <si>
    <t>Black Swift</t>
  </si>
  <si>
    <t>Cypseloides niger</t>
  </si>
  <si>
    <t>Apodiformes</t>
  </si>
  <si>
    <t>Apodidae</t>
  </si>
  <si>
    <t>Could be FEWER? (CAW);</t>
  </si>
  <si>
    <t>Added 32,000 km2; Colorado Range underestimated by 50% (A. Panjabi)</t>
  </si>
  <si>
    <t>presumed winter range is from s venezuela through the andes, western amazon basin and western bolivia (Nat Geo Complete Birds of North America); actual range may be much smaller, based on returns of geolocators from CO-breeding birds
Ken comment: Replace</t>
  </si>
  <si>
    <t>climate change and reduced, later snowmelt could be problematic for breeding habitat in mountains; CB-rock and ice climbing other recreation (CAFS), mining, one egg only (COPIF), highly specialized habt.; nest sites are inaccessible and relatively secure (MX-NSAC); Rosenberg: threats increasing due to drying of waterfalls?.  CB- possibly affected by reduced rainfall, and recreation; WE -- not as threatened in BC portion of range</t>
  </si>
  <si>
    <t>probably not threatened in winter? (KR); CB- not known in winter, but widespread.  as far as we know, uses native tropical forests and may depend on specific sites or habitats; very poorly known, thus specific threats unknown (CB, KVR, WE, TW, DP)</t>
  </si>
  <si>
    <t>Forest Aerial:  Temperate Western</t>
  </si>
  <si>
    <t>Forests Aerial:  Mesoamerican Highland</t>
  </si>
  <si>
    <t>Forest Aerial:  Tropical Generalist</t>
  </si>
  <si>
    <t>White-fronted Swift</t>
  </si>
  <si>
    <t>Cypseloides storeri</t>
  </si>
  <si>
    <t>no information</t>
  </si>
  <si>
    <t>DD</t>
  </si>
  <si>
    <t>Forest Aerial:  Mesoamerican Highland</t>
  </si>
  <si>
    <t>White-chinned Swift</t>
  </si>
  <si>
    <t>Cypseloides cryptus</t>
  </si>
  <si>
    <t>poorly known (CAW);</t>
  </si>
  <si>
    <t>no existe mucha información</t>
  </si>
  <si>
    <t>Forest Aerial:  Tropical Montane Evergreen</t>
  </si>
  <si>
    <t>Spot-fronted Swift</t>
  </si>
  <si>
    <t>Cypseloides cherriei</t>
  </si>
  <si>
    <t>Chestnut-collared Swift</t>
  </si>
  <si>
    <t>Streptoprocne rutila</t>
  </si>
  <si>
    <t>Forests Aerial:  Tropical Lowland Evergreen</t>
  </si>
  <si>
    <t>White-whiskered Hermit</t>
  </si>
  <si>
    <t>Phaethornis yaruqui</t>
  </si>
  <si>
    <t>Trochilidae</t>
  </si>
  <si>
    <t>not in NACC list since only recently discovered to extend into Panama</t>
  </si>
  <si>
    <t>PIF CAW-14</t>
  </si>
  <si>
    <t>se puede ser afectado por el cambio climatico</t>
  </si>
  <si>
    <t>Pale-bellied Hermit</t>
  </si>
  <si>
    <t>Phaethornis anthophilus</t>
  </si>
  <si>
    <t>Stripe-throated Hermit</t>
  </si>
  <si>
    <t>Phaethornis striigularis</t>
  </si>
  <si>
    <t>Restricted to humid evergreen forest and edge, loss of such forests has been extensive in C.A.; MX regional experts score PT=4</t>
  </si>
  <si>
    <t>Green-fronted Lancebill</t>
  </si>
  <si>
    <t>Doryfera ludovicae</t>
  </si>
  <si>
    <t>plantas hidroeléctricas; sensible a cambios de precipitación, especialista de quebrada</t>
  </si>
  <si>
    <t>restringido a bosques</t>
  </si>
  <si>
    <t>Brown Violetear</t>
  </si>
  <si>
    <t>Colibri delphinae</t>
  </si>
  <si>
    <t>Mexican Violetear</t>
  </si>
  <si>
    <t>Colibri thalassinus</t>
  </si>
  <si>
    <t>Panjabi 2017; PIF CAW 2017; MX-NSAC-17</t>
  </si>
  <si>
    <t>guesstimate</t>
  </si>
  <si>
    <t>BirdLife &amp; HBW, eBird, AOU Checklist 57th Suppl.</t>
  </si>
  <si>
    <t>PIF CAW 2015; Mexican Regional Assessment 2005</t>
  </si>
  <si>
    <t>used most frequent score amongst regions</t>
  </si>
  <si>
    <t>PIF CAW 2015</t>
  </si>
  <si>
    <t>used Honduras's score to break tie since eBird shows greater range and more observations there than El Salvador, the only other region scored</t>
  </si>
  <si>
    <t>Lesser Violetear</t>
  </si>
  <si>
    <t>Colibri cyanotus</t>
  </si>
  <si>
    <t>used Costa Rica's score to break tie since eBird shows greater range and more observations there than Panama</t>
  </si>
  <si>
    <t>used Panama's score as the only region scored</t>
  </si>
  <si>
    <t>Tooth-billed Hummingbird</t>
  </si>
  <si>
    <t>Androdon aequatorialis</t>
  </si>
  <si>
    <t>puede ser afectado por cambio climático porque es una especie de alturas</t>
  </si>
  <si>
    <t>Purple-crowned Fairy</t>
  </si>
  <si>
    <t>Heliothryx barroti</t>
  </si>
  <si>
    <t>Green-breasted Mango</t>
  </si>
  <si>
    <t>Anthracothorax prevostii</t>
  </si>
  <si>
    <t>Black-throated Mango</t>
  </si>
  <si>
    <t>Anthracothorax nigricollis</t>
  </si>
  <si>
    <t>Veraguan Mango</t>
  </si>
  <si>
    <t>Anthracothorax veraguensis</t>
  </si>
  <si>
    <t>Green Thorntail</t>
  </si>
  <si>
    <t>Discosura conversii</t>
  </si>
  <si>
    <t>Short-crested Coquette</t>
  </si>
  <si>
    <t>Lophornis brachylophus</t>
  </si>
  <si>
    <t>restricted habitat, habitat loss</t>
  </si>
  <si>
    <t>MX endemic; both regions score PT=4</t>
  </si>
  <si>
    <t>CR</t>
  </si>
  <si>
    <t>Rufous-crested Coquette</t>
  </si>
  <si>
    <t>Lophornis delattrei</t>
  </si>
  <si>
    <t>hard to detect (CAW);</t>
  </si>
  <si>
    <t>Rufous Hummingbird</t>
  </si>
  <si>
    <t>Selasphorus rufus</t>
  </si>
  <si>
    <t>Easton-19; PIFSC-CVS 2022</t>
  </si>
  <si>
    <t>changed due to calibration with TB-r; Easton 2019: In BC, a large proportion breeds at lower elevation, dispersing to higher elevations later in the season, exposing them to multiple impacts of climate change (extreme temperatures, drying). At lower elevations, they are exposed to agricultural pesticides (Graves et al. 2019, Bishop et al. 2018). In hydro right-of-ways, herbicide use and mechanical trimming are extensive, reducing nesting/foraging deciduous habitat.  BC Forest Law (Bill 70) requires stands harvested and replanted after 1987 to have commercial seedlings free from growth-inhibiting brush, weed, and excessive tree competition, and young trees must be at least as high as competing brush (native deciduous species, especially flowering shrubs and trees), with 1 m of free-growing space around their tops. This has led to young stands with no underbrush for RUHU habitat. Standard forest management does not allow seral flowers to achieve greater abundance. Even with 2 years of extensive wild fires that will promote RUHU habitat, we will likely have work programs to facilitate more vegetation management to the detriment of RUHU.</t>
  </si>
  <si>
    <t>specialized habitat: shrubby/weedy areas in mountains of central mexico, limited by grazing, agriculture and forest management (Panjabi)</t>
  </si>
  <si>
    <t>Allen's Hummingbird</t>
  </si>
  <si>
    <t>Selasphorus sasin</t>
  </si>
  <si>
    <t>CB-human disturbance, coastal habitat under intense pressure, eucalyptus and riparian problems, not as adapted to urban as Anna's (CAFS).</t>
  </si>
  <si>
    <t>restricted winter range in W Mex montane forests -- no threats from logging or fire management? (KVR);  same as rufous hummer; occurs mostly in forested landscapes where brushy/weedy regeneration is occuring, probably should be 3 due to intensification of agriculture, forestry (Panjabi)</t>
  </si>
  <si>
    <t>Broad-tailed Hummingbird</t>
  </si>
  <si>
    <t>Selasphorus platycercus</t>
  </si>
  <si>
    <t>NS map highly fragmented; NatGeo polygon about 1,150,000 km2 in US based on state proportions, + 75% more in Mexico</t>
  </si>
  <si>
    <t>range in northern Mexico should be Breeding only, rest of wintering map somewhat fragmented, leave area as isKen comment: range in northern Mexico should be Breeding only, rest of wintering map somewhat fragmented, leave area as is</t>
  </si>
  <si>
    <t>changed due to calibration with TB-r; concern over climate change cited</t>
  </si>
  <si>
    <t>Previously Watch List</t>
  </si>
  <si>
    <t>Bumblebee Hummingbird</t>
  </si>
  <si>
    <t>Selasphorus heloisa</t>
  </si>
  <si>
    <t>Formerly placed in the genus Atthis.</t>
  </si>
  <si>
    <t>Wine-throated Hummingbird</t>
  </si>
  <si>
    <t>Selasphorus ellioti</t>
  </si>
  <si>
    <t>cloud forest specialist</t>
  </si>
  <si>
    <t>Volcano Hummingbird</t>
  </si>
  <si>
    <t>Selasphorus flammula</t>
  </si>
  <si>
    <t>cambio climático; incendios</t>
  </si>
  <si>
    <t>Tundra:  Paramo</t>
  </si>
  <si>
    <t>Scintillant Hummingbird</t>
  </si>
  <si>
    <t>Selasphorus scintilla</t>
  </si>
  <si>
    <t>Glow-throated Hummingbird</t>
  </si>
  <si>
    <t>Selasphorus ardens</t>
  </si>
  <si>
    <t>Dusky Hummingbird</t>
  </si>
  <si>
    <t>Phaeoptila sordida</t>
  </si>
  <si>
    <t>Formerly placed in the genus Cynanthus. Monotypic.</t>
  </si>
  <si>
    <t>Cozumel Emerald</t>
  </si>
  <si>
    <t>Cynanthus forficatus</t>
  </si>
  <si>
    <t>Formerly placed in the genus Chlorostilbon. Monotypic.</t>
  </si>
  <si>
    <t>Canivet's Emerald</t>
  </si>
  <si>
    <t>Cynanthus canivetii</t>
  </si>
  <si>
    <t>Formerly placed in the genus Chlorostilbon.</t>
  </si>
  <si>
    <t>regional scores in core range in Mexico (SECL, SEPL) indicate stable or increasing population.</t>
  </si>
  <si>
    <t>Garden Emerald</t>
  </si>
  <si>
    <t>Chlorostilbon assimilis</t>
  </si>
  <si>
    <t>White-eared Hummingbird</t>
  </si>
  <si>
    <t>Basilinna leucotis</t>
  </si>
  <si>
    <t>Formerly placed in the genus Hylocharis.</t>
  </si>
  <si>
    <t>&lt;200</t>
  </si>
  <si>
    <t>guestimate based on eBird distribution;</t>
  </si>
  <si>
    <t>tolerant of disturbance (Costa Rica)</t>
  </si>
  <si>
    <t>Xantus's Hummingbird</t>
  </si>
  <si>
    <t>Basilinna xantusii</t>
  </si>
  <si>
    <t>Formerly placed in the genus Hylocharis. Monotypic.</t>
  </si>
  <si>
    <t>Wedge-tailed Sabrewing</t>
  </si>
  <si>
    <t>Pampa curvipennis</t>
  </si>
  <si>
    <t>Formerly placed in the genus Campylopterus.</t>
  </si>
  <si>
    <t>Gomez-Panjabi; PIFSC-23</t>
  </si>
  <si>
    <t>Panjabi-23: lumping of P. excellens likely has little influence on overall PS-g estimate relative to scores</t>
  </si>
  <si>
    <t>NatureServe/CONABIO 2022</t>
  </si>
  <si>
    <t>Shaw-23: CONABIO lumped in Long-tailed Sabrewing.  I used Mexico Albers Equal Area Conic map projection to estimate area.</t>
  </si>
  <si>
    <t>requires forest; moderate habitat loss</t>
  </si>
  <si>
    <t>MX endemic, regional experts score PT=4 in all regions</t>
  </si>
  <si>
    <t>Rufous Sabrewing</t>
  </si>
  <si>
    <t>Pampa rufa</t>
  </si>
  <si>
    <t>Formerly placed in the genus Campylopterus. Monotypic.</t>
  </si>
  <si>
    <t>local score PT=4 in core areas (SEPL and SEMH)</t>
  </si>
  <si>
    <t>Emerald-chinned Hummingbird</t>
  </si>
  <si>
    <t>Abeillia abeillei</t>
  </si>
  <si>
    <t>Distribución fragmentada (CAW);</t>
  </si>
  <si>
    <t>especie habitat dependiente (b niebla), muy sensible, b niebla está muy amenazado y fragmentándose, el efecto de cambio climático afectará a las condiciones del habitat. (Macias); Estamos de acuerdo con TB=5 (Berlanga);  Deseable conocer cual es la situación en Centroamérica pero en México creemos que es un 5. En Veracruz el b niebla está bastante transformado. (Macias); Estamos de acuerdo con TB=5 (Berlanga); global score ok, mainly a cloud forest species, extensive habitat loss, climate change a threat; LC under IUCN; suggest TB=4 which is consistent with other cloud forest species in this range (Panjabi);.</t>
  </si>
  <si>
    <t>Violet-headed Hummingbird</t>
  </si>
  <si>
    <t>Klais guimeti</t>
  </si>
  <si>
    <t>Violet Sabrewing</t>
  </si>
  <si>
    <t>Campylopterus hemileucurus</t>
  </si>
  <si>
    <t>a humid evergreen forest species, also in adjacent plantations; loss of such forests has been extensive in C.A.; MX regional experts score PT=4 in all regions</t>
  </si>
  <si>
    <t>Bronze-tailed Plumeleteer</t>
  </si>
  <si>
    <t>Chalybura urochrysia</t>
  </si>
  <si>
    <t>White-vented Plumeleteer</t>
  </si>
  <si>
    <t>Chalybura buffonii</t>
  </si>
  <si>
    <t>Crowned Woodnymph</t>
  </si>
  <si>
    <t>Thalurania colombica</t>
  </si>
  <si>
    <t>es abundante</t>
  </si>
  <si>
    <t>Snowcap</t>
  </si>
  <si>
    <t>Microchera albocoronata</t>
  </si>
  <si>
    <t>requiere hábitat especializada; puede ser afectada por el cambio clímatica</t>
  </si>
  <si>
    <t>Coppery-headed Emerald</t>
  </si>
  <si>
    <t>Microchera cupreiceps</t>
  </si>
  <si>
    <t>Formerly placed in the genus Elvira. Monotypic.</t>
  </si>
  <si>
    <t>White-tailed Emerald</t>
  </si>
  <si>
    <t>Microchera chionura</t>
  </si>
  <si>
    <t>Violet-capped Hummingbird</t>
  </si>
  <si>
    <t>Goldmania violiceps</t>
  </si>
  <si>
    <t>Pirre Hummingbird</t>
  </si>
  <si>
    <t>Goldmania bella</t>
  </si>
  <si>
    <t>Formerly placed in the genus Goethalsia. Monotypic.</t>
  </si>
  <si>
    <t>puede ser afectado por cambio climático</t>
  </si>
  <si>
    <t>Mexican Woodnymph</t>
  </si>
  <si>
    <t>Eupherusa ridgwayi</t>
  </si>
  <si>
    <t>Formerly placed in the genus Thalurania. Monotypic.</t>
  </si>
  <si>
    <t>MX endemic, all regions score PT=4</t>
  </si>
  <si>
    <t>White-tailed Hummingbird</t>
  </si>
  <si>
    <t>Eupherusa poliocerca</t>
  </si>
  <si>
    <t>severe habitat loss</t>
  </si>
  <si>
    <t>Blue-capped Hummingbird</t>
  </si>
  <si>
    <t>Eupherusa cyanophrys</t>
  </si>
  <si>
    <t>moderate habitat loss; global score should reflect regional experts' opinion</t>
  </si>
  <si>
    <t>Stripe-tailed Hummingbird</t>
  </si>
  <si>
    <t>Eupherusa eximia</t>
  </si>
  <si>
    <t>Black-bellied Hummingbird</t>
  </si>
  <si>
    <t>Eupherusa nigriventris</t>
  </si>
  <si>
    <t>Scaly-breasted Hummingbird</t>
  </si>
  <si>
    <t>Phaeochroa cuvierii</t>
  </si>
  <si>
    <t>score change from 5 to 4 recommended by Central Americans in 2016</t>
  </si>
  <si>
    <t>little known in MX</t>
  </si>
  <si>
    <t>Violet-crowned Hummingbird</t>
  </si>
  <si>
    <t>Ramosomyia violiceps</t>
  </si>
  <si>
    <t>Formerly placed in the genus Leucolia.</t>
  </si>
  <si>
    <t>CB-use of riparian; widespread in many habitats south of U.S.; tolerant of disturbance (MX-NSAC).  primarily uses native pine-oak and deciduous forests - should be same as other species in that habitat (KVR)</t>
  </si>
  <si>
    <t>Common Gallinule</t>
  </si>
  <si>
    <t>Gallinula galeata</t>
  </si>
  <si>
    <t>Gruiformes</t>
  </si>
  <si>
    <t>Rallidae</t>
  </si>
  <si>
    <t>wetlands loss in SE USA but not as severe in latin America; uses modified wetlands like rice fields (Waterbird working group 2017)</t>
  </si>
  <si>
    <t>uses modified habitats such ricefields</t>
  </si>
  <si>
    <t>Shaw-23: used BBS since according to eBird S&amp;T model, over half (if Caribbean included in N. America, vs. 3/4 if not included) of the N. American breeding pop is in US.</t>
  </si>
  <si>
    <t>American Coot</t>
  </si>
  <si>
    <t>Fulica americana</t>
  </si>
  <si>
    <t>Shaw-22: NatureServe didn't include Maine, New Brunswick, or Nova Scotia (or as much of S. Quebec), but BOTW included these states/provinces in the written distribution, supporting BirdLife map</t>
  </si>
  <si>
    <t>recurring die-offs associated with bluegreen algae can wipe out thousands of coots at once</t>
  </si>
  <si>
    <t>Purple Gallinule</t>
  </si>
  <si>
    <t>Porphyrio martinicus</t>
  </si>
  <si>
    <t>PIFcalc19-eBird7017(UsCa,WHem)</t>
  </si>
  <si>
    <t>PIFSC-23: Previously 4 from Waterbird Working Group in 2017, but their comments indicate that may be more stable in C. America, and recent eBird S&amp;T's mostly positive (except S. Florida), so bumped up to a 3.  BBS7021 also supports a 3, but according to eBird S&amp;T model, just ~4% of breeding pop in US, vs. ~5% in Caribbean &amp; ~7% in Mexico &amp; C. America, so insufficient range coverage to use BBS.</t>
  </si>
  <si>
    <t>Ocellated Crake</t>
  </si>
  <si>
    <t>Micropygia schomburgkii</t>
  </si>
  <si>
    <t>porque están en reservas indígenas su hábitat de seguir protegido; se queman los pastizales, pero parece resistente a tal manejo</t>
  </si>
  <si>
    <t>por la pérdida de savanas planas por cultivo de piña se ha disminuido mucho su hábitat; solo en Costa Rica en CA</t>
  </si>
  <si>
    <t>Yellow Rail</t>
  </si>
  <si>
    <t>Coturnicops noveboracensis</t>
  </si>
  <si>
    <t>WPE5, BirdLife 2015</t>
  </si>
  <si>
    <t>missing data for ssp. goldmani.  2000-2008 expert opinion. (WPE5)</t>
  </si>
  <si>
    <t>&gt;12,000</t>
  </si>
  <si>
    <t>similar threats to habitat as sedge wren, leconte's sparrow and nelson's sparrow</t>
  </si>
  <si>
    <t>mostly winters on coast; vulnerable to sea-level rise</t>
  </si>
  <si>
    <t>Yellow-breasted Crake</t>
  </si>
  <si>
    <t>Hapalocrex flaviventer</t>
  </si>
  <si>
    <t>missing data for ssp. woodi &amp; ssp. bangsi.  2011 best guess for ssp. flaviventer, 2005 for ssp. gossi, 2007 for ssp. hendersoni.  Adult estimate assumes 2/3 of total pop. are adults.</t>
  </si>
  <si>
    <t>&gt;7,000</t>
  </si>
  <si>
    <t>Hunter-Rosenberg 2003</t>
  </si>
  <si>
    <t>Hunter 2006</t>
  </si>
  <si>
    <t>probably has declined (MX-NSAC)</t>
  </si>
  <si>
    <t>Ruddy Crake</t>
  </si>
  <si>
    <t>Laterallus ruber</t>
  </si>
  <si>
    <t>unknown</t>
  </si>
  <si>
    <t>White-throated Crake</t>
  </si>
  <si>
    <t>Laterallus albigularis</t>
  </si>
  <si>
    <t>aprovecha de la conversión de bosque</t>
  </si>
  <si>
    <t>Gray-breasted Crake</t>
  </si>
  <si>
    <t>Laterallus exilis</t>
  </si>
  <si>
    <t>estable en Belice, pero ha disminuido en lo demás de CA</t>
  </si>
  <si>
    <t>Black Rail</t>
  </si>
  <si>
    <t>Laterallus jamaicensis</t>
  </si>
  <si>
    <t>WPE5, Spautz et al. 2005</t>
  </si>
  <si>
    <t>Used Spautz et al. 2005 estimate of 17,702-36,806 as most recent estimate of coturniculus on west coast.  Used bottom of WPE5 estimate range (25,000-100,000) for jamaicensis since has tanked in Eastern US.  WPE5 missing data for murivagans and salinasi in S. America but this missing data may be compensated by the decline in the other subspecies.</t>
  </si>
  <si>
    <t>although severely threatened in East, possibly not in West, so is TB4 correct overall? Or are all populations threatened with extirpation? (KVR); TB=5 is not only applicable when all populations are in danger of extirpations, but when major portions of the populaiton are in danger of extirpation, so could be appropriate in this case (Panjabi)</t>
  </si>
  <si>
    <t>Extensive range reduction in East qualifies as PT = 5 (KVR); pops in west indies are essentially gone; central american pops are few and far between (CH);  Vermillion, William: BLRA seems comparable to KIRA in terms of range reductions and declines. (WGV)</t>
  </si>
  <si>
    <t>Sungrebe</t>
  </si>
  <si>
    <t>Heliornis fulica</t>
  </si>
  <si>
    <t>Heliornithidae</t>
  </si>
  <si>
    <t>Solo esta en riachuelos (CAW);</t>
  </si>
  <si>
    <t>Limpkin</t>
  </si>
  <si>
    <t>Aramus guarauna</t>
  </si>
  <si>
    <t>Aramidae</t>
  </si>
  <si>
    <t>missing data for ssp. elucus.  2005-2011 best guess for ssp. guarauna, 2005 for ssp. dolosus, 2005-2006 for ssp. pictus.  1,008,750-1,029,800 (WPE5).  Assuming the estimates represent breeding adults.</t>
  </si>
  <si>
    <t>&gt;1,000,000</t>
  </si>
  <si>
    <t>BNA Bryan 2002</t>
  </si>
  <si>
    <t>Panjabi-23: Caribbean eBird S&amp;T short-term trends largely positive, so PT = 1 seems reasonable based on CBC and eBird.  Declines noted in Veracruz and Tabasco but abundance is much lower there.  Demarest-23: anecdotally, appears to be increasing/returning to parts of former range in FL, along Gulf Coast, and beyond.</t>
  </si>
  <si>
    <t>Sandhill Crane</t>
  </si>
  <si>
    <t>Antigone canadensis</t>
  </si>
  <si>
    <t>Gruidae</t>
  </si>
  <si>
    <t>BNA2014, bbs0615(BBS), eBird7017(WHem), PIF(Glob)</t>
  </si>
  <si>
    <t>BNA Gerber et al. 2014</t>
  </si>
  <si>
    <t>expanding everywhere; except for mississippi pops which are declining; FL sandhills are expanding 'like crazy'; breeding in urban and suburban areas (Waterbird working group 2017)</t>
  </si>
  <si>
    <t>use of croplands</t>
  </si>
  <si>
    <t>Whooping Crane</t>
  </si>
  <si>
    <t>Grus americana</t>
  </si>
  <si>
    <t>McAbee &amp; Conkin 2024</t>
  </si>
  <si>
    <t>wood buffalo pop doing OK, experimental pops are not doing well (Waterbird working group 2017)</t>
  </si>
  <si>
    <t>fresh water issues around port aransas are very concerning; threats during migration also very high; shooting in winter/migration</t>
  </si>
  <si>
    <t>PIFSC-24</t>
  </si>
  <si>
    <t>PIFSC-24: population has at least doubled since 1970 (Whooping Crane Recovery Plan), which would normally result in a score of 1, but scored 3 for uncertainty since the increase is due to captive breeding, so don't know what the trend would be in the absense of breeding programs</t>
  </si>
  <si>
    <t>Double-striped Thick-knee</t>
  </si>
  <si>
    <t>Burhinus bistriatus</t>
  </si>
  <si>
    <t>shorebird</t>
  </si>
  <si>
    <t>Charadriiformes</t>
  </si>
  <si>
    <t>Burhinidae</t>
  </si>
  <si>
    <t>Es muy común en norte de colombia y los llanos de colombia y venezuela (CAW);</t>
  </si>
  <si>
    <t>Black-necked Stilt</t>
  </si>
  <si>
    <t>Himantopus mexicanus</t>
  </si>
  <si>
    <t>Recurvirostridae</t>
  </si>
  <si>
    <t>B. Andres 2017</t>
  </si>
  <si>
    <t>Note the listed Hawaiian Stilt (B. Andres 2017).</t>
  </si>
  <si>
    <t>USSCP 2016</t>
  </si>
  <si>
    <t>Shaw 2020: this estimate apparently excludes Mexico.  The inclusion of Hawaii is immaterial due to rounding.</t>
  </si>
  <si>
    <t>BirdLife and NatureServe (2012)</t>
  </si>
  <si>
    <t>USSCP 2016; PIFSC-CVS 2022</t>
  </si>
  <si>
    <t>Ruddy Turnstone</t>
  </si>
  <si>
    <t>Arenaria interpres</t>
  </si>
  <si>
    <t>Scolopacidae</t>
  </si>
  <si>
    <t>B. Andres 2017; PIFSC-CVS 2022</t>
  </si>
  <si>
    <t>Delaware Bay stopover issue for morinella (B. Andres 2017).</t>
  </si>
  <si>
    <t>Mig8019</t>
  </si>
  <si>
    <t>Black Turnstone</t>
  </si>
  <si>
    <t>Arenaria melanocephala</t>
  </si>
  <si>
    <t>Red Knot</t>
  </si>
  <si>
    <t>Calidris canutus</t>
  </si>
  <si>
    <t>&lt;140,000</t>
  </si>
  <si>
    <t>Shaw 2020: This estimate apparently includes Russia's Rangel Island, but due to rounding, the impact should be immaterial</t>
  </si>
  <si>
    <t>stopover concentrations (B. Andres 2017).</t>
  </si>
  <si>
    <t>Surfbird</t>
  </si>
  <si>
    <t>Calidris virgata</t>
  </si>
  <si>
    <t>Formerly placed in the genus Aphriza. Monotypic.</t>
  </si>
  <si>
    <t>Why is TN higher than for Black Turnstone? Could be reduced, although aggregates more in migration in areas of potential oil spills and some reliance on spring herring roe. Affects the entire population (B. Andres 2017).</t>
  </si>
  <si>
    <t>Sharp-tailed Sandpiper</t>
  </si>
  <si>
    <t>Calidris acuminata</t>
  </si>
  <si>
    <t>Juveniles in Alaska in fall (B. Andres 2017).</t>
  </si>
  <si>
    <t>Temperate Australasia</t>
  </si>
  <si>
    <t>Purple Sandpiper</t>
  </si>
  <si>
    <t>Calidris maritima</t>
  </si>
  <si>
    <t>Recognized as monotypic by del Hoyo et al. (1992), Clements (2000) and BNA. Howard and Moore (2003) recognizes 3 subspecies: &lt;i&gt;&lt;/&gt;C.m. belcheri, C.m....</t>
  </si>
  <si>
    <t>sea-level rise warrants TN=3 (B. Andres 2017).</t>
  </si>
  <si>
    <t>Baird's Sandpiper</t>
  </si>
  <si>
    <t>Calidris bairdii</t>
  </si>
  <si>
    <t>Andres 2020: 800-2600 individuals are estimated to breed in eastern Russia (Lappo et al. 2012).  Greenland birds included in estimate.</t>
  </si>
  <si>
    <t>USSCP 2016, eBird7017(UsCa,WHem), PIF(Glob)</t>
  </si>
  <si>
    <t>Shaw 2020: extrapolated from USSCP 2016 world estimate of 300,000 using the proportion in US/Canada estimated from the other sources listed</t>
  </si>
  <si>
    <t>Temperate South America</t>
  </si>
  <si>
    <t>Grasslands:  Pampas and Campos</t>
  </si>
  <si>
    <t>Least Sandpiper</t>
  </si>
  <si>
    <t>Calidris minutilla</t>
  </si>
  <si>
    <t>White-rumped Sandpiper</t>
  </si>
  <si>
    <t>Calidris fuscicollis</t>
  </si>
  <si>
    <t>Dovekie</t>
  </si>
  <si>
    <t>Alle alle</t>
  </si>
  <si>
    <t>Alcidae</t>
  </si>
  <si>
    <t>BirdLife 2015</t>
  </si>
  <si>
    <t>Adult estimate assumes 2/3 of total pop. are adults.</t>
  </si>
  <si>
    <t>BNA Montevecchi &amp; Stenhouse 2002</t>
  </si>
  <si>
    <t>Natureserve, with ocular estimate of range in W Hemishpere based on BirdLife map</t>
  </si>
  <si>
    <t>Hunter-Rosenberg 2003; PIFSC-CVS 2022</t>
  </si>
  <si>
    <t>CBC7019-TM</t>
  </si>
  <si>
    <t>Shaw-23: includes Greenland breeding population that winters in the US and Canada</t>
  </si>
  <si>
    <t>Temperate Northern Atlantic</t>
  </si>
  <si>
    <t>Coasts:  Cliffs and Islands</t>
  </si>
  <si>
    <t>Oceans:  Pelagic</t>
  </si>
  <si>
    <t>Common Murre</t>
  </si>
  <si>
    <t>Uria aalge</t>
  </si>
  <si>
    <t>BNA Ainley et al. 2002</t>
  </si>
  <si>
    <t>new elevated threats to alcids from overfishing, climate change?? (KVR)</t>
  </si>
  <si>
    <t>Thick-billed Murre</t>
  </si>
  <si>
    <t>Uria lomvia</t>
  </si>
  <si>
    <t>BNA Gaston &amp; Hipfner 2000</t>
  </si>
  <si>
    <t>Easton 2020: I don't see how CBC would be an appropriate survey for this species. Colony counts over part of its Canadian range suggest little change in trend.  Dragoo et al. 2019 shows net stability in AK.</t>
  </si>
  <si>
    <t>Temperate Northern Oceans</t>
  </si>
  <si>
    <t>Razorbill</t>
  </si>
  <si>
    <t>Alca torda</t>
  </si>
  <si>
    <t>BNA Lavers et al. 2009</t>
  </si>
  <si>
    <t>BNA cites 500,000 - 700,00 pairs; about twice what BirdLife states</t>
  </si>
  <si>
    <t>why is TN higher than for other "murres"? (KVR)</t>
  </si>
  <si>
    <t>Black Guillemot</t>
  </si>
  <si>
    <t>Cepphus grylle</t>
  </si>
  <si>
    <t>BNA Butler and Buckley 2002</t>
  </si>
  <si>
    <t>250,000-500,000 pairs; about twice what BirdLife states</t>
  </si>
  <si>
    <t>BNA Butler &amp; Buckley 2002</t>
  </si>
  <si>
    <t>Panjabi-23: CBC coverage map aligns well with winter distribution in eBird Explorer map, which is mainly coastal and therefore should be picked up by CBC</t>
  </si>
  <si>
    <t>Pigeon Guillemot</t>
  </si>
  <si>
    <t>Cepphus columba</t>
  </si>
  <si>
    <t>BNA1993, eBird7017(UsCa,WHem,Glob)</t>
  </si>
  <si>
    <t>BNA Ewins 1993</t>
  </si>
  <si>
    <t>Panjabi-23: Although not continuous coverage there are CBC circles throughout most of its range, so should be sufficient coverage.</t>
  </si>
  <si>
    <t>Marbled Murrelet</t>
  </si>
  <si>
    <t>Brachyramphus marmoratus</t>
  </si>
  <si>
    <t>COSEWIC 2012</t>
  </si>
  <si>
    <t>differs from sum reported by COSEWIC since used Bertram mature adult estimate for BC rather than all birds; US estimates appear to already be breeding adults so used as is</t>
  </si>
  <si>
    <t>PIFSC-20</t>
  </si>
  <si>
    <t>Shaw-23: https://www.scmbc.org/news/2020/10/19/redwood-forest-impacts-of-the-czu-lightning-fire-complex-climate-change-hits-home-with-catastrophic-results supports retaining the score of PT-c = 5.  Easton 2020: BC declines just less than -3% per yr revisiting Bertram et al. 2015 with declines ~-1.6%. CBC has poor coverage in non-breeding range and habitat, so didn't use.</t>
  </si>
  <si>
    <t>Kittlitz's Murrelet</t>
  </si>
  <si>
    <t>Brachyramphus brevirostris</t>
  </si>
  <si>
    <t>my calculation for N. America based on estimate that Alaska has 70% of the global pop (Canada appears insignificant in distribution map).   Adult estimate assumes 2/3 of total pop. are adults.</t>
  </si>
  <si>
    <t>Hunter; PIFSC-CVS 2022</t>
  </si>
  <si>
    <t>USFWS 2007</t>
  </si>
  <si>
    <t>USFWS RefugeNet E-Bulletin, Feb 2007 states Alaska populations have declines by 80-90% in past 15 yrs</t>
  </si>
  <si>
    <t>Scripps's Murrelet</t>
  </si>
  <si>
    <t>Synthliboramphus scrippsi</t>
  </si>
  <si>
    <t>Formerly treated as conspecific with Synthliboramphus hypoleucus, which together were known as Xantus's Murrelet.</t>
  </si>
  <si>
    <t>1975-2003 survey-based</t>
  </si>
  <si>
    <t>Brad Andres 2015</t>
  </si>
  <si>
    <t>B. Andres 2015</t>
  </si>
  <si>
    <t>Guadalupe Murrelet</t>
  </si>
  <si>
    <t>Synthliboramphus hypoleucus</t>
  </si>
  <si>
    <t>Monotypic. Formerly considered conspecific with Synthliboramphus scrippsi, which together were known as Xantus's Murrelet.</t>
  </si>
  <si>
    <t>Depending on how breeding range is mapped, BD could be 4 or 5; left at 5 for now.  Needs further review.</t>
  </si>
  <si>
    <t>Guadalaupe has much more limited non-breeding range than Scripp's according to Ebird.</t>
  </si>
  <si>
    <t>Craveri's Murrelet</t>
  </si>
  <si>
    <t>Synthliboramphus craveri</t>
  </si>
  <si>
    <t>Ancient Murrelet</t>
  </si>
  <si>
    <t>Synthliboramphus antiquus</t>
  </si>
  <si>
    <t>BNA Gaston &amp; Shoji 2010</t>
  </si>
  <si>
    <t>natureserve map is much more restricted than BirdLife, with BirdLife map extending considerably farther off shore</t>
  </si>
  <si>
    <t>Easton 2020: CBC coverage of non-breeding range is poor, especially at core range, so didn't use. Haida Gwaii in BC has half global population of this. While some colonies have started increasing due to predator control, others have not, so score should be 3.  Rodway &amp; Lemon 2011 found increases on Ramsay and George Islands and a stable population on Rankine I. in BC from 1984-85 to 2008-10.  Gaston and Descamps 2011 found a decrease of ~75% from 1990-2010 on E. Limestone Island, BC.</t>
  </si>
  <si>
    <t>Cassin's Auklet</t>
  </si>
  <si>
    <t>Ptychoramphus aleuticus</t>
  </si>
  <si>
    <t>BNA Ainley et al. 2011</t>
  </si>
  <si>
    <t>Panjabi 2017</t>
  </si>
  <si>
    <t>Ranges from Baja California (Mexico) up the Pacific coast of the U.S.A. and Canada, through Alaska to the Aleutian Islands (U.S.A.) (BirdLife 2017)</t>
  </si>
  <si>
    <t>Easton-20; PIFSC-CVS 2022</t>
  </si>
  <si>
    <t>Easton-20: island predators, commercial fishing, vulnerability to oil spills, climate change influences on forage fish</t>
  </si>
  <si>
    <t>Easton-20: island predators, commercial fishing, vulnerability to oil spills, climate change influences on forage fish plus our researchers' recent work on vulnerability to plastics particularly in winter.</t>
  </si>
  <si>
    <t>COSEWIC 2014a</t>
  </si>
  <si>
    <t>COSEWIC 2014a: Canada: 40% decline in burrow numbers at Triangle Island from 1989 to 2009 could be used to extrapolate to other colonies within the California Current System, which represents about 75% of the Canadian population; Canada has 75-80% of the global population.  A population decline of about 30% could be inferred over the last three generations, assuming that the remainder of the Canadian population has been stable. These assumptions are, however, untested.  US: Oregon breeding population estimates fell from 220 birds at 3 sites (with probable nesting at an additional 5 sites) in 1979 to 70 birds in 1988 and 20 birds at a single site in 2008 (Naughton et al. 2007; Kocourek et al. 2009). However, the latest survey used methods known to underestimate burrow-nesting birds (Kocourek et al. 2009). At Castle Rock in northern California, numbers dropped from 5638 to 86 birds between 1989 and 2007 (Carter et al. 1992; Cunha 2010).  The best trend data are from the Farallon Islands in California, where numbers of nesting birds have declined by more than 85% since 1971 (Lee et al. 2007). The rate of decline was estimated at about 2.4% per year since 1991 (Warzybok and Bradley 2011).</t>
  </si>
  <si>
    <t>Parakeet Auklet</t>
  </si>
  <si>
    <t>Aethia psittacula</t>
  </si>
  <si>
    <t>BNA Jones et al. 2001</t>
  </si>
  <si>
    <t>Global estimate assumes 2/3 of total U.S. pop. are adults and adds 300,000-400,000 breeding pairs for Asia</t>
  </si>
  <si>
    <t>Temperate Northern Pacific</t>
  </si>
  <si>
    <t>Least Auklet</t>
  </si>
  <si>
    <t>Aethia pusilla</t>
  </si>
  <si>
    <t>BNA Bond et al. 2013</t>
  </si>
  <si>
    <t>non-breeding range roughly split 50-50 between old world and new world in BirdLife map</t>
  </si>
  <si>
    <t>Whiskered Auklet</t>
  </si>
  <si>
    <t>Aethia pygmaea</t>
  </si>
  <si>
    <t>Crested Auklet</t>
  </si>
  <si>
    <t>Aethia cristatella</t>
  </si>
  <si>
    <t>Rhinoceros Auklet</t>
  </si>
  <si>
    <t>Cerorhinca monocerata</t>
  </si>
  <si>
    <t>BNA Gaston &amp; Dechesne 1996</t>
  </si>
  <si>
    <t>BirdLife breeding range is more nuanced; Natureserve range includes large unoccupied stretches of coastline</t>
  </si>
  <si>
    <t>% range in W Hem is a guesstimate</t>
  </si>
  <si>
    <t>Panjabi-23: many winter along continental shelf, beyond CBC coverage, so maintain 3 for uncertainty.  Easton 2020: Winter distribution poorly described. CBC inadequate (although more coverage than other alcids). BC has 50% global distribution. Score of 3 since trends poorly described. Considered increasing in some regions, declining in others. BC seabird colony counts (1984-2017) -0.2%.  Shaw 2020: Rodway &amp; Lemon 2011 in BC found increases from 1984-2011 on Triangle Island, Haida Gwaii, the northern mainland coast of BC, SGaang Gwaay, and Lucy Island (the latter increase insignificant), versus a decrease on Pine Island.  Dragoo et al. 2019 shows 4.1% annual increase at St. Lazaria I., AK.</t>
  </si>
  <si>
    <t>Atlantic Puffin</t>
  </si>
  <si>
    <t>Fratercula arctica</t>
  </si>
  <si>
    <t>calculation based on Europe's  9,550,000-11,600,000 adults estimated as at least 90% of global population</t>
  </si>
  <si>
    <t>BNA Lowther et al. 2002</t>
  </si>
  <si>
    <t>Horned Puffin</t>
  </si>
  <si>
    <t>Fratercula corniculata</t>
  </si>
  <si>
    <t>BirdLife and natureserve estimates seem to be based on different polygons; went with BirdLife</t>
  </si>
  <si>
    <t>Natureserve data for W. Hemisphere supports score of 1, regardless of additional potential range in Old World</t>
  </si>
  <si>
    <t>Sabine's Gull</t>
  </si>
  <si>
    <t>Xema sabini</t>
  </si>
  <si>
    <t>Laridae</t>
  </si>
  <si>
    <t>missing data for ssp. palaeartica &amp; ssp. tschuktschorum.  2001 expert opinion for ssp. sabini, best guess for ssp. woznesenksii.  325,000-700,000 total individuals or 216,667-466,667 adults (WPE5).  Adult estimate assumes 2/3 of total pop. are adults.</t>
  </si>
  <si>
    <t>&gt;340,000</t>
  </si>
  <si>
    <t>major discrepancy between BirdLife and NS range.  NS includes northern coast of Canada and Alaska whereas BirdLife doesn't.  Canada and alaska range seems justified given abundance of jun-jul Ebird records in this area.  However, NS range area not currently available, needs to be calculated.</t>
  </si>
  <si>
    <t>range maps vary widely between natureserve, BirdLife and avibirds.com</t>
  </si>
  <si>
    <t>why are TN elevated, compared with, say, Black-legged Kittiwake? (KVR)</t>
  </si>
  <si>
    <t>Bonaparte's Gull</t>
  </si>
  <si>
    <t>Chroicocephalus philadelphia</t>
  </si>
  <si>
    <t>Black-headed Gull</t>
  </si>
  <si>
    <t>Chroicocephalus ridibundus</t>
  </si>
  <si>
    <t>1990-2000 expert opinion for Europe, Mediterranean, W. Africa, Black Sea, 1987-1991 expert opinion for W/SW Asia &amp; NE Africa.  1987-1991 best guess for S. Asia, 2001 best guess for E/SE Asia, 2001-2011 expert opinion for NE N. America.  4,845,440-8,850,440 total individuals or 3,230,293-5,900,293 adults (WPE5).  Adult estimate assumes 2/3 of total pop. are adults.</t>
  </si>
  <si>
    <t>extrapolation to Old World based on BirdLife map</t>
  </si>
  <si>
    <t>Little Gull</t>
  </si>
  <si>
    <t>Hydrocoloeus minutus</t>
  </si>
  <si>
    <t>1990-2000 expert opinion for Central &amp; E. Europe/SW Europe &amp; W. Mediterranean, 1996 best guess for W. Asia/E. Mediterranean, Black Sea, &amp; Caspian, 2001-2011 expert opinion for North America.  97,150-274,300 total individuals or 64,767-182,867 adults (WPE5).  Adult estimate assumes 2/3 of total pop. are adults.</t>
  </si>
  <si>
    <t>BirdLife 2022</t>
  </si>
  <si>
    <t>CWS review team 2018</t>
  </si>
  <si>
    <t>no data</t>
  </si>
  <si>
    <t>Ross's Gull</t>
  </si>
  <si>
    <t>Rhodostethia rosea</t>
  </si>
  <si>
    <t>best guess (WPE5).  Adult estimate assumes 2/3 of total pop. are adults.</t>
  </si>
  <si>
    <t>went with smaller BirdLife estimate as global range map (from BirdLife) includes large areas of icefields/glaciers in Greenland that make up the majority of the range, and these areas probably do not support birds??  BirdLife estimate does not seems to reflect their map, however.</t>
  </si>
  <si>
    <t>ocular estimate of non-breeding range; appears roughly the size of continental U.S.  (~9M sq km)</t>
  </si>
  <si>
    <t>Laughing Gull</t>
  </si>
  <si>
    <t>Leucophaeus atricilla</t>
  </si>
  <si>
    <t>Franklin's Gull</t>
  </si>
  <si>
    <t>Leucophaeus pipixcan</t>
  </si>
  <si>
    <t>Heermann's Gull</t>
  </si>
  <si>
    <t>Larus heermanni</t>
  </si>
  <si>
    <t>needs expert opinion by Enriqueta Velarde (MX-NSAC)</t>
  </si>
  <si>
    <t>Short-billed Gull</t>
  </si>
  <si>
    <t>Larus brachyrhynchus</t>
  </si>
  <si>
    <t>Formerly considered conspecific with Larus canus.</t>
  </si>
  <si>
    <t>Shaw-22: Old World split doesn't affect US-Ca pop size</t>
  </si>
  <si>
    <t>BirdLife 2021; Shaw-22</t>
  </si>
  <si>
    <t>Shaw-22: BirdLIfe has not split Larus canus, so I used the N. American portion of BirdLife's L. canus polygons</t>
  </si>
  <si>
    <t>Ring-billed Gull</t>
  </si>
  <si>
    <t>Larus delawarensis</t>
  </si>
  <si>
    <t>Western Gull</t>
  </si>
  <si>
    <t>Larus occidentalis</t>
  </si>
  <si>
    <t>Yellow-footed Gull</t>
  </si>
  <si>
    <t>Larus livens</t>
  </si>
  <si>
    <t>California Gull</t>
  </si>
  <si>
    <t>Larus californicus</t>
  </si>
  <si>
    <t>Herring Gull</t>
  </si>
  <si>
    <t>Larus argentatus</t>
  </si>
  <si>
    <t>BNA2017, eBird7017(UsCa,WHem), PIF(Glob)</t>
  </si>
  <si>
    <t>BNA Nisbet et al. 2017</t>
  </si>
  <si>
    <t>Iceland Gull</t>
  </si>
  <si>
    <t>Larus glaucoides</t>
  </si>
  <si>
    <t>2006-2011, expert opinion for ssp. thayeri, 1990-2000 expert opinion for ssp. glaucoides, 2001-2011 expert opinion for ssp. kumlieni (WPE5).  Adult estimate assumes 2/3 of total pop. are adults.</t>
  </si>
  <si>
    <t>BirdLife 2019</t>
  </si>
  <si>
    <t>Lesser Black-backed Gull</t>
  </si>
  <si>
    <t>Larus fuscus</t>
  </si>
  <si>
    <t>missing data for ssp. barabensis.  best guess for ssp. heuglini, 2005 expert opinion for ssp. fuscus, 1990-2000 expert opinion for ssp. graellsi &amp; ssp. intermedius.  Adult estimate assumes 2/3 of total pop. are adults.</t>
  </si>
  <si>
    <t>Clearly documented increases on Atlantic Coast during winter</t>
  </si>
  <si>
    <t>Slaty-backed Gull</t>
  </si>
  <si>
    <t>Larus schistisagus</t>
  </si>
  <si>
    <t>BirdLife indicates yr-round population around Seward Peninsula.  Extrpolaiton to old world based on BirdLife map</t>
  </si>
  <si>
    <t>Glaucous-winged Gull</t>
  </si>
  <si>
    <t>Larus glaucescens</t>
  </si>
  <si>
    <t>PIFcalc19-eBird7017(UsCa,WHem,Glob)</t>
  </si>
  <si>
    <t>no range map in BirdLife page.  HBW used to estimate relative % in E vs. W hemisphere</t>
  </si>
  <si>
    <t>Glaucous Gull</t>
  </si>
  <si>
    <t>Larus hyperboreus</t>
  </si>
  <si>
    <t>missing data for ssp. pallidissimus.  2000 expert opinion for ssp. hyperboreus, 1990-2000 best guess for ssp. leuceretes, 2000-2005 expert opinion for ssp. barrovianus.  404,000-1,529,000 total individuals or 269,333-1,019,333 adults (WPE5).  Assumed estimates represent adults.</t>
  </si>
  <si>
    <t>&gt;970,000</t>
  </si>
  <si>
    <t>BNA Weiser &amp; Gilchrist 2012</t>
  </si>
  <si>
    <t>Great Black-backed Gull</t>
  </si>
  <si>
    <t>Larus marinus</t>
  </si>
  <si>
    <t>PIFcalc19-bbs0615(BBS), eBird7017(WHem), PIF(Glob)</t>
  </si>
  <si>
    <t>Brown Noddy</t>
  </si>
  <si>
    <t>Anous stolidus</t>
  </si>
  <si>
    <t>BNA Chardine &amp; Morris 1996</t>
  </si>
  <si>
    <t>missing data for ssp. galapagensis.  2001 best guess for ssp. stolidus &amp; ssp. plumbeigularis, 2001-2008 best guess for ssp. pileatus, 2005 for ssp. ridgwayi.  1,175,100-2,075,250 total individuals or 783,400-1,383,500 (WPE5).  Adult estimate assumes 2/3 of total pop. are adults.</t>
  </si>
  <si>
    <t>extent of occurance, as listed on http://www.avibirds.com/html/Brown_Noddy.html, citing BirdLife.  Range area listed on BirdLife page in Nov. 2015 is 26,800 km2, which presumably represents land area of breeding islands only</t>
  </si>
  <si>
    <t>Pantropical</t>
  </si>
  <si>
    <t>Islands:  Oceanic</t>
  </si>
  <si>
    <t>Black Noddy</t>
  </si>
  <si>
    <t>Anous minutus</t>
  </si>
  <si>
    <t>BNA Gauger 1999</t>
  </si>
  <si>
    <t>worldwide distribution in tropical and subtropical seas, with colonies widespread in the western and central Pacific Ocean and more scattered across the Caribbean, central Atlantic and in the northeast Indian Ocean (BirdLife 2017).</t>
  </si>
  <si>
    <t>BirdLife 2017; Panjabi-17</t>
  </si>
  <si>
    <t>Sooty Tern</t>
  </si>
  <si>
    <t>Onychoprion fuscatus</t>
  </si>
  <si>
    <t>BNA Schreiber et al. 2002</t>
  </si>
  <si>
    <t>estimate assumes 2/3 of total pop. are adults.</t>
  </si>
  <si>
    <t>breeds on tropical islands and ranges through most of the tropical oceans (BirdLife 2017).</t>
  </si>
  <si>
    <t>Bridled Tern</t>
  </si>
  <si>
    <t>Onychoprion anaethetus</t>
  </si>
  <si>
    <t>missing data for ssp. rogersi &amp; ssp. novaehollandiae.  2001 best guess for ssp. melanopteris, 2000-2010 expert opinion for ssp. antarctica, 2005 best guess for ssp. fuligula, 1994-2011 best guess for ssp. anaethetus, 2005 for ssp. nelsoni.  882,670-2,092,800 total individuals or 588,447-1,395,200 adults (WPE5).  Adult estimate assumes 2/3 of total pop. are adults.</t>
  </si>
  <si>
    <t>&gt;700,000</t>
  </si>
  <si>
    <t>A bird of the tropical oceans. It breeds off the Pacific and Atlantic coast of Central America including the Caribbean, off small areas of western Africa, around Arab (BirdLife 2017) ia and eastern Africa down to South Africa, off the coast of India, and in much of south-east Asia and Australasia excluding southern Australia and New Zealand (BirdLife 2017).</t>
  </si>
  <si>
    <t>past declines, has disappeared from some islands (CH); unknown (MX-NSAC)</t>
  </si>
  <si>
    <t>Aleutian Tern</t>
  </si>
  <si>
    <t>Onychoprion aleuticus</t>
  </si>
  <si>
    <t>2005.  17,000-20,000 total individuals or 11,333-13,333 adults (WPE5).  Adult estimate assumes 2/3 of total pop. are adults.</t>
  </si>
  <si>
    <t>Natureserve 3.0 with adjustment by PIFSC-16</t>
  </si>
  <si>
    <t>extrapolated to include populations breeding along coast of eastern Russia around Kamchatka peninsula and Sakhalin Island</t>
  </si>
  <si>
    <t>Panjabi</t>
  </si>
  <si>
    <t>wintering area in SW Pacific around Indo-china, but not fully known; score of 3 reflects uncertainty</t>
  </si>
  <si>
    <t>Rat issues and disturbance due to people on ATVs has decimated some colonies; could possibly be 4 (Waterbird working group 2017).  Concern in AK due to declining colony counts and loss of colonies (Brad Andres)</t>
  </si>
  <si>
    <t>winters around Phillipines, could be bycatch issues; unsure</t>
  </si>
  <si>
    <t>BBS9321-JS</t>
  </si>
  <si>
    <t>Eastern Indo-Pacific</t>
  </si>
  <si>
    <t>Least Tern</t>
  </si>
  <si>
    <t>Sternula antillarum</t>
  </si>
  <si>
    <t>concentrated off coast of south america in winter where they are harvested for food, sold in markets like some shorebirds and roseate terns</t>
  </si>
  <si>
    <t>Gull-billed Tern</t>
  </si>
  <si>
    <t>Gelochelidon nilotica</t>
  </si>
  <si>
    <t>WPE5, HBW (taxonomic reference)</t>
  </si>
  <si>
    <t>missing data for ssp. affinis and groenvoldi/vanrossemi population in coastal Ecuador/Peru.  2001, expert opinion for W. Europe/W. Africa ssp. nilotica, 2000-2007 for ssp. aranea, 1990-2000, expert opinion for Black Sea/E. Mediterreanean/E. Africa ssp. nilotica, 1987-1991, best guess for W/Central/SW Asia ssp. nilotica and E/SE Asia addenda, 2011 best guess for ssp. groenvoldi, 2006-2007 for ssp. vanrossemi.  Adult estimate assumes 2/3 of total pop. are adults.</t>
  </si>
  <si>
    <t>&gt;190,000</t>
  </si>
  <si>
    <t>BNA Molina et al. 2014</t>
  </si>
  <si>
    <t>Panjabi-23: BBS would yield a score of 3 for US (long-term gain of 47%, 3 gen loss of 41%, neither statistically significant), but only covers a portion of the N. American range, likely not the largest pops, and does not sample coastal habitat very well.  CBC7019 (-1.167 long term annual trend, where 90% CI doesn't overlap 0) indicates a decline, however CBC only covers the relatively sparse winter population in the US, not most of the birds that head further south.  So expert opinion superior than either dataset.  Shaw 2020: Mexican and Central American expert scores averaged to 3.</t>
  </si>
  <si>
    <t>Caspian Tern</t>
  </si>
  <si>
    <t>Hydroprogne caspia</t>
  </si>
  <si>
    <t>Black Tern</t>
  </si>
  <si>
    <t>Chlidonias niger</t>
  </si>
  <si>
    <t>Tropical Eastern Pacific</t>
  </si>
  <si>
    <t>Roseate Tern</t>
  </si>
  <si>
    <t>Sterna dougallii</t>
  </si>
  <si>
    <t>BNA Nisbet et al. 2014</t>
  </si>
  <si>
    <t>202,352-216,380 total individuals or 134,901-144,253 adults (WPE5).  Adult estimate assumes 2/3 of total pop. are adults.</t>
  </si>
  <si>
    <t>caribbean pops more stable, but northern pops declining</t>
  </si>
  <si>
    <t>Common Tern</t>
  </si>
  <si>
    <t>Sterna hirundo</t>
  </si>
  <si>
    <t>gulf and atlantic populations are more highly threatened (Waterbird working group 2017)</t>
  </si>
  <si>
    <t>Arctic Tern</t>
  </si>
  <si>
    <t>Sterna paradisaea</t>
  </si>
  <si>
    <t>BNA Hatch 2002</t>
  </si>
  <si>
    <t>BNA Hatch 2002, eBird7017(UsCa,WHem), PIF(Glob)</t>
  </si>
  <si>
    <t>Shaw 2020: extrapolated from the BNA world estimate of 3,000,000 using the proportion in US/Canada estimated from the other sources listed</t>
  </si>
  <si>
    <t>uses wide variety of habitats, but climate change related threats exist (Waterbird working group 2017).  Rosenberg 2020: witnessed local people in Nome, AK going out and collecting eggs from the tern colonies and also trying to kill adults.</t>
  </si>
  <si>
    <t>Southern Ocean</t>
  </si>
  <si>
    <t>Forster's Tern</t>
  </si>
  <si>
    <t>Sterna forsteri</t>
  </si>
  <si>
    <t>PIFcalc19-bbs0615(BBS), eBird7017(WHem,Glob)</t>
  </si>
  <si>
    <t>Royal Tern</t>
  </si>
  <si>
    <t>Thalasseus maximus</t>
  </si>
  <si>
    <t>PIFcalc19-eBird7017(UsCa,WHem,Glob); BirdLife 2021; Shaw-22</t>
  </si>
  <si>
    <t>Shaw-22: took pop estimate extrapolated from PIFcalc19 using  eBrd17(UsCa,WHem,Glob) and multiplied it by the % of the BirdLife range shapefile for T. maximus s.l. (West African Crested Tern not yet split off by BirdLife) that falls within the Western Hemisphere</t>
  </si>
  <si>
    <t>Shaw-22: Old World split doesn't affect US-Ca pop estimate</t>
  </si>
  <si>
    <t>Shaw-22: BirdLife had not split off West African Crested Tern, so I manually removed it from their shapefile for Thalasseus maximus s.l.</t>
  </si>
  <si>
    <t>threats not as high as for beach-nesting species (Waterbird working group 2017)</t>
  </si>
  <si>
    <t>Shaw-23: eBird S&amp;T recent trends negative for most large populations, vs. small populations a mixed bag.  CBC shows significant LT increase.  CH: terns that are restricted to protected islands are doing better than terns and skimmers that nest more widespread (i.e. on beaches); disturbance from humans/predation.</t>
  </si>
  <si>
    <t>Sandwich Tern</t>
  </si>
  <si>
    <t>Thalasseus sandvicensis</t>
  </si>
  <si>
    <t>BNA2016, eBird7017(UsCa,WHem,Glob)</t>
  </si>
  <si>
    <t>BNA Shealer et al. 2016</t>
  </si>
  <si>
    <t>Hunter, Andres 2017</t>
  </si>
  <si>
    <t>CBC shows sharp increase in US with 1.376% annual trend, but not used since doesn't cover species' full breeding range.  Belize also increasing (PIF CAW 2015).  Mexican SE Caribbean Lowlands PT-r = 3 (Mexican Regional Assessment 2005).  BNA (2016) documents stability to increases for most populations, with range expansion up into mid-Atlantic coast.  Terns that are restricted to protected islands are doing better than terns and skimmers that nest more widespread (i.e. on beaches); disturbance from humans/predation (CH)</t>
  </si>
  <si>
    <t>Elegant Tern</t>
  </si>
  <si>
    <t>Thalasseus elegans</t>
  </si>
  <si>
    <t>2003-2005.  Adult estimate assumes 2/3 of total pop. are adults.</t>
  </si>
  <si>
    <t>Black Skimmer</t>
  </si>
  <si>
    <t>Rynchops niger</t>
  </si>
  <si>
    <t>BNA1994, eBird7017(UsCa,WHem)</t>
  </si>
  <si>
    <t>BNA Gochfeld &amp; Burger 1994</t>
  </si>
  <si>
    <t>Shaw 2020: 3 is most common score, followed by 2, in Mexico and C. America, but Mexican scores are stale, and US has good portion of population and Waterbird Working Group probably considered tropical pops for score of 5, so went with BBS.  Waterbird Working Group 2017: local info (e.g. Texas) supports possible decline.</t>
  </si>
  <si>
    <t>Sunbittern</t>
  </si>
  <si>
    <t>Eurypyga helias</t>
  </si>
  <si>
    <t>Eurypygiformes</t>
  </si>
  <si>
    <t>Eurypygidae</t>
  </si>
  <si>
    <t>White-tailed Tropicbird</t>
  </si>
  <si>
    <t>Phaethon lepturus</t>
  </si>
  <si>
    <t>Phaethontiformes</t>
  </si>
  <si>
    <t>Phaethontidae</t>
  </si>
  <si>
    <t>BNA, Lee &amp; Walsh-McGee 1998</t>
  </si>
  <si>
    <t>&lt;200,000 pairs</t>
  </si>
  <si>
    <t>&lt;400,000</t>
  </si>
  <si>
    <t>Red-billed Tropicbird</t>
  </si>
  <si>
    <t>Phaethon aethereus</t>
  </si>
  <si>
    <t>Breeding colonies are widely isolated. BirdLife range presumably represents area of islands and immediate waters, where most birds are found during breeding.</t>
  </si>
  <si>
    <t>C. Hunter 2017</t>
  </si>
  <si>
    <t>impacted by fisheries; entanglement in fishing nets; bycatch</t>
  </si>
  <si>
    <t>Red-tailed Tropicbird</t>
  </si>
  <si>
    <t>Phaethon rubricauda</t>
  </si>
  <si>
    <t>BNA Schreiber and Schreiber 2009</t>
  </si>
  <si>
    <t>30-40,000 pairs</t>
  </si>
  <si>
    <t>Red-throated Loon</t>
  </si>
  <si>
    <t>Gavia stellata</t>
  </si>
  <si>
    <t>Gaviiformes</t>
  </si>
  <si>
    <t>Gaviidae</t>
  </si>
  <si>
    <t>on atlantic coast, common in bycatch</t>
  </si>
  <si>
    <t>Arctic Loon</t>
  </si>
  <si>
    <t>Gavia arctica</t>
  </si>
  <si>
    <t>ssp. suschkini missing data. 1990-2000 expert opinion for ssp. arctica, 1987-1991 best guess for ssp. viridigularis.  275,000 - 1,500,000 total individuals or 11,333-17,333 adults (WPE5). Adult estimate assumes 2/3 of total pop. are adults.</t>
  </si>
  <si>
    <t>&gt;590,000</t>
  </si>
  <si>
    <t>winters in coastal europe, Black and Caspian Seas, also West Pacific from Kanchatka to Taiwan, according to BirdLife</t>
  </si>
  <si>
    <t>Black-footed Albatross</t>
  </si>
  <si>
    <t>Phoebastria nigripes</t>
  </si>
  <si>
    <t>Procellariiformes</t>
  </si>
  <si>
    <t>Diomedeidae</t>
  </si>
  <si>
    <t>2006-2007 survey-based</t>
  </si>
  <si>
    <t>BirdLife lists range as 29 km2.  Also states: Phoebastria nigripes breeds on the Northwestern Hawaiian Islands (USA), the US Minor Outlying Islands and three outlying islands of Japan, colonies having been lost from other Pacific islands (Whittow 1993, Cousins 1998). In total there are estimated to be 64,500 pairs breeding each year (Flint 2007, Naughton et al. 2007) in at least 14 locations. The largest populations are c.24,000 and 21,000 pairs on Midway Atoll and Laysan Island respectively, which together account for 73% of the global population (Flint 2007, Naughton et al. 2007).</t>
  </si>
  <si>
    <t>TN is not correct; should be 4?</t>
  </si>
  <si>
    <t>As modified by PIF criteria</t>
  </si>
  <si>
    <t>Short-tailed Albatross</t>
  </si>
  <si>
    <t>Phoebastria albatrus</t>
  </si>
  <si>
    <t>BirdLife lists range of 9 km2, also states: Phoebastria albatrus breeds on Torishima (Japan), and Minami-kojima (Senkaku Islands), that are claimed jointly by Japan and China. Historically there are believed to have been at least nine colonies south of Japan and in the East China Sea (Piatt et al. 2006). Its marine range covers most of the northern Pacific Ocean, but it occurs in highest densities in areas of upwelling along shelf waters of the Pacific Rim, particularly along the coasts of Japan, eastern Russia, the Aleutians and Alaska (Piatt et al. 2006, Suryan et al. 2007). During breeding (December - May) it is found in highest densities around Japan. Satellite tracking has indicated that during the post-breeding period, females spend more time offshore of Japan and Russia, while males and juveniles spend greater time around the Aleutian Islands, Bering Sea and off the coast of North America (Suryan et al. 2007). Juveniles have been shown to travel twice the distances per day and spend more time within continental shelf habitat than adult birds (Suryan et al. 2008).</t>
  </si>
  <si>
    <t>Panjabi-23: unknown trend, given rarity in North American waters (breeds near Japan).</t>
  </si>
  <si>
    <t>Wilson's Storm-Petrel</t>
  </si>
  <si>
    <t>Oceanites oceanicus</t>
  </si>
  <si>
    <t>Oceanitidae</t>
  </si>
  <si>
    <t>BirdLife lists 28,500 km2 as breeding range, but presumably only includes nesting sites and immediate waters?</t>
  </si>
  <si>
    <t>Why are TNs generally lower for petrels than for shearwaters?</t>
  </si>
  <si>
    <t>White-faced Storm-Petrel</t>
  </si>
  <si>
    <t>Pelagodroma marina</t>
  </si>
  <si>
    <t>This species breeds on remote islands in the south Atlantic, such as Tristan da Cunha (St Helena to U.K.) and also on the coast Australia and New Zealand. There are north Atlantic colonies on the Cape Verde Islands, Canary Islands, Spain and Savage Islands, Portugal. (BirdLife 2017)</t>
  </si>
  <si>
    <t>Outside the breeding season birds from the Atlantic have been seen off the east coast of North America and South America, and off the western coast of Central Africa. Breeds from Australia and New Zealand range as far as the northern Indian Ocean and the north-west coast of South America (BirdLife 2017).</t>
  </si>
  <si>
    <t>In general this species is highly sensitive to human disturbance and locally subject to exploitation by fishermen. It is also affected by predators such as mice (Mus musculus), rats (Rattus spp.), cats (Felis catus), owls, Wekas (Gallirallus australis), skuas (Catharacta), large gulls (Larus spp.), snakes and land crabs (Ocypoda). Burrows are sometimes trampled by man or livestock in parts of Australia. In the Chatham Islands, c.200,000 birds were found dead in 1970, their legs tangled up in filaments of the larval trematode Distomum filiferum which was presumably picked up during foraging (Carboneras et al. 2016). Other threats include: habitat degradation and problems caused by rabbits, disturbance from other birds, attraction to light at night (Madroño et al. 2004).</t>
  </si>
  <si>
    <t>BirdLife 2017</t>
  </si>
  <si>
    <t>The population is suspected to be in decline owing to predation by invasive species and unsustainable levels of exploitation. In Europe the population size is estimated to be decreasing by less than 25% in 46.2 years (three generations), owing to predation by invasive species and unsustainable levels of exploitation (BirdLife 2015).</t>
  </si>
  <si>
    <t>Fork-tailed Storm-Petrel</t>
  </si>
  <si>
    <t>Hydrobates furcatus</t>
  </si>
  <si>
    <t>Hydrobatidae</t>
  </si>
  <si>
    <t>Formerly placed in the genus Oceanodroma.</t>
  </si>
  <si>
    <t>This species is found throughout the North Pacific, with sites ranging from the Californian coast (USA) in the east, the Alaskan coast in the north and the Kuril Islands (Russia) in the west.  BirdLife range seems to reflect only breeding islands and surrounding waters.</t>
  </si>
  <si>
    <t>What is increasing trend based on -- still correct? (KVR)</t>
  </si>
  <si>
    <t>Leach's Storm-Petrel</t>
  </si>
  <si>
    <t>Hydrobates leucorhous</t>
  </si>
  <si>
    <t>Breeding colonies are confined to the northern hemisphere, from the South Kuril Islands (Japan) round to Baja California (Mexico) including the Aleutian Islands, Alaska (USA) and Canada in the Pacific, and in the north-east North America,Iceland, northern United Kingdom and Norway in the Atlantic.  bird life range area seems to reflect only breeding islands and immediate waters.</t>
  </si>
  <si>
    <t>Townsend's Storm-Petrel</t>
  </si>
  <si>
    <t>Hydrobates socorroensis</t>
  </si>
  <si>
    <t>Formerly placed in the genus Oceanodroma and considered conspecific with Hydrobates leucorhoa and H. cheimomnestes.</t>
  </si>
  <si>
    <t>Howell et al. 2009</t>
  </si>
  <si>
    <t>The population on Islote Negro has been estimated at 4000 birds and on Islote Afuera at 3000 birds (Crossin 1974, Ainley 1983).  Howell et al. 2009. Occurrence and identification of the Leach’s Storm-Petrel complex. N. American Birds. Vol. 63 num. 4</t>
  </si>
  <si>
    <t>AOU Checklist 57th Suppl.</t>
  </si>
  <si>
    <t>breeds on islets off the south end of Guadalupe Island (mainly Islote Afuera and Islote Negro) and perhaps also locally on the main island, but most storm-petrels there (including the now-extinct Guadalupe StormPetrel, O. macrodactyla) have been eliminated by feral cats (Ainley 1980, Ainley 1983, Crossin 1974, Jehl and Everett 1985)</t>
  </si>
  <si>
    <t>Non-breeding scores are guestimates based on Latitudinal distribution.  The known at-sea range lies in the eastern Pacific between 35° N and 10° N (Crossin 1974), but seasonal movements are not well known (Howell et al. 2009)</t>
  </si>
  <si>
    <t>Mexican Regional Assessment 2005</t>
  </si>
  <si>
    <t>used score for NWAB breeding region</t>
  </si>
  <si>
    <t>unknown; need more input from experts</t>
  </si>
  <si>
    <t>Ainley's Storm-Petrel</t>
  </si>
  <si>
    <t>Hydrobates cheimomnestes</t>
  </si>
  <si>
    <t>Formerly placed in the genus Oceanodroma and considered conspecific with Hydrobates leucorhoa and H. socorroensis.</t>
  </si>
  <si>
    <t>The breeding population of Ainley’s Storm-Petrel may not be in excess of a few thousands birds. (Howell et al. 2009. Occurrence and identification of the Leach’s Storm-Petrel complex. N. American Birds. Vol. 63 num. 4)</t>
  </si>
  <si>
    <t>breeds on three islets (Islote Negro, Islote Afuera, and Gargoyle Rock) off the southern end of Guadalupe Island, Mexico (Ainley 1980, 1983, Crossin 1974, Jehl and Everett 1985)</t>
  </si>
  <si>
    <t>Non-breeding scores are guestimates based on Latitudinal distribution.  After breeding, Ainley’s Storm-Petrels appear to withdraw southward, based on limited specimen data. An adult female in worn plumage (SDNHM #29925) collected 360 kilometers southwest of Guadalupe Island on 21 May, and a juvenile in fresh plumage (SDNHM #29924) collected 550 kilometers west of Clarión Island, Mexico on 24 May (at about 18° S), both suggest a southward postbreeding dispersal, as does an adult in wing molt (with p4 shed) collected on 11 June at 4° S, 93° W (CAS #484), a location about 400 kilometers southwest of the Galápagos Islands. A specimen completing wing molt (with p9-p10 growing) on 9 October (CAS #471), taken about 500 kilometers southsoutheast of Mexico’s Revillagigedo Islands, may have been a northbound migrant.</t>
  </si>
  <si>
    <t>Ashy Storm-Petrel</t>
  </si>
  <si>
    <t>Hydrobates homochroa</t>
  </si>
  <si>
    <t>Formerly placed in the genus Oceanodroma. Monotypic.</t>
  </si>
  <si>
    <t>need more information from seabird experts (MX-NSAC)</t>
  </si>
  <si>
    <t>Band-rumped Storm-Petrel</t>
  </si>
  <si>
    <t>Hydrobates castro</t>
  </si>
  <si>
    <t>BirdLife 2015; BirdLife 2022; Shaw-22</t>
  </si>
  <si>
    <t>Shaw-22: BirdLife has published an account for the split-off Cape Verde Storm-petrel, but has not yet updated the Band-rumped Storm-Petrel account (still matches estimate accessed in 2015) accordingly, so subtracted midpoint of Cape Verde Storm-Petrel pop range (15,500-67,500) from pre-split Band-rumped Storm-Petrel estimate (150,000)</t>
  </si>
  <si>
    <t>Shaw-22: have not calculated breeding area after Cape Verde Storm-Petrel was split off since wouldn't change the score</t>
  </si>
  <si>
    <t>Shaw-22: have not calculated non-breeding area after Cape Verde Storm-Petrel was split off since wouldn't change the score</t>
  </si>
  <si>
    <t>Wedge-rumped Storm-Petrel</t>
  </si>
  <si>
    <t>Hydrobates tethys</t>
  </si>
  <si>
    <t>It breeds on the Galapagos Islands, Ecuador, and on Pescadores and San Gallan Islands, Peru. BirdLife range area is non-breeding range</t>
  </si>
  <si>
    <t>Black Storm-Petrel</t>
  </si>
  <si>
    <t>Hydrobates melania</t>
  </si>
  <si>
    <t>This species breeds on islands off the coast of southern Calfornia (USA), the Baja Peninsula and the Gulf of California (Mexico). BirdLife range area is non-breeding range</t>
  </si>
  <si>
    <t>Least Storm-Petrel</t>
  </si>
  <si>
    <t>Hydrobates microsoma</t>
  </si>
  <si>
    <t>hundreds of thousands, possibly millions</t>
  </si>
  <si>
    <t>now split from ainley's and townsends, but range map not yet updated in BirdLife (Panjabi 2017)</t>
  </si>
  <si>
    <t>Northern Fulmar</t>
  </si>
  <si>
    <t>Fulmarus glacialis</t>
  </si>
  <si>
    <t>Procellariidae</t>
  </si>
  <si>
    <t>10-12 million individuals, but mentioned the same variation in estimates as BirdLife did: del Hoyo et al. (1992) - 8-32 million individuals, Brooke (2004) - 21 million individuals, BirdLife (2012) - 15-50 million individuals. BirdLife now says 15-30 million adults, so if we use 2/3 rule, that would be 22.5-45 million individuals.  Adult estimate assumes 2/3 of total pop. are adults.</t>
  </si>
  <si>
    <t>BNA Mallory et al. 2012</t>
  </si>
  <si>
    <t>Panjabi-23: BotW states "Population at colonies in North America estimated at 1.5 - 2 million individuals, about 80% in Alaska, 20% in Canadian Arctic, and &lt;0.01% in British Columbia, Newfoundland, and Labrador (Appendix 1)", and suggests stable or increasing populations worldwide, including in North America (although some of this increase is likely pre-1970).  Shaw-23: given large %pop in Alaska, score of 3 is supported by Dragoo et al. 2019 finding no statewide trend from 2009-2018.</t>
  </si>
  <si>
    <t>Trindade Petrel</t>
  </si>
  <si>
    <t>Pterodroma arminjoniana</t>
  </si>
  <si>
    <t>Birdlife 2017</t>
  </si>
  <si>
    <t>ranges offshore of SE USA during non-breeding; Luigi et al. (2008) have revised the previous population estimate of 15,000 individuals globally (Brooke 2004) to just 1,130 breeding pairs.</t>
  </si>
  <si>
    <t>breeds on Trindade Islands off the coast of Espírito Santo, Brazil.</t>
  </si>
  <si>
    <t>No major threats, but susceptible to stochastic events and human disturbance.  Introduced cats and pigs may have formerly restricted the breeding population on Trindade to inaccessible cliff sites and islets (see item 'Ecology' above) (Williams 1984, F. P. da Fonseca Neto in litt. 2000), and it is also a surface nesting species, so low altitude populations might have been eliminated by feral pigs, cats and humans from the 1700s onwards, except those in small islets surrounding the main island. Hundreds of goats (~500) and/or fire have largely removed forested habitats on the island (Murphy 1936, Olson 1981, F. P. da Fonseca Neto in litt. 2000), but the effect on breeding sites is undetermined. All feral mammals now eradicated, but house mouse Mus musculus abundant. The Brazilian Navy is possibly interested in building a small airbase on the island, which could pose threats in its construction and operation (F. P. da Fonseca Neto in litt. 2000). Experimental wind turbines and a tower for wind measurements have already been built on the island, with plans to build further wind turbines in the near future. The Martin Vaz Islands have never been inhabited and are unlikely to harbour introduced mammals (Williams 1984). The only disturbance to these populations has been the former use of the islands for occasional target practice by the navy (Williams 1984). In Round Island share breeding grounds with P. neglecta and P. heraldica, with hybridization occurring (Brown et al. 2010, 2011), which could lead to blurring of specific identity. </t>
  </si>
  <si>
    <t>non-breeding threats unknown</t>
  </si>
  <si>
    <t>unknown trend</t>
  </si>
  <si>
    <t>Murphy's Petrel</t>
  </si>
  <si>
    <t>Pterodroma ultima</t>
  </si>
  <si>
    <t>In the Pitcairns, an estimated 2,500 (± 500) bred on Henderson, 12,500 (± 2,500) on Oeno, and 250,000 (± 29,000) on Ducie (Brooke 1995).  Smaller numbers elsewhere.</t>
  </si>
  <si>
    <t>breeds in the Pitcairn Islands (to UK), the Tuamotu Archipelago, the Austral Islands (Garnett 1984) and the Gambier Islands (French Polynesia) (Thibault and Bretagnolle 1999),  Easter Island and Salas y Gomez, Chile (Flores et al. 2014) and perhaps in the Cook Islands and the Juan Fernandez Islands (Flood et al 2016). </t>
  </si>
  <si>
    <t>Pacific rat Rattus exulans is present on some islands, and causes low breeding success ( less than 5%; Brooke 1995, 2010) on Henderson in particular. The Henderson population could be sustained through immigration from other colonies but there is no evidence that this occurs (Brooke 2010). The species is potentially threatened by climate change because it has a geographically bounded distribution: it is restricted to an island or islands with a maximum altitude of 33 m (BirdLife International unpublished data).</t>
  </si>
  <si>
    <t>There are no data, however the species is presumably declining slowly due to predation of eggs and young by rats.  Although rats have been eradicated at the largest breeding population, the population continues to slowly decline within its moderately small range.</t>
  </si>
  <si>
    <t>Mottled Petrel</t>
  </si>
  <si>
    <t>Pterodroma inexpectata</t>
  </si>
  <si>
    <t>There are c.10,000+ pairs on each of Big South Cape and Main Islands (Heather and Robertson 1997), and the Codfish population was estimated at 300,000-400,000 pairs in 1996 (Taylor 2000).</t>
  </si>
  <si>
    <t>terodroma inexpectata is endemic to New Zealand. It breeds on islands off Fiordland, the Solander Islands, Foveaux Strait islands, islands around Stewart Island (including Titi islands, Codfish, Big South Cape Islands, and islets in Port Pegasus) and the Snares Islands (Marchant and Higgins 1990, Heather and Robertson 1997).</t>
  </si>
  <si>
    <t>Weka Gallirallus australis have been introduced to several colonies, and have caused significant losses on Codfish Island (Taylor 2000). Black rat Rattus rattus is present on Big South Cape Island, and may have a severe impact on breeding success. Some populations are on islands that are regularly harvested for Sooty Shearwater Puffinus griseus chicks, and the impact of trampling of burrows and incidental take is not known (Heather and Robertson 1997, Taylor 2000).</t>
  </si>
  <si>
    <t>There are no data, the species is thought to be declining due to the depredations of introduced predators on the breeding grounds.</t>
  </si>
  <si>
    <t>Bermuda Petrel</t>
  </si>
  <si>
    <t>Pterodroma cahow</t>
  </si>
  <si>
    <t>heavily managed, but still vulnerable to extinction (Waterbird working group 2017)</t>
  </si>
  <si>
    <t>Relatively stable today, but historical declines under PIF rules</t>
  </si>
  <si>
    <t>Black-capped Petrel</t>
  </si>
  <si>
    <t>Pterodroma hasitata</t>
  </si>
  <si>
    <t>Wheeler et al. 2021</t>
  </si>
  <si>
    <t>PIFSC-22: The previous estimate of 5000 (BirdLife 2015) was apparently a misinterpretation of an estimate that actually represented all ages as only representing breeders.  BirdLife updated their estimate in 2018, adding explicit estimates for both breeders and all ages, so we have adopted the updated estimate of 1000-2000 breeders.  However, this estimate may be too low; surveys document birds nearby at sea on Dominica, Cuba or Guadeloupe, and radar tracks of objects coming and going from the right types of places/elevations, but field excursions have yet to provide further confirmation of breeding on these islands.</t>
  </si>
  <si>
    <t>BirdLife range (7,420,000 sq km) seems too large, even for non-breeding.  Natureserve range is isolated point locations for breeding sites.  Non-breeding range is more restricted than Natureserve.</t>
  </si>
  <si>
    <t>Juan Fernandez Petrel</t>
  </si>
  <si>
    <t>Pterodroma externa</t>
  </si>
  <si>
    <t>Hunter-Rosenberg 2003; NatureServe</t>
  </si>
  <si>
    <t>Panjabi 2008</t>
  </si>
  <si>
    <t>BirdLife cites "could be declining, although there is no firm evidence of this" PT=4 indicates possible decline</t>
  </si>
  <si>
    <t>Hawaiian Petrel</t>
  </si>
  <si>
    <t>Pterodroma sandwichensis</t>
  </si>
  <si>
    <t>6000-11000 mature individuals</t>
  </si>
  <si>
    <t> known from five locations in the main Hawaiian islands, and the future of at least two are in jeopardy (Mauna Loa and West Maui). </t>
  </si>
  <si>
    <t>Historically the species suffered declines through harvesting by early Polynesians and during the period of Hawaiian settlement beginning c.1,800 years ago (Carlile et al. 2003). The species may already have been restricted to its current breeding range when Europeans arrived (Carlile et al. 2003). Nesting habitat has since been lost to the pressures of modern urbanisation and degraded by feral goats and pigs and weeds. Nest burrows are trampled by feral goats, mouflon sheep and potentially chital Axis deer (spp.) (H. T. Harvey and Associates 2015, Mitchell et al. 2005). The most serious current threat is predation by introduced vertebrates including Indian mongoose Herpestes javanicus, feral cats, Barn Owls Tyto alba, rats, dogs, and pigs; presently not established on the islands of Kauai and Lanai, mongoose present an ongoing major threat to nestling and adult birds at breeding colonies on the other islands. Feral cat and rat depredation, where unmanaged on other islands, continues to limit recovery capacity. Adults and nestlings are very susceptible to predation, as nests are on the ground, and they are naïve to predators. On L?na’i, habitat degradation caused by the invasive tree, strawberry guava Psidium cattleianum, is considered to be the biggest threat to the long term survival of the colony (J. Penniman in litt. 2007).</t>
  </si>
  <si>
    <t>Each autumn during the fledging season, some of the fledgling birds become grounded as a result of light attraction and disorientation. Sometimes birds collide with sources of light and mortality sometimes occurs from collisions with fences and powerlines mostly on Kauai and Maui (Cooper and Day 1998, Simons and Hodges 1998, Simons 1985). Once on the ground, fledglings are unable to fly and are killed by cars, cats and dogs, die from environmental exposure or injuries, or are recovered by the public (H. T. Harvey and Associates 2015). Wind energy development has been occurring in Hawaii since 2005 and has caused some mortality of P. sandwichensis. The species may be adversely affected by declines in the populations of large predatory fish that drive prey species to the surface (J. Penniman in litt. 2007). In addition, a significantly lower percentage of birds come ashore to nest during El Niño years (c.40% compared to c.65% normally) (C.N. Hodges per Carlile et al. 2003), suggesting that the species is sensitive to such disturbances in environmental conditions (Carlile et al. 2003).</t>
  </si>
  <si>
    <t>Pterodroma sandwichensis is suspected to have declined severely for the past few centuries owing primarily to predation by introduced species at nesting colonies and urbanization (D. Ainley 2007); as well as collisions with utility structures and power lines. However, the decline is believed to have slowed and there is some indication that the population may be stable or increasing in response to management actions (D. Ainley 2007). Despite overall trends and, as evidenced by characteristics of the decline seen at the Makamakaole colony in the foothills of the West Maui Mountains, the rate of subpopulation decline probably varies considerably and is difficult to quantify. On Kaua’i the population has declined significantly in the last twenty years (Raine et al. in prep.). </t>
  </si>
  <si>
    <t>Fea's Petrel</t>
  </si>
  <si>
    <t>Pterodroma feae</t>
  </si>
  <si>
    <t>Also known as Cape Verde Petrel.</t>
  </si>
  <si>
    <t>IUCN, BirdLife 2015</t>
  </si>
  <si>
    <t>Pterodroma feae breeds on four islands of Cape Verde: Fogo (50 pairs estimated; T. Militão et al. 2016; Militão et al. submitted), Santo Antão (minimum 200 pairs; Ratcliffe et al. 2000), São Nicolau (c.30 pairs; Ratcliffe et al. 2000) and Santiago (50 pairs estimated, J. González-Solís in litt.). An estimated 500-1,000 pairs breed in Cape Verde (Hazevoet 1995; Ratcliffe et al. 2000), although the population is likely to exceed this estimate (Ratcliffe et al. 2000).</t>
  </si>
  <si>
    <t>&gt;1500</t>
  </si>
  <si>
    <t>BirdLife-17; panjabi-2017</t>
  </si>
  <si>
    <t>BirdLife-17; Panjabi-17</t>
  </si>
  <si>
    <t>Cook's Petrel</t>
  </si>
  <si>
    <t>Pterodroma cookii</t>
  </si>
  <si>
    <t>terodroma cookii is endemic to New Zealand, where it breeds on Little Barrier, Great Barrier and Codfish Islands.</t>
  </si>
  <si>
    <t>On Little Barrier, introduced cats were a major predator of chicks and adults. Although cats were eradicated, the number of petrel burrows with chicks declined from 32% when both cats and Pacific rats were present to just 9% following cat eradication because the population of Rattus exulans (also a predator of petrel chicks) increased dramatically (Heather and Robertson 1997, G. A. Taylor in litt. 1999, Taylor 2000, Rayner et al 2007). On Great Barrier, the population is severely threatened by cats, black rat R. rattus and Pacific rat R. exulans. On Codfish, the population declined owing to severe predation by the introduced Weka Gallirallus australis (Marchant and Higgins 1990). </t>
  </si>
  <si>
    <t>threats during non-breeding unknown, presumed moderate</t>
  </si>
  <si>
    <t>The population has suffered rapid declines owing to the effects of introduced predators; however, thanks to conservation action and invasive species eradications it is now estimated to be increasing.</t>
  </si>
  <si>
    <t>Pacific Ocean</t>
  </si>
  <si>
    <t>Tahiti Petrel</t>
  </si>
  <si>
    <t>Pseudobulweria rostrata</t>
  </si>
  <si>
    <t>Formerly included in the genus Pterodroma.</t>
  </si>
  <si>
    <t>Breeds in the Marquesas, Society  and Gambier Islands, French Polynesia, Fiji, American Samoa and New Caledonia. It used to breed in Vanuatu and may breed on Rarotonga, Cook Islands, as well as on other islands. (BirdLife 2017)</t>
  </si>
  <si>
    <t>thought to be declining</t>
  </si>
  <si>
    <t>Bulwer's Petrel</t>
  </si>
  <si>
    <t>Bulweria bulwerii</t>
  </si>
  <si>
    <t>Assumed that count represents breeding adults</t>
  </si>
  <si>
    <t>Parkinson's Petrel</t>
  </si>
  <si>
    <t>Procellaria parkinsoni</t>
  </si>
  <si>
    <t>Procellaria parkinsoni breeds on Great and Little Barrier Islands, New Zealand, where the populations number c.1,300 pairs (E. A. Bell et al. 2009) and 100 pairs respectively, equating to a total population of c.5,000 individuals (Taylor 2000)</t>
  </si>
  <si>
    <t>threats scores of 4 added to reflect threats for invasive species, longline fisheries (BirdLife 2015)</t>
  </si>
  <si>
    <t>Panjabi; BirdLife</t>
  </si>
  <si>
    <t>Stable or possibly increasing today, but large historical declines and extirpations; has not recolonized former range</t>
  </si>
  <si>
    <t>Cory's Shearwater</t>
  </si>
  <si>
    <t>Calonectris diomedea</t>
  </si>
  <si>
    <t>This species breeds on the Azores and Madeira islands (&gt;85% of the global population, plus a few pairs on the Berlengas Islands off the Portuguese mainland), Portugal, and on the Canary Islands, Spain (c. 15% of the global population; Granadeiro et al. 2006, Derhé 2012). The vast majority of the population spends the non-breeding season in the Atlantic.</t>
  </si>
  <si>
    <t>winters across N and S Atlantic, and SW Indian Ocean</t>
  </si>
  <si>
    <t>Lots of shifting conditions in food sources and temperatures the last few years, and this would be consistent with Great Shearwater (C. Hunter)</t>
  </si>
  <si>
    <t>Wedge-tailed Shearwater</t>
  </si>
  <si>
    <t>Ardenna pacifica</t>
  </si>
  <si>
    <t>The Wedge-tailed Shearwater ranges across from throughout the tropical Pacific and Indian Ocean roughly between latitudes 35°N and 35°S, breeding on a large number of oceanic islands and on the east and west coasts of Australia (del Hoyo et al. 1992). BirdLife range (115,000,000 km2) reflects non-breeding range.</t>
  </si>
  <si>
    <t>Buller's Shearwater</t>
  </si>
  <si>
    <t>Ardenna bulleri</t>
  </si>
  <si>
    <t>Puffinus bulleri breeds only at the Poor Knights Islands, New Zealand. The species is restricted to two main islands, Aorangi and Tawhiti Rahi, and five other islets and stacks (Marchant and Higgins 1990). In the 1980s, one pair was found breeding on the Simmonds Islands, in the far north of New Zealand (Taylor 2000). </t>
  </si>
  <si>
    <t>Galapagos Shearwater</t>
  </si>
  <si>
    <t>Puffinus subalaris</t>
  </si>
  <si>
    <t>PIF CAW 2016; BirdLife</t>
  </si>
  <si>
    <t>regular, no reproductiva (CAW);</t>
  </si>
  <si>
    <t>Manx Shearwater</t>
  </si>
  <si>
    <t>Puffinus puffinus</t>
  </si>
  <si>
    <t>estimate extrapolated from Europe being &gt;95% of breeding range</t>
  </si>
  <si>
    <t>BirdLife 2019: The Manx Shearwater breeds in the north Atlantic, with major colonies on the Atlantic coasts of the United Kingdom and Ireland. Colonies are also present on Iceland, islets off Massachusetts (USA) [Ed. Note: 1 nest documented in 1973] and Newfoundland (Canada), as well as on the Azores, Portugal and the Canary Islands,Spain.  BirdLife estimate (53,100,000 km2) likely represents total distribution, incl. non-breeding range</t>
  </si>
  <si>
    <t>Why are TN lower for Manx type shearwaters?  Lots of shifting conditions in food sources and temperatures the last few years, and this would be consistent with Great Shearwater (C. Hunter)</t>
  </si>
  <si>
    <t>PIFSC-19</t>
  </si>
  <si>
    <t>Less than 20 pair breed in Newfoundland (CWS reviewers 2018), down from 200 pairs in early 1980's (Storey &amp; Lien 1985), the only breeding colony in Canada (CWS Reviewers 2018)</t>
  </si>
  <si>
    <t>Townsend's Shearwater</t>
  </si>
  <si>
    <t>Puffinus auricularis</t>
  </si>
  <si>
    <t>2008 survey-based.   46,400 total (Spear et al. 1995) based on at-sea surveys, which BirdLife says are generally unreliable, and BirdLife says that even Martinez Gomez et al 2004's terrestrial estimate of 1100 adults is too high, so go with BirdLife.  Adult estimate assumes 2/3 of total pop. are adults.</t>
  </si>
  <si>
    <t>only nests on isla Socorro in the Revillagigedos</t>
  </si>
  <si>
    <t>populations have been extirpated from some islands, recently rediscovered on isla soccorro (MX-NSAC)</t>
  </si>
  <si>
    <t>Black-vented Shearwater</t>
  </si>
  <si>
    <t>Puffinus opisthomelas</t>
  </si>
  <si>
    <t>Natureserve range includes breeding islands and surrounding waters. BirdLife range (2,170,000 ) includes non-breeding areas and is too large, larger than both BNA and Natureserve non-breeding range estimates. Most observations are within 25 km of shore (BNA Keitt et al.)</t>
  </si>
  <si>
    <t>Why are TN lower for Manx type shearwaters?</t>
  </si>
  <si>
    <t>Audubon's Shearwater</t>
  </si>
  <si>
    <t>Puffinus lherminieri</t>
  </si>
  <si>
    <t>range includes a lot of ocean area</t>
  </si>
  <si>
    <t>used NatureServe instead of BirdLife because it seems inappropriate that BirdLife extended beyond continental shelf, and NS conducted review of pelagics in recent years</t>
  </si>
  <si>
    <t>Jabiru</t>
  </si>
  <si>
    <t>Jabiru mycteria</t>
  </si>
  <si>
    <t>Ciconiiformes</t>
  </si>
  <si>
    <t>Ciconiidae</t>
  </si>
  <si>
    <t>unknown?</t>
  </si>
  <si>
    <t>Wood Stork</t>
  </si>
  <si>
    <t>Mycteria americana</t>
  </si>
  <si>
    <t>2005-2011 best guess for S. America, 2005 best guess for Mexico, Caribbean, Central America, 2001-2006, census-based for SE USA.  Adult estimate assumes 2/3 of total pop. are adults.</t>
  </si>
  <si>
    <t>BNA Coulter et al. 1999</t>
  </si>
  <si>
    <t>According to eBird S&amp;T, US has 17% of the breeding pop, vs. Mexico + C. America just 6%, so BBS has sufficient coverage to adopt, although it contradicts the Waterbird Working Group that assigned a 3 in 2017.  Wood Stork has been detected on 174 BBS routes so BBS seems to capture it in spite of its swampy habitat.</t>
  </si>
  <si>
    <t>Magnificent Frigatebird</t>
  </si>
  <si>
    <t>Fregata magnificens</t>
  </si>
  <si>
    <t>Suliformes</t>
  </si>
  <si>
    <t>Fregatidae</t>
  </si>
  <si>
    <t>BNA Diamond &amp; Schreiber 2002; PIF CAW 2016</t>
  </si>
  <si>
    <t>World population estimated estimated at 59,000-71,000 breeding pairs, great majority of which are in E. Pacific and Baja California (43,000-58,000).</t>
  </si>
  <si>
    <t>extrapolated to include population breeding off cape verde in Africa.  Natureserve's North America estimate is larger than BirdLife's global estimate (191,000 sq km)</t>
  </si>
  <si>
    <t>stable (MX-NSAC)</t>
  </si>
  <si>
    <t>Great Frigatebird</t>
  </si>
  <si>
    <t>Fregata minor</t>
  </si>
  <si>
    <t>Probably fewer than 500,000 individuals worldwide; total breeding pairs 54,000 to 68,000</t>
  </si>
  <si>
    <t>Major breeding populations of the Greater Frigatebird are found in tropical waters of the Pacific and Indian Ocean, as well as one population in the South Atlantic (Trinidade and Martim Vaz, Brazil).  BirdLife global estimate (24,800 sq km) appears to reflect area of breeding islands only.  10% of range in North America is a very rough and conservative estimate, could be more like 5%  (Panjabi).</t>
  </si>
  <si>
    <t>Masked Booby</t>
  </si>
  <si>
    <t>Sula dactylatra</t>
  </si>
  <si>
    <t>Sulidae</t>
  </si>
  <si>
    <t>This species ranges widely in tropical waters, being found in every ocean on or off nearly every coast except the eastern Atlantic, northern Indian Ocean and the central-eastern Pacific (BirdLife 2017).</t>
  </si>
  <si>
    <t>impacted by fisheries; entanglement in fishing nets (Waterbird working group 2017)</t>
  </si>
  <si>
    <t>unknown; need more information from experts (MX-NSAC)</t>
  </si>
  <si>
    <t>Great Cormorant</t>
  </si>
  <si>
    <t>Phalacrocorax carbo</t>
  </si>
  <si>
    <t>Phalacrocoracidae</t>
  </si>
  <si>
    <t>2001-2011 expert opinion for ssp. carbo in N. America, best guess for ssp. sinensis in S/E/SE Asia and ssp. steadi, 2004-2011 best guess for ssp. carboides, 1990-2000 expert opinion for ssp. carbo in NW Europe and ssp. sinensis in N/Central Europe and Black Sea &amp; Mediterranean, 1987-1991 expert opinion for ssp. sinensis in W/SW Asia, 2001 expert opinion for ssp. lucidus in Central/E. Africa, 2001 best guess in Coastal W. Africa, 2005 expert opinion for ssp. lucidus in Coastal S. Africa.  1,366,900-2,062,500 total individuals or 911,267-1,375,000 adults (WPE5).  Adult estimate assumes 2/3 of total pop. are adults.</t>
  </si>
  <si>
    <t>Double-crested Cormorant</t>
  </si>
  <si>
    <t>Nannopterum auritum</t>
  </si>
  <si>
    <t>Formerly placed in the genus Phalacrocorax.</t>
  </si>
  <si>
    <t>Neotropic Cormorant</t>
  </si>
  <si>
    <t>Nannopterum brasilianum</t>
  </si>
  <si>
    <t>Panjabi:  500,000 - 5 million breeding adults seems low for this species.</t>
  </si>
  <si>
    <t>similar to double-crested; expanding inland and north (Waterbird working group 2017)</t>
  </si>
  <si>
    <t>American White Pelican</t>
  </si>
  <si>
    <t>Pelecanus erythrorhynchos</t>
  </si>
  <si>
    <t>Pelecaniformes</t>
  </si>
  <si>
    <t>Pelecanidae</t>
  </si>
  <si>
    <t>makes more extensive use of reservoirs than previously; depredation order could arise due to conflicts with fisherman</t>
  </si>
  <si>
    <t>Brown Pelican</t>
  </si>
  <si>
    <t>Pelecanus occidentalis</t>
  </si>
  <si>
    <t>BNA Shields 2014</t>
  </si>
  <si>
    <t>Pinnated Bittern</t>
  </si>
  <si>
    <t>Botaurus pinnatus</t>
  </si>
  <si>
    <t>Ardeidae</t>
  </si>
  <si>
    <t>American Bittern</t>
  </si>
  <si>
    <t>Botaurus lentiginosus</t>
  </si>
  <si>
    <t>Least Bittern</t>
  </si>
  <si>
    <t>Ixobrychus exilis</t>
  </si>
  <si>
    <t>Rufescent Tiger-Heron</t>
  </si>
  <si>
    <t>Tigrisoma lineatum</t>
  </si>
  <si>
    <t>Fasciated Tiger-Heron</t>
  </si>
  <si>
    <t>Tigrisoma fasciatum</t>
  </si>
  <si>
    <t>BirdLife estimates &lt;10,000 individuals, or PS=5; BirdLife assumed 2/3 of individual estimate are breeding adults.</t>
  </si>
  <si>
    <t>afectado por contaminación, por ejemplo metales pesados; plantas hidroeléctricas</t>
  </si>
  <si>
    <t>ha aumentado debido al cultivo de trucha en Costa Rica</t>
  </si>
  <si>
    <t>Bare-throated Tiger-Heron</t>
  </si>
  <si>
    <t>Tigrisoma mexicanum</t>
  </si>
  <si>
    <t>Great Blue Heron</t>
  </si>
  <si>
    <t>Ardea herodias</t>
  </si>
  <si>
    <t>Cocoi Heron</t>
  </si>
  <si>
    <t>Ardea cocoi</t>
  </si>
  <si>
    <t>Great Egret</t>
  </si>
  <si>
    <t>Ardea alba</t>
  </si>
  <si>
    <t>Cattle Egret</t>
  </si>
  <si>
    <t>Bubulcus ibis</t>
  </si>
  <si>
    <t>Not recognized by del Hoyo et al. (1992) or Clements (2000) or Howard and Moore (2003), but included in treatments Peters (1979).</t>
  </si>
  <si>
    <t>have been declines, especially in TX, possibly due to less cattle on the landscape; large colonies have disappeared; Vermillion, William (2017): Low score probably due to perception of competitive advantage noted in LBHE cell above. Agree though, 2 or 3 seems okay. Agree with TB/TN=2 (Waterbird working group 2017)</t>
  </si>
  <si>
    <t>Green Heron</t>
  </si>
  <si>
    <t>Butorides virescens</t>
  </si>
  <si>
    <t>Striated Heron</t>
  </si>
  <si>
    <t>Butorides striata</t>
  </si>
  <si>
    <t>NatureServe 3.0; BirdLife 2021; Shaw-22</t>
  </si>
  <si>
    <t>Shaw-22: BirdLife lumps with Green Heron, so summed BirdLife's polygons for Old World + Pacific with NatureServe's polygons for New World</t>
  </si>
  <si>
    <t>Agami Heron</t>
  </si>
  <si>
    <t>Agamia agami</t>
  </si>
  <si>
    <t>Capped Heron</t>
  </si>
  <si>
    <t>Pilherodius pileatus</t>
  </si>
  <si>
    <t>Black-crowned Night-Heron</t>
  </si>
  <si>
    <t>Nycticorax nycticorax</t>
  </si>
  <si>
    <t>Yellow-crowned Night-Heron</t>
  </si>
  <si>
    <t>Nyctanassa violacea</t>
  </si>
  <si>
    <t>Boat-billed Heron</t>
  </si>
  <si>
    <t>Cochlearius cochlearius</t>
  </si>
  <si>
    <t>White Ibis</t>
  </si>
  <si>
    <t>Eudocimus albus</t>
  </si>
  <si>
    <t>Threskiornithidae</t>
  </si>
  <si>
    <t>Panjabi-23: The US has 82% of the breeding population according to ebird S&amp;T model so going with BBS.  Mexican and C. American PT-r's average 3 (Mexican Regional Assessment 2005; PIF CAW 2014).  Waterbird Working Group 2017: Species appears to be highly nomadic; Has declined steeply in extreme south FL (supported by BBS) and perhaps elsewhere in FL and South Atlantic Coastal Plain; but steeply increasing elsewhere.</t>
  </si>
  <si>
    <t>Swallow-tailed Kite</t>
  </si>
  <si>
    <t>Elanoides forficatus</t>
  </si>
  <si>
    <t>Accipitriformes</t>
  </si>
  <si>
    <t>Accipitridae</t>
  </si>
  <si>
    <t>PIFSC-18</t>
  </si>
  <si>
    <t>PIFSC-22: Global estimate extrapolated from 2016 US estimate (7500) using NatureServe 3.0 range proportion in U.S. (2.86%).  NatureServe map was used for extrapolation rather than eBird because austral migrant, migrating in Northern Hemisphere in Jan/Feb and July/August, potentially confounding the seasonal breeding values from eBird.  Would need to adjust methodology to use eBird for global extrapolation because N. American breeding timing differs from most other species and we don't know exact breeding timing for S. America populations.  The 2016 US estimate was extrapolated rather than the latest US estimate because the US population is increasing rapidly, whereas trends are unknown and unlikely so positive in the majority of the species’ range, so seems inappropriate to extrapolate population growth that is probably atypical.”</t>
  </si>
  <si>
    <t>PIFSC-22</t>
  </si>
  <si>
    <t>PIFSC-22: The previous US estimate of 7500, obtained from collaborative state-based surveys conducted in the southeast U.S. circa 2010, has been revised upward to reflect evidence suggesting subsequent population growth or that the previous estmate was overly conservative, or both.</t>
  </si>
  <si>
    <t>uses primary forest (MX-NSAC); threats to lowland forests is high in Central America; despite increases in US, divestiture of private forest lands in SE US threatens integrity of bottomland forests; Lower threats throughout range as whole than in U.S.; although U.S. hosts the largest population in NA.  are threats really severe across breeding range? Do we want to consider South America? (CB, KVR, WE, TW, DP);  Our score for this species is likely inappropriately biased by a US ("edge of range") perspective on what accounts for only a fraction of the breeding range of this species.  I feel comfortable with TB = 4 for US breeding STKI (fragmentation, habitat alteration favoring GHOW predation, threats to large intacts bottomland systems, etc) . . . but for rest of breeding range, I'm less sure.  Ranching, tropical lowland forest converstion and fragmentation, shooting and pesticides are all recently documented threats to STKI breeding and wintering in Brazil.  Its not clear if this is local phehomena tho on wintering range, or indicative of more widespread threats??  Dependent on super-emergent trees in bottomland hardwood forests; sale of large tracts of timberlands for residential development will increase fragmentation and GHOW predation (PIFSC)</t>
  </si>
  <si>
    <t>Lower threats throughout range as whole than in U.S.; uses primary forest</t>
  </si>
  <si>
    <t>Blancher-23:  1549% LT increase (P&lt;0.1) and 182% recent increase (P&lt;0.1) and even the lower credible intervals indicate quite large increases.  So even if the U.S. has just 46% of the N American pop'n (eMod21), the full N. American trend has to be above zero even if the Mexican and CA pops were to completely disappear, so PT=1.</t>
  </si>
  <si>
    <t>Crested Eagle</t>
  </si>
  <si>
    <t>Morphnus guianensis</t>
  </si>
  <si>
    <t>requires large tracts of primary forest; prey base (monkeys) declining throughout range</t>
  </si>
  <si>
    <t>requires intact lowland rain forest</t>
  </si>
  <si>
    <t>Harpy Eagle</t>
  </si>
  <si>
    <t>Harpia harpyja</t>
  </si>
  <si>
    <t>Golden Eagle</t>
  </si>
  <si>
    <t>Aquila chrysaetos</t>
  </si>
  <si>
    <t>Extrapolated USFWS estimate of 40,000 in US in 2014 for US/Canada estimate based on % of pop in each country in BBS-15 + NWT surveys.  Alternatively, 150,000 is BBS-15 estimate for US/Canada, extrapolated with eBird up to 300,000 globally (PIFSC-18).</t>
  </si>
  <si>
    <t>USFWS Eagle Rule Revision 2016</t>
  </si>
  <si>
    <t>CB-Shooting, poison bait, electrocution, cultural uses, (Glinski); threatened in central Mexico by capture (MX-NSAC).  susceptible to mortality at wind farms, but probably does not pose population level threats. (CB, KVR, WE, TW, DP)</t>
  </si>
  <si>
    <t>shooting, poisoning, especially in Mexico -- maybe even '4' (KR); CB-most breeding threats same</t>
  </si>
  <si>
    <t>Black Hawk-Eagle</t>
  </si>
  <si>
    <t>Spizaetus tyrannus</t>
  </si>
  <si>
    <t>requires primary forest</t>
  </si>
  <si>
    <t>Mississippi Kite</t>
  </si>
  <si>
    <t>Ictinia mississippiensis</t>
  </si>
  <si>
    <t>la población mundial pasa por Veracruz (330,000 individuos) (CAW);</t>
  </si>
  <si>
    <t>Added 25%; Difference in BD is likely a larger range in US than NS gives it, &gt; 1M km2</t>
  </si>
  <si>
    <t>Ken comment: Breeding range in the U.S. is shown as Year-Round resident range, but this error was caught before calculation of range size and thus doesn't affect the current NS-derived score (P. Blancher)</t>
  </si>
  <si>
    <t>DD= 'population demonstrably secure'  BNA supports that Western pops are easy TB 2 but eastern ones could qualify as TB 3. Removal and fragmentaion of hardwood forest represent major threat in east.  Western pops increasingly using urban/suburban areas.</t>
  </si>
  <si>
    <t>DD='no available information', may be concentration points.</t>
  </si>
  <si>
    <t>Plumbeous Kite</t>
  </si>
  <si>
    <t>Ictinia plumbea</t>
  </si>
  <si>
    <t>Anida en Sur América (CAW);</t>
  </si>
  <si>
    <t>requires humid forest; threats at leats moderate.</t>
  </si>
  <si>
    <t>uses wide range of habitats in winter</t>
  </si>
  <si>
    <t>Black-collared Hawk</t>
  </si>
  <si>
    <t>Busarellus nigricollis</t>
  </si>
  <si>
    <t>Extirpado en El Salvador (CAW); score change from 5 to 4 recommended by Central Americans in 2016</t>
  </si>
  <si>
    <t>specialized habitats (mangroves, palm forest)</t>
  </si>
  <si>
    <t>Crane Hawk</t>
  </si>
  <si>
    <t>Geranospiza caerulescens</t>
  </si>
  <si>
    <t>PIFTC-02.  PIF CAW 2016</t>
  </si>
  <si>
    <t>No es común en Belice. Especialista. (CAW)</t>
  </si>
  <si>
    <t>regional scores suggest at least moderate threats; tolerant of disturbance during breeding season (MX-NSAC).</t>
  </si>
  <si>
    <t>regional scores suggest at least moderate threats; tolerant of disturbance</t>
  </si>
  <si>
    <t>core regions in Mexico (SEPL and SECL) score PT=4; likely similar trend throughout C.A. due to widespread deforestation and alteration of wetlands</t>
  </si>
  <si>
    <t>Snail Kite</t>
  </si>
  <si>
    <t>Rostrhamus sociabilis</t>
  </si>
  <si>
    <t>Gomez-Panjabi, PIF CAW 2016-PS-g midpoint</t>
  </si>
  <si>
    <t>especie bastante local. Revisar por expertos de sur america. Es común en el pantanal. (CAW);</t>
  </si>
  <si>
    <t>Fletcher et al.  2016</t>
  </si>
  <si>
    <t>Lower threats throughout range as whole than in U.S.; highly specialized, but no perceived threats (MX-NSAC).</t>
  </si>
  <si>
    <t>Lower threats throughout range as whole than in U.S.; highly specialized, but no perceived threats</t>
  </si>
  <si>
    <t>reluctant to override consensus by regional experts, which scored this species as PT=2 in its core range in Mexico (SECL); also, anecdotal evidence suggest it has been expanding its range up the pacific coast (e.g. San Blas); reluctant to override consensus by regional experts, which scored this species as PT=2 in its core range in Mexico (SECL); also, anecdotal evidence suggest it has been expanding its range up the pacific coast (e.g. San Blas)</t>
  </si>
  <si>
    <t>Slender-billed Kite</t>
  </si>
  <si>
    <t>Helicolestes hamatus</t>
  </si>
  <si>
    <t>2 records in ebird in eastern panama</t>
  </si>
  <si>
    <t>unknown; not assigned at PIF-CAW 2014</t>
  </si>
  <si>
    <t>unknown; not assigned at PIF-CAW-2014</t>
  </si>
  <si>
    <t>Plumbeous Hawk</t>
  </si>
  <si>
    <t>Cryptoleucopteryx plumbea</t>
  </si>
  <si>
    <t>Common Black Hawk</t>
  </si>
  <si>
    <t>Buteogallus anthracinus</t>
  </si>
  <si>
    <t>BBS-15 estimated 1,000 in US/Canada, 18,000 globally extrapolated with eBird (PIFSC-18).</t>
  </si>
  <si>
    <t>&lt;2,000</t>
  </si>
  <si>
    <t>suggest &lt; 500; % Pop'n in US should be &lt; 1%; Tubac area had ~500 counted over several weeks during migration (Beardmore)</t>
  </si>
  <si>
    <t>regional scores suggest at least moderate threats; northern populations highly threatened by riparian loss (KR); CB-human disturbance, dewatering, clearing, grazing, highly vulnerable to human activities, highly specialized (BNA);Broader habitat use in MX.</t>
  </si>
  <si>
    <t>regional scores suggest at least moderate threats; no known or expected threats</t>
  </si>
  <si>
    <t>Savanna Hawk</t>
  </si>
  <si>
    <t>Buteogallus meridionalis</t>
  </si>
  <si>
    <t>utilice campos agricolas, especialmente arroz</t>
  </si>
  <si>
    <t>Great Black Hawk</t>
  </si>
  <si>
    <t>Buteogallus urubitinga</t>
  </si>
  <si>
    <t>score change from 4 to 3 recommended by Central Americans in 2016</t>
  </si>
  <si>
    <t>no known or expected threats</t>
  </si>
  <si>
    <t>regional experts in core range (SECL, SEPL, SEMH) score PT=4; situation likely similar across C.A.</t>
  </si>
  <si>
    <t>Solitary Eagle</t>
  </si>
  <si>
    <t>Buteogallus solitarius</t>
  </si>
  <si>
    <t>Rara y bastante local (CAW);</t>
  </si>
  <si>
    <t>CB-Mexicans should score; no breeding in US; specialized habitat (Pine-oak, cloud forest), requires extensive tracts; habitat loss (MX-NSAC).</t>
  </si>
  <si>
    <t>CB-Mexicans should score; specialized habitat (Pine-oak, cloud forest), requires extensive tracts; habitat loss</t>
  </si>
  <si>
    <t>Requires large tracts of undisturbed forest; widespread forest fragmentation has undoubtedly reduced this species' C.A. population significantly; keep at PT=5</t>
  </si>
  <si>
    <t>Barred Hawk</t>
  </si>
  <si>
    <t>Morphnarchus princeps</t>
  </si>
  <si>
    <t>rango alitudinal restringido; sensible a la fragmentación de bosque</t>
  </si>
  <si>
    <t>Roadside Hawk</t>
  </si>
  <si>
    <t>Rupornis magnirostris</t>
  </si>
  <si>
    <t>Formerly placed in the genus Buteo.</t>
  </si>
  <si>
    <t>Abundante (CAW); score change from 3 to 2 recommended by Central Americans in 2016</t>
  </si>
  <si>
    <t>TB/N=2 more consistent with other species in these categories, given need for scttered trees and solitude, if nothing else.</t>
  </si>
  <si>
    <t>trash bird in most of range (KR); CB-Mexicans should score; uses modified habitat, expected future conditions will benefit this species</t>
  </si>
  <si>
    <t>Harris's Hawk</t>
  </si>
  <si>
    <t>Parabuteo unicinctus</t>
  </si>
  <si>
    <t>sensitive, but not highly threatened in Sonoran scrub (KR); CB-mesquite control programs (esp. in TX), urban devel might be positive or negative, no studies done, might be ecological trap, oil and gas, human activity (BNA); often captured for falconry; habitat loss in U.S. (MX-NSAC).  CB-New elevated concern for capture for falconry in AZ</t>
  </si>
  <si>
    <t>CB-essentially resident; often captured for falconry; habitat loss in U.S.</t>
  </si>
  <si>
    <t>White-tailed Hawk</t>
  </si>
  <si>
    <t>Geranoaetus albicaudatus</t>
  </si>
  <si>
    <t>PIFTC-02.  PIF CAW 2016-PS-g midpoint</t>
  </si>
  <si>
    <t>Solo en áreas secas (CAW);</t>
  </si>
  <si>
    <t>coastal prairies higly threatened in northern part of range (KR).  DD='moderately vulnerable' but may use recently cleared areas in Mex and CA (lessening severity of threat potential).  Mostly no information throughout range, which also supports TB 3; in north, sensitive to overgrazing; (MX-NSAC).</t>
  </si>
  <si>
    <t>DD='moderately vulnerable' but makes use of formerly forested areas.  Threats mostly unknown supports TN 3; in north, sensitive to overgrazing;</t>
  </si>
  <si>
    <t>Broad-winged Hawk</t>
  </si>
  <si>
    <t>Buteo platypterus</t>
  </si>
  <si>
    <t>Poblaciones residentes en el caribe pero muy pequeñas (CAW)</t>
  </si>
  <si>
    <t>favors mature, unfragmented forest (KR).  DD='species relatively tolerant of human activities or land-use trends'.  However, deforestation and shooting are threats to West Indian populations.</t>
  </si>
  <si>
    <t>DD='threats potentially increasing if present trends conditions continue'.  BNA cites deforestation and unrestricted shooting as continuing threats on wintering range.  General lack of info.</t>
  </si>
  <si>
    <t>Short-tailed Hawk</t>
  </si>
  <si>
    <t>Buteo brachyurus</t>
  </si>
  <si>
    <t>score change from 3 to 2 recommended by Central Americans in 2016 over PIF estimate of 2000000</t>
  </si>
  <si>
    <t>Lower threats throughout range as whole than in U.S.; does not use heavily disturbed habitats (MX-NSAC).</t>
  </si>
  <si>
    <t>Lower threats throughout range as whole than in U.S.; does not use heavily disturbed habitats</t>
  </si>
  <si>
    <t>Forests:  Generalist</t>
  </si>
  <si>
    <t>Swainson's Hawk</t>
  </si>
  <si>
    <t>Buteo swainsoni</t>
  </si>
  <si>
    <t>Reduced by 30%; incorrectly includes too much range in nw Canada</t>
  </si>
  <si>
    <t>Pesticide threat less than a while ago, but still high in migration areas (ED); CB-50% of band recoveries from shooting in winter, pesticides (CAPIF)</t>
  </si>
  <si>
    <t>Zone-tailed Hawk</t>
  </si>
  <si>
    <t>Buteo albonotatus</t>
  </si>
  <si>
    <t>10% of eBird observations in US/Canada is higher than the real proportion, so can't use extrapolated global estimate of 65,000.  Can be misidentified as Turkey Vulture if mixed in Turkey Vulture flock, so may be slightly under estimated. (Beardmore 2018)</t>
  </si>
  <si>
    <t>&lt;6,200</t>
  </si>
  <si>
    <t>DD='moderately to highly vulnerable'  but it is mainly US info that drives this score.  CA info not available.  BNA supports that US riparian breeding habitat is degraded and suffering from water use and conversion indicating TB of 4.  TB 3 is supported b; uses primary habitats (MX-NSAC).</t>
  </si>
  <si>
    <t>DD='moderatley vulnerable'  Less tied to threatened riparian habitat in nonbreeding season.  Mexicans say 2; more widespread in winter.  Still primarily a forest bird and a raptor, so threats probably "moderate" year-round (KVR)</t>
  </si>
  <si>
    <t>Red-tailed Hawk</t>
  </si>
  <si>
    <t>Buteo jamaicensis</t>
  </si>
  <si>
    <t>PIFcalc19-bbs0615,eBird7017,ona0105</t>
  </si>
  <si>
    <t>score change recommended by CA assessment; Panjabi: 500,000 - 5 million breeding adults seems low for this species.</t>
  </si>
  <si>
    <t>stable, but breeding not enhanced by human disturbance (KR).  DD='future conditions are expected to be enhanced by human land use; suffers from human persecution (CB).</t>
  </si>
  <si>
    <t>DD='future conditions are expected to be enhanced by human land use</t>
  </si>
  <si>
    <t>Rough-legged Hawk</t>
  </si>
  <si>
    <t>Buteo lagopus</t>
  </si>
  <si>
    <t>stable, but breeding not enhanced by human disturbance (KR).</t>
  </si>
  <si>
    <t>Ferruginous Hawk</t>
  </si>
  <si>
    <t>Buteo regalis</t>
  </si>
  <si>
    <t>Borderline difference in ND with the RMBO value of 3 looking better to me. (seems like ND is clearly a 2, would have to be reduced by &gt;800,000 km2, or almost 1/3 of range, to meet criteria for BD=3 Panjabi 7/13/06)</t>
  </si>
  <si>
    <t>O.K. with ranching; not cultivation. CB-oil production, mining, conversion of habitat for ag and grazing, poisoning of small mammals, habitat reduced 50% in Cal. (BNA), in sage react neg. to fire and grazing (NPWRC); TN and TB should be same (GB).  now vulnerable to wind development on western Plains; but is it really severe across breeding range?? (CB, KVR, WE, TW, DP); Krueper, Dave: Some of the highest nesting densities were located in oil and gas facilities in Wyoming as per presentation at Missoula.   Camfield,Alaine [NCR]: Listed as threatened in Canada, suggest keeping at 4.  Main threats are fire suppression and loss of prey. TB score 4 in Canadian BCR strategies. PIFSC - Canada portion of range is very small overall.</t>
  </si>
  <si>
    <t>CB-shooting via band recoveries (BNA)</t>
  </si>
  <si>
    <t>Barn Owl</t>
  </si>
  <si>
    <t>Tyto alba</t>
  </si>
  <si>
    <t>Strigiformes</t>
  </si>
  <si>
    <t>Tytonidae</t>
  </si>
  <si>
    <t>PIFcalc19-rng,eBird7017,bbs0615</t>
  </si>
  <si>
    <t>score change from 3 to 2 recommended by Central Americans in 2016 over PIF estimate of 1800000</t>
  </si>
  <si>
    <t>Are road-kill deaths enough to cause "moderate" threats? (KVR)</t>
  </si>
  <si>
    <t>Are road-kill deaths enough to cause "moderate" threats? (KVR); suggest moderate threats (3) due to pesticides, collisions, distubance, habitat loss (Panjabi)</t>
  </si>
  <si>
    <t>Flammulated Owl</t>
  </si>
  <si>
    <t>Psiloscops flammeolus</t>
  </si>
  <si>
    <t>Strigidae</t>
  </si>
  <si>
    <t>Formerly placed in the genus Otus. Monotypic.</t>
  </si>
  <si>
    <t>WE-Could be close to a 3 based on ebird records.</t>
  </si>
  <si>
    <t>CB-highest fitness in old growth, low reprod pot, loss of nest trees, fuelwooding, absent in logged areas, pesticides (BNA), fire suppression, logging, disturbance, fragmentation (CODOW).</t>
  </si>
  <si>
    <t>CB-similar to TB</t>
  </si>
  <si>
    <t>Whiskered Screech-Owl</t>
  </si>
  <si>
    <t>Megascops trichopsis</t>
  </si>
  <si>
    <t>&lt;500</t>
  </si>
  <si>
    <t>guestimate based on eBird distribution; not very abundant anywhere in SE AZ (Beadmore)</t>
  </si>
  <si>
    <t>CB-pine/oak and riparian, grazing, 2nd home and urban, fire suppression, (TNC), recreation, logging (Glinski); expected to remain stable (MX-NSAC); global score should reflect regional experts' opinion.</t>
  </si>
  <si>
    <t>CB-similar to TB; expected to remain stable</t>
  </si>
  <si>
    <t>regional experts in core range in mexico score as PT=4</t>
  </si>
  <si>
    <t>Eastern Screech-Owl</t>
  </si>
  <si>
    <t>Megascops asio</t>
  </si>
  <si>
    <t>Wide variety of young woodland habitats..</t>
  </si>
  <si>
    <t>Balsas Screech-Owl</t>
  </si>
  <si>
    <t>Megascops seductus</t>
  </si>
  <si>
    <t>moderate habitat loss expected</t>
  </si>
  <si>
    <t>Middle American Screech-Owl</t>
  </si>
  <si>
    <t>Megascops guatemalae</t>
  </si>
  <si>
    <t>Formerly called Vermiculated Screech-Owl and also known as Guatemalan Screech-Owl. Previously considered conspecific with M. centralis and M. roraimae. The name Vermiculated Screech-Owl (M. vermiculatus) is sometimes used for populations in Costa Rica and</t>
  </si>
  <si>
    <t>PIF CAW 2016; BirdLife 2019; Bird Conservancy of the Rockies 2020</t>
  </si>
  <si>
    <t>Shaw 2020: Choco Screech-Owl (Megascops centralis) split off from M. guatemalae, so multiplied % of range (from BirdLife 2019 shapefile) by the rounded geometric midpoint of pop estimate range for PS-g = 4 previously assigned to M. guatemalae s.l.</t>
  </si>
  <si>
    <t>BirdLife 2019; eBird20;  Bird Conservancy of the Rockies 2020</t>
  </si>
  <si>
    <t>Shaw 2020: edited the BirdLife polygons for Megascops guatamalae s.l. to just the part of its range northwest of the Caribbean coast of western Panama , excluding southern Costa Rica (Puntarenas) and all of Panama except the NW quadrant based on eBird distribution maps; however unclear exactly where the species transition in Panama, so a rough estimate</t>
  </si>
  <si>
    <t>Choco Screech-Owl</t>
  </si>
  <si>
    <t>Megascops centralis</t>
  </si>
  <si>
    <t>Formerly considered conspecific with M. guatemalae.</t>
  </si>
  <si>
    <t>PIF CAW 2016; Bird Conservancy of the Rockies 2020</t>
  </si>
  <si>
    <t>Shaw 2020: Choco Screech-Owl (Megascops centralis) split off from M. guatemalae, so multiplied % of range by the rounded geometric midpoint of pop estimate range for PS-g = 4 previously assigned to M. guatemalae s.l.</t>
  </si>
  <si>
    <t>Shaw 2020: edited the BirdLife polygons for Megascops guatamalae s.l. to just the part of its range south and east of southern Costa Rica (Puntarenas), including all of Panama except the NW quadrant based on eBird distribution maps; however unclear exactly where the species transition in Panama, so a rough estimate</t>
  </si>
  <si>
    <t>Shaw 2020: used M. guatemalae s.l.'s regional score for Panama and Costa Rica</t>
  </si>
  <si>
    <t>Shaw 2020: used regional score for Panama assigned to M. guatemalae s.l. since Choco Screech Owl has more range in Panama than Costa Rica (which scored PT-r = 3)</t>
  </si>
  <si>
    <t>Crested Owl</t>
  </si>
  <si>
    <t>Lophostrix cristata</t>
  </si>
  <si>
    <t>range in Amazonia may be generous</t>
  </si>
  <si>
    <t>requires primary forest in MX, but uses disturbed habitats in C.A.</t>
  </si>
  <si>
    <t>Spectacled Owl</t>
  </si>
  <si>
    <t>Pulsatrix perspicillata</t>
  </si>
  <si>
    <t>humid evergreen forest and edge.  Requires large cavities for nesting.  reduced populations by loss of forest.  Score of 3 may be too low.  regions score as 4 or 5.</t>
  </si>
  <si>
    <t>Restricted to humid evergreen forests within C.A. range; loss of such forests has been extensive in C.A.; MX regional experts score PT=5 in SECL</t>
  </si>
  <si>
    <t>Great Horned Owl</t>
  </si>
  <si>
    <t>Bubo virginianus</t>
  </si>
  <si>
    <t>PIFcalc19-bbs0615,eBird7017,nwt9501</t>
  </si>
  <si>
    <t>PIFcalc19-bbs0615,nwt9501</t>
  </si>
  <si>
    <t>declining, not benefiting from humans</t>
  </si>
  <si>
    <t>generalist but not enhanced by human disturbance? (KR)</t>
  </si>
  <si>
    <t>Snowy Owl</t>
  </si>
  <si>
    <t>Bubo scandiacus</t>
  </si>
  <si>
    <t>Potapov and Sale 2012</t>
  </si>
  <si>
    <t>Recent satellite tracking data indicate that there are only a handful of very wide-ranging breeding concentrations (what Potapov has termed "loose boids").  Global snowy owl populations probably do not exceed 14,500 pairs following a strong breeding season, and may be as low as 5,000 pairs when cyclic lemming lows are widespread (which happens more often than widely synchronized peaks).  Snowy Owls do not seem to occupy their entire breeding range each year.  As Potapov’s research suggests, these "loose boids" (like 'mobile meta-populations') occupy each region but not in all years, moving from one region to another and leaving blanks on the distribution map.  And, there is overlap between populations of the continents with owls from Canada and Alaska moving to Siberia or elsewhere in Eurasia in other years, abandoning their previous location on the other continent.  So, Eurasian and North American populations cannot be simply summed together for a global estimate; they are not additive. (from Doug Gross email 4/2/14).</t>
  </si>
  <si>
    <t>&lt;29,000</t>
  </si>
  <si>
    <t>Potapov and Sale 2012 global estimate/2</t>
  </si>
  <si>
    <t>At least "moderate" threats identified recently from climate change-caused reduction in breeding range/productivity (KVR); Camfield, Alaine: TB =2 in Canadian BCR strategies.  Main threats are habitat loss from resource extraction and habitat changes from climate change; Panjabi: Alaine's comments suggest threats do exist, so how can it be TB=2 (i.e. no threats)?</t>
  </si>
  <si>
    <t>Northern Hawk Owl</t>
  </si>
  <si>
    <t>Surnia ulula</t>
  </si>
  <si>
    <t>PIFcalc19-rng,bbs0615,ona0105,nwt9501</t>
  </si>
  <si>
    <t>PIFcalc19-bbs0615,ona0105,nwt9501</t>
  </si>
  <si>
    <t>Camfield,Alaine [NCR]:  TB 2 in Canadian BCRs except BCR 4 where it is 3.  No High or Very High threats identified, lower magnitude threats include fire suppression and logging;  What is relationship with boreal forestry and energy extraction? "No threats" or "moderate threats?" (KVR);   comments from Alaine suggest that low/moderate threats exist? (AP)</t>
  </si>
  <si>
    <t>CBC7021-TM</t>
  </si>
  <si>
    <t>Shaw-23: used Audubon's analysis (methods from Soykan et al. 2016) since the generation time estimate was reduced since John Sauer's CBC1719 analysis, now 10 years, and Audubon provided CWS with a 9 year trend that is close enough to use, so used data displayed on CWS's State of Canada's Birds portal.</t>
  </si>
  <si>
    <t>Northern Pygmy-Owl</t>
  </si>
  <si>
    <t>Glaucidium gnoma</t>
  </si>
  <si>
    <t>primarily in undisturbed woodlands and canyons (KR); CB-logging and snag removal (BNA).</t>
  </si>
  <si>
    <t>primarily in undisturbed woodlands and canyons (KR); CB-same as TB</t>
  </si>
  <si>
    <t>Costa Rican Pygmy-Owl</t>
  </si>
  <si>
    <t>Glaucidium costaricanum</t>
  </si>
  <si>
    <t>puede ser limitado por la disponibilidad de huecos</t>
  </si>
  <si>
    <t>Central American Pygmy-Owl</t>
  </si>
  <si>
    <t>Glaucidium griseiceps</t>
  </si>
  <si>
    <t>humid forest specialist; forest edge</t>
  </si>
  <si>
    <t>Tamaulipas Pygmy-Owl</t>
  </si>
  <si>
    <t>Glaucidium sanchezi</t>
  </si>
  <si>
    <t>Colima Pygmy-Owl</t>
  </si>
  <si>
    <t>Glaucidium palmarum</t>
  </si>
  <si>
    <t>Ferruginous Pygmy-Owl</t>
  </si>
  <si>
    <t>Glaucidium brasilianum</t>
  </si>
  <si>
    <t>&lt;1,000</t>
  </si>
  <si>
    <t>&lt;1000; 600 on one Division of King Ranch and may be increasing, low density in Brooks Kleberg Willacy Hidalgo and formerly at least Starr (M Gustafson)</t>
  </si>
  <si>
    <t>riparian destruction in northern part of range (KR);CB-reductions in habitat in AZ and TX, (BNA), otherwise CAD; tolerant of disturbance (MX-NSAC).</t>
  </si>
  <si>
    <t>CB- similar to TB; tolerant of disturbance</t>
  </si>
  <si>
    <t>4 of 9 regions, all in north, score PT=3; documented recent declines in Sonora (Flesch and Steidl 2006); perceived stable in southern regions; unknown overall?</t>
  </si>
  <si>
    <t>Elf Owl</t>
  </si>
  <si>
    <t>Micrathene whitneyi</t>
  </si>
  <si>
    <t>CB-competition with starlings for cavities, alteration of flood events, dewatering, salt cedar, fire (Glinski); moderate threats (MX-NSAC).  Why is this lower than, say, Gilded Flicker? (KVR); Gilded Flicker has much smaller range and has higher threats due to increasing fire risk in that area from exotic grasses.  Elf Owl more widspread, not as susecptible to effects of exotics/fire. Uses relatively small patches of large mesquites in Chih Desert, which are not particularly limited yet (AP); Uses old woodpecker nests in telephone poles in much of range - MG; Concern in Sonoran desert about exotic grasses and related fire risk for saguaro cacti (CB)</t>
  </si>
  <si>
    <t>CB-similar to TB; moderate threats</t>
  </si>
  <si>
    <t>Especie que requiere de cactos para anidacion, perdida de habitat</t>
  </si>
  <si>
    <t>Burrowing Owl</t>
  </si>
  <si>
    <t>Athene cunicularia</t>
  </si>
  <si>
    <t>WE-Relative to ebird records, Natureserve polygon presents an overly optimistic view of distribution.</t>
  </si>
  <si>
    <t>WE-Relative to ebird records, Natureserve polygon presents an overly optimistic view of distribution. Winter range is more restricted than BD.</t>
  </si>
  <si>
    <t>CB-habitat loss, fragmentation, ag/urban, control of prairie dogs, pets, pesticides (TNC), suitable habitat unoccupied, shooting (CODOW), large scale extirpation, threats assumed to be the same in MX and CA; no known threats in Mexico (MX-NSAC).  Doubt if threats are severe across entire breeding range down through Mexico? (CB, KVR, WE, TW, DP); Camfield,Alaine [NCR]: Endangered in Canada, TB scores 4 and 5 in BCR Strategies.  Suggest leaving at 4.  Main threats include loss of burrows, reduced food availability from pesticides and grassland conversion;  Probably numerically more abundant in US than in Mexico, so threats in US may carry more weight?  (AP)</t>
  </si>
  <si>
    <t>CB-similar to TB; winter habitat probably in better shape than U.S. breed habitat</t>
  </si>
  <si>
    <t>Spotted Owl</t>
  </si>
  <si>
    <t>Strix occidentalis</t>
  </si>
  <si>
    <t>BirdLife Int. 2000</t>
  </si>
  <si>
    <t>US/Canada estimate extrapolated from 15,000 global estimate x 63% of eBird observations in US/Canada and then rounded to 1 sig fig for a very rough estimate given how old the 15,000 estimate is.  Defenders of Wildlife cite a total of 2,360 pairs in CA-BC, but does not include AZ or NM or Mex populations. 15,000 could be pretty close, but could be a bit low considering Mexican range, or could be high because based on old data from before species declined even more (PIFSC-18).</t>
  </si>
  <si>
    <t>BirdLife Int. 2000, eBird</t>
  </si>
  <si>
    <t>CB- fuelwooding, harvest of old growth, fragmentation(BNA); moderate habitat loss (MX-NSAC).  threats probably increasing to 5 in northern parts of range, but remain moderate-severe overall.</t>
  </si>
  <si>
    <t>CB-similar to TB; moderate habitat loss</t>
  </si>
  <si>
    <t>Barred Owl</t>
  </si>
  <si>
    <t>Strix varia</t>
  </si>
  <si>
    <t>Shaw-22: Split doesn't affect pop estimate due to rounding since Cinerous Owl pop small.</t>
  </si>
  <si>
    <t>Shaw-22: Cinereous Owl split doesn't affect US-Ca pop estimate</t>
  </si>
  <si>
    <t>Shaw-22: BirdLife has not split Barred Owl, so calculated using BirdLIfe's Barred Owl polygons in USA and Canada</t>
  </si>
  <si>
    <t>Cinereous Owl</t>
  </si>
  <si>
    <t>Strix sartorii</t>
  </si>
  <si>
    <t>Formerly considered conspecific with Strix varia.</t>
  </si>
  <si>
    <t>PIFcalc19-bbs0615,eBird7017; eMod20; Shaw-22</t>
  </si>
  <si>
    <t>Shaw-22: since eMod20 had not split Barred Owl, multiplied unrounded PIFcalc19 pop estimate by the % of pre-split Barred Owl that STEM models placed in Mexican regions to get a ballpark estimate for the score, but not reporting it since seemed suspiciously high</t>
  </si>
  <si>
    <t>Shaw-22: BirdLife has not split Barred Owl, so calculated using BirdLIfe's Barred Owl polygons in Mexico</t>
  </si>
  <si>
    <t>Mexican Regional Assessment 2005, Shaw-22</t>
  </si>
  <si>
    <t>Shaw-22: averaged scores assigned to pre-split Barred Owl for NWMH (now BCR 34), CEMH, SEMH</t>
  </si>
  <si>
    <t>Fulvous Owl</t>
  </si>
  <si>
    <t>Strix fulvescens</t>
  </si>
  <si>
    <t>specialized habitat, moderate habitat loss</t>
  </si>
  <si>
    <t>Mottled Owl</t>
  </si>
  <si>
    <t>Strix virgata</t>
  </si>
  <si>
    <t>Formerly placed in the genus Ciccaba.</t>
  </si>
  <si>
    <t>mainly a forest bird; moderate threats more consistent with other species.</t>
  </si>
  <si>
    <t>tolerant of disturbance; widespread habitats</t>
  </si>
  <si>
    <t>all mexican regions score PT=4 or higher; trend likely similar across central america due to deforestation; Species tolerant to some deforestation, locally common; mantenemos el valor por congruencia con los resultados de los talleres, sin embargo cremos que la especie esta mal evaluada</t>
  </si>
  <si>
    <t>Black-and-white Owl</t>
  </si>
  <si>
    <t>Strix nigrolineata</t>
  </si>
  <si>
    <t>this one looks very borderline 3/4</t>
  </si>
  <si>
    <t>MX-NSAC-09</t>
  </si>
  <si>
    <t>depends primarily on intact low to mid elevation forests, including humid tropical evergreen, semi-evergreen, and deciduous forests.</t>
  </si>
  <si>
    <t>uses tropical evergreen forest; depends primarily on intact low to mid elevation forests, including humid tropical evergreen, semi-evergreen, and deciduous forests</t>
  </si>
  <si>
    <t>humid forest specialist, keep at PT=5</t>
  </si>
  <si>
    <t>Great Gray Owl</t>
  </si>
  <si>
    <t>Strix nebulosa</t>
  </si>
  <si>
    <t>PIFcalc19-bbs0615,rng</t>
  </si>
  <si>
    <t>Rosenberg: affected by boreal forestry?.  Panjabi: threats from increasing logging in boreal forest may warrant TB=4.  Highly specialized needs for nesting and increasing threats suggests species likely to decline across major parts of range.</t>
  </si>
  <si>
    <t>Are there really no threats to these birds throughout boreal range? Seems like it should be at least a "3", like most other forest species (KVR)</t>
  </si>
  <si>
    <t>Long-eared Owl</t>
  </si>
  <si>
    <t>Asio otus</t>
  </si>
  <si>
    <t>in W. riparian and undisturbed Eastern forest; poorly known (KR); BNA says LEOW likes open areas next to nest woodlots and benefits from modest fragmentation (ED).</t>
  </si>
  <si>
    <t>Why worse in non-breed than breed? Very poorly known both seasons</t>
  </si>
  <si>
    <t>Stygian Owl</t>
  </si>
  <si>
    <t>Asio stygius</t>
  </si>
  <si>
    <t>Natureserve shows largest portion of Range in Brazil -- need to check birds of S.A.</t>
  </si>
  <si>
    <t>3 of 4 regions score PT=4</t>
  </si>
  <si>
    <t>Short-eared Owl</t>
  </si>
  <si>
    <t>Asio flammeus</t>
  </si>
  <si>
    <t>PIFcalc19-rng,bbs0615,nwt9501,eBird7017,ona0105</t>
  </si>
  <si>
    <t>Huge part of range not under threat.</t>
  </si>
  <si>
    <t>Rosenberg: overall threats from habitat loss probably only moderate over very large nonbreeding  range</t>
  </si>
  <si>
    <t>Striped Owl</t>
  </si>
  <si>
    <t>Asio clamator</t>
  </si>
  <si>
    <t>Formerly placed in the genus Pseudoscops.</t>
  </si>
  <si>
    <t>tolerant of disturbed habitats</t>
  </si>
  <si>
    <t>Black-tailed Trogon</t>
  </si>
  <si>
    <t>Trogon melanurus</t>
  </si>
  <si>
    <t>Trogoniformes</t>
  </si>
  <si>
    <t>Trogonidae</t>
  </si>
  <si>
    <t>Black-headed Trogon</t>
  </si>
  <si>
    <t>Trogon melanocephalus</t>
  </si>
  <si>
    <t>Para Centroamerica es una especie que se prevee sea estable en el futuro. Los TB y TN se sugiere que sea 2</t>
  </si>
  <si>
    <t>tolerant of disturbance.  Para Centroamerica es una especie que se prevee sea estable en el futuro. Los TB y TN se sugiere que sea 2</t>
  </si>
  <si>
    <t>Citreoline Trogon</t>
  </si>
  <si>
    <t>Trogon citreolus</t>
  </si>
  <si>
    <t>Mexican endemic (CAW);</t>
  </si>
  <si>
    <t>global score should reflect majority of regional experts' opinion -- only one region (SEPL) scored as 3.</t>
  </si>
  <si>
    <t>White-tailed Trogon</t>
  </si>
  <si>
    <t>Trogon chionurus</t>
  </si>
  <si>
    <t>Baird's Trogon</t>
  </si>
  <si>
    <t>Trogon bairdii</t>
  </si>
  <si>
    <t>poblaciones bien isladas; muchas poblaciones puede extirparse</t>
  </si>
  <si>
    <t>en Panamá está casi extirpado; en Costa Rica perdió la mayoría de su hábitat antes de los 1980s</t>
  </si>
  <si>
    <t>Gartered Trogon</t>
  </si>
  <si>
    <t>Trogon caligatus</t>
  </si>
  <si>
    <t>Species occupies a broad range of habitats (gallery forest, forest edge, open forest, plantations, gardens); uncommon in forest interiors</t>
  </si>
  <si>
    <t>Black-throated Trogon</t>
  </si>
  <si>
    <t>Trogon rufus</t>
  </si>
  <si>
    <t>en Costa Rica hacia el sur es más estable que en el norte</t>
  </si>
  <si>
    <t>Elegant Trogon</t>
  </si>
  <si>
    <t>Trogon elegans</t>
  </si>
  <si>
    <t>BBS-15 estimated 1,000 in US/Canada, 23,000 globally extrapolated with eBird</t>
  </si>
  <si>
    <t>would use &lt; 500; % Pop'n in US should be &lt; 5%</t>
  </si>
  <si>
    <t>Maps look okay.</t>
  </si>
  <si>
    <t>TB=3 is good; widespread in pine oak forest in northern mexico, then semideciduous forest in tropical mexico; similar to other generalist forest-dependent  birds; only a ripairan obligate in extreme northern range; SE AZ is very small part of range (AP); CB-recent declines in AZ due to catastrophic fire, linked to riparian.  DJK= Rick Taylor's SE Arizona surveys show long-term stable pops (but low) .</t>
  </si>
  <si>
    <t>Mountain Trogon</t>
  </si>
  <si>
    <t>Trogon mexicanus</t>
  </si>
  <si>
    <t>Collared Trogon</t>
  </si>
  <si>
    <t>Trogon collaris</t>
  </si>
  <si>
    <t>Eared Quetzal</t>
  </si>
  <si>
    <t>Euptilotis neoxenus</t>
  </si>
  <si>
    <t>resticted breeder within range (canyons)</t>
  </si>
  <si>
    <t>highly restricted to mature pine forest and canyons (KR); CB-doesn't breed in US (Tcorman), loss of large trees for nesting? (H&amp;W); Score--MX score; moderate habitat loss; requires snags for nesting (MX-NSAC); global score should reflect regional experts' opinion.</t>
  </si>
  <si>
    <t>Mexican endemic, both regions score PT=4</t>
  </si>
  <si>
    <t>Golden-headed Quetzal</t>
  </si>
  <si>
    <t>Pharomachrus auriceps</t>
  </si>
  <si>
    <t>Resplendent Quetzal</t>
  </si>
  <si>
    <t>Pharomachrus mocinno</t>
  </si>
  <si>
    <t>En Costa Rica esta mejor protegida (PIF CAW)</t>
  </si>
  <si>
    <t>loss of habitats at lower elevations</t>
  </si>
  <si>
    <t>Tody Motmot</t>
  </si>
  <si>
    <t>Hylomanes momotula</t>
  </si>
  <si>
    <t>Coraciiformes</t>
  </si>
  <si>
    <t>Momotidae</t>
  </si>
  <si>
    <t>Restricted to humid evergreen forests within C.A. range; loss of such forests has been extensive in C.A.; MX regional experts score PT=5 in SECL and SEPL</t>
  </si>
  <si>
    <t>Blue-throated Motmot</t>
  </si>
  <si>
    <t>Aspatha gularis</t>
  </si>
  <si>
    <t>humid forest specialist</t>
  </si>
  <si>
    <t>Russet-crowned Motmot</t>
  </si>
  <si>
    <t>Momotus mexicanus</t>
  </si>
  <si>
    <t>MX endemic, all regions score PT=3</t>
  </si>
  <si>
    <t>Amazon Kingfisher</t>
  </si>
  <si>
    <t>Chloroceryle amazona</t>
  </si>
  <si>
    <t>Alcedinidae</t>
  </si>
  <si>
    <t>forested wetlands</t>
  </si>
  <si>
    <t>Creemos que la especie ha disminuido como consecuencia de la perdida de habitat por contaminacion. Preferimos adoptar un criterio mas conservador ya que se trata de una especie escasa o rara, menos tolerante a la perturbacion</t>
  </si>
  <si>
    <t>American Pygmy Kingfisher</t>
  </si>
  <si>
    <t>Chloroceryle aenea</t>
  </si>
  <si>
    <t>moderate decline in habitat suitability expected</t>
  </si>
  <si>
    <t>Green Kingfisher</t>
  </si>
  <si>
    <t>Chloroceryle americana</t>
  </si>
  <si>
    <t>PIFSC-08-PS-g midpoint</t>
  </si>
  <si>
    <t>more abundant within range than BEKI; more habitat within range than BEKI</t>
  </si>
  <si>
    <t>DD='threats assumed to be low.'  Although suffered in US due to destruction of riparian habitats, this constitutes a minor portion of overall range.  In general, threats assumed to be low throughout, though little info available; tolerant of disturbance; wetlands not threatened (MX-NSAC); contamination of waterways is a moderate threat.  Contamination does not appear to pose any significant threat. Expanding range and can use even wet ditches (KVR); Very adaptable (PIF SC)</t>
  </si>
  <si>
    <t>DD='threats assumed to be low.'  Although suffered in US due to destruction of riparian habitats, this constitutes a minor portion of overall range.  In general, threats assumed to be low throughout, though little info available.; tolerant of disturbance; wetlands not threatened.  based on previous comments and comments under TB (KVR)</t>
  </si>
  <si>
    <t>Mexico has most of species range; core regions (SECL, SEPL) score PT=4</t>
  </si>
  <si>
    <t>Green-and-rufous Kingfisher</t>
  </si>
  <si>
    <t>Chloroceryle inda</t>
  </si>
  <si>
    <t>puede ser suseptible a pesticidias y contaminación de aguas y peces; plantaciones de palma de aceite son una amenaza; no ocupa áreas que parecen adecuadas</t>
  </si>
  <si>
    <t>Barred Puffbird</t>
  </si>
  <si>
    <t>Nystalus radiatus</t>
  </si>
  <si>
    <t>Piciformes</t>
  </si>
  <si>
    <t>Bucconidae</t>
  </si>
  <si>
    <t>White-necked Puffbird</t>
  </si>
  <si>
    <t>Notharchus hyperrhynchus</t>
  </si>
  <si>
    <t>Black-breasted Puffbird</t>
  </si>
  <si>
    <t>Notharchus pectoralis</t>
  </si>
  <si>
    <t>ganadería</t>
  </si>
  <si>
    <t>Pied Puffbird</t>
  </si>
  <si>
    <t>Notharchus tectus</t>
  </si>
  <si>
    <t>White-whiskered Puffbird</t>
  </si>
  <si>
    <t>Malacoptila panamensis</t>
  </si>
  <si>
    <t>Lanceolated Monklet</t>
  </si>
  <si>
    <t>Micromonacha lanceolata</t>
  </si>
  <si>
    <t>es muy desconocido</t>
  </si>
  <si>
    <t>Gray-cheeked Nunlet</t>
  </si>
  <si>
    <t>Nonnula frontalis</t>
  </si>
  <si>
    <t>por avances en la frontera de agricola</t>
  </si>
  <si>
    <t>White-fronted Nunbird</t>
  </si>
  <si>
    <t>Monasa morphoeus</t>
  </si>
  <si>
    <t>Dusky-backed Jacamar</t>
  </si>
  <si>
    <t>Brachygalba salmoni</t>
  </si>
  <si>
    <t>Galbulidae</t>
  </si>
  <si>
    <t>avances a la frontera de agricultura; ganadería</t>
  </si>
  <si>
    <t>Rufous-tailed Jacamar</t>
  </si>
  <si>
    <t>Galbula ruficauda</t>
  </si>
  <si>
    <t>Great Jacamar</t>
  </si>
  <si>
    <t>Jacamerops aureus</t>
  </si>
  <si>
    <t>Spot-crowned Barbet</t>
  </si>
  <si>
    <t>Capito maculicoronatus</t>
  </si>
  <si>
    <t>Capitonidae</t>
  </si>
  <si>
    <t>Red-headed Barbet</t>
  </si>
  <si>
    <t>Eubucco bourcierii</t>
  </si>
  <si>
    <t>no esta tan amenazada en costa rica</t>
  </si>
  <si>
    <t>Prong-billed Barbet</t>
  </si>
  <si>
    <t>Semnornis frantzii</t>
  </si>
  <si>
    <t>Semnornithidae</t>
  </si>
  <si>
    <t>cambio climatica, perdida de habitat</t>
  </si>
  <si>
    <t>Northern Emerald-Toucanet</t>
  </si>
  <si>
    <t>Aulacorhynchus prasinus</t>
  </si>
  <si>
    <t>Ramphastidae</t>
  </si>
  <si>
    <t>Gomez-Panjabi;Bird Conservancy of the Rockies 2019</t>
  </si>
  <si>
    <t>multiplied % of range for Mexican and Central American pops of Emerald Toucanet s.l. by rounded geometric midpoint of pop estimate range from Emerald Toucanet's PS-g = 4</t>
  </si>
  <si>
    <t>BirdLife 2019;Bird Conservancy of the Rockies 2019</t>
  </si>
  <si>
    <t>combined BirdLife's polygons for A. caeruleogularis, A. prasinus, and A. wagleri to match AOS's definition of Northern Emerald-Toucanet including all 3 taxa</t>
  </si>
  <si>
    <t>uses coffee plantations and primary and secondary forest</t>
  </si>
  <si>
    <t>Collared Aracari</t>
  </si>
  <si>
    <t>Pteroglossus torquatus</t>
  </si>
  <si>
    <t>tolerant of disturbance; wetlands not threatened</t>
  </si>
  <si>
    <t>Fiery-billed Aracari</t>
  </si>
  <si>
    <t>Pteroglossus frantzii</t>
  </si>
  <si>
    <t>requiere arboles con cavidades</t>
  </si>
  <si>
    <t>Yellow-eared Toucanet</t>
  </si>
  <si>
    <t>Selenidera spectabilis</t>
  </si>
  <si>
    <t>Keel-billed Toucan</t>
  </si>
  <si>
    <t>Ramphastos sulfuratus</t>
  </si>
  <si>
    <t>Yellow-throated Toucan</t>
  </si>
  <si>
    <t>Ramphastos ambiguus</t>
  </si>
  <si>
    <t>Olivaceous Piculet</t>
  </si>
  <si>
    <t>Picumnus olivaceus</t>
  </si>
  <si>
    <t>Picidae</t>
  </si>
  <si>
    <t>es más estable en Costa Rica y Panamá</t>
  </si>
  <si>
    <t>Lewis's Woodpecker</t>
  </si>
  <si>
    <t>Melanerpes lewis</t>
  </si>
  <si>
    <t>Reduced by 30%; BNA more accurately reflects restricted, drier, lower elevation of this species similar to the distribution of ponderosa pine than NS</t>
  </si>
  <si>
    <t>Again, the BNA description is more accurate. The the core of the ND is more restricted but may have a wider, sporadic distribution than BD- 'generally winters within southern portion of breeding range north to sw. Oregon, central Utah, and central Colorado</t>
  </si>
  <si>
    <t>are threats really that high across range? (KR); benefit from fire, if old stuff left.  Riparian areas may be sinks.  DP - fire management issues will only get worse; Krueper, Dave: With climate change and increased intensity of fires (stand replacement) this species will probably continue to decline.  Camfield,Alaine [NCR]:
Listed as threatened in Canada, fire suppression, Mountain Pine Beetle and habitat loss due to development and agricuture are the biggest threats.  Suggest leaving at 4. TB score 5 in Canadian BCR strategies.</t>
  </si>
  <si>
    <t>Red-headed Woodpecker</t>
  </si>
  <si>
    <t>Melanerpes erythrocephalus</t>
  </si>
  <si>
    <t>Reduced by 10%; NS and BNA maps fairly similar.</t>
  </si>
  <si>
    <t>DD='moderately vulnerable to human activities and land use.'  BNA supports that  population likely to decline in future if trends and habitat threats continue.  Facing habitat loss and degradation due to firewood cutting, clearcutting, ag development, riv</t>
  </si>
  <si>
    <t>DD='moderately vulnerable to human activities and land use.'  BNA supports that population likely to decline in future if trends and habitat threats continue.  Facing habitat loss and degradation due to firewood cutting, clearcutting, ag development, rive</t>
  </si>
  <si>
    <t>Acorn Woodpecker</t>
  </si>
  <si>
    <t>Melanerpes formicivorus</t>
  </si>
  <si>
    <t>NS and BNA maps very close except for range in NM (more expansive in BNA) and more detail in NS for Columbia. Keep new NS scores.</t>
  </si>
  <si>
    <t>Needs input from MX on condition of oaks in CA; Rosenberg: loss and degradation of oak forests throughout range.</t>
  </si>
  <si>
    <t>Rosenberg: dependent on healthy oak forests year-round; granary trees as important as nest trees.</t>
  </si>
  <si>
    <t>Golden-naped Woodpecker</t>
  </si>
  <si>
    <t>Melanerpes chrysauchen</t>
  </si>
  <si>
    <t>Black-cheeked Woodpecker</t>
  </si>
  <si>
    <t>Melanerpes pucherani</t>
  </si>
  <si>
    <t>Bajas densidades en Guate (CAW)</t>
  </si>
  <si>
    <t>humid forest, but uses clearings</t>
  </si>
  <si>
    <t>Golden-cheeked Woodpecker</t>
  </si>
  <si>
    <t>Melanerpes chrysogenys</t>
  </si>
  <si>
    <t>Gray-breasted Woodpecker</t>
  </si>
  <si>
    <t>Melanerpes hypopolius</t>
  </si>
  <si>
    <t>MX endemic, found in 2 regions, regional experts both scored 4</t>
  </si>
  <si>
    <t>Yucatan Woodpecker</t>
  </si>
  <si>
    <t>Melanerpes pygmaeus</t>
  </si>
  <si>
    <t>forest</t>
  </si>
  <si>
    <t>MX endemic found only in SECL; regional experts score PT=4</t>
  </si>
  <si>
    <t>Red-crowned Woodpecker</t>
  </si>
  <si>
    <t>Melanerpes rubricapillus</t>
  </si>
  <si>
    <t>Gila Woodpecker</t>
  </si>
  <si>
    <t>Melanerpes uropygialis</t>
  </si>
  <si>
    <t>habitat not threatened</t>
  </si>
  <si>
    <t>Hoffmann's Woodpecker</t>
  </si>
  <si>
    <t>Melanerpes hoffmannii</t>
  </si>
  <si>
    <t>Golden-fronted Woodpecker</t>
  </si>
  <si>
    <t>Melanerpes aurifrons</t>
  </si>
  <si>
    <t>Maybe 2? (CAW);</t>
  </si>
  <si>
    <t>MX-NSAC, PIFSC-08</t>
  </si>
  <si>
    <t>Red-bellied Woodpecker</t>
  </si>
  <si>
    <t>Melanerpes carolinus</t>
  </si>
  <si>
    <t>NS and BNA maps very close. Keep new NS scores.</t>
  </si>
  <si>
    <t>DD='no known threats to breeding population or habitats.</t>
  </si>
  <si>
    <t>DD='no known threats to nonbreeding population or habitats.</t>
  </si>
  <si>
    <t>Williamson's Sapsucker</t>
  </si>
  <si>
    <t>Sphyrapicus thyroideus</t>
  </si>
  <si>
    <t>Agree with NS.</t>
  </si>
  <si>
    <t>Yellow-bellied Sapsucker</t>
  </si>
  <si>
    <t>Sphyrapicus varius</t>
  </si>
  <si>
    <t>distance revised to 125 m based on review of large boreal dataset, score reverts to PS=2 (Blancher email, Dec. 20, 2008)</t>
  </si>
  <si>
    <t>Red-naped Sapsucker</t>
  </si>
  <si>
    <t>Sphyrapicus nuchalis</t>
  </si>
  <si>
    <t>Panjabi: large-scale die-back of aspen forest and continuing degradation of riparian habitats is a threat in the southern Rockies.</t>
  </si>
  <si>
    <t>Red-breasted Sapsucker</t>
  </si>
  <si>
    <t>Sphyrapicus ruber</t>
  </si>
  <si>
    <t>NS map is wrong, stating BC area as permanent resident when should be only breeding. BNA map for British Columbia is much more accurate. This error should overinflate the winter range (middle 4 at ~721,000, so 'error' did not change score) and not impact</t>
  </si>
  <si>
    <t>American Three-toed Woodpecker</t>
  </si>
  <si>
    <t>Picoides dorsalis</t>
  </si>
  <si>
    <t>Black-backed Woodpecker</t>
  </si>
  <si>
    <t>Picoides arcticus</t>
  </si>
  <si>
    <t>BNA more accurate, a little less expansive than NS map. I'm 'okay' with the change in score (the only reason I hesitate about the one is its tendency in BC at least to be at higher elevations). See general comment on boreal birds.</t>
  </si>
  <si>
    <t>Needs fire, but this is common in Canada; need input from northerners.</t>
  </si>
  <si>
    <t>Downy Woodpecker</t>
  </si>
  <si>
    <t>Dryobates pubescens</t>
  </si>
  <si>
    <t>Formerly included in the genus Picoides.</t>
  </si>
  <si>
    <t>Nuttall's Woodpecker</t>
  </si>
  <si>
    <t>Dryobates nuttallii</t>
  </si>
  <si>
    <t>Monotypic. Formerly included in the genus Picoides.</t>
  </si>
  <si>
    <t>Specialized on California oakland.  seems to fit definition of "3"  Specialized but habitat is relatively secure in many parts of range (CB, KVR, WE, TW, DP); we made it a 4 because of oak disease killing trees (CB); is oak disease a high threat? (AP)</t>
  </si>
  <si>
    <t>should not be higher than TB</t>
  </si>
  <si>
    <t>Ladder-backed Woodpecker</t>
  </si>
  <si>
    <t>Dryobates scalaris</t>
  </si>
  <si>
    <t>mantenemos el 3, Mucho Mas del 50% de la distribucion esta en Mexico, donde la especie es comun aun en condiciones de mucha perturbacion.</t>
  </si>
  <si>
    <t>Red-cockaded Woodpecker</t>
  </si>
  <si>
    <t>Dryobates borealis</t>
  </si>
  <si>
    <t>McDearman 2018</t>
  </si>
  <si>
    <t>Estimate reflects a derivation of total # of adult aged birds based on 8000 active clusters, 89% of which average 2.5 birds/cluster, and 11% of which comprise single males;  the overall estimate does not include a small unknown number of “floater” birds which would be difficult to estimate (McDearman 2018).  Alternatively, 25,000 is BBS-15 based estimate.</t>
  </si>
  <si>
    <t>PIFSC-20; PIFSC-CVS 2022</t>
  </si>
  <si>
    <t>PIFSC-20: high threats but no longer in immediate danger of extinction</t>
  </si>
  <si>
    <t>Hairy Woodpecker</t>
  </si>
  <si>
    <t>Dryobates villosus</t>
  </si>
  <si>
    <t>White-headed Woodpecker</t>
  </si>
  <si>
    <t>Dryobates albolarvatus</t>
  </si>
  <si>
    <t>WE-Agree with score of 3 as consistent with ebird.</t>
  </si>
  <si>
    <t>Keep changes. Although BNA map is still more accurate.</t>
  </si>
  <si>
    <t>threats really that high? (KR); Loss of large ponderosa pine, snag removal, fire suppression.  Species that is most tied to healthy ponderosa.  Demarest, Dean: Noting the questions here in the comments, I raise the question, too, of whether this realy rates TB = 4.  WIdespread species relatively tolerant of human altered ponderosa pine habitat.  An adaptive Picoides with lots of available mid-elevatgion pine in a avariety of conditions.  TB = 3 seems more appropriate.</t>
  </si>
  <si>
    <t>WE-Dependent upon large Ponderosa Pine for food, especially in ND (seed crop every 4-5 yr) and favoured for roosting/nesting. Large, low elevation trees/snags/ecosystem threatened by fire, beetle, forestry, and urbanization.</t>
  </si>
  <si>
    <t>Smoky-brown Woodpecker</t>
  </si>
  <si>
    <t>Dryobates fumigatus</t>
  </si>
  <si>
    <t>found mainly in humid foothill forests and associated woodland habitats within C.A. range; loss of such forests has been extensive in C.A.; Most Mexican regional experts score PT=4</t>
  </si>
  <si>
    <t>Arizona Woodpecker</t>
  </si>
  <si>
    <t>Dryobates arizonae</t>
  </si>
  <si>
    <t>eBird has few observers in Mexican pine-oak forests, so don't use BBS estimate extrapolated globally using eBird to 66,000 (PIFSC-18).</t>
  </si>
  <si>
    <t>&lt;21,000</t>
  </si>
  <si>
    <t>Gyrfalcon</t>
  </si>
  <si>
    <t>Falco rusticolus</t>
  </si>
  <si>
    <t>Falconiformes</t>
  </si>
  <si>
    <t>Falconidae</t>
  </si>
  <si>
    <t>Tundra habitat; captive breeding keeps poaching level low.</t>
  </si>
  <si>
    <t>Peregrine Falcon</t>
  </si>
  <si>
    <t>Falco peregrinus</t>
  </si>
  <si>
    <t>&gt;72,000</t>
  </si>
  <si>
    <t>Franke 2016, Green 2012, BNA White et al. 2002</t>
  </si>
  <si>
    <t>(1) territory counts from USFWS for the lower 48 and Mexico for ssp. anatum averaged over 2003, 2006, 2009, 2012 + (2) an estimate of 15,000 breeding pairs for all subspecies from Franke 2016 for AK N of 60.8 N latitude, Canada N of 54.8 N latitude + (3) BNA estimate of 850-1,000 nesting pairs of ssp. pealei) x 2 breeding adults/pair x 2 total adults/breeding adult assumption in Franke 2016 (i.e. a 50% chance of breeding/adult/year)</t>
  </si>
  <si>
    <t>should be at least 3 due to sensitivity at natural nest sites, CB- recreation at some locales, pesticides (Glinski); falconry taking.; Beardmore: not protected by ESA now.</t>
  </si>
  <si>
    <t>CB-pesticides from wintering prey, to a great extent popn. Increase is a result of intense efforts (Glinski)</t>
  </si>
  <si>
    <t>COSEWIC 2017</t>
  </si>
  <si>
    <t>Panjabi 2019: BBS population likely increasing more than the majority of population, but CBC misses northern migrants wintering in Latin America (probably most of pop).  Shaw 2020: Both BBS (annual trend 5.669%) and CBC (annual trend 2.7786%) support PT = 1  but COSEWIC 2017 was selected as the only data source with adequate coverage of northern populations.  The majority of the population breeds in the north (Franke 2016), and the expanded BBS coverage area does not capture much of this population.  Gahbauer 2020: the vast majority of birds within the BBS coverage area are in urban centres where there are no BBS routes, so BBS was discarded as a viable option for monitoring trends.  Trends were instead derived from evaluation of the 5-year population surveys across the country (2010 and 2015 national survey results are being written up for publication), with CBC used as corroboration.  The Canadian pealei population is quite small (likely &lt;500); it has been steadily increasing too, vs. the 2013 citation in the COSEWIC report indicated a “stable” population for Alaska, so perhaps the overall trend for pealei is more of a 2, compared to a 1 for anatum/tundrius?.</t>
  </si>
  <si>
    <t>Prairie Falcon</t>
  </si>
  <si>
    <t>Falco mexicanus</t>
  </si>
  <si>
    <t>probably not highly threatened at natural sites; CB-contaminants, more sensitive than PEFA to DDE, # of nest sites finite, large scale neg affects on prey, poisoning of ground squirrels, increased fire, increased exotic veg. species (BNA), Birds of Prey N.</t>
  </si>
  <si>
    <t>Painted Parakeet</t>
  </si>
  <si>
    <t>Pyrrhura picta</t>
  </si>
  <si>
    <t>Psittaciformes</t>
  </si>
  <si>
    <t>Psittacidae</t>
  </si>
  <si>
    <t>Sulphur-winged Parakeet</t>
  </si>
  <si>
    <t>Pyrrhura hoffmanni</t>
  </si>
  <si>
    <t>Monk Parakeet</t>
  </si>
  <si>
    <t>Myiopsitta monachus</t>
  </si>
  <si>
    <t>PIFTC-PS-g midpoint</t>
  </si>
  <si>
    <t>5.7 million would be the global extrapolation of BBS-15 using eBird, but US/Canada estimated to be just 1-3% of global pop, so not appropriate to base extrapolation on such a small proportion of the pop (PIFSC-18).</t>
  </si>
  <si>
    <t>Olive-throated Parakeet</t>
  </si>
  <si>
    <t>Eupsittula nana</t>
  </si>
  <si>
    <t>habitat loss</t>
  </si>
  <si>
    <t>Orange-fronted Parakeet</t>
  </si>
  <si>
    <t>Eupsittula canicularis</t>
  </si>
  <si>
    <t>Brown-throated Parakeet</t>
  </si>
  <si>
    <t>Eupsittula pertinax</t>
  </si>
  <si>
    <t>found across northern south america, northern colombia, noerthern venezuela, Guyanas, northeastern Brazil, aruba, etc. (CAW);</t>
  </si>
  <si>
    <t>Blue-and-yellow Macaw</t>
  </si>
  <si>
    <t>Ara ararauna</t>
  </si>
  <si>
    <t>trafica; pérdida de hábitat</t>
  </si>
  <si>
    <t>pérdida de hábitat</t>
  </si>
  <si>
    <t>Chestnut-fronted Macaw</t>
  </si>
  <si>
    <t>Ara severus</t>
  </si>
  <si>
    <t>Scarlet Macaw</t>
  </si>
  <si>
    <t>Ara macao</t>
  </si>
  <si>
    <t>Amazonian range looks generous</t>
  </si>
  <si>
    <t>habitat loss, capture for trade</t>
  </si>
  <si>
    <t>Red-and-green Macaw</t>
  </si>
  <si>
    <t>Ara chloropterus</t>
  </si>
  <si>
    <t>Military Macaw</t>
  </si>
  <si>
    <t>Ara militaris</t>
  </si>
  <si>
    <t>long narrow range</t>
  </si>
  <si>
    <t>In Central America, largely restricted to Mexico; 7 of 8 regions in MX score PT=5</t>
  </si>
  <si>
    <t>Great Green Macaw</t>
  </si>
  <si>
    <t>Ara ambiguus</t>
  </si>
  <si>
    <t>Green Parakeet</t>
  </si>
  <si>
    <t>Psittacara holochlorus</t>
  </si>
  <si>
    <t>MX-NSAC-19-PS-g midpoint</t>
  </si>
  <si>
    <t>&lt;2,500</t>
  </si>
  <si>
    <t>Natureserve 3.0; MX-NSAC-19</t>
  </si>
  <si>
    <t>MX-NSAC-19</t>
  </si>
  <si>
    <t>capture for trade, habitat loss</t>
  </si>
  <si>
    <t>Socorro Parakeet</t>
  </si>
  <si>
    <t>Psittacara brevipes</t>
  </si>
  <si>
    <t>Formerly considered conspecific with P. holochlorus.</t>
  </si>
  <si>
    <t>Rodriguez-Estrella et al. 1992; MX-NSAC-19</t>
  </si>
  <si>
    <t>400-500 birds</t>
  </si>
  <si>
    <t>BirdLife 2019; Bird Conservancy of the Rockies 2020; MX-NSAC-19</t>
  </si>
  <si>
    <t>Shaw 2020: used the BirdLIfe polygon for Psittacara holochlorus s.l. on Isla Socorro</t>
  </si>
  <si>
    <t>MX-NSAC-19: We propose TB/TN 3 since threats are not 4 as for holochlorus, since the whole population area is protected. Still it is not a 2 since climate change may increase amount of hurricanes. Cats are still present but under eradication and control programs.</t>
  </si>
  <si>
    <t>MX-NSAC-19: We propose TB/TN 3 since threats are not 4 as for holochlorus, since the whole population area is protected. Still it is not a 2 since climate change may increase amount of hurricanes. Cats are still present but under erradication and control programs.</t>
  </si>
  <si>
    <t>MX-NSAC-19: Population is not increasing but it is not uncertain, so we suggest 2</t>
  </si>
  <si>
    <t>Pacific Parakeet</t>
  </si>
  <si>
    <t>Psittacara strenuus</t>
  </si>
  <si>
    <t>Se estimaron menos de 25,000 (CAW); score change from 4 to 5 recommended by Central Americans in 2016</t>
  </si>
  <si>
    <t>severe habitat loss; capture for trade</t>
  </si>
  <si>
    <t>Crimson-fronted Parakeet</t>
  </si>
  <si>
    <t>Psittacara finschi</t>
  </si>
  <si>
    <t>Thick-billed Parrot</t>
  </si>
  <si>
    <t>Rhynchopsitta pachyrhyncha</t>
  </si>
  <si>
    <t>840-2800 mature individuals</t>
  </si>
  <si>
    <t>Natureserve 3.0; PIFSC-09</t>
  </si>
  <si>
    <t>Area of BD, 81,442, is just above threshold for BD=5.  Given that there are only a handful of breeding colonies within mapped range, it seems justified to score this species as BD=5; not sure what adjusted range (km2) should be -- could be significantly less</t>
  </si>
  <si>
    <t>CB-shooting, parrot trade, logging, snag removal, nest trees cut for young (BNA); habitat loss, capture for trade, loss of nest sites, nest parasites (MX-NSAC).</t>
  </si>
  <si>
    <t>CB-wintering same except for nest tree, smaller area (BNA); habitat loss (mature pines), dependent on pine cone crops</t>
  </si>
  <si>
    <t>Maroon-fronted Parrot</t>
  </si>
  <si>
    <t>Rhynchopsitta terrisi</t>
  </si>
  <si>
    <t>Tec de Monterrey data show apparently stable population recently, but consensus among researchers is population was larger historically (R. Valdes, pers. comm.m.); Estamos de acuerdo con PT=3</t>
  </si>
  <si>
    <t>Barred Parakeet</t>
  </si>
  <si>
    <t>Bolborhynchus lineola</t>
  </si>
  <si>
    <t>Mexican Parrotlet</t>
  </si>
  <si>
    <t>Forpus cyanopygius</t>
  </si>
  <si>
    <t>Spectacled Parrotlet</t>
  </si>
  <si>
    <t>Forpus conspicillatus</t>
  </si>
  <si>
    <t>Orange-chinned Parakeet</t>
  </si>
  <si>
    <t>Brotogeris jugularis</t>
  </si>
  <si>
    <t>good-sized S.Am. Range</t>
  </si>
  <si>
    <t>some capture for trade, benefits from human activity in C.A., but not in MX</t>
  </si>
  <si>
    <t>Red-fronted Parrotlet</t>
  </si>
  <si>
    <t>Touit costaricensis</t>
  </si>
  <si>
    <t>Blue-fronted Parrotlet</t>
  </si>
  <si>
    <t>Touit dilectissimus</t>
  </si>
  <si>
    <t>very uncommon within range (CAW);</t>
  </si>
  <si>
    <t>Brown-hooded Parrot</t>
  </si>
  <si>
    <t>Pyrilia haematotis</t>
  </si>
  <si>
    <t>range looks too long for a 5</t>
  </si>
  <si>
    <t>Saffron-headed Parrot</t>
  </si>
  <si>
    <t>Pyrilia pyrilia</t>
  </si>
  <si>
    <t>Blue-headed Parrot</t>
  </si>
  <si>
    <t>Pionus menstruus</t>
  </si>
  <si>
    <t>no está afectado por la captura</t>
  </si>
  <si>
    <t>White-crowned Parrot</t>
  </si>
  <si>
    <t>Pionus senilis</t>
  </si>
  <si>
    <t>range similar in size to Br-hooded</t>
  </si>
  <si>
    <t>White-fronted Parrot</t>
  </si>
  <si>
    <t>Amazona albifrons</t>
  </si>
  <si>
    <t>Yellow-lored Parrot</t>
  </si>
  <si>
    <t>Amazona xantholora</t>
  </si>
  <si>
    <t>nearly all parrots in Mexico and Central America have declined significantly</t>
  </si>
  <si>
    <t>Red-crowned Parrot</t>
  </si>
  <si>
    <t>Amazona viridigenalis</t>
  </si>
  <si>
    <t>PIFTC-03</t>
  </si>
  <si>
    <t>based on BNA Enkerlin/Hogan 97, Dunn et al 99 Birding, Macias et al in prep</t>
  </si>
  <si>
    <t>&lt;1,500</t>
  </si>
  <si>
    <t>don't know how to treat urban populations?</t>
  </si>
  <si>
    <t>BirdLife suggests a 90% reduction in range from that mapped in Howell &amp; Webb and Natureserve; range estimate based on BirdLife</t>
  </si>
  <si>
    <t>Only a 5 if restricted to borderland populations (CH); MX say nearly gone; capture for trade (MX-NSAC).  MG - Threats include habitat loss, capture for trade, nest destruction for trade.  Nest destruction and capture in USA as well as Mexico; No protection under MBTA  in USA</t>
  </si>
  <si>
    <t>capture for trade</t>
  </si>
  <si>
    <t>Lilac-crowned Parrot</t>
  </si>
  <si>
    <t>Amazona finschi</t>
  </si>
  <si>
    <t>global score should reflect majority of regional experts' opinion -- only one region (SEPL) scored as 4.</t>
  </si>
  <si>
    <t>major decline due to capture for pet trade</t>
  </si>
  <si>
    <t>Red-lored Parrot</t>
  </si>
  <si>
    <t>Amazona autumnalis</t>
  </si>
  <si>
    <t>NS shows tiny range in S.Am.</t>
  </si>
  <si>
    <t>MX endemic, found in 3 regions, regional experts all scored 4</t>
  </si>
  <si>
    <t>Mealy Parrot</t>
  </si>
  <si>
    <t>Amazona farinosa</t>
  </si>
  <si>
    <t>primary forest, capture for trade</t>
  </si>
  <si>
    <t>Yellow-headed Parrot</t>
  </si>
  <si>
    <t>Amazona oratrix</t>
  </si>
  <si>
    <t>probably less than 50,000 birds remaining; split from south american pops; split supported by AOU</t>
  </si>
  <si>
    <t>extirpated from most (~80%) of range in Mexico; split fr Y-cr by AOU</t>
  </si>
  <si>
    <t>extirpated from most (~80%) of range in Mexico; split fr Y-cr by AOUKen comment: extirpated from most (~80%) of range in Mexico; split fr Y-cr by AOU</t>
  </si>
  <si>
    <t>extirpated from some regions, habitat loss, captured for trade</t>
  </si>
  <si>
    <t>Yellow-naped Parrot</t>
  </si>
  <si>
    <t>Amazona auropalliata</t>
  </si>
  <si>
    <t>extensive capture for pet trade has resulted in a major decline; regional experts score PT=5 in SEPL</t>
  </si>
  <si>
    <t>Yellow-crowned Parrot</t>
  </si>
  <si>
    <t>Amazona ochrocephala</t>
  </si>
  <si>
    <t>Sapayoa</t>
  </si>
  <si>
    <t>Sapayoa aenigma</t>
  </si>
  <si>
    <t>Passeriformes</t>
  </si>
  <si>
    <t>Sapayoidae</t>
  </si>
  <si>
    <t>Lance-tailed Manakin</t>
  </si>
  <si>
    <t>Chiroxiphia lanceolata</t>
  </si>
  <si>
    <t>Pipridae</t>
  </si>
  <si>
    <t>Long-tailed Manakin</t>
  </si>
  <si>
    <t>Chiroxiphia linearis</t>
  </si>
  <si>
    <t>White-ruffed Manakin</t>
  </si>
  <si>
    <t>Corapipo altera</t>
  </si>
  <si>
    <t>Green Manakin</t>
  </si>
  <si>
    <t>Cryptopipo holochlora</t>
  </si>
  <si>
    <t>Formerly placed in the genus Xenopipo.</t>
  </si>
  <si>
    <t>Blue-crowned Manakin</t>
  </si>
  <si>
    <t>Lepidothrix coronata</t>
  </si>
  <si>
    <t>White-collared Manakin</t>
  </si>
  <si>
    <t>Manacus candei</t>
  </si>
  <si>
    <t>Orange-collared Manakin</t>
  </si>
  <si>
    <t>Manacus aurantiacus</t>
  </si>
  <si>
    <t>Golden-collared Manakin</t>
  </si>
  <si>
    <t>Manacus vitellinus</t>
  </si>
  <si>
    <t>White-crowned Manakin</t>
  </si>
  <si>
    <t>Pseudopipra pipra</t>
  </si>
  <si>
    <t>Formerly placed in the genus Dixiphia.</t>
  </si>
  <si>
    <t>Red-capped Manakin</t>
  </si>
  <si>
    <t>Ceratopipra mentalis</t>
  </si>
  <si>
    <t>Formerly placed in the genus Pipra.</t>
  </si>
  <si>
    <t>humid evergreen and semi-deciduous forest</t>
  </si>
  <si>
    <t>Restricted to humid lowland and foothills forest within C.A. range; loss of such forests has been extensive in C.A.</t>
  </si>
  <si>
    <t>Golden-headed Manakin</t>
  </si>
  <si>
    <t>Ceratopipra erythrocephala</t>
  </si>
  <si>
    <t>Purple-throated Fruitcrow</t>
  </si>
  <si>
    <t>Querula purpurata</t>
  </si>
  <si>
    <t>Cotingidae</t>
  </si>
  <si>
    <t>One-colored Becard</t>
  </si>
  <si>
    <t>Pachyramphus homochrous</t>
  </si>
  <si>
    <t>Tityridae</t>
  </si>
  <si>
    <t>Sharpbill</t>
  </si>
  <si>
    <t>Oxyruncus cristatus</t>
  </si>
  <si>
    <t>Oxyruncidae</t>
  </si>
  <si>
    <t>movimientos no están bien ententidos, pero parece que tiene varios requesitos que los provoque</t>
  </si>
  <si>
    <t>Royal Flycatcher</t>
  </si>
  <si>
    <t>Onychorhynchus coronatus</t>
  </si>
  <si>
    <t>Onychorhynchidae</t>
  </si>
  <si>
    <t>Centro américa y sur de méxico (CAW); score change from 3 to 4 recommended by Central Americans in 2016</t>
  </si>
  <si>
    <t>severe habitat loss; uses primary forest</t>
  </si>
  <si>
    <t>Ruddy-tailed Flycatcher</t>
  </si>
  <si>
    <t>Terenotriccus erythrurus</t>
  </si>
  <si>
    <t>Tawny-breasted Flycatcher</t>
  </si>
  <si>
    <t>Myiobius villosus</t>
  </si>
  <si>
    <t>Sulphur-rumped Flycatcher</t>
  </si>
  <si>
    <t>Myiobius sulphureipygius</t>
  </si>
  <si>
    <t>restricted to humid evergreen and semi-evergreen forest in lowlands; loss of such forest has been extensive in C.A.; regional experts score PT=5 in SECL</t>
  </si>
  <si>
    <t>Black-tailed Flycatcher</t>
  </si>
  <si>
    <t>Myiobius atricaudus</t>
  </si>
  <si>
    <t>Gray-headed Piprites</t>
  </si>
  <si>
    <t>Piprites griseiceps</t>
  </si>
  <si>
    <t>Tyrannidae</t>
  </si>
  <si>
    <t>Stub-tailed Spadebill</t>
  </si>
  <si>
    <t>Platyrinchus cancrominus</t>
  </si>
  <si>
    <t>forest interior</t>
  </si>
  <si>
    <t>White-throated Spadebill</t>
  </si>
  <si>
    <t>Platyrinchus mystaceus</t>
  </si>
  <si>
    <t>Golden-crowned Spadebill</t>
  </si>
  <si>
    <t>Platyrinchus coronatus</t>
  </si>
  <si>
    <t>Olive-striped Flycatcher</t>
  </si>
  <si>
    <t>Mionectes olivaceus</t>
  </si>
  <si>
    <t>Social Flycatcher</t>
  </si>
  <si>
    <t>Myiozetetes similis</t>
  </si>
  <si>
    <t>benefits from disturbance</t>
  </si>
  <si>
    <t>Gray-capped Flycatcher</t>
  </si>
  <si>
    <t>Myiozetetes granadensis</t>
  </si>
  <si>
    <t>White-ringed Flycatcher</t>
  </si>
  <si>
    <t>Conopias albovittatus</t>
  </si>
  <si>
    <t>Golden-bellied Flycatcher</t>
  </si>
  <si>
    <t>Myiodynastes hemichrysus</t>
  </si>
  <si>
    <t>su tendencia en Costa Rica ha sido más estable</t>
  </si>
  <si>
    <t>Golden-crowned Flycatcher</t>
  </si>
  <si>
    <t>Myiodynastes chrysocephalus</t>
  </si>
  <si>
    <t>Streaked Flycatcher</t>
  </si>
  <si>
    <t>Myiodynastes maculatus</t>
  </si>
  <si>
    <t>unknown, winters S.A.</t>
  </si>
  <si>
    <t>primarily use open and human-altered habitats; not tied exclusively to forests; primarily use open and human-altered habitats; not tied exclusively to forests</t>
  </si>
  <si>
    <t>Sulphur-bellied Flycatcher</t>
  </si>
  <si>
    <t>Myiodynastes luteiventris</t>
  </si>
  <si>
    <t>BBS-15 estimate of 5600 in US/Canada, 150,000 globally is too different from current estimates to be credible (PIFSC-18).</t>
  </si>
  <si>
    <t>Widespread habitat use; tolerant of disturbance (MX-NSAC).</t>
  </si>
  <si>
    <t>unknown, winters S.A..  seems to winter in naturally disturbed (e.g. river-edge) habitats; but still probably sensitive to overall loss of forest (KVR)</t>
  </si>
  <si>
    <t>Piratic Flycatcher</t>
  </si>
  <si>
    <t>Legatus leucophaius</t>
  </si>
  <si>
    <t>primarily open and human-altered habitats; not tied exclusively to forests; primarily open and human-altered habitats; not tied exclusively to forests</t>
  </si>
  <si>
    <t>Tropical Kingbird</t>
  </si>
  <si>
    <t>Tyrannus melancholicus</t>
  </si>
  <si>
    <t>&lt;7,000</t>
  </si>
  <si>
    <t>Urban bird and common in habitat in LRGV, expanding, &lt;15000 (M Gustafson); 15,000 doesn’t seem possible given the relatively few checklists in S TX (&lt;100) and AZ</t>
  </si>
  <si>
    <t>across central america, populations have surely exploded with the clearing of forest.</t>
  </si>
  <si>
    <t>Couch's Kingbird</t>
  </si>
  <si>
    <t>Tyrannus couchii</t>
  </si>
  <si>
    <t>good numbers on BBS routes in BCRs 36 and 37 in Texas (averaging almost 7 birds / route) (Blancher 2018)</t>
  </si>
  <si>
    <t>Cassin's Kingbird</t>
  </si>
  <si>
    <t>Tyrannus vociferans</t>
  </si>
  <si>
    <t>Do fine in grazed and disturbed habitat.</t>
  </si>
  <si>
    <t>not more threatened than other KB's (KR)</t>
  </si>
  <si>
    <t>Thick-billed Kingbird</t>
  </si>
  <si>
    <t>Tyrannus crassirostris</t>
  </si>
  <si>
    <t>BBS-15 estimate of 2000 in US/Canada, 53,000 globally is too different from current estimate to be credible (PIFSC-18).</t>
  </si>
  <si>
    <t>Western Kingbird</t>
  </si>
  <si>
    <t>Tyrannus verticalis</t>
  </si>
  <si>
    <t>b</t>
  </si>
  <si>
    <t>Eastern Kingbird</t>
  </si>
  <si>
    <t>Tyrannus tyrannus</t>
  </si>
  <si>
    <t>Reduced by 40%; NS map shows wintering in most of Columbia, west venezuela, but Hilty &amp; Brown list only as transient in Colombia; Shauensee lists as "casual" in winter in Venezuela; NS map probably overestimates wintering area considerably;</t>
  </si>
  <si>
    <t>DD='species relatively tolerant of human activities and land use' on a rangewide scale.  BNA supports that habitats may be less available in the East, but in the Central and West US, habitats are becoming more available.; Rosenberg: rapid loss of open habitats to development throughout East.</t>
  </si>
  <si>
    <t>DD='threats assumed to be low.'  BNA supports that threats to habitats in neotropics appear to be low..  Highly concentrated in tropical forest and savanah regions; have to assume at least moderate threats (KVR)</t>
  </si>
  <si>
    <t>Gray Kingbird</t>
  </si>
  <si>
    <t>Tyrannus dominicensis</t>
  </si>
  <si>
    <t>based on range and density of other kingbirds in U.S./Canada (3.0 to 4.5 / km2)</t>
  </si>
  <si>
    <t>Reduced by 30%; NS includes large area in n. Venezuela as permanent range, but Ridgley states that only 'a few have begun to breed in Venezuela'.  This mapped area representing only 'a few' birds makes up ~1/3 of total range, thus probably overrepresents t</t>
  </si>
  <si>
    <t>Shaw-23: BBS in US shows non-statistically significant negative trends for PT-c = 3, but vast majority breed in Caribbean where eBird S&amp;T recent trends are mostly negative except for parts of Cuba, no info on long-term trends there.</t>
  </si>
  <si>
    <t>Scissor-tailed Flycatcher</t>
  </si>
  <si>
    <t>Tyrannus forficatus</t>
  </si>
  <si>
    <t>not more threatened than other wintering KB's? (KR)</t>
  </si>
  <si>
    <t>Fork-tailed Flycatcher</t>
  </si>
  <si>
    <t>Tyrannus savana</t>
  </si>
  <si>
    <t>Bran-colored Flycatcher</t>
  </si>
  <si>
    <t>Myiophobus fasciatus</t>
  </si>
  <si>
    <t>Tawny-chested Flycatcher</t>
  </si>
  <si>
    <t>Aphanotriccus capitalis</t>
  </si>
  <si>
    <t>Black-billed Flycatcher</t>
  </si>
  <si>
    <t>Aphanotriccus audax</t>
  </si>
  <si>
    <t>Steller's Eider</t>
  </si>
  <si>
    <t>Polysticta stelleri</t>
  </si>
  <si>
    <t>2/3 adjustment applied to W. Siberia/NE Europe winter estimate, not to N. Pacific spring estimate.</t>
  </si>
  <si>
    <t>climate change and associated increasing shipping and resource development (FWS Mig Birds/ Sea Duck JV 2017)</t>
  </si>
  <si>
    <t>they're tied to more near-shore and lagoon systems, and you could argue that they would be more susceptible to things like shoreline oiling and climate-change-induced changes to lagoon systems (e.g., erosion of barrier islands due to storm surges, lack of ice, sea level rise (FWS Mig Birds/ Sea Duck JV 2017)</t>
  </si>
  <si>
    <t>Bowman et al. 2015; FWS Mig Birds/ Sea Duck JV 2017</t>
  </si>
  <si>
    <t>Rosenberg 2019: BNA also indicates significant declines; CBC would score as PT = 4 due to detection in just 10 circles, would probably be PT5 if larger samples</t>
  </si>
  <si>
    <t>Spectacled Eider</t>
  </si>
  <si>
    <t>Somateria fischeri</t>
  </si>
  <si>
    <t>Late winter survey, 2/3 adjustment applied</t>
  </si>
  <si>
    <t>Derksen et al. 2015; FWS Mig Birds/ Sea Duck JV 2017</t>
  </si>
  <si>
    <t>SPEI are definitely facing greater threats during non-breeding period than other eiders because the entire population concentrates in polynyas in the Bering Sea where the ice is critical for protection and energetically (they haul out on the ice to save energy).  Ice conditions have been shown to have an effect on population dynamics, and the projection is for decreased ice coverage due to climate change.   Either severe ice conditions or lack of ice could have profound effects on the SPEI population.  In addition, benthic communities have been changing from a bivalve-dominated benthic community to a fish-dominated community, again related to climate changes.  (FWS Mig Birds/ Sea Duck JV 2017)</t>
  </si>
  <si>
    <t>Oceans:  Arctic Polynyas</t>
  </si>
  <si>
    <t>King Eider</t>
  </si>
  <si>
    <t>Somateria spectabilis</t>
  </si>
  <si>
    <t>Combined NAWMP 2018 estimate with corrected WPE5 estimate (referred to original source showing 300,000-400,000) for E. Greenland, NE Europe, and W. Siberia.  Applied 2/3 rule to the latter population since they included winter estimates in their total.  WPE5 lacks an estimate for E. Asia, so this is a minimum estimate.</t>
  </si>
  <si>
    <t>&gt;830,000</t>
  </si>
  <si>
    <t>Common Eider</t>
  </si>
  <si>
    <t>Somateria mollissima</t>
  </si>
  <si>
    <t>2/3 adjustment applied to pop estimates in WPE 5 for outside N America and to NAWMP 2018 estimate for N America since all or most from non-breeding surveys</t>
  </si>
  <si>
    <t>Hooded Merganser</t>
  </si>
  <si>
    <t>Lophodytes cucullatus</t>
  </si>
  <si>
    <t xml:space="preserve">Monotypic.
</t>
  </si>
  <si>
    <t>NAWMP 2012 plan provides species-level estimate; NAWMP 2018 says 1,331,000 mergansers combined, but does not separate spp</t>
  </si>
  <si>
    <t>Common Merganser</t>
  </si>
  <si>
    <t>Mergus merganser</t>
  </si>
  <si>
    <t>Red-breasted Merganser</t>
  </si>
  <si>
    <t>Mergus serrator</t>
  </si>
  <si>
    <t>3 of 5 estimates in WPE were non-breeding survveys, assumed other two were also; only NAWMP assumed to be breeding survey</t>
  </si>
  <si>
    <t>Shaw-23: BBS has virtually no coverage where eBird model shows breeding range core in Nunavut, so went with CBC.  eBird S&amp;T recent trends mostly negative or no trend (the latter equivalent to a 2).</t>
  </si>
  <si>
    <t>Masked Duck</t>
  </si>
  <si>
    <t>Nomonyx dominicus</t>
  </si>
  <si>
    <t>nesting twice per Lockwood and Freeman (2014).  Other nesting records are presumed.  Safe to say population is tiny. (Gustafson-19)</t>
  </si>
  <si>
    <t>Some range expansion into Texas, but Mexicans scored 3/3, so 3/3 it is (TrUST 2016).</t>
  </si>
  <si>
    <t>Ruddy Duck</t>
  </si>
  <si>
    <t>Oxyura jamaicensis</t>
  </si>
  <si>
    <t>PIFcalc19; BirdLife 2022; PIFSC-23</t>
  </si>
  <si>
    <t>Shaw-23: used BirdLife polygons to update breeding range sizes, multiplied PIFcalc19 pop estimate by (Ruddy s.s. + Andean km2/Ruddy s.s. km2) to add Andean Duck, but Andean has lower density than Ruddy Duck s.s. based on eBird, so this range-based estimate is likely an overestimate.</t>
  </si>
  <si>
    <t>&lt;1,700,000</t>
  </si>
  <si>
    <t>&lt;1,300,000</t>
  </si>
  <si>
    <t>only 1,500 breed in the Caribbean (NAWMP 2012), sporadic local breeder in Mexico and Central America (BNA Brua 2002) so pop size there unknown but presumably relatively small, with 3,500 naturalized in Europe as of 1992 (but expanding, BNA Brua 2002), so what with rounding, same as original PIFcalc19 global estimate, although global estimate since increased with lump of Andean Duck</t>
  </si>
  <si>
    <t>BirdLife 2022; PIFSC-23</t>
  </si>
  <si>
    <t>Shaw-23: summed Albers Equal Area Conic for Ruddy Duck s.s. (N. America projection) and Andean Duck (S. America projection)</t>
  </si>
  <si>
    <t>3 for TB seems appropriate, similar to Redhead (TrUST 2016).</t>
  </si>
  <si>
    <t>Most similar to LESC in migration. Change winter score to 2, no discernible threats (TrUST 2016).</t>
  </si>
  <si>
    <t>Plain Chachalaca</t>
  </si>
  <si>
    <t>Ortalis vetula</t>
  </si>
  <si>
    <t>can't use BBS-15 estimate of 900 US/Canada, 8000 globally, since based on just 1 BBS route (PIFSC-18).</t>
  </si>
  <si>
    <t>Bentsen alone has 150-200 at one feeding station.  Becoming an urban bird in cities with mature forest. (M Gustafson)</t>
  </si>
  <si>
    <t>widespread and not as highly threatened below U.S. border; edge bird.  But gets hunted out fast; tolerant of disturbance during breeding season (MX-NSAC).  see previous comment about hunting; seems to need at least areas of native habitat, even if disturbed -- do these not add up to "moderate" threats? (KVR)</t>
  </si>
  <si>
    <t>has declined in northern part of range (i.e., Tamp. thornscrub); PT=3 better overall (AP)</t>
  </si>
  <si>
    <t>Gray-headed Chachalaca</t>
  </si>
  <si>
    <t>Ortalis cinereiceps</t>
  </si>
  <si>
    <t>plástica, no necesita bosque primario;</t>
  </si>
  <si>
    <t>Rufous-bellied Chachalaca</t>
  </si>
  <si>
    <t>Ortalis wagleri</t>
  </si>
  <si>
    <t>go with regional score</t>
  </si>
  <si>
    <t>West Mexican Chachalaca</t>
  </si>
  <si>
    <t>Ortalis poliocephala</t>
  </si>
  <si>
    <t>MX endemic, both regions score PT=4</t>
  </si>
  <si>
    <t>Ocellated Quail</t>
  </si>
  <si>
    <t>Cyrtonyx ocellatus</t>
  </si>
  <si>
    <t>es más comun de lo que se piensa pero es dificil detectarla. En guatemala es más local y en Honduras está mas ampliamente distribuida. En Honduras se encuentra en áreas perturbadas. (CAW);.  range map (Howell) overestimates distribution in sierra madre de chiapas</t>
  </si>
  <si>
    <t>Singing Quail</t>
  </si>
  <si>
    <t>Dactylortyx thoracicus</t>
  </si>
  <si>
    <t>rango pequeño y fragmentado. (CAW);.  range map (Howell) overestimates distribution in yucatan</t>
  </si>
  <si>
    <t>global score should reflect regional expert's opinion; most regions score as TB=3.</t>
  </si>
  <si>
    <t>forest-interior and edge; hunted; wide range of forest types</t>
  </si>
  <si>
    <t>Marbled Wood-Quail</t>
  </si>
  <si>
    <t>Odontophorus gujanensis</t>
  </si>
  <si>
    <t>cacería y pérdida de hábitat</t>
  </si>
  <si>
    <t>Black-eared Wood-Quail</t>
  </si>
  <si>
    <t>Odontophorus melanotis</t>
  </si>
  <si>
    <t>una pérdida de más de 50% de su hábitat; ya restringida a la cordillera</t>
  </si>
  <si>
    <t>Tacarcuna Wood-Quail</t>
  </si>
  <si>
    <t>Odontophorus dialeucos</t>
  </si>
  <si>
    <t>Red-necked Grebe</t>
  </si>
  <si>
    <t>Podiceps grisegena</t>
  </si>
  <si>
    <t>coastal pollution, bycatch</t>
  </si>
  <si>
    <t>Eared Grebe</t>
  </si>
  <si>
    <t>Podiceps nigricollis</t>
  </si>
  <si>
    <t>wetland losses in west; drying trend may increase salinity, threaten food base</t>
  </si>
  <si>
    <t>continuing concerns over mono lake, an important stopover/wintering area; outbreaks of diseases, botulism</t>
  </si>
  <si>
    <t>Western Grebe</t>
  </si>
  <si>
    <t>Aechmophorus occidentalis</t>
  </si>
  <si>
    <t>wetland losses in general in the west, but may be greatest in great basin, where many of these birds breed</t>
  </si>
  <si>
    <t>BBS9021-AS</t>
  </si>
  <si>
    <t>Clark's Grebe</t>
  </si>
  <si>
    <t>Aechmophorus clarkii</t>
  </si>
  <si>
    <t>wetland losses may be greatest in great basin, where many of these birds breed</t>
  </si>
  <si>
    <t>Rock Pigeon</t>
  </si>
  <si>
    <t>Columba livia</t>
  </si>
  <si>
    <t>RMBO; PIFSC-CVS 2022</t>
  </si>
  <si>
    <t>Pale-vented Pigeon</t>
  </si>
  <si>
    <t>Patagioenas cayennensis</t>
  </si>
  <si>
    <t>Scaled Pigeon</t>
  </si>
  <si>
    <t>Patagioenas speciosa</t>
  </si>
  <si>
    <t>White-crowned Pigeon</t>
  </si>
  <si>
    <t>Patagioenas leucocephala</t>
  </si>
  <si>
    <t>Hunter-Wylie-Meyer</t>
  </si>
  <si>
    <t>score change based on new data.  Según expertos la población reproductiva es de 550,000 (CAW).  consensus among species experts</t>
  </si>
  <si>
    <t>&lt;12,000</t>
  </si>
  <si>
    <t>FL FWCC 2011</t>
  </si>
  <si>
    <t>DD=' threats ongoing -- presently affecting populations and likely to continue'.  BNA supports that species subject to losses of nesting and feeding habitats in mangroves and woodlands due to development, residential landscape practices, hurricanes. Population stable on Cozumel (MX-NSAC); The main conservation threats throughout the range of distribution are habitat loss due to development and poorly regulated or illegal hunting (e.g., Cuba, Jamaica, Hispaniola, Puerto Rico, Cayman Islands, and the Bahamas).  Poaching of nestlings is also a major threat in Hispaniola, where complete colonies have disappeared since the 1970s. Contaminants can also be important but locally (e.g., pigeons have been found dead probably from the misuse of pesticides at golf courses in Puerto Rico)._x000D_
 _x000D_
Unfortunately, the WCPI is heavily hunted but monitoring data are lacking and quantitative population assessments are rare in the Caribbean.  In a separate email, I will send you a report prepared for the FWS-DBHC Neotropical Migratory Bird Program._x000D_
 _x000D_
In Puerto Rico, natural resource managers are concerned with illegal hunting.  (Rivera, pers. comm.. 2015).</t>
  </si>
  <si>
    <t>DD=' threats ongoing -- presently affecting populations and likely to continue'.  BNA supports that species subject to losses of feeding habitats in woodlands due to development, residential landscape practices, hurricanes. Not clear where certain breeding; stable on Cozumel</t>
  </si>
  <si>
    <t>Rivera/Meyer/Demarest 2015</t>
  </si>
  <si>
    <t>there are no quantitative analyses of population status and trend available for the WCPI in Florida, because survey effort has been inconsistent in terms of coverage and count methodology (e.g., see Florida Fish and Wildlife Conservation Commission 2011, Biological status review report for the WCPI).  In my view,  it is "unknown" if the WCPI population is decreasing, increasing or stable in Florida, regardless of personal opinions and observations at local scales (see pages 3 and 4 of the FWC status review report).  However, based on the scientific literature cited in that report, I agree that habitat loss due to land development is the main conservation threat to the WCPI in Florida. In Puerto Rico, natural resource managers are concerned with illegal hunting.  To address this concern, point-transect distance sampling surveys were conducted to estimate abundance (density and population size) in 1986-2014; and abundance estimates derived from these surveys were used to estimate population and management parameters (growth rate, carrying capacity, equilibrium abundance, harvest rate, total harvest) and predict changes in abundance in April-June 2025 as a function of potential harvest rate in September-November 2015-2024 (see the attached figure and table).
The WCPI population increased from low numbers in the 1980s most likely as a result of forest recovery in abandoned agricultural fields and cattle pastures, reaching a maximum of 83,139 individuals (SE = 11,039) in 2008. Recovery was quick from hurricanes in 1989 (Hugo) and 1998 (Georges), but the population declined sharply after 2008, reaching 14,980 individuals (SE = 1,534) in 2013.  See the attached figure.
Although data about illegal hunting is unavailable, an unprecedented increase in hunting activity occurred in 2008-2014, and illegal hunting is occurring even in closed areas.  For this reason, the count-based monitoring data were used to conduct a probabilistic model-based assessment of population sustainability, grounded in harvest theory, which assumed no hunting (i.e., complete management control) or hunting (partial management control) below and above the maximum sustainable yield. At least in Puerto Rico, the WCPI population showed a decline &gt;50% between 2008 and 2014.  I cannot answer the question for other islands, although in my view it is likely that the WCPI has suffered declines &gt;50% on islands such as Hispaniola due to habitat loss, hunting, and poaching. (Frank River, pers. comm.. With Dean Demarest</t>
  </si>
  <si>
    <t>Red-billed Pigeon</t>
  </si>
  <si>
    <t>Patagioenas flavirostris</t>
  </si>
  <si>
    <t>guesstimate based on eBird distribution</t>
  </si>
  <si>
    <t>widespread generalist in most of range (KR); 3 if all Latin American populations considered (CH); hunting, moderate habitat loss (MX-NSAC).  MG - Dramatic changes in riparian corridor  in south TX post flood; loss of flood plain forest due to drought in USA portion of the range</t>
  </si>
  <si>
    <t>widespread generalist in most of range (KR); hunting, moderate habitat loss</t>
  </si>
  <si>
    <t>Caribbean Dove</t>
  </si>
  <si>
    <t>Leptotila jamaicensis</t>
  </si>
  <si>
    <t>200-km rule no longer applies; island range but still BD=4</t>
  </si>
  <si>
    <t>200-km rule no longer applies but still ND=4</t>
  </si>
  <si>
    <t>occupies open areas, gardens, and dense secondary forests in Caribbean (Rafaelle et al. 1998)</t>
  </si>
  <si>
    <t>Gray-chested Dove</t>
  </si>
  <si>
    <t>Leptotila cassinii</t>
  </si>
  <si>
    <t>TB=3 more appropriate given some use of disturbed habitats.</t>
  </si>
  <si>
    <t>Gray-headed Dove</t>
  </si>
  <si>
    <t>Leptotila plumbeiceps</t>
  </si>
  <si>
    <t>Has been split; gray-headed dove occurs in mexico to NW colombia (~1/3 of former range); score change from 3 to 4 recommended by Central Americans in 2016</t>
  </si>
  <si>
    <t>Tuxtla Quail-Dove</t>
  </si>
  <si>
    <t>Zentrygon carrikeri</t>
  </si>
  <si>
    <t>habitat loss, specialized habitat</t>
  </si>
  <si>
    <t>Buff-fronted Quail-Dove</t>
  </si>
  <si>
    <t>Zentrygon costaricensis</t>
  </si>
  <si>
    <t>puede ser sensible a cambio climático por su uso de bosques de alto altitud</t>
  </si>
  <si>
    <t>en Costa Rica no han sido problemas con su hábitat debido de los parques nacionales</t>
  </si>
  <si>
    <t>Purplish-backed Quail-Dove</t>
  </si>
  <si>
    <t>Zentrygon lawrencii</t>
  </si>
  <si>
    <t>utilice áreas con acceso dificil y no apropriados para agricultura</t>
  </si>
  <si>
    <t>White-faced Quail-Dove</t>
  </si>
  <si>
    <t>Zentrygon albifacies</t>
  </si>
  <si>
    <t>No son comunes y está en áreas pequeñas (local) (CAW);</t>
  </si>
  <si>
    <t>Chiriqui Quail-Dove</t>
  </si>
  <si>
    <t>Zentrygon chiriquensis</t>
  </si>
  <si>
    <t>Russet-crowned Quail-Dove</t>
  </si>
  <si>
    <t>Zentrygon goldmani</t>
  </si>
  <si>
    <t>White-winged Dove</t>
  </si>
  <si>
    <t>Zenaida asiatica</t>
  </si>
  <si>
    <t>score change from 2 to 1 recommended by Central Americans in 2016 over PIF estimate of 10000000</t>
  </si>
  <si>
    <t>Natureserve 3.0 with adjustments by PIFSC-08</t>
  </si>
  <si>
    <t>Added 1.5M km2; BNA &amp; Howell show widespread PR in Mex, contra NS</t>
  </si>
  <si>
    <t>BNA &amp; Howell show widespread PR in Mex, contra NS
Ken comment: Add 1.7M km2 in Mexico; BNA &amp; Howell show widespread PR in Mex, contra NS</t>
  </si>
  <si>
    <t>CB-more selective in habitat than MODOs, depend on tall, dense salt cedars (AZ fed. Aid report).</t>
  </si>
  <si>
    <t>Belted Flycatcher</t>
  </si>
  <si>
    <t>Xenotriccus callizonus</t>
  </si>
  <si>
    <t>found in only 1 region where regional experts suggest a major decline</t>
  </si>
  <si>
    <t>Pileated Flycatcher</t>
  </si>
  <si>
    <t>Xenotriccus mexicanus</t>
  </si>
  <si>
    <t>Tufted Flycatcher</t>
  </si>
  <si>
    <t>Mitrephanes phaeocercus</t>
  </si>
  <si>
    <t>restricted to highland forests; all regions in MX score PT=4</t>
  </si>
  <si>
    <t>Olive-sided Flycatcher</t>
  </si>
  <si>
    <t>Contopus cooperi</t>
  </si>
  <si>
    <t>Monotypic</t>
  </si>
  <si>
    <t>PIFcalc19-bbs0615,ona0105,eBird7017,nwt9501</t>
  </si>
  <si>
    <t>Reduced by 25%; NS breeding range way too extensive in New England, NY, Appalachians, Alaska, and in western U.S. mountains (reduce by 25%)</t>
  </si>
  <si>
    <t>Reduced by 50%; NS Winter range too extensive in SA -- probably 50% of mapped range.</t>
  </si>
  <si>
    <t>Does not seem to be threatened by forestry, but is sensitive to loss of forested landscapes, and possibly to declines of large flying insects.</t>
  </si>
  <si>
    <t>Winters in threatened area: east slope of Andes.  Not clear what specific threats are, but winter concentrations in lower montane forests that are highy threatened (KVR)</t>
  </si>
  <si>
    <t>Greater Pewee</t>
  </si>
  <si>
    <t>Contopus pertinax</t>
  </si>
  <si>
    <t>140,000 globally extrapolated with eBird (PIFSC-18).</t>
  </si>
  <si>
    <t>Yellow-bellied Flycatcher</t>
  </si>
  <si>
    <t>Empidonax flaviventris</t>
  </si>
  <si>
    <t>PIFcalc19-bbs0615,ona0105,eBird7017</t>
  </si>
  <si>
    <t>Prefers forest, but uses shade coffee and thickets.  I agree (KR)</t>
  </si>
  <si>
    <t>Acadian Flycatcher</t>
  </si>
  <si>
    <t>Empidonax virescens</t>
  </si>
  <si>
    <t>DD='moderately vulnerable to human activities and land use.'  BNA supports species is susceptible to forest fragmentation and is area sensitive, leading to problems with parasitism and predation.  Threats potentially increasing if trends continue.</t>
  </si>
  <si>
    <t>DD='moderately vulnerable to human activities and land use.'  BNA supports species may need large forested habitats in nonbreeding season just as in breeding season, thus, threats potentially increasing if trends continue.</t>
  </si>
  <si>
    <t>Alder Flycatcher</t>
  </si>
  <si>
    <t>Empidonax alnorum</t>
  </si>
  <si>
    <t>BBS7821-AS</t>
  </si>
  <si>
    <t>Willow Flycatcher</t>
  </si>
  <si>
    <t>Empidonax traillii</t>
  </si>
  <si>
    <t>PIFcalc19-bbs0615; PIFSC-20</t>
  </si>
  <si>
    <t>PIFSC-20: Willow Flycatcher extremely rare as a breeder (listed on Mexico's NOM-059) in the Lower Colorado River Valley today, and there is essentially no habitat remaining on the Mexico side. The restoration projects in the Delta could attract some WIFL but not enough to change global estimates, so used US/Canada estimate as global estimate.</t>
  </si>
  <si>
    <t>changed due to calibration with TB-r; only 10 of 25 BCRs (&lt;10% of pop) scored TB&gt;3</t>
  </si>
  <si>
    <t>occupies open/shrubby grazing lands in lowlands; threats mostly low (2 OK) (Panjabi)</t>
  </si>
  <si>
    <t>White-throated Flycatcher</t>
  </si>
  <si>
    <t>Empidonax albigularis</t>
  </si>
  <si>
    <t>Least Flycatcher</t>
  </si>
  <si>
    <t>Empidonax minimus</t>
  </si>
  <si>
    <t>In relatively disturbed sites, regenerating forest (KR).  Actually threatened by maturing of forests in New England and perhaps elsewhere; not urban or agricultural adapted -- should be like other native forest birds (KVR); Camfield,Alaine [NCR]: TB 2 in Canadian BCR strategies.  Main threats related to habitat loss from forestry.</t>
  </si>
  <si>
    <t>Hammond's Flycatcher</t>
  </si>
  <si>
    <t>Empidonax hammondii</t>
  </si>
  <si>
    <t>More generalized in winter.  still requires Mexican pine-oak and cloud forest in winter should be consistent with resident birds in same habitat (KVR); winters especially in mature montane forests (Panjabi)</t>
  </si>
  <si>
    <t>Gray Flycatcher</t>
  </si>
  <si>
    <t>Empidonax wrightii</t>
  </si>
  <si>
    <t>in mature pinyon-juniper - a threatened habitat in many areas  (KR).</t>
  </si>
  <si>
    <t>winters in shrubby grazing lands in southern chihuahuan desert (not a forest bird), suggest staying with 2 (Panjabi)</t>
  </si>
  <si>
    <t>Dusky Flycatcher</t>
  </si>
  <si>
    <t>Empidonax oberholseri</t>
  </si>
  <si>
    <t>Pine Flycatcher</t>
  </si>
  <si>
    <t>Empidonax affinis</t>
  </si>
  <si>
    <t>Pacific-slope Flycatcher</t>
  </si>
  <si>
    <t>Empidonax difficilis</t>
  </si>
  <si>
    <t>More generalized in winter.  winters primarily in dry forest and riparaian; still requires native habitat; should be consistent with resident forest birds in same habitat (KVR)</t>
  </si>
  <si>
    <t>BBS7021-AS</t>
  </si>
  <si>
    <t>Cordilleran Flycatcher</t>
  </si>
  <si>
    <t>Empidonax occidentalis</t>
  </si>
  <si>
    <t>in mature montane coniferous and canyon forests (KR).</t>
  </si>
  <si>
    <t>More generalized in winter.  still requires Mexican pine-oak and cloud forest in winter should be consistent with resident birds in same habitat (KVR)</t>
  </si>
  <si>
    <t>Yellowish Flycatcher</t>
  </si>
  <si>
    <t>Empidonax flavescens</t>
  </si>
  <si>
    <t>severe habitat loss; uses cloud forest</t>
  </si>
  <si>
    <t>Buff-breasted Flycatcher</t>
  </si>
  <si>
    <t>Empidonax fulvifrons</t>
  </si>
  <si>
    <t>Higher score for U.S. and northern Mexico (4); tolerant of disturbance (MX-NSAC).  CB- C. Conway's work suggests that they are not tolerant of disturbance; TB=3 is probably OK; common and widespread in most of range; habitat sensitivity/specialization in AZ may be an artifact of edge of range (AP).</t>
  </si>
  <si>
    <t>uses broader range of habitats in winter; tolerant of disturbance.  still requires native habitat, even if more tolerant in winter; should be consistent with resident birds in same habitat (KVR); moves to lower elevantions in winter wher it occupies open habitats and edge, disturbed areas; suggest keeping at 2 (Panjabi)</t>
  </si>
  <si>
    <t>Black-capped Flycatcher</t>
  </si>
  <si>
    <t>Empidonax atriceps</t>
  </si>
  <si>
    <t>puede ser afectada por cambio climático</t>
  </si>
  <si>
    <t>Black Phoebe</t>
  </si>
  <si>
    <t>Sayornis nigricans</t>
  </si>
  <si>
    <t>Seems highly tolerant of human activities and urban development; may even benefit from irrigated ag and suburbia? (KVR); very adaptable species across its very large range, TB-g=2 is most appropriate (AP)</t>
  </si>
  <si>
    <t>Eastern Phoebe</t>
  </si>
  <si>
    <t>Sayornis phoebe</t>
  </si>
  <si>
    <t>DD='species tolerant of human activity and land use.'  BNA supports this.  Although species actually increased and expanded due to human acivities, the fact it is now dependent on man for nest sites to a large extent keeps it from being TB 1.</t>
  </si>
  <si>
    <t>DD='species tolerant of human activity and land use.'  BNA supports this.  Although species actually increased and expanded due to human acivities, it does not thrive in severly degraded habitats.</t>
  </si>
  <si>
    <t>Say's Phoebe</t>
  </si>
  <si>
    <t>Sayornis saya</t>
  </si>
  <si>
    <t>NS over maps winter range by including sierra madre occidental and lowland west and southwest Mexico.  These areas are not included in Nat Geo and Howell and Webb.  Reduced Mx NBr range by 1/3 = 530,000 km (Ken Rosenberg)</t>
  </si>
  <si>
    <t>Vermilion Flycatcher</t>
  </si>
  <si>
    <t>Pyrocephalus rubinus</t>
  </si>
  <si>
    <t>PIFcalc19-eBird7017,bbs0615; PIFSC-23</t>
  </si>
  <si>
    <t>PIFSC-23: splitting off P. nanus likely has little influence on PS-g since relatively small population</t>
  </si>
  <si>
    <t>Shaw-22: splitting off P. nanus has no impact on US pop estimate</t>
  </si>
  <si>
    <t>Shaw-23: range size increased due to BirdLife mapping a larger area, more than offsetting split of P. nanus.  Used World Cylindrical Equal Area projection to estimate area.</t>
  </si>
  <si>
    <t>Pied Water-Tyrant</t>
  </si>
  <si>
    <t>Fluvicola pica</t>
  </si>
  <si>
    <t>PIF CAW 2016; Bird Conservancy of the Rockies 2019</t>
  </si>
  <si>
    <t>multiplied geometric midpoint of PS-g = 2 pop size range by the % of the pre-split breeding range that remains classified as Pied Water-Tyrant, which falls at the upper end of the PS-g = 3 pop size range</t>
  </si>
  <si>
    <t>Northern Scrub-Flycatcher</t>
  </si>
  <si>
    <t>Sublegatus arenarum</t>
  </si>
  <si>
    <t>Long-tailed Tyrant</t>
  </si>
  <si>
    <t>Colonia colonus</t>
  </si>
  <si>
    <t>Black-crowned Antpitta</t>
  </si>
  <si>
    <t>Pittasoma michleri</t>
  </si>
  <si>
    <t>Conopophagidae</t>
  </si>
  <si>
    <t>Fasciated Antshrike</t>
  </si>
  <si>
    <t>Cymbilaimus lineatus</t>
  </si>
  <si>
    <t>Thamnophilidae</t>
  </si>
  <si>
    <t>Great Antshrike</t>
  </si>
  <si>
    <t>Taraba major</t>
  </si>
  <si>
    <t>second growth and forest edge in primary forest</t>
  </si>
  <si>
    <t>Barred Antshrike</t>
  </si>
  <si>
    <t>Thamnophilus doliatus</t>
  </si>
  <si>
    <t>score change from 2 to 1 recommended by Central Americans in 2016</t>
  </si>
  <si>
    <t>forest edge</t>
  </si>
  <si>
    <t>Black Antshrike</t>
  </si>
  <si>
    <t>Thamnophilus nigriceps</t>
  </si>
  <si>
    <t>Black-hooded Antshrike</t>
  </si>
  <si>
    <t>Thamnophilus bridgesi</t>
  </si>
  <si>
    <t>Black-crowned Antshrike</t>
  </si>
  <si>
    <t>Thamnophilus atrinucha</t>
  </si>
  <si>
    <t>Formerly known as Western Slaty-Antshrike.</t>
  </si>
  <si>
    <t>Spiny-faced Antshrike</t>
  </si>
  <si>
    <t>Xenornis setifrons</t>
  </si>
  <si>
    <t>Russet Antshrike</t>
  </si>
  <si>
    <t>Thamnistes anabatinus</t>
  </si>
  <si>
    <t>Gomez-Panjabi; EBD20</t>
  </si>
  <si>
    <t>Shaw-22: according to EBD20, 98.9% of the pre-split population falls within the breeding range of Russet Antshike, so no change to PS-g score</t>
  </si>
  <si>
    <t>Shaw-22: BirdLife apparently hasn't split off Rufescent Antshrike, but somehow doesn't include its range in the Russet Antshrike polygons, so used polygons as is.</t>
  </si>
  <si>
    <t>Plain Antvireo</t>
  </si>
  <si>
    <t>Dysithamnus mentalis</t>
  </si>
  <si>
    <t>Restricted to humid lowland and foothills forest within limited C.A. range; loss of such forests has been extensive in C.A.</t>
  </si>
  <si>
    <t>Streak-crowned Antvireo</t>
  </si>
  <si>
    <t>Dysithamnus striaticeps</t>
  </si>
  <si>
    <t>Spot-crowned Antvireo</t>
  </si>
  <si>
    <t>Dysithamnus puncticeps</t>
  </si>
  <si>
    <t>Moustached Antwren</t>
  </si>
  <si>
    <t>Myrmotherula ignota</t>
  </si>
  <si>
    <t>Pacific Antwren</t>
  </si>
  <si>
    <t>Myrmotherula pacifica</t>
  </si>
  <si>
    <t>White-flanked Antwren</t>
  </si>
  <si>
    <t>Myrmotherula axillaris</t>
  </si>
  <si>
    <t>Slaty Antwren</t>
  </si>
  <si>
    <t>Myrmotherula schisticolor</t>
  </si>
  <si>
    <t>Grupo CA-sur: amenazas de 5 es demasiado alta (PIF CAW)</t>
  </si>
  <si>
    <t>restricted in elevation; primary forest; endanger of extirpation from Mexico</t>
  </si>
  <si>
    <t>Checker-throated Stipplethroat</t>
  </si>
  <si>
    <t>Epinecrophylla fulviventris</t>
  </si>
  <si>
    <t>Rusty-winged Antwren</t>
  </si>
  <si>
    <t>Herpsilochmus frater</t>
  </si>
  <si>
    <t>Formerly considered conspecific with Herpsilochmus rufimarginatus.</t>
  </si>
  <si>
    <t>PIFSC-23; BOTW; NatureServe 3.0</t>
  </si>
  <si>
    <t>Shaw-23: used BOTW map to see which polygons in NatureServe shapefile (since that was originally used to score PS-g) are still part of Rusty-winged Antwren.  Took midpoint of pop range for PS-g = 2 and multiplied by the % range outside SE Brazil.</t>
  </si>
  <si>
    <t>Shaw-23: BirdLife recognizes a slightly different taxon, Herpsilochmus scapularis, with a shapefile which is mapped more comprehensively than the old NatureServe shapefile that is missing some parts of Brazil, so adapted H. scapularis shapefile by removing the area SW of Alagoas, Brazil as per AOS distribution statement.  I used map projection Lambert Azimuthal Equal Area South America (SERENA).</t>
  </si>
  <si>
    <t>Dot-winged Antwren</t>
  </si>
  <si>
    <t>Microrhopias quixensis</t>
  </si>
  <si>
    <t>dependent on humid lowland forests in MX and C.A., where extensive habitat loss and fragmentation has occurred; like virtually all antbirds, highly sensitive to fragmentation</t>
  </si>
  <si>
    <t>White-fringed Antwren</t>
  </si>
  <si>
    <t>Formicivora grisea</t>
  </si>
  <si>
    <t>incertidumbre en tenencia de tierra</t>
  </si>
  <si>
    <t>Rufous-rumped Antwren</t>
  </si>
  <si>
    <t>Euchrepomis callinota</t>
  </si>
  <si>
    <t>Formerly placed in the genus Terenura.</t>
  </si>
  <si>
    <t>Dusky Antbird</t>
  </si>
  <si>
    <t>Cercomacroides tyrannina</t>
  </si>
  <si>
    <t>severe habitat loss; uses primary forest and second growth</t>
  </si>
  <si>
    <t>Jet Antbird</t>
  </si>
  <si>
    <t>Cercomacra nigricans</t>
  </si>
  <si>
    <t>Bare-crowned Antbird</t>
  </si>
  <si>
    <t>Gymnocichla nudiceps</t>
  </si>
  <si>
    <t>Zeledon's Antbird</t>
  </si>
  <si>
    <t>Hafferia zeledoni</t>
  </si>
  <si>
    <t>Formerly placed in the genus Myrmeciza.</t>
  </si>
  <si>
    <t>White-bellied Antbird</t>
  </si>
  <si>
    <t>Myrmeciza longipes</t>
  </si>
  <si>
    <t>Chestnut-backed Antbird</t>
  </si>
  <si>
    <t>Poliocrania exsul</t>
  </si>
  <si>
    <t>Dull-mantled Antbird</t>
  </si>
  <si>
    <t>Sipia laemosticta</t>
  </si>
  <si>
    <t>PIFSC-23; NatureServe 3.0</t>
  </si>
  <si>
    <t>Shaw-23: split NatureServe polygon by Panama/Colombia border to calculate % of pre-split Dull-mantled Antbird range that is still classified as such.  Multiplied % range by midpoint of PS-g = 2 pop size range to estimate pop size.</t>
  </si>
  <si>
    <t>Shaw-23: split NatureServe polygon by Panama/Colombia border to split off Magdalena Antbird.  Used North America Albers Equal Area Conic map projection to estimate area.</t>
  </si>
  <si>
    <t>Spotted Antbird</t>
  </si>
  <si>
    <t>Hylophylax naevioides</t>
  </si>
  <si>
    <t>Wing-banded Antbird</t>
  </si>
  <si>
    <t>Myrmornis torquata</t>
  </si>
  <si>
    <t>suceptible a fragmentación; especializada</t>
  </si>
  <si>
    <t>Zenaida Dove</t>
  </si>
  <si>
    <t>Zenaida aurita</t>
  </si>
  <si>
    <t>much of habitat protected, but restricted to coastal scrub; threatened by hurricanes and fire</t>
  </si>
  <si>
    <t>consensus from caribbean experts (Jaime Collazo, Frank Rivera, Chuck Hunter) is this species is stable or increasing</t>
  </si>
  <si>
    <t>Mourning Dove</t>
  </si>
  <si>
    <t>Zenaida macroura</t>
  </si>
  <si>
    <t>Socorro Dove</t>
  </si>
  <si>
    <t>Zenaida graysoni</t>
  </si>
  <si>
    <t>extinct in the wild</t>
  </si>
  <si>
    <t>no map; but very small range</t>
  </si>
  <si>
    <t>no map; but very small rangeKen comment: no map; but very small range</t>
  </si>
  <si>
    <t>extinct in wild</t>
  </si>
  <si>
    <t>EW</t>
  </si>
  <si>
    <t>Greater Ani</t>
  </si>
  <si>
    <t>Crotophaga major</t>
  </si>
  <si>
    <t>Smooth-billed Ani</t>
  </si>
  <si>
    <t>Crotophaga ani</t>
  </si>
  <si>
    <t>PIFSC-15</t>
  </si>
  <si>
    <t>DD='- species relatively tolerant of human activities or land-use trends (i.e. breeds in altered landscapes)'.  BNA supports that species thrives in altered landscapes created due to ag and forestry practices; habitat loss; has declined for unknown reasons (MX-NSAC).  DJK= possibly soon to be extirpated from US?</t>
  </si>
  <si>
    <t>DD='- species relatively tolerant of human activities or land-use trends (i.e. breeds in altered landscapes)'.  BNA supports that species thrives in altered landscapes created due to ag and forestry practices; habitat loss; has declined for unknown reasons.  How was this species scored in Mexico? Seems to be more of a trash bird there and not sure what would constitute "moderate" threats? (KVR); Mexican scored as TB/TN=3, but species barely gets into Mexico.  In rest of Central American and Caribbean range, this species benefits from pastures, cultivated land, and early second growth/edge; Habitat requirements  compatible with predominant land uses in most of range; Central Americans scored 1-3, depending on country (Panjabi).</t>
  </si>
  <si>
    <t>PIFSC-12</t>
  </si>
  <si>
    <t>Rafaelle et al. (1998) note 'populations fluctuate on small islands'; unless negative trend is documented in Caribbean, I suggest PT=3, given observed declines in peripheral areas; more information needed</t>
  </si>
  <si>
    <t>Yucatan Nightjar</t>
  </si>
  <si>
    <t>Antrostomus badius</t>
  </si>
  <si>
    <t>No new information? (CAW);</t>
  </si>
  <si>
    <t>Buff-collared Nightjar</t>
  </si>
  <si>
    <t>Antrostomus ridgwayi</t>
  </si>
  <si>
    <t>guestimate based on eBird distribution; % Pop'n in US should be &lt;1%</t>
  </si>
  <si>
    <t>Eastern Whip-poor-will</t>
  </si>
  <si>
    <t>Antrostomus vociferus</t>
  </si>
  <si>
    <t>Crashing in North America. Brad Jacobs says all caprimulgids have declined greatly. (CAW);.  Whip-poor-will split in 2011</t>
  </si>
  <si>
    <t>DD='does not breed in highly altered landscapes.'  BNA supports that modified habitats not suitable, but information on habitat needs and threats to those is largely lacking.</t>
  </si>
  <si>
    <t>DD='no information available.'  Not much information for wintering areas.  poorly known but winters in tropical forest regions (KVR)</t>
  </si>
  <si>
    <t>Dusky Nightjar</t>
  </si>
  <si>
    <t>Antrostomus saturatus</t>
  </si>
  <si>
    <t>la cambia climático puede afectar la disponibilidad de insectos</t>
  </si>
  <si>
    <t>Mexican Whip-poor-will</t>
  </si>
  <si>
    <t>Antrostomus arizonae</t>
  </si>
  <si>
    <t>avg of BCR scores.</t>
  </si>
  <si>
    <t>White-tailed Nightjar</t>
  </si>
  <si>
    <t>Hydropsalis cayennensis</t>
  </si>
  <si>
    <t>utiliza áreas abiertas; la cambia climático puede afectar la disponibilidad de insectos</t>
  </si>
  <si>
    <t>rara y desconocida</t>
  </si>
  <si>
    <t>Spot-tailed Nightjar</t>
  </si>
  <si>
    <t>Hydropsalis maculicaudus</t>
  </si>
  <si>
    <t>wintering status uncertain</t>
  </si>
  <si>
    <t>MX endemic found in 1 regions; regional experts suggest PT=2</t>
  </si>
  <si>
    <t>Oilbird</t>
  </si>
  <si>
    <t>Steatornis caripensis</t>
  </si>
  <si>
    <t>Steatornithiformes</t>
  </si>
  <si>
    <t>Steatornithidae</t>
  </si>
  <si>
    <t>no NS map; conservative estimate (CAW);</t>
  </si>
  <si>
    <t>tiene una dieta especializada; anida en colonias en cuevas</t>
  </si>
  <si>
    <t>registros han aumentado en los últimos cinco años</t>
  </si>
  <si>
    <t>Great Potoo</t>
  </si>
  <si>
    <t>Nyctibius grandis</t>
  </si>
  <si>
    <t>Nyctibiiformes</t>
  </si>
  <si>
    <t>Nyctibiidae</t>
  </si>
  <si>
    <t>humid evergreen forest edge</t>
  </si>
  <si>
    <t>Common Potoo</t>
  </si>
  <si>
    <t>Nyctibius griseus</t>
  </si>
  <si>
    <t>Northern Potoo</t>
  </si>
  <si>
    <t>Nyctibius jamaicensis</t>
  </si>
  <si>
    <t>tropical lowland forest</t>
  </si>
  <si>
    <t>White-collared Swift</t>
  </si>
  <si>
    <t>Streptoprocne zonaris</t>
  </si>
  <si>
    <t>Forest Aerial:  Tropical Lowland Evergreen</t>
  </si>
  <si>
    <t>White-naped Swift</t>
  </si>
  <si>
    <t>Streptoprocne semicollaris</t>
  </si>
  <si>
    <t>specialized nesting habitat (caves, near water), aerial insectivore, climate change predictions forecast increasing aridity for sierra madre oriental (D. Desante, IBP); global score should reflect regional expert's opinion; all core regions score as TB=2.</t>
  </si>
  <si>
    <t>no information; aerial insectivore, climate change forecasts increasing aridity, likely resulting in decline of aerial insects</t>
  </si>
  <si>
    <t>Forest Aerial:  Mesoamerican Pine-Oak</t>
  </si>
  <si>
    <t>Forests Aerial:  Tropical Dry</t>
  </si>
  <si>
    <t>Forest Aerial:  Tropical Dry</t>
  </si>
  <si>
    <t>Gray-rumped Swift</t>
  </si>
  <si>
    <t>Chaetura cinereiventris</t>
  </si>
  <si>
    <t>Band-rumped Swift</t>
  </si>
  <si>
    <t>Chaetura spinicaudus</t>
  </si>
  <si>
    <t>conservative estimate (CAW);</t>
  </si>
  <si>
    <t>Costa Rican Swift</t>
  </si>
  <si>
    <t>Chaetura fumosa</t>
  </si>
  <si>
    <t>Chimney Swift</t>
  </si>
  <si>
    <t>Chaetura pelagica</t>
  </si>
  <si>
    <t>Rosenberg-16</t>
  </si>
  <si>
    <t>Reduced by 2/3rds NatureServe range of 1,540,838; S.A. (winter) range in Birds of the World 1/3 the area shown in NS map.  Agree with '3' for nd.  (Ken Rosenberg)</t>
  </si>
  <si>
    <t>DD=are nest sites the limiting factor and are they that limiting to warrant TB 3?.  Threats increasing due to continued loss of nesting structures in urban areas, and whatever is causing declines of aerial insectivores (KVR); Camfield,Alaine [NCR]: Listed as threatened in Canada.  TB scores 3 and 4 depending on BCR in Canada.  Main threats are loss of nesting/roosting sites and reductions in prey. Final score would depend on what people feel for the rest of the range.</t>
  </si>
  <si>
    <t>probably not threatened in winter? (KR); unknown threats, and birds possibly localized?</t>
  </si>
  <si>
    <t>Open Country Aerial:  Developed/Disturbed</t>
  </si>
  <si>
    <t>Vaux's Swift</t>
  </si>
  <si>
    <t>Chaetura vauxi</t>
  </si>
  <si>
    <t>CB-late stage coniferous and decid/conif forest, prefers old growth, hollow trees and snags, highly specialized habitat (BNA).  Are threats increasing in Pacific NW due to loss of mature forests? (KVR); Camfield,Alaine [NCR]: TB 3 or 4 in Canada depending on BCR. Main threat is loss of nesting/roosting habitat as a result of forestry practices. Final score would depend on what people feel for the rest of the range.</t>
  </si>
  <si>
    <t>probably not threatened in winter? (KR); CB- ' no info on wintering habitat' (BNA).  should be consistent with other wintering species -- probably needs forest and large trees for roosting; complete lack of knowledge probably should make this a "3" (KVR); WE-Vulnerable to catastrophic events at roost sites during migration; some roosts are ephemeral due to changes in weather (WE)</t>
  </si>
  <si>
    <t>Chapman's Swift</t>
  </si>
  <si>
    <t>Chaetura chapmani</t>
  </si>
  <si>
    <t>poorly known; birds in Colombian may be migrants (Jesse Fagan); reduced map by 15% (CAW);</t>
  </si>
  <si>
    <t>Short-tailed Swift</t>
  </si>
  <si>
    <t>Chaetura brachyura</t>
  </si>
  <si>
    <t>dieta relativamente especializada</t>
  </si>
  <si>
    <t>White-throated Swift</t>
  </si>
  <si>
    <t>Aeronautes saxatalis</t>
  </si>
  <si>
    <t>Lesser Swallow-tailed Swift</t>
  </si>
  <si>
    <t>Panyptila cayennensis</t>
  </si>
  <si>
    <t>both regions in Mexico score PT=4; loss of lowland humid forest in rest of C.A. is similar to Mexico</t>
  </si>
  <si>
    <t>Great Swallow-tailed Swift</t>
  </si>
  <si>
    <t>Panyptila sanctihieronymi</t>
  </si>
  <si>
    <t>White-necked Jacobin</t>
  </si>
  <si>
    <t>Florisuga mellivora</t>
  </si>
  <si>
    <t>a humid evergreen forest species, also in adjacent plantations; loss of such forests has been extensive in C.A.; MX regional experts score PT=4 in SECL</t>
  </si>
  <si>
    <t>White-tipped Sicklebill</t>
  </si>
  <si>
    <t>Eutoxeres aquila</t>
  </si>
  <si>
    <t>no está restringido a bosques pero ha perdido hábitat</t>
  </si>
  <si>
    <t>Bronzy Hermit</t>
  </si>
  <si>
    <t>Glaucis aeneus</t>
  </si>
  <si>
    <t>Rufous-breasted Hermit</t>
  </si>
  <si>
    <t>Glaucis hirsutus</t>
  </si>
  <si>
    <t>más en peligro hacía el este de Panamá</t>
  </si>
  <si>
    <t>Band-tailed Barbthroat</t>
  </si>
  <si>
    <t>Threnetes ruckeri</t>
  </si>
  <si>
    <t>pérdida de hábitat; posible bioacumulación de pesticidias por su dieta de arañas</t>
  </si>
  <si>
    <t>Green Hermit</t>
  </si>
  <si>
    <t>Phaethornis guy</t>
  </si>
  <si>
    <t>Mexican Hermit</t>
  </si>
  <si>
    <t>Phaethornis mexicanus</t>
  </si>
  <si>
    <t>Formerly considered conspecific with Phaethornis longirostris.</t>
  </si>
  <si>
    <t>MX-NSAC-2015</t>
  </si>
  <si>
    <t>MX-NSAC-15</t>
  </si>
  <si>
    <t>Long-billed Hermit</t>
  </si>
  <si>
    <t>Phaethornis longirostris</t>
  </si>
  <si>
    <t>updated score from PIFTC</t>
  </si>
  <si>
    <t>all regions in Mexico score PT=4; loss of lowland humid forest in rest of C.A. is similar to Mexico</t>
  </si>
  <si>
    <t>Black-crested Coquette</t>
  </si>
  <si>
    <t>Lophornis helenae</t>
  </si>
  <si>
    <t>tropical evergreen and cloud forest specialist</t>
  </si>
  <si>
    <t>White-crested Coquette</t>
  </si>
  <si>
    <t>Lophornis adorabilis</t>
  </si>
  <si>
    <t>Greenish Puffleg</t>
  </si>
  <si>
    <t>Haplophaedia aureliae</t>
  </si>
  <si>
    <t>PIF CAW 2016; PIFSC-23</t>
  </si>
  <si>
    <t>PIFSC-23: splitting off Buff-thighed Puffleg likely has little influence on PS-g since relatively small population</t>
  </si>
  <si>
    <t>Shaw-23: range size increased due to BirdLife mapping a larger area.  Buff-thighed Puffleg (now split off) was somehow not included in old NatureServe range map, so no range decrease due to split.  Used the map projection Lambert Azimuthal Equal Area South America (SERENA) to estimate area.</t>
  </si>
  <si>
    <t>Green-crowned Brilliant</t>
  </si>
  <si>
    <t>Heliodoxa jacula</t>
  </si>
  <si>
    <t>range increased by 20% to include eastern cordillera of Colombia (CAW);</t>
  </si>
  <si>
    <t>Rivoli's Hummingbird</t>
  </si>
  <si>
    <t>Eugenes fulgens</t>
  </si>
  <si>
    <t>Formerly considered conspecific with Eugenes spectabilis.</t>
  </si>
  <si>
    <t>can't use BBS-15 estimate of 15,000 US/Canada, 100,000 globally, since based on just 2 BBS routes.  Común en tierras altas (CAW).</t>
  </si>
  <si>
    <t>NatureServe 3.0</t>
  </si>
  <si>
    <t>NatureServe 3.0; PIFSC; Shaw-22; BOTW 2022</t>
  </si>
  <si>
    <t>Rosenberg: Magnificent Hummingbird area reduced from size in NatureServe by 10%; NatureServe map shows wintering up to Big Bend NP, finger is breeding only in H&amp;W; NS nd is 10% too large if using h&amp;w'.  Shaw 2020: subtracted Talamanca Hummingbird range (based on Birds of the World 2022) from NatureServe from Ken's total due to split to yield area for Rivoli's Hummingbird.</t>
  </si>
  <si>
    <t>consistent with other SW hummers -- uses undisturbed forest and canyons (KR); 2 across range?; requires forest (MX-NSAC).</t>
  </si>
  <si>
    <t>TN should be same as TB, as is largely resident (GB). Has wider tolerances than Blue-throated; requires forest</t>
  </si>
  <si>
    <t>Bicolored Antbird</t>
  </si>
  <si>
    <t>Gymnopithys bicolor</t>
  </si>
  <si>
    <t>Formerly considered conspecific with Gymnopithys leucaspis.</t>
  </si>
  <si>
    <t>Ocellated Antbird</t>
  </si>
  <si>
    <t>Phaenostictus mcleannani</t>
  </si>
  <si>
    <t>Scaled Antpitta</t>
  </si>
  <si>
    <t>Grallaria guatimalensis</t>
  </si>
  <si>
    <t>Grallariidae</t>
  </si>
  <si>
    <t>habitat fragmentation and deterioration; forest floor specialist</t>
  </si>
  <si>
    <t>Restricted to humid forests within C.A. range; loss of such forests has been extensive in C.A.; all MX regions score PT=5</t>
  </si>
  <si>
    <t>Streak-chested Antpitta</t>
  </si>
  <si>
    <t>Hylopezus perspicillatus</t>
  </si>
  <si>
    <t>Thicket Antpitta</t>
  </si>
  <si>
    <t>Hylopezus dives</t>
  </si>
  <si>
    <t>Ochre-breasted Antpitta</t>
  </si>
  <si>
    <t>Grallaricula flavirostris</t>
  </si>
  <si>
    <t>Tacarcuna Tapaculo</t>
  </si>
  <si>
    <t>Scytalopus panamensis</t>
  </si>
  <si>
    <t>Rhinocryptidae</t>
  </si>
  <si>
    <t>Silvery-fronted Tapaculo</t>
  </si>
  <si>
    <t>Scytalopus argentifrons</t>
  </si>
  <si>
    <t>Mayan Antthrush</t>
  </si>
  <si>
    <t>Formicarius moniliger</t>
  </si>
  <si>
    <t>Formicariidae</t>
  </si>
  <si>
    <t>Formerly considered conspecific with Formicarius analis.</t>
  </si>
  <si>
    <t>Gomez-Panjabi; EBD20; Shaw-22</t>
  </si>
  <si>
    <t>Shaw-22: Multiplied geometric mean (20 million) of pop range for Black-faced Antthrush's pre-split PS-g score of 2 by the %pop (4.8%) from Pete Blancher's analysis of eBird raw data that falls within the regions now split off as Mayan Antthrush, yielding a very crude estimate of 950,000</t>
  </si>
  <si>
    <t>PIF CAW 2015; Mexican Regional Assessment 2005; EBD20; Shaw-22</t>
  </si>
  <si>
    <t>Shaw-22: weighted (by %pop based on EBD20) average of regional scores for MXCL, Guatemala, Belize, Honduras assigned to Black-face Antthrush pre-split</t>
  </si>
  <si>
    <t>PIF CAW 2015; EBD20; Shaw-22</t>
  </si>
  <si>
    <t>Shaw-22: weighted (by %pop based on EBD20) average of TN-r for Guatemala, Belize, Honduras and TB-r for MXCL (since TN-r not scored in Mexico and resident so threats should be similar between seasons) assigned to Black-face Antthrush pre-split</t>
  </si>
  <si>
    <t>Black-faced Antthrush</t>
  </si>
  <si>
    <t>Formicarius analis</t>
  </si>
  <si>
    <t>Shaw-22: the 4.8% (based on analysis of raw eBird) of Black-faced Antthrush that has been split off as Mayan Antthrush is immaterial to its PS-g score</t>
  </si>
  <si>
    <t>Restricted to lowland and foothill humid forest, sensitive to fragmentation.  Shaw-22: weighted (by %pop based on EBD20) average of regional scores for Honduras, Nicaragua, Costa Rica, Panama assigned to Black-face Antthrush pre-split</t>
  </si>
  <si>
    <t>Severe habitat loss; uses primary forest.  Shaw-22: weighted (by %pop based on EBD20) average of regional scores for Honduras, Nicaragua, Costa Rica, Panama assigned to Black-face Antthrush pre-split</t>
  </si>
  <si>
    <t>Shaw-22: weighted (by %pop based on EBD20) average of regional scores for Honduras, Nicaragua, Costa Rica, Panama assigned to Black-face Antthrush pre-split</t>
  </si>
  <si>
    <t>Olivaceous Woodcreeper</t>
  </si>
  <si>
    <t>Sittasomus griseicapillus</t>
  </si>
  <si>
    <t>Furnariidae</t>
  </si>
  <si>
    <t>Eurytypic, maybe an overlooked species, not necessarily in decreasing numbers. Common to fairly common in degraded situations in southern Veracruz; Eurytypic, maybe an overlooked species, not necessarily in decreasing numbers. Common to fairly common in degraded situations in southern Veracruz</t>
  </si>
  <si>
    <t>Long-tailed Woodcreeper</t>
  </si>
  <si>
    <t>Deconychura longicauda</t>
  </si>
  <si>
    <t>Ruddy Woodcreeper</t>
  </si>
  <si>
    <t>Dendrocincla homochroa</t>
  </si>
  <si>
    <t>threats to humid forests are severe throughout range, suggest TB=4 (Panjabi); la presión a su hábitat no es tan fuerte, hay varias selvas protegidas en el sureste, en su rango de distribución (Macias); Estamos de acuerdo con TB=3 (Berlanga).</t>
  </si>
  <si>
    <t>humid and semi-deciduous</t>
  </si>
  <si>
    <t>Tawny-winged Woodcreeper</t>
  </si>
  <si>
    <t>Dendrocincla anabatina</t>
  </si>
  <si>
    <t>humid evergreen forest</t>
  </si>
  <si>
    <t>Restricted to humid evergreen and semi-deciduous forest, loss of such forests has been extensive in C.A.; MX regional experts score PT=5 in SECL</t>
  </si>
  <si>
    <t>Plain-brown Woodcreeper</t>
  </si>
  <si>
    <t>Dendrocincla fuliginosa</t>
  </si>
  <si>
    <t>Wedge-billed Woodcreeper</t>
  </si>
  <si>
    <t>Glyphorynchus spirurus</t>
  </si>
  <si>
    <t>Buffy Tuftedcheek</t>
  </si>
  <si>
    <t>Pseudocolaptes lawrencii</t>
  </si>
  <si>
    <t>PIFSC-23: splitting off Pacific Tuftedcheek likely has little influence on PS-g since relatively small population</t>
  </si>
  <si>
    <t>Shaw-23: old NatureServe was missing Pacific Tuftedcheek in the first place, so no range size decrease due to split but rather an increase due to different map projection (North America Lambert Azimuthal Equal Area).</t>
  </si>
  <si>
    <t>Sharp-tailed Streamcreeper</t>
  </si>
  <si>
    <t>Lochmias nematura</t>
  </si>
  <si>
    <t>en Columbia se ha disminuido más</t>
  </si>
  <si>
    <t>Slaty-winged Foliage-gleaner</t>
  </si>
  <si>
    <t>Philydor fuscipenne</t>
  </si>
  <si>
    <t>Buff-fronted Foliage-gleaner</t>
  </si>
  <si>
    <t>Dendroma rufa</t>
  </si>
  <si>
    <t>Formerly placed in the genus Philydor.</t>
  </si>
  <si>
    <t>Scaly-throated Foliage-gleaner</t>
  </si>
  <si>
    <t>Anabacerthia variegaticeps</t>
  </si>
  <si>
    <t>Lineated Foliage-gleaner</t>
  </si>
  <si>
    <t>Syndactyla subalaris</t>
  </si>
  <si>
    <t>Ruddy Foliage-gleaner</t>
  </si>
  <si>
    <t>Clibanornis rubiginosus</t>
  </si>
  <si>
    <t>Formerly placed in Automolus.</t>
  </si>
  <si>
    <t>cloud and humid pine forest specialist</t>
  </si>
  <si>
    <t>Creemos que esta especie es altamente sensible a la perturbaci#n del sotobosque, inclusive mßs que otras especies en el mismo hßbitat (p.e. Chlorospingus ophtahlmicus). En M#xico, algunos furnßridos no ocupan ßreas perturbadas en los bosques mes#filos, re</t>
  </si>
  <si>
    <t>Streak-breasted Treehunter</t>
  </si>
  <si>
    <t>Thripadectes rufobrunneus</t>
  </si>
  <si>
    <t>Buff-throated Foliage-gleaner</t>
  </si>
  <si>
    <t>Automolus ochrolaemus</t>
  </si>
  <si>
    <t>subtracted pop estimate for Chiriqui Forage-Gleaner from rounded geometric midpoint of pop estimate range from BTFG's PS-g = 3, but due to rounding, no change</t>
  </si>
  <si>
    <t>deleted polygon covering Pacific coast of Costa Rica/Panama from BirdLife's shapefile for Buff-throated Foliage-gleaner because BirdLife does not recognize Chiriqui Foliage-Gleaner</t>
  </si>
  <si>
    <t>deleted polygon covering Pacific coast of Costa Rica/Panama from BirdLife's shapefile for Buff-throated Foliage-gleaner because they do not recognize Chiriqui Foliage-Gleaner</t>
  </si>
  <si>
    <t>Chiriqui Foliage-gleaner</t>
  </si>
  <si>
    <t>Automolus exsertus</t>
  </si>
  <si>
    <t>Formerly considered conspecific with Automolus ochrolaemus.</t>
  </si>
  <si>
    <t>PIF CAW 2016;Bird Conservancy of the Rockies 2019</t>
  </si>
  <si>
    <t>split off of Buff-throated Foliage-gleaner, so multiplied % of range by the rounded geometric midpoint of pop estimate range for BTFG's PS-g = 3</t>
  </si>
  <si>
    <t>BirdLife 2019; Bird Conservancy of the Rockies 2019</t>
  </si>
  <si>
    <t>exported polygon covering Pacific coast of Costa Rica/Panama from BirdLife's shapefile for Buff-throated Foliage-gleaner because they did not recognize this split</t>
  </si>
  <si>
    <t>exported polygon covering Pacific coast of Costa Rica/Panama from BirdLife's shapefile for Buff-throated Foliage-gleaner because they do not recognize this split</t>
  </si>
  <si>
    <t>Striped Woodhaunter</t>
  </si>
  <si>
    <t>Automolus subulatus</t>
  </si>
  <si>
    <t>Formerly placed in Hyloctistes.</t>
  </si>
  <si>
    <t>Spotted Barbtail</t>
  </si>
  <si>
    <t>Premnoplex brunnescens</t>
  </si>
  <si>
    <t>Beautiful Treerunner</t>
  </si>
  <si>
    <t>Margarornis bellulus</t>
  </si>
  <si>
    <t>Ruddy Treerunner</t>
  </si>
  <si>
    <t>Margarornis rubiginosus</t>
  </si>
  <si>
    <t>Double-banded Graytail</t>
  </si>
  <si>
    <t>Xenerpestes minlosi</t>
  </si>
  <si>
    <t>Red-faced Spinetail</t>
  </si>
  <si>
    <t>Cranioleuca erythrops</t>
  </si>
  <si>
    <t>Coiba Spinetail</t>
  </si>
  <si>
    <t>Cranioleuca dissita</t>
  </si>
  <si>
    <t>Formerly considered conspecific with Cranioleuca vulpina.</t>
  </si>
  <si>
    <t>found only on coiba island; recent split from rusty-backed spinetail (CAW)</t>
  </si>
  <si>
    <t>Pale-breasted Spinetail</t>
  </si>
  <si>
    <t>Synallaxis albescens</t>
  </si>
  <si>
    <t>Slaty Spinetail</t>
  </si>
  <si>
    <t>Synallaxis brachyura</t>
  </si>
  <si>
    <t>Rufous-breasted Spinetail</t>
  </si>
  <si>
    <t>Synallaxis erythrothorax</t>
  </si>
  <si>
    <t>Rufous-browed Peppershrike</t>
  </si>
  <si>
    <t>Cyclarhis gujanensis</t>
  </si>
  <si>
    <t>Vireonidae</t>
  </si>
  <si>
    <t>tolerant of man-made environments</t>
  </si>
  <si>
    <t>Scrub Greenlet</t>
  </si>
  <si>
    <t>Hylophilus flavipes</t>
  </si>
  <si>
    <t>Chestnut-sided Shrike-Vireo</t>
  </si>
  <si>
    <t>Vireolanius melitophrys</t>
  </si>
  <si>
    <t>probably close to cut-off for PS=4, but generally low-density within range</t>
  </si>
  <si>
    <t>Green Shrike-Vireo</t>
  </si>
  <si>
    <t>Vireolanius pulchellus</t>
  </si>
  <si>
    <t>NS map looks good</t>
  </si>
  <si>
    <t>moderate loss of habitat in Central America; moderate loss of habitat in Central America</t>
  </si>
  <si>
    <t>Yellow-browed Shrike-Vireo</t>
  </si>
  <si>
    <t>Vireolanius eximius</t>
  </si>
  <si>
    <t>pendiente consulta</t>
  </si>
  <si>
    <t>Tawny-crowned Greenlet</t>
  </si>
  <si>
    <t>Tunchiornis ochraceiceps</t>
  </si>
  <si>
    <t>Formerly considered part of Hylophilus.</t>
  </si>
  <si>
    <t>Lesser Greenlet</t>
  </si>
  <si>
    <t>Pachysylvia decurtata</t>
  </si>
  <si>
    <t>NS map looks more or less good, minor differences with range in SA as depicted by Ridgley and Tudor in Birds of South America</t>
  </si>
  <si>
    <t>Golden-fronted Greenlet</t>
  </si>
  <si>
    <t>Pachysylvia aurantiifrons</t>
  </si>
  <si>
    <t>Golden Vireo</t>
  </si>
  <si>
    <t>Vireo hypochryseus</t>
  </si>
  <si>
    <t>Slaty Vireo</t>
  </si>
  <si>
    <t>Vireo brevipennis</t>
  </si>
  <si>
    <t>Black-capped Vireo</t>
  </si>
  <si>
    <t>Vireo atricapilla</t>
  </si>
  <si>
    <t>Previous (1991) USFWS estimate was 8,000; Wilkins et al. 2006 estimate ~12,000 for US alone, but based on recently discovered high-density breeding pops and range in Mexico roughly equal to US range, doubling of the US population is appropriate and still</t>
  </si>
  <si>
    <t>missing range in northern Mex.; should be at least 80% size of Coahuila (80% of 150,000; 30,000 already included); NS map does not include a large portion of breeding range in Mexico, including areas in coahuila, nuevo leon and western tamaulipas</t>
  </si>
  <si>
    <t>severely threatened in US, moderate or secure in MX; DD='species in danger of regional extirpationor extinction.'  BNA cites fire suppression, urban development, cowbird parasitism, ag conversion, genetic fragmentation, overgrazing and cattle in general as ongoing and potential threats. MX say lower.</t>
  </si>
  <si>
    <t>DD='no information available.'  Unclear what threats exist on nonbreeding areas or how severe these might be to population sustainability. Nonbreeding habitat use unclear.  Did not want to  give a TN of 4 'just because' the species is endangered; moderate habitat loss</t>
  </si>
  <si>
    <t>has experience major range contraction and population decline in U.S.</t>
  </si>
  <si>
    <t>Dwarf Vireo</t>
  </si>
  <si>
    <t>Vireo nelsoni</t>
  </si>
  <si>
    <t>Mexican endemic, all regions score PT=4</t>
  </si>
  <si>
    <t>White-eyed Vireo</t>
  </si>
  <si>
    <t>Vireo griseus</t>
  </si>
  <si>
    <t>Reduced by 100,000 km2 (in SE U.S.); NS ND map matches BNA, but differs from Nat Geo and Sibley by showing more inland distribution in SC, GA, LA, and TX.</t>
  </si>
  <si>
    <t>mostly in disturbed, abundant habitats (KR).  DD='moderately vulnerable to land use trends.'  BNA supports that breeding habitats apparently under increasing pressure.  Not valuable economically and therefore destroyed/converted.  Relatively sensitive to</t>
  </si>
  <si>
    <t>DD='threats assumed to be low.'  BNA supports that WEVI does not face serious threats to habitat on wintering range; more flexible in habitat use here.</t>
  </si>
  <si>
    <t>Mangrove Vireo</t>
  </si>
  <si>
    <t>Vireo pallens</t>
  </si>
  <si>
    <t>moderate habitat loss; Es posible que sea esta especie sea separada proximamente. Una de estas futuras especies esta muy amenazada. Revisar el score durante la fase regional (PIF CAW)</t>
  </si>
  <si>
    <t>Cozumel Vireo</t>
  </si>
  <si>
    <t>Vireo bairdi</t>
  </si>
  <si>
    <t>Bell's Vireo</t>
  </si>
  <si>
    <t>Vireo bellii</t>
  </si>
  <si>
    <t>Huge range contractions, high failure from cowbirds, loss of riparian and brushy hedgerows (CH).  water withdrawal from riparian areas pose increasing threat.</t>
  </si>
  <si>
    <t>Gray Vireo</t>
  </si>
  <si>
    <t>Vireo vicinior</t>
  </si>
  <si>
    <t>Reduced by 10%; NS map overestimates range relative to nat Geo</t>
  </si>
  <si>
    <t>Habitat specialist, and concentrated; habitat probably affected by human activity.</t>
  </si>
  <si>
    <t>rel. specialist in winter -- mature Bursera trees (KR); fairly widespead, and area fairly secure.  possibly affected by climate change, dying of Bursera trees (CB); CB- we are seeing Bursera dying (drought and/or climate change, eat almost exclusively the berries); No reports of Bursera die-offs can be found on the web.  Natureserve Explorer gives an overall threats impact of "low" for Bursera microphylla and states "Apparently relatively stable; no reports of major decline".  Also, "The remoteness of its habitat will probably confer long-term stability."  Medicinal and horticultural collecting can impact some populations ocally but is not a major threat. Is Bursera die-off significant enough/ongoing to be considered a high threat on a par with other species with TB/TN=4? (AP)</t>
  </si>
  <si>
    <t>Hutton's Vireo</t>
  </si>
  <si>
    <t>Vireo huttoni</t>
  </si>
  <si>
    <t>winters in native forest habitats, even if more generalized; should be consistent with resident birds in same habitats (KVR)</t>
  </si>
  <si>
    <t>Yellow-throated Vireo</t>
  </si>
  <si>
    <t>Vireo flavifrons</t>
  </si>
  <si>
    <t>DD='moderately vulnerable to human activities and land uses.'  BNA supports that although populations seem to respond to openings/edge created in forested habitats, large blocks of forest or high percentage of forest in landscape is still required.  Sensi</t>
  </si>
  <si>
    <t>DD='no available information.'  BNA supports that habitat threats on wintering range poorly known.</t>
  </si>
  <si>
    <t>Yellow-winged Vireo</t>
  </si>
  <si>
    <t>Vireo carmioli</t>
  </si>
  <si>
    <t>Loggerhead Shrike</t>
  </si>
  <si>
    <t>Lanius ludovicianus</t>
  </si>
  <si>
    <t>Laniidae</t>
  </si>
  <si>
    <t>Average global; no known threats in Mexico (MX-NSAC).  Moderate threats (TB=3, not higher) is warranted for most of western breeding range and Mexico; higher threats in East (PIF SC); Do pesticides or other specific activities constitute higher threats in U.S.  or Mexico? (KVR)</t>
  </si>
  <si>
    <t>Northern Shrike</t>
  </si>
  <si>
    <t>Lanius borealis</t>
  </si>
  <si>
    <t>Formerly considered conspecific with Lanius excubitor.</t>
  </si>
  <si>
    <t>PIFcalc19-bbs0615; BirdLife 2019; PIFSC-18</t>
  </si>
  <si>
    <t>Most BBS-15 detections were in Alaska, but Canada has more of the range, so we extrapolated Alaska BBS-15 estimates for all of the US/Canada using the Birdlife International range shapefile, which was then similarly used to extrapolate the global estimate.</t>
  </si>
  <si>
    <t>Most BBS-15 detections were in Alaska, but Canada has more of the range, so we extrapolated Alaska BBS-15 estimates for all of the US/Canada using the Birdlife International range shapefile</t>
  </si>
  <si>
    <t>Canada Jay</t>
  </si>
  <si>
    <t>Perisoreus canadensis</t>
  </si>
  <si>
    <t>Corvidae</t>
  </si>
  <si>
    <t>White-throated Jay</t>
  </si>
  <si>
    <t>Cyanolyca mirabilis</t>
  </si>
  <si>
    <t>Dwarf Jay</t>
  </si>
  <si>
    <t>Cyanolyca nanus</t>
  </si>
  <si>
    <t>Mexican endemic, both regions score PT=5</t>
  </si>
  <si>
    <t>Black-throated Jay</t>
  </si>
  <si>
    <t>Cyanolyca pumilo</t>
  </si>
  <si>
    <t>TB/N=4 is consistent with other cloud forests specialists in this range (Panjabi); especie habitat dependiente (b niebla), muy sensible, rango restringido (en los límites del Triunfo y hacia el sur) (Macias); Estamos de acuerdo con TB=5 (Berlanga).</t>
  </si>
  <si>
    <t>moderate habitat loss (MX-NSAC-2002); global score should reflect regional experts' opinion</t>
  </si>
  <si>
    <t>Silvery-throated Jay</t>
  </si>
  <si>
    <t>Cyanolyca argentigula</t>
  </si>
  <si>
    <t>Azure-hooded Jay</t>
  </si>
  <si>
    <t>Cyanolyca cucullata</t>
  </si>
  <si>
    <t>uses cloud forests</t>
  </si>
  <si>
    <t>Black-throated Magpie-Jay</t>
  </si>
  <si>
    <t>Calocitta colliei</t>
  </si>
  <si>
    <t>requires forest; some capture for trade</t>
  </si>
  <si>
    <t>declining in core range (NWPL)</t>
  </si>
  <si>
    <t>White-throated Magpie-Jay</t>
  </si>
  <si>
    <t>Calocitta formosa</t>
  </si>
  <si>
    <t>Brown Jay</t>
  </si>
  <si>
    <t>Psilorhinus morio</t>
  </si>
  <si>
    <t>future conditions not expected to enhance habitat for this species.  primarily dependent on native habitats? Any threats from WNV?</t>
  </si>
  <si>
    <t>Tolerates and perhaps even benefits from deforestation, local declines do not outweigh increase in habitat</t>
  </si>
  <si>
    <t>Tufted Jay</t>
  </si>
  <si>
    <t>Cyanocorax dickeyi</t>
  </si>
  <si>
    <t>Is range (km2) over-estimated??</t>
  </si>
  <si>
    <t>found in 1 region, experts scored PT=4</t>
  </si>
  <si>
    <t>Black-chested Jay</t>
  </si>
  <si>
    <t>Cyanocorax affinis</t>
  </si>
  <si>
    <t>Green Jay</t>
  </si>
  <si>
    <t>Cyanocorax yncas</t>
  </si>
  <si>
    <t>More restricted elevation window south of border (PIFSC-18).</t>
  </si>
  <si>
    <t>PIFTC-02; MX-NSAC-08; PIFSC-CVS 2022</t>
  </si>
  <si>
    <t>DD='species realtively tolerant of human land use trends.'  Uses variety of secondary and disturbed habitats as supported by BNA.  Resident throughout range, so TB and TN should be the same.; tolerant of disturbance; some capture for trade (MX-NSAC); es una sp generalista, usa paisajes diversificados, fragmentados; sugerimos TB=2 (Macias); No estamos de acuerda con bajar el valor a 2 (Berlanga).</t>
  </si>
  <si>
    <t>rel. generalist in most of large range.  DD= 'species relatively tolerant / threats assumed to be low.'  BNA states habitat use as borders, clearings and distrubed secondary habitats.  Suggests low impacts based on human land use trends.  US, CA and SA po; tolerant of disturbance</t>
  </si>
  <si>
    <t>A species highly adaptable to diferent levels of deforestation, and population stable or with low declines</t>
  </si>
  <si>
    <t>Bushy-crested Jay</t>
  </si>
  <si>
    <t>Cyanocorax melanocyaneus</t>
  </si>
  <si>
    <t>San Blas Jay</t>
  </si>
  <si>
    <t>Cyanocorax sanblasianus</t>
  </si>
  <si>
    <t>Yucatan Jay</t>
  </si>
  <si>
    <t>Cyanocorax yucatanicus</t>
  </si>
  <si>
    <t>global scores should reflect regional expert's opinion.</t>
  </si>
  <si>
    <t>MX endemic that occurs in 1 region; regional experts scored PT=2</t>
  </si>
  <si>
    <t>Purplish-backed Jay</t>
  </si>
  <si>
    <t>Cyanocorax beecheii</t>
  </si>
  <si>
    <t>Pinyon Jay</t>
  </si>
  <si>
    <t>Gymnorhinus cyanocephalus</t>
  </si>
  <si>
    <t>specialized on mature pinyon-juniper hab. (KR). Demographic 'Passenger Pigeons</t>
  </si>
  <si>
    <t>Steller's Jay</t>
  </si>
  <si>
    <t>Cyanocitta stelleri</t>
  </si>
  <si>
    <t>PIFSC-16; PIFSC-CVS 2022</t>
  </si>
  <si>
    <t>Blue Jay</t>
  </si>
  <si>
    <t>Cyanocitta cristata</t>
  </si>
  <si>
    <t>Reduced by 10%; Nat Geo shows withdrawal from northern range in winter unlike NS / BNA mapsKen comment: Reduced by 10%</t>
  </si>
  <si>
    <t>changed due to calibration with TB-r; 7 of 26 BCRs (~45% pop; all reviewed in 2018) score TBr&gt;1; 15 of 19 BCRs with TBr=1 were not reviewed in 2018</t>
  </si>
  <si>
    <t>DD='species relatively tolerant of human activities and land use.'  BNA supports that species does well in face of human acitvity but extensive urbanization or forest clearing would be harmful.  This is supported by declining trends in E. US.  Population</t>
  </si>
  <si>
    <t>Florida Scrub-Jay</t>
  </si>
  <si>
    <t>Aphelocoma coerulescens</t>
  </si>
  <si>
    <t>USFWS 2019 (D. Demarest, T. Mecklenborg pers. comm.)</t>
  </si>
  <si>
    <t>Interim best approximation in the absence of very recent monitoring data/modeling.  Assumes a rangewide average group size for FLSJ families that used to be appropriate but may now be inflated.  6,100 is estimate from BBS-15.</t>
  </si>
  <si>
    <t>J.W. Fitzpatrick, pers. comm. 2015; PIFSC-CVS 2022</t>
  </si>
  <si>
    <t>Since the species is completely non-migratory, the threats are year-round. We do know that local declines and extirpations are more the result of juveniles failing to reach breeding age than of increased adult mortality, but the correct way to express threats to this species would apply equally to both breeding and non-breeding season.</t>
  </si>
  <si>
    <t>BNA Woolfenden &amp; Fitzpatrick 1996; J. W. Fitzpatrick and R. Bowman, pers. comm. 2015</t>
  </si>
  <si>
    <t>FSJ is declining as we speak, all across its range, with small local populations disappearing for good every single year now. We estimate that its overall numbers are now about 5,000 individuals, compared with our detailed documentation of 10,700 jays in 1992-93.</t>
  </si>
  <si>
    <t>Island Scrub-Jay</t>
  </si>
  <si>
    <t>Aphelocoma insularis</t>
  </si>
  <si>
    <t>PIFSC</t>
  </si>
  <si>
    <t>in BirdLife Int. 2000, range 8,000-10,000; 1-10,000; Mike Green, e-mail Jy 18 2008</t>
  </si>
  <si>
    <t>Site protected, but habitat restoration proving difficult (lack of money).  restoration and conservation work has reduced future threats in limited range(CB, KVR, WE, TW, DP); species has turned a corner</t>
  </si>
  <si>
    <t>Rosenberg: year-round threats higher due to West Nile virus??.  restoration and conservation work has reduced future threats in limited range(CB, KVR, WE, TW, DP)</t>
  </si>
  <si>
    <t>Scott Morrison, July 2008</t>
  </si>
  <si>
    <t>California Scrub-Jay</t>
  </si>
  <si>
    <t>Aphelocoma californica</t>
  </si>
  <si>
    <t>Formerly considered conspecific with Aphelocoma woodhouseii.</t>
  </si>
  <si>
    <t>BirdLife &amp; HBW, eBird</t>
  </si>
  <si>
    <t>Mexican Regional Assessment 2005; PIFTC-02; PIFSC-CVS 2022</t>
  </si>
  <si>
    <t>used score shared by all regions</t>
  </si>
  <si>
    <t>used Western Scrub-Jay's TN-c score</t>
  </si>
  <si>
    <t>Woodhouse's Scrub-Jay</t>
  </si>
  <si>
    <t>Aphelocoma woodhouseii</t>
  </si>
  <si>
    <t>Formerly considered conspecific with Aphelocoma californica.</t>
  </si>
  <si>
    <t>Mexican Regional Assessment 2005; AZ-PIF; A. Panjabi; PIFTC-02; C. Rustay; PIFSC-CVS 2022</t>
  </si>
  <si>
    <t>Transvolcanic Jay</t>
  </si>
  <si>
    <t>Aphelocoma ultramarina</t>
  </si>
  <si>
    <t>Mexican Jay</t>
  </si>
  <si>
    <t>Aphelocoma wollweberi</t>
  </si>
  <si>
    <t>in mature pine-oak and montane forest (KR); requires forest (MX-NSAC).</t>
  </si>
  <si>
    <t>Unicolored Jay</t>
  </si>
  <si>
    <t>Aphelocoma unicolor</t>
  </si>
  <si>
    <t>Clark's Nutcracker</t>
  </si>
  <si>
    <t>Nucifraga columbiana</t>
  </si>
  <si>
    <t>Panjabi: at least moderately vulnerable to decline of whitebark pine and other pine species?.  Threats increasing due to severe whitebark pine issues, and possibly climate change (KVR); higher threats warranted due to declines in several preferred pine species across range, increasing stand-replacement fires - all climate related (AP); Camfield,Alaine [NCR]: 2 subspecies listed as endangered and threatened in Canada.  Main threats are habitat loss and degradation due to agriculture and direct and indirect impacts of pesticide use. TB listed from 3-5 in Canadian BCR strategies depending on the region.  (5 in Ontario, 3 and 4 in BCR 6 and 11).</t>
  </si>
  <si>
    <t>Black-billed Magpie</t>
  </si>
  <si>
    <t>Pica hudsonia</t>
  </si>
  <si>
    <t>Yellow-billed Magpie</t>
  </si>
  <si>
    <t>Pica nuttalli</t>
  </si>
  <si>
    <t>BNA Koenig &amp; Reynolds 2009</t>
  </si>
  <si>
    <t>why threatened? (KR).  Tied to oak-savannah, although not as much as Nuttall's Woodpecker. Like Oak Titmouse in human effects; West Nile Virus a severe threat (Crosbie et al. 2008).  DJK= has not recovered from West Nile and population remains depressed overall.</t>
  </si>
  <si>
    <t>not more threatened in NB (KR); WNV a severe threat (Crosbie et al. 2008)</t>
  </si>
  <si>
    <t>American Crow</t>
  </si>
  <si>
    <t>Corvus brachyrhynchos</t>
  </si>
  <si>
    <t>PIFcalc19-bbs0615,ona0105,eBird7017; Shaw-22</t>
  </si>
  <si>
    <t>Shaw-22: summed PIFcalc19 estimates for American Crow + Northwestern Crow since lumped</t>
  </si>
  <si>
    <t>PIFcalc19-bbs0615,ona0105; Shaw-22</t>
  </si>
  <si>
    <t>Shaw-22: merged BirdLife range shapefiles for Northwestern and American Crow using North America Albers Equal Area Conic map projection.</t>
  </si>
  <si>
    <t>Tamaulipas Crow</t>
  </si>
  <si>
    <t>Corvus imparatus</t>
  </si>
  <si>
    <t>threats unknown, but at least moderate, due to increased efficiency in agriculture (sorghum) that is replacing small agricutural plots, and possibly WNV.  MG - sensitive to WNV, tolerant of human activities as long as agriculture is not intensive.  Communal roosting may facilitate disease spread. Withdrew entirely into Tamaulipas. Highly concentrated roosts may facilitate disease transmission.  Highlights of Hector Garza’s observations on Tamaulipas Crow: has no abundance data but has observed large numbers of birds (~400) in the Soto La Marina area; species is frequently found in urbanized environments in the afternoon,  uses urban areas for overnight roosting; frequents landfills, dumps to feed; agrochemicals a threat since these birds also forage in farm field feeding on corn and insects; does not believe the species is declining too fast; is not uncommon to see flocks of 30-100 birds in central Tamaulipas; species is a lot less common near the US-Mexico border where it reaches the limit of its range of distribution (Hector Garza via Jesús Franco ); Krueper, Dave: numbers have crashed in Tam. Thornscrub and they are rarely even reported north of Gomez Farias or Ciudad Victoria.</t>
  </si>
  <si>
    <t>Congregate at dumps, but no evidence presently of human enhancement; tolerant of disturbance.  resident, see comments under TB (KVR)</t>
  </si>
  <si>
    <t>has disappeared from much of northern part of range (Hunter), although still common elsewhere (Berlanga); unsure how much the recent decline negates what has likely been a major population increase in the past 50 years (Panjabi)</t>
  </si>
  <si>
    <t>Sinaloa Crow</t>
  </si>
  <si>
    <t>Corvus sinaloae</t>
  </si>
  <si>
    <t>Fish Crow</t>
  </si>
  <si>
    <t>Corvus ossifragus</t>
  </si>
  <si>
    <t>Reduced 10%; NS shows same breeding and winter range, Nat Geo shows withdrawal from parts of range in winter</t>
  </si>
  <si>
    <t>DD='conditions enhanced by human activities and land use.</t>
  </si>
  <si>
    <t>Chihuahuan Raven</t>
  </si>
  <si>
    <t>Corvus cryptoleucus</t>
  </si>
  <si>
    <t>breeding probably nt enhanced by human disturbance? (KR); benefits from man-made environments (MX-NSAC).</t>
  </si>
  <si>
    <t>benefits from man-made environments</t>
  </si>
  <si>
    <t>Common Raven</t>
  </si>
  <si>
    <t>Corvus corax</t>
  </si>
  <si>
    <t>Posible más abundante (CAW);</t>
  </si>
  <si>
    <t>Verdin</t>
  </si>
  <si>
    <t>Auriparus flaviceps</t>
  </si>
  <si>
    <t>Remizidae</t>
  </si>
  <si>
    <t>Less reliant on undisturbed than other similar spp.  senstive to extreme heat based on research by B. Wolf (CB); if we raise threats for this species, should we raise threats for all other small desert birds (gnatcatchers, sparrows, etc)? (AP)</t>
  </si>
  <si>
    <t>Carolina Chickadee</t>
  </si>
  <si>
    <t>Poecile carolinensis</t>
  </si>
  <si>
    <t>Paridae</t>
  </si>
  <si>
    <t>DD='species relatively tolerant of human activity.'  BNA supports relative adaptability to suburbanization and fragmentation of forest habitats.</t>
  </si>
  <si>
    <t>mostly in native habitats; not different from other chickadees (KR).  DD='species relatively tolerant of human activity.'  BNA supports relative adaptability to suburbanization and fragmentation of forest habitats.  But, needs cavities</t>
  </si>
  <si>
    <t>Black-capped Chickadee</t>
  </si>
  <si>
    <t>Poecile atricapillus</t>
  </si>
  <si>
    <t>Not a 1 because needs cavities.</t>
  </si>
  <si>
    <t>Mountain Chickadee</t>
  </si>
  <si>
    <t>Poecile gambeli</t>
  </si>
  <si>
    <t>Mexican Chickadee</t>
  </si>
  <si>
    <t>Poecile sclateri</t>
  </si>
  <si>
    <t>Chestnut-backed Chickadee</t>
  </si>
  <si>
    <t>Poecile rufescens</t>
  </si>
  <si>
    <t>in mature NW forests (KR), but also in suburban habitats; Rosenberg: Seems like vulnerable to overall habitat loss in Pacific states - highest densities in old forests.  Overall threats probably "moderate" due to loss of mature forests from forestry and fires (KVR); Camfield,Alaine [NCR]: TB 3 in Canadian BCR strategies. Main threat is habitat loss due to logging and urban development.</t>
  </si>
  <si>
    <t>Boreal Chickadee</t>
  </si>
  <si>
    <t>Poecile hudsonicus</t>
  </si>
  <si>
    <t>Gray-headed Chickadee</t>
  </si>
  <si>
    <t>Poecile cinctus</t>
  </si>
  <si>
    <t>eBird makes them look really range-restricted even in Alaska, but probably not true; &lt; 5,000?</t>
  </si>
  <si>
    <t>BLI estimates global range size at 10M km2</t>
  </si>
  <si>
    <t>BLI estimates global range size at 10M km2Ken comment: BLI estimates global range size at 10M km2</t>
  </si>
  <si>
    <t>not enhanced by human disturbance? (KR); Rosenberg: habitat threats in boreal?.  Camfield,Alaine [NCR]: TB 2 in Canadian BCR strategy.  No high magnitude threats identified.  Lower magnitude threat related to logging.</t>
  </si>
  <si>
    <t>not enhanced by human disturbance? (KR)</t>
  </si>
  <si>
    <t>Bridled Titmouse</t>
  </si>
  <si>
    <t>Baeolophus wollweberi</t>
  </si>
  <si>
    <t>Oak Titmouse</t>
  </si>
  <si>
    <t>Baeolophus inornatus</t>
  </si>
  <si>
    <t>Oak woodland under threat, but human impacts on this species not as severe as for Nuttall's Woodpecker.</t>
  </si>
  <si>
    <t>Juniper Titmouse</t>
  </si>
  <si>
    <t>Baeolophus ridgwayi</t>
  </si>
  <si>
    <t>Talamanca Hummingbird</t>
  </si>
  <si>
    <t>Eugenes spectabilis</t>
  </si>
  <si>
    <t>Formerly considered conspecific with Eugenes fulgens.</t>
  </si>
  <si>
    <t>PIF CAW 2016-PS-g midpoint; BirdLife-21; Shaw-22</t>
  </si>
  <si>
    <t>Shaw-22: took midpoint-based estimate for Magnificent Hummingbird from CAW and multiplied by % of breeding range that falls within Costa Rica that has been split off as Talamanca Hummingbird, yielding ~8100, but too crude to list as estimate</t>
  </si>
  <si>
    <t>BirdLife 2021; Shaw-22; BOTW 2022</t>
  </si>
  <si>
    <t>Shaw-22: BirdLife has not split Magnificent Hummingbird, so referred to BOTW 2022 to determine that all polygons in Costa Rica and Panama should be used as Talamanca Hummingbird range</t>
  </si>
  <si>
    <t>NatureServe 3.0 with adjustment by Shaw-22 based on BOTW 2022</t>
  </si>
  <si>
    <t>PIF CAW 2015; Shaw-22</t>
  </si>
  <si>
    <t>Shaw-22: used TB-r from Costa Rica since that makes up 80% of the range; Panama assigned TB-r = 3</t>
  </si>
  <si>
    <t>Shaw-22: used TB-r from Costa Rica since that makes up 80% of the range and TN-r not evaluated but presumably similar.  Panama assigned TN-r = 3</t>
  </si>
  <si>
    <t>Shaw-22: used PT-r from Costa Rica since that makes up 80% of the range.  Panama assigned PT-r = 4.</t>
  </si>
  <si>
    <t>Forests: Tropical Montane Evergreen</t>
  </si>
  <si>
    <t>Fiery-throated Hummingbird</t>
  </si>
  <si>
    <t>Panterpe insignis</t>
  </si>
  <si>
    <t>Long-billed Starthroat</t>
  </si>
  <si>
    <t>Heliomaster longirostris</t>
  </si>
  <si>
    <t>Plain-capped Starthroat</t>
  </si>
  <si>
    <t>Heliomaster constantii</t>
  </si>
  <si>
    <t>Green-throated Mountain-gem</t>
  </si>
  <si>
    <t>Lampornis viridipallens</t>
  </si>
  <si>
    <t>Probablemente declinando por cambio climático. Restringido a tierras altas (CAW);</t>
  </si>
  <si>
    <t>Green-breasted Mountain-gem</t>
  </si>
  <si>
    <t>Lampornis sybillae</t>
  </si>
  <si>
    <t>found only in highlands within mapped range (CAW);</t>
  </si>
  <si>
    <t>périda de hábitat y cambio climático</t>
  </si>
  <si>
    <t>Amethyst-throated Mountain-gem</t>
  </si>
  <si>
    <t>Lampornis amethystinus</t>
  </si>
  <si>
    <t>4 of 5 regions indicate a decline; species mainly endemic to mexico (also guat and honduras where situation similar)</t>
  </si>
  <si>
    <t>Blue-throated Mountain-gem</t>
  </si>
  <si>
    <t>Lampornis clemenciae</t>
  </si>
  <si>
    <t>BBS-15 estimate of 37,000 for US/Canada too high (PIFSC-18).</t>
  </si>
  <si>
    <t>very uncommon relative to other hummiingbirds in SE AZ (Beardmore)</t>
  </si>
  <si>
    <t>consistent with other SW hummers -- uses undisturbed forest and canyons (KR); more riparian than others, even in MX; requires forest (MX-NSAC).</t>
  </si>
  <si>
    <t>TN should be same as TB (GB). Winter habitat pine-oak woods, especially riparian; requires forest</t>
  </si>
  <si>
    <t>White-bellied Mountain-gem</t>
  </si>
  <si>
    <t>Lampornis hemileucus</t>
  </si>
  <si>
    <t>en Panamá puede ser afectada por la ganadería, minería, y planta hidroeléctricas</t>
  </si>
  <si>
    <t>Purple-throated Mountain-gem</t>
  </si>
  <si>
    <t>Lampornis calolaemus</t>
  </si>
  <si>
    <t>cambio climático; en riesgo de extirpación en Nicaragua</t>
  </si>
  <si>
    <t>White-throated Mountain-gem</t>
  </si>
  <si>
    <t>Lampornis castaneoventris</t>
  </si>
  <si>
    <t>Garnet-throated Hummingbird</t>
  </si>
  <si>
    <t>Lamprolaima rhami</t>
  </si>
  <si>
    <t>Magenta-throated Woodstar</t>
  </si>
  <si>
    <t>Philodice bryantae</t>
  </si>
  <si>
    <t>Monotypic. Formerly placed in the genus Calliphlox.</t>
  </si>
  <si>
    <t>Purple-throated Woodstar</t>
  </si>
  <si>
    <t>Philodice mitchellii</t>
  </si>
  <si>
    <t>se preocupa más la pérdida de hábitat en Columbia</t>
  </si>
  <si>
    <t>Slender Sheartail</t>
  </si>
  <si>
    <t>Doricha enicura</t>
  </si>
  <si>
    <t>Mexican Sheartail</t>
  </si>
  <si>
    <t>Doricha eliza</t>
  </si>
  <si>
    <t>moderate habitat loss; Veracruz population highly threatened, secure in Yucatan</t>
  </si>
  <si>
    <t>Sparkling-tailed Hummingbird</t>
  </si>
  <si>
    <t>Tilmatura dupontii</t>
  </si>
  <si>
    <t>Lucifer Hummingbird</t>
  </si>
  <si>
    <t>Calothorax lucifer</t>
  </si>
  <si>
    <t>global score should reflect regional experts' opinion.  Relatively specialized habitat throughout most of range (desert foothill washes); at least moderate vulnerability to climate change (AP).</t>
  </si>
  <si>
    <t>Beautiful Hummingbird</t>
  </si>
  <si>
    <t>Calothorax pulcher</t>
  </si>
  <si>
    <t>Ruby-throated Hummingbird</t>
  </si>
  <si>
    <t>Archilochus colubris</t>
  </si>
  <si>
    <t>DD='threats assumed to be low.'  BNA states no real information but species does not seem to be facing imminent threats.</t>
  </si>
  <si>
    <t>Black-chinned Hummingbird</t>
  </si>
  <si>
    <t>Archilochus alexandri</t>
  </si>
  <si>
    <t>DD='threats assumed to be low.'  BNA supports that species not facing imminent threats and, though potential threats exist to riparian habitats, CB-general riparian threats, but not limited to riparian.</t>
  </si>
  <si>
    <t>DD='threats assumed to be low.'  BNA supports that species not facing imminent threats and, though potential threats exist to riparian habitats, human activities have stabilized or increased populations.</t>
  </si>
  <si>
    <t>Anna's Hummingbird</t>
  </si>
  <si>
    <t>Calypte anna</t>
  </si>
  <si>
    <t>Surprisingly VERY optimistic non-breeding distribution north of BC's south coast (where very regular) with no reference in BNA. Despite very good similarity in NS and BNA distribution maps. Recommend keeping RMBO score
Ken comment: Reduced by 205,000 (re</t>
  </si>
  <si>
    <t>CB-impact of feeders not studied, patterns of migration, feeding, changed by urban plantings and feeders (Russell), adapted to human activity but decrease in chaparral a tradeoff (CAFS).</t>
  </si>
  <si>
    <t>CB-see TB</t>
  </si>
  <si>
    <t>Costa's Hummingbird</t>
  </si>
  <si>
    <t>Calypte costae</t>
  </si>
  <si>
    <t>Not more threatened than other desert species (KR).  Uses all kinds of deserts and seems tolerant of urbanization; what are threats? (KVR); CB - potentially affected by Climate Change; due to body size/heat extremes, decoupling of nectar sources; Something is causing a steep decline (AP)</t>
  </si>
  <si>
    <t>CB-has not adapted to urban as well as Anna's, grazing, nonnatives, fire, competition with Anna's, urbanization (BNA, Small, CAFS).  CB-potentially affected byCC; due to body size/heat extremes, decoupling of nectar sources;</t>
  </si>
  <si>
    <t>Calliope Hummingbird</t>
  </si>
  <si>
    <t>Selasphorus calliope</t>
  </si>
  <si>
    <t>CB-riparian at risk (NVPIF), mountain meadow grazing (CAFS),.</t>
  </si>
  <si>
    <t>restricted winter range in W Mex montane forests -- no threats from logging or fire management? (KVR); same as rufous hummer; occurs mostly in forested landscapes where brushy/weedy regeneration is occuring, probably should be 3 due to intensification of agriculture, forestry (Panjabi)</t>
  </si>
  <si>
    <t>Broad-billed Hummingbird</t>
  </si>
  <si>
    <t>Cynanthus latirostris</t>
  </si>
  <si>
    <t>PIFSC-23; eBird 2023; Fink et al. 2022</t>
  </si>
  <si>
    <t>Shaw-23: calculated as 98% of global pop estimate of pre-split BBHU (eyeballing how much of each species is in SCPL on eBird records map out of the 6.5% in SCPL according to eBird Stem model data from 2020 and assigning all other regions to BBHU)</t>
  </si>
  <si>
    <t>Shaw-23: split of Mexican pops doesn't affect US-Ca estimate</t>
  </si>
  <si>
    <t>Shaw-23: CONABIO split off Tres Marias &amp; Turquoise-crowned Hummingbirds.  I used Mexico Albers Equal Area Conic map projection to estimate area.</t>
  </si>
  <si>
    <t>Tres Marias Hummingbird</t>
  </si>
  <si>
    <t>Cynanthus lawrencei</t>
  </si>
  <si>
    <t>Formerly considered conspecific with Cynanthus latirostris and C. doubledayi.</t>
  </si>
  <si>
    <t>found only on Tres Marias islands</t>
  </si>
  <si>
    <t>Shaw-23: used Mexico Albers Equal Area Conic map projection to estimate area.</t>
  </si>
  <si>
    <t>Mexican Regional Assessment 2005; PIFSC-23</t>
  </si>
  <si>
    <t>Turquoise-crowned Hummingbird</t>
  </si>
  <si>
    <t>Cynanthus doubledayi</t>
  </si>
  <si>
    <t>Formerly considered conspecific with Cynanthus latirostris and C. lawrencei.</t>
  </si>
  <si>
    <t>Shaw-23: calculated as 2% of global pop estimate of pre-split BBHU (eyeballing how much of each species is in SCPL on eBird records map out of the 6.5% in SCPL according to eBird Stem model data from 2020)</t>
  </si>
  <si>
    <t>Golden-crowned Emerald</t>
  </si>
  <si>
    <t>Cynanthus auriceps</t>
  </si>
  <si>
    <t>Green-fronted Hummingbird</t>
  </si>
  <si>
    <t>Ramosomyia viridifrons</t>
  </si>
  <si>
    <t>Azure-crowned Hummingbird</t>
  </si>
  <si>
    <t>Saucerottia cyanocephala</t>
  </si>
  <si>
    <t>Formerly placed in the genus Amazilia.</t>
  </si>
  <si>
    <t>Blue-vented Hummingbird</t>
  </si>
  <si>
    <t>Saucerottia hoffmanni</t>
  </si>
  <si>
    <t>Formerly placed in the genus Amazilia and considered conspecific with Saucerottia saucerottei.</t>
  </si>
  <si>
    <t>Shaw 2020: split off from Steely-vented Hummingbird (A. saucerottei), so multiplied % of range (from BirdLife 2019 shapefile) by the rounded geometric midpoint of pop estimate range for PS-g = 3 previously assigned to A. saucerottei s.l.</t>
  </si>
  <si>
    <t>BirdLife 2019; Bird Conservancy of the Rockies 2020</t>
  </si>
  <si>
    <t>Shaw 2020: used the Central American polygon from BirdLife's shapefile for A. saucerottei s.l.</t>
  </si>
  <si>
    <t>en Costa Rica no hay muchos amenazas</t>
  </si>
  <si>
    <t>en Costa Rica no ha diminuido tanto como en Nicaragua</t>
  </si>
  <si>
    <t>Berylline Hummingbird</t>
  </si>
  <si>
    <t>Saucerottia beryllina</t>
  </si>
  <si>
    <t>primarily uses native pine-oak and deciduous forests - should be same as other species in that habitat (KVR)</t>
  </si>
  <si>
    <t>A species probably benefiting from urban gardens, and in some places apparently increasing; occupies human-altered habitats</t>
  </si>
  <si>
    <t>Blue-tailed Hummingbird</t>
  </si>
  <si>
    <t>Saucerottia cyanura</t>
  </si>
  <si>
    <t>Hay &gt;50,000 en Sierra Madre de Chiapas y Guatemala (CAW); score change from 5 to 4 recommended by Central Americans in 2016</t>
  </si>
  <si>
    <t>slight to moderate decline expected in MX</t>
  </si>
  <si>
    <t>Snowy-bellied Hummingbird</t>
  </si>
  <si>
    <t>Saucerottia edward</t>
  </si>
  <si>
    <t>Cinnamon Hummingbird</t>
  </si>
  <si>
    <t>Amazilia rutila</t>
  </si>
  <si>
    <t>Buff-bellied Hummingbird</t>
  </si>
  <si>
    <t>Amazilia yucatanensis</t>
  </si>
  <si>
    <t>Remove 175,000 km2 = U.S. winter range; NS maps large coastal swath of TX, LA, MS, AL, and FL panhandle as regular non-breeding range; Nat Geo Complete birds of North America shows this area as "irregular or irruptive rangeKen comment: Remove 175,000 km2</t>
  </si>
  <si>
    <t>how dependent  on native Tamaulipan scrub habitat for breeding?? (KVR)</t>
  </si>
  <si>
    <t>Escudo Hummingbird</t>
  </si>
  <si>
    <t>Amazilia tzacatl handleyi</t>
  </si>
  <si>
    <t>this subspecies is treated separately from the species as a whole (rufous-tailed hummingbird), which was also scored</t>
  </si>
  <si>
    <t>Rufous-tailed Hummingbird</t>
  </si>
  <si>
    <t>Amazilia tzacatl</t>
  </si>
  <si>
    <t>In Mexico this species apparently behaves differently than in Costa Rica and Panama, with a stronger affinity to forests.  Garrigues and Dean (2007) describe as 'the common hummingbird found in most human-altered habitats' in Costa Rica; aun cuando hay evidencia de incremento en centroam#rica, en mexico no es claro, y se calific# con 4 en el taller regional. Se sugiere 3 por principio precautorio</t>
  </si>
  <si>
    <t>Honduran Emerald</t>
  </si>
  <si>
    <t>Amazilia luciae</t>
  </si>
  <si>
    <t>Study by Zamorano University found the species occurred in other habitats besides dry forest; estimated population at ~100,000 (Komar, pers. comm.m.); publication in prep. (2016) (CAW);</t>
  </si>
  <si>
    <t>Mangrove Hummingbird</t>
  </si>
  <si>
    <t>Amazilia boucardi</t>
  </si>
  <si>
    <t>su hábitat de manglar es muy suseptible</t>
  </si>
  <si>
    <t>PIF CAW 2015; BirdLife 2024</t>
  </si>
  <si>
    <t>PIFSC-24: changed to regional score based on Birdlife Data Zone summary: ¨The species's population is suspected to be in slow decline, in line with the clearance and degradation of mangrove forests in its range. A remote sensing study found that forests within the species's range have been lost at a rate of 1.4% over three generations (Tracewski et al. 2016). Assuming that forest loss is continuing at the same rate and population declines are proportional to forest loss, the rate of decline is unlikely to exceed 10% over three generations.¨</t>
  </si>
  <si>
    <t>Sapphire-throated Hummingbird</t>
  </si>
  <si>
    <t>Chrysuronia coeruleogularis</t>
  </si>
  <si>
    <t>Formerly placed in the genus Lepidopyga.</t>
  </si>
  <si>
    <t>Humboldt's Sapphire</t>
  </si>
  <si>
    <t>Chrysuronia humboldtii</t>
  </si>
  <si>
    <t>Blue-chested Hummingbird</t>
  </si>
  <si>
    <t>Polyerata amabilis</t>
  </si>
  <si>
    <t>Formerly placed in the genus Amazilia. Monotypic.</t>
  </si>
  <si>
    <t>Charming Hummingbird</t>
  </si>
  <si>
    <t>Polyerata decora</t>
  </si>
  <si>
    <t>White-bellied Emerald</t>
  </si>
  <si>
    <t>Chlorestes candida</t>
  </si>
  <si>
    <t>core regions in Mexico (SECL, SEPL) score PT=4; given preference for forest edge and clearings in Panama</t>
  </si>
  <si>
    <t>Blue-throated Goldentail</t>
  </si>
  <si>
    <t>Chlorestes eliciae</t>
  </si>
  <si>
    <t>Fairly common in Costa Rica (Garrigues and Dean).  Ridgley and Tudor (1989) suggest a possible decline in Panama.; no hay evidencia de declive en mexico, pero sugerimos 4 tambien, por congruencia con el promedio</t>
  </si>
  <si>
    <t>Violet-bellied Hummingbird</t>
  </si>
  <si>
    <t>Chlorestes julie</t>
  </si>
  <si>
    <t>Formerly placed in the genus Juliamyia.</t>
  </si>
  <si>
    <t>Colombian Crake</t>
  </si>
  <si>
    <t>Neocrex colombiana</t>
  </si>
  <si>
    <t>falta de informacion (CAW);</t>
  </si>
  <si>
    <t>Unknown, although it is considered unlikely to be at risk in the lowlands of western Ecuador and there is ample suitable habitat on the Pacific slope in Colombia (Tobias et al. 2006).  It occurs in marshes, swamps, wet savannas, wet grass, pastures and overgrown forest edge up to 2,100 m, and is not restricted to areas with water (Hilty and Brown 1986, Taylor and van Perlo 1998).  Score not assigned during PIF CAW workshop in 2014 as species added to list only later.</t>
  </si>
  <si>
    <t>Unknown; score not assigned during threats and trend workshop in 2014 as species add to list only later</t>
  </si>
  <si>
    <t>erratic breeder, has shown up in large numbers once</t>
  </si>
  <si>
    <t>Paint-billed Crake</t>
  </si>
  <si>
    <t>Neocrex erythrops</t>
  </si>
  <si>
    <t>utiliza cultivos de arroz</t>
  </si>
  <si>
    <t>puede ser colonizando desde sudamerica; suele estar en zonas perturbadas y no se ha visto en hábitats naturales</t>
  </si>
  <si>
    <t>Spotted Rail</t>
  </si>
  <si>
    <t>Pardirallus maculatus</t>
  </si>
  <si>
    <t>2011 best guess for ssp. maculatus, 2005 for spp. insolitus.  11,000-26,700 total individuals (WPE5).</t>
  </si>
  <si>
    <t>Uniform Crake</t>
  </si>
  <si>
    <t>Amaurolimnas concolor</t>
  </si>
  <si>
    <t>&gt;50% habitat loss has occurred (MX-NSAC)</t>
  </si>
  <si>
    <t>Rufous-necked Wood-Rail</t>
  </si>
  <si>
    <t>Aramides axillaris</t>
  </si>
  <si>
    <t>Russet-naped Wood-Rail</t>
  </si>
  <si>
    <t>Aramides albiventris</t>
  </si>
  <si>
    <t>Formerly included in Aramides cajaneus.</t>
  </si>
  <si>
    <t>used Belize's score to break tie since eBird shows the most observations there amongst the regions scored</t>
  </si>
  <si>
    <t>Gray-cowled Wood-Rail</t>
  </si>
  <si>
    <t>Aramides cajaneus</t>
  </si>
  <si>
    <t>Formerly Aramides cajanea.</t>
  </si>
  <si>
    <t>used score shared by Costa Rica &amp; Panama</t>
  </si>
  <si>
    <t>Ridgway's Rail</t>
  </si>
  <si>
    <t>Rallus obsoletus</t>
  </si>
  <si>
    <t>Formerly considered conspecific with Rallus longirostris.</t>
  </si>
  <si>
    <t>WPE5, BirdLife 2015, Maley and Brumfield 2013b (taxonomic reference)</t>
  </si>
  <si>
    <t>missing data for ssp. beldingi (both sources).  2005-2008 expert opinion for ssp. obsoletus, estimated at 1,400-1,450, 2007 expert opinion for ssp. levipes, estimated at 1,320-1,330, 1998-2008 for ssp. yumanensis, estimated at  (WPE5).  2005-2011 survey-based for ssp. obsoletus (BirdLife).</t>
  </si>
  <si>
    <t>&gt;15,000</t>
  </si>
  <si>
    <t>Natureserve; MX-NSAC-12</t>
  </si>
  <si>
    <t>yuma clapper rail expanding, but gulf of california population decimated</t>
  </si>
  <si>
    <t>Yuma is spreading/increasing; need input from California (Hunter/Andres)</t>
  </si>
  <si>
    <t>Aztec Rail</t>
  </si>
  <si>
    <t>Rallus tenuirostris</t>
  </si>
  <si>
    <t>Formerly considered conspecific with Rallus elegans.</t>
  </si>
  <si>
    <t>BirdLife 2015, Maley &amp; Brumfield 2013a (taxonomic reference)</t>
  </si>
  <si>
    <t>Natureserve; PIF CAW-14</t>
  </si>
  <si>
    <t>Mangrove Rail</t>
  </si>
  <si>
    <t>Rallus longirostris</t>
  </si>
  <si>
    <t>PIF-CAW 2016</t>
  </si>
  <si>
    <t>used Clapper Rail score</t>
  </si>
  <si>
    <t>doesn't include C. American distribution since unknown</t>
  </si>
  <si>
    <t>King Rail</t>
  </si>
  <si>
    <t>Rallus elegans</t>
  </si>
  <si>
    <t>loss of freshwater wetlands continues rangewide, and may accelerate</t>
  </si>
  <si>
    <t>Clapper Rail</t>
  </si>
  <si>
    <t>Rallus crepitans</t>
  </si>
  <si>
    <t>can tolerate deeper water than black and yellow rails; larger range than seaside sparrow reduces vulnerability; 20,800 CLRA harvest in 2015</t>
  </si>
  <si>
    <t>Demarest, Hunter 2018</t>
  </si>
  <si>
    <t>Hunter: I don't see any way around this being PT=3; BBS just doesn't cover most of the habitat for this species.  Demarest: 3 = lack of robust data to convincingly evaluate trend, but also the possibility for slight decreases.  Possibly there are other data (from Conroy-type national marshbird survey?)  that might challenge a score of 3.  But I don’t know that these have been comprehensively evaluated across the range?  And if so, they would only represent the last 5-10 years anyway.</t>
  </si>
  <si>
    <t>Virginia Rail</t>
  </si>
  <si>
    <t>Rallus limicola</t>
  </si>
  <si>
    <t>more flexible in winter, uses ditches and other modifed/artificial wetlands</t>
  </si>
  <si>
    <t>Sora</t>
  </si>
  <si>
    <t>Porzana carolina</t>
  </si>
  <si>
    <t>American Avocet</t>
  </si>
  <si>
    <t>Recurvirostra americana</t>
  </si>
  <si>
    <t>USSCP 2016, B. Andres 2019</t>
  </si>
  <si>
    <t>a small number (&lt;10,000) breed in central Mexico (B. Andres 2019)</t>
  </si>
  <si>
    <t>American Oystercatcher</t>
  </si>
  <si>
    <t>Haematopus palliatus</t>
  </si>
  <si>
    <t>Haematopodidae</t>
  </si>
  <si>
    <t>Clay et al. 2014</t>
  </si>
  <si>
    <t>38,000-48,000 individuals globally.  Unclear whether global and US estimates represent breeding adults or all ages, so added &lt; in case it includes juveniles</t>
  </si>
  <si>
    <t>&lt;43,000</t>
  </si>
  <si>
    <t>AMOY is now a conservation dependent species, i.e. without active management (human disturbance, predators) the populations will rapidly decline. (B.Andres 2017)</t>
  </si>
  <si>
    <t>B. Andres 2017; PIF CAW 2014; Mexican Regional Assessment 2005</t>
  </si>
  <si>
    <t>trend is very unreliable; but could be slightly positive. (B. Andres 2017).  Demarest 2019: AMOYs would seem to be one of those “must get” CBC species.   Rosenberg 2019: occur (especially in winter) throughout the Neotropical portions of North America so CBC should not be used for PT scoring.  Panjabi 2019: Most neotropical regions give it a 3, one gives it a 4 (CEPL), and two give it a 1 (EL Salvador and Honduras), so 3 overall.</t>
  </si>
  <si>
    <t>Black Oystercatcher</t>
  </si>
  <si>
    <t>Haematopus bachmani</t>
  </si>
  <si>
    <t>&lt;1% of this estimate is in Mexico (Tessler et al. 2014), so with rounding, the US/Canada and global estimates are effectively the same</t>
  </si>
  <si>
    <t>Shaw 2020: &lt;1% is in Mexico (Tessler et al. 2014), so due to rounding, US/Canada estimate appears identical to global estimate</t>
  </si>
  <si>
    <t>why are threats so much higher for American than Black? Because of beach nesting, because of habitat use BLOY is much less susceptible to beach effects of human disturbance (B. Andres 2017)</t>
  </si>
  <si>
    <t>Southern Lapwing</t>
  </si>
  <si>
    <t>Vanellus chilensis</t>
  </si>
  <si>
    <t>Charadriidae</t>
  </si>
  <si>
    <t>Expanding and adaptable (B. Andres 2017).</t>
  </si>
  <si>
    <t>Black-bellied Plover</t>
  </si>
  <si>
    <t>Pluvialis squatarola</t>
  </si>
  <si>
    <t>A case for North American populations. One of the few species where our populations estimate was lower (B. Andres 2017).</t>
  </si>
  <si>
    <t>Some concern about Western Atlantic population (B. Andres 2017).</t>
  </si>
  <si>
    <t>American Golden-Plover</t>
  </si>
  <si>
    <t>Pluvialis dominica</t>
  </si>
  <si>
    <t>Population size on edge, so increase to 4 (B. Andres 2017)</t>
  </si>
  <si>
    <t>&lt;500,000</t>
  </si>
  <si>
    <t>Pacific Golden-Plover</t>
  </si>
  <si>
    <t>Pluvialis fulva</t>
  </si>
  <si>
    <t>Paleotropical</t>
  </si>
  <si>
    <t>Killdeer</t>
  </si>
  <si>
    <t>Charadrius vociferus</t>
  </si>
  <si>
    <t>USSCP 2016, bbs0615(BBS), eBird7017(WHem)</t>
  </si>
  <si>
    <t>USSCP 2016; bbs0615(BBS), eBird7017(WHem)</t>
  </si>
  <si>
    <t>Shaw 2020: extrapolated from USSCP 2016 world estimate of 2,005,500 using the proportion in US/Canada estimated from the other sources listed</t>
  </si>
  <si>
    <t>Common Ringed Plover</t>
  </si>
  <si>
    <t>Charadrius hiaticula</t>
  </si>
  <si>
    <t>Semipalmated Plover</t>
  </si>
  <si>
    <t>Charadrius semipalmatus</t>
  </si>
  <si>
    <t>Piping Plover</t>
  </si>
  <si>
    <t>Charadrius melodus</t>
  </si>
  <si>
    <t>Wilson's Plover</t>
  </si>
  <si>
    <t>Charadrius wilsonia</t>
  </si>
  <si>
    <t>Collared Plover</t>
  </si>
  <si>
    <t>Charadrius collaris</t>
  </si>
  <si>
    <t>score change from 5 to 4 recommended by Central Americans in 2016.  Agree with PS change (B.Andres 2017)</t>
  </si>
  <si>
    <t>Mountain Plover</t>
  </si>
  <si>
    <t>Charadrius montanus</t>
  </si>
  <si>
    <t>Snowy Plover</t>
  </si>
  <si>
    <t>Charadrius nivosus</t>
  </si>
  <si>
    <t>Thomas et al. 2012</t>
  </si>
  <si>
    <t>Shaw 2020: Extrapolated from N. American estimate of 25,869 that included 9% in Mexico</t>
  </si>
  <si>
    <t>Panjabi-23: eBird S&amp;T recent trends increasing in Mexico, decreasing in US, and only about 25% of population winters in US based on ebird S&amp;T model, so CBC's large long-term pop gain of 75% that would yield a score of 1 not representative of the global pop and could be confounded by climate change range shifts.  PT-r = 4 in all key Mexican breeding areas (NWAB, NWCH, CEMH), consistent with USSCP 2016.  PT-c = 3 for uncertainty.</t>
  </si>
  <si>
    <t>Northern Jacana</t>
  </si>
  <si>
    <t>Jacana spinosa</t>
  </si>
  <si>
    <t>Jacanidae</t>
  </si>
  <si>
    <t>Brown et al. 2001</t>
  </si>
  <si>
    <t>Wattled Jacana</t>
  </si>
  <si>
    <t>Jacana jacana</t>
  </si>
  <si>
    <t>Upland Sandpiper</t>
  </si>
  <si>
    <t>Bartramia longicauda</t>
  </si>
  <si>
    <t>latest scores from USSCP</t>
  </si>
  <si>
    <t>Bristle-thighed Curlew</t>
  </si>
  <si>
    <t>Numenius tahitiensis</t>
  </si>
  <si>
    <t>Whimbrel</t>
  </si>
  <si>
    <t>Numenius phaeopus</t>
  </si>
  <si>
    <t>Four recognized subspecies. Case for North American populations (B.Andres 2017).</t>
  </si>
  <si>
    <t>Eskimo Curlew</t>
  </si>
  <si>
    <t>Numenius borealis</t>
  </si>
  <si>
    <t>CR (PE)</t>
  </si>
  <si>
    <t>Long-billed Curlew</t>
  </si>
  <si>
    <t>Numenius americanus</t>
  </si>
  <si>
    <t>Are threats really that high year-round? Perhaps, as a lot winter in northern Mexico (B.Andres 2017).</t>
  </si>
  <si>
    <t>Bar-tailed Godwit</t>
  </si>
  <si>
    <t>Limosa lapponica</t>
  </si>
  <si>
    <t>Case for recognized North American subspecies (B.Andres 2017).</t>
  </si>
  <si>
    <t>Yellow Sea migrant (B.Andres 2017).</t>
  </si>
  <si>
    <t>Information from Australia indicates a PT = 5. (B.Andres 2017)</t>
  </si>
  <si>
    <t>Hudsonian Godwit</t>
  </si>
  <si>
    <t>Limosa haemastica</t>
  </si>
  <si>
    <t>They are really concentrated in the winter in southern Chile and Argentina (B.Andres 2017).</t>
  </si>
  <si>
    <t>Marbled Godwit</t>
  </si>
  <si>
    <t>Limosa fedoa</t>
  </si>
  <si>
    <t>Prairie losses continue (B. Andres 2017).</t>
  </si>
  <si>
    <t>Stilt Sandpiper</t>
  </si>
  <si>
    <t>Calidris himantopus</t>
  </si>
  <si>
    <t>Sanderling</t>
  </si>
  <si>
    <t>Calidris alba</t>
  </si>
  <si>
    <t>Recognized as monotypic by del Hoyo et al. (1992) and Clements (2000) and BNA. Howard and Moore recognized 2 subspecies: &lt;i&gt;&lt;/&gt; C.a. alba and C.a. rubida.&lt;/&gt;</t>
  </si>
  <si>
    <t>Dunlin</t>
  </si>
  <si>
    <t>Calidris alpina</t>
  </si>
  <si>
    <t>Shorebirds of Conservation Concern in Canada (in press) scored hudsonia as TB = 2, pacifica as TB = 3.   Arcticola is likely TB = 3 due to dependence on coastal wet sedge meadows.  Similar population estimates for each subspecies (USSCP 2016), so 2 ssp. with TB = 3 outnumbers 1 spp. with TB = 2 (A. Shaw 2019).</t>
  </si>
  <si>
    <t>Rock Sandpiper</t>
  </si>
  <si>
    <t>Calidris ptilocnemis</t>
  </si>
  <si>
    <t>Buff-breasted Sandpiper</t>
  </si>
  <si>
    <t>Calidris subruficollis</t>
  </si>
  <si>
    <t>Formerly placed in the genus Tryngites. Monotypic.</t>
  </si>
  <si>
    <t>&lt;56,000</t>
  </si>
  <si>
    <t>Shaw 2020: this global estimate presumably includes Russian breeding birds since estimate based on migration surveys, and Russian birds migrate with N. American breeding birds, but could be immaterial based on the small Russian breeding range, so is used for the N. American estimate as well</t>
  </si>
  <si>
    <t>Pectoral Sandpiper</t>
  </si>
  <si>
    <t>Calidris melanotos</t>
  </si>
  <si>
    <t>USSCP 2016, Lappo et al. 2012</t>
  </si>
  <si>
    <t>Shaw 2020: subtracted midpoint of 80,000-145,000 breeders in Arctic Russia (Lappo et al. 2012) from global estimate.  Andres 2020: none really in Europe.</t>
  </si>
  <si>
    <t>http://www.shorebirdplan.org/wp-content/uploads/2013/03/ShorePopulationAndresEtAl2012.pdf</t>
  </si>
  <si>
    <t>Semipalmated Sandpiper</t>
  </si>
  <si>
    <t>Calidris pusilla</t>
  </si>
  <si>
    <t>Western Sandpiper</t>
  </si>
  <si>
    <t>Calidris mauri</t>
  </si>
  <si>
    <t>Shaw 2020: While species occurs in Russia, the pop size is small enough that due to rounding, the US/Canada estimate is effectively the same as the global estimate.  Andres 2019: A few thousand pairs breed in Chukotka (Lappo et al. 2012). Leave as 3.5 million with new information from Yukon Delta.</t>
  </si>
  <si>
    <t>Andres 2012</t>
  </si>
  <si>
    <t>Short-billed Dowitcher</t>
  </si>
  <si>
    <t>Limnodromus griseus</t>
  </si>
  <si>
    <t>Long-billed Dowitcher</t>
  </si>
  <si>
    <t>Limnodromus scolopaceus</t>
  </si>
  <si>
    <t>B. Andres 2020</t>
  </si>
  <si>
    <t>Andres 2020: We will likely increase this estimate with work from the Yukon Delta to 650,000.</t>
  </si>
  <si>
    <t>Andres 2020: There is a substantial breeding and expanding population in Russia.  No solid estimate but could be 20% of the 650,000.  Shaw 2020: used this rough percentage to extrapolate US/Canada estimate from global estimate.</t>
  </si>
  <si>
    <t>CWS BCR database; PIFSC-CVS 2022</t>
  </si>
  <si>
    <t>TB-c reduced for calibration with TB-r.  Population density not higher on wet sedge meadows that may dry up due to climate change (B. Andres 2019).</t>
  </si>
  <si>
    <t>TN is probably ok because of freshwater wetland issues in arid west (B. Andres 2017).</t>
  </si>
  <si>
    <t>American Woodcock</t>
  </si>
  <si>
    <t>Scolopax minor</t>
  </si>
  <si>
    <t>Panjabi-23: used BBS since we haven't analyzed the latest Singing Ground Survey data, so BBS more up to date</t>
  </si>
  <si>
    <t>Wilson's Snipe</t>
  </si>
  <si>
    <t>Gallinago delicata</t>
  </si>
  <si>
    <t>Spotted Sandpiper</t>
  </si>
  <si>
    <t>Actitis macularius</t>
  </si>
  <si>
    <t>Solitary Sandpiper</t>
  </si>
  <si>
    <t>Tringa solitaria</t>
  </si>
  <si>
    <t>Winters throughout lowland Amazonia; highly dispersed and not specialized, but hunting concern in French Overseas Departments (B. Andres 2017).</t>
  </si>
  <si>
    <t>Wandering Tattler</t>
  </si>
  <si>
    <t>Tringa incana</t>
  </si>
  <si>
    <t>Monotypic. Referred to as &lt;i&gt; Heterosceles incanus&lt;/i&gt; by Clements (2000) and Howard and Moore (2003).</t>
  </si>
  <si>
    <t>Andres et al. 2012</t>
  </si>
  <si>
    <t>Shaw 2020: US/Canada estimate extrapolated from global estimate from Andres et al. 2012: "10,000-25,000 (midpoint) = 17,500), of which &gt;90% of the pop. occurs in N. America"</t>
  </si>
  <si>
    <t>Does not aggregate like black turnstone or surfbird, but climate change in raises TB/TN to 3 (B. Andres 2017).</t>
  </si>
  <si>
    <t>Panjabi-23: given the conflicting results and imperfect coverage of each survey, PT3 for uncertainty.  Shaw-23: extended BBS (John's analysis yields a 2) covers Yukon and S. AK well but not N. AK.  CBC7019 yields a 5 in opposition to BBS.  Andres 2020: a very small portion of the wintering range is covered by CBC, so I can't see how the trend is anything but unknown.</t>
  </si>
  <si>
    <t>Lesser Yellowlegs</t>
  </si>
  <si>
    <t>Tringa flavipes</t>
  </si>
  <si>
    <t>Number one bird in the bag in Caribbean and northern South America to the point of unsustainability. Most of the population overflies the Caribbean and northern SA (B. Andres 2017).</t>
  </si>
  <si>
    <t>Willet</t>
  </si>
  <si>
    <t>Tringa semipalmata</t>
  </si>
  <si>
    <t>Shaw 2020: While species occurs in the Caribbean and Mexico, the pop size is small enough that due to rounding, the US/Canada estimate is effectively the same as the global estimate.  Andres 2019: several thousand likely breed in the Caribbean and very few in Mexico.</t>
  </si>
  <si>
    <t>Greater Yellowlegs</t>
  </si>
  <si>
    <t>Tringa melanoleuca</t>
  </si>
  <si>
    <t>Hunting threat elevated (B. Andres 2017).</t>
  </si>
  <si>
    <t>I worry that this is a shift northward in CBC; CWS shows steady (B. Andres 2017).</t>
  </si>
  <si>
    <t>Wilson's Phalarope</t>
  </si>
  <si>
    <t>Phalaropus tricolor</t>
  </si>
  <si>
    <t>Red-necked Phalarope</t>
  </si>
  <si>
    <t>Phalaropus lobatus</t>
  </si>
  <si>
    <t>PT = 4 based on disappearance from Bay of Fundy; downlisted (B. Andres 2017).</t>
  </si>
  <si>
    <t>Red Phalarope</t>
  </si>
  <si>
    <t>Phalaropus fulicarius</t>
  </si>
  <si>
    <t>Could have climate changes affects in Arctic (B. Andres 2017).</t>
  </si>
  <si>
    <t>PT = 5 according to SOTB 2014 analysis. Uncertain but there are data from repeated Arctic surveys that show negative changes at a number of sites. Thus PT=4 (suspected).</t>
  </si>
  <si>
    <t>Great Skua</t>
  </si>
  <si>
    <t>Stercorarius skua</t>
  </si>
  <si>
    <t>Stercorariidae</t>
  </si>
  <si>
    <t>BirdLife non-breeding range includes entire N Atlantic; % range in W Hem is a guesstimate</t>
  </si>
  <si>
    <t>South Polar Skua</t>
  </si>
  <si>
    <t>Stercorarius maccormicki</t>
  </si>
  <si>
    <t>BirdLife list breeding range as 109,000 km2, but species nests across coastal Antarctica, so presumably this area represents only breeding sites, not space in between</t>
  </si>
  <si>
    <t>natureserve map is of transient range only</t>
  </si>
  <si>
    <t>Pomarine Jaeger</t>
  </si>
  <si>
    <t>Stercorarius pomarinus</t>
  </si>
  <si>
    <t>Parasitic Jaeger</t>
  </si>
  <si>
    <t>Stercorarius parasiticus</t>
  </si>
  <si>
    <t>Long-tailed Jaeger</t>
  </si>
  <si>
    <t>Stercorarius longicaudus</t>
  </si>
  <si>
    <t>any new threats perceived for jaegers? (KVR)</t>
  </si>
  <si>
    <t>Black-capped Swallow</t>
  </si>
  <si>
    <t>Atticora pileata</t>
  </si>
  <si>
    <t>Hirundinidae</t>
  </si>
  <si>
    <t>Monotypic. Formerly placed in Notiochelidon.</t>
  </si>
  <si>
    <t>White-thighed Swallow</t>
  </si>
  <si>
    <t>Atticora tibialis</t>
  </si>
  <si>
    <t>Formerly placed in Neochelidon.</t>
  </si>
  <si>
    <t>Blue-and-white Swallow</t>
  </si>
  <si>
    <t>Pygochelidon cyanoleuca</t>
  </si>
  <si>
    <t>Northern Rough-winged Swallow</t>
  </si>
  <si>
    <t>Stelgidopteryx serripennis</t>
  </si>
  <si>
    <t>DD='no known threats.'  BNA supports that although species benefits from human alterations (creating nesting substrates), its  not to the extent as that for other swallows.  Potential threats, but these offset by favorable alterations to nesting habitats.</t>
  </si>
  <si>
    <t>DD='threats assumed low.'  BNA supports that species relatively tolerant of human activities despite not much information from southerly wintering areas.</t>
  </si>
  <si>
    <t>Wetlands Aerial:  Lakes and Rivers</t>
  </si>
  <si>
    <t>Southern Rough-winged Swallow</t>
  </si>
  <si>
    <t>Stelgidopteryx ruficollis</t>
  </si>
  <si>
    <t>puede ser afectada por cambios en la disponibilidad de insectos volantes</t>
  </si>
  <si>
    <t>Brown-chested Martin</t>
  </si>
  <si>
    <t>Progne tapera</t>
  </si>
  <si>
    <t>Purple Martin</t>
  </si>
  <si>
    <t>Progne subis</t>
  </si>
  <si>
    <t>houses abandoned, aerial insectivore, vulnerable to climate</t>
  </si>
  <si>
    <t>highly concentrated (vulnerable) at stopover and winter roosts (KR).  DD='potential threats, but species helped by mgt. activities.'  BNA states that overall, species appears to have benefitted from human activity despite some of the negative consequences</t>
  </si>
  <si>
    <t>Gray-breasted Martin</t>
  </si>
  <si>
    <t>Progne chalybea</t>
  </si>
  <si>
    <t>Sinaloa Martin</t>
  </si>
  <si>
    <t>Progne sinaloae</t>
  </si>
  <si>
    <t>Barn Swallow</t>
  </si>
  <si>
    <t>Hirundo rustica</t>
  </si>
  <si>
    <t>PIFcalc19-rng,bbs0615,eBird7017,ona0105,nwt9501</t>
  </si>
  <si>
    <t>Use of human structures balanced by loss of open habitats (KR).  DD='species clearly benefits from human activity.'  BNA supports that pops are much larger than presettlement times due to increase in nesting sites - formerly a limiting factor.  Increase i</t>
  </si>
  <si>
    <t>DD='no known threats.'  Species relatively tolerant of human activities or land use trends but not necessarily benefitting from them.</t>
  </si>
  <si>
    <t>Cliff Swallow</t>
  </si>
  <si>
    <t>Petrochelidon pyrrhonota</t>
  </si>
  <si>
    <t>PIFcalc19-bbs0615,eBird7017,nwt9501,ona0105</t>
  </si>
  <si>
    <t>DD='no known threats.'  Species relatively tolerant of human activities or land use trends.  BNA supports that although winter range not well known, wintering habitats comprises grassland and ag areas which are less sensitive to degradation.</t>
  </si>
  <si>
    <t>Cave Swallow</t>
  </si>
  <si>
    <t>Petrochelidon fulva</t>
  </si>
  <si>
    <t>DD='Species clearly benefits from human activity.'  Range expanded and now more dense compared to presettlement.  West Indian and Mexican pops not well d[?]; tolerant of disturbance (MX-NSAC).</t>
  </si>
  <si>
    <t>Lack of info on how much they use caves vs. human structures;may be much more concentrated; tolerant of disturbance</t>
  </si>
  <si>
    <t>BBS8521-AS, BBS7021-JS</t>
  </si>
  <si>
    <t>Bushtit</t>
  </si>
  <si>
    <t>Psaltriparus minimus</t>
  </si>
  <si>
    <t>Aegithalidae</t>
  </si>
  <si>
    <t>Natureserve 3.0; PIFSC</t>
  </si>
  <si>
    <t>50% of range (error in new analysis, not in map)</t>
  </si>
  <si>
    <t>50% of range (error in new analysis, not in map)Ken comment: 50% of range (error in new analysis, not in map)</t>
  </si>
  <si>
    <t>Arctic Warbler</t>
  </si>
  <si>
    <t>Phylloscopus borealis</t>
  </si>
  <si>
    <t>Phylloscopidae</t>
  </si>
  <si>
    <t>PIFcalc19-rng,bbs0615; NatureServe 3.0; BirdLife-2021; PIFSC-22</t>
  </si>
  <si>
    <t>Shaw-22: extrapolated PIFcalc19 estimate for US/Canada into Eastern Hemisphere by area using the size of NatureServe 3.0 range in Alaska (since BirdLife-21 Alaska range much too small based on eBird STEM range map) and the size the BirdLife-21 range in Eastern Hemisphere.  The result falls within the wide range estimated in the BirdLife International species factsheet: 10,000,000-500,000,000.</t>
  </si>
  <si>
    <t>BirdLife 2021; NatureServe 3.0; PIFSC-22</t>
  </si>
  <si>
    <t>Shaw-22: BirdLife polygon in Alaska looked too small based on eBird STEM map, so combined NatureServe polygon for AK with Birdlife polygons for Old World.</t>
  </si>
  <si>
    <t>stable, perhaps, but not enhanced by human disturbance (KR).</t>
  </si>
  <si>
    <t>Lack of info, but uses forest in winter so 3 probably O.K..  should check current status of Asian/African winterers (KVR)</t>
  </si>
  <si>
    <t>Wrentit</t>
  </si>
  <si>
    <t>Chamaea fasciata</t>
  </si>
  <si>
    <t>Sylviidae</t>
  </si>
  <si>
    <t>Dependent on undisturbed chaparal, a lot of which is protected but a lot of rest threatened.  But, uses clearcuts in forest.</t>
  </si>
  <si>
    <t>Ruby-crowned Kinglet</t>
  </si>
  <si>
    <t>Corthylio calendula</t>
  </si>
  <si>
    <t>Regulidae</t>
  </si>
  <si>
    <t>Formerly placed in the genus Regulus.</t>
  </si>
  <si>
    <t>Golden-crowned Kinglet</t>
  </si>
  <si>
    <t>Regulus satrapa</t>
  </si>
  <si>
    <t>Uses plantations, second growth.  I agree (KR).</t>
  </si>
  <si>
    <t>Bohemian Waxwing</t>
  </si>
  <si>
    <t>Bombycilla garrulus</t>
  </si>
  <si>
    <t>Bombycillidae</t>
  </si>
  <si>
    <t>check status and response to boreal forestry and energy extraction activities (KVR); Camfield, Alaine:  TB 2 in Canadian BCRs.  Pesticides and vehicle collisions identified as threats - no high magnitude threats.  Panjabi:  are the threats identified by Canadians at least moderate in scope or is their impact negligible?  This will determine if should be 2 or 3.</t>
  </si>
  <si>
    <t>Cedar Waxwing</t>
  </si>
  <si>
    <t>Bombycilla cedrorum</t>
  </si>
  <si>
    <t>distance revised to 100 m based on review of large boreal dataset, score changes to PS=1 (Blancher email, Dec. 20, 2008)</t>
  </si>
  <si>
    <t>DD='population demonstrably secure.'  BNA supports pros and cons of human activity and land use.   Increase in open habitats with fruiting trees and shrubs and fruiting ag crops may be offset by overall losses due to development and urbanization.</t>
  </si>
  <si>
    <t>Black-and-yellow Silky-flycatcher</t>
  </si>
  <si>
    <t>Phainoptila melanoxantha</t>
  </si>
  <si>
    <t>Ptiliogonatidae</t>
  </si>
  <si>
    <t>Pygmy Nuthatch</t>
  </si>
  <si>
    <t>Sitta pygmaea</t>
  </si>
  <si>
    <t>Sittidae</t>
  </si>
  <si>
    <t>Brown-headed Nuthatch</t>
  </si>
  <si>
    <t>Sitta pusilla</t>
  </si>
  <si>
    <t>Shaw-22: The splitting off of Bahama Nuthatch shouldn't change PS-g since its population is small</t>
  </si>
  <si>
    <t>Shaw-22: have not recalculated breeding area after Bahama Nuthatch was split off since wouldn't change the score</t>
  </si>
  <si>
    <t>Shaw-22: have not recalculated non-breeding area after Bahama Nuthatch was split off since wouldn't change the score</t>
  </si>
  <si>
    <t>DD='moderately vulnerable to human acitivities and land use.'  BNA supports that fire suppression, conversion to pine plantations, and shorter rotations in non-plantation habitats pose threats to nesting and foraging habitats.  Population likely to declin</t>
  </si>
  <si>
    <t>DD='moderately vulnerable to human acitivities and land use.'  BNA supports that fire suppression, conversion to pine plantations, and shorter rotations in non-plantation habitats pose threats to foraging habitats.  Population likely to decline if present</t>
  </si>
  <si>
    <t>Brown Creeper</t>
  </si>
  <si>
    <t>Certhia americana</t>
  </si>
  <si>
    <t>Certhiidae</t>
  </si>
  <si>
    <t>DD='moderately vulnerable to human activities and land use.'  Old growth specialist in parts of range needing extensive undistrubed tracts.</t>
  </si>
  <si>
    <t>DD='moderately vulnerable to human activities and land use.'  Still needs mature forested habitats in nonbreeding season.  Hemlock wooly adelgid and decline of coniferous forests in mountainous east are threats..  all comments add up to "moderate" threats (KVR)</t>
  </si>
  <si>
    <t>Long-billed Gnatwren</t>
  </si>
  <si>
    <t>Ramphocaenus melanurus</t>
  </si>
  <si>
    <t>Polioptilidae</t>
  </si>
  <si>
    <t>Shaw-22: The splitting off of Chattering Gnatwren shouldn't change PS-g since its population is small</t>
  </si>
  <si>
    <t>Shaw-22: have not recalculated breeding area after Chattering Gnatwren was split off since wouldn't change the score</t>
  </si>
  <si>
    <t>Shaw-22: have not recalculated non-breeding area after Chattering Gnatwren was split off since wouldn't change the score</t>
  </si>
  <si>
    <t>humid forest and edge</t>
  </si>
  <si>
    <t>Tawny-faced Gnatwren</t>
  </si>
  <si>
    <t>Microbates cinereiventris</t>
  </si>
  <si>
    <t>Slate-throated Gnatcatcher</t>
  </si>
  <si>
    <t>Polioptila schistaceigula</t>
  </si>
  <si>
    <t>Yucatan Gnatcatcher</t>
  </si>
  <si>
    <t>Polioptila albiventris</t>
  </si>
  <si>
    <t>Formerly considered conspecific with P. albiloris.</t>
  </si>
  <si>
    <t>MX-NSAC-19: PS was precisely proposed based on the density of the now sister species, since its relative abundance /frequency seems to be similar as well.  Gomez 2019: Tengo la impresión (pero no datos) de que la Polioptila de Yucatán se encuentra en parches mucho más locales y tiene densidad poblacional menor que albiloris.  Por lo menos el tamaño poblacional se lo bajaría, subiendo el valor de global score.</t>
  </si>
  <si>
    <t>Shaw 2020: used the BirdLIfe polygon for Polioptila albiloris s.l. in the Yucatan</t>
  </si>
  <si>
    <t>MX-NSAC-19: PT is proposed following albiloris PT as well, supported by same trends in the dry forest</t>
  </si>
  <si>
    <t>White-browed Gnatcatcher</t>
  </si>
  <si>
    <t>Polioptila bilineata</t>
  </si>
  <si>
    <t>Formerly considered conspecific with Polioptila plumbea.</t>
  </si>
  <si>
    <t>Shaw-22: multiplied the geometric midpoint (20 million) of the pop size range of pre-split PS -g score by the EBD20 % that falls within the resident range of White-lored Gnatcatcher</t>
  </si>
  <si>
    <t>BirdLife 2021; eBird-22; Shaw-22</t>
  </si>
  <si>
    <t>Shaw-22: BirdLife has not yet split Tropical Gnatcatcher, so split BirdLife's Tropical Gnatcatcher polygons manually, referring to eBird's observation maps</t>
  </si>
  <si>
    <t>fairly broad habitat use, PT=4 better overall</t>
  </si>
  <si>
    <t>Blue-gray Gnatcatcher</t>
  </si>
  <si>
    <t>Polioptila caerulea</t>
  </si>
  <si>
    <t>DD='relatively tolerant of human activities and land use.'  BNA supports that although it may have specific needs within forested habitats (streams, openings, etc), it doesn't seem threatened by current land use.</t>
  </si>
  <si>
    <t>DD='relatively tolerant of human activities and land use.'  BNA supports that deforestation on wintering or neotropical breeding areas not a cause for concern.  Uses scrub habitats in nonbreeding season.</t>
  </si>
  <si>
    <t>Rock Wren</t>
  </si>
  <si>
    <t>Salpinctes obsoletus</t>
  </si>
  <si>
    <t>Troglodytidae</t>
  </si>
  <si>
    <t>Nightingale Wren</t>
  </si>
  <si>
    <t>Microcerculus philomela</t>
  </si>
  <si>
    <t>C.A. endemic; loss of humid lowland forest in rest of C.A. is similar to Mexico</t>
  </si>
  <si>
    <t>Scaly-breasted Wren</t>
  </si>
  <si>
    <t>Microcerculus marginatus</t>
  </si>
  <si>
    <t>Canyon Wren</t>
  </si>
  <si>
    <t>Catherpes mexicanus</t>
  </si>
  <si>
    <t>Sumichrast's Wren</t>
  </si>
  <si>
    <t>Hylorchilus sumichrasti</t>
  </si>
  <si>
    <t>Not found in any protected area (H. Gomez de Silva); Rango restringido, dependiente de su habitat, no hay áreas que lo protejan (Macias); Estamos de acuerdo con TB=5 (Berlanga).</t>
  </si>
  <si>
    <t>White-breasted Wood-Wren</t>
  </si>
  <si>
    <t>Henicorhina leucosticta</t>
  </si>
  <si>
    <t>given large range, TB-c=3 more appropriate.</t>
  </si>
  <si>
    <t>Gray-breasted Wood-Wren</t>
  </si>
  <si>
    <t>Henicorhina leucophrys</t>
  </si>
  <si>
    <t>Gomez-Panjabi; Bird Conservancy of the Rockies 2019</t>
  </si>
  <si>
    <t>Natureserve 3.0; Bird Conservancy of the Rockies 2019</t>
  </si>
  <si>
    <t>eBird shows that Hermit Wood-Wren's range is completely covered by Gray-Breasted Wood-Wren, so no need to adjust range post-split (BCR 2019)</t>
  </si>
  <si>
    <t>Song Wren</t>
  </si>
  <si>
    <t>Cyphorhinus phaeocephalus</t>
  </si>
  <si>
    <t>White-bellied Wren</t>
  </si>
  <si>
    <t>Uropsila leucogastra</t>
  </si>
  <si>
    <t>Rufous-and-white Wren</t>
  </si>
  <si>
    <t>Thryophilus rufalbus</t>
  </si>
  <si>
    <t>uncommon in large parts of range, coupled with habitat loss makes for PS=4</t>
  </si>
  <si>
    <t>uses partially cleared areas and shrubby clearings</t>
  </si>
  <si>
    <t>Cactus Wren</t>
  </si>
  <si>
    <t>Campylorhynchus brunneicapillus</t>
  </si>
  <si>
    <t>Rosenberg: Mary Gustafson comments about Texas pop (species?)?.  See previous comments; Also apparrently disappeared from some western parts of range; enough to be "moderate" threats overall? (KVR); TB=3 is appropriate due to rapid expansion of agriculture in northern mexico in desert shrublands and grasslands (AP)</t>
  </si>
  <si>
    <t>specialized habitat chihuahuan desert scrub is being reduced by expanding croplands (Panjabi)</t>
  </si>
  <si>
    <t>Bewick's Wren</t>
  </si>
  <si>
    <t>Thryomanes bewickii</t>
  </si>
  <si>
    <t>E. populations highly threatened (KR).</t>
  </si>
  <si>
    <t>E. populations highly threatened (KR)</t>
  </si>
  <si>
    <t>Carolina Wren</t>
  </si>
  <si>
    <t>Thryothorus ludovicianus</t>
  </si>
  <si>
    <t>DD='relatively tolerant of human activity.'  Threats likely exist (urbanization and over development), but human activity also poses benefits.  Difficult to tell if deserves TB 1 or 2.  May benefit significantly through creation of edge, nesting structure.</t>
  </si>
  <si>
    <t>DD='relatively tolerant of human activity.'  Threats likely exist (urbanization and over development), but human activity also poses benefits in creating certain favorable habitats.</t>
  </si>
  <si>
    <t>House Wren</t>
  </si>
  <si>
    <t>Troglodytes aedon</t>
  </si>
  <si>
    <t>reflects northern and southern subspecies</t>
  </si>
  <si>
    <t>Socorro Wren</t>
  </si>
  <si>
    <t>Troglodytes sissonii</t>
  </si>
  <si>
    <t>moderate habitat loss, introduced species</t>
  </si>
  <si>
    <t>regional experts score PT=3</t>
  </si>
  <si>
    <t>Clarion Wren</t>
  </si>
  <si>
    <t>Troglodytes tanneri</t>
  </si>
  <si>
    <t>need to check why species is listed in two regions (ISRE and CEPL), with different scores; neither is greater than PT=3 however</t>
  </si>
  <si>
    <t>Rufous-browed Wren</t>
  </si>
  <si>
    <t>Troglodytes rufociliatus</t>
  </si>
  <si>
    <t>occurs only in humid highland forests of Chiapas, Guatemala, Honduras and Nicaragua; significant habitat loss has occured within range (possibly PT=5)</t>
  </si>
  <si>
    <t>Ochraceous Wren</t>
  </si>
  <si>
    <t>Troglodytes ochraceus</t>
  </si>
  <si>
    <t>Pacific Wren</t>
  </si>
  <si>
    <t>Troglodytes pacificus</t>
  </si>
  <si>
    <t>split from Winter wren in 2011 (former pop estimate=32,870,559, incl. old world pop)</t>
  </si>
  <si>
    <t>Panjabi; PIFSC-CVS 2022</t>
  </si>
  <si>
    <t>Winter Wren</t>
  </si>
  <si>
    <t>Troglodytes hiemalis</t>
  </si>
  <si>
    <t>distance revised to 200 m based on review of large boreal dataset, score reverts to PS=2 (Blancher email, Dec. 20, 2008)</t>
  </si>
  <si>
    <t>Sedge Wren</t>
  </si>
  <si>
    <t>Cistothorus stellaris</t>
  </si>
  <si>
    <t>Formerly considered conspecific with Cistothorus platensis.</t>
  </si>
  <si>
    <t>Shaw-22: used US/Canada PIFcalc19 estimate now that Sedge Wren split from Grass Wren</t>
  </si>
  <si>
    <t>BirdLIfe 2021</t>
  </si>
  <si>
    <t>PIFTC-02; NFWG-17; NE-G&amp;P; Panjabi; Mexican Regional Assessment 2005; BCRs 6, 8, 13, and 28 Review Teams; eMod20; Shaw-22; PIFSC-CVS 2022</t>
  </si>
  <si>
    <t>Shaw-22: weighted TB-r scores from regions still classified as Sedge Wren using %pop from eMod20</t>
  </si>
  <si>
    <t>Shaw-22: since TN-r not scored, and a resident such that threats may be similar between seasons, weighted TB-r scores from regions still classified as Sedge Wren using %pop from eMod20</t>
  </si>
  <si>
    <t>Grass Wren</t>
  </si>
  <si>
    <t>Cistothorus platensis</t>
  </si>
  <si>
    <t>Formerly considered conspecific with Cistothorus stellaris.</t>
  </si>
  <si>
    <t>Shaw-22: calculated from US/Canada unrounded pop estimate of Sedge Wren from PIFcalc19 using % of pre-split Sedge Wren that falls within each split species' breeding range according to eMod20</t>
  </si>
  <si>
    <t>Mexican Regional Assessment 2005; PIF CAW 2014; eMod20; Shaw-22</t>
  </si>
  <si>
    <t>Shaw-22: weighted TB-r scores from regions now classified as Grass Wren using %pop from eMod20</t>
  </si>
  <si>
    <t>Shaw-22: since a resident, the only TN-r scores available (available for part of Central America only) matched TB-r, so weighted TB-r scores from all regions now classified as Chestnut-capped Warbler using %pop from EBD20</t>
  </si>
  <si>
    <t>Shaw-22: weighted PT-r scores from regions now classified as Grass Wren using %pop from eMod20, yielding 4.66, rounded to 5.  Note that the unweighted average score would be just 4.13, so PT-c is contingent upon the accuracy of eBird STEM models.</t>
  </si>
  <si>
    <t>Marsh Wren</t>
  </si>
  <si>
    <t>Cistothorus palustris</t>
  </si>
  <si>
    <t>sensitive to hab loss, but not severely threatened throughout range (KR).</t>
  </si>
  <si>
    <t>Timberline Wren</t>
  </si>
  <si>
    <t>Thryorchilus browni</t>
  </si>
  <si>
    <t>Blue Mockingbird</t>
  </si>
  <si>
    <t>Melanotis caerulescens</t>
  </si>
  <si>
    <t>Mimidae</t>
  </si>
  <si>
    <t>NS ok</t>
  </si>
  <si>
    <t>tolerant of disturbance; capture for trade</t>
  </si>
  <si>
    <t>Blue-and-white Mockingbird</t>
  </si>
  <si>
    <t>Melanotis hypoleucus</t>
  </si>
  <si>
    <t>zonas perturbadas, guamiles, matorrales (zonas altas). México en bosque y su periferia (CAW); score change from 5 to 4 recommended by Central Americans in 2016</t>
  </si>
  <si>
    <t>open areas, edge, scrub; global score should reflect regional experts' opinion</t>
  </si>
  <si>
    <t>Black Catbird</t>
  </si>
  <si>
    <t>Melanoptila glabrirostris</t>
  </si>
  <si>
    <t>endemic to yucatan where experts say it has declined</t>
  </si>
  <si>
    <t>Gray Catbird</t>
  </si>
  <si>
    <t>Dumetella carolinensis</t>
  </si>
  <si>
    <t>DD='relatively tolerant of human activities and land use.'  BNA supports that early successional habitats are both created and diminished by human land use.   But then why should BRTH be TB/TN 3 ??</t>
  </si>
  <si>
    <t>DD='relatively tolerant of human activities and land use.'  BNA supports that early successional habitats are both created and diminished by human land use. However, species uses forested habitats more in nonbreeding season and coastal wintering areas may</t>
  </si>
  <si>
    <t>Curve-billed Thrasher</t>
  </si>
  <si>
    <t>Toxostoma curvirostre</t>
  </si>
  <si>
    <t>Uses towns in MX.  Very flexible; tolerant of disturbance, but used for cage-bird trade (MX-NSAC).</t>
  </si>
  <si>
    <t>tolerant of disturbance, but used for cage-bird trade</t>
  </si>
  <si>
    <t>Ocellated Thrasher</t>
  </si>
  <si>
    <t>Toxostoma ocellatum</t>
  </si>
  <si>
    <t>requires primary vegetation</t>
  </si>
  <si>
    <t>Brown Thrasher</t>
  </si>
  <si>
    <t>Toxostoma rufum</t>
  </si>
  <si>
    <t>DD='moderately vulnerable to human activities and land use.'  Early successional habitats on general decline in Eastern regions, clean farming reducing habitat in western regions.  Population likely to decline if future trends continue.  However, why did</t>
  </si>
  <si>
    <t>Long-billed Thrasher</t>
  </si>
  <si>
    <t>Toxostoma longirostre</t>
  </si>
  <si>
    <t>tolerant of disturbance; some capture for trade</t>
  </si>
  <si>
    <t>Shaw-23: Mexican PT-r scores range from 2-3, but are old and eBird S&amp;T models estimate twice as much population in US as Mexico, so BBS coverage should be good enough.  Rosenberg 2019: Clearly expanding and increasing in S. Texas such that BBS would support a score of 1 in US.</t>
  </si>
  <si>
    <t>Cozumel Thrasher</t>
  </si>
  <si>
    <t>Toxostoma guttatum</t>
  </si>
  <si>
    <t>possibly extinct</t>
  </si>
  <si>
    <t>Bendire's Thrasher</t>
  </si>
  <si>
    <t>Toxostoma bendirei</t>
  </si>
  <si>
    <t>Don't know cause of decline.  Should be a high priority for study of threats; Rosenberg: rapid development in AZ portions of range, off road vehicles.  DJK= some interspecific competition with CBTH as well as climate change threats make this one to watch closely.</t>
  </si>
  <si>
    <t>more flexible habitat use in winter</t>
  </si>
  <si>
    <t>Mountain Thrush</t>
  </si>
  <si>
    <t>Turdus plebejus</t>
  </si>
  <si>
    <t>Turdidae</t>
  </si>
  <si>
    <t>slight decline in habitat expected</t>
  </si>
  <si>
    <t>Pale-vented Thrush</t>
  </si>
  <si>
    <t>Turdus obsoletus</t>
  </si>
  <si>
    <t>Clay-colored Thrush</t>
  </si>
  <si>
    <t>Turdus grayi</t>
  </si>
  <si>
    <t>has exploded as a recent breeder, but still probably &lt; 5,000</t>
  </si>
  <si>
    <t>White-throated Thrush</t>
  </si>
  <si>
    <t>Turdus assimilis</t>
  </si>
  <si>
    <t>Rufous-backed Robin</t>
  </si>
  <si>
    <t>Turdus rufopalliatus</t>
  </si>
  <si>
    <t>Rufous-collared Robin</t>
  </si>
  <si>
    <t>Turdus rufitorques</t>
  </si>
  <si>
    <t>El rango debe incluir a Honduras (CAW); score change from 5 to 4 recommended by Central Americans in 2016</t>
  </si>
  <si>
    <t>global score should reflect regional experts' opinion; nonetheless, it is not clear why TN-c would differ from TB-c, given similar habitat use during both seasons.</t>
  </si>
  <si>
    <t>species benefits from clearings, has probably increased</t>
  </si>
  <si>
    <t>American Robin</t>
  </si>
  <si>
    <t>Turdus migratorius</t>
  </si>
  <si>
    <t>Varied Thrush</t>
  </si>
  <si>
    <t>Ixoreus naevius</t>
  </si>
  <si>
    <t>Taiga forest part of range (north) not under threat, but southern wet forests are.</t>
  </si>
  <si>
    <t>Moves to low elevation in winter, where may be subject to human impact (CB)</t>
  </si>
  <si>
    <t>Aztec Thrush</t>
  </si>
  <si>
    <t>Ridgwayia pinicola</t>
  </si>
  <si>
    <t>very rare and local with mapped range</t>
  </si>
  <si>
    <t>Bluethroat</t>
  </si>
  <si>
    <t>Cyanecula svecica</t>
  </si>
  <si>
    <t>Muscicapidae</t>
  </si>
  <si>
    <t>Formerly included in the genus Luscinia.</t>
  </si>
  <si>
    <t>used BirdLife International global estimate since poor eBird coverage in Asia means we shouldn't use eBird-based extrapolation of BBS to 7.5 million globally (PIFSC-18).</t>
  </si>
  <si>
    <t>should check current status of Asian/African winterers (KVR)</t>
  </si>
  <si>
    <t>Northern Wheatear</t>
  </si>
  <si>
    <t>Oenanthe oenanthe</t>
  </si>
  <si>
    <t>Olive Warbler</t>
  </si>
  <si>
    <t>Peucedramus taeniatus</t>
  </si>
  <si>
    <t>Peucedramidae</t>
  </si>
  <si>
    <t>Scaly-breasted Munia</t>
  </si>
  <si>
    <t>Lonchura punctulata</t>
  </si>
  <si>
    <t>Estrildidae</t>
  </si>
  <si>
    <t>Tricolored Munia</t>
  </si>
  <si>
    <t>Lonchura malacca</t>
  </si>
  <si>
    <t>House Sparrow</t>
  </si>
  <si>
    <t>Passer domesticus</t>
  </si>
  <si>
    <t>Passeridae</t>
  </si>
  <si>
    <t>PIFcalc19-rng,eBird7017,bbs0615,nwt9501</t>
  </si>
  <si>
    <t>changed due to calibration with TB-r; 10 of 34 BCRs scored TBr&gt;1, all from latest review. Only 5 of 24 BCRs with TBr=1 are from this review, meaning all the other TBr=1 are from 2012 or before</t>
  </si>
  <si>
    <t>Eurasian Tree Sparrow</t>
  </si>
  <si>
    <t>Passer montanus</t>
  </si>
  <si>
    <t>150 million would be the global extrapolation of BBS-15 using eBird, but US/Canada estimated to be just 0.10% of global pop, so not appropriate to base extrapolation on such a small proportion of the pop (PIFSC-18).</t>
  </si>
  <si>
    <t>Eastern Yellow Wagtail</t>
  </si>
  <si>
    <t>Motacilla tschutschensis</t>
  </si>
  <si>
    <t>Motacillidae</t>
  </si>
  <si>
    <t>estimate based on roughly half of former PS estimate for Yellow Wagtail</t>
  </si>
  <si>
    <t>&lt;1,000,000</t>
  </si>
  <si>
    <t>guesstimate (5% of global pop estimate)</t>
  </si>
  <si>
    <t>Threat for Western Hemisphere? Stable, perhaps, but not enhanced by human disturbance (KVR).</t>
  </si>
  <si>
    <t>White Wagtail</t>
  </si>
  <si>
    <t>Motacilla alba</t>
  </si>
  <si>
    <t>used mid point of BirdLife estimate of 163000000-1560000000 individuals</t>
  </si>
  <si>
    <t>much more limited range; &lt; 500 seems reaSONABle; % Pop'n in US way &lt; 1%</t>
  </si>
  <si>
    <t>Red-throated Pipit</t>
  </si>
  <si>
    <t>Anthus cervinus</t>
  </si>
  <si>
    <t>much more limited range; &lt; 50 seems reaSONABle (no real known breeding locations!)</t>
  </si>
  <si>
    <t>American Pipit</t>
  </si>
  <si>
    <t>Anthus rubescens</t>
  </si>
  <si>
    <t>PIFcalc19-nwt9501,rng,bbs0615</t>
  </si>
  <si>
    <t>Sprague's Pipit</t>
  </si>
  <si>
    <t>Anthus spragueii</t>
  </si>
  <si>
    <t>among grassland birds, most vulnerable to ag conversion and overgrazing.  Requires natural prairie for nesting and is intolerant of noise from energy extraction and roads (BD via MG); Canadian federal pastures (once thought permanent holdings) returned to provinces, increased potential for loss and exploitation (BD via MG)</t>
  </si>
  <si>
    <t>grazing in winter grasslands a major threat? (KR).  loss of winter habitat across range could threaten persistence of entire species. (CB, KVR, WE, TW, DP); DJK= concerns on wintering range with drought, climate change, overgrazing.</t>
  </si>
  <si>
    <t>Yellowish Pipit</t>
  </si>
  <si>
    <t>Anthus chii</t>
  </si>
  <si>
    <t>Formerly known as Anthus lutescens. Anthus chii is a synonym and has priority.</t>
  </si>
  <si>
    <t>Shaw-22: 100% of pre-split eBird observations in EBD20 were within breeding range of Yellowish Pipit, so no score change</t>
  </si>
  <si>
    <t>Shaw-22: have not recalculated breeding area after Peruvian Pipit was split off since wouldn't change the score</t>
  </si>
  <si>
    <t>Shaw-22: have not recalculated non-breeding area after Peruvian Pipit was split off since wouldn't change the score</t>
  </si>
  <si>
    <t>afectado por la ganadería y cultivos de azucar y arroz</t>
  </si>
  <si>
    <t>Elegant Euphonia</t>
  </si>
  <si>
    <t>Chlorophonia elegantissima</t>
  </si>
  <si>
    <t>Fringillidae</t>
  </si>
  <si>
    <t>Formerly placed in the genus Euphonia.</t>
  </si>
  <si>
    <t>local within mapped range</t>
  </si>
  <si>
    <t>less selective in habitat use during non-breeding season</t>
  </si>
  <si>
    <t>Blue-crowned Chlorophonia</t>
  </si>
  <si>
    <t>Chlorophonia occipitalis</t>
  </si>
  <si>
    <t>tolerates some fragmentation</t>
  </si>
  <si>
    <t>Golden-browed Chlorophonia</t>
  </si>
  <si>
    <t>Chlorophonia callophrys</t>
  </si>
  <si>
    <t>West Mexican Euphonia</t>
  </si>
  <si>
    <t>Euphonia godmani</t>
  </si>
  <si>
    <t>Monotypic. Formerly considered conspecific with Euphonia affinis.</t>
  </si>
  <si>
    <t>Shaw-22: multiplied the geometric midpoint (2 million) of the pop size range of pre-split PS -g score by the EBD20 % that falls within the range of W. Mexican Euphonia (% for NWPL +half of the % of SCPL)</t>
  </si>
  <si>
    <t>Shaw-22: BirdLife has not yet split Scrub Euphonia, so calculated size of BirdLife's Scrub Euphonia in W. Mexico</t>
  </si>
  <si>
    <t>Shaw-22: both NWPL and SCPL had TB-r = 3</t>
  </si>
  <si>
    <t>Shaw-22: both NWPL and SCPL had TB-r = 3, which I applied to TN-r on the assumption of similar threats year-round</t>
  </si>
  <si>
    <t>Mexican Regional Assessment 2005, EBD20; Shaw-22</t>
  </si>
  <si>
    <t>Shaw-22: NWPL's 3 trumps SCPL's 4 based on greater %pop in NWPL according to EBD20</t>
  </si>
  <si>
    <t>Scrub Euphonia</t>
  </si>
  <si>
    <t>Euphonia affinis</t>
  </si>
  <si>
    <t>Shaw-22: multiplied the geometric midpoint (2 million) of the pop size range of pre-split PS -g score by the EBD20 % that doesn't fall within the range of W. Mexican Euphonia (% for NWPL +half of the % of SCPL)</t>
  </si>
  <si>
    <t>Shaw-22: BirdLife has not yet split Scrub Euphonia, so calculated size of BirdLife's Scrub Euphonia in Eastern Mexico &amp; Central America</t>
  </si>
  <si>
    <t>Shaw-22: splitting off West Mexican Euphonia doesn't change average of remaining regional scores</t>
  </si>
  <si>
    <t>Tolerant of disturbance.  Shaw-22: splitting off West Mexican Euphonia doesn't change average of remaining regional scores</t>
  </si>
  <si>
    <t>Yellow-crowned Euphonia</t>
  </si>
  <si>
    <t>Euphonia luteicapilla</t>
  </si>
  <si>
    <t>White-vented Euphonia</t>
  </si>
  <si>
    <t>Euphonia minuta</t>
  </si>
  <si>
    <t>apparently uncommon throughout most of range; score change from 4 to 3 recommended by Central Americans in 2016</t>
  </si>
  <si>
    <t>requires forest.</t>
  </si>
  <si>
    <t>Yellow-throated Euphonia</t>
  </si>
  <si>
    <t>Euphonia hirundinacea</t>
  </si>
  <si>
    <t>problem with breeding range size</t>
  </si>
  <si>
    <t>shape file origin codes reversed (now fixed in analysis program)</t>
  </si>
  <si>
    <t>shape file origin codes reversed (now fixed in analysis program)Ken comment: shape file origin codes reversed (now fixed in analysis program)</t>
  </si>
  <si>
    <t>PIFTC-old</t>
  </si>
  <si>
    <t>Mexicans should score, doesn't breed in US-CB; requires forest (MX-NSAC).</t>
  </si>
  <si>
    <t>mainly a species of semi-open areas.; mainly a species of semi-open areas.</t>
  </si>
  <si>
    <t>Brown-capped Rosy-Finch</t>
  </si>
  <si>
    <t>Leucosticte australis</t>
  </si>
  <si>
    <t>Bernier et al. 2023</t>
  </si>
  <si>
    <t>Bernier et al. 2023: pop estimated from 2018-2020 breeding season surveys as 116,421 – 148,546.  Minimal NM and WY populations not included in either estimate so these should be considered minimums (Panjabi 2018).</t>
  </si>
  <si>
    <t>Bird Conservancy of the Rockies 2018</t>
  </si>
  <si>
    <t>breeding range map is highly parcelized to include only alpine areas; non-breeding range is almost better measure of extent of range, but overall too generous; I would say roughly 1/3 of non-breeding range should be consider as breeding 'range'; still BD=5</t>
  </si>
  <si>
    <t>Same issues as above; Rosenberg: effects of global warming in alpine areas; loss of snowfields.</t>
  </si>
  <si>
    <t>House Finch</t>
  </si>
  <si>
    <t>Haemorhous mexicanus</t>
  </si>
  <si>
    <t>Purple Finch</t>
  </si>
  <si>
    <t>Haemorhous purpureus</t>
  </si>
  <si>
    <t>What is the threat?  Used edge, parks, orchards--but, something is causing decline.  Pacific populations may be more threatened; check this (KVR); Camfield,Alaine [NCR]: Most TBs are 3 in Canadian BCRs.  Highest threats in Pacific Region include habitat loss due to urban development and mountain pine beetle.  Rangewide, but lower magnitude threats related to logging.</t>
  </si>
  <si>
    <t>Cassin's Finch</t>
  </si>
  <si>
    <t>Haemorhous cassinii</t>
  </si>
  <si>
    <t>Still dependent on forests in winter, or extensive use of towns and feeders? (KVR); uses feeders in winter, but mostly dependent on cone crops; loss of poderosa pine forests to recent wildlfires (likely climate-change induced) is an increasing threat, suggest 3. (Panjabi)</t>
  </si>
  <si>
    <t>Common Redpoll</t>
  </si>
  <si>
    <t>Acanthis flammea</t>
  </si>
  <si>
    <t>Hoary Redpoll</t>
  </si>
  <si>
    <t>Acanthis hornemanni</t>
  </si>
  <si>
    <t>Pete Blancher split out BBS counts of unidentified Common/Hoary Redpoll based on 2005-2014 ratio of positively identified birds</t>
  </si>
  <si>
    <t>irruptive on CBC; variable trend.  Rosenberg 2019: CBC annual trend (2.3956%) could reflect change in identification skills, so suspect.  PIFSC-19: 3 for uncertainty.</t>
  </si>
  <si>
    <t>Red Crossbill</t>
  </si>
  <si>
    <t>Loxia curvirostra</t>
  </si>
  <si>
    <t>Range limited to zone where logging is ongoing.  Needs 60+ yr old trees in ALL parts of range; Rosenberg: threats higher due to boreal forestry? Panjabi: even if negatively affected by forestry practices in the boreal, I suggest threats are not severe rangewide, although they may be for some subspecific types.</t>
  </si>
  <si>
    <t>Cassia Crossbill</t>
  </si>
  <si>
    <t>Loxia sinesciuris</t>
  </si>
  <si>
    <t>Miller et al. 2023</t>
  </si>
  <si>
    <t>Benkman 2018</t>
  </si>
  <si>
    <t>95% of range in Sawtooth N.F.</t>
  </si>
  <si>
    <t>projected 2-3 months of hot days that cause serotinous cones to open prematurely and lodgepole pine recruitment projected to end by 2050 (Coops and Waring 2011) with increased fire frequency due to climate change and cheatgrass.</t>
  </si>
  <si>
    <t>Benkman-23; Miller et al. 2023</t>
  </si>
  <si>
    <t>~50% expert-based estimate for LT loss from 2003-2022, shorter than our normal period of 1970-2021, so loss would be greater if we had an estimate for the standard LT period.  Similarly, 38% ST loss based on data from 2016-2022, so shorter than our standard 10 year minimum period, so would be greater if we had a 10 year dataset</t>
  </si>
  <si>
    <t>White-winged Crossbill</t>
  </si>
  <si>
    <t>Loxia leucoptera</t>
  </si>
  <si>
    <t>PIFcalc19-rng,bbs0615,ona0105</t>
  </si>
  <si>
    <t>More wide-spread and generalist than Red Crossbill; Rosenberg: threats higher due to boreal forestry? Blancher: suggest leaving at 3.</t>
  </si>
  <si>
    <t>still dependent on spruce cone crops in mature forests in most winters across range (KVR); increasing wildfires in Alaska and elsewhere in the Boreal will reduce habitat and food for this species (Panjabi)</t>
  </si>
  <si>
    <t>Pine Siskin</t>
  </si>
  <si>
    <t>Spinus pinus</t>
  </si>
  <si>
    <t>adaptable, but not enhanced by human disturbance (KR).</t>
  </si>
  <si>
    <t>adaptable, but not enhanced by human disturbance (KR)</t>
  </si>
  <si>
    <t>American Goldfinch</t>
  </si>
  <si>
    <t>Spinus tristis</t>
  </si>
  <si>
    <t>DD= BNA supports that agriculture (e.g. sunflowers) supplemental feeding, clearing of forest have overall benefitted this species.  Likely that continued trends in habitat use will favor it as well.</t>
  </si>
  <si>
    <t>adaptable, but not enhanced by human disturbance (KR). DD=???, leaning toward TN 1 (agriculture, sunflowers, supplemental feeding, clearing of forest).  BNA supports TN 1.  If pops enhanced in nonbreeding season to the extent of TN 1, then are nesting lim</t>
  </si>
  <si>
    <t>Rosy Thrush-Tanager</t>
  </si>
  <si>
    <t>Rhodinocichla rosea</t>
  </si>
  <si>
    <t>Rhodinocichlidae</t>
  </si>
  <si>
    <t>dry forests</t>
  </si>
  <si>
    <t>both regions in MX score PT=5; trend in Costa Rica and Panama unknown; primary habitats are overgrown clearings and second-growth, but species occurence in unpredictable, habitat needs poorly understood; In Mexico, this species has been recorded in forest edge, however, forests should have a sizeable extension. Unrecorded in heavily degraded forest edges. PT=5 should be mantained, as potential specific differetiation has been suggested; Preferimos un valor de 5 ya que la especie tambien resulta afectada por procesos de ganaderizaci#n y desarrollo costero, hay evidencia de que no ocupa todo el hßbitat disponible. Sin embargo acordamos dejar el valor de 4 pensando en el significado de decl</t>
  </si>
  <si>
    <t>Lapland Longspur</t>
  </si>
  <si>
    <t>Calcarius lapponicus</t>
  </si>
  <si>
    <t>Calcariidae</t>
  </si>
  <si>
    <t>Chestnut-collared Longspur</t>
  </si>
  <si>
    <t>Calcarius ornatus</t>
  </si>
  <si>
    <t>although more abundant/widespread than SPPI and BAIS, CCLO is dependent on relatively undisturbed shortgrass/mixed grass prairie, which is under increased threats from intensifying ag (KVR)</t>
  </si>
  <si>
    <t>Said to use cultivated fields.  Shouldn't be worse than SMLO; Rosenberg: threats higher due to rapid loss of Chihuahuan grasslands?</t>
  </si>
  <si>
    <t>Smith's Longspur</t>
  </si>
  <si>
    <t>Calcarius pictus</t>
  </si>
  <si>
    <t>BNA Briskie 1993</t>
  </si>
  <si>
    <t>although BBS estimate (390,000) seems reasonable, it is based on just 4 BBS routes, so BBS not an ideal source (PIFSC-18).</t>
  </si>
  <si>
    <t>Reduced by 40%; NS maps seem to greatly overemphasize northern and eastern edges of non-breeding distribution. Difficult to say whether this is enough however to drop below 500,000 km#
Ken comment:</t>
  </si>
  <si>
    <t>Taiga breed habitat under no threat.</t>
  </si>
  <si>
    <t>Co-exists with cattle.  Main threat is conversion to non-native grass, but need assessment of habitat loss.</t>
  </si>
  <si>
    <t>Thick-billed Longspur</t>
  </si>
  <si>
    <t>Rhynchophanes mccownii</t>
  </si>
  <si>
    <t>NS maps are correct here though they seem to underestimate the non-breeding distribution in NM to a great extent.  But birds do not occupy all areas of range in any given year.  Difficult to judge but I'm a little surprised by the NS estimate</t>
  </si>
  <si>
    <t>Species is declining rapidly, even in strongholds like Pawnee NG, but threats on breeding grounds are unclear; declining within optimal habitats that dot not appear to be changing (AP);  Largely dependent  on heavily grazed shortgrass prairie, which is under increased threat from grazing management that aims to retain more standing grass cover, also habitat loss due to loss of prairie dog towns and conversion of grasslands to cropland (AP)</t>
  </si>
  <si>
    <t>Really a 4 in winter? (ED); Rosenberg: theats higher due to disturbance in winter range?.  reevaluate based on current situation in Chihuahuan grasslands of n. Mexico (KVR); Agreed, 4, although does not appear to be heavily dependent on Chihuahuan Desert grasslands - rarely recorded on RMBO surveys; probably wintering more in TX and OK, perhaps in Ag fields; exposure to pesticides (Neonicitinoids?) could be major concern; loss of arid shortgrass breeding habitat does not appear to be a major driver of a 5% annual decline, indicating decline may be more related to winter (Panjabi);</t>
  </si>
  <si>
    <t>Snow Bunting</t>
  </si>
  <si>
    <t>Plectrophenax nivalis</t>
  </si>
  <si>
    <t>PIFcalc19-nwt9501,rng</t>
  </si>
  <si>
    <t>PIFcalc19-nwt9501</t>
  </si>
  <si>
    <t>McKay's Bunting</t>
  </si>
  <si>
    <t>Plectrophenax hyperboreus</t>
  </si>
  <si>
    <t>Matsuoka &amp; Johnson 2008</t>
  </si>
  <si>
    <t>Remote and probably undisturbed, but threats truly unknown and area is exceedingly small. vulnerable to rats (although none there yet).</t>
  </si>
  <si>
    <t>Yellow-throated Chlorospingus</t>
  </si>
  <si>
    <t>Chlorospingus flavigularis</t>
  </si>
  <si>
    <t>Passerellidae</t>
  </si>
  <si>
    <t>Formerly known as Yellow-throated Bush-Tanager.</t>
  </si>
  <si>
    <t>Ashy-throated Chlorospingus</t>
  </si>
  <si>
    <t>Chlorospingus canigularis</t>
  </si>
  <si>
    <t>Formerly known as Ashy-throated Bush-Tanager.</t>
  </si>
  <si>
    <t>Sooty-capped Chlorospingus</t>
  </si>
  <si>
    <t>Chlorospingus pileatus</t>
  </si>
  <si>
    <t>Formerly known as Sooty-capped Bush-Tanager.</t>
  </si>
  <si>
    <t>Common Chlorospingus</t>
  </si>
  <si>
    <t>Chlorospingus flavopectus</t>
  </si>
  <si>
    <t>Formerly Chlorospingus ophthalmicus and known as Common Bush-Tanager.</t>
  </si>
  <si>
    <t>Revisar distribución al sur de guatemala. Los rangos al parecer solo toman en cuenta a centroamerica y no america del sur (CAW); score change from 3 to 2 recommended by Central Americans in 2016</t>
  </si>
  <si>
    <t>Tacarcuna Chlorospingus</t>
  </si>
  <si>
    <t>Chlorospingus tacarcunae</t>
  </si>
  <si>
    <t>Monotypic. Formerly known as Tacarcuna Bush-Tanager.</t>
  </si>
  <si>
    <t>Pirre Chlorospingus</t>
  </si>
  <si>
    <t>Chlorospingus inornatus</t>
  </si>
  <si>
    <t>Monotypic. Formerly known as Pirre Bush-Tanager.</t>
  </si>
  <si>
    <t>Rufous-winged Sparrow</t>
  </si>
  <si>
    <t>Peucaea carpalis</t>
  </si>
  <si>
    <t>extrapolating BBS-based US/Canada estimate using eBird would result in a global estimate of 100,000, way too low (PIFSC-18).</t>
  </si>
  <si>
    <t>how specialized or threatened throughout range? (KR); dependent on desert grassland throughout range; requires primary vegetation (MX-NSAC).  Requires shrub-encroached grasslands - not a highly threatened habitat; reproduction tied to summer rains; potentially vulnerable to extreme heat events; moderate threats overall (AP)</t>
  </si>
  <si>
    <t>regional experts score PT=4 in core areas (NWAB and NWPL)</t>
  </si>
  <si>
    <t>Cinnamon-tailed Sparrow</t>
  </si>
  <si>
    <t>Peucaea sumichrasti</t>
  </si>
  <si>
    <t>appears to do well in disturbed habitat and is still common in acahuales and on the wind farm zones, with no interaction with the rotors (R. Villegas); Su habitat reproductivo está disminuyendo y transformando (agricultura, apertura de caminos e infraestructura para windfarms) (Macias).</t>
  </si>
  <si>
    <t>Stripe-headed Sparrow</t>
  </si>
  <si>
    <t>Peucaea ruficauda</t>
  </si>
  <si>
    <t>hello</t>
  </si>
  <si>
    <t>Black-chested Sparrow</t>
  </si>
  <si>
    <t>Peucaea humeralis</t>
  </si>
  <si>
    <t>Bridled Sparrow</t>
  </si>
  <si>
    <t>Peucaea mystacalis</t>
  </si>
  <si>
    <t>Botteri's Sparrow</t>
  </si>
  <si>
    <t>Peucaea botterii</t>
  </si>
  <si>
    <t>Poor eBird coverage within range in Mexico results in a way too high estimate of 20% of the pop in US/Canada, but that's not a problem as long as the areas that are covered are representative in pop density (PIFSC-18).  Seems to be overmapped in Mexico; restricted within range; less abundant than CASP where they both occur.</t>
  </si>
  <si>
    <t>Needs info from MX if change to be made; may be more generalized there than in U.S., but we don't know; should be 4 for U.S. threats; requires grasslands for breeding; tolerant of disturbance (MX-NSAC).</t>
  </si>
  <si>
    <t>See above; tolerant of disturbance.  rangewide, TN=2 is OK; uses wide range of pastures and disturbed areas in towns and villages (Panjabi)</t>
  </si>
  <si>
    <t>poorly known</t>
  </si>
  <si>
    <t>Cassin's Sparrow</t>
  </si>
  <si>
    <t>Peucaea cassinii</t>
  </si>
  <si>
    <t>most of range in US is well-sampled by BBS; BBS indicates high density</t>
  </si>
  <si>
    <t>Reduced by 10%; NS overestimates the regular breeding range of the species</t>
  </si>
  <si>
    <t>Reduced by 30%; Non-breeding range over emphasizes central New Mexico and central and eastern Texas where species appears to be irregular at best.
(KVR)</t>
  </si>
  <si>
    <t>Bachman's Sparrow</t>
  </si>
  <si>
    <t>Peucaea aestivalis</t>
  </si>
  <si>
    <t>DD='highly vulnerable to human acitvities and land use.'  BNA supports that harvest rotations currently favoring unsuitable age classes are widespread.  Threats ongoing and uses specific conditions within habitats.</t>
  </si>
  <si>
    <t>Grasshopper Sparrow</t>
  </si>
  <si>
    <t>Ammodramus savannarum</t>
  </si>
  <si>
    <t>DD='highly vulnerable to human land use and activities.'  BNA supports that  loss, fragmentation and degradation of hayfiled, pasture and grassland habitats have resulted in continuing pop declines.  These threats are ongoing in areas.  Otherwise suitable.  More threatened than other grassland sparrows, especially in the East where habitat continues to decline rapidly due to suberuban development an loss of pastureland (KVR); Camfield,Alaine [NCR]: Assessed as Special Concern by COSEWIC (not listed under SARA yet).   TB mostly 4's in Canadian BCRs.  Main threats include habitat loss/fragmentation due to agricultural intensification, overgrazing or regeneration of open habitats (In Ontario and Quebec).  Although it uses a wide variety of native and semi-native grasslands (CRP) in mid west and west, all grasslands there are under high threat from expanding cropland agriculture, expiring CRP, expanding energy development, exurban development; threats are more than "moderate" (AP); Demarest, Dean: From an eastern perspective, warrants a 4 on par with other grassland birds, (e.g. see NOBO).</t>
  </si>
  <si>
    <t>DD='moderately vulnerable to human land use.'  Species less impacted in nonbreeding season where effects of mowing and indirect effects of habitat isolation and degradation aren't a consideration.  Still, overall loss of quality habitat.  Pops likely to d.  broader habitat use than BAIS but still heavily affected by habitat loss in Chihuahuan Desert where it is extremely abundant in suitable habitat.</t>
  </si>
  <si>
    <t>Olive Sparrow</t>
  </si>
  <si>
    <t>Arremonops rufivirgatus</t>
  </si>
  <si>
    <t>Very high density within US range -- presumably also in NE Mexico (PIFSC-18).</t>
  </si>
  <si>
    <t>Range looks very accurate -- probably better than RMBO score</t>
  </si>
  <si>
    <t>requires dense woody vegetation</t>
  </si>
  <si>
    <t>Green-backed Sparrow</t>
  </si>
  <si>
    <t>Arremonops chloronotus</t>
  </si>
  <si>
    <t>MX represents roughly 50% of species range.  regional experts score PT=4.</t>
  </si>
  <si>
    <t>Black-striped Sparrow</t>
  </si>
  <si>
    <t>Arremonops conirostris</t>
  </si>
  <si>
    <t>Five-striped Sparrow</t>
  </si>
  <si>
    <t>Amphispizopsis quinquestriata</t>
  </si>
  <si>
    <t>Formerly placed in the genus Amphispiza.</t>
  </si>
  <si>
    <t>not higher than other desert sparrows (KR); requires primary vegetation; overgrazing (MX-NSAC).</t>
  </si>
  <si>
    <t>Need info from MX; requires primary vegetation</t>
  </si>
  <si>
    <t>Black-throated Sparrow</t>
  </si>
  <si>
    <t>Amphispiza bilineata</t>
  </si>
  <si>
    <t>distance revised to 125 m based on review of RMBO grassland dataset, score changes to PS=1 (Blancher email, Dec. 20, 2008)</t>
  </si>
  <si>
    <t>threats to habitat are minimal</t>
  </si>
  <si>
    <t>Lark Sparrow</t>
  </si>
  <si>
    <t>Chondestes grammacus</t>
  </si>
  <si>
    <t>NS map seems to have mislabeled the northern Baja California population as permanent when it should be breeding only (according to Howell and Webb).  Also over estimates winter distribution especially in western Texas where it is often simply absent, equa</t>
  </si>
  <si>
    <t>changed due to calibration with TB-r; several threats cited in core BCRs</t>
  </si>
  <si>
    <t>Lark Bunting</t>
  </si>
  <si>
    <t>Calamospiza melanocorys</t>
  </si>
  <si>
    <t>vulnerable, but not SEVERELY threatened (KR).</t>
  </si>
  <si>
    <t>Chipping Sparrow</t>
  </si>
  <si>
    <t>Spizella passerina</t>
  </si>
  <si>
    <t>Non-breeding range is vastly underestimated with the species appearing only as a breeding species across the southern US.
Ken comment: Add 1.6M km2 in U.S. and Mexico; Non-breeding range is vastly underestimated with the species appearing only as a breed</t>
  </si>
  <si>
    <t>changed due to calibration with TB-r; primary habitat is forest, so benefit from development is minor</t>
  </si>
  <si>
    <t>secure, but not enhanced by human disturbance (KR).  DD='species benefits from human activity and land use.'  BNA repeatedly supports that pops higher than presettlement times due to species affinity for human modified landscapes with ample foraging habit</t>
  </si>
  <si>
    <t>Clay-colored Sparrow</t>
  </si>
  <si>
    <t>Spizella pallida</t>
  </si>
  <si>
    <t>Panjabi: at least moderately threatened by increasing loss of Chihuahuan grasslands</t>
  </si>
  <si>
    <t>Black-chinned Sparrow</t>
  </si>
  <si>
    <t>Spizella atrogularis</t>
  </si>
  <si>
    <t>Field Sparrow</t>
  </si>
  <si>
    <t>Spizella pusilla</t>
  </si>
  <si>
    <t>but, widespread loss of habitat IS ocurring (KR).  DD='moderately vulnerable to human land use activities.'  Populations likely to decline if trends in conditions continue.  Forest succession and agriculture causing decline in suitable habitats in East.</t>
  </si>
  <si>
    <t>but, widespread loss of habitat IS ocurring (KR).  DD='moderately vulnerable to human land use activities.'  Populations likely to decline if trends in conditions continue.  Forest succession and agriculture causing decline in suitable habitats in East.; Rosenberg: existing comments warrant TN=3</t>
  </si>
  <si>
    <t>Brewer's Sparrow</t>
  </si>
  <si>
    <t>Spizella breweri</t>
  </si>
  <si>
    <t>removed 400,000 km2 from BC; NS map fills gap between Timberline and Brewer's, relative to NatGeo</t>
  </si>
  <si>
    <t>vulnerable, but not HIGHLY threatened (KR).</t>
  </si>
  <si>
    <t>Worthen's Sparrow</t>
  </si>
  <si>
    <t>Spizella wortheni</t>
  </si>
  <si>
    <t>Natureserve; PIFSC-08</t>
  </si>
  <si>
    <t>90% of NS range map does not have any recent records; experts at U. of Nuevo Leon believe species is limited to roughly 10% of mapped range</t>
  </si>
  <si>
    <t>current range limited to ~10% of mapped range (UANL experts)Ken comment: current range limited to ~10% of mapped range (UANL experts)</t>
  </si>
  <si>
    <t>hasn't bred in US, Mexicans should score-CB; Mexicans scored as 3; very local, susceptible to land use changes; habitat loss accelerating within very small breeding range, Gomez de Silva '07, changed Tb=3 to 4 (MX-NSAC); extinction of very small and restricted breeding population is very possible within 30 yrs (Panjabi); Global TB should be 5 due to habitat loss from agricultural conversion within extremely limited range.</t>
  </si>
  <si>
    <t>Mexicans scored as 3; moderate habitat loss; see breeding season comment/update; more widespread in winter</t>
  </si>
  <si>
    <t>major range contraction evidenced by early records in Chih, Zac., SLP, Tamps; no recent records outside of Saltillo area (mainly El Tokio)</t>
  </si>
  <si>
    <t>Costa Rican Brushfinch</t>
  </si>
  <si>
    <t>Arremon costaricensis</t>
  </si>
  <si>
    <t>Formerly included in Arremon torquatus.</t>
  </si>
  <si>
    <t>split from arremon torquatus</t>
  </si>
  <si>
    <t>Orange-billed Sparrow</t>
  </si>
  <si>
    <t>Arremon aurantiirostris</t>
  </si>
  <si>
    <t>NOTE -- general comment for Neotropical species -- map depiction very accurate (e.g. elevation ranges), but this is different from depictions of winter ranges of migrants -- possibly should 'smooth' distributions more to make more comparable??</t>
  </si>
  <si>
    <t>Restricted to humid evergreen forest in lowland and lower foothills within C.A. range; loss of such forests has been extensive; MX regional experts score PT=5 in SECL</t>
  </si>
  <si>
    <t>Green-striped Brushfinch</t>
  </si>
  <si>
    <t>Arremon virenticeps</t>
  </si>
  <si>
    <t>humid pine-evergreen forest</t>
  </si>
  <si>
    <t>Chestnut-capped Brushfinch</t>
  </si>
  <si>
    <t>Arremon brunneinucha</t>
  </si>
  <si>
    <t>Sooty-faced Finch</t>
  </si>
  <si>
    <t>Arremon crassirostris</t>
  </si>
  <si>
    <t>Fox Sparrow</t>
  </si>
  <si>
    <t>Passerella iliaca</t>
  </si>
  <si>
    <t>American Tree Sparrow</t>
  </si>
  <si>
    <t>Spizelloides arborea</t>
  </si>
  <si>
    <t>Volcano Junco</t>
  </si>
  <si>
    <t>Junco vulcani</t>
  </si>
  <si>
    <t>Guadalupe Junco</t>
  </si>
  <si>
    <t>Junco insularis</t>
  </si>
  <si>
    <t>Dark-eyed Junco</t>
  </si>
  <si>
    <t>Junco hyemalis</t>
  </si>
  <si>
    <t>PIFcalc19-bbs0615,ona0105,nwt9501,eBird7017</t>
  </si>
  <si>
    <t>secure but not enhanced by human disturbance (KR)</t>
  </si>
  <si>
    <t>Yellow-eyed Junco</t>
  </si>
  <si>
    <t>Junco phaeonotus</t>
  </si>
  <si>
    <t>PIFcalc19-eBird7017,bbs0615; MX-NSAC-19</t>
  </si>
  <si>
    <t>Lots of detection on few routes where detected, so can use BBS data in spite of few routes with detections (Blancher 2018).  Very high density in US range, also in Mexican mountains.  Mapped range is fairly restricted to suitable habitat.</t>
  </si>
  <si>
    <t>Shaw 2020: removed the Baja polygon from the BirdLife range shapefile for J. phaeonotus s.l.</t>
  </si>
  <si>
    <t>PIFSC-16; MX-NSAC-19; PIFSC-CVS 2022</t>
  </si>
  <si>
    <t>Range-wide, should be a 2; requires forest (MX-NSAC); global scores should reflect regional expert's opinion.</t>
  </si>
  <si>
    <t>Baird's Junco</t>
  </si>
  <si>
    <t>Junco bairdi</t>
  </si>
  <si>
    <t>Formerly considered conspecific with Junco phaeonotus.</t>
  </si>
  <si>
    <t>BirdLife 2019; MX-NSAC-19</t>
  </si>
  <si>
    <t>MX-NSAC-19: We originally suggested TB/TN = 2 due to the protection of the whole habitat as a protected area, but certainly it would shrink due to climate change, so 3 may be more adequate.</t>
  </si>
  <si>
    <t>MX-NSAC-19: We originally suggested TB/TN = 2 due to the protection on the whole habitat as a protected area, but certainly it would shrink due to climate change, so 3 may be more adequate.</t>
  </si>
  <si>
    <t>MX-NSAC-19: unknown</t>
  </si>
  <si>
    <t>Rufous-collared Sparrow</t>
  </si>
  <si>
    <t>Zonotrichia capensis</t>
  </si>
  <si>
    <t>TB=1 more appropriate due to preference for rural and agricultural landscapes, towns, villages, etc.</t>
  </si>
  <si>
    <t>has increased with forest clearing</t>
  </si>
  <si>
    <t>White-crowned Sparrow</t>
  </si>
  <si>
    <t>Zonotrichia leucophrys</t>
  </si>
  <si>
    <t>Though this species is sparsely spread across the eastern US during non-breeding season, the NS range is probably better than the original PIF scores</t>
  </si>
  <si>
    <t>Most of breeding range north of human impact zone.</t>
  </si>
  <si>
    <t>secure but not enhanced by human disturbance (KR); but in west are dirt birds in human areas (DP)</t>
  </si>
  <si>
    <t>Golden-crowned Sparrow</t>
  </si>
  <si>
    <t>Zonotrichia atricapilla</t>
  </si>
  <si>
    <t>Harris's Sparrow</t>
  </si>
  <si>
    <t>Zonotrichia querula</t>
  </si>
  <si>
    <t>PIFSC-16--PS-g midpoint</t>
  </si>
  <si>
    <t>PIFSC-16-PS-g</t>
  </si>
  <si>
    <t>NS maps are appropriate but seem to place an undue weight on extralimital areas.  1) either include all extralimital areas or none of them.  Areas on both the east, west and northern edges of winter range seem too large.  Whether it is enough to shave off</t>
  </si>
  <si>
    <t>Uses edge, thickets, suburban. Ecotones and disturbed areas. Comes to feeders (ED)</t>
  </si>
  <si>
    <t>White-throated Sparrow</t>
  </si>
  <si>
    <t>Zonotrichia albicollis</t>
  </si>
  <si>
    <t>Given that this species, especially in the southwest, while regular is quite sparsely populated, and given that the km# is only 36,000 above the cut-off for a score of 2, I'd continue with the PIF given score. Reduced by 50,000 km2 (Rosenberg)</t>
  </si>
  <si>
    <t>Bell's Sparrow</t>
  </si>
  <si>
    <t>Artemisiospiza belli</t>
  </si>
  <si>
    <t>Formerly called Sage Sparrow.</t>
  </si>
  <si>
    <t>BBS-based estimate in U.S. using BCR x State/Prov data in Pop Est database, extrapolated into Mexico by range</t>
  </si>
  <si>
    <t>NatureServe map split by BCRs</t>
  </si>
  <si>
    <t>NatureServe map split by BCRs; assumes same as BD, i.e., year-round resident</t>
  </si>
  <si>
    <t>has almost disappeared from NM, coastal CA (PIFSC Nov 2014); Does this species actually occur in NM, or does this comment refer to sagebrush sparrow? BBS trend for Bell's Sparrow indicates stable or increasing trend since 1970 - what's the high threat? (AP)</t>
  </si>
  <si>
    <t>PIFSC-12; PIFSC-CVS 2022</t>
  </si>
  <si>
    <t>Waiting for additional input from Chris McCreedy to verify if winter threats are higher than "moderate" range-wide; stable BBS trend suggests past threats have not been high</t>
  </si>
  <si>
    <t>Sagebrush Sparrow</t>
  </si>
  <si>
    <t>Artemisiospiza nevadensis</t>
  </si>
  <si>
    <t>BBS-based using Pop Est database</t>
  </si>
  <si>
    <t>NatureServe map; assumes winter-only range in U.S. and Mexico is Sagebrush Sparrow, not Bell’s; NS maps probably overemphasize wintering range in east-central AZ and west-central NM but may underemphasize area in southern NV and UT.  Really difficult to k</t>
  </si>
  <si>
    <t>Is conservation for S Grouse benefiting these other "umbrella" species (CB, KVR, WE, TW, DP)?; Suggest TB=3, comparable to other sagebrush songbirds; specializes in tall sagebrush habitat; at risk from fragmentation/loss of habitat, mostly from fires (due to invasive grasses) and energy development, but this risk may be tempered by Greater Sage-Grouse conservation efforts (Panjabi)</t>
  </si>
  <si>
    <t>rapid expansion of agriculture in Chihuahua is reducing both shublands and grasslands</t>
  </si>
  <si>
    <t>Striped Sparrow</t>
  </si>
  <si>
    <t>Oriturus superciliosus</t>
  </si>
  <si>
    <t>regional experts score PT=3 in most of range (NWMH, CEMH); Species seems to be increasing as result of forest clearing</t>
  </si>
  <si>
    <t>Vesper Sparrow</t>
  </si>
  <si>
    <t>Pooecetes gramineus</t>
  </si>
  <si>
    <t>LeConte's Sparrow</t>
  </si>
  <si>
    <t>Ammospiza leconteii</t>
  </si>
  <si>
    <t>Monotypic. Formerly included in the genus Ammodramus. Previously known as Le Conte's Sparrow.</t>
  </si>
  <si>
    <t>NS map seems to have incorporated much of the 'poorly known' range on the BNA maps into NB range.  LESP is not regular, in my experience, in GA or SC, (unsure of AL) but certainly not in the mountains as portrayed in the maps here.  If these areas were el</t>
  </si>
  <si>
    <t>Much of Canadian habitat not threatened.  DD='moderatley vulnerable to human land use.'  Based on BNA info, unclear that Canadian pops threatened to extent to warrant TB 4.  Breeds in wet as well as dry habitats, haying seems unfavorable.</t>
  </si>
  <si>
    <t>Uses dry grassland as well as wet--not sure of threat.  DD='moderately vulnerable to human land use.'  Intense agriculture,  urbanization, short rotation forestry, and fire exclusion along central Gulf coast likley ongoing threats.  Decline in TX rice agr</t>
  </si>
  <si>
    <t>Seaside Sparrow</t>
  </si>
  <si>
    <t>Ammospiza maritima</t>
  </si>
  <si>
    <t>Add 20%; Note that breeding range from GA to NC should be labeled as permanent resident on NS maps per BNA.  Additionally some birds overwinter north of this line, perhaps regularly.Ken comment: Add 20%; Note that breeding range from GA to NC should be la</t>
  </si>
  <si>
    <t>Rosenberg: could be more vulnerable due to sea level rise (but less sensitive than SMSTSP.  Previous comment still applies; seems like threats are rapidly increasing to all coastal saltmarsh species (KVR); sea-level rise is a severe threat (PIFSC)</t>
  </si>
  <si>
    <t>Restricted to coastal saltmarsh year-round -- threats certainly not less than for Nelson's Sparrow (KVR)</t>
  </si>
  <si>
    <t>Rosenberg-23: BBS data skewed to Gulf Coast population [which is the core of the species], whereas SHARP data for Atlantic Coast shows declines and CBC shows overall steep decline. (BBS is also declining on Atlantic Coast).  “3” for uncertainty because of large discrepancies.  Correll-23: BBS and CBC have roadside bias, so SHARP better to avoid bias.  Demarest: It's apt to be clouded by all the various ssp/races and their various pop trajectories, e.g. 60% declines in Cape Sable since 1990s, declines in MacGillivrays,  not to mention what happened to Dusky (rest in peace).  But to the degree BCR 27 is important [61% of pop according to eBird], and to the degree (declining) MacGillivray’s comprises the South Atlantic pop in this BCR, this could be a driver in how we consider the SESP PT score overall.  That said, Chuck makes a case that PT 3 might be the most appropriate score rangewide, given that SHARP data are limited in scope and noting the BBS limitations Randy pointed out [just reported in 20 routes in TX, LA, MD].</t>
  </si>
  <si>
    <t>Nelson's Sparrow</t>
  </si>
  <si>
    <t>Ammospiza nelsoni</t>
  </si>
  <si>
    <t>Monotypic. Formerly included in the genus Ammodramus.</t>
  </si>
  <si>
    <t>Winters primarily in saltmarsh habitat but not sure if threats should be considered severe in winter?</t>
  </si>
  <si>
    <t>Saltmarsh Sparrow</t>
  </si>
  <si>
    <t>Ammospiza caudacuta</t>
  </si>
  <si>
    <t>Formerly included in the genus Ammodramus.</t>
  </si>
  <si>
    <t>Wiest et al. 2019</t>
  </si>
  <si>
    <t>560 is BBS-15 estimate but based on just 2 BBS routes, so BBS not a good source (PIFSC-18).</t>
  </si>
  <si>
    <t>Rosenberg: vulnerable to sea level rise.  sea level rise (and fight to combat slr) pose severe threat to entire population; suceptible to climate change, flooding of nests, storms; salt marsh habitat severely threatened. (CB, KVR, WE, TW, DP)</t>
  </si>
  <si>
    <t>slightly more flexible in winter, perhaps less seas level rise further south; Randy (?) to check with species experts</t>
  </si>
  <si>
    <t>PIFSC-18; Correll et al. 2017</t>
  </si>
  <si>
    <t>Dettmers: SHARP estimates an annual decline of -9% over the period 1998-2012, which is short of going back to 1970, but no one doubts the species has declined by &gt;50% since 1970, given coastal development and the impacts from sea level rise</t>
  </si>
  <si>
    <t>Baird's Sparrow</t>
  </si>
  <si>
    <t>Centronyx bairdii</t>
  </si>
  <si>
    <t>loss of winter habitat across range could threaten persistence of entire species.</t>
  </si>
  <si>
    <t>Henslow's Sparrow</t>
  </si>
  <si>
    <t>Centronyx henslowii</t>
  </si>
  <si>
    <t>threats remain severe in future, in spite of improvements in populations due to recent CRP -- all of those gains likely to be lost; extirpated from most of eastern range.</t>
  </si>
  <si>
    <t>Savannah Sparrow</t>
  </si>
  <si>
    <t>Passerculus sandwichensis</t>
  </si>
  <si>
    <t>PIFcalc19-bbs0615,nwt9501,ona0105,eBird7017</t>
  </si>
  <si>
    <t>GB suggests 2 too low because of destruction of grassland?.  More highly threatened in parts of range, but probably the most tolerant and widespread of the grassland sparrows (KVR)</t>
  </si>
  <si>
    <t>Rufous-capped Brushfinch</t>
  </si>
  <si>
    <t>Atlapetes pileatus</t>
  </si>
  <si>
    <t>humid forest and clearings</t>
  </si>
  <si>
    <t>White-naped Brushfinch</t>
  </si>
  <si>
    <t>Atlapetes albinucha</t>
  </si>
  <si>
    <t>Yellow-thighed Brushfinch</t>
  </si>
  <si>
    <t>Atlapetes tibialis</t>
  </si>
  <si>
    <t>Formerly placed in the genus Pselliophorus.</t>
  </si>
  <si>
    <t>en las alturas pero es una generalista</t>
  </si>
  <si>
    <t>Yellow-green Brushfinch</t>
  </si>
  <si>
    <t>Atlapetes luteoviridis</t>
  </si>
  <si>
    <t>está afuera de áreas protegidas</t>
  </si>
  <si>
    <t>Wrenthrush</t>
  </si>
  <si>
    <t>Zeledonia coronata</t>
  </si>
  <si>
    <t>Zeledoniidae</t>
  </si>
  <si>
    <t>Western Spindalis</t>
  </si>
  <si>
    <t>Spindalis zena</t>
  </si>
  <si>
    <t>Spindalidae</t>
  </si>
  <si>
    <t>best guess -- not really sure on abundance within caribbean range</t>
  </si>
  <si>
    <t>200-km rule no longer applies, still BD=4</t>
  </si>
  <si>
    <t>island range but still BD4</t>
  </si>
  <si>
    <t>Hunter 2009</t>
  </si>
  <si>
    <t>considering West Indies TB/N=2.</t>
  </si>
  <si>
    <t>requires forest; considering West Indies where species is tolerant of disturbance</t>
  </si>
  <si>
    <t>species probably benefits from clearings; regional score is appropriate for entire range</t>
  </si>
  <si>
    <t>Yellow-breasted Chat</t>
  </si>
  <si>
    <t>Icteria virens</t>
  </si>
  <si>
    <t>Icteriidae</t>
  </si>
  <si>
    <t>Winter map o.k. -- could be too extensive in Panama.  '4' o.k.</t>
  </si>
  <si>
    <t>Yellow-headed Blackbird</t>
  </si>
  <si>
    <t>Xanthocephalus xanthocephalus</t>
  </si>
  <si>
    <t>Icteridae</t>
  </si>
  <si>
    <t>at feedlots, ag lands; but highly concentrated? (KR);overwinter in wetlands in MX which may be threatened</t>
  </si>
  <si>
    <t>Bobolink</t>
  </si>
  <si>
    <t>Dolichonyx oryzivorus</t>
  </si>
  <si>
    <t>threats moderate, not SEVERE (KR).  Threats seem to be increasing due to intensified ag w earlier and more frequent hay-cutting -- not sure if it is a "4" yet? (KVR); Camfield,Alaine [NCR]: Proposed to be listed as threatened in Canada.  25% of global popn. In Canada.  TB in Candadian BCR strategies range from 3-5 depending on Region.  But regions with larger popn. size list TB 4 or 5.  Main threats related to agricuture (mowing, pesticides, habitat loss). Final score would depend on what people feel for the rest of the range.</t>
  </si>
  <si>
    <t>Needs better info on winter threats to merit a 4; Rosenberg: could be higher; highly concentrated - check with Roz Renfew.  See previous comments; highly concentrated in small native grassland/Pantanal areas in winter; check with Roz Renfrew (KVR)</t>
  </si>
  <si>
    <t>Chihuahuan Meadowlark</t>
  </si>
  <si>
    <t>Sturnella lilianae</t>
  </si>
  <si>
    <t>Formerly considered conspecific with Sturnella magna.</t>
  </si>
  <si>
    <t>Shaw-23: calculated as 8.8% of global pop estimate of pre-split EAME (all of BCRs 33-35 and CEMH, half of BCR 18 and SCPL based on eBird records map), based on eBird Stem model data from 2021</t>
  </si>
  <si>
    <t>PIFSC-23; eBird 2023, Fink et al. 2022</t>
  </si>
  <si>
    <t>Shaw-23: summed 2021 eBird model %pops for all of AZ and NM, and 10% of TX (eyeballed eBird records maps to estimate 10% as CHME), multiplied total % by ACAD pre-split global pop estimate</t>
  </si>
  <si>
    <t>RGJV 2018</t>
  </si>
  <si>
    <t>Panjabi-23: used EAME score</t>
  </si>
  <si>
    <t>BBS7021</t>
  </si>
  <si>
    <t>Panjabi-23: based on BCR 34 &amp; 35 trends in Sauer 70-21 analysis</t>
  </si>
  <si>
    <t>Eastern Meadowlark</t>
  </si>
  <si>
    <t>Sturnella magna</t>
  </si>
  <si>
    <t>Shaw-23: calculated as 91.2% of global pop estimate of pre-split EAME (excluding all of BCRs 33-35 and CEMH, half of BCR 18 and SCPL based on eBird records map), based on eBird Stem model data from 2021</t>
  </si>
  <si>
    <t>Shaw-23: assigned 90% of the pre-split %pop from TX to EAME (based on eyeballing eBird records maps), multiplied 90% by TX's % of pre-split EAME in 2021 eBird model, multiplied by ACAD pre-split global pop estimate</t>
  </si>
  <si>
    <t>Shaw-23: CONABIO split off Chihuahuan Meadowlark.  I used World Cyclindrical Equal Area map projection to estimate area.</t>
  </si>
  <si>
    <t>DD='moderately vulnerable to human land use activities.'  BNA supports directly and indirectly susceptible to loss and degradation of habitats from intensive agriculture, grazing, and pesticides.  Mexico not considered.</t>
  </si>
  <si>
    <t>DD='moderately vulnerable to human land use activities.'  BNA supports directly and indirectly susceptible to loss and degradation of habitats from intensive agriculture, grazing, and pesticides.  Increased versatility in habitat use (eg feedlots, cultivated areas)</t>
  </si>
  <si>
    <t>Western Meadowlark</t>
  </si>
  <si>
    <t>Sturnella neglecta</t>
  </si>
  <si>
    <t>distance revised to 200 m based on review of large grassland dataset, score changes to PS=1 (Blancher email, Dec. 20, 2008)</t>
  </si>
  <si>
    <t>very rare in winter in northern part of mapped range; Reduced by 30% (Rosenberg)</t>
  </si>
  <si>
    <t>Red-breasted Meadowlark</t>
  </si>
  <si>
    <t>Leistes militaris</t>
  </si>
  <si>
    <t>Formerly included in the genus Sturnella.</t>
  </si>
  <si>
    <t>Yellow-billed Cacique</t>
  </si>
  <si>
    <t>Amblycercus holosericeus</t>
  </si>
  <si>
    <t>Yellow-winged Cacique</t>
  </si>
  <si>
    <t>Cassiculus melanicterus</t>
  </si>
  <si>
    <t>Monotypic. Formerly placed in the genus Cacicus.</t>
  </si>
  <si>
    <t>Crested Oropendola</t>
  </si>
  <si>
    <t>Psarocolius decumanus</t>
  </si>
  <si>
    <t>Chestnut-headed Oropendola</t>
  </si>
  <si>
    <t>Psarocolius wagleri</t>
  </si>
  <si>
    <t>Montezuma Oropendola</t>
  </si>
  <si>
    <t>Psarocolius montezuma</t>
  </si>
  <si>
    <t>all mexican regions score PT=4 or higher; however, because of its use of second-growth forests and clearings, trend unknown across central america</t>
  </si>
  <si>
    <t>Black Oropendola</t>
  </si>
  <si>
    <t>Psarocolius guatimozinus</t>
  </si>
  <si>
    <t>range area reduced by 75%; scarce or absent in much of mapped range in Colombia (CAW);</t>
  </si>
  <si>
    <t>NatureServe; PIF CAW-14</t>
  </si>
  <si>
    <t>NatureServe range area reduced by 75%; scarce or absent in much of mapped range in Colombia (CAW);</t>
  </si>
  <si>
    <t>range area reduced by 75%; scarce or absent in much of mapped range in Colombia (CAW)</t>
  </si>
  <si>
    <t>Scarlet-rumped Cacique</t>
  </si>
  <si>
    <t>Cacicus uropygialis</t>
  </si>
  <si>
    <t>Solo ha perdido población Nicaragua</t>
  </si>
  <si>
    <t>Yellow-rumped Cacique</t>
  </si>
  <si>
    <t>Cacicus cela</t>
  </si>
  <si>
    <t>Black-vented Oriole</t>
  </si>
  <si>
    <t>Icterus wagleri</t>
  </si>
  <si>
    <t>tolerant of disturbance; some capture for trade; global score should reflect regional experts' opinion</t>
  </si>
  <si>
    <t>Bar-winged Oriole</t>
  </si>
  <si>
    <t>Icterus maculialatus</t>
  </si>
  <si>
    <t>moderate decline expected</t>
  </si>
  <si>
    <t>Black-cowled Oriole</t>
  </si>
  <si>
    <t>Icterus prosthemelas</t>
  </si>
  <si>
    <t>split from greater antillian oriole</t>
  </si>
  <si>
    <t>requires forest, but tolerates some fragmentation</t>
  </si>
  <si>
    <t>Orchard Oriole</t>
  </si>
  <si>
    <t>Icterus spurius</t>
  </si>
  <si>
    <t>DD='moderately vulnerable to human land use activities.'  BNA supports that loss of mesquite habitats in TX, orchards and farmlands in NY and PA, and riparian habitats in general have contirbuted to pop declines.  Fondness for riparian areas, lake shores.</t>
  </si>
  <si>
    <t>DD='threats assumed low.'  BNA supports widespread use of secondary and disturbed habitats, though no specific threats information given.</t>
  </si>
  <si>
    <t>Hooded Oriole</t>
  </si>
  <si>
    <t>Icterus cucullatus</t>
  </si>
  <si>
    <t>DD=BNA supports that although Rio Grande pop has declined markedly (TB 3 or 4), rangewide pops are generally at an all time high and range is exanding widely (TB 2).  Favorable habitats created by citrus ag, ornamental plantings of palm, low-intenstiy sub; tolerant of disturbance, some capture for trade (MX-NSAC); global score should reflect regional experts' opinion.</t>
  </si>
  <si>
    <t>DD='relatively tolerant of human land use.'  BNA supports use of habitats that are widespread and supported by human land use.; tolerant of disturbance, some capture for trade</t>
  </si>
  <si>
    <t>Yellow-backed Oriole</t>
  </si>
  <si>
    <t>Icterus chrysater</t>
  </si>
  <si>
    <t>Orange-crowned Oriole</t>
  </si>
  <si>
    <t>Icterus auricapillus</t>
  </si>
  <si>
    <t>está expandiendose hacía el oeste</t>
  </si>
  <si>
    <t>Yellow-tailed Oriole</t>
  </si>
  <si>
    <t>Icterus mesomelas</t>
  </si>
  <si>
    <t>score change from 3 to 4 recommended by Central Americans in 2016</t>
  </si>
  <si>
    <t>requires fallow, overgrown fields</t>
  </si>
  <si>
    <t>Streak-backed Oriole</t>
  </si>
  <si>
    <t>Icterus pustulatus</t>
  </si>
  <si>
    <t>guestimate based on eBird distribution; very few actual breeding records</t>
  </si>
  <si>
    <t>riparian habitat destruction in N. parts of range (KR); tolerant of disturbance (MX-NSAC).</t>
  </si>
  <si>
    <t>Bullock's Oriole</t>
  </si>
  <si>
    <t>Icterus bullockii</t>
  </si>
  <si>
    <t>DD='moderately vulnerable to human land use activities.'  BNA supports that species has likely benefitted in Plains (shelterbelts, hardwood encorachment due to fire suppression), but that more western riparian habitats under threat (clearing, grazing, gro; Rosenberg: existing comments warrant TB=3.</t>
  </si>
  <si>
    <t>DD='threats assumed to be low.'  BNA does not cite much in way of nonbreeding threats, but habitat use indicates threats are not likely on order of TN 3.  May not be as closely tied to riparian areas in nonbreeding season and nesting threats not an issue.</t>
  </si>
  <si>
    <t>Orange Oriole</t>
  </si>
  <si>
    <t>Icterus auratus</t>
  </si>
  <si>
    <t>requires forest; hurricanes possibly a threat</t>
  </si>
  <si>
    <t>occurs in only 1 regions, regional experts score PT=3</t>
  </si>
  <si>
    <t>Spot-breasted Oriole</t>
  </si>
  <si>
    <t>Icterus pectoralis</t>
  </si>
  <si>
    <t>MX-NSAC; PIFSC-CVS 2022</t>
  </si>
  <si>
    <t>Mexico has almost 50% of range, go with regional scores for global.</t>
  </si>
  <si>
    <t>Altamira Oriole</t>
  </si>
  <si>
    <t>Icterus gularis</t>
  </si>
  <si>
    <t>DD='information lacking.'  BNA cites it as habitat generalist found in both moist and dry woodlands and still relatively common.  Perhaps TB 4 for US, but considering Mexico, this is unsubstantiated and warrants TB 3; tolerant of disturbance; capture for trade (MX-NSAC).  MG - USA probably a 4 following damage to riparian corridor post-flood; increased conversion of riparian to thorn scrub impacting available habitat. More widespread in Mexico.</t>
  </si>
  <si>
    <t>DD='information lacking.'  BNA cites it as habitat generalist found in both moist and dry woodlands and still relatively common.  Tolerant of disturbance.  Seems dependent on native vegetation, even if tolerant of disturbance; check with Mexican scores (KVR); suggest leaving at TN=2, mostly found in pastoral/agricultural landscapes (Panjabi)</t>
  </si>
  <si>
    <t>PIFSC-23; eBird S&amp;T</t>
  </si>
  <si>
    <t>Panjabi-23: eBird S&amp;T trends show increase across most of range, so reduced previous score of 3 from MX-NSAC to reflect recent increase</t>
  </si>
  <si>
    <t>Tricolored Blackbird</t>
  </si>
  <si>
    <t>Agelaius tricolor</t>
  </si>
  <si>
    <t>Meese 2017</t>
  </si>
  <si>
    <t>2017 Tricolored Blackbird Statewide (Calif) Survey.  Estimate reflects a synchronous count from known and former breeding colony locations during April.  Estimate includes counts from locations in Baja, where it is almost extirpated (shifting N into WA).  Counts were not corrected with an estimate of detectability so the total is a minimum estimate.  We rounded up Meese estimate from 177,656 to 178,000 to account for aprox 50-100 birds breeding in NV, OR and WA (PIFSC-18).  Alternatively, BBS-15 yields 910,000 for US/Canada, extrapolated with eBird to 1 million as global estimate.</t>
  </si>
  <si>
    <t>Shaw 2020: 305 breeding birds counted in Baja in Meese 2017, but immaterial due to estimate rounding</t>
  </si>
  <si>
    <t>threats to local marshes very high? (KR).  DD=Could argue for relatively concentrated breeding as warranting TB 4.  Destruction of marshlands in Sac Valley has been extensive and these still under threat, but rice ag may offset these if tricooreds breed i.  reliant on conservation in agricultural areas -- very pessimistic future (CB DP)</t>
  </si>
  <si>
    <t>Go to feedlots, but not a total positive.  Concentrate in large roosts</t>
  </si>
  <si>
    <t>Shaw-23: BBS is the only long-term dataset, so we used it in spite of not being ideal for a localized colonial species.  The 2022 TRBL Statewide Survey (CA) designed specifically for this species shows a ~3 gen loss of 15% since 2011, comparable to BBS's 19% 3 gen loss since 2010, suggesting that BBS may be acceptable for this species.</t>
  </si>
  <si>
    <t>Shiny Cowbird</t>
  </si>
  <si>
    <t>Molothrus bonariensis</t>
  </si>
  <si>
    <t>score change from 1 to 2 recommended by Central Americans in 2016 over PIF estimate of 200000000</t>
  </si>
  <si>
    <t>DD='species benefits and habitats enhanced by human activity.'  BNA supports that ag clearing and feedlots supported spread thorugh Caribbean and into Florida.  Recently resident in Keys and mainland FL due to human activities..</t>
  </si>
  <si>
    <t>DD='species benefits and habitats enhanced by human activity.'  BNA supports that ag clearing and feedlots supported spread thorugh Caribbean and into Florida.  Recently resident in Keys and mainland FL due to human activities.</t>
  </si>
  <si>
    <t>Bronzed Cowbird</t>
  </si>
  <si>
    <t>Molothrus aeneus</t>
  </si>
  <si>
    <t>DD='species benefits and habitats enhanced by human activity.'  BNA supports that ag clearing and irrigation supported spread through Mexico into US Southwest.; benefits from human activity (MX-NSAC).</t>
  </si>
  <si>
    <t>DD='species benefits and habitats enhanced by human activity.'  BNA supports that ag clearing and irrigation supported spread through Mexico into US Southwest.; benefits from human activity</t>
  </si>
  <si>
    <t>Brown-headed Cowbird</t>
  </si>
  <si>
    <t>Molothrus ater</t>
  </si>
  <si>
    <t>Giant Cowbird</t>
  </si>
  <si>
    <t>Molothrus oryzivorus</t>
  </si>
  <si>
    <t>Melodious Blackbird</t>
  </si>
  <si>
    <t>Dives dives</t>
  </si>
  <si>
    <t>Rusty Blackbird</t>
  </si>
  <si>
    <t>Euphagus carolinus</t>
  </si>
  <si>
    <t>something is getting them (KR);no known threats to boreal habitat at present.; Rosenberg: higher now because of boreal forest loss?  Acid rain?;  Blancher: acid rain probably not a threat in most of range. Demarest: International RUBL working group believes boreal forestry and fragmentation may have a negative effect.</t>
  </si>
  <si>
    <t>What is the threat?  Uses wide variety of habitats in winter.  DD=loss of forested bottomland foraging habitats at least warrants 3.</t>
  </si>
  <si>
    <t>Brewer's Blackbird</t>
  </si>
  <si>
    <t>Euphagus cyanocephalus</t>
  </si>
  <si>
    <t>winter and resident map too liberal in NW and SE, but shouldn't cvhange score.</t>
  </si>
  <si>
    <t>Compared with other blackbirds, does not seem to be increasing in response to human activities; not an urban bird (KVR)</t>
  </si>
  <si>
    <t>Common Grackle</t>
  </si>
  <si>
    <t>Quiscalus quiscula</t>
  </si>
  <si>
    <t>PIFSC-18; PIFSC-CVS 2022</t>
  </si>
  <si>
    <t>overall conditions at continental scale are expected to remain stable relative to current conditions, although it is recognized that some regions could experience some decline or increase in conditions due to issues such as agricultural chemicals or increasing urbanizations, respectively</t>
  </si>
  <si>
    <t>Boat-tailed Grackle</t>
  </si>
  <si>
    <t>Quiscalus major</t>
  </si>
  <si>
    <t>Great-tailed Grackle</t>
  </si>
  <si>
    <t>Quiscalus mexicanus</t>
  </si>
  <si>
    <t>score change from 2 to 1 recommended by Central Americans in 2016 over PIF estimate of 15000000</t>
  </si>
  <si>
    <t>should be some shrinking of range in winter -- not sure if it's enough to bump score to 2?</t>
  </si>
  <si>
    <t>Nicaraguan Grackle</t>
  </si>
  <si>
    <t>Quiscalus nicaraguensis</t>
  </si>
  <si>
    <t>afectada por la quema de tulares, la aumenta de arrozales y ganadería;  y caen en las para la cacería de patos;</t>
  </si>
  <si>
    <t>Ha notada una disminuación y no ha expandido por la aumento de ganadería</t>
  </si>
  <si>
    <t>Yellow-hooded Blackbird</t>
  </si>
  <si>
    <t>Chrysomus icterocephalus</t>
  </si>
  <si>
    <t>Ovenbird</t>
  </si>
  <si>
    <t>Seiurus aurocapilla</t>
  </si>
  <si>
    <t>Parulidae</t>
  </si>
  <si>
    <t>Nonbreeding map looks o.k. -- probably too much range shown in FL, but also probably more regular further up Gulf Coast in winter.</t>
  </si>
  <si>
    <t>winters primarily in native forest (dry or moist); threats at least moderate (KVR)</t>
  </si>
  <si>
    <t>Worm-eating Warbler</t>
  </si>
  <si>
    <t>Helmitheros vermivorum</t>
  </si>
  <si>
    <t>Rosenberg: winters in lowland and Caribbean forests</t>
  </si>
  <si>
    <t>Louisiana Waterthrush</t>
  </si>
  <si>
    <t>Parkesia motacilla</t>
  </si>
  <si>
    <t>Rosenberg: threatened by loss of hemlocks; pollution in freshwater streams.</t>
  </si>
  <si>
    <t>Northern Waterthrush</t>
  </si>
  <si>
    <t>Parkesia noveboracensis</t>
  </si>
  <si>
    <t>Rosenberg: winters in mangroves; forested wetlands - not highly tolerant of disturbance.  see previous comment; winters primarily in native habitats; threats at least "moderate"</t>
  </si>
  <si>
    <t>Golden-winged Warbler</t>
  </si>
  <si>
    <t>Vermivora chrysoptera</t>
  </si>
  <si>
    <t>Rosenberg: threatened by loss of early successional habitats and hybridization with BWWA.</t>
  </si>
  <si>
    <t>new knowledge in winter suggests even more specialized; requires large areas of intact forest; msfs need large areas; does not use agroforestry and coffee to large degree. (CB, KVR, WE, TW, DP); Regularly uses coffee plantations adjacent to forests in the sierra de Talamanca (Panama and Costa Rica) (AP)</t>
  </si>
  <si>
    <t>Blue-winged Warbler</t>
  </si>
  <si>
    <t>Vermivora cyanoptera</t>
  </si>
  <si>
    <t>Differs from 2010 PIF estimate due to change in distance category by GWWA working group</t>
  </si>
  <si>
    <t>Black-and-white Warbler</t>
  </si>
  <si>
    <t>Mniotilta varia</t>
  </si>
  <si>
    <t>Panjabi: largely dependent on tropical lowland and lower to mid-elevation forests in winter.  see previous comment; winters primarily in native habitats; threats at least "moderate"</t>
  </si>
  <si>
    <t>Prothonotary Warbler</t>
  </si>
  <si>
    <t>Protonotaria citrea</t>
  </si>
  <si>
    <t>Nonbreeding range extends too far north in Mexico (and US Gulf coast) --  does not winter  north of Yucatan [H&amp;W] -- but  also winters (rarely?) in Greater and Lesser Antiles, plus Trinidad and tobago (Bond).  Also too extensive in Colombia -- only 1 reco</t>
  </si>
  <si>
    <t>Swainson's Warbler</t>
  </si>
  <si>
    <t>Limnothlypis swainsonii</t>
  </si>
  <si>
    <t>Nonbreeding range probably larger than depicted (almost certainly on Hispanola ?)
Ken comment: Add 10%; Nonbreeding range probably larger than depicted (almost certainly on Hispanola (?), but still probably a "5</t>
  </si>
  <si>
    <t>Rosenberg: winters in lowland and Caribbean forests.  requires mesic forests in Caribbean that are most threatened by drying due to cc</t>
  </si>
  <si>
    <t>Crescent-chested Warbler</t>
  </si>
  <si>
    <t>Oreothlypis superciliosa</t>
  </si>
  <si>
    <t>Flame-throated Warbler</t>
  </si>
  <si>
    <t>Oreothlypis gutturalis</t>
  </si>
  <si>
    <t>Tennessee Warbler</t>
  </si>
  <si>
    <t>Leiothlypis peregrina</t>
  </si>
  <si>
    <t>Formerly placed in the genus Oreothlypis. Monotypic.</t>
  </si>
  <si>
    <t>changed due to calibration with TB-r; 6 of 10 BCRs scored TB-r=2</t>
  </si>
  <si>
    <t>Actually a tropical forest canopy bird in most of winter range; dependent on fruit and nectar resources; will use plantations and urban areas with flowering trees, though, so not highly threatened (KVR)</t>
  </si>
  <si>
    <t>Orange-crowned Warbler</t>
  </si>
  <si>
    <t>Leiothlypis celata</t>
  </si>
  <si>
    <t>Formerly placed in the genus Oreothlypis.</t>
  </si>
  <si>
    <t>Colima Warbler</t>
  </si>
  <si>
    <t>Leiothlypis crissalis</t>
  </si>
  <si>
    <t>If logging not a big threat, reduce to 3; Mexicans scored as 4; severe habitat loss (MX-NSAC); global score should reflect regional expert's opinion.  Dependent on oaks which are not particularly threatened (i.e. not harvested) in the northern Sierra Madre Oriental; TB=3 is good (AP)</t>
  </si>
  <si>
    <t>If logging not a big threat, reduce to 3; Mexicans suggest 3; moderate habitat loss</t>
  </si>
  <si>
    <t>Lucy's Warbler</t>
  </si>
  <si>
    <t>Leiothlypis luciae</t>
  </si>
  <si>
    <t>Nashville Warbler</t>
  </si>
  <si>
    <t>Leiothlypis ruficapilla</t>
  </si>
  <si>
    <t>Virginia's Warbler</t>
  </si>
  <si>
    <t>Leiothlypis virginiae</t>
  </si>
  <si>
    <t>NS map highly fragmented; NatGeo polygon about 915,000 km2 (UT + 60% of AZ,CO,NV,NM); range map includes only occupied range</t>
  </si>
  <si>
    <t>Connecticut Warbler</t>
  </si>
  <si>
    <t>Oporornis agilis</t>
  </si>
  <si>
    <t>winter range inaccurate -- includes transients in northern South America.  True winter range probably half of area depicted (restricted to western Amazon Basin and northern Pantanal.  Also, winter range size (&gt;4 million) seems like an error</t>
  </si>
  <si>
    <t>No justification for "No threats" designation; emerging data suggests winters in tropical deciduous, river island, and/or cerrado habitats, which are all under at least moderate threat (KVR)</t>
  </si>
  <si>
    <t>Gray-crowned Yellowthroat</t>
  </si>
  <si>
    <t>Geothlypis poliocephala</t>
  </si>
  <si>
    <t>Mexicans should score; tolerant of disturbance</t>
  </si>
  <si>
    <t>MacGillivray's Warbler</t>
  </si>
  <si>
    <t>Geothlypis tolmiei</t>
  </si>
  <si>
    <t>winter map looks accurate</t>
  </si>
  <si>
    <t>Uses naturally disturbed forest, but not really in highly modified landscapes; threats probably "moderate" (KVR)</t>
  </si>
  <si>
    <t>Mourning Warbler</t>
  </si>
  <si>
    <t>Geothlypis philadelphia</t>
  </si>
  <si>
    <t>winter map looks accurate --- new score o.k.</t>
  </si>
  <si>
    <t>Kentucky Warbler</t>
  </si>
  <si>
    <t>Geothlypis formosa</t>
  </si>
  <si>
    <t>Winter map wrong -- shows range throughout West Indies, but described as an uncommon transient there in text (very rare in Cuba); also depicted range in northern South America too large -- only a few records from coastal Colombia and Venezuela -- would re</t>
  </si>
  <si>
    <t>Rosenberg: winters in lowland forest; similar to PROWA, WEWA, SWWA</t>
  </si>
  <si>
    <t>Olive-crowned Yellowthroat</t>
  </si>
  <si>
    <t>Geothlypis semiflava</t>
  </si>
  <si>
    <t>"Chiriqui Yellowthroat" was transferred from Masked Yellowthroat to Olive-crowned, but presumably doesn't affect PS-g score since it's a narrow endemic (BCR 2019)</t>
  </si>
  <si>
    <t>Chiriqui Foliage-Gleaner transferred from Masked Yellowthroat overlaps with existing Olive-crowned Yellowthroat range, so no additional extent</t>
  </si>
  <si>
    <t>Black-polled Yellowthroat</t>
  </si>
  <si>
    <t>Geothlypis speciosa</t>
  </si>
  <si>
    <t>extreme habitat loss</t>
  </si>
  <si>
    <t>Belding's Yellowthroat</t>
  </si>
  <si>
    <t>Geothlypis beldingi</t>
  </si>
  <si>
    <t>Altamira Yellowthroat</t>
  </si>
  <si>
    <t>Geothlypis flavovelata</t>
  </si>
  <si>
    <t>Mexicans scored; extreme habitat loss (MX-NSAC).</t>
  </si>
  <si>
    <t>Mexicans scored; extreme habitat loss</t>
  </si>
  <si>
    <t>Common Yellowthroat</t>
  </si>
  <si>
    <t>Geothlypis trichas</t>
  </si>
  <si>
    <t>Hooded Yellowthroat</t>
  </si>
  <si>
    <t>Geothlypis nelsoni</t>
  </si>
  <si>
    <t>scrub, chapparal</t>
  </si>
  <si>
    <t>Hooded Warbler</t>
  </si>
  <si>
    <t>Setophaga citrina</t>
  </si>
  <si>
    <t>winter map not quite accurate -- probably more continuous through Central America (e.g. Honduras), and should not be shown to winter in West Indies</t>
  </si>
  <si>
    <t>more tolerant of disturbed habitats than other lowland forest wintering species (KVR)</t>
  </si>
  <si>
    <t>American Redstart</t>
  </si>
  <si>
    <t>Setophaga ruticilla</t>
  </si>
  <si>
    <t>PIFSC-20: just 3 known breeding records outside US/Canada (Cuba), so used US/Canada estimate as global estimate</t>
  </si>
  <si>
    <t>Panjabi: largely dependent on lower to mid-elevation tropical forests in winter.  Shown to have higher winter survival in wetter forest habitats; new threats from drying due to CC (KVR)</t>
  </si>
  <si>
    <t>Magnolia Warbler</t>
  </si>
  <si>
    <t>Setophaga magnolia</t>
  </si>
  <si>
    <t>Bay-breasted Warbler</t>
  </si>
  <si>
    <t>Setophaga castanea</t>
  </si>
  <si>
    <t>Reduced to 690,000; does not winter in Caribbean and/or Cuba (Rosenberg)</t>
  </si>
  <si>
    <t>winters in lowland tropical forest regions of Central, n. South America but tolerant of fragmentation (KVR)</t>
  </si>
  <si>
    <t>Blackburnian Warbler</t>
  </si>
  <si>
    <t>Setophaga fusca</t>
  </si>
  <si>
    <t>Hunter: loss of hemlocks in appalachians is a high threat in this region.</t>
  </si>
  <si>
    <t>Yellow Warbler</t>
  </si>
  <si>
    <t>Setophaga petechia</t>
  </si>
  <si>
    <t>PIFcalc19-bbs0615,eBird7017,ona0105,nwt9501</t>
  </si>
  <si>
    <t>Removed 1M km2 from sw US, per BNA; NS appears to be more generous in designating dist., primarily in the the sw US portion. BNA indicates spp. Restricted to riparian areas in this region.</t>
  </si>
  <si>
    <t>ND range is 40% larger than shown (Ken Rosenberg)</t>
  </si>
  <si>
    <t>Chestnut-sided Warbler</t>
  </si>
  <si>
    <t>Setophaga pensylvanica</t>
  </si>
  <si>
    <t>According to BNA, few records in northern SA and rare in Carribean.  Based on this the NS maps appear to be overly generous in depicting winter distribution.  New Nd area is 528,003 when SA and Caribbean are excluded; Reduced to 528,003.</t>
  </si>
  <si>
    <t>Mature tropical forest.  Not as sensitive to forest loss as WOTH, KEWA, etc. "moderate" is good. (KVR)</t>
  </si>
  <si>
    <t>Blackpoll Warbler</t>
  </si>
  <si>
    <t>Setophaga striata</t>
  </si>
  <si>
    <t>Comparable to BNA; Range size reduced by 25%; NS wi range map too extensive in S Am (Rosenberg)</t>
  </si>
  <si>
    <t>seems more appropriate than "no threats;" winters primarily in lowland tropical forest regions, even if tolerant of disturbance (KVR)</t>
  </si>
  <si>
    <t>Black-throated Blue Warbler</t>
  </si>
  <si>
    <t>Setophaga caerulescens</t>
  </si>
  <si>
    <t>Palm Warbler</t>
  </si>
  <si>
    <t>Setophaga palmarum</t>
  </si>
  <si>
    <t>NS does not have west coast US wintering population indicated in BNA
Ken comment: Add 15%; NS does not have west coast US wintering population indicated in BNA</t>
  </si>
  <si>
    <t>Pine Warbler</t>
  </si>
  <si>
    <t>Setophaga pinus</t>
  </si>
  <si>
    <t>Comparable with BNA for major part, but does not reflect scattered populations immediately south of the great lakes</t>
  </si>
  <si>
    <t>Yellow-rumped Warbler</t>
  </si>
  <si>
    <t>Setophaga coronata</t>
  </si>
  <si>
    <t>Se propone que para Guatemala se agrege la subespecie Setophaga golmania que ya fue reconocida como especie por IOC (International Ornithological Council). Ver pestaña anexa</t>
  </si>
  <si>
    <t>Yellow-throated Warbler</t>
  </si>
  <si>
    <t>Setophaga dominica</t>
  </si>
  <si>
    <t>Comparable with BNA; 200-km rule no longer applies</t>
  </si>
  <si>
    <t>Very adaptable; generally found in open areas, parking lots, shade trees, esp. planted palms (Panjabi)</t>
  </si>
  <si>
    <t>Vitelline Warbler</t>
  </si>
  <si>
    <t>Setophaga vitellina</t>
  </si>
  <si>
    <t>cambio climático y hurcanes</t>
  </si>
  <si>
    <t>BirdLife (2016) "thought to be declining as a result of habitat degradation"</t>
  </si>
  <si>
    <t>Prairie Warbler</t>
  </si>
  <si>
    <t>Setophaga discolor</t>
  </si>
  <si>
    <t>still requires native forest or woodland habitats (including mangroves) in main part of winter range, although tolerant of disturbance (KVR)</t>
  </si>
  <si>
    <t>Grace's Warbler</t>
  </si>
  <si>
    <t>Setophaga graciae</t>
  </si>
  <si>
    <t>Especialista de pino (CAW);</t>
  </si>
  <si>
    <t>Comparable with BNA</t>
  </si>
  <si>
    <t>slight to moderate decline expected</t>
  </si>
  <si>
    <t>Black-throated Gray Warbler</t>
  </si>
  <si>
    <t>Setophaga nigrescens</t>
  </si>
  <si>
    <t>Townsend's Warbler</t>
  </si>
  <si>
    <t>Setophaga townsendi</t>
  </si>
  <si>
    <t>main threats relate to logging, but are moderate at most (PIFSC); Camfield, Alaine (NCR): TB listed as 3 in BCR strategies, main threat is habitat loss due to forestry.</t>
  </si>
  <si>
    <t>Hermit Warbler</t>
  </si>
  <si>
    <t>Setophaga occidentalis</t>
  </si>
  <si>
    <t>Generally requires large diameter trees; KVR=found in many seral stages of forest, have not declined due to forest management.</t>
  </si>
  <si>
    <t>Golden-cheeked Warbler</t>
  </si>
  <si>
    <t>Setophaga chrysoparia</t>
  </si>
  <si>
    <t>This estimate is supported by USFWS 2018 (personal communication).  eBird misclassifies early migrants or their young as breeders in Mexico (actually 100% US/Can), so don't use eBird-based extrapolation of 170,000 globally (Beardmore 2018).  Probablemente sea 4, debido a  recientes estudios (CAW).</t>
  </si>
  <si>
    <t>deterioration has already occurred; will continue in parts of range, but large areas of habitat on ranch land not threatened by immediate urban development. Threats are still high, but not severe. (CB, KVR, WE, TW, DP, AP); only 3% of occupied area is protected, Jim Giocomo recommends keeping it at 5</t>
  </si>
  <si>
    <t>No se puede extinguirse en 30-50 anos.  Highly specialized on conditions of pine-oak forest that are fast disappearing in much of winter range (see D. King et al papers).  However, not as threatened as other cloud forest species like pink-headed warbler, horned guan, bearded screech owl, unspotted saw-whet owl (TW, AP, RV), need to review whole suite of pine-oak-cloud forest species to check for proper calibration; need to also consider threats to migratory stopover habitat; not often seen in migration, but anecdotal observation of 3 migratory individuals in pine oak forest fragment by DK;  highly threatened but not likely to go extinct due to threats in the non-breeding range</t>
  </si>
  <si>
    <t>Black-throated Green Warbler</t>
  </si>
  <si>
    <t>Setophaga virens</t>
  </si>
  <si>
    <t>winters in tropical forest regions, which are all under moderate threats, even if tolerant of some disturbance (KVR)</t>
  </si>
  <si>
    <t>Buff-rumped Warbler</t>
  </si>
  <si>
    <t>Myiothlypis fulvicauda</t>
  </si>
  <si>
    <t>por la sequía de rios, deforestación, contaminación, etc.</t>
  </si>
  <si>
    <t>Fan-tailed Warbler</t>
  </si>
  <si>
    <t>Basileuterus lachrymosus</t>
  </si>
  <si>
    <t>all Mexican regions indicate PT=4, situation likely similar outside of Mexico</t>
  </si>
  <si>
    <t>Rufous-capped Warbler</t>
  </si>
  <si>
    <t>Basileuterus rufifrons</t>
  </si>
  <si>
    <t>PIFTC-02; EBD20; Shaw-22</t>
  </si>
  <si>
    <t>Shaw-22: multiplied the geometric midpoint (2 million) of the pop size range of pre-split PS -g score by the EBD20 % that falls within the resident range of Rufous-capped Warbler s.s.</t>
  </si>
  <si>
    <t>Shaw-22: BirdLife has not yet split Rufous-capped Warbler, so split BirdLife's Rufous-capped Warbler polygons manually, referring to eBird's observation maps</t>
  </si>
  <si>
    <t>Mexican Regional Assessment 2005; PIF CAW 2014; Beardmore; PIFSC-08; EBD20; Shaw-22</t>
  </si>
  <si>
    <t>Shaw-22: weighted TB-r scores from regions still classified as Rufous-capped Warbler using %pop from EBD20, yielding mean TB-r = 2.46, rounded down to 2.  However, the unweighted mean would be 2.61, so right on the fence.</t>
  </si>
  <si>
    <t>Tolerant of disturbed habitats. Shaw-22: since a resident, the only TN-r scores available (available for Central America only) matched TB-r, so weighted TB-r scores from all regions now classified as Chestnut-capped Warbler using %pop from EBD20</t>
  </si>
  <si>
    <t>Mexican Regional Assessment 2005; PIF CAW 2014; EBD20; Shaw-22</t>
  </si>
  <si>
    <t>Shaw-22: weighted PT-r scores from regions still classified as Rufous-capped Warbler using %pop from EBD20</t>
  </si>
  <si>
    <t>Chestnut-capped Warbler</t>
  </si>
  <si>
    <t>Basileuterus delattrii</t>
  </si>
  <si>
    <t>Formerly considered conspecific with Basileuterus rufifrons.</t>
  </si>
  <si>
    <t>Shaw-22: multiplied the geometric midpoint (2 million) of the pop size range of pre-split PS -g score for Rufous-capped Warber s.l. by the EBD20 % that falls within the resident range of Chestnut-capped Warbler</t>
  </si>
  <si>
    <t>PIF CAW 2014; EBD20; Shaw-22</t>
  </si>
  <si>
    <t>Shaw-22: weighted TB-r scores from regions now classified as Chestnut-capped Warbler using %pop from EBD20</t>
  </si>
  <si>
    <t>Shaw-22: weighted TN-r scores from regions now classified as Chestnut-capped Warbler using %pop from EBD20</t>
  </si>
  <si>
    <t>Shaw-22: weighted PT-r scores from regions now classified as Chestnut-capped Warbler using %pop from EBD20</t>
  </si>
  <si>
    <t>Black-cheeked Warbler</t>
  </si>
  <si>
    <t>Basileuterus melanogenys</t>
  </si>
  <si>
    <t>Pirre Warbler</t>
  </si>
  <si>
    <t>Basileuterus ignotus</t>
  </si>
  <si>
    <t>Golden-browed Warbler</t>
  </si>
  <si>
    <t>Basileuterus belli</t>
  </si>
  <si>
    <t>requires forest, less selective than in breeding season</t>
  </si>
  <si>
    <t>Golden-crowned Warbler</t>
  </si>
  <si>
    <t>Basileuterus culicivorus</t>
  </si>
  <si>
    <t>BirdLife 2021 modified by Shaw-22</t>
  </si>
  <si>
    <t>Shaw-20: BirdLife splits out White-bellied (hypoleucus), Cabini's (cabanisi), and "Golden-crowned" (auricapilla), so summed their areas (except hypoleucus which is completely within auricapilla's range) to yield AOS's B. culicivorus</t>
  </si>
  <si>
    <t>Costa Rican Warbler</t>
  </si>
  <si>
    <t>Basileuterus melanotis</t>
  </si>
  <si>
    <t>Formerly considered conspecific with Basileuterus tristriatus.</t>
  </si>
  <si>
    <t>used Costa Rica's score to break tiesince eBird shows greater range and more observations there than Panama</t>
  </si>
  <si>
    <t>Tacarcuna Warbler</t>
  </si>
  <si>
    <t>Basileuterus tacarcunae</t>
  </si>
  <si>
    <t>Formerly considered conspecific with Basileuterus tristriatus and B. melanotis.</t>
  </si>
  <si>
    <t>used Panama's score</t>
  </si>
  <si>
    <t>Canada Warbler</t>
  </si>
  <si>
    <t>Cardellina canadensis</t>
  </si>
  <si>
    <t>Winter map too extensive in northern South America -- also if shown in Costa Rica and Panama, this is not accurate -- only winters uncommonly in foothills of eastern Panama.  Should stay a '3' not a '2
Ken comment: Reduce range by 30%; Winter map too ext</t>
  </si>
  <si>
    <t>Rosenberg: winters in mid-elevation forests in Andes and Panama.  Along with Cerulean, GWWA, OSFL, winters primarily in lower montane forests that are highly threatened (KVR)</t>
  </si>
  <si>
    <t>Wilson's Warbler</t>
  </si>
  <si>
    <t>Cardellina pusilla</t>
  </si>
  <si>
    <t>Most of range in west, where riparian habitat being lost.</t>
  </si>
  <si>
    <t>winters in tropical forest (dry and wet montane) regions which are all under moderate threat (KVR); however, it is one of the most widespread warblers in winter; uses urban gardens, parks, ditches, shrubby tree rows in pastures.  Also a broad range of tropical forests and edge (Panjabi)</t>
  </si>
  <si>
    <t>Red-faced Warbler</t>
  </si>
  <si>
    <t>Cardellina rubrifrons</t>
  </si>
  <si>
    <t>Montypic.</t>
  </si>
  <si>
    <t>Panjabi 2018: BBS estimate seems way high, but don't know another number to suggest</t>
  </si>
  <si>
    <t>MX endemic breeding in only one region where local experts scored PT=4</t>
  </si>
  <si>
    <t>Red Warbler</t>
  </si>
  <si>
    <t>Cardellina rubra</t>
  </si>
  <si>
    <t>Pink-headed Warbler</t>
  </si>
  <si>
    <t>Cardellina versicolor</t>
  </si>
  <si>
    <t>Painted Redstart</t>
  </si>
  <si>
    <t>Myioborus pictus</t>
  </si>
  <si>
    <t>MX encompasses &gt;75% of global range; all regions in MX score PT=4</t>
  </si>
  <si>
    <t>Slate-throated Redstart</t>
  </si>
  <si>
    <t>Myioborus miniatus</t>
  </si>
  <si>
    <t>Collared Redstart</t>
  </si>
  <si>
    <t>Myioborus torquatus</t>
  </si>
  <si>
    <t>Rose-throated Tanager</t>
  </si>
  <si>
    <t>Piranga roseogularis</t>
  </si>
  <si>
    <t>Cardinalidae</t>
  </si>
  <si>
    <t>Hepatic Tanager</t>
  </si>
  <si>
    <t>Piranga flava</t>
  </si>
  <si>
    <t>PS scores seemed way off -- too high?; density from US range underestimates PS</t>
  </si>
  <si>
    <t>requires forest, but tolerates disturbance</t>
  </si>
  <si>
    <t>Summer Tanager</t>
  </si>
  <si>
    <t>Piranga rubra</t>
  </si>
  <si>
    <t>winter map too extensive in South America -- only scattered records well east of Andes, and not at higher elevations (Ridgely) -- also should not depict Cuba (rare). Still, accept new score of ND=1.  
Ken comment: Reduce range by 10%; winter map too extensi</t>
  </si>
  <si>
    <t>W riparian issues balance E generalist (KR).  DD='moderately vulnerable to human land use activities.'  BNA supports that western pops facing threats from destruction of riparian habitat on order of TB 4.  More abundant Eastern pops susceptible to overall.</t>
  </si>
  <si>
    <t>DD='relatively tolerant of human land use acitivities.'  BNA supports that species uses variety of secondary and open habitats on winter range, suggesting loss of primary forest not a threat.; Rosenberg: winters primarily in forested regions -- not in highly disturbed habitats</t>
  </si>
  <si>
    <t>Scarlet Tanager</t>
  </si>
  <si>
    <t>Piranga olivacea</t>
  </si>
  <si>
    <t>distance revised to 200 m based on review of large boreal dataset, score reverts to PS=3 (Blancher email, Dec. 20, 2008)</t>
  </si>
  <si>
    <t>Added 150,000 km2 to range; missing range in southern Ontario and north of  St. Lawrence River in Quebec</t>
  </si>
  <si>
    <t>Reduced range by 50%; Winter map too extensive in South America -- winters primarily east of Andes and not at higher elevations (Rosenberg)</t>
  </si>
  <si>
    <t>Sensitive to fragmentation in mature forest much of range, making vulnerable to brood parasitism and predation (KR, DD, BNA).  DD='moderately vulnerable to human land use activities.'  NOT sensitive in southeast (CH).; Rosenberg: should be 'moderate threats'- increasingly threatened by development; Hunter: disagree with TB=3, spreading and increasing in southern 2/3 of range, uses broad range of forested habitats from plantations to mature forest.</t>
  </si>
  <si>
    <t>DD='no information available'.  BNA cites use of primary or mature second growth montane and lowland forest, but that information lacking regarding threats to these habitats within winter range.</t>
  </si>
  <si>
    <t>Western Tanager</t>
  </si>
  <si>
    <t>Piranga ludoviciana</t>
  </si>
  <si>
    <t>Winter map looks good -- but very close to cut-off.</t>
  </si>
  <si>
    <t>Not necessarily dependent on undisturbed forest?; Rosenberg: loss of oaks and overall development in lower elevations of West?  major breeding habitat (open ponderosa and similar pine forest) is not particularly threatened; TB=2 is OK (AP)</t>
  </si>
  <si>
    <t>winters primarily in tropical dry and pine-oak forests of Mexico; score should be consistent with other birds in that habitat (KVR); although it uses a broad range of habitats in winter, including disturbed areas, highest densities are in native TDF (Panjabi)</t>
  </si>
  <si>
    <t>Flame-colored Tanager</t>
  </si>
  <si>
    <t>Piranga bidentata</t>
  </si>
  <si>
    <t>PS score seemed a bit low; density from US range underestimates PS</t>
  </si>
  <si>
    <t>Check distribution in costa rica, Panama -- not sure what is shown on map.  NOTE -- general comment for Neotropical species -- map depiction very accurate (e.g. elevation ranges), but this is different from depictions of winter ranges of migrants -- possi</t>
  </si>
  <si>
    <t>only 1 breeding location in US, Mexicans should score-CB; requires forest (MX-NSAC).</t>
  </si>
  <si>
    <t>only 1 breeding location in US, Mexicans should score-CB; requires forest</t>
  </si>
  <si>
    <t>White-winged Tanager</t>
  </si>
  <si>
    <t>Piranga leucoptera</t>
  </si>
  <si>
    <t>Red-headed Tanager</t>
  </si>
  <si>
    <t>Piranga erythrocephala</t>
  </si>
  <si>
    <t>Red-crowned Ant-Tanager</t>
  </si>
  <si>
    <t>Habia rubica</t>
  </si>
  <si>
    <t>Trend unclear, tolerates disturbance (i.e. coffee plantations, habitat fragmentation). This and H. fuscicauda are easily confused, and thus may be overestimated; Trend unclear, tolerates disturbance (i.e. coffee plantations, habitat fragmentation). This and H. fuscicauda are easily confused, and thus may be overestimated</t>
  </si>
  <si>
    <t>Red-throated Ant-Tanager</t>
  </si>
  <si>
    <t>Habia fuscicauda</t>
  </si>
  <si>
    <t>Trend unclear, tolerates disturbance (i.e. coffee plantations, habitat fragmentation). This and H. rubica are easily confused, and thus may be overestimated; Trend unclear, tolerates disturbance (i.e. coffee plantations, habitat fragmentation). This and H. rubica are easily confused, and thus may be overestimated</t>
  </si>
  <si>
    <t>Black-cheeked Ant-Tanager</t>
  </si>
  <si>
    <t>Habia atrimaxillaris</t>
  </si>
  <si>
    <t>por las áreas fuera de conservación</t>
  </si>
  <si>
    <t>Carmiol's Tanager</t>
  </si>
  <si>
    <t>Chlorothraupis carmioli</t>
  </si>
  <si>
    <t>Su población está mejor en Panamá y Costa Rica</t>
  </si>
  <si>
    <t>Lemon-spectacled Tanager</t>
  </si>
  <si>
    <t>Chlorothraupis olivacea</t>
  </si>
  <si>
    <t>Black-faced Grosbeak</t>
  </si>
  <si>
    <t>Caryothraustes poliogaster</t>
  </si>
  <si>
    <t>restricted to lowland and foothill humid forest, a habitat much reduced in C.A.; decline of &gt;50%</t>
  </si>
  <si>
    <t>Yellow-green Grosbeak</t>
  </si>
  <si>
    <t>Caryothraustes canadensis</t>
  </si>
  <si>
    <t>Crimson-collared Grosbeak</t>
  </si>
  <si>
    <t>Rhodothraupis celaeno</t>
  </si>
  <si>
    <t>Howell map overestimates distribution somewhat, i.e. on west slope of sierra Madre Oriental</t>
  </si>
  <si>
    <t>pops may be threatened, but not near extirpation/extinction (KR); moderate habitat loss (MX-NSAC).</t>
  </si>
  <si>
    <t>pops may be threatened, but not near extirpation/extinction (KR); moderate habitat loss</t>
  </si>
  <si>
    <t>Northern Cardinal</t>
  </si>
  <si>
    <t>Cardinalis cardinalis</t>
  </si>
  <si>
    <t>DD='species benefits overall from human activity and land use.'  BNA supports that ag and suburban conversion of forests, supplemental feeding increases favorable breeding habitat and foraging opporutnities.</t>
  </si>
  <si>
    <t>DD='species benefits overall from human activity and land use.'  BNA supports that ag and suburban conversion of forests, supplemental feeding increases favorable habitat and foraging opporutnities.</t>
  </si>
  <si>
    <t>Pyrrhuloxia</t>
  </si>
  <si>
    <t>Cardinalis sinuatus</t>
  </si>
  <si>
    <t>not threatened in desert scrub habitat? (KR); desert specialist; used in cage-bird trade (MX-NSAC).</t>
  </si>
  <si>
    <t>not threatened in desert scrub habitat? (KR); desert specialist; used in cage-bird trade</t>
  </si>
  <si>
    <t>Yellow Grosbeak</t>
  </si>
  <si>
    <t>Pheucticus chrysopeplus</t>
  </si>
  <si>
    <t>Black-thighed Grosbeak</t>
  </si>
  <si>
    <t>Pheucticus tibialis</t>
  </si>
  <si>
    <t>Rose-breasted Grosbeak</t>
  </si>
  <si>
    <t>Pheucticus ludovicianus</t>
  </si>
  <si>
    <t>NS maps likely overemphasize regular non-breeding distribution in eastern and southern Ecuador.  Nevertheless there is not enough overestimation to bring this down to a 3.</t>
  </si>
  <si>
    <t>Black-headed Grosbeak</t>
  </si>
  <si>
    <t>Pheucticus melanocephalus</t>
  </si>
  <si>
    <t>widespread generalist (KR).  Uses a broad range of habitats from shurblands to forests to riparian woodlands to suburban areas, TB=2 ok (AP)</t>
  </si>
  <si>
    <t>widespread generalist, esp in NB  (KR)</t>
  </si>
  <si>
    <t>Red-breasted Chat</t>
  </si>
  <si>
    <t>Granatellus venustus</t>
  </si>
  <si>
    <t>fairly local within mapped range</t>
  </si>
  <si>
    <t>moderate to severe decline expected; sensitive to drought and habitat destruction</t>
  </si>
  <si>
    <t>Gray-throated Chat</t>
  </si>
  <si>
    <t>Granatellus sallaei</t>
  </si>
  <si>
    <t>occurs in only 1 region, regional experts score PT=3</t>
  </si>
  <si>
    <t>Blue Seedeater</t>
  </si>
  <si>
    <t>Amaurospiza concolor</t>
  </si>
  <si>
    <t>bamboo specialist</t>
  </si>
  <si>
    <t>Blue-black Grosbeak</t>
  </si>
  <si>
    <t>Cyanoloxia cyanoides</t>
  </si>
  <si>
    <t>Formerly placed in the genus Cyanocompsa.</t>
  </si>
  <si>
    <t>Gomez-Panjabi; BirdLife 2019; Bird Conservancy of the Rockies 2020</t>
  </si>
  <si>
    <t>Shaw 2020: Amazonian Grosbeak (Cyanoloxia rothschildiis) split off from C. cyanoides, so multiplied % of range (estimated from BirdLife 2019 shapefile) by the rounded geometric midpoint of pop estimate range for PS-g = 3 previously assigned to C. cyanoides s.l.</t>
  </si>
  <si>
    <t>Shaw 2020: split the BirdLife polygons for C. cyanoides s.l. based on eBird maps</t>
  </si>
  <si>
    <t>requires forest, tolerates some fragmentation</t>
  </si>
  <si>
    <t>Blue Bunting</t>
  </si>
  <si>
    <t>Cyanocompsa parellina</t>
  </si>
  <si>
    <t>Pérdida de habitat (CAW); rare in most of Yucatan</t>
  </si>
  <si>
    <t>restricted habitats; bird trade (KR); moderate habitat loss expected, capture for trade (MX-NSAC).</t>
  </si>
  <si>
    <t>restricted habitats; bird trade (KR); moderate habitat loss expected, capture for trade</t>
  </si>
  <si>
    <t>Blue Grosbeak</t>
  </si>
  <si>
    <t>Passerina caerulea</t>
  </si>
  <si>
    <t>DD='no information available.'  BNA supports that little is known about effects of human activities in US or Mexico.   Likely that threats potentially increasing if present habitat trends continue (e.g., urbanization, agriculture, short rotation forestry,</t>
  </si>
  <si>
    <t>DD='no information available.'  BNA states effects of tropical agriculture and deforestation are unknown.  Could be 'threats assumed to be low' (TN 2) based on increase in secondary and disturbance habitats in the tropics.</t>
  </si>
  <si>
    <t>Lazuli Bunting</t>
  </si>
  <si>
    <t>Passerina amoena</t>
  </si>
  <si>
    <t>Hit hard by cowbirds.</t>
  </si>
  <si>
    <t>Not a major cage bird.  Like other buntings, uses a variety of edge habitats in winter, including corn fields (milpas), second growth and shrublands; not a forest-dependent bird (Panjabi)</t>
  </si>
  <si>
    <t>Indigo Bunting</t>
  </si>
  <si>
    <t>Passerina cyanea</t>
  </si>
  <si>
    <t>PIFSC-20: listed as a breeder in the Maderas del Carmen range in northern Coahuila by Miller et al. (2019).  This is edge of range territory and not nearly as abundant as further north and east.  Since &lt;0.1% in Mexico, we used the US/Canada estimate as the global estimate.</t>
  </si>
  <si>
    <t>adapted to disturbance, but not enhanced by humans (KR).  DD='species relatively tolerant of human land use activities.'  Although abundant and adaptable, BNA doesn't support that overall human impacts are beneficial.  Threats from intensive agriculture.</t>
  </si>
  <si>
    <t>DD='species relatively tolerant of human land use activities.'   BNA states threats exist in form of pesticides, shooting as ag pests, trapping for cage bird trade, but likely minimized by creation of many secondary, disturbed and ag habitats.</t>
  </si>
  <si>
    <t>Rose-bellied Bunting</t>
  </si>
  <si>
    <t>Passerina rositae</t>
  </si>
  <si>
    <t>capture for trade, moderate habitat loss</t>
  </si>
  <si>
    <t>MX endemic breeding in only one region where local experts scored PT=5</t>
  </si>
  <si>
    <t>Orange-breasted Bunting</t>
  </si>
  <si>
    <t>Passerina leclancherii</t>
  </si>
  <si>
    <t>Varied Bunting</t>
  </si>
  <si>
    <t>Passerina versicolor</t>
  </si>
  <si>
    <t>new estimate not too far from bottom end (500,000) of previous score's (3) pop range (PIFSC-18).</t>
  </si>
  <si>
    <t>CB-uses arid riparian in part that is under threat of water withdrawal</t>
  </si>
  <si>
    <t>requires primary vegetation but tolerates some fragmentation and disturbance; capture for trade</t>
  </si>
  <si>
    <t>Painted Bunting</t>
  </si>
  <si>
    <t>Passerina ciris</t>
  </si>
  <si>
    <t>DD='highly vulnerable to human activities and land use.'  BNA supports that threats are ongoing for both eastern and western populations.  Populations certain to decline with potential for regional extirpation in East if habitat alterations continue.</t>
  </si>
  <si>
    <t>pressure from bird trade (KR).  DD='moderately vulnerable to human activities and land use.'  BNA supports that habitat conditions on nonbreeding grounds likely provide favorable second growth and scrubby conditions (e.g. TN 2), but there is increasing co</t>
  </si>
  <si>
    <t>Dickcissel</t>
  </si>
  <si>
    <t>Spiza americana</t>
  </si>
  <si>
    <t>NS maps overemphasize areas where rarely encountered according to Birds of Venezuela 2nd ed. (Hilty, 2003).  Even within overall mapped range in Venezuela the bird is local.  It appears that as much as 1/4 -1/3 total area should be excluded from the NS ra</t>
  </si>
  <si>
    <t>threats moderate, not SEVERE (KR).</t>
  </si>
  <si>
    <t>DD='highly vulnerable to human activities.'  Threats ongoing (pesticides and hazing) and concentrations make this species very vulnerable in nonbreeding season.</t>
  </si>
  <si>
    <t>Dusky-faced Tanager</t>
  </si>
  <si>
    <t>Mitrospingus cassinii</t>
  </si>
  <si>
    <t>Mitrospingidae</t>
  </si>
  <si>
    <t>Blue-and-gold Tanager</t>
  </si>
  <si>
    <t>Bangsia arcaei</t>
  </si>
  <si>
    <t>Thraupidae</t>
  </si>
  <si>
    <t>Afectado por mineria y deforestacion en Panama</t>
  </si>
  <si>
    <t>Speckled Tanager</t>
  </si>
  <si>
    <t>Ixothraupis guttata</t>
  </si>
  <si>
    <t>Formerly placed in the genus Tangara.</t>
  </si>
  <si>
    <t>Gray-and-gold Tanager</t>
  </si>
  <si>
    <t>Poecilostreptus palmeri</t>
  </si>
  <si>
    <t>Formerly placed in the genus Tangara. Monotypic.</t>
  </si>
  <si>
    <t>Azure-rumped Tanager</t>
  </si>
  <si>
    <t>Poecilostreptus cabanisi</t>
  </si>
  <si>
    <t>Habitat loss within Guatemalan range exceeds that in Mexico; Habitat loss within Guatemalan range exceeds that in Mexico</t>
  </si>
  <si>
    <t>Blue-gray Tanager</t>
  </si>
  <si>
    <t>Thraupis episcopus</t>
  </si>
  <si>
    <t>suggested score change</t>
  </si>
  <si>
    <t>Yellow-winged Tanager</t>
  </si>
  <si>
    <t>Thraupis abbas</t>
  </si>
  <si>
    <t>Palm Tanager</t>
  </si>
  <si>
    <t>Thraupis palmarum</t>
  </si>
  <si>
    <t>Golden-hooded Tanager</t>
  </si>
  <si>
    <t>Stilpnia larvata</t>
  </si>
  <si>
    <t>uses forest and plantations; slight decline expected</t>
  </si>
  <si>
    <t>found mostly in forests and adjacent plantations; probable decline throughout C.A.</t>
  </si>
  <si>
    <t>Green-naped Tanager</t>
  </si>
  <si>
    <t>Tangara fucosa</t>
  </si>
  <si>
    <t>solo la mitad de la poblacion esta dentro de areas protegidas</t>
  </si>
  <si>
    <t>Spangle-cheeked Tanager</t>
  </si>
  <si>
    <t>Tangara dowii</t>
  </si>
  <si>
    <t>Plain-colored Tanager</t>
  </si>
  <si>
    <t>Tangara inornata</t>
  </si>
  <si>
    <t>Rufous-winged Tanager</t>
  </si>
  <si>
    <t>Tangara lavinia</t>
  </si>
  <si>
    <t>Deforestacion</t>
  </si>
  <si>
    <t>Bay-headed Tanager</t>
  </si>
  <si>
    <t>Tangara gyrola</t>
  </si>
  <si>
    <t>El mapa esta mal en NBO</t>
  </si>
  <si>
    <t>El rango de extencion esta mal en NBO</t>
  </si>
  <si>
    <t>Emerald Tanager</t>
  </si>
  <si>
    <t>Tangara florida</t>
  </si>
  <si>
    <t>Esta mas amenazada en el occidente de Panama</t>
  </si>
  <si>
    <t>Silver-throated Tanager</t>
  </si>
  <si>
    <t>Tangara icterocephala</t>
  </si>
  <si>
    <t>White-eared Conebill</t>
  </si>
  <si>
    <t>Conirostrum leucogenys</t>
  </si>
  <si>
    <t>Ganaderia</t>
  </si>
  <si>
    <t>Saffron Finch</t>
  </si>
  <si>
    <t>Sicalis flaveola</t>
  </si>
  <si>
    <t>Grassland Yellow-Finch</t>
  </si>
  <si>
    <t>Sicalis luteola</t>
  </si>
  <si>
    <t>Map different from Ridgely (source?) -- some breeding pops missing (e.g. Peru). Score seems too low based on area. Large non-breeding range shown, although Ridgely questions extent of migratory range -- score probably too low.</t>
  </si>
  <si>
    <t>SECL, which represents core areas in Mexico, scores PT=2; overall unknown trend in C.A.</t>
  </si>
  <si>
    <t>Slaty Finch</t>
  </si>
  <si>
    <t>Haplospiza rustica</t>
  </si>
  <si>
    <t>NS maps more accurate -- especially since probably occupies part of range in any year.</t>
  </si>
  <si>
    <t>poorly known, bamboo specialist</t>
  </si>
  <si>
    <t>proponemos mantener el 5 con base en perdida de habitat en mexico (+-50% del total) y en la falta de registros de la especie desde 1860's (howell y webb 1995). Es una especie completamente dependiente del bambu al interior del bosque mesofilo, pero acepta</t>
  </si>
  <si>
    <t>Peg-billed Finch</t>
  </si>
  <si>
    <t>Acanthidops bairdi</t>
  </si>
  <si>
    <t>puede ser afectada por cambio climático y incendios; especializada en bambu</t>
  </si>
  <si>
    <t>Cinnamon-bellied Flowerpiercer</t>
  </si>
  <si>
    <t>Diglossa baritula</t>
  </si>
  <si>
    <t>Sensible a pérdida de habitat (CAW);</t>
  </si>
  <si>
    <t>Slaty Flowerpiercer</t>
  </si>
  <si>
    <t>Diglossa plumbea</t>
  </si>
  <si>
    <t>adaptable</t>
  </si>
  <si>
    <t>Green Honeycreeper</t>
  </si>
  <si>
    <t>Chlorophanes spiza</t>
  </si>
  <si>
    <t>borderline PS=2; more info needed</t>
  </si>
  <si>
    <t>Black-and-yellow Tanager</t>
  </si>
  <si>
    <t>Chrysothlypis chrysomelas</t>
  </si>
  <si>
    <t>Sulphur-rumped Tanager</t>
  </si>
  <si>
    <t>Heterospingus rubrifrons</t>
  </si>
  <si>
    <t>leve disminucion en Bocas del Toro, Panama.</t>
  </si>
  <si>
    <t>Scarlet-browed Tanager</t>
  </si>
  <si>
    <t>Heterospingus xanthopygius</t>
  </si>
  <si>
    <t>Yellow-backed Tanager</t>
  </si>
  <si>
    <t>Hemithraupis flavicollis</t>
  </si>
  <si>
    <t>Blue-black Grassquit</t>
  </si>
  <si>
    <t>Volatinia jacarina</t>
  </si>
  <si>
    <t>Gray-headed Tanager</t>
  </si>
  <si>
    <t>Eucometis penicillata</t>
  </si>
  <si>
    <t>highly specialized (ant-follower)</t>
  </si>
  <si>
    <t>White-shouldered Tanager</t>
  </si>
  <si>
    <t>Loriotus luctuosus</t>
  </si>
  <si>
    <t>Formerly placed in the genus Tachyphonus.</t>
  </si>
  <si>
    <t>es mas estable en CR y Panama</t>
  </si>
  <si>
    <t>Tawny-crested Tanager</t>
  </si>
  <si>
    <t>Tachyphonus delatrii</t>
  </si>
  <si>
    <t>White-lined Tanager</t>
  </si>
  <si>
    <t>Tachyphonus rufus</t>
  </si>
  <si>
    <t>Black-throated Shrike-Tanager</t>
  </si>
  <si>
    <t>Lanio aurantius</t>
  </si>
  <si>
    <t>extreme area-sensitivity; requires primary forest</t>
  </si>
  <si>
    <t>White-throated Shrike-Tanager</t>
  </si>
  <si>
    <t>Lanio leucothorax</t>
  </si>
  <si>
    <t>Perdida de habitat en Nicaragua que es donde esta la mayor parte de su distribucion</t>
  </si>
  <si>
    <t>Crimson-collared Tanager</t>
  </si>
  <si>
    <t>Ramphocelus sanguinolentus</t>
  </si>
  <si>
    <t>requires forest but uses edge</t>
  </si>
  <si>
    <t>Flame-rumped Tanager</t>
  </si>
  <si>
    <t>Ramphocelus flammigerus</t>
  </si>
  <si>
    <t>Scarlet-rumped Tanager</t>
  </si>
  <si>
    <t>Ramphocelus passerinii</t>
  </si>
  <si>
    <t>score change from 4 to 3 recommended by Central Americans in 2016 for Passerini's Tanager.  Since Cherrie's was lumped with Passerini's, it is unlikely that the addition of a population likely an order of magnitude smaller (Cherrie PS-g = 4) would bump up PS-g to 2.</t>
  </si>
  <si>
    <t>summed range estimates for Cherrie's and Passerini's Tanagers</t>
  </si>
  <si>
    <t>Natureserve 3.0;Bird Conservancy of the Rockies 2019</t>
  </si>
  <si>
    <t>given its preference for open areas, a recent increase seems likely</t>
  </si>
  <si>
    <t>Crimson-backed Tanager</t>
  </si>
  <si>
    <t>Ramphocelus dimidiatus</t>
  </si>
  <si>
    <t>Swallow Tanager</t>
  </si>
  <si>
    <t>Tersina viridis</t>
  </si>
  <si>
    <t>Cinnamon-bellied Saltator</t>
  </si>
  <si>
    <t>Saltator grandis</t>
  </si>
  <si>
    <t>Formerly considered conspecific with Saltator coerulescens and S. olivascens.</t>
  </si>
  <si>
    <t>PIFSC-23; BirdLife 2022</t>
  </si>
  <si>
    <t>Shaw-23: used BirdLife polygons for Saltator grandis, S. coerulescens, and S. olivascens to calculate % of pre-split S. coerulescens range that is now classified as S. grandis.  Multiplied by midpoint of PS-g = 2 pop size range.</t>
  </si>
  <si>
    <t>Shaw-23: used North America Albers Equal Area Conic map projection to estimate area.</t>
  </si>
  <si>
    <t>species has almost certainly benefitted from deforestation;; species has almost certainly benefitted from deforestation</t>
  </si>
  <si>
    <t>Streaked Saltator</t>
  </si>
  <si>
    <t>Saltator striatipectus</t>
  </si>
  <si>
    <t>Tufted Puffin</t>
  </si>
  <si>
    <t>Fratercula cirrhata</t>
  </si>
  <si>
    <t>Black-legged Kittiwake</t>
  </si>
  <si>
    <t>Rissa tridactyla</t>
  </si>
  <si>
    <t>ssp. tridactyla: 1990-2000 expert opinion in E. Atlantic, best guess in Greenland, 2006-2011 expert opinion in W. Atlantic.  14,600,000-15,650,000 total individuals or 9,733,333-10,433,333 adults (WPE5).   Estimate assumes 2/3 of total pop. are adults.</t>
  </si>
  <si>
    <t>BNA Hatch et al. 2009</t>
  </si>
  <si>
    <t>Red-legged Kittiwake</t>
  </si>
  <si>
    <t>Rissa brevirostris</t>
  </si>
  <si>
    <t>290,000-320,000 total individuals (WPE)</t>
  </si>
  <si>
    <t>Ivory Gull</t>
  </si>
  <si>
    <t>Pagophila eburnea</t>
  </si>
  <si>
    <t>COSEWIC (in press)</t>
  </si>
  <si>
    <t>COSEWIC draft report: 16,000-25,300 mature individuals.  Alternative estimates: 15,000-25,000 total individuals (WPE).  BirdLife has conflicting estimate of 25,000 pairs or 75,000 total individuals from HBW (1996), but the current online version of HBW says "19,000-27,000 individuals, roughly equivalent to 12,000-18,000 adults".  49,500-57,000 estimate is derived from 35,000 in N. America + 14,500-22,000 in Russian Arctic (BirdLife)</t>
  </si>
  <si>
    <t>COSEWIC draft report: 1950-2,250 mature individuals in Canada based on Gilchrist &amp; Mallory's surveys from 2009-2019</t>
  </si>
  <si>
    <t>BirdLife range map includes all of polar region in W hemisphere, but only land areas in Old World; % range in W Hem is a guesstimate</t>
  </si>
  <si>
    <t>Defenders of Wildlife 2007</t>
  </si>
  <si>
    <t>possible 90% population loss in Canada since 1980's</t>
  </si>
  <si>
    <t>Pacific Loon</t>
  </si>
  <si>
    <t>Gavia pacifica</t>
  </si>
  <si>
    <t>Monotypic. Considered subspecies of &lt;i&gt;G. arctica&lt;/i&gt; by AOU (1957), Peters (1979), and del Hoyo, et al. (1992).</t>
  </si>
  <si>
    <t>1987-1991 best guess for E. Asia, 2000 for N. America for 925,000-1,600,000 total individuals or 616,667-1,066,666 adults (WPE5). Adult estimate assumes 2/3 of total pop. are adults.</t>
  </si>
  <si>
    <t>trend is for Pacific and Arctic loon combined</t>
  </si>
  <si>
    <t>Common Loon</t>
  </si>
  <si>
    <t>Gavia immer</t>
  </si>
  <si>
    <t>disturbance and lead issues are more of concern along southern periphery of breeding range (Waterbird working group 2017)</t>
  </si>
  <si>
    <t>Yellow-billed Loon</t>
  </si>
  <si>
    <t>Gavia adamsii</t>
  </si>
  <si>
    <t>USFWS 2014</t>
  </si>
  <si>
    <t>subsistence harvest; bycatch in fihing nets; oil and gas development; very patchilty distributed on north slope (Waterbird working group 2017)</t>
  </si>
  <si>
    <t>why are TN higher than for other loons? (KVR); populations wintering in yellow sea; scoring is consistent with shorebirds wintering in same areas; in US wintering birds are concentrated in SE Alaska, esp. Prince William sound and also vulnerable to oil spills and bycatch</t>
  </si>
  <si>
    <t>Laysan Albatross</t>
  </si>
  <si>
    <t>Phoebastria immutabilis</t>
  </si>
  <si>
    <t>2006 survey-based</t>
  </si>
  <si>
    <t>Phoebastria immutabilis breeds at 16 sites (nine with populations of greater than 100 pairs), mostly in the Northwestern Hawaiian Islands (USA) and US Minor Outlying Islands, with additional small colonies in Japan and Mexico. The population is estimated to be c.590,926 breeding pairs, with the largest colony at Midway Atoll, followed by Laysan Island, both in the Northwestern Hawaiian Islands (Naughton et al. 2007).</t>
  </si>
  <si>
    <t>Short-tailed Shearwater</t>
  </si>
  <si>
    <t>Ardenna tenuirostris</t>
  </si>
  <si>
    <t>This species breeds on Tasmania and off the coast of south Australia, with the bulk of the population in the south-east.  BirdLife range (113,000,000 km2) is non-breeding range</t>
  </si>
  <si>
    <t>Sooty Shearwater</t>
  </si>
  <si>
    <t>Ardenna grisea</t>
  </si>
  <si>
    <t>An abundant shearwater, breeding on islands off New Zealand, Australia and Chile, and the Falkland Islands (Malvinas).  BirdLife range (204,000,000 km2) reflect non-breeding extent of occurrence.  Breeding sites are far apart (New Zealand, Australia, Chile, and the Falkland Islands).</t>
  </si>
  <si>
    <t>Great Shearwater</t>
  </si>
  <si>
    <t>Ardenna gravis</t>
  </si>
  <si>
    <t>this species breeds at three main sites: Nightingale and Inaccessible islands in the Tristan da Cunha group, and Gough Island, Tristan da Cunha (to UK) (Snow and Perrins 1998, Carboneras 1992d). Birds also breed in small numbers in the Falkland Islands (Malvinas), where the only confirmed site is Kidney Island (no more than 15 pairs recorded in 1987 (Woods 1988)), though there is a slight possibilty of breeding near Wineglass Hill, East Falkland, where one has been caught (Woods and Woods 1997).</t>
  </si>
  <si>
    <t>Pink-footed Shearwater</t>
  </si>
  <si>
    <t>Ardenna creatopus</t>
  </si>
  <si>
    <t>BirdLife (2016) states 20,000 breeding pairs</t>
  </si>
  <si>
    <t>BirdLife range seems to reflect non-breeding range</t>
  </si>
  <si>
    <t>Why TN higher than other shearwaters?</t>
  </si>
  <si>
    <t>Flesh-footed Shearwater</t>
  </si>
  <si>
    <t>Ardenna carneipes</t>
  </si>
  <si>
    <t>This species breeds on St Paul Island (French Southern Territories), Lord Howe Island (Australia), south-west mainland Australia, south Australia (at a single isolated colony), and North Island (New Zealand).  BirdLife range area (111,000,000 sq km) seems to reflect non-breeding range.</t>
  </si>
  <si>
    <t>Nazca Booby</t>
  </si>
  <si>
    <t>Sula granti</t>
  </si>
  <si>
    <t>Panjabi: BirdLife (2016) states "at least 30,000 mature individuals" which would suggest PS=5</t>
  </si>
  <si>
    <t>found in the eastern Pacific Ocean, from the Galapagos Islands, Ecuador in the south to islands off Baja California (Mexico) in the north. (BirdLife 2017)</t>
  </si>
  <si>
    <t>Blue-footed Booby</t>
  </si>
  <si>
    <t>Sula nebouxii</t>
  </si>
  <si>
    <t>Kushlan et al. 2002; Harrison</t>
  </si>
  <si>
    <t>&gt;90,000 breeders in gulf of california</t>
  </si>
  <si>
    <t>&gt;90,000</t>
  </si>
  <si>
    <t>need to check colony surveys (MX-NSAC)</t>
  </si>
  <si>
    <t>Brown Booby</t>
  </si>
  <si>
    <t>Sula leucogaster</t>
  </si>
  <si>
    <t>BNA Schreiber and Norton, 2002</t>
  </si>
  <si>
    <t>221,000-275,400 pairs</t>
  </si>
  <si>
    <t>includes a lot of ocean</t>
  </si>
  <si>
    <t>impacted by fisheries; entanglement in fishing nets; brown may be less susceptible in this regard due to plunge-diving (Waterbird working group 2017)</t>
  </si>
  <si>
    <t>stable, possible increase (MX-NSAC)</t>
  </si>
  <si>
    <t>Red-footed Booby</t>
  </si>
  <si>
    <t>Sula sula</t>
  </si>
  <si>
    <t>687,950 pairs</t>
  </si>
  <si>
    <t>BirdLife range (32,500 km2) seems to reflect breeding islands and immediate waters only</t>
  </si>
  <si>
    <t>impacted by fisheries; entanglement in fishing nets; harvested by fisherman at nests (Waterbird working group 2017)</t>
  </si>
  <si>
    <t>Northern Gannet</t>
  </si>
  <si>
    <t>Morus bassanus</t>
  </si>
  <si>
    <t>BNA Mowbray 2002b</t>
  </si>
  <si>
    <t>Breeding sites include northern France, the United Kingdom, Ireland, Iceland, Norway and the eastern tip Quebec (Canada) (BirdLife 2017); but appear to be few in number (Panjabi 2017)</t>
  </si>
  <si>
    <t>Anhinga</t>
  </si>
  <si>
    <t>Anhinga anhinga</t>
  </si>
  <si>
    <t>Anhingidae</t>
  </si>
  <si>
    <t>BNA Frederick &amp; Siegel-Causey 2000</t>
  </si>
  <si>
    <t>Panjabi-23: eBird S&amp;T model estimates that US has 13% of global pop vs. Mexico and Central America have just 2%, so BBS coverage sufficient</t>
  </si>
  <si>
    <t>Brandt's Cormorant</t>
  </si>
  <si>
    <t>Urile penicillatus</t>
  </si>
  <si>
    <t>Monotypic. Formerly placed in the genus Phalacrocorax.</t>
  </si>
  <si>
    <t>BNA Wallace &amp; Wallace 1998</t>
  </si>
  <si>
    <t>Red-faced Cormorant</t>
  </si>
  <si>
    <t>Urile urile</t>
  </si>
  <si>
    <t>BNA Causey 2002</t>
  </si>
  <si>
    <t>includes extrapolation of natureserve into eastern hemisphere, based on visual estimate of global range</t>
  </si>
  <si>
    <t>rat invasions  (Waterbird working group 2017)</t>
  </si>
  <si>
    <t>Why TN so high? (KVR); need input by west coast seabird experts</t>
  </si>
  <si>
    <t>Pelagic Cormorant</t>
  </si>
  <si>
    <t>Urile pelagicus</t>
  </si>
  <si>
    <t>USFWS 2006</t>
  </si>
  <si>
    <t>BNA Hobson 2013</t>
  </si>
  <si>
    <t>more concern with southern populations in California; need more input from west coast seabird experts (Waterbird working group 2017)</t>
  </si>
  <si>
    <t>Snowy Egret</t>
  </si>
  <si>
    <t>Egretta thula</t>
  </si>
  <si>
    <t>more similar to great egret than little blue heron (Waterbird working group 2017)</t>
  </si>
  <si>
    <t>Little Blue Heron</t>
  </si>
  <si>
    <t>Egretta caerulea</t>
  </si>
  <si>
    <t>TB seems too high, especially for all of  North America (KVR); Vermillion, William (2017): One thing that could potentially account for higher score vs. other shrub-nesting herons is the theory of competition with Cattle Egrets; but that relationship isn't really understood. Agree, threats not "High" range-wide  (Waterbird working group 2017).</t>
  </si>
  <si>
    <t>Tricolored Heron</t>
  </si>
  <si>
    <t>Egretta tricolor</t>
  </si>
  <si>
    <t>not as restricted as reddish egret, but more restricted than little blue</t>
  </si>
  <si>
    <t>Reddish Egret</t>
  </si>
  <si>
    <t>Egretta rufescens</t>
  </si>
  <si>
    <t>BirdLife 2020</t>
  </si>
  <si>
    <t>BNA Koczur et al. 2019</t>
  </si>
  <si>
    <t>high concentration in few areas; despite high nest production, not recruiting more birds into the pop; sea level rise also a threat. Highly specialized in coastal environments</t>
  </si>
  <si>
    <t>Many juveniles die during dispersal; sea level rise, dredging, altered hydrology all warrant TN=4 (Hunter-Green-Andres 2017); Vermillion, William (2017): Subject to the same threats along the Gulf Coast as other island shrub nesters, but smaller population, if that makes a difference. Some evidence of concentrations in Tamaulipas during winter from Bart Ballard and Clay Green's students' work plus crazy birds moving across isthmus of Panama from Gulf to Pacific in winter!</t>
  </si>
  <si>
    <t>Green et al. 2022</t>
  </si>
  <si>
    <t>Green et al. 2022: "Trend information is regionally variable and suggestive at best. Colony counts in some areas show apparent stability in breeding numbers, but there is concern over declines elsewhere. The population overall appears to be ‘stable to moderately declining’ (Koczur et al. 2020; BirdLife 2022)."</t>
  </si>
  <si>
    <t>Glossy Ibis</t>
  </si>
  <si>
    <t>Plegadis falcinellus</t>
  </si>
  <si>
    <t>Formerly three subspecies recognized (Peters 1931), but now recognized as monotypic.</t>
  </si>
  <si>
    <t>breeding and non-breeding ranges appear similar in terms of overall extent in BirdLife map</t>
  </si>
  <si>
    <t>Why are threats lower than for other herons? Should be same as White-faced and others? (KVR); Vermillion, William (2017): Agree.</t>
  </si>
  <si>
    <t>why lower than White-faced and other fw herons? (KVR)</t>
  </si>
  <si>
    <t>White-faced Ibis</t>
  </si>
  <si>
    <t>Plegadis chihi</t>
  </si>
  <si>
    <t>Green Ibis</t>
  </si>
  <si>
    <t>Mesembrinibis cayennensis</t>
  </si>
  <si>
    <t>una especie plástica</t>
  </si>
  <si>
    <t>Roseate Spoonbill</t>
  </si>
  <si>
    <t>Platalea ajaja</t>
  </si>
  <si>
    <t>BNA2000, bbs0615(BBS), eBird7017(WHem)</t>
  </si>
  <si>
    <t>BNA Dumas 2000</t>
  </si>
  <si>
    <t>Shaw-23: Haven't estimated 3-generation trends from CBC7019, but long-term significant annual increase of 6.569% may support BBS score of 1.  US estimated by eBird S&amp;T to make up ~65% of the population. Incomplete coverage by both surveys and risk of climate-induced shift making trend look more positive than it is, but the magnitude of the gain for both surveys is such that even controlling for climate shifts, would still likely be significant long-term gain, so went with BBS which we have complete trend analysis for.  eBird recent trends increasing on Gulf of California, inland S. FL, Gulf coast from Corpus Cristi to Tamaulipas, and Caribbean, vs. decreasing everywhere else, so perhaps net moderate decline since 2007, with similar increase:decrease ratio between US vs. rest of range, so may be fair to extrapolate from US southward, at least for recent trends.  Panjabi 2019: 7 regions gave it a PT=4, including some important ones (SE Mexico, Belize, Guatemala), but PIF CAW 14 consensus was stability.</t>
  </si>
  <si>
    <t>California Condor</t>
  </si>
  <si>
    <t>Gymnogyps californianus</t>
  </si>
  <si>
    <t>Cathartiformes</t>
  </si>
  <si>
    <t>Cathartidae</t>
  </si>
  <si>
    <t>CACO Recovery Program 2023 Annual Pop. Status</t>
  </si>
  <si>
    <t>Shaw-24: applied 2/3 breeding adult rule to the all-ages estimates of the wild breeding populations (i.e. N CA not included)</t>
  </si>
  <si>
    <t>Robert Mesta (USFWS)</t>
  </si>
  <si>
    <t>Robert Mesta (USFWS) confirms that the two polygons of extant breeding range are correct; a third polygon should be included to cover the San Pedro Martir range in northern Baja, MX; However, breeding sites are few and highly local, therefore BD=5 in spite of an area of 104,418.</t>
  </si>
  <si>
    <t>CB-low productivity, extirpation from large areas of range, interactions with humans negative, lead poisoning, high wires, (R. Mesta).</t>
  </si>
  <si>
    <t>PIFSC-24: relative to 1970 population (which was low, ~30-40 birds) today’s population of over 200 birds (CACO Recovery Program 2023 Annual Pop. Status) equates to a score of 1, but scored 3 for uncertainty since the increase is due to captive breeding, so don't know what the trend would be in the absense of breeding programs</t>
  </si>
  <si>
    <t>King Vulture</t>
  </si>
  <si>
    <t>Sarcoramphus papa</t>
  </si>
  <si>
    <t>Rango amplio. Densidad baja. (CAW); score change from 5 to 4 recommended by Central Americans in 2016</t>
  </si>
  <si>
    <t>requires large areas of primary forest; habitat loss</t>
  </si>
  <si>
    <t>Black Vulture</t>
  </si>
  <si>
    <t>Coragyps atratus</t>
  </si>
  <si>
    <t>Zimmerman et al. 2019; bbs update to 2018;  eBird7017</t>
  </si>
  <si>
    <t>Zimmerman used the methodology in Zimmerman et al. 2019 for the entire U.S. using BBS-2018.  This new U.S. estimate was extrapolated globally using eBird's % of global Black Vulture observations that are in U.S.</t>
  </si>
  <si>
    <t>Zimmerman et al. 2019; bbs update to 2018</t>
  </si>
  <si>
    <t>Zimmerman used the methodology in Zimmerman et al. 2019 for the entire U.S. using BBS-2018.</t>
  </si>
  <si>
    <t>DD = 'benefit from human acitivity.'  Mostly in SA and CA where sanitation issues create favorable situation, but farming in US creates much carrion and non-natural nest sites provide suitable alternatives to large cavities.  Southern pops probably outnum.</t>
  </si>
  <si>
    <t>DD = 'benefit from human activity.'  Mostly in SA and CA where sanitation issues create favorable situation, but farming in US creates much carrion.  Southern pops probably outnumber US ones.</t>
  </si>
  <si>
    <t>Turkey Vulture</t>
  </si>
  <si>
    <t>Cathartes aura</t>
  </si>
  <si>
    <t>DD = 'benefit from human alteration of landscapes.'  expected future conditions are enhanced by humans.  Could be TB = 2, populations demonstrably secure and no known threats?</t>
  </si>
  <si>
    <t>DD = 'benefit from human alteration of landscapes.'  expected future conditions are enhanced by humans.</t>
  </si>
  <si>
    <t>Lesser Yellow-headed Vulture</t>
  </si>
  <si>
    <t>Cathartes burrovianus</t>
  </si>
  <si>
    <t>no significant threats</t>
  </si>
  <si>
    <t>Osprey</t>
  </si>
  <si>
    <t>Pandion haliaetus</t>
  </si>
  <si>
    <t>Pandionidae</t>
  </si>
  <si>
    <t>widespread, tolerant of human disturbance (KR)</t>
  </si>
  <si>
    <t>Pearl Kite</t>
  </si>
  <si>
    <t>Gampsonyx swainsonii</t>
  </si>
  <si>
    <t>White-tailed Kite</t>
  </si>
  <si>
    <t>Elanus leucurus</t>
  </si>
  <si>
    <t>They aren't that dense in occurrence, so new estimate may be correct even though large range, but likely higher density outside US (PIFSC-18).  Areas abiertas (CAW).</t>
  </si>
  <si>
    <t>CB-significant threat from habitat degradation, loss of nest trees, and foraging habitats, urbanization, communal roost disturbance, grazing, (BNA); uses all kinds of agricultural lands (ranches, etc); populations enhanced by human activity (MX-NSAC); TB/N=2 more consistent with other species in these categories, given potential sensitivities to pesticides, etc.</t>
  </si>
  <si>
    <t>CB-resident, needs Mexican input; uses all kinds of agricultural lands (ranches, etc); populations enhanced by human activity</t>
  </si>
  <si>
    <t>Hook-billed Kite</t>
  </si>
  <si>
    <t>Chondrohierax uncinatus</t>
  </si>
  <si>
    <t>Gomez-Panjabi-PS-g midpoint; PIFSC-23</t>
  </si>
  <si>
    <t>PIFSC-23: splitting off Cuban Kite likely has little influence on PS-g since relatively small population</t>
  </si>
  <si>
    <t>guesstimate.  Shaw-22: splitting off Cuban Kite has no impact on US pop estimate</t>
  </si>
  <si>
    <t>Shaw-23: splitting off Cuban Kite has immaterial effect on area.  Used World Cylindrical Equal Area projection to estimate area.</t>
  </si>
  <si>
    <t>Mainly a forest bird.  global score of 2 seems too low, 3 more approapriate given widespread threats to lowland forests, most regions score 4; 3 in SECL which may represent core range in MX.</t>
  </si>
  <si>
    <t>uses disturbed habitats, very widespread.  usually associated with forests and woodlands (Panjabi)</t>
  </si>
  <si>
    <t>all 8 regions score PT=4, situacion likely similar across C.A.</t>
  </si>
  <si>
    <t>Gray-headed Kite</t>
  </si>
  <si>
    <t>Leptodon cayanensis</t>
  </si>
  <si>
    <t>PIFSC-23: splitting off White-collared Kite likely has little influence on PS-g since relatively small population</t>
  </si>
  <si>
    <t>Shaw-23: splitting off White-collared Kite has immaterial effect on area.  Used World Cylindrical Equal Area projection to estimate area.</t>
  </si>
  <si>
    <t>specialized habitat (riparian forest); habitat loss</t>
  </si>
  <si>
    <t>Black-and-white Hawk-Eagle</t>
  </si>
  <si>
    <t>Spizaetus melanoleucus</t>
  </si>
  <si>
    <t>all regions in mexico (which represent &gt;50% of Central American range) indicate major decline, situation likely similar in rest of C.A.</t>
  </si>
  <si>
    <t>Ornate Hawk-Eagle</t>
  </si>
  <si>
    <t>Spizaetus ornatus</t>
  </si>
  <si>
    <t>depends on large tracts of humid tropical forest, sensitive to fragmentation; now rare in much of mapped range</t>
  </si>
  <si>
    <t>Double-toothed Kite</t>
  </si>
  <si>
    <t>Harpagus bidentatus</t>
  </si>
  <si>
    <t>la poblacion en el norte es marginal. Revisar con expertos de sur america. (CAW);</t>
  </si>
  <si>
    <t>uses primary forest</t>
  </si>
  <si>
    <t>SECL and SEMH score as PT=4; habitat loss similar across central america</t>
  </si>
  <si>
    <t>Northern Harrier</t>
  </si>
  <si>
    <t>Circus hudsonius</t>
  </si>
  <si>
    <t>split from Old World's Circus cyaneus, so used US/Canada estimate for global estimate</t>
  </si>
  <si>
    <t>Lots of undisturbed range in far north (GB), but much habitat loss in populated areas.</t>
  </si>
  <si>
    <t>TN should be less than TB, as for Short-eared Owl (GB).  threats still probably moderate overall in winter; uses ag but less so in more intensified ag (KVR)</t>
  </si>
  <si>
    <t>Tiny Hawk</t>
  </si>
  <si>
    <t>Accipiter superciliosus</t>
  </si>
  <si>
    <t>Sharp-shinned Hawk</t>
  </si>
  <si>
    <t>Accipiter striatus</t>
  </si>
  <si>
    <t>Especie residente, el rango es pequeño, bosque de pino, especie local (calificación 5) (CAW);</t>
  </si>
  <si>
    <t>Uses wide variety of forest types, including young.  Is it area sensitive?  (ED); same as U.S. (MX-NSAC).</t>
  </si>
  <si>
    <t>Persecution, but not enough to make a 3</t>
  </si>
  <si>
    <t>Cooper's Hawk</t>
  </si>
  <si>
    <t>Accipiter cooperii</t>
  </si>
  <si>
    <t>Migrante en la región de CA (CAW);</t>
  </si>
  <si>
    <t>Same habitat as in winter.</t>
  </si>
  <si>
    <t>Persecution.  winters extensively in urban and agricultural areas; persecution not a population threat (KVR); should be same as sharp-shinned (Panjabi)</t>
  </si>
  <si>
    <t>Bicolored Hawk</t>
  </si>
  <si>
    <t>Accipiter bicolor</t>
  </si>
  <si>
    <t>Marginal en CA, amplio en Sur América (CAW); score change from 5 to 3 recommended by Central Americans in 2016</t>
  </si>
  <si>
    <t>highly restricted to primary rainforest</t>
  </si>
  <si>
    <t>regional experts in core range in mexico score as PT=5; habitat trends and species status similar throughout central america</t>
  </si>
  <si>
    <t>Northern Goshawk</t>
  </si>
  <si>
    <t>Accipiter gentilis</t>
  </si>
  <si>
    <t>PIFcalc19-rng,bbs0615,eBird7017,nwt9501</t>
  </si>
  <si>
    <t>Bald Eagle</t>
  </si>
  <si>
    <t>Haliaeetus leucocephalus</t>
  </si>
  <si>
    <t>USFWS Eagle Rule Revision, 2016, with extrapolation to Canada</t>
  </si>
  <si>
    <t>extrapolated from US estimate (143,000) to Canada using BBS-based %pop of 28.8% in Canada vs. 71.2% in US (P.Blancher pers. comm., 6.7.16).  970,000 is estimate from BBS-15.</t>
  </si>
  <si>
    <t>U.S. est=143,000</t>
  </si>
  <si>
    <t>changed due to calibration with TB-r; only 15 of 34 BCRs (&lt;10% pop) scored TB&gt;2</t>
  </si>
  <si>
    <t>Disease and coastal development remain threats</t>
  </si>
  <si>
    <t>White Hawk</t>
  </si>
  <si>
    <t>Pseudastur albicollis</t>
  </si>
  <si>
    <t>Restricted to humid evergreen lowland forests within C.A. range; loss of such forests has been extensive in C.A.; MX regional experts score PT=5 in SECL</t>
  </si>
  <si>
    <t>Semiplumbeous Hawk</t>
  </si>
  <si>
    <t>Leucopternis semiplumbeus</t>
  </si>
  <si>
    <t>Gray Hawk</t>
  </si>
  <si>
    <t>Buteo plagiatus</t>
  </si>
  <si>
    <t>Es común y está presente en áreas perturbadas (CAW)</t>
  </si>
  <si>
    <t>guesstimate; expanding rapidly in AZ (Beardmore)</t>
  </si>
  <si>
    <t>regional scores suggest tolerant of humna disturbance overall; uses modified habitat, expected future conditions will benefit this species; CB-clearing of mesquite bosques, riparian, human encroachment, n. Sonora clearing for ag (Glinski); Mexicans say 1, but uses forest.</t>
  </si>
  <si>
    <t>Need to talk to Mexicans on this, because we think it should be higher; uses modified habitat, expected future conditions will benefit this species.  Should be consistent with other species that use human-altered landscapes; "1" should be reserved for species really expected to increase because of human activities (KVR); in much of its range, this species increases with forest clearing; still probably not likely to increase by another 50% in the future due to clearing, more likely to remain stable or increase slightly.  This change in score will require Mexican approval.  Most Central American countries scored TB/TN=2, except El Savador which scored it TB/TN=1 (Panjabi)</t>
  </si>
  <si>
    <t>proponemos un 2 debido a que las poblaciones no se han comportado de la misma forma frente a la deforestacion en diferentes lugares</t>
  </si>
  <si>
    <t>Gray-lined Hawk</t>
  </si>
  <si>
    <t>Buteo nitidus</t>
  </si>
  <si>
    <t>Formerly known as Gray Hawk.</t>
  </si>
  <si>
    <t>no map available (CAW);</t>
  </si>
  <si>
    <t>más sensible que B. plagiatus</t>
  </si>
  <si>
    <t>Red-shouldered Hawk</t>
  </si>
  <si>
    <t>Buteo lineatus</t>
  </si>
  <si>
    <t>DD='species relatively tolerant of human activities or land-use trends'= TB 2 or 'threats potentially increasing if present trends conditions continue' = TB 3.  BNA supports that contiguous forest tracts more favorable for breeding, yet fragmentation rema</t>
  </si>
  <si>
    <t>DD=' species relatively tolerant of human activities or land-use trends'.  BNA supports it is more flexible in habitat use during nonbreeding season.</t>
  </si>
  <si>
    <t>Bare-shanked Screech-Owl</t>
  </si>
  <si>
    <t>Megascops clarkii</t>
  </si>
  <si>
    <t>más plástica que otras especies de bosques de altura</t>
  </si>
  <si>
    <t>Tropical Screech-Owl</t>
  </si>
  <si>
    <t>Megascops choliba</t>
  </si>
  <si>
    <t>suseptible a ser atropellada por trafico</t>
  </si>
  <si>
    <t>utilice bosques urbanos</t>
  </si>
  <si>
    <t>Bearded Screech-Owl</t>
  </si>
  <si>
    <t>Megascops barbarus</t>
  </si>
  <si>
    <t>dependent on mature pine-oak forest; habitat loss due to clearing; global score should reflect regional experts' opinion</t>
  </si>
  <si>
    <t>Pacific Screech-Owl</t>
  </si>
  <si>
    <t>Megascops cooperi</t>
  </si>
  <si>
    <t>loss of pacific lowland forests in Central america, some tolerance to disturbance</t>
  </si>
  <si>
    <t>Western Screech-Owl</t>
  </si>
  <si>
    <t>Megascops kennicottii</t>
  </si>
  <si>
    <t>CB-variety of habitats, seem to be doing fine, extirpated on Nav. Res (Glinski), Habitats not doing well (ABQ).</t>
  </si>
  <si>
    <t>CB-similar to TB.  Pinon die off, threats to western riparian systems (Panjabi); WE-Threatened/Endangered in Canada. While found in different forest types, all low elevation and often near water. Primary threat is habitat loss and similar in breeding and non-breeding.</t>
  </si>
  <si>
    <t>Boreal Owl</t>
  </si>
  <si>
    <t>Aegolius funereus</t>
  </si>
  <si>
    <t>US/Canada estimate based on Bird Studies Canada’s provincial owl surveys through 2002 for density estimates.  Previous estimate for US/Canada was erroneous (Blancher 2018).</t>
  </si>
  <si>
    <t>Blancher 2008</t>
  </si>
  <si>
    <t>Prefers old growth, &amp; sensitive to loss of cavity trees.  Panjabi: threats from increasing logging in boreal forest may warrant TB=4.  Highly specialized needs for nesting and increasing threats from forestry suggests species likely to decline across major parts of range.</t>
  </si>
  <si>
    <t>Are there really no threats to winter habitats? Uses mature forests in western U.S. Seems like should be at least a "3" like other forest owls and other species (KVR); In the Rockies, specializes in mature spruce-fir habitat with wetlands; threats at least moderate due to effects of climate change (e.g., increased pine beetles, spruce beetles, fires, drought)  (Panjabi)</t>
  </si>
  <si>
    <t>Northern Saw-whet Owl</t>
  </si>
  <si>
    <t>Aegolius acadicus</t>
  </si>
  <si>
    <t>based on Bird Studies Canada’s provincial owl surveys through 2002 for density estimates</t>
  </si>
  <si>
    <t>Any newer threats from boreal forestry or energy extraction, or climate change effects on boreal forests farther south? (KVR); Camfield,Alaine [NCR]:  BC subspecies listed as endangered under SARA. TB 3 in Canadian BCR strategies,  Logging is the primary threat.</t>
  </si>
  <si>
    <t>Unspotted Saw-whet Owl</t>
  </si>
  <si>
    <t>Aegolius ridgwayi</t>
  </si>
  <si>
    <t>NatureServe map error?? Distrubtion seems way too small</t>
  </si>
  <si>
    <t>Natureserve map error; MX-Guatemala range excluded; added 60,000 km2 (over 50% size of Guatemala (109,000 km2))</t>
  </si>
  <si>
    <t>map error; MX-Guatemala range excluded; add 60,000km2 (over 50% size of Guatemala (109,000km2))Ken comment: map error; MX-Guatemala range excluded; add 60,000km2 (over 50% size of Guatemala (109,000km2))</t>
  </si>
  <si>
    <t>dependent on mature pine-oak forest; habitat loss due to clearing</t>
  </si>
  <si>
    <t>Lattice-tailed Trogon</t>
  </si>
  <si>
    <t>Trogon clathratus</t>
  </si>
  <si>
    <t>ganadería; minería; la mayoría de su hábitat en Costa Rica está protegido</t>
  </si>
  <si>
    <t>Slaty-tailed Trogon</t>
  </si>
  <si>
    <t>Trogon massena</t>
  </si>
  <si>
    <t>humid forest</t>
  </si>
  <si>
    <t>restricted to humid evergreen lowland forest; loss of such forests has been extensive in C.A.; regional experts score PT=5 in SECL</t>
  </si>
  <si>
    <t>Blue-capped Motmot</t>
  </si>
  <si>
    <t>Momotus coeruliceps</t>
  </si>
  <si>
    <t>Formerly considered conspecific with Momotus momota, M. lessonii, and M. subrufescens.</t>
  </si>
  <si>
    <t>eBird, AOU Checklist 57th Suppl.</t>
  </si>
  <si>
    <t>used score shared by NECL &amp; SECL</t>
  </si>
  <si>
    <t>Lesson's Motmot</t>
  </si>
  <si>
    <t>Momotus lessonii</t>
  </si>
  <si>
    <t>Formerly considered conspecific with Momotus momota, M. coeruliceps, and M. subrufescens.</t>
  </si>
  <si>
    <t>used most frequent core amongst regions scored</t>
  </si>
  <si>
    <t>Whooping Motmot</t>
  </si>
  <si>
    <t>Momotus subrufescens</t>
  </si>
  <si>
    <t>Formerly considered conspecific with Momotus momotus, M. coeruliceps, and M. lessonii.</t>
  </si>
  <si>
    <t>(guesstimate)</t>
  </si>
  <si>
    <t>Rufous Motmot</t>
  </si>
  <si>
    <t>Baryphthengus martii</t>
  </si>
  <si>
    <t>Keel-billed Motmot</t>
  </si>
  <si>
    <t>Electron carinatum</t>
  </si>
  <si>
    <t>specializes in humid lowland forest in C.A. where extensive habitat loss has occurred</t>
  </si>
  <si>
    <t>Broad-billed Motmot</t>
  </si>
  <si>
    <t>Electron platyrhynchum</t>
  </si>
  <si>
    <t>Turquoise-browed Motmot</t>
  </si>
  <si>
    <t>Eumomota superciliosa</t>
  </si>
  <si>
    <t>tolerant of some clearing; evidence of decline?</t>
  </si>
  <si>
    <t>Ringed Kingfisher</t>
  </si>
  <si>
    <t>Megaceryle torquata</t>
  </si>
  <si>
    <t>more abundant within range than BEKI; more habitat within range than BEKI; more abundant within range than BEKI; more habitat within range than BEKI</t>
  </si>
  <si>
    <t>guestimate based on eBird distribution; founds in 28 lat-long blocks in TX BBA 1987-1992</t>
  </si>
  <si>
    <t>Not threatened in most of range (KR); tolerant of disturbance (MX-NSAC).</t>
  </si>
  <si>
    <t>Belted Kingfisher</t>
  </si>
  <si>
    <t>Megaceryle alcyon</t>
  </si>
  <si>
    <t>DD='no known threats to breeding population or habitats..</t>
  </si>
  <si>
    <t>DD='no known threats to non-breeding population or habitats.</t>
  </si>
  <si>
    <t>Strickland's Woodpecker</t>
  </si>
  <si>
    <t>Dryobates stricklandi</t>
  </si>
  <si>
    <t>Red-rumped Woodpecker</t>
  </si>
  <si>
    <t>Dryobates kirkii</t>
  </si>
  <si>
    <t>Formerly included in the genus Veniliornis.</t>
  </si>
  <si>
    <t>Rufous-winged Woodpecker</t>
  </si>
  <si>
    <t>Piculus simplex</t>
  </si>
  <si>
    <t>Stripe-cheeked Woodpecker</t>
  </si>
  <si>
    <t>Piculus callopterus</t>
  </si>
  <si>
    <t>Golden-green Woodpecker</t>
  </si>
  <si>
    <t>Piculus chrysochloros</t>
  </si>
  <si>
    <t>Golden-olive Woodpecker</t>
  </si>
  <si>
    <t>Colaptes rubiginosus</t>
  </si>
  <si>
    <t>Gray-crowned Woodpecker</t>
  </si>
  <si>
    <t>Colaptes auricularis</t>
  </si>
  <si>
    <t>MX endemic, all regions suggest PT=4</t>
  </si>
  <si>
    <t>Spot-breasted Woodpecker</t>
  </si>
  <si>
    <t>Colaptes punctigula</t>
  </si>
  <si>
    <t>Northern Flicker</t>
  </si>
  <si>
    <t>Colaptes auratus</t>
  </si>
  <si>
    <t>DD='populations demonstrably secure'  suggests TB 2.  BNA suports this with statement that populations not seriously endangered by human acitvities.  However, BNA also supports that it is 'moderately vulnerable'  through sensitivity to nest site competiti</t>
  </si>
  <si>
    <t>DD=lack of need for breeding sites nullifies threats associated with breeding season.</t>
  </si>
  <si>
    <t>Gilded Flicker</t>
  </si>
  <si>
    <t>Colaptes chrysoides</t>
  </si>
  <si>
    <t>Should be doing better in MX than in U.S.  Need large tracts of riparian &amp; big trees; don't go into towns; Need info on trends in saguaro!; global score should reflect regional experts' opinion;.  Krueper, Dave: Invasive grasses such as red brome and bufflegrass are increasing frequency and intensity of fire in Sonoran Desert, killing saguaro with little recruitment after.  They do go into towns (CB) but at a lower rate than GIWO; competition from Startliings; with fire saguaros die</t>
  </si>
  <si>
    <t>Cinnamon Woodpecker</t>
  </si>
  <si>
    <t>Celeus loricatus</t>
  </si>
  <si>
    <t>Chestnut-colored Woodpecker</t>
  </si>
  <si>
    <t>Celeus castaneus</t>
  </si>
  <si>
    <t>Rango pequeño (CAW); score change from 5 to 4 recommended by Central Americans in 2016</t>
  </si>
  <si>
    <t>humid evergreen and semi-deciduous forest interior specialist, requires large trees.</t>
  </si>
  <si>
    <t>Humid lowland forest specialist that requires large trees/snags; found in 1 region in Mexico (nearly 50% of species' range) where experts indicate major decline</t>
  </si>
  <si>
    <t>Lineated Woodpecker</t>
  </si>
  <si>
    <t>Dryocopus lineatus</t>
  </si>
  <si>
    <t>Pileated Woodpecker</t>
  </si>
  <si>
    <t>Dryocopus pileatus</t>
  </si>
  <si>
    <t>DD='species relatively tolerant of human activities or land use trends.</t>
  </si>
  <si>
    <t>Crimson-bellied Woodpecker</t>
  </si>
  <si>
    <t>Campephilus haematogaster</t>
  </si>
  <si>
    <t>Crimson-crested Woodpecker</t>
  </si>
  <si>
    <t>Campephilus melanoleucos</t>
  </si>
  <si>
    <t>Pale-billed Woodpecker</t>
  </si>
  <si>
    <t>Campephilus guatemalensis</t>
  </si>
  <si>
    <t>Ivory-billed Woodpecker</t>
  </si>
  <si>
    <t>Campephilus principalis</t>
  </si>
  <si>
    <t>0?</t>
  </si>
  <si>
    <t>Imperial Woodpecker</t>
  </si>
  <si>
    <t>Campephilus imperialis</t>
  </si>
  <si>
    <t>probably extinct, although recent unconfirmed sight records persist</t>
  </si>
  <si>
    <t>probably extinct</t>
  </si>
  <si>
    <t>Laughing Falcon</t>
  </si>
  <si>
    <t>Herpetotheres cachinnans</t>
  </si>
  <si>
    <t>CB-Mexicans to score; uses disturbed habitats</t>
  </si>
  <si>
    <t>Barred Forest-Falcon</t>
  </si>
  <si>
    <t>Micrastur ruficollis</t>
  </si>
  <si>
    <t>in suitable habitat in Manu, occurs in 1.5 pairs (3 birds) per sq km (Terborgh et al. 1990) -- thus only 166,666 sq of suitable habitat are needed to assign pop size of PS=3, and only 1,666,666 sq km of suitable habitat are need to assign PS=2 (~13% of ma</t>
  </si>
  <si>
    <t>restricted to humid tropical forest interiors; Species tolerant to some deforestation, has been recorded in forests edge</t>
  </si>
  <si>
    <t>Slaty-backed Forest-Falcon</t>
  </si>
  <si>
    <t>Micrastur mirandollei</t>
  </si>
  <si>
    <t>Collared Forest-Falcon</t>
  </si>
  <si>
    <t>Micrastur semitorquatus</t>
  </si>
  <si>
    <t>CB-Mexicans to score; uses primary forest, more tolerant of other forest types (MX-NSAC).</t>
  </si>
  <si>
    <t>CB-Mexicans to score; uses primary forest, more tolerant of other forest types</t>
  </si>
  <si>
    <t>Red-throated Caracara</t>
  </si>
  <si>
    <t>Ibycter americanus</t>
  </si>
  <si>
    <t>Rosenberg-17</t>
  </si>
  <si>
    <t>Common bird throughout Amazonia -- PS has to be greater than 4 (KVR)</t>
  </si>
  <si>
    <t>extirpated</t>
  </si>
  <si>
    <t>Crested Caracara</t>
  </si>
  <si>
    <t>Caracara plancus</t>
  </si>
  <si>
    <t>PIFcalc19-eBird7017,bbs0615; STEM-21; Shaw-22</t>
  </si>
  <si>
    <t>Shaw-22: divided unrounded US pop estimate by % of pop in US according to STEM-22 (which incorporates recent lumping) to extrapolate globally</t>
  </si>
  <si>
    <t>Shaw-22: S. American split doesn't affect US-Ca pop size</t>
  </si>
  <si>
    <t>Shaw-22: BirdLife hasn't lumped with Southern Caracara yet, so summed polygons for both pre-split taxa</t>
  </si>
  <si>
    <t>DD='moderately vulnerable'  BNA supports that greatest threats are to nesting habitat.  CA and SA not considered; benefits from disturbance; some capture for trade in central MX, some hunting; some poisoning (MX-NSAC).</t>
  </si>
  <si>
    <t>DD='relatively tolerant of human land uses'  BNA supports this statement outright.  CA and SA not mentioned in BNA as to threats; benefits from disturbance; some capture for trade in central MX, some hunting; some poisoning</t>
  </si>
  <si>
    <t>Yellow-headed Caracara</t>
  </si>
  <si>
    <t>Milvago chimachima</t>
  </si>
  <si>
    <t>American Kestrel</t>
  </si>
  <si>
    <t>Falco sparverius</t>
  </si>
  <si>
    <t>PIFcalc19-eBird7017,bbs0615,ona0105</t>
  </si>
  <si>
    <t>DD= 'pops demsonstrably secure'.  BNA supports that rangewide, the species is not under immenent habitat threats.  CA/SA not considered; Rosenberg: continued loss of open habitats to development; moderate threats similar to other early successional species.</t>
  </si>
  <si>
    <t>DD= 'pops demsonstrably secure'.  BNA supports that rangewide, the species is not under immenent habitat threats.  CA/SA not considered</t>
  </si>
  <si>
    <t>Merlin</t>
  </si>
  <si>
    <t>Falco columbarius</t>
  </si>
  <si>
    <t>PIFcalc19-rng,bbs0615,nwt9501,ona0105,eBird7017</t>
  </si>
  <si>
    <t>Aplomado Falcon</t>
  </si>
  <si>
    <t>Falco femoralis</t>
  </si>
  <si>
    <t>&lt;100</t>
  </si>
  <si>
    <t>Closing in on 35 nesting pair so &lt;100 seems better estimate; (M Gustafson)</t>
  </si>
  <si>
    <t>MX-NSAC-07; PIFSC-CVS 2022</t>
  </si>
  <si>
    <t>CB-severe pesticide contamination, overgrazing leading to increase in woody,extensive expanses lost to farming, grazing, sugar cane and rice in LA, shooting, extirpation of B-t prairie dogs (BNA-Keddy-Hector); more threatened in north, pops along gulf coast are ok; nest sites are threatened, pesticides (MX-NSAC); extirpated from much of Mexican range; facing extirpation in Chih. Desert; grasslands throughout N. american range face moderate to high threats.  conversion to center pivot agriculture in much of northern Mexico breeding range; MG - loss of nest sites due to West Nile impacts on Chihuahuan Raven in TX, habitat loss due to brush encroachment (s. Tx);   Suggest TB=4; conversion of savannas to cropland is also threatening the gulf coast population in MX; populations through central America under moderate to high threats; threats score does not include S American pops (AP);</t>
  </si>
  <si>
    <t>CB-resident; no significant threats; grasslands throughout N. American range are moderately to highly threatened; contaminants pose some risk</t>
  </si>
  <si>
    <t>Bat Falcon</t>
  </si>
  <si>
    <t>Falco rufigularis</t>
  </si>
  <si>
    <t>CB-Mexicans should score; disturbed habitats within forest; pesticides</t>
  </si>
  <si>
    <t>Orange-breasted Falcon</t>
  </si>
  <si>
    <t>Falco deiroleucus</t>
  </si>
  <si>
    <t>requires large tracts of primary forest</t>
  </si>
  <si>
    <t>Bare-necked Umbrellabird</t>
  </si>
  <si>
    <t>Cephalopterus glabricollis</t>
  </si>
  <si>
    <t>su rango no reproductiva ha disminuido bastante</t>
  </si>
  <si>
    <t>Lovely Cotinga</t>
  </si>
  <si>
    <t>Cotinga amabilis</t>
  </si>
  <si>
    <t>Turquoise Cotinga</t>
  </si>
  <si>
    <t>Cotinga ridgwayi</t>
  </si>
  <si>
    <t>por su migración altitudinal</t>
  </si>
  <si>
    <t>Blue Cotinga</t>
  </si>
  <si>
    <t>Cotinga nattererii</t>
  </si>
  <si>
    <t>Rufous Piha</t>
  </si>
  <si>
    <t>Lipaugus unirufus</t>
  </si>
  <si>
    <t>NS map ok</t>
  </si>
  <si>
    <t>Three-wattled Bellbird</t>
  </si>
  <si>
    <t>Procnias tricarunculatus</t>
  </si>
  <si>
    <t>las áreas protegidas donde anida no están bien protegidas en Nicaraguañ, tambien una preocupacion alta de la disponibilidad de frutos</t>
  </si>
  <si>
    <t>Black-tipped Cotinga</t>
  </si>
  <si>
    <t>Carpodectes hopkei</t>
  </si>
  <si>
    <t>Yellow-billed Cotinga</t>
  </si>
  <si>
    <t>Carpodectes antoniae</t>
  </si>
  <si>
    <t>require ecotono de bosque/manglar</t>
  </si>
  <si>
    <t>Snowy Cotinga</t>
  </si>
  <si>
    <t>Carpodectes nitidus</t>
  </si>
  <si>
    <t>Northern Schiffornis</t>
  </si>
  <si>
    <t>Schiffornis veraepacis</t>
  </si>
  <si>
    <t>Formerly treated as conspecific with Schiffornis turdina.</t>
  </si>
  <si>
    <t>Russet-winged Schiffornis</t>
  </si>
  <si>
    <t>Schiffornis stenorhyncha</t>
  </si>
  <si>
    <t>por la perdida de bosque humedo</t>
  </si>
  <si>
    <t>Speckled Mourner</t>
  </si>
  <si>
    <t>Laniocera rufescens</t>
  </si>
  <si>
    <t>Masked Tityra</t>
  </si>
  <si>
    <t>Tityra semifasciata</t>
  </si>
  <si>
    <t>requires forest, but uses edge, plantations, etc.</t>
  </si>
  <si>
    <t>Black-crowned Tityra</t>
  </si>
  <si>
    <t>Tityra inquisitor</t>
  </si>
  <si>
    <t>Barred Becard</t>
  </si>
  <si>
    <t>Pachyramphus versicolor</t>
  </si>
  <si>
    <t>Cinereous Becard</t>
  </si>
  <si>
    <t>Pachyramphus rufus</t>
  </si>
  <si>
    <t>Cinnamon Becard</t>
  </si>
  <si>
    <t>Pachyramphus cinnamomeus</t>
  </si>
  <si>
    <t>In Panama, 'fairly common but local in woodland and forest borders and clearings with scattered trees' and 'favors trees in partly cleared areas' (Ridgely and Tudor 1989).; In Panama, 'fairly common but local in woodland and forest borders and clearings with scattered trees' and 'favors trees in partly cleared areas' (Ridgely and Tudor 1989).</t>
  </si>
  <si>
    <t>White-winged Becard</t>
  </si>
  <si>
    <t>Pachyramphus polychopterus</t>
  </si>
  <si>
    <t>Black-and-white Becard</t>
  </si>
  <si>
    <t>Pachyramphus albogriseus</t>
  </si>
  <si>
    <t>Gray-collared Becard</t>
  </si>
  <si>
    <t>Pachyramphus major</t>
  </si>
  <si>
    <t>Rose-throated Becard</t>
  </si>
  <si>
    <t>Pachyramphus aglaiae</t>
  </si>
  <si>
    <t>Ochre-bellied Flycatcher</t>
  </si>
  <si>
    <t>Mionectes oleagineus</t>
  </si>
  <si>
    <t>uses forest and edge in C.A.; in MX, uses interior forest</t>
  </si>
  <si>
    <t>although primarily a forest-species, it also occupies a second growth, forest edges, adjacent clearings, shade coffee plantations and gardens (Howell and Webb, Ridgely and Tudor, Garrigues and Dean).</t>
  </si>
  <si>
    <t>Sepia-capped Flycatcher</t>
  </si>
  <si>
    <t>Leptopogon amaurocephalus</t>
  </si>
  <si>
    <t>Restricted to humid forests within C.A. range; loss of such forests has been extensive in C.A.; MX regional experts score PT=5 in SECL</t>
  </si>
  <si>
    <t>Slaty-capped Flycatcher</t>
  </si>
  <si>
    <t>Leptopogon superciliaris</t>
  </si>
  <si>
    <t>Yellow-green Tyrannulet</t>
  </si>
  <si>
    <t>Phylloscartes flavovirens</t>
  </si>
  <si>
    <t>Rufous-browed Tyrannulet</t>
  </si>
  <si>
    <t>Phylloscartes superciliaris</t>
  </si>
  <si>
    <t>Map is wrong; occurs east side of Andes down to northern Peru; increased range by 300% (CAW);</t>
  </si>
  <si>
    <t>Bronze-olive Pygmy-Tyrant</t>
  </si>
  <si>
    <t>Pseudotriccus pelzelni</t>
  </si>
  <si>
    <t>Black-capped Pygmy-Tyrant</t>
  </si>
  <si>
    <t>Myiornis atricapillus</t>
  </si>
  <si>
    <t>Scale-crested Pygmy-Tyrant</t>
  </si>
  <si>
    <t>Lophotriccus pileatus</t>
  </si>
  <si>
    <t>Pale-eyed Pygmy-Tyrant</t>
  </si>
  <si>
    <t>Lophotriccus pilaris</t>
  </si>
  <si>
    <t>Northern Bentbill</t>
  </si>
  <si>
    <t>Oncostoma cinereigulare</t>
  </si>
  <si>
    <t>humid to semi-humid forests and woodlands. regions score as 3 and 4, global score of 3 seems more appropriate.</t>
  </si>
  <si>
    <t>probably not threatened</t>
  </si>
  <si>
    <t>C.A. endemic; forest-dependent; loss of lowland forest in rest of C.A. is similar to Mexico</t>
  </si>
  <si>
    <t>Southern Bentbill</t>
  </si>
  <si>
    <t>Oncostoma olivaceum</t>
  </si>
  <si>
    <t>Slate-headed Tody-Flycatcher</t>
  </si>
  <si>
    <t>Poecilotriccus sylvia</t>
  </si>
  <si>
    <t>uses second-growth, clearings</t>
  </si>
  <si>
    <t>Common Tody-Flycatcher</t>
  </si>
  <si>
    <t>Todirostrum cinereum</t>
  </si>
  <si>
    <t>Black-headed Tody-Flycatcher</t>
  </si>
  <si>
    <t>Todirostrum nigriceps</t>
  </si>
  <si>
    <t>Brownish Twistwing</t>
  </si>
  <si>
    <t>Cnipodectes subbrunneus</t>
  </si>
  <si>
    <t>Eye-ringed Flatbill</t>
  </si>
  <si>
    <t>Rhynchocyclus brevirostris</t>
  </si>
  <si>
    <t>humid-forest specialist that has likely declined with loss of this habitat throughout Central America; Some populations have undergo undetected along the Sierra Madre Oriental (Rojas-Soto et al. 2002, Sanchez-Gonzalez y Lopez de Aquino 2006)</t>
  </si>
  <si>
    <t>Olivaceous Flatbill</t>
  </si>
  <si>
    <t>Rhynchocyclus olivaceus</t>
  </si>
  <si>
    <t>Yellow-olive Flycatcher</t>
  </si>
  <si>
    <t>Tolmomyias sulphurescens</t>
  </si>
  <si>
    <t>mostly forest-dependent, and as such as probably declined due to widespread deforestation; regional experts score PT=4 in SECL and SEPL</t>
  </si>
  <si>
    <t>Yellow-margined Flycatcher</t>
  </si>
  <si>
    <t>Tolmomyias assimilis</t>
  </si>
  <si>
    <t>probably will be split in future (CAW)</t>
  </si>
  <si>
    <t>Yellow-bellied Tyrannulet</t>
  </si>
  <si>
    <t>Ornithion semiflavum</t>
  </si>
  <si>
    <t>Están en selvas humedas y presionadas (CAW);</t>
  </si>
  <si>
    <t>TB=3 probably more appropriate given use of edge and disturbed areas.</t>
  </si>
  <si>
    <t>Brown-capped Tyrannulet</t>
  </si>
  <si>
    <t>Ornithion brunneicapillus</t>
  </si>
  <si>
    <t>Northern Beardless-Tyrannulet</t>
  </si>
  <si>
    <t>Camptostoma imberbe</t>
  </si>
  <si>
    <t>US/Can BBS-15 estimate of 24,000 is too high, probably because BBS routes follow their riparian habitat, biasing the results, so don't use that nor the eBird extrapolation of BBS to get 260,000 globally (PIFSC-18).</t>
  </si>
  <si>
    <t>primarily dependent on native habitat -- tropical dry forest and riparian; check Mexican scores (KVR); uses broader range of habitats, including disturbed areas/tree rows in pasturelands, etc; defer to MX, which scored TB=2</t>
  </si>
  <si>
    <t>overall unknown trend across C.A.</t>
  </si>
  <si>
    <t>Southern Beardless-Tyrannulet</t>
  </si>
  <si>
    <t>Camptostoma obsoletum</t>
  </si>
  <si>
    <t>Cocos Flycatcher</t>
  </si>
  <si>
    <t>Nesotriccus ridgwayi</t>
  </si>
  <si>
    <t>Mouse-colored Tyrannulet</t>
  </si>
  <si>
    <t>Nesotriccus murinus</t>
  </si>
  <si>
    <t>Formerly included in the genus Phaeomyias as Phaeomyias murina.</t>
  </si>
  <si>
    <t>Yellow Tyrannulet</t>
  </si>
  <si>
    <t>Capsiempis flaveola</t>
  </si>
  <si>
    <t>Yellow-crowned Tyrannulet</t>
  </si>
  <si>
    <t>Tyrannulus elatus</t>
  </si>
  <si>
    <t>Forest Elaenia</t>
  </si>
  <si>
    <t>Myiopagis gaimardii</t>
  </si>
  <si>
    <t>Gray Elaenia</t>
  </si>
  <si>
    <t>Myiopagis caniceps</t>
  </si>
  <si>
    <t>Greenish Elaenia</t>
  </si>
  <si>
    <t>Myiopagis viridicata</t>
  </si>
  <si>
    <t>primarily forest</t>
  </si>
  <si>
    <t>MX represents roughly 50% of species range in C.A.; all regions score PT=4</t>
  </si>
  <si>
    <t>Caribbean Elaenia</t>
  </si>
  <si>
    <t>Elaenia martinica</t>
  </si>
  <si>
    <t>very common on 3 Cayman Islands, common in lesser antilles, common along Yucatan coast (could be PS=3?)</t>
  </si>
  <si>
    <t>found mainly in the lesser antilles, also Cayman islands and islands off belize and yucatan peninsula; still BD=5 even though 200-km rule no longer applies</t>
  </si>
  <si>
    <t>still ND=5 even though 200-km rule no longer applies</t>
  </si>
  <si>
    <t>forest and edge</t>
  </si>
  <si>
    <t>Rafaelle et al describe this species as generally widespread and common in Caribbean, occupying woodlands, scrub and forest  -- PIF assessment of Caribbean endemics  done by USFWS indicates PT=2.  unless there is evidence to suggest a decline in the Caribbean</t>
  </si>
  <si>
    <t>Yellow-bellied Elaenia</t>
  </si>
  <si>
    <t>Elaenia flavogaster</t>
  </si>
  <si>
    <t>Lesser Elaenia</t>
  </si>
  <si>
    <t>Elaenia chiriquensis</t>
  </si>
  <si>
    <t>Mountain Elaenia</t>
  </si>
  <si>
    <t>Elaenia frantzii</t>
  </si>
  <si>
    <t>en la parte sur de su rango no está tan amenazada; en Honduras y El Salvador la mayoria de su hábitat está protegida; en Guatemala la tala selectiva está cambiando los bosques a puro pino</t>
  </si>
  <si>
    <t>Torrent Tyrannulet</t>
  </si>
  <si>
    <t>Serpophaga cinerea</t>
  </si>
  <si>
    <t>Rough-legged Tyrannulet</t>
  </si>
  <si>
    <t>Phyllomyias burmeisteri</t>
  </si>
  <si>
    <t>costa rica/panama population is probably a separate species; for now scored as a single species (CAW)</t>
  </si>
  <si>
    <t>Guatemalan Tyrannulet</t>
  </si>
  <si>
    <t>Zimmerius vilissimus</t>
  </si>
  <si>
    <t>Formerly considered conspecific with Zimmerius parvus and extralimital Z. improbus and Z. petersi.</t>
  </si>
  <si>
    <t>Gomez-Panjabi; BirdLife 2021; Shaw-22</t>
  </si>
  <si>
    <t>Shaw-22: Multiplied geometric mean (2 million) of pop range for Paltry Tyrannulet's PS-g score of 2 by the % of Paltry Tyrannulet's range that BirdLife shapefile has assigned to Guatemalan Tyrannulet, yielding a crude pop estimate just over 500,000</t>
  </si>
  <si>
    <t>PIF CAW 2015; Mexican Regional Assessment 2005; Shaw-22</t>
  </si>
  <si>
    <t>Shaw-22: averaged regional scores for MXCL, SCPL, SEMH, Guatemala, Belize, El Salvador assigned to Paltry Tyrannulet pre-split</t>
  </si>
  <si>
    <t>Tolerant of disturbance.  Shaw-22: averaged TN-r for Guatemala, Belize, El Salvador and TB-r for MXCL, SCPL, SEMH  (Mexican regions not scored for TN-r, and scores should be similar between seasons since residents) assigned to Paltry Tyrannulet pre-split</t>
  </si>
  <si>
    <t>Mexican Regional Assessment 2005; PIF CAW 2014; Shaw-22</t>
  </si>
  <si>
    <t>Mesoamerican</t>
  </si>
  <si>
    <t>Mistletoe Tyrannulet</t>
  </si>
  <si>
    <t>Zimmerius parvus</t>
  </si>
  <si>
    <t>Formerly considered conspecific with Zimmerius villisimus and extralimital Z. improbus and Z. petersi.</t>
  </si>
  <si>
    <t>Shaw-22: Multiplied geometric mean (2 million) of pop range for Paltry Tyrannulet's PS-g score of 2 by the % of Paltry Tyrannulet's range that BirdLife has assigned to Mistletoe Tyrannulet, yielding a crude pop estimate of 1.5 million</t>
  </si>
  <si>
    <t>Uses second growth, edges, gardens, plantations, and even full-sun coffee plantations in Panama and Costa Rica.  Shaw-22: averaged regional scores for Honduras, Nicaragua, Costa Rica, Panama assigned to Paltry Tyrannulet pre-split</t>
  </si>
  <si>
    <t>Shaw-22: averaged regional scores for Honduras, Nicaragua, Costa Rica, Panama assigned to Paltry Tyrannulet pre-split</t>
  </si>
  <si>
    <t>Bright-rumped Attila</t>
  </si>
  <si>
    <t>Attila spadiceus</t>
  </si>
  <si>
    <t>over-mapped in Mexico; habitat loss</t>
  </si>
  <si>
    <t>Choco Sirystes</t>
  </si>
  <si>
    <t>Sirystes albogriseus</t>
  </si>
  <si>
    <t>Formerly considered conspecific with Sirystes sibilator.</t>
  </si>
  <si>
    <t>split; now choco sirystes, found from panama to western ecuador; new range calculated by chris wood (CAW)</t>
  </si>
  <si>
    <t>BirdLife &amp; HBW</t>
  </si>
  <si>
    <t>Rufous Mourner</t>
  </si>
  <si>
    <t>Rhytipterna holerythra</t>
  </si>
  <si>
    <t>NS map follows Howell &amp; Webb, Ridgley, and Hilty &amp; Brown, so no reason to doubt NS map area</t>
  </si>
  <si>
    <t>Yucatan Flycatcher</t>
  </si>
  <si>
    <t>Myiarchus yucatanensis</t>
  </si>
  <si>
    <t>uncommon and local within mapped range</t>
  </si>
  <si>
    <t>Dusky-capped Flycatcher</t>
  </si>
  <si>
    <t>Myiarchus tuberculifer</t>
  </si>
  <si>
    <t>mostly forest dependent.</t>
  </si>
  <si>
    <t>Panama Flycatcher</t>
  </si>
  <si>
    <t>Myiarchus panamensis</t>
  </si>
  <si>
    <t>Ash-throated Flycatcher</t>
  </si>
  <si>
    <t>Myiarchus cinerascens</t>
  </si>
  <si>
    <t>Nutting's Flycatcher</t>
  </si>
  <si>
    <t>Myiarchus nuttingi</t>
  </si>
  <si>
    <t>Great Crested Flycatcher</t>
  </si>
  <si>
    <t>Myiarchus crinitus</t>
  </si>
  <si>
    <t>DD='species relatively tolerant of human acivities and land use trends.'  BNA supports that forest fragementing and creation of edge associated with human land use is beneficial.</t>
  </si>
  <si>
    <t>DD='threats assumed to be low.'  Not sure why TN was initially scored as 3.  presumably adaptable to land use changes in wintering range as well.</t>
  </si>
  <si>
    <t>Brown-crested Flycatcher</t>
  </si>
  <si>
    <t>Myiarchus tyrannulus</t>
  </si>
  <si>
    <t>requires forest.  Uses taller riparian, saguaros; not in urban or highly modified</t>
  </si>
  <si>
    <t>6 of 9 regions, representing &gt;50% of C.A. range, score PT=4 or higher; Trends unknown but species tolerant to some deforestation; sugerimos mantener 3. No es dependiente de habitat</t>
  </si>
  <si>
    <t>Flammulated Flycatcher</t>
  </si>
  <si>
    <t>Ramphotrigon flammulatum</t>
  </si>
  <si>
    <t>Monotypic. Formerly placed in the genus Deltarhynchus.</t>
  </si>
  <si>
    <t>global score should reflect majority of regional experts' opinion -- only one region (SEPL) scored as 3; core range (JAL-GRO) score as 4.</t>
  </si>
  <si>
    <t>Lesser Kiskadee</t>
  </si>
  <si>
    <t>Philohydor lictor</t>
  </si>
  <si>
    <t>Formerly placed in the genus Pitangus.</t>
  </si>
  <si>
    <t>Great Kiskadee</t>
  </si>
  <si>
    <t>Pitangus sulphuratus</t>
  </si>
  <si>
    <t>density from US range underestimates PS</t>
  </si>
  <si>
    <t>&lt;60,000</t>
  </si>
  <si>
    <t>Urban bird and common in habitat in LRGV, expanding, &lt;15000 (M Gustafson)</t>
  </si>
  <si>
    <t>Cattle Tyrant</t>
  </si>
  <si>
    <t>Machetornis rixosa</t>
  </si>
  <si>
    <t>Boat-billed Flycatcher</t>
  </si>
  <si>
    <t>Megarynchus pitangua</t>
  </si>
  <si>
    <t>Rusty-margined Flycatcher</t>
  </si>
  <si>
    <t>Myiozetetes cayanensis</t>
  </si>
  <si>
    <t>Dark Pewee</t>
  </si>
  <si>
    <t>Contopus lugubris</t>
  </si>
  <si>
    <t>Ochraceous Pewee</t>
  </si>
  <si>
    <t>Contopus ochraceus</t>
  </si>
  <si>
    <t>Western Wood-Pewee</t>
  </si>
  <si>
    <t>Contopus sordidulus</t>
  </si>
  <si>
    <t>NS map too restrictive; should also be shown to occur in western Amazon Basin
Ken comment: Double range size; NS map too restrictive; should also be shown to occur in western Amazon Basin</t>
  </si>
  <si>
    <t>W. riparian and mature forest issues? (KR).</t>
  </si>
  <si>
    <t>Eastern Wood-Pewee</t>
  </si>
  <si>
    <t>Contopus virens</t>
  </si>
  <si>
    <t>Very broad habitat; uses second growth.  But doesn't occur in highly altered (e.g. Ag or suburban) landscapes (KR); Rosenberg: a forest bird, vulnerable to rapidly expanding development throughout East; Hunter: loss of oak savannahs.</t>
  </si>
  <si>
    <t>on edges, but primarily in forested region on E. slope of Andes (KR); Rosenberg: winters in forested regions; should be same as WWPE</t>
  </si>
  <si>
    <t>Tropical Pewee</t>
  </si>
  <si>
    <t>Contopus cinereus</t>
  </si>
  <si>
    <t>uses clearings near forest</t>
  </si>
  <si>
    <t>Black-headed Antthrush</t>
  </si>
  <si>
    <t>Formicarius nigricapillus</t>
  </si>
  <si>
    <t>Rufous-breasted Antthrush</t>
  </si>
  <si>
    <t>Formicarius rufipectus</t>
  </si>
  <si>
    <t>Tawny-throated Leaftosser</t>
  </si>
  <si>
    <t>Sclerurus mexicanus</t>
  </si>
  <si>
    <t>Gray-throated Leaftosser</t>
  </si>
  <si>
    <t>Sclerurus albigularis</t>
  </si>
  <si>
    <t>Scaly-throated Leaftosser</t>
  </si>
  <si>
    <t>Sclerurus guatemalensis</t>
  </si>
  <si>
    <t>Restricted to humid forests within C.A. range; loss of such forests has been extensive in C.A.;  MX regional experts score PT=5 in SECL</t>
  </si>
  <si>
    <t>Northern Barred-Woodcreeper</t>
  </si>
  <si>
    <t>Dendrocolaptes sanctithomae</t>
  </si>
  <si>
    <t>humid evergreen and semideciduous forest</t>
  </si>
  <si>
    <t>Black-banded Woodcreeper</t>
  </si>
  <si>
    <t>Dendrocolaptes picumnus</t>
  </si>
  <si>
    <t>humid pine and evergreen forest</t>
  </si>
  <si>
    <t>restricted to humid foothills and highlands.  In central America, found mainly from Chiapas to honduras, also Panama and Costa Rica, where extensive deforestation has occurred.</t>
  </si>
  <si>
    <t>Strong-billed Woodcreeper</t>
  </si>
  <si>
    <t>Xiphocolaptes promeropirhynchus</t>
  </si>
  <si>
    <t>Cocoa Woodcreeper</t>
  </si>
  <si>
    <t>Xiphorhynchus susurrans</t>
  </si>
  <si>
    <t>Ivory-billed Woodcreeper</t>
  </si>
  <si>
    <t>Xiphorhynchus flavigaster</t>
  </si>
  <si>
    <t>Most of range in Mexico, all regions score PT=4</t>
  </si>
  <si>
    <t>Black-striped Woodcreeper</t>
  </si>
  <si>
    <t>Xiphorhynchus lachrymosus</t>
  </si>
  <si>
    <t>Spotted Woodcreeper</t>
  </si>
  <si>
    <t>Xiphorhynchus erythropygius</t>
  </si>
  <si>
    <t>NE and CE regions score PT=5, SE regions score PT=4.  Requires humid evergreen forests in highlands, sensitive to fragmentation; loss of this forest type similar in rest of C.A. range; tolerant to some deforestation. Recorded in secondary growth and fruit plantations in highlands of Veracruz</t>
  </si>
  <si>
    <t>Straight-billed Woodcreeper</t>
  </si>
  <si>
    <t>Dendroplex picus</t>
  </si>
  <si>
    <t>puede ser afectada por cambio climático; restringido a manglares y áreas cercanas</t>
  </si>
  <si>
    <t>Red-billed Scythebill</t>
  </si>
  <si>
    <t>Campylorhamphus trochilirostris</t>
  </si>
  <si>
    <t>Brown-billed Scythebill</t>
  </si>
  <si>
    <t>Campylorhamphus pusillus</t>
  </si>
  <si>
    <t>White-striped Woodcreeper</t>
  </si>
  <si>
    <t>Lepidocolaptes leucogaster</t>
  </si>
  <si>
    <t>Streak-headed Woodcreeper</t>
  </si>
  <si>
    <t>Lepidocolaptes souleyetii</t>
  </si>
  <si>
    <t>Spot-crowned Woodcreeper</t>
  </si>
  <si>
    <t>Lepidocolaptes affinis</t>
  </si>
  <si>
    <t>Plain Xenops</t>
  </si>
  <si>
    <t>Xenops minutus</t>
  </si>
  <si>
    <t>Streaked Xenops</t>
  </si>
  <si>
    <t>Xenops rutilans</t>
  </si>
  <si>
    <t>Cassin's Vireo</t>
  </si>
  <si>
    <t>Vireo cassinii</t>
  </si>
  <si>
    <t>in mature Pacific forests, but not severely threatened (KR).</t>
  </si>
  <si>
    <t>winters in variety of habitats, same as Plumbeous (KR).  winters in native forest habitats, even if more generalized; should be consistent with resident birds in same habitats (KVR)</t>
  </si>
  <si>
    <t>Blue-headed Vireo</t>
  </si>
  <si>
    <t>Vireo solitarius</t>
  </si>
  <si>
    <t>Rosenberg: tolerant of forestry and conifer plantations; but threatened by loss of hemlocks to woolly adelgids in Appalachians.  check overall response to boreal forestry and energy extraction activities (KVR)</t>
  </si>
  <si>
    <t>Plumbeous Vireo</t>
  </si>
  <si>
    <t>Vireo plumbeus</t>
  </si>
  <si>
    <t>PIFSC-24; PIFSC-CVS 2022</t>
  </si>
  <si>
    <t>Dry coniferous.  En Mesoamerica hay poblaciones residentes (Chiapas, Guatemala y Honduras) las cuales han tenido mucha presion sus habitat. Se propone un valor de 3 (PT, TB y TN) (PIF CAW)</t>
  </si>
  <si>
    <t>winters in native forest habitats, even if more generalized; should be consistent with resident birds in same habitats (KVR); En Mesoamerica hay poblaciones residentes (Chiapas, Guatemala y Honduras) las cuales han tenido mucha presion sus habitat. Se propone un valor de 3 (PT, TB y TN) (PIF CAW)</t>
  </si>
  <si>
    <t>Philadelphia Vireo</t>
  </si>
  <si>
    <t>Vireo philadelphicus</t>
  </si>
  <si>
    <t>According to BNA, uses mid-successional, edge, shade coffee, gardens (ED)</t>
  </si>
  <si>
    <t>Warbling Vireo</t>
  </si>
  <si>
    <t>Vireo gilvus</t>
  </si>
  <si>
    <t>Threats higher in west, but not range-wide.  Uses variety of disturbed habitats--very human tolerant. Deciding point: most of population in west.</t>
  </si>
  <si>
    <t>winters in native forest habitats, even if more generalized; should be consistent with resident birds in same habitats (KVR); winters extensively in TDF in western Mexico where it is perhaps the most abundant species; threats at least moderate due to habitat loss (Panjabi)</t>
  </si>
  <si>
    <t>Brown-capped Vireo</t>
  </si>
  <si>
    <t>Vireo leucophrys</t>
  </si>
  <si>
    <t>humid evergreen and cloud forest</t>
  </si>
  <si>
    <t>Red-eyed Vireo</t>
  </si>
  <si>
    <t>Vireo olivaceus</t>
  </si>
  <si>
    <t>PIFcalc19-bbs0615,ona0105; PIFSC-20</t>
  </si>
  <si>
    <t>PIFSC-20: 2019 estimate was extrapolated from US/Canada estimate based on pre-split %US/Canada eBird data.  Now that Chivi Vireo split off, Red-eyed Vireo is effectively limited to US/Canada, so used US/Canada estimate as global estimate.  There are just a handful of disjunct summering Red-eyed Vireo records from extreme northeastern Coahuila.</t>
  </si>
  <si>
    <t>DD='moderately vulnerable to land use trends.' Reacts to fragmentation of mature forest, but also present in fragmented second growth.  Sensitive to cowbird parasitism.  Resident SA pops not considered.</t>
  </si>
  <si>
    <t>DD='no available information.'  BNA states no information on habitat threats in nonbreeding season.</t>
  </si>
  <si>
    <t>Yellow-green Vireo</t>
  </si>
  <si>
    <t>Vireo flavoviridis</t>
  </si>
  <si>
    <t>&lt;50, I can't think of places to look for 25 pair much less find them.(M Gustafson)</t>
  </si>
  <si>
    <t>uses both forests and disturbed habitats, suggest PT=3; uses both forests and disturbed habitats, suggest PT=3</t>
  </si>
  <si>
    <t>Black-whiskered Vireo</t>
  </si>
  <si>
    <t>Vireo altiloquus</t>
  </si>
  <si>
    <t>Caribbean-wide Br range; score adjusted to reflect range area; 200-km rule no longer applies</t>
  </si>
  <si>
    <t>DD='relatively sensitive to high rates of shiny cowbird parasitism.'  However, BNA supports that it may breed in a variety of secondary and disturbed habitats throughout Caribbean which might mean TB 2.  Mangrove habitats under intense develoment pressure; requires forest (MX-NSAC).</t>
  </si>
  <si>
    <t>DD='threats assumed to be low.'  BNA supports that secondary or disturbed habitats may be used in addition to primary habitats.  Parastism threats nonexistent in this season, making a lower threats score seem justified.  Winters in lowlands of Amazon Basin; unknown, winters S.A.</t>
  </si>
  <si>
    <t>Shaw-23: unknown trends in Caribbean where majority of population is.  BBS yields a score of 5 within US.</t>
  </si>
  <si>
    <t>Yucatan Vireo</t>
  </si>
  <si>
    <t>Vireo magister</t>
  </si>
  <si>
    <t>MX endemic found only in SECL, regional experts score PT=3</t>
  </si>
  <si>
    <t>Tufted Titmouse</t>
  </si>
  <si>
    <t>Baeolophus bicolor</t>
  </si>
  <si>
    <t>DD='species relatively tolerant of human activities and land use.'  BNA supports that species does well in face of human acitvity (and may benefit from feeding); but needs cavities.</t>
  </si>
  <si>
    <t>DD='species relatively tolerant of human activities and land use.'  BNA supports that species does well in face of human acitvity (and may benefit from feeding) but extensive urbanization, forest clearing and snag removal (roosts) would be harmful. Why wo</t>
  </si>
  <si>
    <t>Black-crested Titmouse</t>
  </si>
  <si>
    <t>Baeolophus atricristatus</t>
  </si>
  <si>
    <t>Eurasian Skylark</t>
  </si>
  <si>
    <t>Alauda arvensis</t>
  </si>
  <si>
    <t>Alaudidae</t>
  </si>
  <si>
    <t>Higher threat if only for western hemisphere</t>
  </si>
  <si>
    <t>Horned Lark</t>
  </si>
  <si>
    <t>Eremophila alpestris</t>
  </si>
  <si>
    <t>PIFcalc19-bbs0615,rng,nwt9501,eBird7017,ona0105</t>
  </si>
  <si>
    <t>Has alteration of winter habitat really made a difference to populations? (ED)</t>
  </si>
  <si>
    <t>Black-capped Donacobius</t>
  </si>
  <si>
    <t>Donacobius atricapilla</t>
  </si>
  <si>
    <t>Donacobiidae</t>
  </si>
  <si>
    <t>humedales han sido drenados para palma aceitera</t>
  </si>
  <si>
    <t>Bank Swallow</t>
  </si>
  <si>
    <t>Riparia riparia</t>
  </si>
  <si>
    <t>Rosenberg: assumes range in S Amer. is included in winter range</t>
  </si>
  <si>
    <t>Are threats to breeding colonies reaching "moderate" levels rangewide? (KVR); Camfield,Alaine [NCR]: COSEWIC assessed as threatened, not listed under SARA yet.  TB 2 and 3 in Canadian BCR strategies.  Higher threats include habitat loss from urban development and agrigulture and declines in prey availability.</t>
  </si>
  <si>
    <t>Tree Swallow</t>
  </si>
  <si>
    <t>Tachycineta bicolor</t>
  </si>
  <si>
    <t>Wetlands Aerial:  Generalist</t>
  </si>
  <si>
    <t>Violet-green Swallow</t>
  </si>
  <si>
    <t>Tachycineta thalassina</t>
  </si>
  <si>
    <t>Needs snags for breeding, but use boxes and cliffs.</t>
  </si>
  <si>
    <t>not more threatened in NB (KR)</t>
  </si>
  <si>
    <t>Forests Aerial:  Mesoamerican Pine-Oak</t>
  </si>
  <si>
    <t>Mangrove Swallow</t>
  </si>
  <si>
    <t>Tachycineta albilinea</t>
  </si>
  <si>
    <t>Coasts Aerial:  Mangroves</t>
  </si>
  <si>
    <t>Gray Silky-flycatcher</t>
  </si>
  <si>
    <t>Ptiliogonys cinereus</t>
  </si>
  <si>
    <t>less selective in habitat use during non-breeding season; some capture for trade</t>
  </si>
  <si>
    <t>depends on montane forests for breeding, open habitats at other times</t>
  </si>
  <si>
    <t>Long-tailed Silky-flycatcher</t>
  </si>
  <si>
    <t>Ptiliogonys caudatus</t>
  </si>
  <si>
    <t>Phainopepla</t>
  </si>
  <si>
    <t>Phainopepla nitens</t>
  </si>
  <si>
    <t>NS map erroneously shows much of what should be Year-Round range as Breeding-only range, thus underestimates non-breeding range;
Ken comment: Use 90% of Breeding Range; NS map erroneously shows much of what should be Year-Round range as Breeding-only ran</t>
  </si>
  <si>
    <t>Riparian and mistletoe specialization; specialized habits; some capture for trade (MX-NSAC).</t>
  </si>
  <si>
    <t>Red-breasted Nuthatch</t>
  </si>
  <si>
    <t>Sitta canadensis</t>
  </si>
  <si>
    <t>White-breasted Nuthatch</t>
  </si>
  <si>
    <t>Sitta carolinensis</t>
  </si>
  <si>
    <t>DD='species relatively tolerant of human activities and land use.'  BNA supports that species does well in face of human acitvity (and may benefit from feeding) but extensive urbanization, forest clearing and snag removal would be harmful.</t>
  </si>
  <si>
    <t>Black-tailed Gnatcatcher</t>
  </si>
  <si>
    <t>Polioptila melanura</t>
  </si>
  <si>
    <t>same as Verdin, Cactus Wren; not threatened in desert scrub (KR). Doesn't come to towns, but uses creosote flats; moderate habitat loss; cowbird parasitism (MX-NSAC).  Keep threats as moderate; continued loss of desert habitat to urban and energy development; possibly expansion of solar energy in desert flats (KVR)</t>
  </si>
  <si>
    <t>same as Verdin, Cactus Wren; not threatened in desert scrub (KR); moderate habitat loss</t>
  </si>
  <si>
    <t>California Gnatcatcher</t>
  </si>
  <si>
    <t>Polioptila californica</t>
  </si>
  <si>
    <t>BNA Atwood &amp; Bontrager 2001</t>
  </si>
  <si>
    <t>just 1 BBS route, so can't use BBS-15 estimate of 710 in US/Canada, 12,000 extrapolated globally with eBird (PIFSC-18).</t>
  </si>
  <si>
    <t>guestimate based on eBird distribution; is better estimate available??</t>
  </si>
  <si>
    <t>MX called 3, factoring in U.S. situation; moderate habitat loss (MX-NSAC).</t>
  </si>
  <si>
    <t>MX called 3, factoring in U.S. situation; moderate habitat loss</t>
  </si>
  <si>
    <t>Black-capped Gnatcatcher</t>
  </si>
  <si>
    <t>Polioptila nigriceps</t>
  </si>
  <si>
    <t>all regions score PT=4</t>
  </si>
  <si>
    <t>White-lored Gnatcatcher</t>
  </si>
  <si>
    <t>Polioptila albiloris</t>
  </si>
  <si>
    <t>Gomez-Panjabi; MX-NSAC-19; PIF CAW 2016</t>
  </si>
  <si>
    <t>En el sur es bastante común (en nicaragua, el salvador y honduras consideran que debería de ser 3) (CAW)</t>
  </si>
  <si>
    <t>BirdLife 2019; eBird20;  Bird Conservancy of the Rockies 2020; MX-NSAC-19</t>
  </si>
  <si>
    <t>Shaw 2020: used the BirdLIfe polygon for Polioptila albiloris s.l. minus the Yucatan</t>
  </si>
  <si>
    <t>PIF CAW 2014; MX-NSAC-19</t>
  </si>
  <si>
    <t>dry forest specialist; loss of TDF has been extensive in C.A., all regions score PT=4 in Mexico</t>
  </si>
  <si>
    <t>Nava's Wren</t>
  </si>
  <si>
    <t>Hylorchilus navai</t>
  </si>
  <si>
    <t>Although found in El Ocote protected area, habitat is still transformed; habitat is not as rugged as that of H. sumichrasti, and thus is more vulnerable to conversion (H. Gomez de Silva); Rango restringido, su hábitat está rapidamente desapareciendo por incendios y ganadería (Macias); Estamos de acuerdo con TB=5 (Berlanga).</t>
  </si>
  <si>
    <t>Sooty-headed Wren</t>
  </si>
  <si>
    <t>Pheugopedius spadix</t>
  </si>
  <si>
    <t>en peligro al norte</t>
  </si>
  <si>
    <t>Black-throated Wren</t>
  </si>
  <si>
    <t>Pheugopedius atrogularis</t>
  </si>
  <si>
    <t>Rufous-breasted Wren</t>
  </si>
  <si>
    <t>Pheugopedius rutilus</t>
  </si>
  <si>
    <t>Spot-breasted Wren</t>
  </si>
  <si>
    <t>Pheugopedius maculipectus</t>
  </si>
  <si>
    <t>Happy Wren</t>
  </si>
  <si>
    <t>Pheugopedius felix</t>
  </si>
  <si>
    <t>Black-bellied Wren</t>
  </si>
  <si>
    <t>Pheugopedius fasciatoventris</t>
  </si>
  <si>
    <t>Stripe-throated Wren</t>
  </si>
  <si>
    <t>Cantorchilus leucopogon</t>
  </si>
  <si>
    <t>Stripe-breasted Wren</t>
  </si>
  <si>
    <t>Cantorchilus thoracicus</t>
  </si>
  <si>
    <t>Cabanis's Wren</t>
  </si>
  <si>
    <t>Cantorchilus modestus</t>
  </si>
  <si>
    <t>Formerly called Plain Wren, but now treated separately from Cantorchilus zeledoni and C. elutus.</t>
  </si>
  <si>
    <t>PIF CAW 2017; MX-NSAC-17</t>
  </si>
  <si>
    <t>used Honduras's score to break tie since eBird shows greater range and more observations there than other regions scored</t>
  </si>
  <si>
    <t>Canebrake Wren</t>
  </si>
  <si>
    <t>Cantorchilus zeledoni</t>
  </si>
  <si>
    <t>Formerly considered conspecific with Cantorchilus modestus and C. elutus.</t>
  </si>
  <si>
    <t>used Panama's score to break tie since eBird shows greater range and more observations there than in Nicaragua</t>
  </si>
  <si>
    <t>Isthmian Wren</t>
  </si>
  <si>
    <t>Cantorchilus elutus</t>
  </si>
  <si>
    <t>Formerly considered conspecific with Cantorchilus modestus and C. zeledoni.</t>
  </si>
  <si>
    <t>used Panama's score to break tie since eBird shows greater range and more observations there than Costa Rica</t>
  </si>
  <si>
    <t>Bay Wren</t>
  </si>
  <si>
    <t>Cantorchilus nigricapillus</t>
  </si>
  <si>
    <t>Riverside Wren</t>
  </si>
  <si>
    <t>Cantorchilus semibadius</t>
  </si>
  <si>
    <t>Buff-breasted Wren</t>
  </si>
  <si>
    <t>Cantorchilus leucotis</t>
  </si>
  <si>
    <t>Sinaloa Wren</t>
  </si>
  <si>
    <t>Thryophilus sinaloa</t>
  </si>
  <si>
    <t>Banded Wren</t>
  </si>
  <si>
    <t>Thryophilus pleurostictus</t>
  </si>
  <si>
    <t>México y Guate es más raro, pero en El Salvador, Honduras, Nicaragua es más común. (CAW);</t>
  </si>
  <si>
    <t>probable decline throughout range due to deforestation of dry tropical forests</t>
  </si>
  <si>
    <t>White-headed Wren</t>
  </si>
  <si>
    <t>Campylorhynchus albobrunneus</t>
  </si>
  <si>
    <t>Band-backed Wren</t>
  </si>
  <si>
    <t>Campylorhynchus zonatus</t>
  </si>
  <si>
    <t>tolerant of disturbance, but requires forest nearby</t>
  </si>
  <si>
    <t>Gray-barred Wren</t>
  </si>
  <si>
    <t>Campylorhynchus megalopterus</t>
  </si>
  <si>
    <t>Giant Wren</t>
  </si>
  <si>
    <t>Campylorhynchus chiapensis</t>
  </si>
  <si>
    <t>MX endemic that occurs in 1 region; regional experts scored PT=1</t>
  </si>
  <si>
    <t>Rufous-naped Wren</t>
  </si>
  <si>
    <t>Campylorhynchus rufinucha</t>
  </si>
  <si>
    <t>requires shurbby vegetation, but tolerates some disturbance</t>
  </si>
  <si>
    <t>Spotted Wren</t>
  </si>
  <si>
    <t>Campylorhynchus gularis</t>
  </si>
  <si>
    <t>Boucard's Wren</t>
  </si>
  <si>
    <t>Campylorhynchus jocosus</t>
  </si>
  <si>
    <t>Yucatan Wren</t>
  </si>
  <si>
    <t>Campylorhynchus yucatanicus</t>
  </si>
  <si>
    <t>MX endemic found only in SECL, regional experts score PT=4</t>
  </si>
  <si>
    <t>Gray Thrasher</t>
  </si>
  <si>
    <t>Toxostoma cinereum</t>
  </si>
  <si>
    <t>California Thrasher</t>
  </si>
  <si>
    <t>Toxostoma redivivum</t>
  </si>
  <si>
    <t>LeConte's Thrasher</t>
  </si>
  <si>
    <t>Toxostoma lecontei</t>
  </si>
  <si>
    <t>Formerly known as Le Conte's Thrasher.</t>
  </si>
  <si>
    <t>open desert habitats not threatened? (KR); Rosenberg: rapid development in AZ portions of range -- CA?  off road vehicles, border patrol activities.  DJK= large tracts of DoD lands might offer that a core population persists.</t>
  </si>
  <si>
    <t>open desert habitats not threatened? (KR); Rosenberg: rapid development in AZ portions of range -- CA?</t>
  </si>
  <si>
    <t>Crissal Thrasher</t>
  </si>
  <si>
    <t>Toxostoma crissale</t>
  </si>
  <si>
    <t>Sage Thrasher</t>
  </si>
  <si>
    <t>Oreoscoptes montanus</t>
  </si>
  <si>
    <t>requires healthy sagebrush habitat. Uses small patches of sagebrush (TR). Extirpated in some areas at north end of range (CB).</t>
  </si>
  <si>
    <t>still requires native woodland or sage habitat in winter; not in ag or suburban (KVR)</t>
  </si>
  <si>
    <t>Socorro Mockingbird</t>
  </si>
  <si>
    <t>Mimus graysoni</t>
  </si>
  <si>
    <t>introduced species, habitat loss</t>
  </si>
  <si>
    <t>Tropical Mockingbird</t>
  </si>
  <si>
    <t>Mimus gilvus</t>
  </si>
  <si>
    <t>TB=1 more appropriate (Panjabi); Consideramos que no es una especie que se beneficie de la perturbación como para un valor de 1. Más bien es estable (Macias); Estamos de acuerdo con TB=2 (Berlanga).</t>
  </si>
  <si>
    <t>regional perspective in Mexico likely similar range-wide</t>
  </si>
  <si>
    <t>Northern Mockingbird</t>
  </si>
  <si>
    <t>Mimus polyglottos</t>
  </si>
  <si>
    <t>European Starling</t>
  </si>
  <si>
    <t>Sturnus vulgaris</t>
  </si>
  <si>
    <t>Sturnidae</t>
  </si>
  <si>
    <t>PIFcalc19-rng,bbs0615,eBird7017,ona0105</t>
  </si>
  <si>
    <t>Common Myna</t>
  </si>
  <si>
    <t>Acridotheres tristis</t>
  </si>
  <si>
    <t>American Dipper</t>
  </si>
  <si>
    <t>Cinclus mexicanus</t>
  </si>
  <si>
    <t>Cinclidae</t>
  </si>
  <si>
    <t>Eastern Bluebird</t>
  </si>
  <si>
    <t>Sialia sialis</t>
  </si>
  <si>
    <t>DD='potential threats exist but management has stabilized/increased pops.'</t>
  </si>
  <si>
    <t>Western Bluebird</t>
  </si>
  <si>
    <t>Sialia mexicana</t>
  </si>
  <si>
    <t>Open country w/ scattered trees; snags being lost; threats a little higher than for EABL.</t>
  </si>
  <si>
    <t>Moderate threats to non-breeding areas include habitat loss and fragmentation from oil and gas development, conversion of native habitats to cropland, vehicle collisions, juniper chaining, poor grazing mgt, climate change, and open pipes (Panjabi)</t>
  </si>
  <si>
    <t>Mountain Bluebird</t>
  </si>
  <si>
    <t>Sialia currucoides</t>
  </si>
  <si>
    <t>Rosenberg: any affects of climate change at high elevations?  Panjabi: not really a high elevation species, in southern rockies most common in foothills and lower montane grasslands, but increasing development in these primary habitats is a moderate threa</t>
  </si>
  <si>
    <t>Townsend's Solitaire</t>
  </si>
  <si>
    <t>Myadestes townsendi</t>
  </si>
  <si>
    <t>still requires native forest habitats, especially P-J, in winter (KVR)</t>
  </si>
  <si>
    <t>Brown-backed Solitaire</t>
  </si>
  <si>
    <t>Myadestes occidentalis</t>
  </si>
  <si>
    <t>range map overestimates distribution</t>
  </si>
  <si>
    <t>Black-faced Solitaire</t>
  </si>
  <si>
    <t>Myadestes melanops</t>
  </si>
  <si>
    <t>la captura en Costa Rica</t>
  </si>
  <si>
    <t>suseptible por su migración altitudinal</t>
  </si>
  <si>
    <t>Varied Solitaire</t>
  </si>
  <si>
    <t>Myadestes coloratus</t>
  </si>
  <si>
    <t>Slate-colored Solitaire</t>
  </si>
  <si>
    <t>Myadestes unicolor</t>
  </si>
  <si>
    <t>&gt;50% range in Mexico, all regions score PT=4</t>
  </si>
  <si>
    <t>Black-billed Nightingale-Thrush</t>
  </si>
  <si>
    <t>Catharus gracilirostris</t>
  </si>
  <si>
    <t>Orange-billed Nightingale-Thrush</t>
  </si>
  <si>
    <t>Catharus aurantiirostris</t>
  </si>
  <si>
    <t>uses moderately disturbed habitats</t>
  </si>
  <si>
    <t>Slaty-backed Nightingale-Thrush</t>
  </si>
  <si>
    <t>Catharus fuscater</t>
  </si>
  <si>
    <t>Russet Nightingale-Thrush</t>
  </si>
  <si>
    <t>Catharus occidentalis</t>
  </si>
  <si>
    <t>Ruddy-capped Nightingale-Thrush</t>
  </si>
  <si>
    <t>Catharus frantzii</t>
  </si>
  <si>
    <t>Black-headed Nightingale-Thrush</t>
  </si>
  <si>
    <t>Catharus mexicanus</t>
  </si>
  <si>
    <t>4 of 6 regions (SECL, SEMH, CEMH and NECL) score PT=5</t>
  </si>
  <si>
    <t>Yellow-throated Nightingale-Thrush</t>
  </si>
  <si>
    <t>Catharus dryas</t>
  </si>
  <si>
    <t>Formerly considered conspecific with Catharus maculatus.</t>
  </si>
  <si>
    <t>Shaw-22: multiplied the geometric midpoint (200,000) of the pop size range of pre-split PS -g score by the EBD20 % that falls within the resident range of Yellow-throated Nightingale-Thrush</t>
  </si>
  <si>
    <t>cloud forest specialist, not sure why regional experts did not score PT=5</t>
  </si>
  <si>
    <t>Veery</t>
  </si>
  <si>
    <t>Catharus fuscescens</t>
  </si>
  <si>
    <t>Reduced by 80%; NS winter range too expansive -- Chuck Hunter; probably 20% of mapped area</t>
  </si>
  <si>
    <t>Does fine in second growth; uses younger woods than other thrushes.  Is it area sensitive? (ED); Rosenberg: moderately vulnerable to loss of forest to development (same as Wood Thrush).</t>
  </si>
  <si>
    <t>Restricted to primary forest in Amazonian.  winters in chaco region that is heavily being affected by agriculture (KVR)</t>
  </si>
  <si>
    <t>Gray-cheeked Thrush</t>
  </si>
  <si>
    <t>Catharus minimus</t>
  </si>
  <si>
    <t>PIFcalc19-bbs0615,rng,ona0105,nwt9501</t>
  </si>
  <si>
    <t>Forest and some edge--but pretty much unknown.  Winters in primary lowland forest in S. America -- at least "moderate" threats (KVR)</t>
  </si>
  <si>
    <t>Bicknell's Thrush</t>
  </si>
  <si>
    <t>Catharus bicknelli</t>
  </si>
  <si>
    <t>International Bicknell's Thrush Conservation Group 2017</t>
  </si>
  <si>
    <t>IBTCG used range-wide data on densities and extent of potential habitat to develop an improved global population estimate. Applying region-specific density data (derived from point count surveys) to a model of potential habitat (Vermont Center for Ecostudies).  1000 is BBS-15 estimate.</t>
  </si>
  <si>
    <t>current estimate conrirmed by K. McFarland, email, 4.20.16</t>
  </si>
  <si>
    <t>Forest in winter ground highly threatened.  threats to winter habitat severe and increasing due to cutting of remnant forest habitats, even in protected areas (KVR)</t>
  </si>
  <si>
    <t>steep decline in parts of range</t>
  </si>
  <si>
    <t>Swainson's Thrush</t>
  </si>
  <si>
    <t>Catharus ustulatus</t>
  </si>
  <si>
    <t>Mature forest, but also uses second growth.</t>
  </si>
  <si>
    <t>Hermit Thrush</t>
  </si>
  <si>
    <t>Catharus guttatus</t>
  </si>
  <si>
    <t>Tolerant of second growth.  DD='threats assumed to be low.'  BNA states that history shows species susceptible to large scale cutting of forests.  However, it possibly does well in forested areas subjected to forestry leaving small openings.  Extreme nort</t>
  </si>
  <si>
    <t>DD='relatively tolerant of human land use activities.'  BNA supports that winter threats less severe than to those other thrushes due to more northern distribution.  Supports use of wide varietyof winter habitats.</t>
  </si>
  <si>
    <t>Wood Thrush</t>
  </si>
  <si>
    <t>Hylocichla mustelina</t>
  </si>
  <si>
    <t>DD='moderately vulnerable to human land use.'  BNA supports its subject to threats from fragmentation and isolation of forested habitats.  New information suggests more flexible in use of breeding habitats than once thought.; Rosenberg: add acid rain as threat in parts of range Hunter: unsure about role of acid rain in declines in Appalachians.</t>
  </si>
  <si>
    <t>DD='highly vulnerable to human land use and activities.'  BNA supports that primary forests on nonbreeding area are subject to continued loss and pose threat to wood thrushes..  Dependent on lowland wet forests on Gulf/Caribbean slope of Central America -- these are highly threatened (KVR)</t>
  </si>
  <si>
    <t>Sooty Thrush</t>
  </si>
  <si>
    <t>Turdus nigrescens</t>
  </si>
  <si>
    <t>Black Thrush</t>
  </si>
  <si>
    <t>Turdus infuscatus</t>
  </si>
  <si>
    <t>rare in much of range, at least in MX outside of Chiapas</t>
  </si>
  <si>
    <t>humid pine-oak and cloud forest specialist.</t>
  </si>
  <si>
    <t>slight decline in habitat expected; global score should reflect regional experts' opinion</t>
  </si>
  <si>
    <t>Thick-billed Euphonia</t>
  </si>
  <si>
    <t>Euphonia laniirostris</t>
  </si>
  <si>
    <t>Spot-crowned Euphonia</t>
  </si>
  <si>
    <t>Euphonia imitans</t>
  </si>
  <si>
    <t>Olive-backed Euphonia</t>
  </si>
  <si>
    <t>Euphonia gouldi</t>
  </si>
  <si>
    <t>Fulvous-vented Euphonia</t>
  </si>
  <si>
    <t>Euphonia fulvicrissa</t>
  </si>
  <si>
    <t>Tawny-capped Euphonia</t>
  </si>
  <si>
    <t>Euphonia anneae</t>
  </si>
  <si>
    <t>Orange-bellied Euphonia</t>
  </si>
  <si>
    <t>Euphonia xanthogaster</t>
  </si>
  <si>
    <t>Hooded Grosbeak</t>
  </si>
  <si>
    <t>Coccothraustes abeillei</t>
  </si>
  <si>
    <t>Evening Grosbeak</t>
  </si>
  <si>
    <t>Coccothraustes vespertinus</t>
  </si>
  <si>
    <t>Rosenberg: threatened by forest cutting in boreal (could be '4?').  See previous comment -- check all boreal forest species now with Canadian experts. (KVR)</t>
  </si>
  <si>
    <t>Pine Grosbeak</t>
  </si>
  <si>
    <t>Pinicola enucleator</t>
  </si>
  <si>
    <t>Rosenberg: any effects of forestry in boreal?.  Seems to be one of the species more adversely affected by more severe and frequent fires throughout the West; what about loss of mature forest in boreal? (KVR); Engelmann spruce has declined in much of the southern Rockies due to pine beetle; not sure if / how its affecting the population; probably TB=3 is OK (AP)</t>
  </si>
  <si>
    <t>Gray-crowned Rosy-Finch</t>
  </si>
  <si>
    <t>Leucosticte tephrocotis</t>
  </si>
  <si>
    <t>Can't use BBS-15 estimate of 12,000 since just based on just 2 BBS routes (PIFSC-18).</t>
  </si>
  <si>
    <t>Rosenberg: any effects of climate change at high elevations in parts of range?</t>
  </si>
  <si>
    <t>Black Rosy-Finch</t>
  </si>
  <si>
    <t>Leucosticte atrata</t>
  </si>
  <si>
    <t>mean abundance estimate with high variance (83% mean CV) from within IMBCR 2017-2018 survey area of WY, MT, UT, and USFS land + some BLM land in S. ID (no observations on ID IMBCR land).  Because IMBCR does not cover OR, NV, or all of ID, this is a minimum estimate (Panjabi 2019).  Alternatively, BBS-15 yields 3,700.</t>
  </si>
  <si>
    <t>Global warming and other effects on alpine in west (GB); but effects minimal compared to other 3's (TR); one of few that can't just shift range w/ global warming changes; Rosenberg: effects of global warming in alpine areas; loss of snowfields.</t>
  </si>
  <si>
    <t>Comes to feeders, uses road cuts (TR); winter roost sites being lost (CB)</t>
  </si>
  <si>
    <t>Black-capped Siskin</t>
  </si>
  <si>
    <t>Spinus atriceps</t>
  </si>
  <si>
    <t>requires forest; severe habitat deterioration expected</t>
  </si>
  <si>
    <t>Black-headed Siskin</t>
  </si>
  <si>
    <t>Spinus notatus</t>
  </si>
  <si>
    <t>Yellow-bellied Siskin</t>
  </si>
  <si>
    <t>Spinus xanthogastrus</t>
  </si>
  <si>
    <t>afectada por el trafico; aunque puede ser afectada por cambio climático es una generalista y no está limitada a las alturas</t>
  </si>
  <si>
    <t>Lesser Goldfinch</t>
  </si>
  <si>
    <t>Spinus psaltria</t>
  </si>
  <si>
    <t>W. riparian issues (KR); quite widespread and use other habitats; tolerant of disturbance; used for cage-bird trade (MX-NSAC).</t>
  </si>
  <si>
    <t>bird trade pressures in Mexico (KR); tolerant of disturbance; used for cage-bird trade</t>
  </si>
  <si>
    <t>Lawrence's Goldfinch</t>
  </si>
  <si>
    <t>Spinus lawrencei</t>
  </si>
  <si>
    <t>Scrubby oak riparian; poorly known.</t>
  </si>
  <si>
    <t>Not more riparian in winter than other goldfinches.  still dependent on native chaparral or riparian in most winters, or extensive use of human-altered areas? (KVR);</t>
  </si>
  <si>
    <t>Sierra Madre Sparrow</t>
  </si>
  <si>
    <t>Xenospiza baileyi</t>
  </si>
  <si>
    <t>Song Sparrow</t>
  </si>
  <si>
    <t>Melospiza melodia</t>
  </si>
  <si>
    <t>Threats may be higher regionally, but low over whole range.</t>
  </si>
  <si>
    <t>Lincoln's Sparrow</t>
  </si>
  <si>
    <t>Melospiza lincolnii</t>
  </si>
  <si>
    <t>Swamp Sparrow</t>
  </si>
  <si>
    <t>Melospiza georgiana</t>
  </si>
  <si>
    <t>NS maps may overestimate non-breeding area in west Texas but overall maps look good.</t>
  </si>
  <si>
    <t>Large-footed Finch</t>
  </si>
  <si>
    <t>Pezopetes capitalis</t>
  </si>
  <si>
    <t>Rusty-crowned Ground-Sparrow</t>
  </si>
  <si>
    <t>Melozone kieneri</t>
  </si>
  <si>
    <t>Canyon Towhee</t>
  </si>
  <si>
    <t>Melozone fusca</t>
  </si>
  <si>
    <t>stable or increasing in mexico, declining in U.S.; leave at PT=3</t>
  </si>
  <si>
    <t>White-throated Towhee</t>
  </si>
  <si>
    <t>Melozone albicollis</t>
  </si>
  <si>
    <t>benefits from clearing</t>
  </si>
  <si>
    <t>Abert's Towhee</t>
  </si>
  <si>
    <t>Melozone aberti</t>
  </si>
  <si>
    <t>really common in towns and Ag canal borders, etc. should be "2" at least in nonbreeding (KVR)</t>
  </si>
  <si>
    <t>California Towhee</t>
  </si>
  <si>
    <t>Melozone crissalis</t>
  </si>
  <si>
    <t>White-eared Ground-Sparrow</t>
  </si>
  <si>
    <t>Melozone leucotis</t>
  </si>
  <si>
    <t>White-faced Ground-Sparrow</t>
  </si>
  <si>
    <t>Melozone biarcuata</t>
  </si>
  <si>
    <t>Formerly considered conspecific with Melozone cabanisi.</t>
  </si>
  <si>
    <t>multiplied % of range by rounded geometric midpoint of pop estimate range for Prevost's Ground-Sparrow's PS-g = 4</t>
  </si>
  <si>
    <t>TB-r=2 thoughout Mexico, TB-r=3 throughout Central America, which is much larger than its Mexican range</t>
  </si>
  <si>
    <t>PIF CAW 2014; MX-NSAC</t>
  </si>
  <si>
    <t>Cabanis's Ground-Sparrow</t>
  </si>
  <si>
    <t>Melozone cabanisi</t>
  </si>
  <si>
    <t>Formerly considered conspecific with Melozone biarcuata.</t>
  </si>
  <si>
    <t>TB score copied since resident.  Requires forest</t>
  </si>
  <si>
    <t>Rusty Sparrow</t>
  </si>
  <si>
    <t>Aimophila rufescens</t>
  </si>
  <si>
    <t>7 of 9 regions score PT=2</t>
  </si>
  <si>
    <t>Rufous-crowned Sparrow</t>
  </si>
  <si>
    <t>Aimophila ruficeps</t>
  </si>
  <si>
    <t>reasonable numbers on BBS routes where most of the U.S. population is found (averaging 1-4 birds/rte in parts of AZ, NM, TX) and found on good number of routes (121); extrapolation to global isn’t very large (Blancher 2018)</t>
  </si>
  <si>
    <t>in abundant desert scrub habitat (KR); doesn't need riparian or grass; no known threats; tolreant of disturbance (MX-NSAC).</t>
  </si>
  <si>
    <t>in abundant desert scrub habitat (KR); no known threats; tolreant of disturbance</t>
  </si>
  <si>
    <t>Oaxaca Sparrow</t>
  </si>
  <si>
    <t>Aimophila notosticta</t>
  </si>
  <si>
    <t>Green-tailed Towhee</t>
  </si>
  <si>
    <t>Pipilo chlorurus</t>
  </si>
  <si>
    <t>Winter map too liberal, especially at northern edge of range -- really just a few individuals wintering along lowland river valleys north of Mexican border; too far north and east in Texas, and way too far n. in California -- since close to cut-off, shoul</t>
  </si>
  <si>
    <t>Spotted Towhee</t>
  </si>
  <si>
    <t>Pipilo maculatus</t>
  </si>
  <si>
    <t>why threatened? Probably enhanced by extensive burning (KR);use backyards as long as there is understory.</t>
  </si>
  <si>
    <t>Eastern Towhee</t>
  </si>
  <si>
    <t>Pipilo erythrophthalmus</t>
  </si>
  <si>
    <t>Winter range drawn more restricted than text descriptions -- especially at north part of range [CHECK CBC distribution]</t>
  </si>
  <si>
    <t>DD='moderately vulnerable to human land use trends.'  BNA supports that populations likely to decline if trends in conditions continue.  Indirect effects of forest fragmentation, urbanization and natural succession pose threats to breeding.</t>
  </si>
  <si>
    <t>DD='relatively tolerant of land use trends.'  Generalist, so many human effects promote winter habitat.  GB: SE impacted by fire ant control, loss of hardwoods and inc. in pine plantations</t>
  </si>
  <si>
    <t>Collared Towhee</t>
  </si>
  <si>
    <t>Pipilo ocai</t>
  </si>
  <si>
    <t>Audubon's Oriole</t>
  </si>
  <si>
    <t>Icterus graduacauda</t>
  </si>
  <si>
    <t>&lt;170,000</t>
  </si>
  <si>
    <t>Highly sensitive to fragmentation in NE subspecies; requires native habitat.  Check Mexico scores.</t>
  </si>
  <si>
    <t>most mexican regions score tn=3; tolerant of disturbance</t>
  </si>
  <si>
    <t>Baltimore Oriole</t>
  </si>
  <si>
    <t>Icterus galbula</t>
  </si>
  <si>
    <t>DD='relatively tolerant of human activities and land use.'  BNA supports that since Europena settlement, species has probably benefitted, but threats do exist, so does not benefit to the extent of TB 1.  Increased breeding habitats due to suburbanization,.</t>
  </si>
  <si>
    <t>DD=although uses variety of secondary forested habitats, clearings, savannahs and coffee, the decline in shade coffee and trends toward more monotypic agriculture in general could warrant TN 3.  BNA supports that earlier PIF threats assessments scored spe</t>
  </si>
  <si>
    <t>Black-backed Oriole</t>
  </si>
  <si>
    <t>Icterus abeillei</t>
  </si>
  <si>
    <t>requires forest; slight to moderate decline expected</t>
  </si>
  <si>
    <t>Scott's Oriole</t>
  </si>
  <si>
    <t>Icterus parisorum</t>
  </si>
  <si>
    <t>DD='moderately vulnerable to human land use / information lacking.'  BNA reportedly states that information from core of range in Mexico is lacking (habitat use not well studied, thus threats can't be well assessed) and caution thus warranted.  Relatively no known threats, but some capture for trade (MX-NSAC); global score should reflect regional experts' opinion.</t>
  </si>
  <si>
    <t>DD='information lacking.'  BNA states nothing known about habitat use or threats in Mexico, warrants conservatism.; no known threats, but some capture for trade</t>
  </si>
  <si>
    <t>Red-winged Blackbird</t>
  </si>
  <si>
    <t>Agelaius phoeniceus</t>
  </si>
  <si>
    <t>hmmm (KR).  DD='species tolerant of human land use activities.'  And may even benefit on the order of being TB 1.  Draining and estruction of natural marsh and wet grassland habitats has been offset by creation of other suitable habitats (cereal crops).</t>
  </si>
  <si>
    <t>Kirtland's Warbler</t>
  </si>
  <si>
    <t>Setophaga kirtlandii</t>
  </si>
  <si>
    <t>KIWA Conservation Team 2015</t>
  </si>
  <si>
    <t>5,000 is estimate from BBS-15, supporting this estimate</t>
  </si>
  <si>
    <t>species has been relatively stable but is highly dependent on management activities, which could change in the future when species is down listed or delisted from ESA (PIFSC-18).  Habitat protected, but vulnerable because there is so little.  conservation reliant -- could be threatened if investments reduced -- esp cowbird management (CB, KVR, WE, TW, DP).</t>
  </si>
  <si>
    <t>check with Dave Ewert -- are threats really dire or extremely severe? (CB, KVR, WE, TW, DP); Tom to double check; early successional habitat need to be maintained, is not being managed;</t>
  </si>
  <si>
    <t>KIWA Census</t>
  </si>
  <si>
    <t>Cape May Warbler</t>
  </si>
  <si>
    <t>Setophaga tigrina</t>
  </si>
  <si>
    <t>changed due to calibration with TB-r; Reviewers justify score of 2 in BCRs 7 and 8 (61%pop)</t>
  </si>
  <si>
    <t>still requires native forest or woodland habitats in main part of winter range, although tolerant of disturbance (KVR)</t>
  </si>
  <si>
    <t>Cerulean Warbler</t>
  </si>
  <si>
    <t>Setophaga cerulea</t>
  </si>
  <si>
    <t>Distribution appears to be more spotty and concentrated in areas according to BNA, whereas NS shows broader areas, thus likely overstimating size of both wintering and breeding.; ND mapped too far east in Ven, too wide in colombia and venezuela; rare in P</t>
  </si>
  <si>
    <t>Rosenberg: threatened by mountaintop mining in Appalachians; loss of bottomland forests.</t>
  </si>
  <si>
    <t>Northern Parula</t>
  </si>
  <si>
    <t>Setophaga americana</t>
  </si>
  <si>
    <t>Rosenberg: affected by forestry in boreal? Also loss of bottomland hardwoods in SE; Hunter: loss of bottomlands is not a threat for this species, and is not a concern overall; potentially encroachment into other habitats is a threat for NOPA.  See previous comment: boreal experts weigh in (KVR); Camfield, Alaine: TB 2 and 3 in Canadian BCR strategies. Threats include habitat loss/fragmentation from logging, roads and utility lines. Threats of lower magnitude.</t>
  </si>
  <si>
    <t>Tropical Parula</t>
  </si>
  <si>
    <t>Setophaga pitiayumi</t>
  </si>
  <si>
    <t>Distribución en Sur América (CAW);</t>
  </si>
  <si>
    <t>Shining Honeycreeper</t>
  </si>
  <si>
    <t>Cyanerpes lucidus</t>
  </si>
  <si>
    <t>warrants TB=4 range-wide due to threats to habitat and narrow habitat requirements (humid foothill forest).</t>
  </si>
  <si>
    <t>Purple Honeycreeper</t>
  </si>
  <si>
    <t>Cyanerpes caeruleus</t>
  </si>
  <si>
    <t>Red-legged Honeycreeper</t>
  </si>
  <si>
    <t>Cyanerpes cyaneus</t>
  </si>
  <si>
    <t>requires forest; capture for trade</t>
  </si>
  <si>
    <t>Scarlet-thighed Dacnis</t>
  </si>
  <si>
    <t>Dacnis venusta</t>
  </si>
  <si>
    <t>Blue Dacnis</t>
  </si>
  <si>
    <t>Dacnis cayana</t>
  </si>
  <si>
    <t>Perdida de habitat en Nicaragua y Panama</t>
  </si>
  <si>
    <t>Viridian Dacnis</t>
  </si>
  <si>
    <t>Dacnis viguieri</t>
  </si>
  <si>
    <t>Bananaquit</t>
  </si>
  <si>
    <t>Coereba flaveola</t>
  </si>
  <si>
    <t>TB=2 more appropriate range wide.</t>
  </si>
  <si>
    <t>slight deterioration expected</t>
  </si>
  <si>
    <t>Yellow-faced Grassquit</t>
  </si>
  <si>
    <t>Tiaris olivaceus</t>
  </si>
  <si>
    <t>Cocos Finch</t>
  </si>
  <si>
    <t>Pinaroloxias inornata</t>
  </si>
  <si>
    <t>por las ratas y gatos ferales introducidos</t>
  </si>
  <si>
    <t>Thick-billed Seed-Finch</t>
  </si>
  <si>
    <t>Sporophila funerea</t>
  </si>
  <si>
    <t>Formerly placed in the genus Oryzoborus.</t>
  </si>
  <si>
    <t>humid forest edge, second growth</t>
  </si>
  <si>
    <t>Large-billed Seed-Finch</t>
  </si>
  <si>
    <t>Sporophila crassirostris</t>
  </si>
  <si>
    <t>Nicaraguan Seed-Finch</t>
  </si>
  <si>
    <t>Sporophila nuttingi</t>
  </si>
  <si>
    <t>Monotypic. Formerly placed in the genus Oryzoborus.</t>
  </si>
  <si>
    <t>por pérdida de hábitat por aumentas de palma aceitera y arrozales</t>
  </si>
  <si>
    <t>Variable Seedeater</t>
  </si>
  <si>
    <t>Sporophila corvina</t>
  </si>
  <si>
    <t>Formerly considered conspecific with Sporophila americana.</t>
  </si>
  <si>
    <t>O.K. -- taxonomic split accounts for difference (Ridgely considers conspecific with S. americana) -- score would be 3 or 2.</t>
  </si>
  <si>
    <t>weedy fields, etc.</t>
  </si>
  <si>
    <t>Slate-colored Seedeater</t>
  </si>
  <si>
    <t>Sporophila schistacea</t>
  </si>
  <si>
    <t>ligado a bambu; usa arrozales</t>
  </si>
  <si>
    <t>A pesar de ser nomada y usar campos de arroz, su población ha disminuido</t>
  </si>
  <si>
    <t>Cinnamon-rumped Seedeater</t>
  </si>
  <si>
    <t>Sporophila torqueola</t>
  </si>
  <si>
    <t>Gomez-Panjabi; BirdLife 2019; PIFSC-20</t>
  </si>
  <si>
    <t>after taxonomic split, multiplied White-collared Seedeater pop estimate (geometric mean of the range of pop size for PS-g score of 2) by the % of White-collared's range inhabited by Cinnamon-rumped according to BirdLife range maps</t>
  </si>
  <si>
    <t>Morelet's Seedeater</t>
  </si>
  <si>
    <t>Sporophila morelleti</t>
  </si>
  <si>
    <t>Formerly considered conspecific with Sporophila torqueola.</t>
  </si>
  <si>
    <t>after taxonomic split, multiplied White-collared Seedeater pop estimate (geometric mean of the range of pop size for PS-g score of 2) by the % of White-collared's range inhabited by Morelet's according to BirdLife range maps</t>
  </si>
  <si>
    <t>Gomez-Panjabi; PIFSC-20; eBird7017</t>
  </si>
  <si>
    <t>Shaw 2020: multiplied global pop size estimate by %WH_US-Ca</t>
  </si>
  <si>
    <t>Yellow-bellied Seedeater</t>
  </si>
  <si>
    <t>Sporophila nigricollis</t>
  </si>
  <si>
    <t>Ruddy-breasted Seedeater</t>
  </si>
  <si>
    <t>Sporophila minuta</t>
  </si>
  <si>
    <t>Wedge-tailed Grass-Finch</t>
  </si>
  <si>
    <t>Emberizoides herbicola</t>
  </si>
  <si>
    <t>very conservative (CAW);</t>
  </si>
  <si>
    <t>agricultura; incendios;</t>
  </si>
  <si>
    <t>Black-headed Saltator</t>
  </si>
  <si>
    <t>Saltator atriceps</t>
  </si>
  <si>
    <t>Buff-throated Saltator</t>
  </si>
  <si>
    <t>Saltator maximus</t>
  </si>
  <si>
    <t>In Mexico, found in forest and edge, and second growth.  In Costa Rica and Panama, found primarily in open woodland, second growth, shrubby clearings, gardens, and plantations (Ridgely and Tudor, Garrigues and Dean); In Mexico, found in forest and edge, and second growth.  In Costa Rica and Panama, found primarily in open woodland, second growth, shrubby clearings, gardens, and plantations (Ridgely and Tudor, Garrigues and Dean);</t>
  </si>
  <si>
    <t>Slate-colored Grosbeak</t>
  </si>
  <si>
    <t>Saltator grossus</t>
  </si>
  <si>
    <t>field</t>
  </si>
  <si>
    <t>definition</t>
  </si>
  <si>
    <t>sort</t>
  </si>
  <si>
    <t>Order according to AOU 7th edition checklist, 63rd supplement (Chesser et al. 2022)</t>
  </si>
  <si>
    <t>English Common Name following the AOS 7th Edition Check-list, 63rd supplement (Chesser et al. 2022)</t>
  </si>
  <si>
    <t>Scientific Name following the AOS 7th Edition Check-list, 63rd supplement (Chesser et al. 2022)</t>
  </si>
  <si>
    <t>group</t>
  </si>
  <si>
    <t>Type of bird (waterbird, waterfowl, shorebird, landbird)</t>
  </si>
  <si>
    <t>Order according to AOU 7th edition checklist, 63rd supplement</t>
  </si>
  <si>
    <t>Family according to AOS 7th edition checklist, 63rd supplement</t>
  </si>
  <si>
    <t>Annotations on taxonomy and recent changes from AOU 7th edition checklist, 63rd supplement, with additions</t>
  </si>
  <si>
    <t>Occurs in Canada</t>
  </si>
  <si>
    <t>Occurs in continental USA</t>
  </si>
  <si>
    <t>Occurs in Mexico</t>
  </si>
  <si>
    <t>Occurs in Central America</t>
  </si>
  <si>
    <t>R = Resident, M = Migrant or partial migrant</t>
  </si>
  <si>
    <t>1=Introduced species in North America, according to AOS 7th edition checklist, 63rd supplement</t>
  </si>
  <si>
    <t>Occurs only as a non-breeder (N) in North America, according to AOS 7th edition checklist, 63rd supplement</t>
  </si>
  <si>
    <t>Assessment score for global population size (breeding-aged individuals)</t>
  </si>
  <si>
    <t>Source of global population size estimate (breeding-aged individuals)</t>
  </si>
  <si>
    <t>Comments regarding global population size and score</t>
  </si>
  <si>
    <t>Estimate of global population size (breeding-aged individuals) in text format to include &lt;/&gt; signs</t>
  </si>
  <si>
    <t>Estimate of global population size (breeding-aged individuals) in numeric format to allow sorting</t>
  </si>
  <si>
    <t>Current population size estimate (breeding-aged individuals) for continental U.S. and Canada in text format to include &lt;/&gt; signs.  See field “Pop Size_US-Ca_com” for any exceptions and details. </t>
  </si>
  <si>
    <t>Current population size estimate (breeding-aged individuals) for continental U.S. and Canada in numeric format to allow sorting.  See field “Pop Size_US-Ca_com” for any exceptions and details. </t>
  </si>
  <si>
    <t>Year associated with Pop Size_US-Ca population size estimates, or primary year or average year if many years involved; note that in most cases this indicates the year(s) the survey was conducted, but in some cases (e.g. USSCP 2016) it indicates the year of publication of estimates (e.g. Andres et al. 2012).</t>
  </si>
  <si>
    <t>Source for continental U.S. and Canada population estimate</t>
  </si>
  <si>
    <t>Comments regarding continental U.S. and Canada population size</t>
  </si>
  <si>
    <t>Assessment score for global breeding distribution (breeding range size)</t>
  </si>
  <si>
    <t>Area estimate (in km2) of global breeding distribution</t>
  </si>
  <si>
    <t>Source for global breeding distribution score</t>
  </si>
  <si>
    <t>Comments for global breeding distribution score</t>
  </si>
  <si>
    <t>Assessment score for global non-breeding distribution (winter range size)</t>
  </si>
  <si>
    <t>Area estimate (in sq. km) of global non-breeding distribution</t>
  </si>
  <si>
    <t>Source for global non-breeding distribution score</t>
  </si>
  <si>
    <t>Comments for global non-breeding distribution score</t>
  </si>
  <si>
    <t>Assessment score for continental threats-breeding</t>
  </si>
  <si>
    <t>Source for continental threats-breeding score</t>
  </si>
  <si>
    <t>Comments for continental threats-breeding score</t>
  </si>
  <si>
    <t>Climate Change Vulnerability score for breeding populations</t>
  </si>
  <si>
    <t>Climate Change Vulnerability score certainty rank for breeding populations</t>
  </si>
  <si>
    <t>Assessment score for continental threats-non-breeding</t>
  </si>
  <si>
    <t>Source for current continental threats-non-breeding score</t>
  </si>
  <si>
    <t>Comments for continental threats-non-breeding score</t>
  </si>
  <si>
    <t>Climate Change Vulnerability score for wintering populations</t>
  </si>
  <si>
    <t>Climate Change Vulnerability score certainty rank for wintering populations</t>
  </si>
  <si>
    <t>Assessment score for continental population trend</t>
  </si>
  <si>
    <t>Source for continental population trend score</t>
  </si>
  <si>
    <t>Comments for continental population trend score</t>
  </si>
  <si>
    <t>estimated cummulative % pop change (negative if a decline) over the Long Term trend period listed in the PT-r_s field (e.g. 1993-2021 if PT-r_s = BBS9321-JS) if defined in PT-r_s.  If not defined, the period is 1970-2021.</t>
  </si>
  <si>
    <t>LT Trend (%/yr)</t>
  </si>
  <si>
    <t>estimated annual % pop change (negative if a decline) over the Long Term trend period listed in the PT-r_s field (e.g. 1993-2021 if PT-r_s = BBS9321-JS) if defined in PT-r_s.  If not defined, the period is 1970-2021.</t>
  </si>
  <si>
    <t>Long Term trend 90% Lower Credible Interval Limit</t>
  </si>
  <si>
    <t>Long Term trend 90% Upper Credible Interval Limit</t>
  </si>
  <si>
    <t>If 1: Long Term 90% Credible Interval excludes zero.  If blank, not statistically significant at 90% Credible Interval.</t>
  </si>
  <si>
    <t>estimated cummulative % pop change (negative if a decline) over the Short Term trend period listed in the ST years field</t>
  </si>
  <si>
    <t>ST Trend (%/yr)</t>
  </si>
  <si>
    <t>estimated annual % pop change (negative if a decline) over the Short Term trend period listed in the ST years field</t>
  </si>
  <si>
    <t>Short term trend lower credible interval limit</t>
  </si>
  <si>
    <t>Short term trend upper credible interval limit</t>
  </si>
  <si>
    <t>If 1: Short Term 90% Credible Interval excludes zero.  If blank, not statistically significant at 90% Credible Interval.</t>
  </si>
  <si>
    <t>ST years</t>
  </si>
  <si>
    <t>how many years the Short Term trend includes, going backwards from the end year listed, e.g. "10" represents 2011-2021 for BBS7021.  Generation time was adapted by Adam Smith for taxonomic changes from Bird et al. 2020.  If the 3 generation years estimate was &gt;=10 years, that quantity was used, otherwise 10 years as the minimum.</t>
  </si>
  <si>
    <t>Breeding Bird Survey extent for trend estimates from John Sauer.  1: just core BBS survey area was analyzed.  2: extended BBS survey area was included in analysis.</t>
  </si>
  <si>
    <t>Long Term trend 90% Upper Credible Interval Limit minus Lower Credible Interval Limit</t>
  </si>
  <si>
    <t>Number of BBS routes in which species was ever detected during the long term trend period within the core (if PT-r_s includes "JS" and core/extended = 1) or extended (if PT-r_s includes "JS" and core/extended = 2, or if PT-r_s includes "AS") BBS survey coverage.  N was averaged if PT-r_s contains both "AS" and "JS".</t>
  </si>
  <si>
    <t>This value is the median annual index for the long term trend period. The Relative Abundance estimate is model-based, produced as part of the hierarchical model analysis, and is adjusted for observer and other effects.</t>
  </si>
  <si>
    <t>BBS routes that ever detected the species, multiplied by median relative abundance (used to evaluate trend reliability, in part)</t>
  </si>
  <si>
    <t xml:space="preserve">Projected timeframe (in years) until 50% of remaining population is lost, as determined based on most recent short-term trend - ST Trend (%/yr).  Only included for Watch List species with statistically significant trend and projected half-life of 30 years or less. </t>
  </si>
  <si>
    <t>Continental Combined Score for breeding season (PS-g + BD-g + TB-c + PT-c)</t>
  </si>
  <si>
    <t>Continental Combined Score for non-breeding season (PS-g + ND-g + TN-c + PT-c)</t>
  </si>
  <si>
    <t>The higher of CCS-b and CCS-n</t>
  </si>
  <si>
    <t>Category of Continental Importance: Red/Orange/Yellow Watch List/Tipping Point, Watch list Yellow, Previously Watch List, Common Bird in Steep Decline.</t>
  </si>
  <si>
    <t>Conservation status according to the International Union for the Conservation of Nature's (IUCN) Red List of Threatened Species (2023): EW: Extinct in the Wild; CR (PE): Critically Endangered (Possibly Extinct); EN: Endangered; VU: Vulnerable; NT: Near Threatened; DD: Data Deficient.  If no code listed, LC: Least Concern.</t>
  </si>
  <si>
    <t>"yes" indicates that a species is commonly associated with urban and suburban habitat and landcover during the breeding season—e.g., birds of developed urban spaces, urban/suburban parks, domestic gardens, etc.</t>
  </si>
  <si>
    <t>Species that can be found frequently in agricultural systems and landscapes, including row-crop agriculture, pastures, orchards, etc. during the breeding season (indicated by "b"), stationary nonbreeding season (indicated by "w" for winter), or both (indicated by "b,w").</t>
  </si>
  <si>
    <t>For each species, one of 24 primary geographic regions in which it occurs during its breeding season and in which it shares ecological affinities with other species also occupying the same region. See ACAD Handbook for definitions.</t>
  </si>
  <si>
    <t>For each species, one of 24 primary geographic regions in which it occurs during its stationary nonbreeding season and in which it shares ecological affinities with other species also occupying the same region. See ACAD Handbook's Appendix H for more detailed explanation and definitions.</t>
  </si>
  <si>
    <t>The broad Habitat Class (level 1, e.g. Forests) which a species is most likely to occupy during its breeding season; separated by ":  " from a more detailed description of its primary Habitat (level 2, e.g., Mesoamerican Pine-Oak). See ACAD Handbook's Appendix H for more detailed explanation and definitions.</t>
  </si>
  <si>
    <t>In cases in which a species occurs in almost equal or in smaller but still significant numbers in a second Habitat, the additional broad Habitat Class which it is likely to occupy during its breeding season; separated by ":  " from a more detailed description of its secondary Habitat. See ACAD Handbook's Appendix H for more details.</t>
  </si>
  <si>
    <t>The broad Habitat Class (level 1, e.g. Grasslands) which a species is most likely to occupy during its stationary nonbreeding season; separated by ":  " from a more detailed description of its primary Habitat (level 2, e.g., Chihuahuan). See ACAD Handbook's Appendix H for more detailed explanation and definitions.</t>
  </si>
  <si>
    <t>In cases in which a species occurs in almost equal or in smaller but still significant numbers in a second Habitat, the additional broad Habitat Class which it is likely to occupy during its stationary nonbreeding season; separated by ":  " from a more detailed description of its secondary Habitat. See ACAD Handbook's Appendix H for more details.</t>
  </si>
  <si>
    <t>Breeding Avifaunal Biome
Wintering Avifaunal Biome</t>
  </si>
  <si>
    <t>Definition</t>
  </si>
  <si>
    <t>Same as CEC Level 1 and PIF 2004 Avifaunal Biome; includes BCR 1, 2, 3.  Most bird species in this group are Holarctic in distribution, and we do not distinguish a separate North American Arctic biome; includes coastal and marine portions of Greenland, Labrador, Arctic Canada, Alaska, and the Bering Sea.</t>
  </si>
  <si>
    <t>Includes the entire West Indies plus Bermuda; some species also occur along the immediate Caribbean coast of Central or South America but often on offshore cays or islands. Includes marine portions of Caribbean Basin.</t>
  </si>
  <si>
    <t xml:space="preserve">Defined originally as a Winter Geography (PIF 2016); includes mountain cordilleras from Costa Rica and Panama south through the South American Andes and other mountainous areas of northern South America. </t>
  </si>
  <si>
    <t>Eastern Indo-Pacific (Marine)</t>
  </si>
  <si>
    <t>Defined by Spalding et al. (2007), Marine Ecoregions of the World; includes Hawaiian Islands, Marshall Islands, and Polynesian chains.</t>
  </si>
  <si>
    <t>Eastern United States and southeastern Canada, south of the Northern Forest; corresponds with Eastern Avifaunal Biome of PIF 2004 (BCRs: 13, 24–31, 37).</t>
  </si>
  <si>
    <t>Central U.S. and Canada as defined by the Prairie Avifaunal Biome of PIF 2004 (BCRs 11, 17–23).</t>
  </si>
  <si>
    <t>Defined originally as a Winter Geography (PIF 2016); includes the Mexican species assessment region, MX-CarLo, extending from NE Mexico (south of Tamaulipan Brushlands) south through eastern Mexico, including the Yucatan Peninsula; extends south along the Caribbean slope of Central America to the northern Caribbean lowlands of Colombia. Note that for many Caribbean Slope species that extend into the Pacific lowlands of Costa Rica and Panama, we use the broader biome Mesoamerican; for species largely restricted to the southern Central American lowlands in southwestern Costa Rica, Panama, and the lowlands of South America north and west of the Andes, we use the biome Trans-Andean Lowlands.</t>
  </si>
  <si>
    <t>Interior western U.S. and Canada; corresponds with Intermountain West Avifaunal Biome of PIF 2004 (BCRs 9,19,16).</t>
  </si>
  <si>
    <t>Species not native to North America and therefore not associated with any native avifaunal grouping. Note that these species, although not assigned to biomes, are assigned to habitats.</t>
  </si>
  <si>
    <t>Refers to Mexico plus Central America; assigned to species that occur in more than one biome within this broader region (e.g., many species that occur on both Gulf-Caribbean and Pacific slopes).</t>
  </si>
  <si>
    <t>Mountainous areas from northern Mexico (extending into southeastern Arizona and New Mexico) south to northern Nicaragua; an extension of the Mexican Species Assessment region MX-High (Sierra Madre Occidental, Central Mexican Highlands, Northeastern Mexican Highlands, Southeastern Mexican Highlands). Some species extend into Costa Rica and Panama, but if the majority of their range is to the north, we use Mesoamerican Highlands.</t>
  </si>
  <si>
    <t>Defined originally as a Winter Geography (PIF 2016), Pacific Lowlands or Pacific Slope; same as Mexican species assessment region MX-PacLo, including Northwestern Mexican Pacific Lowlands and South Central Mexican Pacific Lowlands; extending south along the Pacific Slope of Central America to Costa Rica, including coastal (mangrove) areas and offshore islands. Note that a unique set of species endemic to southwestern CR are also assigned to this biome.</t>
  </si>
  <si>
    <t>As defined elsewhere; refers to broad region of North America north of the Tropic of Cancer in Mexico; used for species that occur in multiple biomes of the U.S. and Canada, often in both the East and West or along both Atlantic and Pacific coasts.</t>
  </si>
  <si>
    <t>As defined elsewhere; refers to broad region of Mesoamerica and South America south of the Tropic of Cancer; used for species that occur in multiple biomes across Central and South America and/or the Caribbean.</t>
  </si>
  <si>
    <t>Arid regions of southwestern U.S. and northern Mexico; roughly the same as the Southwest Avifaunal Biome of PIF 2004 (BCR 33, 35, 36, 20), but BCR 34 is now part of Mesoamerican Highlands; includes much of the CEC Level 1 region North American Deserts.</t>
  </si>
  <si>
    <t>Corresponds to Northern Forest Avifaunal Biome of PIF 2004 (BCRs 4,6,7,8,12,14); broad region from Newfoundland to western Alaska including boreal and taiga regions as well as northern hardwood and transitional forests of northeastern U.S.</t>
  </si>
  <si>
    <t>Corresponds to Pacific Avifaunal Biome of PIF 2004 (BCRs 5, 15, 32), including coastal areas.</t>
  </si>
  <si>
    <t>Used for a few species that range widely over the Pacific Ocean, including two or more Marine Ecoregions.</t>
  </si>
  <si>
    <t>As defined elsewhere, referring to the Old World regions including all of Eurasia.</t>
  </si>
  <si>
    <t>Paleotropics</t>
  </si>
  <si>
    <t>As defined elsewhere, referring to the Old World tropical regions including Southeast Asia and Africa.</t>
  </si>
  <si>
    <t>Pantropical Marine</t>
  </si>
  <si>
    <t>Used for species that range widely across the tropical Pacific, Atlantic, and Indian Ocean regions.</t>
  </si>
  <si>
    <t>Defined originally as a Winter Geography (PIF 2016); includes all tropical lowland areas of South America, primarily east of the Andes, including the Amazon Basin, Llanos, Pantanal, Chaco, and Cerrado bioregions. Note that species occurring only west or north of the Andes in South America are assigned to either Trans-Andean or Gulf-Caribbean Lowlands biomes; species occurring primarily south of the Tropic of Capricorn in the Pampas or Gran Chaco or coastal areas are in Temperate South America.</t>
  </si>
  <si>
    <t>Defined by Spalding et al. (2007), Marine Ecoregions of the World; includes Antarctica and adjacent islands and marine waters.</t>
  </si>
  <si>
    <t>Defined by Spalding et al. (2007), Marine Ecoregions of the World; includes marine areas of southern Australia and New Zeeland.</t>
  </si>
  <si>
    <t>Temperate Northern Atlantic (Marine)</t>
  </si>
  <si>
    <t>Defined by Spalding et al. (2007), Marine Ecoregions of the World; includes marine areas of Atlantic Canada, southern Iceland, western Europe, Mediterranean, and north Africa, including Azores, Canary, and Madeira islands.</t>
  </si>
  <si>
    <t>Temperate Northern Pacific (Marine)</t>
  </si>
  <si>
    <t>Defined by Spalding et al. (2007), Marine Ecoregions of the World; includes marine waters of Pacific North America, southern Alaska, Aleutians, Japan, and northern China.</t>
  </si>
  <si>
    <t>Region south of Tropic of Capricorn, including the area referred to as Southern Cone, and also the Gran Chaco of Argentina and Paraguay, and coastal and marine areas of Argentina (including Falklands), Chile, and Peru.</t>
  </si>
  <si>
    <t>Refers to lowland region north and west of the Andes in northwestern South America (Colombia and Ecuador); the distinct Choco avifauna found here usually extends into Central America, either just into Darien, Panama, to southwestern Costa Rica, or in some cases farther north in Central America. Note that it was often difficult to delimit a boundary with the Gulf-Caribbean Lowlands, as many species occur throughout the entire lowland region; the resident avifauna are fairly distinct, and only a few North American migrants are restricted to this biome in winter (e.g., Bay-breasted Warbler, Acadian Flycatcher).</t>
  </si>
  <si>
    <t>Tropical Eastern Pacific (Marine)</t>
  </si>
  <si>
    <t>Defined by Spalding et al. (2007), Marine Ecoregions of the World; includes marine waters off northwestern South America (including Galápagos) and Central America to western Mexico (Clipperton, Revillagigedos).</t>
  </si>
  <si>
    <t>Combines Intermountain West and Pacific North America for species that are found roughly equally in both biomes.</t>
  </si>
  <si>
    <t>For species found in many biomes that are difficult to define using a single composite region; includes coastal birds that occur throughout most of the Western Hemisphere and some oceanic birds that occur in several parts of the world.</t>
  </si>
  <si>
    <t>index
sort</t>
  </si>
  <si>
    <t>Habitat Class</t>
  </si>
  <si>
    <t>Habitat Description
(Breeding &amp; Nonbreeding)</t>
  </si>
  <si>
    <t>Definition
(Breeding &amp; Nonbreeding)</t>
  </si>
  <si>
    <t># Species
Primary
Breeding</t>
  </si>
  <si>
    <t># Species
Secondary
Breeding</t>
  </si>
  <si>
    <t># Species
Primary
Nonbreeding</t>
  </si>
  <si>
    <t># Species
Secondary
Nonbreeding</t>
  </si>
  <si>
    <t>Total
Occurrences</t>
  </si>
  <si>
    <t>Level 1</t>
  </si>
  <si>
    <t>Level 2</t>
  </si>
  <si>
    <t>Count 1°
Breeding</t>
  </si>
  <si>
    <t>Count 2°
Breeding</t>
  </si>
  <si>
    <t>Count 1°
Nonbreeding</t>
  </si>
  <si>
    <t>Count 2°
Nonbreeding</t>
  </si>
  <si>
    <t>Totals</t>
  </si>
  <si>
    <t>Tundra</t>
  </si>
  <si>
    <t>Open habitats characterized by sedges, grasses, mosses, lichen, and dwarf shrubs; in general, more xeric than habitat described as Wetlands: Tundra.</t>
  </si>
  <si>
    <t>Tundra in the Arctic biome beyond treeline but not associated with wetlands or coastal tidal influence.</t>
  </si>
  <si>
    <t>Montane tundra above treeline, often characterized by relatively bare ground and snowfield borders.</t>
  </si>
  <si>
    <t>Tundra:   Páramo</t>
  </si>
  <si>
    <t>High, tropical, montane vegetation above the continuous timberline dominated by grasses, giant rosette plants, and shrubs.</t>
  </si>
  <si>
    <t>Wetlands</t>
  </si>
  <si>
    <t>Freshwater inland wetlands of all types, excluding coastal marshes.</t>
  </si>
  <si>
    <t>Intertidal saline or low-lying tundra immediately bordering the Arctic coastline, distinct from other temperate zone coastlines (including coastal areas of western and southern Alaska, Labrador, etc.) due to the unique scouring effects of sea ice and permafrost substrate.</t>
  </si>
  <si>
    <t>Bogs, fens, muskeg, marshes, and other wetlands within the boreal forest zone; species assigned to this habitat category are dependent ecologically on the aquatic resource, although trees may be utilized for nesting, roosting, or perching.</t>
  </si>
  <si>
    <t>Freshwater lakes, ponds, rivers, and streams, and their immediate shorelines (e.g., alkaline flats); characterized by substantial areas of open water.</t>
  </si>
  <si>
    <t xml:space="preserve">Permanent or semi-permanent freshwater wetlands with emergent aquatic vegetation (cattails, rushes, etc.); marsh can be embedded within other habitat types (e.g., grasslands or forests). </t>
  </si>
  <si>
    <t>Permanent or frequently flooded wetlands in temperate or tropical zones with stunted to mature trees and open water: swamps, bottomland hardwood forests, etc.; species assigned to this habitat category are dependent ecologically on the aquatic resource, although trees may be utilized for nesting, roosting, or perching.</t>
  </si>
  <si>
    <t>Ephemeral or seasonal wetlands dominated by grasses or sedges (as opposed to taller emergents like cattails), including temperate Prairie Wetlands.</t>
  </si>
  <si>
    <t>Species that use a wide variety of wetland types (three or more categories in roughly equal proportions) for nesting and breeding-season foraging—including, in this case, coastal saltmarsh. Nesting can occur in/on a variety of substrates (trees, rushes, shore, etc.), but species is ecologically dependent on the aquatic resource.</t>
  </si>
  <si>
    <t>Coasts</t>
  </si>
  <si>
    <t>Interface between continental terrestrial habitats and saltwater oceans, bays, gulfs, and estuaries; all habitats associated with the coastal zone, including mangroves.</t>
  </si>
  <si>
    <t xml:space="preserve"> Sandy beaches, sandbars, and tidally influenced adjacent shallow waters.</t>
  </si>
  <si>
    <t>Emergent marsh in the upper coastal intertidal zone dominated by salt-tolerant grasses, herbs, and/or low shrubs; includes brackish marshes.</t>
  </si>
  <si>
    <t>Intertidal zone and rocky beaches dominated by rocks and coarse gravel (including rock jetties) as opposed to sandy beaches or mudflats.</t>
  </si>
  <si>
    <t>Coasts and continental shelf waters (essentially the zone occupied by most gulls), including bays and deep estuaries.</t>
  </si>
  <si>
    <t>Nesting sites on coastal rocky cliffs or on nearshore islands that could include cliffs or flat vegetated areas.</t>
  </si>
  <si>
    <t>Coastal mangrove swamps.</t>
  </si>
  <si>
    <t>Islands</t>
  </si>
  <si>
    <t>Isolated marine islands.</t>
  </si>
  <si>
    <t>Oceanic or nearshore marine island terrestrial habitats; category used primarily for island-restricted species occupying virtually all terrestrial habitats on the island (e.g., Socorro Wren, Cocos Flycatcher).</t>
  </si>
  <si>
    <t>Isolated oceanic islands beyond the continental shelf or continental coastal marine zone; used primarily for nesting seabirds.</t>
  </si>
  <si>
    <t>Oceans</t>
  </si>
  <si>
    <t>Open marine habitat beyond continental shelves.</t>
  </si>
  <si>
    <t>Areas of unfrozen seawater within otherwise contiguous pack or sea ice in the Arctic Ocean or Bering Sea.</t>
  </si>
  <si>
    <t>Open ocean beyond the continental shelf and/or beyond Coasts: Marine Waters.</t>
  </si>
  <si>
    <t>Grasslands</t>
  </si>
  <si>
    <t>Native and surrogate grasslands (e.g., hayfields and rangeland), but excluding row-crop agricultural systems.</t>
  </si>
  <si>
    <t>Shortgrass, tallgrass, and mixed-grass native prairies and rangelands in north temperate latitudes that support grassland birds.</t>
  </si>
  <si>
    <t>Arid grasslands of northern Mexico and the southwestern U.S. centered on the Mexican state of Chihuahua.</t>
  </si>
  <si>
    <t>Grasslands between the Tropic of Cancer and Capricorn, including high-elevation grasslands in Mesoamerican sierras (excluding paramo), lowland tropical savannas, and the Llanos of South America.</t>
  </si>
  <si>
    <t>Grasslands and rangelands south of the Tropic of Capricorn, including the Pampas, Campos, and Southern Cone grasslands.</t>
  </si>
  <si>
    <t>Aridlands</t>
  </si>
  <si>
    <t>All arid shrub-dominated communities.</t>
  </si>
  <si>
    <t>Mostly but not exclusively sagebrush-dominated desert and steppes (shrub-steppe) of the Great Basin of western U.S. and southwestern Canada.</t>
  </si>
  <si>
    <t>Mediterranean forest, woodland, and shrub communities, primarily coastal California and Baja (including coastal sage) and similar shrub habitats in the interior Southwest.</t>
  </si>
  <si>
    <t>Broad range of desert shrub communities including Mojave, Sonoran, Chihuahuan, and Mexican Central Plateau deserts.</t>
  </si>
  <si>
    <t>Mesic shrub and tree communities along rivers and other wetlands in otherwise predominantly desert ecosystems.</t>
  </si>
  <si>
    <t>Desert shrub communities in tropical arid coastal, lowland, high-elevation montane, and xeric intermontane valleys.</t>
  </si>
  <si>
    <t>Open Country</t>
  </si>
  <si>
    <t>Broad array of habitat classes dominated by open horizons and non-contiguous patches of landcover types.</t>
  </si>
  <si>
    <t>Predominantly open country characterized by a mosaic of different, mostly native, habitat types; e.g., a combination of forest or woodland patches, gallery forest, brushy edges, regenerating forest, freshwater marsh, and/or pastures; differs from habitat generalist occurrence in that assigned species are dependent on the array of different habitat types rather than simply occurring in different habitats; e.g., Red-tailed Hawk, Roadside Hawk.</t>
  </si>
  <si>
    <r>
      <rPr>
        <sz val="11"/>
        <color theme="1"/>
        <rFont val="Calibri"/>
      </rPr>
      <t xml:space="preserve">Similar to </t>
    </r>
    <r>
      <rPr>
        <i/>
        <sz val="11"/>
        <color theme="1"/>
        <rFont val="Calibri"/>
      </rPr>
      <t>Open Country: Habitat Mosaic</t>
    </r>
    <r>
      <rPr>
        <sz val="11"/>
        <color theme="1"/>
        <rFont val="Calibri"/>
      </rPr>
      <t>, but dominated by occurrence in human-altered landcover: agriculture (especially row-crop), urban spaces and structures, parks, roadsides, drainage ditches, gardens.</t>
    </r>
  </si>
  <si>
    <t>Forests</t>
  </si>
  <si>
    <t>All forest and woodland types, from old-growth conifers and tropical rainforests to arid thorn forest, including all seral stages (e.g., early successional, second-growth).</t>
  </si>
  <si>
    <r>
      <rPr>
        <sz val="11"/>
        <color theme="1"/>
        <rFont val="Calibri"/>
      </rPr>
      <t xml:space="preserve">Boreal forests of Canada and Alaska and extending into the boreal zone (primarily spruce-fir) of high mountains in the western and northeastern U.S.; also the boreal/hardwood transition of the Upper Midwest and Appalachian and associated mountain ridges (in cases where species occurrence is not more strongly associated with Temperate Eastern Forest types). Species assigned to this habitat category are ecologically dependent on forest vegetation and associated resources (vs. aquatic resources, as in </t>
    </r>
    <r>
      <rPr>
        <i/>
        <sz val="11"/>
        <color theme="1"/>
        <rFont val="Calibri"/>
      </rPr>
      <t>Wetlands: Boreal</t>
    </r>
    <r>
      <rPr>
        <sz val="11"/>
        <color theme="1"/>
        <rFont val="Calibri"/>
      </rPr>
      <t xml:space="preserve"> or </t>
    </r>
    <r>
      <rPr>
        <i/>
        <sz val="11"/>
        <color theme="1"/>
        <rFont val="Calibri"/>
      </rPr>
      <t>Wetlands: Forested</t>
    </r>
    <r>
      <rPr>
        <sz val="11"/>
        <color theme="1"/>
        <rFont val="Calibri"/>
      </rPr>
      <t xml:space="preserve"> categories).</t>
    </r>
  </si>
  <si>
    <t>All forest types of eastern U.S. and southeastern Canada (south of the Boreal), including northern hardwoods, northern pine, oak-hickory, pine-oak, maple-basswood, southern pine, and bottomland hardwood associations.</t>
  </si>
  <si>
    <t>All forest types of western U.S., Canada (south of the Boreal), and extending in high mountains south into northwestern Mexico. Includes Pacific Northwest rainforest; all western conifer, aspen, oak-dominated, and riparian forests; pinyon-juniper; Edward's Plateau juniper-oak woodlands; and high-elevation conifer forests of northwestern Mexico (above the pine-oak zone).</t>
  </si>
  <si>
    <t>Species occurs in roughly equal abundance in three or more temperate or boreal forest habitat types.</t>
  </si>
  <si>
    <r>
      <rPr>
        <sz val="11"/>
        <color theme="1"/>
        <rFont val="Calibri"/>
      </rPr>
      <t xml:space="preserve">High elevation conifer-dominated forests from central Mexico south to Honduras above pine-oak forest zone. Includes some tropical elements (e.g., epiphytes) not present in </t>
    </r>
    <r>
      <rPr>
        <i/>
        <sz val="11"/>
        <color theme="1"/>
        <rFont val="Calibri"/>
      </rPr>
      <t>Forests: Temperate Western</t>
    </r>
    <r>
      <rPr>
        <sz val="11"/>
        <color theme="1"/>
        <rFont val="Calibri"/>
      </rPr>
      <t xml:space="preserve"> but lacks broadleaf diversity of </t>
    </r>
    <r>
      <rPr>
        <i/>
        <sz val="11"/>
        <color theme="1"/>
        <rFont val="Calibri"/>
      </rPr>
      <t>Forests: Tropical Montane Evergreen</t>
    </r>
    <r>
      <rPr>
        <sz val="11"/>
        <color theme="1"/>
        <rFont val="Calibri"/>
      </rPr>
      <t>.</t>
    </r>
  </si>
  <si>
    <t>Distinctive Madrean pine-oak forests from "sky islands" of southeastern Arizona to western Texas, through the Mexican cordilleras, and south through Central America to El Salvador and northern Nicaragua. Ratio of pine/oak may vary from predominantly pine to predominantly oak.</t>
  </si>
  <si>
    <t>High elevation tropical broadleaf evergreen forest that is wet throughout the year, with tree branches and trunks typically covered with epiphytes. Includes pre-montane and humid montane forests as well as Cloud Forest.</t>
  </si>
  <si>
    <t>Humid forests ("rainforests") of tropical lowlands and lower montane slopes (i.e., includes upper tropical and/or subtropical zones).</t>
  </si>
  <si>
    <t>Broad array of deciduous and semi-deciduous forests, including arid thorn forest; found primarily on Pacific slope from northwestern Mexico to northwestern Costa Rica, but also including Tamaulipan thorn-scrub and dry forests of Yucatan and other transitional areas.</t>
  </si>
  <si>
    <t>Species occurs in roughly equal abundance in three or more tropical forest habitat types.</t>
  </si>
  <si>
    <t>Widespread species that occurs in roughly equal abundance in three or more major forest habitat categories (which can include both temperate and tropical forest types).</t>
  </si>
  <si>
    <t>[xxx] Aerial</t>
  </si>
  <si>
    <r>
      <rPr>
        <sz val="11"/>
        <color theme="1"/>
        <rFont val="Calibri"/>
      </rPr>
      <t xml:space="preserve">Denotes the airspace as essential habitat, reserved for non-seabird species that spend the predominant portion of their day in flight; a </t>
    </r>
    <r>
      <rPr>
        <i/>
        <sz val="11"/>
        <color theme="1"/>
        <rFont val="Calibri"/>
      </rPr>
      <t>Habitat Class</t>
    </r>
    <r>
      <rPr>
        <sz val="11"/>
        <color theme="1"/>
        <rFont val="Calibri"/>
      </rPr>
      <t xml:space="preserve"> (i.e., Level 1) with prefix denoting a species' primary non-aerial Habitat Class association (e.g., Aridlands Aerial, Forest Aerial, etc.) over which it is most frequently observed.</t>
    </r>
  </si>
  <si>
    <t>36*</t>
  </si>
  <si>
    <t>15*</t>
  </si>
  <si>
    <t>34*</t>
  </si>
  <si>
    <t>9*</t>
  </si>
  <si>
    <t>94*</t>
  </si>
  <si>
    <t>Aridlands Aerial</t>
  </si>
  <si>
    <t>[Level 2 habitat related to habitat class]</t>
  </si>
  <si>
    <t>Over arid shrub-dominated communities.</t>
  </si>
  <si>
    <t>Coasts Aerial</t>
  </si>
  <si>
    <t>Over all haitats associated with the marine coastal zone, including mangroves.</t>
  </si>
  <si>
    <t>Forest Aerial</t>
  </si>
  <si>
    <t>Over forest and woodland types, from old-growth conifers and tropical rainforests to arid thorn forest, including all seral stages.</t>
  </si>
  <si>
    <t>Open Country Aerial</t>
  </si>
  <si>
    <t xml:space="preserve">Over a broad array of habitat classes dominated by open horizons and non-contiguous patches of landcover types. Open Country </t>
  </si>
  <si>
    <t>Wetlands Aerial</t>
  </si>
  <si>
    <t>Over freshwater inland wetlands of all types, excluding coastal marshes.</t>
  </si>
  <si>
    <t>Non-breeding geography and habitat remains a mystery.</t>
  </si>
  <si>
    <t>Species commonly associated with urban/suburban landscapes during the breeding season and generally commensal with people in those landscapes—e.g., birds of developed urban spaces, urban/suburban parks, domestic gardens, etc. Currently no strict criteria for inclusion other than expert opinion, and so subject to further review. Denoted by "yes" in column, with the expectation of upcoming designations for both breeding and nonbreeding seasons.</t>
  </si>
  <si>
    <t>Species that can be found frequently in agricultural systems and landscapes, including row-crop agriculture, pastures, orchards, etc. No strict criteria for inclusion other than being mentioned in composite habitat columns in previous versions of the ACAD. Denoted in database column by "b" for breeding season, "w" for winter (stationary nonbreeding season), and "b,w" for both seasons.</t>
  </si>
  <si>
    <t>TOTALS</t>
  </si>
  <si>
    <t>* aerial totals included with terrestrial categories above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</si>
</sst>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_);_(* \(#,##0\);_(* &quot;-&quot;??_);_(@_)"/>
  </numFmts>
  <fonts count="6" x14ac:knownFonts="1">
    <font>
      <sz val="11"/>
      <color theme="1"/>
      <name val="Calibri"/>
      <scheme val="minor"/>
    </font>
    <font>
      <sz val="11"/>
      <color theme="1"/>
      <name val="Calibri"/>
    </font>
    <font>
      <sz val="11"/>
      <color theme="1"/>
      <name val="Calibri"/>
      <scheme val="minor"/>
    </font>
    <font>
      <u/>
      <sz val="11"/>
      <color theme="1"/>
      <name val="Calibri"/>
    </font>
    <font>
      <b/>
      <sz val="11"/>
      <color theme="1"/>
      <name val="Calibri"/>
    </font>
    <font>
      <i/>
      <sz val="11"/>
      <color theme="1"/>
      <name val="Calibri"/>
    </font>
  </fonts>
  <fills count="15">
    <fill>
      <patternFill patternType="none"/>
    </fill>
    <fill>
      <patternFill patternType="gray125"/>
    </fill>
    <fill>
      <patternFill patternType="solid">
        <fgColor rgb="FFFFFFCC"/>
        <bgColor rgb="FFFFFFCC"/>
      </patternFill>
    </fill>
    <fill>
      <patternFill patternType="solid">
        <fgColor rgb="FFD6E3BC"/>
        <bgColor rgb="FFD6E3BC"/>
      </patternFill>
    </fill>
    <fill>
      <patternFill patternType="solid">
        <fgColor rgb="FFE5DFEC"/>
        <bgColor rgb="FFE5DFEC"/>
      </patternFill>
    </fill>
    <fill>
      <patternFill patternType="solid">
        <fgColor rgb="FFF2DBDB"/>
        <bgColor rgb="FFF2DBDB"/>
      </patternFill>
    </fill>
    <fill>
      <patternFill patternType="solid">
        <fgColor rgb="FFDBE5F1"/>
        <bgColor rgb="FFDBE5F1"/>
      </patternFill>
    </fill>
    <fill>
      <patternFill patternType="solid">
        <fgColor rgb="FFEAF1DD"/>
        <bgColor rgb="FFEAF1DD"/>
      </patternFill>
    </fill>
    <fill>
      <patternFill patternType="solid">
        <fgColor rgb="FFFDE9D9"/>
        <bgColor rgb="FFFDE9D9"/>
      </patternFill>
    </fill>
    <fill>
      <patternFill patternType="solid">
        <fgColor rgb="FFEEECE1"/>
        <bgColor rgb="FFEEECE1"/>
      </patternFill>
    </fill>
    <fill>
      <patternFill patternType="solid">
        <fgColor rgb="FFDDD9C3"/>
        <bgColor rgb="FFDDD9C3"/>
      </patternFill>
    </fill>
    <fill>
      <patternFill patternType="solid">
        <fgColor rgb="FFCCC0D9"/>
        <bgColor rgb="FFCCC0D9"/>
      </patternFill>
    </fill>
    <fill>
      <patternFill patternType="solid">
        <fgColor rgb="FFC2D69B"/>
        <bgColor rgb="FFC2D69B"/>
      </patternFill>
    </fill>
    <fill>
      <patternFill patternType="solid">
        <fgColor rgb="FFFBD4B4"/>
        <bgColor rgb="FFFBD4B4"/>
      </patternFill>
    </fill>
    <fill>
      <patternFill patternType="solid">
        <fgColor rgb="FFD8D8D8"/>
        <bgColor rgb="FFD8D8D8"/>
      </patternFill>
    </fill>
  </fills>
  <borders count="3">
    <border>
      <left/>
      <right/>
      <top/>
      <bottom/>
      <diagonal/>
    </border>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8">
    <xf numFmtId="0" fontId="0" fillId="0" borderId="0" xfId="0"/>
    <xf numFmtId="0" fontId="1" fillId="2" borderId="1" xfId="0" applyFont="1" applyFill="1" applyBorder="1"/>
    <xf numFmtId="0" fontId="1" fillId="3" borderId="1" xfId="0" applyFont="1" applyFill="1" applyBorder="1"/>
    <xf numFmtId="0" fontId="2" fillId="0" borderId="0" xfId="0" applyFont="1"/>
    <xf numFmtId="0" fontId="1" fillId="4" borderId="1" xfId="0" applyFont="1" applyFill="1" applyBorder="1"/>
    <xf numFmtId="0" fontId="1" fillId="4" borderId="1" xfId="0" applyFont="1" applyFill="1" applyBorder="1" applyAlignment="1">
      <alignment horizontal="right"/>
    </xf>
    <xf numFmtId="164" fontId="1" fillId="4" borderId="1" xfId="0" applyNumberFormat="1" applyFont="1" applyFill="1" applyBorder="1"/>
    <xf numFmtId="0" fontId="1" fillId="5" borderId="1" xfId="0" applyFont="1" applyFill="1" applyBorder="1"/>
    <xf numFmtId="164" fontId="1" fillId="5" borderId="1" xfId="0" applyNumberFormat="1" applyFont="1" applyFill="1" applyBorder="1"/>
    <xf numFmtId="0" fontId="1" fillId="6" borderId="1" xfId="0" applyFont="1" applyFill="1" applyBorder="1"/>
    <xf numFmtId="164" fontId="1" fillId="6" borderId="1" xfId="0" applyNumberFormat="1" applyFont="1" applyFill="1" applyBorder="1"/>
    <xf numFmtId="0" fontId="1" fillId="7" borderId="1" xfId="0" applyFont="1" applyFill="1" applyBorder="1"/>
    <xf numFmtId="0" fontId="1" fillId="8" borderId="1" xfId="0" applyFont="1" applyFill="1" applyBorder="1"/>
    <xf numFmtId="2" fontId="1" fillId="4" borderId="1" xfId="0" applyNumberFormat="1" applyFont="1" applyFill="1" applyBorder="1"/>
    <xf numFmtId="0" fontId="1" fillId="9" borderId="1" xfId="0" applyFont="1" applyFill="1" applyBorder="1"/>
    <xf numFmtId="0" fontId="1" fillId="10" borderId="1" xfId="0" applyFont="1" applyFill="1" applyBorder="1"/>
    <xf numFmtId="3" fontId="1" fillId="4" borderId="1" xfId="0" applyNumberFormat="1" applyFont="1" applyFill="1" applyBorder="1" applyAlignment="1">
      <alignment horizontal="right"/>
    </xf>
    <xf numFmtId="164" fontId="1" fillId="4" borderId="1" xfId="0" applyNumberFormat="1" applyFont="1" applyFill="1" applyBorder="1" applyAlignment="1">
      <alignment horizontal="right"/>
    </xf>
    <xf numFmtId="0" fontId="3" fillId="0" borderId="0" xfId="0" applyFont="1"/>
    <xf numFmtId="0" fontId="4" fillId="11" borderId="1" xfId="0" applyFont="1" applyFill="1" applyBorder="1" applyAlignment="1">
      <alignment horizontal="center" vertical="center" wrapText="1"/>
    </xf>
    <xf numFmtId="0" fontId="1" fillId="0" borderId="0" xfId="0" applyFont="1" applyAlignment="1">
      <alignment horizontal="left" vertical="center"/>
    </xf>
    <xf numFmtId="0" fontId="4" fillId="0" borderId="0" xfId="0" applyFont="1" applyAlignment="1">
      <alignment horizontal="center" vertical="center" wrapText="1"/>
    </xf>
    <xf numFmtId="0" fontId="4" fillId="12"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4" fillId="13" borderId="1" xfId="0" applyFont="1" applyFill="1" applyBorder="1" applyAlignment="1">
      <alignment horizontal="center" vertical="center" wrapText="1"/>
    </xf>
    <xf numFmtId="0" fontId="1" fillId="0" borderId="0" xfId="0" applyFont="1" applyAlignment="1">
      <alignment vertical="center"/>
    </xf>
    <xf numFmtId="0" fontId="1" fillId="0" borderId="0" xfId="0" applyFont="1" applyAlignment="1">
      <alignment horizontal="center" vertical="center"/>
    </xf>
    <xf numFmtId="0" fontId="4" fillId="0" borderId="0" xfId="0" applyFont="1" applyAlignment="1">
      <alignment horizontal="center" vertical="center"/>
    </xf>
    <xf numFmtId="0" fontId="4" fillId="0" borderId="0" xfId="0" applyFont="1" applyAlignment="1">
      <alignment vertical="center"/>
    </xf>
    <xf numFmtId="0" fontId="4" fillId="13" borderId="1" xfId="0" applyFont="1" applyFill="1" applyBorder="1" applyAlignment="1">
      <alignment vertical="center"/>
    </xf>
    <xf numFmtId="0" fontId="1" fillId="13" borderId="1" xfId="0" applyFont="1" applyFill="1" applyBorder="1" applyAlignment="1">
      <alignment vertical="center"/>
    </xf>
    <xf numFmtId="0" fontId="1" fillId="13" borderId="1" xfId="0" applyFont="1" applyFill="1" applyBorder="1" applyAlignment="1">
      <alignment vertical="center" wrapText="1"/>
    </xf>
    <xf numFmtId="0" fontId="4" fillId="13" borderId="2" xfId="0" applyFont="1" applyFill="1" applyBorder="1" applyAlignment="1">
      <alignment horizontal="center" vertical="center"/>
    </xf>
    <xf numFmtId="0" fontId="4" fillId="13" borderId="1" xfId="0" applyFont="1" applyFill="1" applyBorder="1" applyAlignment="1">
      <alignment horizontal="center" vertical="center"/>
    </xf>
    <xf numFmtId="0" fontId="5" fillId="0" borderId="0" xfId="0" applyFont="1" applyAlignment="1">
      <alignment vertical="center"/>
    </xf>
    <xf numFmtId="0" fontId="1" fillId="0" borderId="0" xfId="0" applyFont="1" applyAlignment="1">
      <alignment vertical="center" wrapText="1"/>
    </xf>
    <xf numFmtId="0" fontId="5" fillId="0" borderId="0" xfId="0" applyFont="1" applyAlignment="1">
      <alignment horizontal="left" vertical="center"/>
    </xf>
    <xf numFmtId="0" fontId="1" fillId="0" borderId="0" xfId="0" applyFont="1" applyAlignment="1">
      <alignment horizontal="left" vertical="center" wrapText="1"/>
    </xf>
    <xf numFmtId="0" fontId="4" fillId="3" borderId="1" xfId="0" applyFont="1" applyFill="1" applyBorder="1" applyAlignment="1">
      <alignment vertical="center"/>
    </xf>
    <xf numFmtId="0" fontId="1" fillId="3" borderId="1" xfId="0" applyFont="1" applyFill="1" applyBorder="1" applyAlignment="1">
      <alignment vertical="center"/>
    </xf>
    <xf numFmtId="0" fontId="1" fillId="3" borderId="1" xfId="0" applyFont="1" applyFill="1" applyBorder="1" applyAlignment="1">
      <alignment vertical="center" wrapText="1"/>
    </xf>
    <xf numFmtId="0" fontId="4" fillId="3" borderId="2" xfId="0" quotePrefix="1" applyFont="1" applyFill="1" applyBorder="1" applyAlignment="1">
      <alignment horizontal="center" vertical="center"/>
    </xf>
    <xf numFmtId="0" fontId="1" fillId="13" borderId="2" xfId="0" applyFont="1" applyFill="1" applyBorder="1" applyAlignment="1">
      <alignment horizontal="center" vertical="center"/>
    </xf>
    <xf numFmtId="0" fontId="4" fillId="0" borderId="0" xfId="0" applyFont="1" applyAlignment="1">
      <alignment horizontal="left" vertical="center"/>
    </xf>
    <xf numFmtId="0" fontId="1" fillId="0" borderId="0" xfId="0" applyFont="1" applyAlignment="1">
      <alignment wrapText="1"/>
    </xf>
    <xf numFmtId="0" fontId="1" fillId="14" borderId="1" xfId="0" applyFont="1" applyFill="1" applyBorder="1" applyAlignment="1">
      <alignment vertical="center"/>
    </xf>
    <xf numFmtId="0" fontId="1" fillId="14" borderId="1" xfId="0" applyFont="1" applyFill="1" applyBorder="1" applyAlignment="1">
      <alignment horizontal="center" vertical="center"/>
    </xf>
    <xf numFmtId="0" fontId="4" fillId="0" borderId="0" xfId="0" applyFont="1" applyAlignment="1">
      <alignment horizontal="righ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W1614"/>
  <sheetViews>
    <sheetView tabSelected="1" workbookViewId="0">
      <pane xSplit="2" ySplit="1" topLeftCell="C2" activePane="bottomRight" state="frozen"/>
      <selection pane="topRight" activeCell="C1" sqref="C1"/>
      <selection pane="bottomLeft" activeCell="A2" sqref="A2"/>
      <selection pane="bottomRight" activeCell="C2" sqref="C2"/>
    </sheetView>
  </sheetViews>
  <sheetFormatPr defaultColWidth="14.42578125" defaultRowHeight="15" customHeight="1" x14ac:dyDescent="0.25"/>
  <cols>
    <col min="1" max="1" width="6.5703125" customWidth="1"/>
    <col min="2" max="2" width="32.7109375" customWidth="1"/>
    <col min="3" max="3" width="31.28515625" customWidth="1"/>
    <col min="4" max="4" width="9.85546875" customWidth="1"/>
    <col min="5" max="5" width="19.5703125" customWidth="1"/>
    <col min="6" max="6" width="17.28515625" customWidth="1"/>
    <col min="7" max="7" width="16.42578125" customWidth="1"/>
    <col min="8" max="8" width="9.42578125" customWidth="1"/>
    <col min="9" max="9" width="6.7109375" customWidth="1"/>
    <col min="10" max="10" width="9.42578125" customWidth="1"/>
    <col min="11" max="11" width="11.7109375" customWidth="1"/>
    <col min="12" max="12" width="12.140625" customWidth="1"/>
    <col min="13" max="13" width="12.7109375" customWidth="1"/>
    <col min="14" max="14" width="19" customWidth="1"/>
    <col min="15" max="15" width="6.85546875" customWidth="1"/>
    <col min="16" max="16" width="38.140625" customWidth="1"/>
    <col min="17" max="17" width="32" customWidth="1"/>
    <col min="18" max="18" width="16.5703125" customWidth="1"/>
    <col min="19" max="21" width="14.85546875" customWidth="1"/>
    <col min="22" max="22" width="8.28515625" customWidth="1"/>
    <col min="23" max="23" width="23.5703125" customWidth="1"/>
    <col min="24" max="24" width="37.42578125" customWidth="1"/>
    <col min="25" max="25" width="7.28515625" customWidth="1"/>
    <col min="26" max="26" width="14.85546875" customWidth="1"/>
    <col min="27" max="27" width="15.7109375" customWidth="1"/>
    <col min="28" max="28" width="22.140625" customWidth="1"/>
    <col min="29" max="29" width="7.42578125" customWidth="1"/>
    <col min="30" max="30" width="14.85546875" customWidth="1"/>
    <col min="31" max="31" width="16.28515625" customWidth="1"/>
    <col min="32" max="32" width="33.7109375" customWidth="1"/>
    <col min="33" max="33" width="6.85546875" customWidth="1"/>
    <col min="34" max="34" width="27.28515625" customWidth="1"/>
    <col min="35" max="35" width="47" customWidth="1"/>
    <col min="36" max="36" width="7.28515625" customWidth="1"/>
    <col min="37" max="37" width="15.5703125" customWidth="1"/>
    <col min="38" max="38" width="7.140625" customWidth="1"/>
    <col min="39" max="39" width="26.7109375" customWidth="1"/>
    <col min="40" max="40" width="44.85546875" customWidth="1"/>
    <col min="41" max="41" width="7.7109375" customWidth="1"/>
    <col min="42" max="42" width="16" customWidth="1"/>
    <col min="43" max="43" width="6.7109375" customWidth="1"/>
    <col min="44" max="44" width="29.28515625" customWidth="1"/>
    <col min="45" max="45" width="22.42578125" customWidth="1"/>
    <col min="46" max="46" width="13.42578125" customWidth="1"/>
    <col min="47" max="47" width="16.28515625" customWidth="1"/>
    <col min="48" max="48" width="16.5703125" customWidth="1"/>
    <col min="49" max="49" width="17.140625" customWidth="1"/>
    <col min="50" max="50" width="7.7109375" customWidth="1"/>
    <col min="51" max="51" width="13.5703125" customWidth="1"/>
    <col min="52" max="52" width="16.5703125" customWidth="1"/>
    <col min="53" max="53" width="16.7109375" customWidth="1"/>
    <col min="54" max="54" width="17.28515625" customWidth="1"/>
    <col min="55" max="55" width="7.85546875" customWidth="1"/>
    <col min="56" max="56" width="10.140625" customWidth="1"/>
    <col min="57" max="57" width="20" customWidth="1"/>
    <col min="58" max="58" width="12.42578125" customWidth="1"/>
    <col min="59" max="59" width="9" customWidth="1"/>
    <col min="60" max="61" width="12" customWidth="1"/>
    <col min="62" max="62" width="10.5703125" customWidth="1"/>
    <col min="63" max="64" width="8.28515625" customWidth="1"/>
    <col min="65" max="65" width="10.7109375" customWidth="1"/>
    <col min="66" max="66" width="47.42578125" customWidth="1"/>
    <col min="67" max="67" width="19.140625" customWidth="1"/>
    <col min="68" max="68" width="8.28515625" customWidth="1"/>
    <col min="69" max="69" width="12.7109375" customWidth="1"/>
    <col min="70" max="71" width="34.5703125" customWidth="1"/>
    <col min="72" max="72" width="39.5703125" customWidth="1"/>
    <col min="73" max="73" width="27.85546875" customWidth="1"/>
    <col min="74" max="74" width="38.42578125" customWidth="1"/>
    <col min="75" max="75" width="27.28515625" customWidth="1"/>
  </cols>
  <sheetData>
    <row r="1" spans="1:75" ht="14.25" customHeight="1" x14ac:dyDescent="0.25">
      <c r="A1" s="1" t="s">
        <v>0</v>
      </c>
      <c r="B1" s="1" t="s">
        <v>1</v>
      </c>
      <c r="C1" s="1" t="s">
        <v>2</v>
      </c>
      <c r="D1" s="1" t="s">
        <v>3</v>
      </c>
      <c r="E1" s="1" t="s">
        <v>4</v>
      </c>
      <c r="F1" s="1" t="s">
        <v>5</v>
      </c>
      <c r="G1" s="1" t="s">
        <v>6</v>
      </c>
      <c r="H1" s="2" t="s">
        <v>7</v>
      </c>
      <c r="I1" s="2" t="s">
        <v>8</v>
      </c>
      <c r="J1" s="2" t="s">
        <v>9</v>
      </c>
      <c r="K1" s="2" t="s">
        <v>10</v>
      </c>
      <c r="L1" s="3" t="s">
        <v>11</v>
      </c>
      <c r="M1" s="3" t="s">
        <v>12</v>
      </c>
      <c r="N1" s="3" t="s">
        <v>13</v>
      </c>
      <c r="O1" s="4" t="s">
        <v>14</v>
      </c>
      <c r="P1" s="4" t="s">
        <v>15</v>
      </c>
      <c r="Q1" s="4" t="s">
        <v>16</v>
      </c>
      <c r="R1" s="5" t="s">
        <v>17</v>
      </c>
      <c r="S1" s="6" t="s">
        <v>18</v>
      </c>
      <c r="T1" s="6" t="s">
        <v>19</v>
      </c>
      <c r="U1" s="6" t="s">
        <v>20</v>
      </c>
      <c r="V1" s="4" t="s">
        <v>21</v>
      </c>
      <c r="W1" s="4" t="s">
        <v>22</v>
      </c>
      <c r="X1" s="4" t="s">
        <v>23</v>
      </c>
      <c r="Y1" s="7" t="s">
        <v>24</v>
      </c>
      <c r="Z1" s="8" t="s">
        <v>25</v>
      </c>
      <c r="AA1" s="7" t="s">
        <v>26</v>
      </c>
      <c r="AB1" s="7" t="s">
        <v>27</v>
      </c>
      <c r="AC1" s="9" t="s">
        <v>28</v>
      </c>
      <c r="AD1" s="10" t="s">
        <v>29</v>
      </c>
      <c r="AE1" s="9" t="s">
        <v>30</v>
      </c>
      <c r="AF1" s="9" t="s">
        <v>31</v>
      </c>
      <c r="AG1" s="11" t="s">
        <v>32</v>
      </c>
      <c r="AH1" s="11" t="s">
        <v>33</v>
      </c>
      <c r="AI1" s="11" t="s">
        <v>34</v>
      </c>
      <c r="AJ1" s="11" t="s">
        <v>35</v>
      </c>
      <c r="AK1" s="11" t="s">
        <v>36</v>
      </c>
      <c r="AL1" s="12" t="s">
        <v>37</v>
      </c>
      <c r="AM1" s="12" t="s">
        <v>38</v>
      </c>
      <c r="AN1" s="12" t="s">
        <v>39</v>
      </c>
      <c r="AO1" s="12" t="s">
        <v>40</v>
      </c>
      <c r="AP1" s="12" t="s">
        <v>41</v>
      </c>
      <c r="AQ1" s="4" t="s">
        <v>42</v>
      </c>
      <c r="AR1" s="4" t="s">
        <v>43</v>
      </c>
      <c r="AS1" s="4" t="s">
        <v>44</v>
      </c>
      <c r="AT1" s="13" t="s">
        <v>45</v>
      </c>
      <c r="AU1" s="13" t="s">
        <v>46</v>
      </c>
      <c r="AV1" s="13" t="s">
        <v>47</v>
      </c>
      <c r="AW1" s="13" t="s">
        <v>48</v>
      </c>
      <c r="AX1" s="4" t="s">
        <v>49</v>
      </c>
      <c r="AY1" s="13" t="s">
        <v>50</v>
      </c>
      <c r="AZ1" s="13" t="s">
        <v>51</v>
      </c>
      <c r="BA1" s="13" t="s">
        <v>52</v>
      </c>
      <c r="BB1" s="13" t="s">
        <v>53</v>
      </c>
      <c r="BC1" s="4" t="s">
        <v>54</v>
      </c>
      <c r="BD1" s="4" t="s">
        <v>55</v>
      </c>
      <c r="BE1" s="4" t="s">
        <v>56</v>
      </c>
      <c r="BF1" s="13" t="s">
        <v>57</v>
      </c>
      <c r="BG1" s="4" t="s">
        <v>58</v>
      </c>
      <c r="BH1" s="13" t="s">
        <v>59</v>
      </c>
      <c r="BI1" s="13" t="s">
        <v>60</v>
      </c>
      <c r="BJ1" s="4" t="s">
        <v>61</v>
      </c>
      <c r="BK1" s="14" t="s">
        <v>62</v>
      </c>
      <c r="BL1" s="14" t="s">
        <v>63</v>
      </c>
      <c r="BM1" s="14" t="s">
        <v>64</v>
      </c>
      <c r="BN1" s="3" t="s">
        <v>65</v>
      </c>
      <c r="BO1" s="3" t="s">
        <v>66</v>
      </c>
      <c r="BP1" s="15" t="s">
        <v>67</v>
      </c>
      <c r="BQ1" s="15" t="s">
        <v>68</v>
      </c>
      <c r="BR1" s="2" t="s">
        <v>69</v>
      </c>
      <c r="BS1" s="2" t="s">
        <v>70</v>
      </c>
      <c r="BT1" s="7" t="s">
        <v>71</v>
      </c>
      <c r="BU1" s="7" t="s">
        <v>72</v>
      </c>
      <c r="BV1" s="9" t="s">
        <v>73</v>
      </c>
      <c r="BW1" s="9" t="s">
        <v>74</v>
      </c>
    </row>
    <row r="2" spans="1:75" ht="14.25" customHeight="1" x14ac:dyDescent="0.25">
      <c r="A2" s="1">
        <v>1</v>
      </c>
      <c r="B2" s="1" t="s">
        <v>75</v>
      </c>
      <c r="C2" s="1" t="s">
        <v>76</v>
      </c>
      <c r="D2" s="1" t="s">
        <v>77</v>
      </c>
      <c r="E2" s="1" t="s">
        <v>78</v>
      </c>
      <c r="F2" s="1" t="s">
        <v>79</v>
      </c>
      <c r="G2" s="1"/>
      <c r="H2" s="2">
        <v>0</v>
      </c>
      <c r="I2" s="2">
        <v>0</v>
      </c>
      <c r="J2" s="2">
        <v>0</v>
      </c>
      <c r="K2" s="2">
        <v>1</v>
      </c>
      <c r="L2" s="3" t="s">
        <v>80</v>
      </c>
      <c r="O2" s="4">
        <v>4</v>
      </c>
      <c r="P2" s="4" t="s">
        <v>81</v>
      </c>
      <c r="Q2" s="4"/>
      <c r="R2" s="5"/>
      <c r="S2" s="6"/>
      <c r="T2" s="6"/>
      <c r="U2" s="6"/>
      <c r="V2" s="4"/>
      <c r="W2" s="4"/>
      <c r="X2" s="4"/>
      <c r="Y2" s="7">
        <v>4</v>
      </c>
      <c r="Z2" s="8">
        <v>138446</v>
      </c>
      <c r="AA2" s="7" t="s">
        <v>82</v>
      </c>
      <c r="AB2" s="7"/>
      <c r="AC2" s="9">
        <v>4</v>
      </c>
      <c r="AD2" s="10">
        <v>138446</v>
      </c>
      <c r="AE2" s="9" t="s">
        <v>82</v>
      </c>
      <c r="AF2" s="9"/>
      <c r="AG2" s="11">
        <v>3</v>
      </c>
      <c r="AH2" s="11" t="s">
        <v>83</v>
      </c>
      <c r="AI2" s="11" t="s">
        <v>84</v>
      </c>
      <c r="AJ2" s="11"/>
      <c r="AK2" s="11"/>
      <c r="AL2" s="12">
        <v>3</v>
      </c>
      <c r="AM2" s="12" t="s">
        <v>83</v>
      </c>
      <c r="AN2" s="12"/>
      <c r="AO2" s="12"/>
      <c r="AP2" s="12"/>
      <c r="AQ2" s="4">
        <v>4</v>
      </c>
      <c r="AR2" s="4" t="s">
        <v>83</v>
      </c>
      <c r="AS2" s="4" t="s">
        <v>85</v>
      </c>
      <c r="AT2" s="13"/>
      <c r="AU2" s="13"/>
      <c r="AV2" s="13"/>
      <c r="AW2" s="13"/>
      <c r="AX2" s="4"/>
      <c r="AY2" s="13"/>
      <c r="AZ2" s="13"/>
      <c r="BA2" s="13"/>
      <c r="BB2" s="13"/>
      <c r="BC2" s="4"/>
      <c r="BD2" s="4"/>
      <c r="BE2" s="4"/>
      <c r="BF2" s="13"/>
      <c r="BG2" s="4"/>
      <c r="BH2" s="13"/>
      <c r="BI2" s="13"/>
      <c r="BJ2" s="4"/>
      <c r="BK2" s="14">
        <v>15</v>
      </c>
      <c r="BL2" s="14">
        <v>15</v>
      </c>
      <c r="BM2" s="14">
        <v>15</v>
      </c>
      <c r="BN2" s="3" t="s">
        <v>86</v>
      </c>
      <c r="BP2" s="15"/>
      <c r="BQ2" s="15"/>
      <c r="BR2" s="2" t="s">
        <v>87</v>
      </c>
      <c r="BS2" s="2" t="s">
        <v>87</v>
      </c>
      <c r="BT2" s="7" t="s">
        <v>88</v>
      </c>
      <c r="BU2" s="7"/>
      <c r="BV2" s="9" t="s">
        <v>88</v>
      </c>
      <c r="BW2" s="9"/>
    </row>
    <row r="3" spans="1:75" ht="14.25" customHeight="1" x14ac:dyDescent="0.25">
      <c r="A3" s="1">
        <v>2</v>
      </c>
      <c r="B3" s="1" t="s">
        <v>89</v>
      </c>
      <c r="C3" s="1" t="s">
        <v>90</v>
      </c>
      <c r="D3" s="1" t="s">
        <v>77</v>
      </c>
      <c r="E3" s="1" t="s">
        <v>78</v>
      </c>
      <c r="F3" s="1" t="s">
        <v>79</v>
      </c>
      <c r="G3" s="1"/>
      <c r="H3" s="2">
        <v>0</v>
      </c>
      <c r="I3" s="2">
        <v>0</v>
      </c>
      <c r="J3" s="2">
        <v>1</v>
      </c>
      <c r="K3" s="2">
        <v>1</v>
      </c>
      <c r="L3" s="3" t="s">
        <v>80</v>
      </c>
      <c r="O3" s="4">
        <v>2</v>
      </c>
      <c r="P3" s="4" t="s">
        <v>81</v>
      </c>
      <c r="Q3" s="4" t="s">
        <v>91</v>
      </c>
      <c r="R3" s="5"/>
      <c r="S3" s="6"/>
      <c r="T3" s="6"/>
      <c r="U3" s="6"/>
      <c r="V3" s="4"/>
      <c r="W3" s="4"/>
      <c r="X3" s="4"/>
      <c r="Y3" s="7">
        <v>1</v>
      </c>
      <c r="Z3" s="8">
        <v>6608444</v>
      </c>
      <c r="AA3" s="7" t="s">
        <v>92</v>
      </c>
      <c r="AB3" s="7"/>
      <c r="AC3" s="9">
        <v>1</v>
      </c>
      <c r="AD3" s="10">
        <v>6608444</v>
      </c>
      <c r="AE3" s="9" t="s">
        <v>92</v>
      </c>
      <c r="AF3" s="9"/>
      <c r="AG3" s="11">
        <v>3</v>
      </c>
      <c r="AH3" s="11" t="s">
        <v>93</v>
      </c>
      <c r="AI3" s="11" t="s">
        <v>94</v>
      </c>
      <c r="AJ3" s="11"/>
      <c r="AK3" s="11"/>
      <c r="AL3" s="12">
        <v>3</v>
      </c>
      <c r="AM3" s="12" t="s">
        <v>93</v>
      </c>
      <c r="AN3" s="12" t="s">
        <v>95</v>
      </c>
      <c r="AO3" s="12"/>
      <c r="AP3" s="12"/>
      <c r="AQ3" s="4">
        <v>4</v>
      </c>
      <c r="AR3" s="4" t="s">
        <v>83</v>
      </c>
      <c r="AS3" s="4" t="s">
        <v>96</v>
      </c>
      <c r="AT3" s="13"/>
      <c r="AU3" s="13"/>
      <c r="AV3" s="13"/>
      <c r="AW3" s="13"/>
      <c r="AX3" s="4"/>
      <c r="AY3" s="13"/>
      <c r="AZ3" s="13"/>
      <c r="BA3" s="13"/>
      <c r="BB3" s="13"/>
      <c r="BC3" s="4"/>
      <c r="BD3" s="4"/>
      <c r="BE3" s="4"/>
      <c r="BF3" s="13"/>
      <c r="BG3" s="4"/>
      <c r="BH3" s="13"/>
      <c r="BI3" s="13"/>
      <c r="BJ3" s="4"/>
      <c r="BK3" s="14">
        <v>10</v>
      </c>
      <c r="BL3" s="14">
        <v>10</v>
      </c>
      <c r="BM3" s="14">
        <v>10</v>
      </c>
      <c r="BP3" s="15"/>
      <c r="BQ3" s="15"/>
      <c r="BR3" s="2" t="s">
        <v>97</v>
      </c>
      <c r="BS3" s="2" t="s">
        <v>97</v>
      </c>
      <c r="BT3" s="7" t="s">
        <v>98</v>
      </c>
      <c r="BU3" s="7"/>
      <c r="BV3" s="9" t="s">
        <v>98</v>
      </c>
      <c r="BW3" s="9"/>
    </row>
    <row r="4" spans="1:75" ht="14.25" customHeight="1" x14ac:dyDescent="0.25">
      <c r="A4" s="1">
        <v>3</v>
      </c>
      <c r="B4" s="1" t="s">
        <v>99</v>
      </c>
      <c r="C4" s="1" t="s">
        <v>100</v>
      </c>
      <c r="D4" s="1" t="s">
        <v>77</v>
      </c>
      <c r="E4" s="1" t="s">
        <v>78</v>
      </c>
      <c r="F4" s="1" t="s">
        <v>79</v>
      </c>
      <c r="G4" s="1"/>
      <c r="H4" s="2">
        <v>0</v>
      </c>
      <c r="I4" s="2">
        <v>0</v>
      </c>
      <c r="J4" s="2">
        <v>1</v>
      </c>
      <c r="K4" s="2">
        <v>1</v>
      </c>
      <c r="L4" s="3" t="s">
        <v>80</v>
      </c>
      <c r="O4" s="4">
        <v>3</v>
      </c>
      <c r="P4" s="4" t="s">
        <v>101</v>
      </c>
      <c r="Q4" s="4" t="s">
        <v>102</v>
      </c>
      <c r="R4" s="5"/>
      <c r="S4" s="6"/>
      <c r="T4" s="6"/>
      <c r="U4" s="6"/>
      <c r="V4" s="4"/>
      <c r="W4" s="4"/>
      <c r="X4" s="4"/>
      <c r="Y4" s="7">
        <v>1</v>
      </c>
      <c r="Z4" s="8">
        <v>9557681</v>
      </c>
      <c r="AA4" s="7" t="s">
        <v>92</v>
      </c>
      <c r="AB4" s="7"/>
      <c r="AC4" s="9">
        <v>1</v>
      </c>
      <c r="AD4" s="10">
        <v>9557681</v>
      </c>
      <c r="AE4" s="9" t="s">
        <v>92</v>
      </c>
      <c r="AF4" s="9"/>
      <c r="AG4" s="11">
        <v>3</v>
      </c>
      <c r="AH4" s="11" t="s">
        <v>93</v>
      </c>
      <c r="AI4" s="11" t="s">
        <v>103</v>
      </c>
      <c r="AJ4" s="11"/>
      <c r="AK4" s="11"/>
      <c r="AL4" s="12">
        <v>3</v>
      </c>
      <c r="AM4" s="12" t="s">
        <v>93</v>
      </c>
      <c r="AN4" s="12" t="s">
        <v>95</v>
      </c>
      <c r="AO4" s="12"/>
      <c r="AP4" s="12"/>
      <c r="AQ4" s="4">
        <v>4</v>
      </c>
      <c r="AR4" s="4" t="s">
        <v>83</v>
      </c>
      <c r="AS4" s="4"/>
      <c r="AT4" s="13"/>
      <c r="AU4" s="13"/>
      <c r="AV4" s="13"/>
      <c r="AW4" s="13"/>
      <c r="AX4" s="4"/>
      <c r="AY4" s="13"/>
      <c r="AZ4" s="13"/>
      <c r="BA4" s="13"/>
      <c r="BB4" s="13"/>
      <c r="BC4" s="4"/>
      <c r="BD4" s="4"/>
      <c r="BE4" s="4"/>
      <c r="BF4" s="13"/>
      <c r="BG4" s="4"/>
      <c r="BH4" s="13"/>
      <c r="BI4" s="13"/>
      <c r="BJ4" s="4"/>
      <c r="BK4" s="14">
        <v>11</v>
      </c>
      <c r="BL4" s="14">
        <v>11</v>
      </c>
      <c r="BM4" s="14">
        <v>11</v>
      </c>
      <c r="BP4" s="15"/>
      <c r="BQ4" s="15"/>
      <c r="BR4" s="2" t="s">
        <v>97</v>
      </c>
      <c r="BS4" s="2" t="s">
        <v>97</v>
      </c>
      <c r="BT4" s="7" t="s">
        <v>98</v>
      </c>
      <c r="BU4" s="7"/>
      <c r="BV4" s="9" t="s">
        <v>98</v>
      </c>
      <c r="BW4" s="9"/>
    </row>
    <row r="5" spans="1:75" ht="14.25" customHeight="1" x14ac:dyDescent="0.25">
      <c r="A5" s="1">
        <v>4</v>
      </c>
      <c r="B5" s="1" t="s">
        <v>104</v>
      </c>
      <c r="C5" s="1" t="s">
        <v>105</v>
      </c>
      <c r="D5" s="1" t="s">
        <v>77</v>
      </c>
      <c r="E5" s="1" t="s">
        <v>78</v>
      </c>
      <c r="F5" s="1" t="s">
        <v>79</v>
      </c>
      <c r="G5" s="1"/>
      <c r="H5" s="2">
        <v>0</v>
      </c>
      <c r="I5" s="2">
        <v>0</v>
      </c>
      <c r="J5" s="2">
        <v>1</v>
      </c>
      <c r="K5" s="2">
        <v>1</v>
      </c>
      <c r="L5" s="3" t="s">
        <v>80</v>
      </c>
      <c r="O5" s="4">
        <v>4</v>
      </c>
      <c r="P5" s="4" t="s">
        <v>101</v>
      </c>
      <c r="Q5" s="4" t="s">
        <v>106</v>
      </c>
      <c r="R5" s="5"/>
      <c r="S5" s="6"/>
      <c r="T5" s="6"/>
      <c r="U5" s="6"/>
      <c r="V5" s="4"/>
      <c r="W5" s="4"/>
      <c r="X5" s="4"/>
      <c r="Y5" s="7">
        <v>3</v>
      </c>
      <c r="Z5" s="8">
        <v>606352</v>
      </c>
      <c r="AA5" s="7" t="s">
        <v>92</v>
      </c>
      <c r="AB5" s="7"/>
      <c r="AC5" s="9">
        <v>3</v>
      </c>
      <c r="AD5" s="10">
        <v>606352</v>
      </c>
      <c r="AE5" s="9" t="s">
        <v>92</v>
      </c>
      <c r="AF5" s="9"/>
      <c r="AG5" s="11">
        <v>3</v>
      </c>
      <c r="AH5" s="11" t="s">
        <v>93</v>
      </c>
      <c r="AI5" s="11"/>
      <c r="AJ5" s="11"/>
      <c r="AK5" s="11"/>
      <c r="AL5" s="12">
        <v>3</v>
      </c>
      <c r="AM5" s="12" t="s">
        <v>93</v>
      </c>
      <c r="AN5" s="12" t="s">
        <v>107</v>
      </c>
      <c r="AO5" s="12"/>
      <c r="AP5" s="12"/>
      <c r="AQ5" s="4">
        <v>4</v>
      </c>
      <c r="AR5" s="4" t="s">
        <v>83</v>
      </c>
      <c r="AS5" s="4"/>
      <c r="AT5" s="13"/>
      <c r="AU5" s="13"/>
      <c r="AV5" s="13"/>
      <c r="AW5" s="13"/>
      <c r="AX5" s="4"/>
      <c r="AY5" s="13"/>
      <c r="AZ5" s="13"/>
      <c r="BA5" s="13"/>
      <c r="BB5" s="13"/>
      <c r="BC5" s="4"/>
      <c r="BD5" s="4"/>
      <c r="BE5" s="4"/>
      <c r="BF5" s="13"/>
      <c r="BG5" s="4"/>
      <c r="BH5" s="13"/>
      <c r="BI5" s="13"/>
      <c r="BJ5" s="4"/>
      <c r="BK5" s="14">
        <v>14</v>
      </c>
      <c r="BL5" s="14">
        <v>14</v>
      </c>
      <c r="BM5" s="14">
        <v>14</v>
      </c>
      <c r="BN5" s="3" t="s">
        <v>86</v>
      </c>
      <c r="BP5" s="15"/>
      <c r="BQ5" s="15"/>
      <c r="BR5" s="2" t="s">
        <v>108</v>
      </c>
      <c r="BS5" s="2" t="s">
        <v>108</v>
      </c>
      <c r="BT5" s="7" t="s">
        <v>109</v>
      </c>
      <c r="BU5" s="7"/>
      <c r="BV5" s="9" t="s">
        <v>109</v>
      </c>
      <c r="BW5" s="9"/>
    </row>
    <row r="6" spans="1:75" ht="14.25" customHeight="1" x14ac:dyDescent="0.25">
      <c r="A6" s="1">
        <v>5</v>
      </c>
      <c r="B6" s="1" t="s">
        <v>110</v>
      </c>
      <c r="C6" s="1" t="s">
        <v>111</v>
      </c>
      <c r="D6" s="1" t="s">
        <v>77</v>
      </c>
      <c r="E6" s="1" t="s">
        <v>78</v>
      </c>
      <c r="F6" s="1" t="s">
        <v>79</v>
      </c>
      <c r="G6" s="1"/>
      <c r="H6" s="2">
        <v>0</v>
      </c>
      <c r="I6" s="2">
        <v>0</v>
      </c>
      <c r="J6" s="2">
        <v>1</v>
      </c>
      <c r="K6" s="2">
        <v>1</v>
      </c>
      <c r="L6" s="3" t="s">
        <v>80</v>
      </c>
      <c r="O6" s="4">
        <v>5</v>
      </c>
      <c r="P6" s="4" t="s">
        <v>112</v>
      </c>
      <c r="Q6" s="4"/>
      <c r="R6" s="5"/>
      <c r="S6" s="6"/>
      <c r="T6" s="6"/>
      <c r="U6" s="6"/>
      <c r="V6" s="4"/>
      <c r="W6" s="4"/>
      <c r="X6" s="4"/>
      <c r="Y6" s="7">
        <v>3</v>
      </c>
      <c r="Z6" s="8">
        <v>335581</v>
      </c>
      <c r="AA6" s="7" t="s">
        <v>92</v>
      </c>
      <c r="AB6" s="7"/>
      <c r="AC6" s="9">
        <v>3</v>
      </c>
      <c r="AD6" s="10">
        <v>335581</v>
      </c>
      <c r="AE6" s="9" t="s">
        <v>92</v>
      </c>
      <c r="AF6" s="9"/>
      <c r="AG6" s="11">
        <v>4</v>
      </c>
      <c r="AH6" s="11" t="s">
        <v>93</v>
      </c>
      <c r="AI6" s="11"/>
      <c r="AJ6" s="11"/>
      <c r="AK6" s="11"/>
      <c r="AL6" s="12">
        <v>4</v>
      </c>
      <c r="AM6" s="12" t="s">
        <v>93</v>
      </c>
      <c r="AN6" s="12" t="s">
        <v>95</v>
      </c>
      <c r="AO6" s="12"/>
      <c r="AP6" s="12"/>
      <c r="AQ6" s="4">
        <v>4</v>
      </c>
      <c r="AR6" s="4" t="s">
        <v>83</v>
      </c>
      <c r="AS6" s="4"/>
      <c r="AT6" s="13"/>
      <c r="AU6" s="13"/>
      <c r="AV6" s="13"/>
      <c r="AW6" s="13"/>
      <c r="AX6" s="4"/>
      <c r="AY6" s="13"/>
      <c r="AZ6" s="13"/>
      <c r="BA6" s="13"/>
      <c r="BB6" s="13"/>
      <c r="BC6" s="4"/>
      <c r="BD6" s="4"/>
      <c r="BE6" s="4"/>
      <c r="BF6" s="13"/>
      <c r="BG6" s="4"/>
      <c r="BH6" s="13"/>
      <c r="BI6" s="13"/>
      <c r="BJ6" s="4"/>
      <c r="BK6" s="14">
        <v>16</v>
      </c>
      <c r="BL6" s="14">
        <v>16</v>
      </c>
      <c r="BM6" s="14">
        <v>16</v>
      </c>
      <c r="BN6" s="3" t="s">
        <v>113</v>
      </c>
      <c r="BO6" s="3" t="s">
        <v>114</v>
      </c>
      <c r="BP6" s="15"/>
      <c r="BQ6" s="15"/>
      <c r="BR6" s="2" t="s">
        <v>115</v>
      </c>
      <c r="BS6" s="2" t="s">
        <v>115</v>
      </c>
      <c r="BT6" s="7" t="s">
        <v>98</v>
      </c>
      <c r="BU6" s="7"/>
      <c r="BV6" s="9" t="s">
        <v>98</v>
      </c>
      <c r="BW6" s="9"/>
    </row>
    <row r="7" spans="1:75" ht="14.25" customHeight="1" x14ac:dyDescent="0.25">
      <c r="A7" s="1">
        <v>6</v>
      </c>
      <c r="B7" s="1" t="s">
        <v>116</v>
      </c>
      <c r="C7" s="1" t="s">
        <v>117</v>
      </c>
      <c r="D7" s="1" t="s">
        <v>77</v>
      </c>
      <c r="E7" s="1" t="s">
        <v>78</v>
      </c>
      <c r="F7" s="1" t="s">
        <v>79</v>
      </c>
      <c r="G7" s="1" t="s">
        <v>118</v>
      </c>
      <c r="H7" s="2">
        <v>0</v>
      </c>
      <c r="I7" s="2">
        <v>0</v>
      </c>
      <c r="J7" s="2">
        <v>0</v>
      </c>
      <c r="K7" s="2">
        <v>1</v>
      </c>
      <c r="L7" s="3" t="s">
        <v>80</v>
      </c>
      <c r="O7" s="4">
        <v>5</v>
      </c>
      <c r="P7" s="4" t="s">
        <v>81</v>
      </c>
      <c r="Q7" s="4"/>
      <c r="R7" s="5"/>
      <c r="S7" s="6"/>
      <c r="T7" s="6"/>
      <c r="U7" s="6"/>
      <c r="V7" s="4"/>
      <c r="W7" s="4"/>
      <c r="X7" s="4"/>
      <c r="Y7" s="7">
        <v>5</v>
      </c>
      <c r="Z7" s="8">
        <v>908</v>
      </c>
      <c r="AA7" s="7" t="s">
        <v>82</v>
      </c>
      <c r="AB7" s="7"/>
      <c r="AC7" s="9">
        <v>5</v>
      </c>
      <c r="AD7" s="10">
        <v>908</v>
      </c>
      <c r="AE7" s="9" t="s">
        <v>82</v>
      </c>
      <c r="AF7" s="9"/>
      <c r="AG7" s="11">
        <v>3</v>
      </c>
      <c r="AH7" s="11" t="s">
        <v>83</v>
      </c>
      <c r="AI7" s="11" t="s">
        <v>119</v>
      </c>
      <c r="AJ7" s="11"/>
      <c r="AK7" s="11"/>
      <c r="AL7" s="12">
        <v>3</v>
      </c>
      <c r="AM7" s="12" t="s">
        <v>83</v>
      </c>
      <c r="AN7" s="12"/>
      <c r="AO7" s="12"/>
      <c r="AP7" s="12"/>
      <c r="AQ7" s="4">
        <v>3</v>
      </c>
      <c r="AR7" s="4" t="s">
        <v>83</v>
      </c>
      <c r="AS7" s="4"/>
      <c r="AT7" s="13"/>
      <c r="AU7" s="13"/>
      <c r="AV7" s="13"/>
      <c r="AW7" s="13"/>
      <c r="AX7" s="4"/>
      <c r="AY7" s="13"/>
      <c r="AZ7" s="13"/>
      <c r="BA7" s="13"/>
      <c r="BB7" s="13"/>
      <c r="BC7" s="4"/>
      <c r="BD7" s="4"/>
      <c r="BE7" s="4"/>
      <c r="BF7" s="13"/>
      <c r="BG7" s="4"/>
      <c r="BH7" s="13"/>
      <c r="BI7" s="13"/>
      <c r="BJ7" s="4"/>
      <c r="BK7" s="14">
        <v>16</v>
      </c>
      <c r="BL7" s="14">
        <v>16</v>
      </c>
      <c r="BM7" s="14">
        <v>16</v>
      </c>
      <c r="BN7" s="3" t="s">
        <v>86</v>
      </c>
      <c r="BO7" s="3" t="s">
        <v>120</v>
      </c>
      <c r="BP7" s="15"/>
      <c r="BQ7" s="15"/>
      <c r="BR7" s="2" t="s">
        <v>121</v>
      </c>
      <c r="BS7" s="2" t="s">
        <v>121</v>
      </c>
      <c r="BT7" s="7" t="s">
        <v>98</v>
      </c>
      <c r="BU7" s="7"/>
      <c r="BV7" s="9" t="s">
        <v>98</v>
      </c>
      <c r="BW7" s="9"/>
    </row>
    <row r="8" spans="1:75" ht="14.25" customHeight="1" x14ac:dyDescent="0.25">
      <c r="A8" s="1">
        <v>8</v>
      </c>
      <c r="B8" s="1" t="s">
        <v>122</v>
      </c>
      <c r="C8" s="1" t="s">
        <v>123</v>
      </c>
      <c r="D8" s="1" t="s">
        <v>124</v>
      </c>
      <c r="E8" s="1" t="s">
        <v>125</v>
      </c>
      <c r="F8" s="1" t="s">
        <v>126</v>
      </c>
      <c r="G8" s="1"/>
      <c r="H8" s="2">
        <v>0</v>
      </c>
      <c r="I8" s="2">
        <v>1</v>
      </c>
      <c r="J8" s="2">
        <v>1</v>
      </c>
      <c r="K8" s="2">
        <v>1</v>
      </c>
      <c r="L8" s="3" t="s">
        <v>127</v>
      </c>
      <c r="O8" s="4">
        <v>3</v>
      </c>
      <c r="P8" s="4" t="s">
        <v>128</v>
      </c>
      <c r="Q8" s="4" t="s">
        <v>129</v>
      </c>
      <c r="R8" s="16">
        <v>1000000</v>
      </c>
      <c r="S8" s="6">
        <v>1000000</v>
      </c>
      <c r="T8" s="6"/>
      <c r="U8" s="6"/>
      <c r="V8" s="4"/>
      <c r="W8" s="4"/>
      <c r="X8" s="4"/>
      <c r="Y8" s="7">
        <v>1</v>
      </c>
      <c r="Z8" s="8">
        <v>9326631</v>
      </c>
      <c r="AA8" s="7" t="s">
        <v>130</v>
      </c>
      <c r="AB8" s="7"/>
      <c r="AC8" s="9">
        <v>1</v>
      </c>
      <c r="AD8" s="10">
        <v>9178240</v>
      </c>
      <c r="AE8" s="9" t="s">
        <v>130</v>
      </c>
      <c r="AF8" s="9"/>
      <c r="AG8" s="11">
        <v>3</v>
      </c>
      <c r="AH8" s="11" t="s">
        <v>131</v>
      </c>
      <c r="AI8" s="11"/>
      <c r="AJ8" s="11">
        <v>1</v>
      </c>
      <c r="AK8" s="11" t="s">
        <v>132</v>
      </c>
      <c r="AL8" s="12">
        <v>3</v>
      </c>
      <c r="AM8" s="12" t="s">
        <v>131</v>
      </c>
      <c r="AN8" s="12"/>
      <c r="AO8" s="12">
        <v>1</v>
      </c>
      <c r="AP8" s="12" t="s">
        <v>132</v>
      </c>
      <c r="AQ8" s="4">
        <v>1</v>
      </c>
      <c r="AR8" s="4" t="s">
        <v>133</v>
      </c>
      <c r="AS8" s="4"/>
      <c r="AT8" s="13">
        <v>1964.00451660156</v>
      </c>
      <c r="AU8" s="13">
        <v>6.1132578849792498</v>
      </c>
      <c r="AV8" s="13">
        <v>4.3436999320983896</v>
      </c>
      <c r="AW8" s="13">
        <v>8.1599998474121094</v>
      </c>
      <c r="AX8" s="4">
        <v>1</v>
      </c>
      <c r="AY8" s="13">
        <v>62.757583618164098</v>
      </c>
      <c r="AZ8" s="13">
        <v>4.9930715560913104</v>
      </c>
      <c r="BA8" s="13">
        <v>-0.60900002717971802</v>
      </c>
      <c r="BB8" s="13">
        <v>11.229205131530801</v>
      </c>
      <c r="BC8" s="4"/>
      <c r="BD8" s="4">
        <v>10</v>
      </c>
      <c r="BE8" s="4" t="s">
        <v>134</v>
      </c>
      <c r="BF8" s="13">
        <v>3.8162999153137198</v>
      </c>
      <c r="BG8" s="4">
        <v>193.5</v>
      </c>
      <c r="BH8" s="13">
        <v>3.7349998950958301</v>
      </c>
      <c r="BI8" s="13">
        <v>722.90002441406295</v>
      </c>
      <c r="BJ8" s="4"/>
      <c r="BK8" s="14">
        <v>8</v>
      </c>
      <c r="BL8" s="14">
        <v>8</v>
      </c>
      <c r="BM8" s="14">
        <v>8</v>
      </c>
      <c r="BP8" s="15" t="s">
        <v>135</v>
      </c>
      <c r="BQ8" s="15" t="s">
        <v>136</v>
      </c>
      <c r="BR8" s="2" t="s">
        <v>97</v>
      </c>
      <c r="BS8" s="2" t="s">
        <v>97</v>
      </c>
      <c r="BT8" s="7" t="s">
        <v>137</v>
      </c>
      <c r="BU8" s="7"/>
      <c r="BV8" s="9" t="s">
        <v>137</v>
      </c>
      <c r="BW8" s="9"/>
    </row>
    <row r="9" spans="1:75" ht="14.25" customHeight="1" x14ac:dyDescent="0.25">
      <c r="A9" s="1">
        <v>10</v>
      </c>
      <c r="B9" s="1" t="s">
        <v>138</v>
      </c>
      <c r="C9" s="1" t="s">
        <v>139</v>
      </c>
      <c r="D9" s="1" t="s">
        <v>124</v>
      </c>
      <c r="E9" s="1" t="s">
        <v>125</v>
      </c>
      <c r="F9" s="1" t="s">
        <v>126</v>
      </c>
      <c r="G9" s="1" t="s">
        <v>118</v>
      </c>
      <c r="H9" s="2">
        <v>0</v>
      </c>
      <c r="I9" s="2">
        <v>1</v>
      </c>
      <c r="J9" s="2">
        <v>1</v>
      </c>
      <c r="K9" s="2">
        <v>1</v>
      </c>
      <c r="L9" s="3" t="s">
        <v>127</v>
      </c>
      <c r="O9" s="4">
        <v>3</v>
      </c>
      <c r="P9" s="4" t="s">
        <v>140</v>
      </c>
      <c r="Q9" s="4" t="s">
        <v>141</v>
      </c>
      <c r="R9" s="16">
        <v>1400000</v>
      </c>
      <c r="S9" s="6">
        <v>1400000</v>
      </c>
      <c r="T9" s="16">
        <v>120000</v>
      </c>
      <c r="U9" s="6">
        <v>120000</v>
      </c>
      <c r="V9" s="4"/>
      <c r="W9" s="4" t="s">
        <v>142</v>
      </c>
      <c r="X9" s="4"/>
      <c r="Y9" s="7">
        <v>1</v>
      </c>
      <c r="Z9" s="8">
        <v>4305929</v>
      </c>
      <c r="AA9" s="7" t="s">
        <v>130</v>
      </c>
      <c r="AB9" s="7"/>
      <c r="AC9" s="9">
        <v>1</v>
      </c>
      <c r="AD9" s="10">
        <v>4211088</v>
      </c>
      <c r="AE9" s="9" t="s">
        <v>130</v>
      </c>
      <c r="AF9" s="9"/>
      <c r="AG9" s="11">
        <v>3</v>
      </c>
      <c r="AH9" s="11" t="s">
        <v>131</v>
      </c>
      <c r="AI9" s="11"/>
      <c r="AJ9" s="11">
        <v>2</v>
      </c>
      <c r="AK9" s="11" t="s">
        <v>143</v>
      </c>
      <c r="AL9" s="12">
        <v>3</v>
      </c>
      <c r="AM9" s="12" t="s">
        <v>131</v>
      </c>
      <c r="AN9" s="12"/>
      <c r="AO9" s="12">
        <v>2</v>
      </c>
      <c r="AP9" s="12" t="s">
        <v>143</v>
      </c>
      <c r="AQ9" s="4">
        <v>2</v>
      </c>
      <c r="AR9" s="4" t="s">
        <v>144</v>
      </c>
      <c r="AS9" s="4" t="s">
        <v>145</v>
      </c>
      <c r="AT9" s="13"/>
      <c r="AU9" s="13"/>
      <c r="AV9" s="13"/>
      <c r="AW9" s="13"/>
      <c r="AX9" s="4"/>
      <c r="AY9" s="13"/>
      <c r="AZ9" s="13"/>
      <c r="BA9" s="13"/>
      <c r="BB9" s="13"/>
      <c r="BC9" s="4"/>
      <c r="BD9" s="4"/>
      <c r="BE9" s="4"/>
      <c r="BF9" s="13"/>
      <c r="BG9" s="4"/>
      <c r="BH9" s="13"/>
      <c r="BI9" s="13"/>
      <c r="BJ9" s="4"/>
      <c r="BK9" s="14">
        <v>9</v>
      </c>
      <c r="BL9" s="14">
        <v>9</v>
      </c>
      <c r="BM9" s="14">
        <v>9</v>
      </c>
      <c r="BP9" s="15"/>
      <c r="BQ9" s="15" t="s">
        <v>146</v>
      </c>
      <c r="BR9" s="2" t="s">
        <v>97</v>
      </c>
      <c r="BS9" s="2" t="s">
        <v>97</v>
      </c>
      <c r="BT9" s="7" t="s">
        <v>147</v>
      </c>
      <c r="BU9" s="7"/>
      <c r="BV9" s="9" t="s">
        <v>147</v>
      </c>
      <c r="BW9" s="9" t="s">
        <v>148</v>
      </c>
    </row>
    <row r="10" spans="1:75" ht="14.25" customHeight="1" x14ac:dyDescent="0.25">
      <c r="A10" s="1">
        <v>11</v>
      </c>
      <c r="B10" s="1" t="s">
        <v>149</v>
      </c>
      <c r="C10" s="1" t="s">
        <v>150</v>
      </c>
      <c r="D10" s="1" t="s">
        <v>124</v>
      </c>
      <c r="E10" s="1" t="s">
        <v>125</v>
      </c>
      <c r="F10" s="1" t="s">
        <v>126</v>
      </c>
      <c r="G10" s="1" t="s">
        <v>151</v>
      </c>
      <c r="H10" s="2">
        <v>1</v>
      </c>
      <c r="I10" s="2">
        <v>1</v>
      </c>
      <c r="J10" s="2">
        <v>0</v>
      </c>
      <c r="K10" s="2">
        <v>0</v>
      </c>
      <c r="L10" s="3" t="s">
        <v>127</v>
      </c>
      <c r="O10" s="4">
        <v>4</v>
      </c>
      <c r="P10" s="4" t="s">
        <v>152</v>
      </c>
      <c r="Q10" s="4" t="s">
        <v>153</v>
      </c>
      <c r="R10" s="16">
        <v>98000</v>
      </c>
      <c r="S10" s="6">
        <v>98000</v>
      </c>
      <c r="T10" s="16">
        <v>98000</v>
      </c>
      <c r="U10" s="6">
        <v>98000</v>
      </c>
      <c r="V10" s="4">
        <v>2014</v>
      </c>
      <c r="W10" s="4" t="s">
        <v>152</v>
      </c>
      <c r="X10" s="4"/>
      <c r="Y10" s="7">
        <v>5</v>
      </c>
      <c r="Z10" s="8">
        <v>36353</v>
      </c>
      <c r="AA10" s="7" t="s">
        <v>154</v>
      </c>
      <c r="AB10" s="7"/>
      <c r="AC10" s="9">
        <v>4</v>
      </c>
      <c r="AD10" s="10">
        <v>269964</v>
      </c>
      <c r="AE10" s="9" t="s">
        <v>155</v>
      </c>
      <c r="AF10" s="9"/>
      <c r="AG10" s="11">
        <v>4</v>
      </c>
      <c r="AH10" s="11" t="s">
        <v>156</v>
      </c>
      <c r="AI10" s="11" t="s">
        <v>157</v>
      </c>
      <c r="AJ10" s="11">
        <v>5</v>
      </c>
      <c r="AK10" s="11" t="s">
        <v>132</v>
      </c>
      <c r="AL10" s="12">
        <v>3</v>
      </c>
      <c r="AM10" s="12" t="s">
        <v>158</v>
      </c>
      <c r="AN10" s="12" t="s">
        <v>159</v>
      </c>
      <c r="AO10" s="12"/>
      <c r="AP10" s="12"/>
      <c r="AQ10" s="4">
        <v>2</v>
      </c>
      <c r="AR10" s="4" t="s">
        <v>160</v>
      </c>
      <c r="AS10" s="4"/>
      <c r="AT10" s="13">
        <v>47.298355102539098</v>
      </c>
      <c r="AU10" s="13">
        <v>0.81202507019043002</v>
      </c>
      <c r="AV10" s="13">
        <v>-4.0999999046325701</v>
      </c>
      <c r="AW10" s="13">
        <v>4.4000000953674299</v>
      </c>
      <c r="AX10" s="4"/>
      <c r="AY10" s="13">
        <v>26.343643188476602</v>
      </c>
      <c r="AZ10" s="13">
        <v>0.97907578945159901</v>
      </c>
      <c r="BA10" s="13">
        <v>-4.3000001907348597</v>
      </c>
      <c r="BB10" s="13">
        <v>8.9019937515258807</v>
      </c>
      <c r="BC10" s="4"/>
      <c r="BD10" s="4">
        <v>24</v>
      </c>
      <c r="BE10" s="4"/>
      <c r="BF10" s="13">
        <v>8.5</v>
      </c>
      <c r="BG10" s="4"/>
      <c r="BH10" s="13"/>
      <c r="BI10" s="13"/>
      <c r="BJ10" s="4"/>
      <c r="BK10" s="14">
        <v>15</v>
      </c>
      <c r="BL10" s="14">
        <v>13</v>
      </c>
      <c r="BM10" s="14">
        <v>15</v>
      </c>
      <c r="BN10" s="3" t="s">
        <v>86</v>
      </c>
      <c r="BP10" s="15"/>
      <c r="BQ10" s="15"/>
      <c r="BR10" s="2" t="s">
        <v>161</v>
      </c>
      <c r="BS10" s="2" t="s">
        <v>162</v>
      </c>
      <c r="BT10" s="7" t="s">
        <v>148</v>
      </c>
      <c r="BU10" s="7"/>
      <c r="BV10" s="9" t="s">
        <v>163</v>
      </c>
      <c r="BW10" s="9" t="s">
        <v>164</v>
      </c>
    </row>
    <row r="11" spans="1:75" ht="14.25" customHeight="1" x14ac:dyDescent="0.25">
      <c r="A11" s="1">
        <v>12</v>
      </c>
      <c r="B11" s="1" t="s">
        <v>165</v>
      </c>
      <c r="C11" s="1" t="s">
        <v>166</v>
      </c>
      <c r="D11" s="1" t="s">
        <v>124</v>
      </c>
      <c r="E11" s="1" t="s">
        <v>125</v>
      </c>
      <c r="F11" s="1" t="s">
        <v>126</v>
      </c>
      <c r="G11" s="1" t="s">
        <v>167</v>
      </c>
      <c r="H11" s="2">
        <v>1</v>
      </c>
      <c r="I11" s="2">
        <v>1</v>
      </c>
      <c r="J11" s="2">
        <v>1</v>
      </c>
      <c r="K11" s="2">
        <v>1</v>
      </c>
      <c r="L11" s="3" t="s">
        <v>127</v>
      </c>
      <c r="O11" s="4">
        <v>2</v>
      </c>
      <c r="P11" s="4" t="s">
        <v>168</v>
      </c>
      <c r="Q11" s="4" t="s">
        <v>169</v>
      </c>
      <c r="R11" s="16">
        <v>16000000</v>
      </c>
      <c r="S11" s="6">
        <v>16000000</v>
      </c>
      <c r="T11" s="16">
        <v>15000000</v>
      </c>
      <c r="U11" s="6">
        <v>15000000</v>
      </c>
      <c r="V11" s="4">
        <v>2014</v>
      </c>
      <c r="W11" s="4" t="s">
        <v>152</v>
      </c>
      <c r="X11" s="4"/>
      <c r="Y11" s="7">
        <v>3</v>
      </c>
      <c r="Z11" s="8">
        <v>534961</v>
      </c>
      <c r="AA11" s="7" t="s">
        <v>154</v>
      </c>
      <c r="AB11" s="7"/>
      <c r="AC11" s="9">
        <v>2</v>
      </c>
      <c r="AD11" s="10">
        <v>1760923</v>
      </c>
      <c r="AE11" s="9" t="s">
        <v>130</v>
      </c>
      <c r="AF11" s="9"/>
      <c r="AG11" s="11">
        <v>4</v>
      </c>
      <c r="AH11" s="11" t="s">
        <v>156</v>
      </c>
      <c r="AI11" s="11" t="s">
        <v>170</v>
      </c>
      <c r="AJ11" s="11">
        <v>5</v>
      </c>
      <c r="AK11" s="11" t="s">
        <v>132</v>
      </c>
      <c r="AL11" s="12">
        <v>2</v>
      </c>
      <c r="AM11" s="12" t="s">
        <v>156</v>
      </c>
      <c r="AN11" s="12"/>
      <c r="AO11" s="12">
        <v>2</v>
      </c>
      <c r="AP11" s="12" t="s">
        <v>143</v>
      </c>
      <c r="AQ11" s="4">
        <v>1</v>
      </c>
      <c r="AR11" s="4" t="s">
        <v>171</v>
      </c>
      <c r="AS11" s="4"/>
      <c r="AT11" s="13">
        <v>1600.54040527344</v>
      </c>
      <c r="AU11" s="13">
        <v>6.1177349090576199</v>
      </c>
      <c r="AV11" s="13">
        <v>4.5999999046325701</v>
      </c>
      <c r="AW11" s="13">
        <v>9.3292427062988299</v>
      </c>
      <c r="AX11" s="4">
        <v>1</v>
      </c>
      <c r="AY11" s="13">
        <v>983.36480712890602</v>
      </c>
      <c r="AZ11" s="13">
        <v>9.9995708465576207</v>
      </c>
      <c r="BA11" s="13">
        <v>3.5999999046325701</v>
      </c>
      <c r="BB11" s="13">
        <v>20.279382705688501</v>
      </c>
      <c r="BC11" s="4">
        <v>1</v>
      </c>
      <c r="BD11" s="4">
        <v>25</v>
      </c>
      <c r="BE11" s="4"/>
      <c r="BF11" s="13">
        <v>4.7292428016662598</v>
      </c>
      <c r="BG11" s="4"/>
      <c r="BH11" s="13"/>
      <c r="BI11" s="13"/>
      <c r="BJ11" s="4"/>
      <c r="BK11" s="14">
        <v>10</v>
      </c>
      <c r="BL11" s="14">
        <v>7</v>
      </c>
      <c r="BM11" s="14">
        <v>10</v>
      </c>
      <c r="BP11" s="15"/>
      <c r="BQ11" s="15" t="s">
        <v>136</v>
      </c>
      <c r="BR11" s="2" t="s">
        <v>161</v>
      </c>
      <c r="BS11" s="2" t="s">
        <v>172</v>
      </c>
      <c r="BT11" s="7" t="s">
        <v>173</v>
      </c>
      <c r="BU11" s="7" t="s">
        <v>174</v>
      </c>
      <c r="BV11" s="9" t="s">
        <v>137</v>
      </c>
      <c r="BW11" s="9"/>
    </row>
    <row r="12" spans="1:75" ht="14.25" customHeight="1" x14ac:dyDescent="0.25">
      <c r="A12" s="1">
        <v>13</v>
      </c>
      <c r="B12" s="1" t="s">
        <v>175</v>
      </c>
      <c r="C12" s="1" t="s">
        <v>176</v>
      </c>
      <c r="D12" s="1" t="s">
        <v>124</v>
      </c>
      <c r="E12" s="1" t="s">
        <v>125</v>
      </c>
      <c r="F12" s="1" t="s">
        <v>126</v>
      </c>
      <c r="G12" s="1" t="s">
        <v>167</v>
      </c>
      <c r="H12" s="2">
        <v>1</v>
      </c>
      <c r="I12" s="2">
        <v>1</v>
      </c>
      <c r="J12" s="2">
        <v>1</v>
      </c>
      <c r="K12" s="2">
        <v>0</v>
      </c>
      <c r="L12" s="3" t="s">
        <v>127</v>
      </c>
      <c r="O12" s="4">
        <v>3</v>
      </c>
      <c r="P12" s="4" t="s">
        <v>152</v>
      </c>
      <c r="Q12" s="4"/>
      <c r="R12" s="16">
        <v>2100000</v>
      </c>
      <c r="S12" s="6">
        <v>2100000</v>
      </c>
      <c r="T12" s="16">
        <v>1600000</v>
      </c>
      <c r="U12" s="6">
        <v>1600000</v>
      </c>
      <c r="V12" s="4">
        <v>2014</v>
      </c>
      <c r="W12" s="4" t="s">
        <v>152</v>
      </c>
      <c r="X12" s="4" t="s">
        <v>177</v>
      </c>
      <c r="Y12" s="7">
        <v>4</v>
      </c>
      <c r="Z12" s="8">
        <v>214858</v>
      </c>
      <c r="AA12" s="7" t="s">
        <v>130</v>
      </c>
      <c r="AB12" s="7"/>
      <c r="AC12" s="9">
        <v>3</v>
      </c>
      <c r="AD12" s="10">
        <v>694586</v>
      </c>
      <c r="AE12" s="9" t="s">
        <v>130</v>
      </c>
      <c r="AF12" s="9"/>
      <c r="AG12" s="11">
        <v>4</v>
      </c>
      <c r="AH12" s="11" t="s">
        <v>156</v>
      </c>
      <c r="AI12" s="11"/>
      <c r="AJ12" s="11">
        <v>5</v>
      </c>
      <c r="AK12" s="11" t="s">
        <v>132</v>
      </c>
      <c r="AL12" s="12">
        <v>2</v>
      </c>
      <c r="AM12" s="12" t="s">
        <v>156</v>
      </c>
      <c r="AN12" s="12" t="s">
        <v>178</v>
      </c>
      <c r="AO12" s="12">
        <v>2</v>
      </c>
      <c r="AP12" s="12" t="s">
        <v>132</v>
      </c>
      <c r="AQ12" s="4">
        <v>1</v>
      </c>
      <c r="AR12" s="4" t="s">
        <v>179</v>
      </c>
      <c r="AS12" s="4"/>
      <c r="AT12" s="13">
        <v>5487.47509765625</v>
      </c>
      <c r="AU12" s="13">
        <v>11.0851955413818</v>
      </c>
      <c r="AV12" s="13">
        <v>7.1999998092651403</v>
      </c>
      <c r="AW12" s="13">
        <v>14.8999996185303</v>
      </c>
      <c r="AX12" s="4">
        <v>1</v>
      </c>
      <c r="AY12" s="13">
        <v>433.963623046875</v>
      </c>
      <c r="AZ12" s="13">
        <v>9.2169609069824201</v>
      </c>
      <c r="BA12" s="13">
        <v>3.5999999046325701</v>
      </c>
      <c r="BB12" s="13">
        <v>19.890789031982401</v>
      </c>
      <c r="BC12" s="4">
        <v>1</v>
      </c>
      <c r="BD12" s="4">
        <v>19</v>
      </c>
      <c r="BE12" s="4"/>
      <c r="BF12" s="13">
        <v>7.6999998092651403</v>
      </c>
      <c r="BG12" s="4"/>
      <c r="BH12" s="13"/>
      <c r="BI12" s="13"/>
      <c r="BJ12" s="4"/>
      <c r="BK12" s="14">
        <v>12</v>
      </c>
      <c r="BL12" s="14">
        <v>9</v>
      </c>
      <c r="BM12" s="14">
        <v>12</v>
      </c>
      <c r="BP12" s="15"/>
      <c r="BQ12" s="15" t="s">
        <v>136</v>
      </c>
      <c r="BR12" s="2" t="s">
        <v>161</v>
      </c>
      <c r="BS12" s="2" t="s">
        <v>172</v>
      </c>
      <c r="BT12" s="7" t="s">
        <v>173</v>
      </c>
      <c r="BU12" s="7" t="s">
        <v>174</v>
      </c>
      <c r="BV12" s="9" t="s">
        <v>137</v>
      </c>
      <c r="BW12" s="9"/>
    </row>
    <row r="13" spans="1:75" ht="14.25" customHeight="1" x14ac:dyDescent="0.25">
      <c r="A13" s="1">
        <v>15</v>
      </c>
      <c r="B13" s="1" t="s">
        <v>180</v>
      </c>
      <c r="C13" s="1" t="s">
        <v>181</v>
      </c>
      <c r="D13" s="1" t="s">
        <v>124</v>
      </c>
      <c r="E13" s="1" t="s">
        <v>125</v>
      </c>
      <c r="F13" s="1" t="s">
        <v>126</v>
      </c>
      <c r="G13" s="1"/>
      <c r="H13" s="2">
        <v>1</v>
      </c>
      <c r="I13" s="2">
        <v>1</v>
      </c>
      <c r="J13" s="2">
        <v>1</v>
      </c>
      <c r="K13" s="2">
        <v>0</v>
      </c>
      <c r="L13" s="3" t="s">
        <v>127</v>
      </c>
      <c r="O13" s="4">
        <v>2</v>
      </c>
      <c r="P13" s="4" t="s">
        <v>152</v>
      </c>
      <c r="Q13" s="4"/>
      <c r="R13" s="16">
        <v>5500000</v>
      </c>
      <c r="S13" s="6">
        <v>5500000</v>
      </c>
      <c r="T13" s="16">
        <v>4300000</v>
      </c>
      <c r="U13" s="6">
        <v>4300000</v>
      </c>
      <c r="V13" s="4">
        <v>2014</v>
      </c>
      <c r="W13" s="4" t="s">
        <v>152</v>
      </c>
      <c r="X13" s="4" t="s">
        <v>182</v>
      </c>
      <c r="Y13" s="7">
        <v>1</v>
      </c>
      <c r="Z13" s="8">
        <v>5857945</v>
      </c>
      <c r="AA13" s="7" t="s">
        <v>154</v>
      </c>
      <c r="AB13" s="7"/>
      <c r="AC13" s="9">
        <v>2</v>
      </c>
      <c r="AD13" s="10">
        <v>2653193</v>
      </c>
      <c r="AE13" s="9" t="s">
        <v>155</v>
      </c>
      <c r="AF13" s="9"/>
      <c r="AG13" s="11">
        <v>3</v>
      </c>
      <c r="AH13" s="11" t="s">
        <v>156</v>
      </c>
      <c r="AI13" s="11"/>
      <c r="AJ13" s="11">
        <v>3</v>
      </c>
      <c r="AK13" s="11" t="s">
        <v>143</v>
      </c>
      <c r="AL13" s="12">
        <v>2</v>
      </c>
      <c r="AM13" s="12" t="s">
        <v>156</v>
      </c>
      <c r="AN13" s="12" t="s">
        <v>183</v>
      </c>
      <c r="AO13" s="12">
        <v>2</v>
      </c>
      <c r="AP13" s="12" t="s">
        <v>143</v>
      </c>
      <c r="AQ13" s="4">
        <v>3</v>
      </c>
      <c r="AR13" s="4" t="s">
        <v>184</v>
      </c>
      <c r="AS13" s="4"/>
      <c r="AT13" s="13">
        <v>430.89599609375</v>
      </c>
      <c r="AU13" s="13">
        <v>3.4740734100341801</v>
      </c>
      <c r="AV13" s="13">
        <v>-4.0999999046325701</v>
      </c>
      <c r="AW13" s="13">
        <v>8.1965503692627006</v>
      </c>
      <c r="AX13" s="4"/>
      <c r="AY13" s="13">
        <v>263.91073608398398</v>
      </c>
      <c r="AZ13" s="13">
        <v>5.3027696609497097</v>
      </c>
      <c r="BA13" s="13">
        <v>-5.6999998092651403</v>
      </c>
      <c r="BB13" s="13">
        <v>15.6689777374268</v>
      </c>
      <c r="BC13" s="4"/>
      <c r="BD13" s="4">
        <v>25</v>
      </c>
      <c r="BE13" s="4"/>
      <c r="BF13" s="13">
        <v>12.296550750732401</v>
      </c>
      <c r="BG13" s="4"/>
      <c r="BH13" s="13"/>
      <c r="BI13" s="13"/>
      <c r="BJ13" s="4"/>
      <c r="BK13" s="14">
        <v>9</v>
      </c>
      <c r="BL13" s="14">
        <v>9</v>
      </c>
      <c r="BM13" s="14">
        <v>9</v>
      </c>
      <c r="BP13" s="15"/>
      <c r="BQ13" s="15" t="s">
        <v>136</v>
      </c>
      <c r="BR13" s="2" t="s">
        <v>161</v>
      </c>
      <c r="BS13" s="2" t="s">
        <v>172</v>
      </c>
      <c r="BT13" s="7" t="s">
        <v>173</v>
      </c>
      <c r="BU13" s="7"/>
      <c r="BV13" s="9" t="s">
        <v>137</v>
      </c>
      <c r="BW13" s="9"/>
    </row>
    <row r="14" spans="1:75" ht="14.25" customHeight="1" x14ac:dyDescent="0.25">
      <c r="A14" s="1">
        <v>20</v>
      </c>
      <c r="B14" s="1" t="s">
        <v>185</v>
      </c>
      <c r="C14" s="1" t="s">
        <v>186</v>
      </c>
      <c r="D14" s="1" t="s">
        <v>124</v>
      </c>
      <c r="E14" s="1" t="s">
        <v>125</v>
      </c>
      <c r="F14" s="1" t="s">
        <v>126</v>
      </c>
      <c r="G14" s="1"/>
      <c r="H14" s="2">
        <v>1</v>
      </c>
      <c r="I14" s="2">
        <v>1</v>
      </c>
      <c r="J14" s="2">
        <v>1</v>
      </c>
      <c r="K14" s="2">
        <v>0</v>
      </c>
      <c r="L14" s="3" t="s">
        <v>127</v>
      </c>
      <c r="O14" s="4">
        <v>4</v>
      </c>
      <c r="P14" s="4" t="s">
        <v>152</v>
      </c>
      <c r="Q14" s="4"/>
      <c r="R14" s="16">
        <v>490000</v>
      </c>
      <c r="S14" s="6">
        <v>490000</v>
      </c>
      <c r="T14" s="16">
        <v>340000</v>
      </c>
      <c r="U14" s="6">
        <v>340000</v>
      </c>
      <c r="V14" s="4">
        <v>2014</v>
      </c>
      <c r="W14" s="4" t="s">
        <v>152</v>
      </c>
      <c r="X14" s="4" t="s">
        <v>182</v>
      </c>
      <c r="Y14" s="7">
        <v>2</v>
      </c>
      <c r="Z14" s="8">
        <v>1448120</v>
      </c>
      <c r="AA14" s="7" t="s">
        <v>154</v>
      </c>
      <c r="AB14" s="7"/>
      <c r="AC14" s="9">
        <v>4</v>
      </c>
      <c r="AD14" s="10">
        <v>131077</v>
      </c>
      <c r="AE14" s="9" t="s">
        <v>155</v>
      </c>
      <c r="AF14" s="9"/>
      <c r="AG14" s="11">
        <v>4</v>
      </c>
      <c r="AH14" s="11" t="s">
        <v>156</v>
      </c>
      <c r="AI14" s="11"/>
      <c r="AJ14" s="11">
        <v>4</v>
      </c>
      <c r="AK14" s="11" t="s">
        <v>143</v>
      </c>
      <c r="AL14" s="12">
        <v>3</v>
      </c>
      <c r="AM14" s="12" t="s">
        <v>156</v>
      </c>
      <c r="AN14" s="12"/>
      <c r="AO14" s="12">
        <v>2</v>
      </c>
      <c r="AP14" s="12" t="s">
        <v>143</v>
      </c>
      <c r="AQ14" s="4">
        <v>2</v>
      </c>
      <c r="AR14" s="4" t="s">
        <v>187</v>
      </c>
      <c r="AS14" s="4"/>
      <c r="AT14" s="13">
        <v>6.6512923240661603</v>
      </c>
      <c r="AU14" s="13">
        <v>0.13150349259376501</v>
      </c>
      <c r="AV14" s="13">
        <v>-1.04770076274872</v>
      </c>
      <c r="AW14" s="13">
        <v>1.4825748205184901</v>
      </c>
      <c r="AX14" s="4"/>
      <c r="AY14" s="13">
        <v>23.918399810791001</v>
      </c>
      <c r="AZ14" s="13">
        <v>1.80317354202271</v>
      </c>
      <c r="BA14" s="13">
        <v>-1.50310087203979</v>
      </c>
      <c r="BB14" s="13">
        <v>4.8202013969421396</v>
      </c>
      <c r="BC14" s="4"/>
      <c r="BD14" s="4">
        <v>12</v>
      </c>
      <c r="BE14" s="4"/>
      <c r="BF14" s="13">
        <v>2.5302755832672101</v>
      </c>
      <c r="BG14" s="4"/>
      <c r="BH14" s="13"/>
      <c r="BI14" s="13"/>
      <c r="BJ14" s="4"/>
      <c r="BK14" s="14">
        <v>12</v>
      </c>
      <c r="BL14" s="14">
        <v>13</v>
      </c>
      <c r="BM14" s="14">
        <v>13</v>
      </c>
      <c r="BP14" s="15"/>
      <c r="BQ14" s="15"/>
      <c r="BR14" s="2" t="s">
        <v>161</v>
      </c>
      <c r="BS14" s="2" t="s">
        <v>172</v>
      </c>
      <c r="BT14" s="7" t="s">
        <v>148</v>
      </c>
      <c r="BU14" s="7" t="s">
        <v>188</v>
      </c>
      <c r="BV14" s="9" t="s">
        <v>163</v>
      </c>
      <c r="BW14" s="9" t="s">
        <v>164</v>
      </c>
    </row>
    <row r="15" spans="1:75" ht="14.25" customHeight="1" x14ac:dyDescent="0.25">
      <c r="A15" s="1">
        <v>22</v>
      </c>
      <c r="B15" s="1" t="s">
        <v>189</v>
      </c>
      <c r="C15" s="1" t="s">
        <v>190</v>
      </c>
      <c r="D15" s="1" t="s">
        <v>124</v>
      </c>
      <c r="E15" s="1" t="s">
        <v>125</v>
      </c>
      <c r="F15" s="1" t="s">
        <v>126</v>
      </c>
      <c r="G15" s="1"/>
      <c r="H15" s="2">
        <v>1</v>
      </c>
      <c r="I15" s="2">
        <v>1</v>
      </c>
      <c r="J15" s="2">
        <v>1</v>
      </c>
      <c r="K15" s="2">
        <v>0</v>
      </c>
      <c r="L15" s="3" t="s">
        <v>127</v>
      </c>
      <c r="O15" s="4">
        <v>3</v>
      </c>
      <c r="P15" s="4" t="s">
        <v>152</v>
      </c>
      <c r="Q15" s="4"/>
      <c r="R15" s="16">
        <v>4500000</v>
      </c>
      <c r="S15" s="6">
        <v>4500000</v>
      </c>
      <c r="T15" s="16">
        <v>4100000</v>
      </c>
      <c r="U15" s="6">
        <v>4100000</v>
      </c>
      <c r="V15" s="4">
        <v>2014</v>
      </c>
      <c r="W15" s="4" t="s">
        <v>152</v>
      </c>
      <c r="X15" s="4"/>
      <c r="Y15" s="7">
        <v>2</v>
      </c>
      <c r="Z15" s="8">
        <v>1226202</v>
      </c>
      <c r="AA15" s="7" t="s">
        <v>130</v>
      </c>
      <c r="AB15" s="7"/>
      <c r="AC15" s="9">
        <v>1</v>
      </c>
      <c r="AD15" s="10">
        <v>4215547</v>
      </c>
      <c r="AE15" s="9" t="s">
        <v>130</v>
      </c>
      <c r="AF15" s="9"/>
      <c r="AG15" s="11">
        <v>2</v>
      </c>
      <c r="AH15" s="11" t="s">
        <v>156</v>
      </c>
      <c r="AI15" s="11" t="s">
        <v>191</v>
      </c>
      <c r="AJ15" s="11">
        <v>2</v>
      </c>
      <c r="AK15" s="11" t="s">
        <v>143</v>
      </c>
      <c r="AL15" s="12">
        <v>2</v>
      </c>
      <c r="AM15" s="12" t="s">
        <v>156</v>
      </c>
      <c r="AN15" s="12" t="s">
        <v>191</v>
      </c>
      <c r="AO15" s="12">
        <v>2</v>
      </c>
      <c r="AP15" s="12" t="s">
        <v>132</v>
      </c>
      <c r="AQ15" s="4">
        <v>3</v>
      </c>
      <c r="AR15" s="4" t="s">
        <v>192</v>
      </c>
      <c r="AS15" s="4"/>
      <c r="AT15" s="13">
        <v>76.830085754394503</v>
      </c>
      <c r="AU15" s="13">
        <v>1.3999999761581401</v>
      </c>
      <c r="AV15" s="13">
        <v>-3.7999999523162802</v>
      </c>
      <c r="AW15" s="13">
        <v>6.9000000953674299</v>
      </c>
      <c r="AX15" s="4"/>
      <c r="AY15" s="13">
        <v>-44.1061401367188</v>
      </c>
      <c r="AZ15" s="13">
        <v>-2.2999999523162802</v>
      </c>
      <c r="BA15" s="13">
        <v>-7.1999998092651403</v>
      </c>
      <c r="BB15" s="13">
        <v>2.9000000953674299</v>
      </c>
      <c r="BC15" s="4"/>
      <c r="BD15" s="4">
        <v>25</v>
      </c>
      <c r="BE15" s="4"/>
      <c r="BF15" s="13">
        <v>10.699999809265099</v>
      </c>
      <c r="BG15" s="4"/>
      <c r="BH15" s="13"/>
      <c r="BI15" s="13"/>
      <c r="BJ15" s="4"/>
      <c r="BK15" s="14">
        <v>10</v>
      </c>
      <c r="BL15" s="14">
        <v>9</v>
      </c>
      <c r="BM15" s="14">
        <v>10</v>
      </c>
      <c r="BP15" s="15"/>
      <c r="BQ15" s="15" t="s">
        <v>136</v>
      </c>
      <c r="BR15" s="2" t="s">
        <v>161</v>
      </c>
      <c r="BS15" s="2" t="s">
        <v>172</v>
      </c>
      <c r="BT15" s="7" t="s">
        <v>173</v>
      </c>
      <c r="BU15" s="7" t="s">
        <v>188</v>
      </c>
      <c r="BV15" s="9" t="s">
        <v>137</v>
      </c>
      <c r="BW15" s="9"/>
    </row>
    <row r="16" spans="1:75" ht="14.25" customHeight="1" x14ac:dyDescent="0.25">
      <c r="A16" s="1">
        <v>23</v>
      </c>
      <c r="B16" s="1" t="s">
        <v>193</v>
      </c>
      <c r="C16" s="1" t="s">
        <v>194</v>
      </c>
      <c r="D16" s="1" t="s">
        <v>124</v>
      </c>
      <c r="E16" s="1" t="s">
        <v>125</v>
      </c>
      <c r="F16" s="1" t="s">
        <v>126</v>
      </c>
      <c r="G16" s="1"/>
      <c r="H16" s="2">
        <v>1</v>
      </c>
      <c r="I16" s="2">
        <v>1</v>
      </c>
      <c r="J16" s="2">
        <v>1</v>
      </c>
      <c r="K16" s="2">
        <v>1</v>
      </c>
      <c r="L16" s="3" t="s">
        <v>127</v>
      </c>
      <c r="O16" s="4">
        <v>2</v>
      </c>
      <c r="P16" s="4" t="s">
        <v>195</v>
      </c>
      <c r="Q16" s="4" t="s">
        <v>196</v>
      </c>
      <c r="R16" s="16">
        <v>7600000</v>
      </c>
      <c r="S16" s="6">
        <v>7600000</v>
      </c>
      <c r="T16" s="16">
        <v>7500000</v>
      </c>
      <c r="U16" s="6">
        <v>7500000</v>
      </c>
      <c r="V16" s="4">
        <v>2015</v>
      </c>
      <c r="W16" s="4" t="s">
        <v>152</v>
      </c>
      <c r="X16" s="4" t="s">
        <v>197</v>
      </c>
      <c r="Y16" s="7">
        <v>1</v>
      </c>
      <c r="Z16" s="8">
        <v>13237382</v>
      </c>
      <c r="AA16" s="7" t="s">
        <v>154</v>
      </c>
      <c r="AB16" s="7"/>
      <c r="AC16" s="9">
        <v>1</v>
      </c>
      <c r="AD16" s="10">
        <v>7522561</v>
      </c>
      <c r="AE16" s="9" t="s">
        <v>155</v>
      </c>
      <c r="AF16" s="9"/>
      <c r="AG16" s="11">
        <v>2</v>
      </c>
      <c r="AH16" s="11" t="s">
        <v>156</v>
      </c>
      <c r="AI16" s="11"/>
      <c r="AJ16" s="11">
        <v>3</v>
      </c>
      <c r="AK16" s="11" t="s">
        <v>132</v>
      </c>
      <c r="AL16" s="12">
        <v>2</v>
      </c>
      <c r="AM16" s="12" t="s">
        <v>156</v>
      </c>
      <c r="AN16" s="12"/>
      <c r="AO16" s="12">
        <v>2</v>
      </c>
      <c r="AP16" s="12" t="s">
        <v>132</v>
      </c>
      <c r="AQ16" s="4">
        <v>1</v>
      </c>
      <c r="AR16" s="4" t="s">
        <v>133</v>
      </c>
      <c r="AS16" s="4"/>
      <c r="AT16" s="13">
        <v>8279.4423828125</v>
      </c>
      <c r="AU16" s="13">
        <v>9.0728807449340803</v>
      </c>
      <c r="AV16" s="13">
        <v>7.5799999237060502</v>
      </c>
      <c r="AW16" s="13">
        <v>11.1000003814697</v>
      </c>
      <c r="AX16" s="4">
        <v>1</v>
      </c>
      <c r="AY16" s="13">
        <v>275.01708984375</v>
      </c>
      <c r="AZ16" s="13">
        <v>4.83581638336182</v>
      </c>
      <c r="BA16" s="13">
        <v>2.1500000953674299</v>
      </c>
      <c r="BB16" s="13">
        <v>6.3299999237060502</v>
      </c>
      <c r="BC16" s="4">
        <v>1</v>
      </c>
      <c r="BD16" s="4">
        <v>28</v>
      </c>
      <c r="BE16" s="4" t="s">
        <v>134</v>
      </c>
      <c r="BF16" s="13">
        <v>3.5199999809265101</v>
      </c>
      <c r="BG16" s="4">
        <v>3328.5</v>
      </c>
      <c r="BH16" s="13">
        <v>11.460000038146999</v>
      </c>
      <c r="BI16" s="13">
        <v>38146.2109375</v>
      </c>
      <c r="BJ16" s="4"/>
      <c r="BK16" s="14">
        <v>6</v>
      </c>
      <c r="BL16" s="14">
        <v>6</v>
      </c>
      <c r="BM16" s="14">
        <v>6</v>
      </c>
      <c r="BP16" s="15" t="s">
        <v>135</v>
      </c>
      <c r="BQ16" s="15" t="s">
        <v>136</v>
      </c>
      <c r="BR16" s="2" t="s">
        <v>172</v>
      </c>
      <c r="BS16" s="2" t="s">
        <v>172</v>
      </c>
      <c r="BT16" s="7" t="s">
        <v>137</v>
      </c>
      <c r="BU16" s="7"/>
      <c r="BV16" s="9" t="s">
        <v>137</v>
      </c>
      <c r="BW16" s="9" t="s">
        <v>148</v>
      </c>
    </row>
    <row r="17" spans="1:75" ht="14.25" customHeight="1" x14ac:dyDescent="0.25">
      <c r="A17" s="1">
        <v>25</v>
      </c>
      <c r="B17" s="1" t="s">
        <v>198</v>
      </c>
      <c r="C17" s="1" t="s">
        <v>199</v>
      </c>
      <c r="D17" s="1" t="s">
        <v>124</v>
      </c>
      <c r="E17" s="1" t="s">
        <v>125</v>
      </c>
      <c r="F17" s="1" t="s">
        <v>126</v>
      </c>
      <c r="G17" s="1" t="s">
        <v>118</v>
      </c>
      <c r="H17" s="2">
        <v>1</v>
      </c>
      <c r="I17" s="2">
        <v>1</v>
      </c>
      <c r="J17" s="2">
        <v>1</v>
      </c>
      <c r="K17" s="2">
        <v>0</v>
      </c>
      <c r="L17" s="3" t="s">
        <v>127</v>
      </c>
      <c r="M17" s="3">
        <v>1</v>
      </c>
      <c r="O17" s="4">
        <v>4</v>
      </c>
      <c r="P17" s="4" t="s">
        <v>200</v>
      </c>
      <c r="Q17" s="4"/>
      <c r="R17" s="16">
        <v>400000</v>
      </c>
      <c r="S17" s="6">
        <v>400000</v>
      </c>
      <c r="T17" s="16">
        <v>31000</v>
      </c>
      <c r="U17" s="6">
        <v>31000</v>
      </c>
      <c r="V17" s="4"/>
      <c r="W17" s="4" t="s">
        <v>201</v>
      </c>
      <c r="X17" s="4"/>
      <c r="Y17" s="7">
        <v>1</v>
      </c>
      <c r="Z17" s="8"/>
      <c r="AA17" s="7" t="s">
        <v>202</v>
      </c>
      <c r="AB17" s="7"/>
      <c r="AC17" s="9">
        <v>1</v>
      </c>
      <c r="AD17" s="10"/>
      <c r="AE17" s="9" t="s">
        <v>203</v>
      </c>
      <c r="AF17" s="9"/>
      <c r="AG17" s="11">
        <v>2</v>
      </c>
      <c r="AH17" s="11" t="s">
        <v>156</v>
      </c>
      <c r="AI17" s="11"/>
      <c r="AJ17" s="11">
        <v>2</v>
      </c>
      <c r="AK17" s="11" t="s">
        <v>143</v>
      </c>
      <c r="AL17" s="12">
        <v>2</v>
      </c>
      <c r="AM17" s="12" t="s">
        <v>156</v>
      </c>
      <c r="AN17" s="12"/>
      <c r="AO17" s="12">
        <v>2</v>
      </c>
      <c r="AP17" s="12" t="s">
        <v>132</v>
      </c>
      <c r="AQ17" s="4">
        <v>1</v>
      </c>
      <c r="AR17" s="4" t="s">
        <v>133</v>
      </c>
      <c r="AS17" s="4"/>
      <c r="AT17" s="13">
        <v>147.99258422851599</v>
      </c>
      <c r="AU17" s="13">
        <v>1.79494404792786</v>
      </c>
      <c r="AV17" s="13">
        <v>-0.660502970218658</v>
      </c>
      <c r="AW17" s="13">
        <v>4.6300001144409197</v>
      </c>
      <c r="AX17" s="4"/>
      <c r="AY17" s="13">
        <v>19.633747100830099</v>
      </c>
      <c r="AZ17" s="13">
        <v>0.62006980180740401</v>
      </c>
      <c r="BA17" s="13">
        <v>-2.7000000476837198</v>
      </c>
      <c r="BB17" s="13">
        <v>3.92069792747498</v>
      </c>
      <c r="BC17" s="4"/>
      <c r="BD17" s="4">
        <v>29</v>
      </c>
      <c r="BE17" s="4" t="s">
        <v>134</v>
      </c>
      <c r="BF17" s="13">
        <v>5.2905030250549299</v>
      </c>
      <c r="BG17" s="4">
        <v>92.5</v>
      </c>
      <c r="BH17" s="13">
        <v>0.25499999523162797</v>
      </c>
      <c r="BI17" s="13">
        <v>23.579999923706101</v>
      </c>
      <c r="BJ17" s="4"/>
      <c r="BK17" s="14">
        <v>8</v>
      </c>
      <c r="BL17" s="14">
        <v>8</v>
      </c>
      <c r="BM17" s="14">
        <v>8</v>
      </c>
      <c r="BP17" s="15" t="s">
        <v>135</v>
      </c>
      <c r="BQ17" s="15"/>
      <c r="BR17" s="2" t="s">
        <v>12</v>
      </c>
      <c r="BS17" s="2" t="s">
        <v>12</v>
      </c>
      <c r="BT17" s="7" t="s">
        <v>137</v>
      </c>
      <c r="BU17" s="7"/>
      <c r="BV17" s="9" t="s">
        <v>137</v>
      </c>
      <c r="BW17" s="9"/>
    </row>
    <row r="18" spans="1:75" ht="14.25" customHeight="1" x14ac:dyDescent="0.25">
      <c r="A18" s="1">
        <v>26</v>
      </c>
      <c r="B18" s="1" t="s">
        <v>204</v>
      </c>
      <c r="C18" s="1" t="s">
        <v>205</v>
      </c>
      <c r="D18" s="1" t="s">
        <v>124</v>
      </c>
      <c r="E18" s="1" t="s">
        <v>125</v>
      </c>
      <c r="F18" s="1" t="s">
        <v>126</v>
      </c>
      <c r="G18" s="1" t="s">
        <v>118</v>
      </c>
      <c r="H18" s="2">
        <v>1</v>
      </c>
      <c r="I18" s="2">
        <v>1</v>
      </c>
      <c r="J18" s="2">
        <v>1</v>
      </c>
      <c r="K18" s="2">
        <v>0</v>
      </c>
      <c r="L18" s="3" t="s">
        <v>127</v>
      </c>
      <c r="O18" s="4">
        <v>4</v>
      </c>
      <c r="P18" s="4" t="s">
        <v>206</v>
      </c>
      <c r="Q18" s="4"/>
      <c r="R18" s="16">
        <v>63000</v>
      </c>
      <c r="S18" s="6">
        <v>63000</v>
      </c>
      <c r="T18" s="16">
        <v>63000</v>
      </c>
      <c r="U18" s="6">
        <v>63000</v>
      </c>
      <c r="V18" s="4">
        <v>2015</v>
      </c>
      <c r="W18" s="4" t="s">
        <v>206</v>
      </c>
      <c r="X18" s="4"/>
      <c r="Y18" s="7">
        <v>2</v>
      </c>
      <c r="Z18" s="8">
        <v>1369061</v>
      </c>
      <c r="AA18" s="7" t="s">
        <v>130</v>
      </c>
      <c r="AB18" s="7"/>
      <c r="AC18" s="9">
        <v>3</v>
      </c>
      <c r="AD18" s="10">
        <v>356836</v>
      </c>
      <c r="AE18" s="9" t="s">
        <v>130</v>
      </c>
      <c r="AF18" s="9"/>
      <c r="AG18" s="11">
        <v>4</v>
      </c>
      <c r="AH18" s="11" t="s">
        <v>156</v>
      </c>
      <c r="AI18" s="11" t="s">
        <v>207</v>
      </c>
      <c r="AJ18" s="11">
        <v>5</v>
      </c>
      <c r="AK18" s="11" t="s">
        <v>143</v>
      </c>
      <c r="AL18" s="12">
        <v>3</v>
      </c>
      <c r="AM18" s="12" t="s">
        <v>156</v>
      </c>
      <c r="AN18" s="12" t="s">
        <v>207</v>
      </c>
      <c r="AO18" s="12">
        <v>2</v>
      </c>
      <c r="AP18" s="12" t="s">
        <v>132</v>
      </c>
      <c r="AQ18" s="4">
        <v>1</v>
      </c>
      <c r="AR18" s="4" t="s">
        <v>208</v>
      </c>
      <c r="AS18" s="4" t="s">
        <v>209</v>
      </c>
      <c r="AT18" s="13">
        <v>574.63153076171898</v>
      </c>
      <c r="AU18" s="13">
        <v>5.3911476135253897</v>
      </c>
      <c r="AV18" s="13">
        <v>1.3899999856948899</v>
      </c>
      <c r="AW18" s="13">
        <v>8.8387966156005895</v>
      </c>
      <c r="AX18" s="4">
        <v>1</v>
      </c>
      <c r="AY18" s="13">
        <v>516.90338134765602</v>
      </c>
      <c r="AZ18" s="13">
        <v>6.7166843414306596</v>
      </c>
      <c r="BA18" s="13">
        <v>4.0900001525878897</v>
      </c>
      <c r="BB18" s="13">
        <v>8.9099998474121094</v>
      </c>
      <c r="BC18" s="4">
        <v>1</v>
      </c>
      <c r="BD18" s="4">
        <v>28</v>
      </c>
      <c r="BE18" s="4" t="s">
        <v>210</v>
      </c>
      <c r="BF18" s="13">
        <v>7.4487972259521502</v>
      </c>
      <c r="BG18" s="4">
        <v>174</v>
      </c>
      <c r="BH18" s="13">
        <v>0.22300000488758101</v>
      </c>
      <c r="BI18" s="13">
        <v>38.801998138427699</v>
      </c>
      <c r="BJ18" s="4"/>
      <c r="BK18" s="14">
        <v>11</v>
      </c>
      <c r="BL18" s="14">
        <v>11</v>
      </c>
      <c r="BM18" s="14">
        <v>11</v>
      </c>
      <c r="BP18" s="15"/>
      <c r="BQ18" s="15" t="s">
        <v>136</v>
      </c>
      <c r="BR18" s="2" t="s">
        <v>211</v>
      </c>
      <c r="BS18" s="2" t="s">
        <v>172</v>
      </c>
      <c r="BT18" s="7" t="s">
        <v>212</v>
      </c>
      <c r="BU18" s="7" t="s">
        <v>147</v>
      </c>
      <c r="BV18" s="9" t="s">
        <v>137</v>
      </c>
      <c r="BW18" s="9"/>
    </row>
    <row r="19" spans="1:75" ht="14.25" customHeight="1" x14ac:dyDescent="0.25">
      <c r="A19" s="1">
        <v>27</v>
      </c>
      <c r="B19" s="1" t="s">
        <v>213</v>
      </c>
      <c r="C19" s="1" t="s">
        <v>214</v>
      </c>
      <c r="D19" s="1" t="s">
        <v>124</v>
      </c>
      <c r="E19" s="1" t="s">
        <v>125</v>
      </c>
      <c r="F19" s="1" t="s">
        <v>126</v>
      </c>
      <c r="G19" s="1"/>
      <c r="H19" s="2">
        <v>1</v>
      </c>
      <c r="I19" s="2">
        <v>1</v>
      </c>
      <c r="J19" s="2">
        <v>1</v>
      </c>
      <c r="K19" s="2">
        <v>0</v>
      </c>
      <c r="L19" s="3" t="s">
        <v>127</v>
      </c>
      <c r="O19" s="4">
        <v>4</v>
      </c>
      <c r="P19" s="4" t="s">
        <v>215</v>
      </c>
      <c r="Q19" s="4" t="s">
        <v>216</v>
      </c>
      <c r="R19" s="16">
        <v>280000</v>
      </c>
      <c r="S19" s="6">
        <v>280000</v>
      </c>
      <c r="T19" s="16">
        <v>190000</v>
      </c>
      <c r="U19" s="6">
        <v>190000</v>
      </c>
      <c r="V19" s="4"/>
      <c r="W19" s="4" t="s">
        <v>217</v>
      </c>
      <c r="X19" s="4" t="s">
        <v>218</v>
      </c>
      <c r="Y19" s="7">
        <v>2</v>
      </c>
      <c r="Z19" s="8">
        <v>2860842</v>
      </c>
      <c r="AA19" s="7" t="s">
        <v>154</v>
      </c>
      <c r="AB19" s="7"/>
      <c r="AC19" s="9">
        <v>2</v>
      </c>
      <c r="AD19" s="10">
        <v>1345406</v>
      </c>
      <c r="AE19" s="9" t="s">
        <v>130</v>
      </c>
      <c r="AF19" s="9" t="s">
        <v>219</v>
      </c>
      <c r="AG19" s="11">
        <v>3</v>
      </c>
      <c r="AH19" s="11" t="s">
        <v>156</v>
      </c>
      <c r="AI19" s="11" t="s">
        <v>220</v>
      </c>
      <c r="AJ19" s="11">
        <v>4</v>
      </c>
      <c r="AK19" s="11" t="s">
        <v>143</v>
      </c>
      <c r="AL19" s="12">
        <v>2</v>
      </c>
      <c r="AM19" s="12" t="s">
        <v>156</v>
      </c>
      <c r="AN19" s="12" t="s">
        <v>221</v>
      </c>
      <c r="AO19" s="12">
        <v>2</v>
      </c>
      <c r="AP19" s="12" t="s">
        <v>132</v>
      </c>
      <c r="AQ19" s="4">
        <v>2</v>
      </c>
      <c r="AR19" s="4" t="s">
        <v>222</v>
      </c>
      <c r="AS19" s="4"/>
      <c r="AT19" s="13">
        <v>27.3295783996582</v>
      </c>
      <c r="AU19" s="13">
        <v>0.49429652094840998</v>
      </c>
      <c r="AV19" s="13">
        <v>-0.40000000596046398</v>
      </c>
      <c r="AW19" s="13">
        <v>1.5556610822677599</v>
      </c>
      <c r="AX19" s="4"/>
      <c r="AY19" s="13">
        <v>53.173503875732401</v>
      </c>
      <c r="AZ19" s="13">
        <v>1.7202328443527199</v>
      </c>
      <c r="BA19" s="13">
        <v>-0.82451063394546498</v>
      </c>
      <c r="BB19" s="13">
        <v>5.3685150146484402</v>
      </c>
      <c r="BC19" s="4"/>
      <c r="BD19" s="4">
        <v>25</v>
      </c>
      <c r="BE19" s="4"/>
      <c r="BF19" s="13">
        <v>1.95566117763519</v>
      </c>
      <c r="BG19" s="4"/>
      <c r="BH19" s="13"/>
      <c r="BI19" s="13"/>
      <c r="BJ19" s="4"/>
      <c r="BK19" s="14">
        <v>11</v>
      </c>
      <c r="BL19" s="14">
        <v>10</v>
      </c>
      <c r="BM19" s="14">
        <v>11</v>
      </c>
      <c r="BP19" s="15"/>
      <c r="BQ19" s="15" t="s">
        <v>136</v>
      </c>
      <c r="BR19" s="2" t="s">
        <v>161</v>
      </c>
      <c r="BS19" s="2" t="s">
        <v>172</v>
      </c>
      <c r="BT19" s="7" t="s">
        <v>173</v>
      </c>
      <c r="BU19" s="7"/>
      <c r="BV19" s="9" t="s">
        <v>137</v>
      </c>
      <c r="BW19" s="9"/>
    </row>
    <row r="20" spans="1:75" ht="14.25" customHeight="1" x14ac:dyDescent="0.25">
      <c r="A20" s="1">
        <v>34</v>
      </c>
      <c r="B20" s="1" t="s">
        <v>223</v>
      </c>
      <c r="C20" s="1" t="s">
        <v>224</v>
      </c>
      <c r="D20" s="1" t="s">
        <v>124</v>
      </c>
      <c r="E20" s="1" t="s">
        <v>125</v>
      </c>
      <c r="F20" s="1" t="s">
        <v>126</v>
      </c>
      <c r="G20" s="1" t="s">
        <v>118</v>
      </c>
      <c r="H20" s="2">
        <v>0</v>
      </c>
      <c r="I20" s="2">
        <v>1</v>
      </c>
      <c r="J20" s="2">
        <v>1</v>
      </c>
      <c r="K20" s="2">
        <v>1</v>
      </c>
      <c r="L20" s="3" t="s">
        <v>80</v>
      </c>
      <c r="O20" s="4">
        <v>3</v>
      </c>
      <c r="P20" s="4" t="s">
        <v>225</v>
      </c>
      <c r="Q20" s="4" t="s">
        <v>226</v>
      </c>
      <c r="R20" s="16">
        <v>550000</v>
      </c>
      <c r="S20" s="6">
        <v>550000</v>
      </c>
      <c r="T20" s="17" t="s">
        <v>227</v>
      </c>
      <c r="U20" s="6">
        <v>10</v>
      </c>
      <c r="V20" s="4"/>
      <c r="W20" s="4" t="s">
        <v>228</v>
      </c>
      <c r="X20" s="4" t="s">
        <v>229</v>
      </c>
      <c r="Y20" s="7">
        <v>1</v>
      </c>
      <c r="Z20" s="8">
        <v>13945445</v>
      </c>
      <c r="AA20" s="7" t="s">
        <v>130</v>
      </c>
      <c r="AB20" s="7"/>
      <c r="AC20" s="9">
        <v>1</v>
      </c>
      <c r="AD20" s="10">
        <v>13945445</v>
      </c>
      <c r="AE20" s="9" t="s">
        <v>130</v>
      </c>
      <c r="AF20" s="9"/>
      <c r="AG20" s="11">
        <v>4</v>
      </c>
      <c r="AH20" s="11" t="s">
        <v>156</v>
      </c>
      <c r="AI20" s="11"/>
      <c r="AJ20" s="11">
        <v>2</v>
      </c>
      <c r="AK20" s="11" t="s">
        <v>143</v>
      </c>
      <c r="AL20" s="12">
        <v>4</v>
      </c>
      <c r="AM20" s="12" t="s">
        <v>156</v>
      </c>
      <c r="AN20" s="12" t="s">
        <v>230</v>
      </c>
      <c r="AO20" s="12">
        <v>2</v>
      </c>
      <c r="AP20" s="12" t="s">
        <v>143</v>
      </c>
      <c r="AQ20" s="4">
        <v>5</v>
      </c>
      <c r="AR20" s="4" t="s">
        <v>231</v>
      </c>
      <c r="AS20" s="4" t="s">
        <v>232</v>
      </c>
      <c r="AT20" s="13"/>
      <c r="AU20" s="13"/>
      <c r="AV20" s="13"/>
      <c r="AW20" s="13"/>
      <c r="AX20" s="4"/>
      <c r="AY20" s="13"/>
      <c r="AZ20" s="13"/>
      <c r="BA20" s="13"/>
      <c r="BB20" s="13"/>
      <c r="BC20" s="4"/>
      <c r="BD20" s="4"/>
      <c r="BE20" s="4"/>
      <c r="BF20" s="13"/>
      <c r="BG20" s="4"/>
      <c r="BH20" s="13"/>
      <c r="BI20" s="13"/>
      <c r="BJ20" s="4"/>
      <c r="BK20" s="14">
        <v>13</v>
      </c>
      <c r="BL20" s="14">
        <v>13</v>
      </c>
      <c r="BM20" s="14">
        <v>13</v>
      </c>
      <c r="BN20" s="3" t="s">
        <v>113</v>
      </c>
      <c r="BP20" s="15"/>
      <c r="BQ20" s="15"/>
      <c r="BR20" s="2" t="s">
        <v>97</v>
      </c>
      <c r="BS20" s="2" t="s">
        <v>97</v>
      </c>
      <c r="BT20" s="7" t="s">
        <v>137</v>
      </c>
      <c r="BU20" s="7"/>
      <c r="BV20" s="9" t="s">
        <v>137</v>
      </c>
      <c r="BW20" s="9"/>
    </row>
    <row r="21" spans="1:75" ht="14.25" customHeight="1" x14ac:dyDescent="0.25">
      <c r="A21" s="1">
        <v>35</v>
      </c>
      <c r="B21" s="1" t="s">
        <v>233</v>
      </c>
      <c r="C21" s="1" t="s">
        <v>234</v>
      </c>
      <c r="D21" s="1" t="s">
        <v>124</v>
      </c>
      <c r="E21" s="1" t="s">
        <v>125</v>
      </c>
      <c r="F21" s="1" t="s">
        <v>126</v>
      </c>
      <c r="G21" s="1" t="s">
        <v>118</v>
      </c>
      <c r="H21" s="2">
        <v>1</v>
      </c>
      <c r="I21" s="2">
        <v>1</v>
      </c>
      <c r="J21" s="2">
        <v>1</v>
      </c>
      <c r="K21" s="2">
        <v>0</v>
      </c>
      <c r="L21" s="3" t="s">
        <v>127</v>
      </c>
      <c r="O21" s="4">
        <v>3</v>
      </c>
      <c r="P21" s="4" t="s">
        <v>235</v>
      </c>
      <c r="Q21" s="4" t="s">
        <v>236</v>
      </c>
      <c r="R21" s="16">
        <v>4600000</v>
      </c>
      <c r="S21" s="6">
        <v>4600000</v>
      </c>
      <c r="T21" s="16">
        <v>4600000</v>
      </c>
      <c r="U21" s="6">
        <v>4600000</v>
      </c>
      <c r="V21" s="4"/>
      <c r="W21" s="4" t="s">
        <v>235</v>
      </c>
      <c r="X21" s="4" t="s">
        <v>236</v>
      </c>
      <c r="Y21" s="7">
        <v>1</v>
      </c>
      <c r="Z21" s="8">
        <v>6185338</v>
      </c>
      <c r="AA21" s="7" t="s">
        <v>130</v>
      </c>
      <c r="AB21" s="7"/>
      <c r="AC21" s="9">
        <v>1</v>
      </c>
      <c r="AD21" s="10">
        <v>6699816</v>
      </c>
      <c r="AE21" s="9" t="s">
        <v>130</v>
      </c>
      <c r="AF21" s="9"/>
      <c r="AG21" s="11">
        <v>2</v>
      </c>
      <c r="AH21" s="11" t="s">
        <v>156</v>
      </c>
      <c r="AI21" s="11" t="s">
        <v>237</v>
      </c>
      <c r="AJ21" s="11">
        <v>2</v>
      </c>
      <c r="AK21" s="11" t="s">
        <v>132</v>
      </c>
      <c r="AL21" s="12">
        <v>2</v>
      </c>
      <c r="AM21" s="12" t="s">
        <v>156</v>
      </c>
      <c r="AN21" s="12" t="s">
        <v>238</v>
      </c>
      <c r="AO21" s="12">
        <v>2</v>
      </c>
      <c r="AP21" s="12" t="s">
        <v>132</v>
      </c>
      <c r="AQ21" s="4">
        <v>1</v>
      </c>
      <c r="AR21" s="4" t="s">
        <v>133</v>
      </c>
      <c r="AS21" s="4"/>
      <c r="AT21" s="13">
        <v>112.817192077637</v>
      </c>
      <c r="AU21" s="13">
        <v>1.49462950229645</v>
      </c>
      <c r="AV21" s="13">
        <v>0.95280402898788497</v>
      </c>
      <c r="AW21" s="13">
        <v>2.21000003814697</v>
      </c>
      <c r="AX21" s="4">
        <v>1</v>
      </c>
      <c r="AY21" s="13">
        <v>9.8027133941650408</v>
      </c>
      <c r="AZ21" s="13">
        <v>0.78244447708129905</v>
      </c>
      <c r="BA21" s="13">
        <v>-0.270000010728836</v>
      </c>
      <c r="BB21" s="13">
        <v>1.83000004291534</v>
      </c>
      <c r="BC21" s="4"/>
      <c r="BD21" s="4">
        <v>12</v>
      </c>
      <c r="BE21" s="4" t="s">
        <v>134</v>
      </c>
      <c r="BF21" s="13">
        <v>1.25719594955444</v>
      </c>
      <c r="BG21" s="4">
        <v>2393.5</v>
      </c>
      <c r="BH21" s="13">
        <v>0.322499990463257</v>
      </c>
      <c r="BI21" s="13">
        <v>771.80749511718795</v>
      </c>
      <c r="BJ21" s="4"/>
      <c r="BK21" s="14">
        <v>7</v>
      </c>
      <c r="BL21" s="14">
        <v>7</v>
      </c>
      <c r="BM21" s="14">
        <v>7</v>
      </c>
      <c r="BP21" s="15"/>
      <c r="BQ21" s="15"/>
      <c r="BR21" s="2" t="s">
        <v>239</v>
      </c>
      <c r="BS21" s="2" t="s">
        <v>239</v>
      </c>
      <c r="BT21" s="7" t="s">
        <v>240</v>
      </c>
      <c r="BU21" s="7" t="s">
        <v>241</v>
      </c>
      <c r="BV21" s="9" t="s">
        <v>240</v>
      </c>
      <c r="BW21" s="9" t="s">
        <v>212</v>
      </c>
    </row>
    <row r="22" spans="1:75" ht="14.25" customHeight="1" x14ac:dyDescent="0.25">
      <c r="A22" s="1">
        <v>38</v>
      </c>
      <c r="B22" s="1" t="s">
        <v>242</v>
      </c>
      <c r="C22" s="1" t="s">
        <v>243</v>
      </c>
      <c r="D22" s="1" t="s">
        <v>124</v>
      </c>
      <c r="E22" s="1" t="s">
        <v>125</v>
      </c>
      <c r="F22" s="1" t="s">
        <v>126</v>
      </c>
      <c r="G22" s="1" t="s">
        <v>244</v>
      </c>
      <c r="H22" s="2">
        <v>1</v>
      </c>
      <c r="I22" s="2">
        <v>1</v>
      </c>
      <c r="J22" s="2">
        <v>1</v>
      </c>
      <c r="K22" s="2">
        <v>1</v>
      </c>
      <c r="L22" s="3" t="s">
        <v>127</v>
      </c>
      <c r="O22" s="4">
        <v>2</v>
      </c>
      <c r="P22" s="4" t="s">
        <v>217</v>
      </c>
      <c r="Q22" s="4"/>
      <c r="R22" s="16">
        <v>7800000</v>
      </c>
      <c r="S22" s="6">
        <v>7800000</v>
      </c>
      <c r="T22" s="16">
        <v>7800000</v>
      </c>
      <c r="U22" s="6">
        <v>7800000</v>
      </c>
      <c r="V22" s="4"/>
      <c r="W22" s="4" t="s">
        <v>217</v>
      </c>
      <c r="X22" s="4"/>
      <c r="Y22" s="7">
        <v>1</v>
      </c>
      <c r="Z22" s="8">
        <v>8484797</v>
      </c>
      <c r="AA22" s="7" t="s">
        <v>130</v>
      </c>
      <c r="AB22" s="7"/>
      <c r="AC22" s="9">
        <v>1</v>
      </c>
      <c r="AD22" s="10">
        <v>5453778</v>
      </c>
      <c r="AE22" s="9" t="s">
        <v>130</v>
      </c>
      <c r="AF22" s="9"/>
      <c r="AG22" s="11">
        <v>3</v>
      </c>
      <c r="AH22" s="11" t="s">
        <v>156</v>
      </c>
      <c r="AI22" s="11" t="s">
        <v>245</v>
      </c>
      <c r="AJ22" s="11">
        <v>2</v>
      </c>
      <c r="AK22" s="11" t="s">
        <v>132</v>
      </c>
      <c r="AL22" s="12">
        <v>2</v>
      </c>
      <c r="AM22" s="12" t="s">
        <v>156</v>
      </c>
      <c r="AN22" s="12" t="s">
        <v>246</v>
      </c>
      <c r="AO22" s="12">
        <v>2</v>
      </c>
      <c r="AP22" s="12" t="s">
        <v>132</v>
      </c>
      <c r="AQ22" s="4">
        <v>2</v>
      </c>
      <c r="AR22" s="4" t="s">
        <v>133</v>
      </c>
      <c r="AS22" s="4"/>
      <c r="AT22" s="13">
        <v>5.4138145446777299</v>
      </c>
      <c r="AU22" s="13">
        <v>0.103767327964306</v>
      </c>
      <c r="AV22" s="13">
        <v>-0.95399999618530296</v>
      </c>
      <c r="AW22" s="13">
        <v>0.99420499801635698</v>
      </c>
      <c r="AX22" s="4"/>
      <c r="AY22" s="13">
        <v>-21.862668991088899</v>
      </c>
      <c r="AZ22" s="13">
        <v>-2.0352802276611301</v>
      </c>
      <c r="BA22" s="13">
        <v>-4.6283011436462402</v>
      </c>
      <c r="BB22" s="13">
        <v>0.84100002050399802</v>
      </c>
      <c r="BC22" s="4"/>
      <c r="BD22" s="4">
        <v>12</v>
      </c>
      <c r="BE22" s="4" t="s">
        <v>134</v>
      </c>
      <c r="BF22" s="13">
        <v>1.9482049942016599</v>
      </c>
      <c r="BG22" s="4">
        <v>1325.5</v>
      </c>
      <c r="BH22" s="13">
        <v>1.6100000143051101</v>
      </c>
      <c r="BI22" s="13">
        <v>2133.81005859375</v>
      </c>
      <c r="BJ22" s="4"/>
      <c r="BK22" s="14">
        <v>8</v>
      </c>
      <c r="BL22" s="14">
        <v>7</v>
      </c>
      <c r="BM22" s="14">
        <v>8</v>
      </c>
      <c r="BP22" s="15"/>
      <c r="BQ22" s="15"/>
      <c r="BR22" s="2" t="s">
        <v>172</v>
      </c>
      <c r="BS22" s="2" t="s">
        <v>247</v>
      </c>
      <c r="BT22" s="7" t="s">
        <v>248</v>
      </c>
      <c r="BU22" s="7" t="s">
        <v>147</v>
      </c>
      <c r="BV22" s="9" t="s">
        <v>148</v>
      </c>
      <c r="BW22" s="9" t="s">
        <v>147</v>
      </c>
    </row>
    <row r="23" spans="1:75" ht="14.25" customHeight="1" x14ac:dyDescent="0.25">
      <c r="A23" s="1">
        <v>39</v>
      </c>
      <c r="B23" s="1" t="s">
        <v>249</v>
      </c>
      <c r="C23" s="1" t="s">
        <v>250</v>
      </c>
      <c r="D23" s="1" t="s">
        <v>124</v>
      </c>
      <c r="E23" s="1" t="s">
        <v>125</v>
      </c>
      <c r="F23" s="1" t="s">
        <v>126</v>
      </c>
      <c r="G23" s="1" t="s">
        <v>251</v>
      </c>
      <c r="H23" s="2">
        <v>1</v>
      </c>
      <c r="I23" s="2">
        <v>1</v>
      </c>
      <c r="J23" s="2">
        <v>1</v>
      </c>
      <c r="K23" s="2">
        <v>1</v>
      </c>
      <c r="L23" s="3" t="s">
        <v>127</v>
      </c>
      <c r="O23" s="4">
        <v>4</v>
      </c>
      <c r="P23" s="4" t="s">
        <v>252</v>
      </c>
      <c r="Q23" s="4" t="s">
        <v>253</v>
      </c>
      <c r="R23" s="16">
        <v>380000</v>
      </c>
      <c r="S23" s="6">
        <v>380000</v>
      </c>
      <c r="T23" s="16">
        <v>300000</v>
      </c>
      <c r="U23" s="6">
        <v>300000</v>
      </c>
      <c r="V23" s="4"/>
      <c r="W23" s="4" t="s">
        <v>235</v>
      </c>
      <c r="X23" s="4"/>
      <c r="Y23" s="7">
        <v>1</v>
      </c>
      <c r="Z23" s="8">
        <v>6904749</v>
      </c>
      <c r="AA23" s="7" t="s">
        <v>130</v>
      </c>
      <c r="AB23" s="7"/>
      <c r="AC23" s="9">
        <v>1</v>
      </c>
      <c r="AD23" s="10">
        <v>6265279</v>
      </c>
      <c r="AE23" s="9" t="s">
        <v>130</v>
      </c>
      <c r="AF23" s="9"/>
      <c r="AG23" s="11">
        <v>3</v>
      </c>
      <c r="AH23" s="11" t="s">
        <v>156</v>
      </c>
      <c r="AI23" s="11"/>
      <c r="AJ23" s="11">
        <v>3</v>
      </c>
      <c r="AK23" s="11" t="s">
        <v>143</v>
      </c>
      <c r="AL23" s="12">
        <v>3</v>
      </c>
      <c r="AM23" s="12" t="s">
        <v>156</v>
      </c>
      <c r="AN23" s="12" t="s">
        <v>254</v>
      </c>
      <c r="AO23" s="12">
        <v>2</v>
      </c>
      <c r="AP23" s="12" t="s">
        <v>132</v>
      </c>
      <c r="AQ23" s="4">
        <v>4</v>
      </c>
      <c r="AR23" s="4" t="s">
        <v>133</v>
      </c>
      <c r="AS23" s="4"/>
      <c r="AT23" s="13">
        <v>-51.0720405578613</v>
      </c>
      <c r="AU23" s="13">
        <v>-1.39350962638855</v>
      </c>
      <c r="AV23" s="13">
        <v>-2.1199998855590798</v>
      </c>
      <c r="AW23" s="13">
        <v>-0.22900000214576699</v>
      </c>
      <c r="AX23" s="4">
        <v>1</v>
      </c>
      <c r="AY23" s="13">
        <v>4.1778335571289098</v>
      </c>
      <c r="AZ23" s="13">
        <v>0.41049858927726701</v>
      </c>
      <c r="BA23" s="13">
        <v>-2.8199999332428001</v>
      </c>
      <c r="BB23" s="13">
        <v>3.2173988819122301</v>
      </c>
      <c r="BC23" s="4"/>
      <c r="BD23" s="4">
        <v>10</v>
      </c>
      <c r="BE23" s="4" t="s">
        <v>134</v>
      </c>
      <c r="BF23" s="13">
        <v>1.8910000324249301</v>
      </c>
      <c r="BG23" s="4">
        <v>510.5</v>
      </c>
      <c r="BH23" s="13">
        <v>0.542500019073486</v>
      </c>
      <c r="BI23" s="13">
        <v>277.03250122070301</v>
      </c>
      <c r="BJ23" s="4"/>
      <c r="BK23" s="14">
        <v>12</v>
      </c>
      <c r="BL23" s="14">
        <v>12</v>
      </c>
      <c r="BM23" s="14">
        <v>12</v>
      </c>
      <c r="BN23" s="3" t="s">
        <v>255</v>
      </c>
      <c r="BP23" s="15"/>
      <c r="BQ23" s="15"/>
      <c r="BR23" s="2" t="s">
        <v>256</v>
      </c>
      <c r="BS23" s="2" t="s">
        <v>256</v>
      </c>
      <c r="BT23" s="7" t="s">
        <v>147</v>
      </c>
      <c r="BU23" s="7"/>
      <c r="BV23" s="9" t="s">
        <v>147</v>
      </c>
      <c r="BW23" s="9" t="s">
        <v>212</v>
      </c>
    </row>
    <row r="24" spans="1:75" ht="14.25" customHeight="1" x14ac:dyDescent="0.25">
      <c r="A24" s="1">
        <v>40</v>
      </c>
      <c r="B24" s="1" t="s">
        <v>257</v>
      </c>
      <c r="C24" s="1" t="s">
        <v>258</v>
      </c>
      <c r="D24" s="1" t="s">
        <v>124</v>
      </c>
      <c r="E24" s="1" t="s">
        <v>125</v>
      </c>
      <c r="F24" s="1" t="s">
        <v>126</v>
      </c>
      <c r="G24" s="1" t="s">
        <v>259</v>
      </c>
      <c r="H24" s="2">
        <v>1</v>
      </c>
      <c r="I24" s="2">
        <v>1</v>
      </c>
      <c r="J24" s="2">
        <v>1</v>
      </c>
      <c r="K24" s="2">
        <v>1</v>
      </c>
      <c r="L24" s="3" t="s">
        <v>127</v>
      </c>
      <c r="O24" s="4">
        <v>2</v>
      </c>
      <c r="P24" s="4" t="s">
        <v>215</v>
      </c>
      <c r="Q24" s="4" t="s">
        <v>260</v>
      </c>
      <c r="R24" s="16">
        <v>5900000</v>
      </c>
      <c r="S24" s="6">
        <v>5900000</v>
      </c>
      <c r="T24" s="16">
        <v>4400000</v>
      </c>
      <c r="U24" s="6">
        <v>4400000</v>
      </c>
      <c r="V24" s="4"/>
      <c r="W24" s="4" t="s">
        <v>217</v>
      </c>
      <c r="X24" s="4"/>
      <c r="Y24" s="7">
        <v>1</v>
      </c>
      <c r="Z24" s="8">
        <v>26371937</v>
      </c>
      <c r="AA24" s="7" t="s">
        <v>154</v>
      </c>
      <c r="AB24" s="7"/>
      <c r="AC24" s="9">
        <v>1</v>
      </c>
      <c r="AD24" s="10">
        <v>17197873</v>
      </c>
      <c r="AE24" s="9" t="s">
        <v>155</v>
      </c>
      <c r="AF24" s="9"/>
      <c r="AG24" s="11">
        <v>3</v>
      </c>
      <c r="AH24" s="11" t="s">
        <v>156</v>
      </c>
      <c r="AI24" s="11" t="s">
        <v>261</v>
      </c>
      <c r="AJ24" s="11">
        <v>2</v>
      </c>
      <c r="AK24" s="11" t="s">
        <v>143</v>
      </c>
      <c r="AL24" s="12">
        <v>2</v>
      </c>
      <c r="AM24" s="12" t="s">
        <v>156</v>
      </c>
      <c r="AN24" s="12" t="s">
        <v>261</v>
      </c>
      <c r="AO24" s="12">
        <v>2</v>
      </c>
      <c r="AP24" s="12" t="s">
        <v>132</v>
      </c>
      <c r="AQ24" s="4">
        <v>1</v>
      </c>
      <c r="AR24" s="4" t="s">
        <v>133</v>
      </c>
      <c r="AS24" s="4"/>
      <c r="AT24" s="13">
        <v>94.306823730468807</v>
      </c>
      <c r="AU24" s="13">
        <v>1.3111155033111599</v>
      </c>
      <c r="AV24" s="13">
        <v>-1.6499999910593002E-2</v>
      </c>
      <c r="AW24" s="13">
        <v>2.3800020217895499</v>
      </c>
      <c r="AX24" s="4"/>
      <c r="AY24" s="13">
        <v>-23.582990646362301</v>
      </c>
      <c r="AZ24" s="13">
        <v>-2.21657061576843</v>
      </c>
      <c r="BA24" s="13">
        <v>-5.3262000083923304</v>
      </c>
      <c r="BB24" s="13">
        <v>1.20000004768372</v>
      </c>
      <c r="BC24" s="4"/>
      <c r="BD24" s="4">
        <v>12</v>
      </c>
      <c r="BE24" s="4" t="s">
        <v>134</v>
      </c>
      <c r="BF24" s="13">
        <v>2.39650201797485</v>
      </c>
      <c r="BG24" s="4">
        <v>780.5</v>
      </c>
      <c r="BH24" s="13">
        <v>0.924000024795532</v>
      </c>
      <c r="BI24" s="13">
        <v>721.802978515625</v>
      </c>
      <c r="BJ24" s="4"/>
      <c r="BK24" s="14">
        <v>7</v>
      </c>
      <c r="BL24" s="14">
        <v>6</v>
      </c>
      <c r="BM24" s="14">
        <v>7</v>
      </c>
      <c r="BP24" s="15"/>
      <c r="BQ24" s="15"/>
      <c r="BR24" s="2" t="s">
        <v>172</v>
      </c>
      <c r="BS24" s="2" t="s">
        <v>172</v>
      </c>
      <c r="BT24" s="7" t="s">
        <v>248</v>
      </c>
      <c r="BU24" s="7" t="s">
        <v>147</v>
      </c>
      <c r="BV24" s="9" t="s">
        <v>137</v>
      </c>
      <c r="BW24" s="9"/>
    </row>
    <row r="25" spans="1:75" ht="14.25" customHeight="1" x14ac:dyDescent="0.25">
      <c r="A25" s="1">
        <v>41</v>
      </c>
      <c r="B25" s="1" t="s">
        <v>262</v>
      </c>
      <c r="C25" s="1" t="s">
        <v>263</v>
      </c>
      <c r="D25" s="1" t="s">
        <v>124</v>
      </c>
      <c r="E25" s="1" t="s">
        <v>125</v>
      </c>
      <c r="F25" s="1" t="s">
        <v>126</v>
      </c>
      <c r="G25" s="1" t="s">
        <v>264</v>
      </c>
      <c r="H25" s="2">
        <v>1</v>
      </c>
      <c r="I25" s="2">
        <v>1</v>
      </c>
      <c r="J25" s="2">
        <v>1</v>
      </c>
      <c r="K25" s="2">
        <v>1</v>
      </c>
      <c r="L25" s="3" t="s">
        <v>127</v>
      </c>
      <c r="O25" s="4">
        <v>3</v>
      </c>
      <c r="P25" s="4" t="s">
        <v>215</v>
      </c>
      <c r="Q25" s="4" t="s">
        <v>265</v>
      </c>
      <c r="R25" s="16">
        <v>4400000</v>
      </c>
      <c r="S25" s="6">
        <v>4400000</v>
      </c>
      <c r="T25" s="16">
        <v>3400000</v>
      </c>
      <c r="U25" s="6">
        <v>3400000</v>
      </c>
      <c r="V25" s="4"/>
      <c r="W25" s="4" t="s">
        <v>217</v>
      </c>
      <c r="X25" s="4"/>
      <c r="Y25" s="7">
        <v>1</v>
      </c>
      <c r="Z25" s="8">
        <v>11085530</v>
      </c>
      <c r="AA25" s="7" t="s">
        <v>154</v>
      </c>
      <c r="AB25" s="7"/>
      <c r="AC25" s="9">
        <v>1</v>
      </c>
      <c r="AD25" s="10">
        <v>16091055</v>
      </c>
      <c r="AE25" s="9" t="s">
        <v>155</v>
      </c>
      <c r="AF25" s="9"/>
      <c r="AG25" s="11">
        <v>3</v>
      </c>
      <c r="AH25" s="11" t="s">
        <v>156</v>
      </c>
      <c r="AI25" s="11" t="s">
        <v>266</v>
      </c>
      <c r="AJ25" s="11">
        <v>2</v>
      </c>
      <c r="AK25" s="11" t="s">
        <v>143</v>
      </c>
      <c r="AL25" s="12">
        <v>3</v>
      </c>
      <c r="AM25" s="12" t="s">
        <v>156</v>
      </c>
      <c r="AN25" s="12" t="s">
        <v>267</v>
      </c>
      <c r="AO25" s="12">
        <v>2</v>
      </c>
      <c r="AP25" s="12" t="s">
        <v>132</v>
      </c>
      <c r="AQ25" s="4">
        <v>1</v>
      </c>
      <c r="AR25" s="4" t="s">
        <v>133</v>
      </c>
      <c r="AS25" s="4"/>
      <c r="AT25" s="13">
        <v>171.43199157714801</v>
      </c>
      <c r="AU25" s="13">
        <v>1.9753903150558501</v>
      </c>
      <c r="AV25" s="13">
        <v>0.99500000476837203</v>
      </c>
      <c r="AW25" s="13">
        <v>2.8133029937744101</v>
      </c>
      <c r="AX25" s="4">
        <v>1</v>
      </c>
      <c r="AY25" s="13">
        <v>-13.1183109283447</v>
      </c>
      <c r="AZ25" s="13">
        <v>-1.2704889774322501</v>
      </c>
      <c r="BA25" s="13">
        <v>-3.0689001083374001</v>
      </c>
      <c r="BB25" s="13">
        <v>0.77300000190734897</v>
      </c>
      <c r="BC25" s="4"/>
      <c r="BD25" s="4">
        <v>11</v>
      </c>
      <c r="BE25" s="4" t="s">
        <v>134</v>
      </c>
      <c r="BF25" s="13">
        <v>1.81830298900604</v>
      </c>
      <c r="BG25" s="4">
        <v>810</v>
      </c>
      <c r="BH25" s="13">
        <v>2.0999999046325701</v>
      </c>
      <c r="BI25" s="13">
        <v>1702.5</v>
      </c>
      <c r="BJ25" s="4"/>
      <c r="BK25" s="14">
        <v>8</v>
      </c>
      <c r="BL25" s="14">
        <v>8</v>
      </c>
      <c r="BM25" s="14">
        <v>8</v>
      </c>
      <c r="BP25" s="15"/>
      <c r="BQ25" s="15"/>
      <c r="BR25" s="2" t="s">
        <v>172</v>
      </c>
      <c r="BS25" s="2" t="s">
        <v>172</v>
      </c>
      <c r="BT25" s="7" t="s">
        <v>248</v>
      </c>
      <c r="BU25" s="7" t="s">
        <v>147</v>
      </c>
      <c r="BV25" s="9" t="s">
        <v>137</v>
      </c>
      <c r="BW25" s="9"/>
    </row>
    <row r="26" spans="1:75" ht="14.25" customHeight="1" x14ac:dyDescent="0.25">
      <c r="A26" s="1">
        <v>43</v>
      </c>
      <c r="B26" s="1" t="s">
        <v>268</v>
      </c>
      <c r="C26" s="1" t="s">
        <v>269</v>
      </c>
      <c r="D26" s="1" t="s">
        <v>124</v>
      </c>
      <c r="E26" s="1" t="s">
        <v>125</v>
      </c>
      <c r="F26" s="1" t="s">
        <v>126</v>
      </c>
      <c r="G26" s="1" t="s">
        <v>259</v>
      </c>
      <c r="H26" s="2">
        <v>1</v>
      </c>
      <c r="I26" s="2">
        <v>1</v>
      </c>
      <c r="J26" s="2">
        <v>1</v>
      </c>
      <c r="K26" s="2">
        <v>0</v>
      </c>
      <c r="L26" s="3" t="s">
        <v>127</v>
      </c>
      <c r="N26" s="3">
        <v>1</v>
      </c>
      <c r="O26" s="4">
        <v>3</v>
      </c>
      <c r="P26" s="4" t="s">
        <v>200</v>
      </c>
      <c r="Q26" s="4" t="s">
        <v>129</v>
      </c>
      <c r="R26" s="16">
        <v>2000000</v>
      </c>
      <c r="S26" s="6">
        <v>2000000</v>
      </c>
      <c r="T26" s="17"/>
      <c r="U26" s="6"/>
      <c r="V26" s="4"/>
      <c r="W26" s="4"/>
      <c r="X26" s="4"/>
      <c r="Y26" s="7">
        <v>1</v>
      </c>
      <c r="Z26" s="8"/>
      <c r="AA26" s="7" t="s">
        <v>270</v>
      </c>
      <c r="AB26" s="7"/>
      <c r="AC26" s="9">
        <v>1</v>
      </c>
      <c r="AD26" s="10"/>
      <c r="AE26" s="9" t="s">
        <v>270</v>
      </c>
      <c r="AF26" s="9"/>
      <c r="AG26" s="11">
        <v>2</v>
      </c>
      <c r="AH26" s="11" t="s">
        <v>271</v>
      </c>
      <c r="AI26" s="11"/>
      <c r="AJ26" s="11"/>
      <c r="AK26" s="11"/>
      <c r="AL26" s="12">
        <v>2</v>
      </c>
      <c r="AM26" s="12" t="s">
        <v>131</v>
      </c>
      <c r="AN26" s="12"/>
      <c r="AO26" s="12">
        <v>2</v>
      </c>
      <c r="AP26" s="12" t="s">
        <v>132</v>
      </c>
      <c r="AQ26" s="4">
        <v>3</v>
      </c>
      <c r="AR26" s="4" t="s">
        <v>272</v>
      </c>
      <c r="AS26" s="4"/>
      <c r="AT26" s="13"/>
      <c r="AU26" s="13"/>
      <c r="AV26" s="13"/>
      <c r="AW26" s="13"/>
      <c r="AX26" s="4"/>
      <c r="AY26" s="13"/>
      <c r="AZ26" s="13"/>
      <c r="BA26" s="13"/>
      <c r="BB26" s="13"/>
      <c r="BC26" s="4"/>
      <c r="BD26" s="4"/>
      <c r="BE26" s="4"/>
      <c r="BF26" s="13"/>
      <c r="BG26" s="4"/>
      <c r="BH26" s="13"/>
      <c r="BI26" s="13"/>
      <c r="BJ26" s="4"/>
      <c r="BK26" s="14">
        <v>9</v>
      </c>
      <c r="BL26" s="14">
        <v>9</v>
      </c>
      <c r="BM26" s="14">
        <v>9</v>
      </c>
      <c r="BP26" s="15"/>
      <c r="BQ26" s="15"/>
      <c r="BR26" s="2" t="s">
        <v>273</v>
      </c>
      <c r="BS26" s="2" t="s">
        <v>273</v>
      </c>
      <c r="BT26" s="7" t="s">
        <v>147</v>
      </c>
      <c r="BU26" s="7"/>
      <c r="BV26" s="9" t="s">
        <v>137</v>
      </c>
      <c r="BW26" s="9"/>
    </row>
    <row r="27" spans="1:75" ht="14.25" customHeight="1" x14ac:dyDescent="0.25">
      <c r="A27" s="1">
        <v>44</v>
      </c>
      <c r="B27" s="1" t="s">
        <v>274</v>
      </c>
      <c r="C27" s="1" t="s">
        <v>275</v>
      </c>
      <c r="D27" s="1" t="s">
        <v>124</v>
      </c>
      <c r="E27" s="1" t="s">
        <v>125</v>
      </c>
      <c r="F27" s="1" t="s">
        <v>126</v>
      </c>
      <c r="G27" s="1" t="s">
        <v>259</v>
      </c>
      <c r="H27" s="2">
        <v>1</v>
      </c>
      <c r="I27" s="2">
        <v>1</v>
      </c>
      <c r="J27" s="2">
        <v>1</v>
      </c>
      <c r="K27" s="2">
        <v>1</v>
      </c>
      <c r="L27" s="3" t="s">
        <v>127</v>
      </c>
      <c r="O27" s="4">
        <v>3</v>
      </c>
      <c r="P27" s="4" t="s">
        <v>217</v>
      </c>
      <c r="Q27" s="4"/>
      <c r="R27" s="16">
        <v>2700000</v>
      </c>
      <c r="S27" s="6">
        <v>2700000</v>
      </c>
      <c r="T27" s="16">
        <v>2700000</v>
      </c>
      <c r="U27" s="6">
        <v>2700000</v>
      </c>
      <c r="V27" s="4"/>
      <c r="W27" s="4" t="s">
        <v>217</v>
      </c>
      <c r="X27" s="4"/>
      <c r="Y27" s="7">
        <v>1</v>
      </c>
      <c r="Z27" s="8">
        <v>7551407</v>
      </c>
      <c r="AA27" s="7" t="s">
        <v>130</v>
      </c>
      <c r="AB27" s="7"/>
      <c r="AC27" s="9">
        <v>1</v>
      </c>
      <c r="AD27" s="10">
        <v>7125330</v>
      </c>
      <c r="AE27" s="9" t="s">
        <v>130</v>
      </c>
      <c r="AF27" s="9"/>
      <c r="AG27" s="11">
        <v>3</v>
      </c>
      <c r="AH27" s="11" t="s">
        <v>156</v>
      </c>
      <c r="AI27" s="11" t="s">
        <v>276</v>
      </c>
      <c r="AJ27" s="11">
        <v>3</v>
      </c>
      <c r="AK27" s="11" t="s">
        <v>143</v>
      </c>
      <c r="AL27" s="12">
        <v>2</v>
      </c>
      <c r="AM27" s="12" t="s">
        <v>156</v>
      </c>
      <c r="AN27" s="12" t="s">
        <v>277</v>
      </c>
      <c r="AO27" s="12">
        <v>2</v>
      </c>
      <c r="AP27" s="12" t="s">
        <v>132</v>
      </c>
      <c r="AQ27" s="4">
        <v>3</v>
      </c>
      <c r="AR27" s="4" t="s">
        <v>133</v>
      </c>
      <c r="AS27" s="4"/>
      <c r="AT27" s="13">
        <v>-45.236202239990199</v>
      </c>
      <c r="AU27" s="13">
        <v>-1.1736309528350799</v>
      </c>
      <c r="AV27" s="13">
        <v>-1.93849802017212</v>
      </c>
      <c r="AW27" s="13">
        <v>-0.104999996721745</v>
      </c>
      <c r="AX27" s="4">
        <v>1</v>
      </c>
      <c r="AY27" s="13">
        <v>9.6566524505615199</v>
      </c>
      <c r="AZ27" s="13">
        <v>0.771101415157318</v>
      </c>
      <c r="BA27" s="13">
        <v>-1.0099999904632599</v>
      </c>
      <c r="BB27" s="13">
        <v>2.8236029148101802</v>
      </c>
      <c r="BC27" s="4"/>
      <c r="BD27" s="4">
        <v>12</v>
      </c>
      <c r="BE27" s="4" t="s">
        <v>134</v>
      </c>
      <c r="BF27" s="13">
        <v>1.8334980010986299</v>
      </c>
      <c r="BG27" s="4">
        <v>731</v>
      </c>
      <c r="BH27" s="13">
        <v>0.96299999952316295</v>
      </c>
      <c r="BI27" s="13">
        <v>703.88800048828102</v>
      </c>
      <c r="BJ27" s="4"/>
      <c r="BK27" s="14">
        <v>10</v>
      </c>
      <c r="BL27" s="14">
        <v>9</v>
      </c>
      <c r="BM27" s="14">
        <v>10</v>
      </c>
      <c r="BP27" s="15"/>
      <c r="BQ27" s="15" t="s">
        <v>136</v>
      </c>
      <c r="BR27" s="2" t="s">
        <v>172</v>
      </c>
      <c r="BS27" s="2" t="s">
        <v>172</v>
      </c>
      <c r="BT27" s="7" t="s">
        <v>248</v>
      </c>
      <c r="BU27" s="7" t="s">
        <v>147</v>
      </c>
      <c r="BV27" s="9" t="s">
        <v>137</v>
      </c>
      <c r="BW27" s="9"/>
    </row>
    <row r="28" spans="1:75" ht="14.25" customHeight="1" x14ac:dyDescent="0.25">
      <c r="A28" s="1">
        <v>48</v>
      </c>
      <c r="B28" s="1" t="s">
        <v>278</v>
      </c>
      <c r="C28" s="1" t="s">
        <v>279</v>
      </c>
      <c r="D28" s="1" t="s">
        <v>124</v>
      </c>
      <c r="E28" s="1" t="s">
        <v>125</v>
      </c>
      <c r="F28" s="1" t="s">
        <v>126</v>
      </c>
      <c r="G28" s="1" t="s">
        <v>118</v>
      </c>
      <c r="H28" s="2">
        <v>1</v>
      </c>
      <c r="I28" s="2">
        <v>1</v>
      </c>
      <c r="J28" s="2">
        <v>1</v>
      </c>
      <c r="K28" s="2">
        <v>0</v>
      </c>
      <c r="L28" s="3" t="s">
        <v>127</v>
      </c>
      <c r="O28" s="4">
        <v>2</v>
      </c>
      <c r="P28" s="4" t="s">
        <v>140</v>
      </c>
      <c r="Q28" s="4" t="s">
        <v>280</v>
      </c>
      <c r="R28" s="5" t="s">
        <v>281</v>
      </c>
      <c r="S28" s="6">
        <v>19000000</v>
      </c>
      <c r="T28" s="16">
        <v>11000000</v>
      </c>
      <c r="U28" s="6">
        <v>11000000</v>
      </c>
      <c r="V28" s="4"/>
      <c r="W28" s="4" t="s">
        <v>217</v>
      </c>
      <c r="X28" s="4" t="s">
        <v>282</v>
      </c>
      <c r="Y28" s="7">
        <v>1</v>
      </c>
      <c r="Z28" s="8">
        <v>42009504</v>
      </c>
      <c r="AA28" s="7" t="s">
        <v>283</v>
      </c>
      <c r="AB28" s="7" t="s">
        <v>284</v>
      </c>
      <c r="AC28" s="9">
        <v>1</v>
      </c>
      <c r="AD28" s="10">
        <v>22270745</v>
      </c>
      <c r="AE28" s="9" t="s">
        <v>283</v>
      </c>
      <c r="AF28" s="9" t="s">
        <v>284</v>
      </c>
      <c r="AG28" s="11">
        <v>2</v>
      </c>
      <c r="AH28" s="11" t="s">
        <v>156</v>
      </c>
      <c r="AI28" s="11"/>
      <c r="AJ28" s="11">
        <v>2</v>
      </c>
      <c r="AK28" s="11" t="s">
        <v>132</v>
      </c>
      <c r="AL28" s="12">
        <v>2</v>
      </c>
      <c r="AM28" s="12" t="s">
        <v>156</v>
      </c>
      <c r="AN28" s="12"/>
      <c r="AO28" s="12">
        <v>2</v>
      </c>
      <c r="AP28" s="12" t="s">
        <v>132</v>
      </c>
      <c r="AQ28" s="4">
        <v>2</v>
      </c>
      <c r="AR28" s="4" t="s">
        <v>133</v>
      </c>
      <c r="AS28" s="4"/>
      <c r="AT28" s="13">
        <v>9.5208911895752006</v>
      </c>
      <c r="AU28" s="13">
        <v>0.17853073775768299</v>
      </c>
      <c r="AV28" s="13">
        <v>-0.57499998807907104</v>
      </c>
      <c r="AW28" s="13">
        <v>0.58749902248382602</v>
      </c>
      <c r="AX28" s="4"/>
      <c r="AY28" s="13">
        <v>-9.92382717132568</v>
      </c>
      <c r="AZ28" s="13">
        <v>-0.74378591775894198</v>
      </c>
      <c r="BA28" s="13">
        <v>-1.5815019607543901</v>
      </c>
      <c r="BB28" s="13">
        <v>0.326999992132187</v>
      </c>
      <c r="BC28" s="4"/>
      <c r="BD28" s="4">
        <v>14</v>
      </c>
      <c r="BE28" s="4" t="s">
        <v>134</v>
      </c>
      <c r="BF28" s="13">
        <v>1.16249895095825</v>
      </c>
      <c r="BG28" s="4">
        <v>3693.5</v>
      </c>
      <c r="BH28" s="13">
        <v>5.8949999809265101</v>
      </c>
      <c r="BI28" s="13">
        <v>21786.484375</v>
      </c>
      <c r="BJ28" s="4"/>
      <c r="BK28" s="14">
        <v>7</v>
      </c>
      <c r="BL28" s="14">
        <v>7</v>
      </c>
      <c r="BM28" s="14">
        <v>7</v>
      </c>
      <c r="BP28" s="15" t="s">
        <v>135</v>
      </c>
      <c r="BQ28" s="15" t="s">
        <v>136</v>
      </c>
      <c r="BR28" s="2" t="s">
        <v>247</v>
      </c>
      <c r="BS28" s="2" t="s">
        <v>247</v>
      </c>
      <c r="BT28" s="7" t="s">
        <v>137</v>
      </c>
      <c r="BU28" s="7"/>
      <c r="BV28" s="9" t="s">
        <v>137</v>
      </c>
      <c r="BW28" s="9" t="s">
        <v>148</v>
      </c>
    </row>
    <row r="29" spans="1:75" ht="14.25" customHeight="1" x14ac:dyDescent="0.25">
      <c r="A29" s="1">
        <v>49</v>
      </c>
      <c r="B29" s="1" t="s">
        <v>285</v>
      </c>
      <c r="C29" s="1" t="s">
        <v>286</v>
      </c>
      <c r="D29" s="1" t="s">
        <v>124</v>
      </c>
      <c r="E29" s="1" t="s">
        <v>125</v>
      </c>
      <c r="F29" s="1" t="s">
        <v>126</v>
      </c>
      <c r="G29" s="1" t="s">
        <v>287</v>
      </c>
      <c r="H29" s="2">
        <v>0</v>
      </c>
      <c r="I29" s="2">
        <v>0</v>
      </c>
      <c r="J29" s="2">
        <v>1</v>
      </c>
      <c r="K29" s="2">
        <v>1</v>
      </c>
      <c r="L29" s="3" t="s">
        <v>80</v>
      </c>
      <c r="O29" s="4">
        <v>5</v>
      </c>
      <c r="P29" s="4" t="s">
        <v>217</v>
      </c>
      <c r="Q29" s="4"/>
      <c r="R29" s="16">
        <v>56000</v>
      </c>
      <c r="S29" s="6">
        <v>56000</v>
      </c>
      <c r="T29" s="5">
        <v>400</v>
      </c>
      <c r="U29" s="6">
        <v>400</v>
      </c>
      <c r="V29" s="4"/>
      <c r="W29" s="4" t="s">
        <v>288</v>
      </c>
      <c r="X29" s="4" t="s">
        <v>289</v>
      </c>
      <c r="Y29" s="7">
        <v>2</v>
      </c>
      <c r="Z29" s="8"/>
      <c r="AA29" s="7" t="s">
        <v>290</v>
      </c>
      <c r="AB29" s="7" t="s">
        <v>291</v>
      </c>
      <c r="AC29" s="9">
        <v>2</v>
      </c>
      <c r="AD29" s="10"/>
      <c r="AE29" s="9" t="s">
        <v>290</v>
      </c>
      <c r="AF29" s="9" t="s">
        <v>291</v>
      </c>
      <c r="AG29" s="11">
        <v>2</v>
      </c>
      <c r="AH29" s="11" t="s">
        <v>292</v>
      </c>
      <c r="AI29" s="11" t="s">
        <v>293</v>
      </c>
      <c r="AJ29" s="11"/>
      <c r="AK29" s="11"/>
      <c r="AL29" s="12">
        <v>2</v>
      </c>
      <c r="AM29" s="12" t="s">
        <v>292</v>
      </c>
      <c r="AN29" s="12" t="s">
        <v>294</v>
      </c>
      <c r="AO29" s="12"/>
      <c r="AP29" s="12"/>
      <c r="AQ29" s="4">
        <v>2</v>
      </c>
      <c r="AR29" s="4" t="s">
        <v>295</v>
      </c>
      <c r="AS29" s="4" t="s">
        <v>296</v>
      </c>
      <c r="AT29" s="13"/>
      <c r="AU29" s="13"/>
      <c r="AV29" s="13"/>
      <c r="AW29" s="13"/>
      <c r="AX29" s="4"/>
      <c r="AY29" s="13"/>
      <c r="AZ29" s="13"/>
      <c r="BA29" s="13"/>
      <c r="BB29" s="13"/>
      <c r="BC29" s="4"/>
      <c r="BD29" s="4"/>
      <c r="BE29" s="4"/>
      <c r="BF29" s="13"/>
      <c r="BG29" s="4"/>
      <c r="BH29" s="13"/>
      <c r="BI29" s="13"/>
      <c r="BJ29" s="4"/>
      <c r="BK29" s="14">
        <v>11</v>
      </c>
      <c r="BL29" s="14">
        <v>11</v>
      </c>
      <c r="BM29" s="14">
        <v>11</v>
      </c>
      <c r="BP29" s="15"/>
      <c r="BQ29" s="15" t="s">
        <v>146</v>
      </c>
      <c r="BR29" s="2" t="s">
        <v>297</v>
      </c>
      <c r="BS29" s="2" t="s">
        <v>297</v>
      </c>
      <c r="BT29" s="7" t="s">
        <v>147</v>
      </c>
      <c r="BU29" s="7" t="s">
        <v>212</v>
      </c>
      <c r="BV29" s="9" t="s">
        <v>147</v>
      </c>
      <c r="BW29" s="9" t="s">
        <v>212</v>
      </c>
    </row>
    <row r="30" spans="1:75" ht="14.25" customHeight="1" x14ac:dyDescent="0.25">
      <c r="A30" s="1">
        <v>50</v>
      </c>
      <c r="B30" s="1" t="s">
        <v>298</v>
      </c>
      <c r="C30" s="1" t="s">
        <v>299</v>
      </c>
      <c r="D30" s="1" t="s">
        <v>124</v>
      </c>
      <c r="E30" s="1" t="s">
        <v>125</v>
      </c>
      <c r="F30" s="1" t="s">
        <v>126</v>
      </c>
      <c r="G30" s="1" t="s">
        <v>118</v>
      </c>
      <c r="H30" s="2">
        <v>1</v>
      </c>
      <c r="I30" s="2">
        <v>1</v>
      </c>
      <c r="J30" s="2">
        <v>0</v>
      </c>
      <c r="K30" s="2">
        <v>0</v>
      </c>
      <c r="L30" s="3" t="s">
        <v>127</v>
      </c>
      <c r="O30" s="4">
        <v>3</v>
      </c>
      <c r="P30" s="4" t="s">
        <v>217</v>
      </c>
      <c r="Q30" s="4"/>
      <c r="R30" s="16">
        <v>700000</v>
      </c>
      <c r="S30" s="6">
        <v>700000</v>
      </c>
      <c r="T30" s="16">
        <v>700000</v>
      </c>
      <c r="U30" s="6">
        <v>700000</v>
      </c>
      <c r="V30" s="4"/>
      <c r="W30" s="4" t="s">
        <v>217</v>
      </c>
      <c r="X30" s="4"/>
      <c r="Y30" s="7">
        <v>1</v>
      </c>
      <c r="Z30" s="8">
        <v>4076423</v>
      </c>
      <c r="AA30" s="7" t="s">
        <v>130</v>
      </c>
      <c r="AB30" s="7"/>
      <c r="AC30" s="9">
        <v>2</v>
      </c>
      <c r="AD30" s="10">
        <v>3204975</v>
      </c>
      <c r="AE30" s="9" t="s">
        <v>130</v>
      </c>
      <c r="AF30" s="9"/>
      <c r="AG30" s="11">
        <v>3</v>
      </c>
      <c r="AH30" s="11" t="s">
        <v>300</v>
      </c>
      <c r="AI30" s="11" t="s">
        <v>301</v>
      </c>
      <c r="AJ30" s="11">
        <v>3</v>
      </c>
      <c r="AK30" s="11" t="s">
        <v>143</v>
      </c>
      <c r="AL30" s="12">
        <v>3</v>
      </c>
      <c r="AM30" s="12" t="s">
        <v>156</v>
      </c>
      <c r="AN30" s="12"/>
      <c r="AO30" s="12">
        <v>3</v>
      </c>
      <c r="AP30" s="12" t="s">
        <v>143</v>
      </c>
      <c r="AQ30" s="4">
        <v>4</v>
      </c>
      <c r="AR30" s="4" t="s">
        <v>133</v>
      </c>
      <c r="AS30" s="4"/>
      <c r="AT30" s="13">
        <v>-53.932140350341797</v>
      </c>
      <c r="AU30" s="13">
        <v>-1.5084420442581199</v>
      </c>
      <c r="AV30" s="13">
        <v>-4.3200001716613796</v>
      </c>
      <c r="AW30" s="13">
        <v>0.115001000463963</v>
      </c>
      <c r="AX30" s="4"/>
      <c r="AY30" s="13">
        <v>-20.332960128784201</v>
      </c>
      <c r="AZ30" s="13">
        <v>-1.60958516597748</v>
      </c>
      <c r="BA30" s="13">
        <v>-5.7600002288818404</v>
      </c>
      <c r="BB30" s="13">
        <v>1.8200000524520901</v>
      </c>
      <c r="BC30" s="4"/>
      <c r="BD30" s="4">
        <v>14</v>
      </c>
      <c r="BE30" s="4" t="s">
        <v>134</v>
      </c>
      <c r="BF30" s="13">
        <v>4.4350008964538601</v>
      </c>
      <c r="BG30" s="4">
        <v>592.5</v>
      </c>
      <c r="BH30" s="13">
        <v>0.27750000357627902</v>
      </c>
      <c r="BI30" s="13">
        <v>164.73750305175801</v>
      </c>
      <c r="BJ30" s="4"/>
      <c r="BK30" s="14">
        <v>11</v>
      </c>
      <c r="BL30" s="14">
        <v>12</v>
      </c>
      <c r="BM30" s="14">
        <v>12</v>
      </c>
      <c r="BN30" s="3" t="s">
        <v>302</v>
      </c>
      <c r="BP30" s="15"/>
      <c r="BQ30" s="15"/>
      <c r="BR30" s="2" t="s">
        <v>211</v>
      </c>
      <c r="BS30" s="2" t="s">
        <v>239</v>
      </c>
      <c r="BT30" s="7" t="s">
        <v>303</v>
      </c>
      <c r="BU30" s="7" t="s">
        <v>148</v>
      </c>
      <c r="BV30" s="9" t="s">
        <v>212</v>
      </c>
      <c r="BW30" s="9" t="s">
        <v>148</v>
      </c>
    </row>
    <row r="31" spans="1:75" ht="14.25" customHeight="1" x14ac:dyDescent="0.25">
      <c r="A31" s="1">
        <v>51</v>
      </c>
      <c r="B31" s="1" t="s">
        <v>304</v>
      </c>
      <c r="C31" s="1" t="s">
        <v>305</v>
      </c>
      <c r="D31" s="1" t="s">
        <v>124</v>
      </c>
      <c r="E31" s="1" t="s">
        <v>125</v>
      </c>
      <c r="F31" s="1" t="s">
        <v>126</v>
      </c>
      <c r="G31" s="1"/>
      <c r="H31" s="2">
        <v>0</v>
      </c>
      <c r="I31" s="2">
        <v>1</v>
      </c>
      <c r="J31" s="2">
        <v>1</v>
      </c>
      <c r="K31" s="2">
        <v>0</v>
      </c>
      <c r="L31" s="3" t="s">
        <v>80</v>
      </c>
      <c r="O31" s="4">
        <v>4</v>
      </c>
      <c r="P31" s="4" t="s">
        <v>306</v>
      </c>
      <c r="Q31" s="4" t="s">
        <v>307</v>
      </c>
      <c r="R31" s="5" t="s">
        <v>308</v>
      </c>
      <c r="S31" s="6">
        <v>180000</v>
      </c>
      <c r="T31" s="17" t="s">
        <v>308</v>
      </c>
      <c r="U31" s="6">
        <v>180000</v>
      </c>
      <c r="V31" s="4"/>
      <c r="W31" s="4" t="s">
        <v>309</v>
      </c>
      <c r="X31" s="4" t="s">
        <v>310</v>
      </c>
      <c r="Y31" s="7">
        <v>4</v>
      </c>
      <c r="Z31" s="8">
        <v>197762</v>
      </c>
      <c r="AA31" s="7" t="s">
        <v>130</v>
      </c>
      <c r="AB31" s="7"/>
      <c r="AC31" s="9">
        <v>4</v>
      </c>
      <c r="AD31" s="10">
        <v>214102</v>
      </c>
      <c r="AE31" s="9" t="s">
        <v>130</v>
      </c>
      <c r="AF31" s="9"/>
      <c r="AG31" s="11">
        <v>4</v>
      </c>
      <c r="AH31" s="11" t="s">
        <v>156</v>
      </c>
      <c r="AI31" s="11" t="s">
        <v>311</v>
      </c>
      <c r="AJ31" s="11">
        <v>2</v>
      </c>
      <c r="AK31" s="11" t="s">
        <v>143</v>
      </c>
      <c r="AL31" s="12">
        <v>4</v>
      </c>
      <c r="AM31" s="12" t="s">
        <v>156</v>
      </c>
      <c r="AN31" s="12"/>
      <c r="AO31" s="12">
        <v>2</v>
      </c>
      <c r="AP31" s="12" t="s">
        <v>143</v>
      </c>
      <c r="AQ31" s="4">
        <v>5</v>
      </c>
      <c r="AR31" s="4" t="s">
        <v>133</v>
      </c>
      <c r="AS31" s="4"/>
      <c r="AT31" s="13">
        <v>-67.225112915039105</v>
      </c>
      <c r="AU31" s="13">
        <v>-2.1656532287597701</v>
      </c>
      <c r="AV31" s="13">
        <v>-3.5230989456176798</v>
      </c>
      <c r="AW31" s="13">
        <v>-0.808000028133392</v>
      </c>
      <c r="AX31" s="4">
        <v>1</v>
      </c>
      <c r="AY31" s="13">
        <v>-11.6801557540894</v>
      </c>
      <c r="AZ31" s="13">
        <v>-0.88431036472320601</v>
      </c>
      <c r="BA31" s="13">
        <v>-3.0499999523162802</v>
      </c>
      <c r="BB31" s="13">
        <v>1.4994029998779299</v>
      </c>
      <c r="BC31" s="4"/>
      <c r="BD31" s="4">
        <v>14</v>
      </c>
      <c r="BE31" s="4" t="s">
        <v>134</v>
      </c>
      <c r="BF31" s="13">
        <v>2.71509909629822</v>
      </c>
      <c r="BG31" s="4">
        <v>119.5</v>
      </c>
      <c r="BH31" s="13">
        <v>2.6300001144409202</v>
      </c>
      <c r="BI31" s="13">
        <v>313.81500244140602</v>
      </c>
      <c r="BJ31" s="4"/>
      <c r="BK31" s="14">
        <v>17</v>
      </c>
      <c r="BL31" s="14">
        <v>17</v>
      </c>
      <c r="BM31" s="14">
        <v>17</v>
      </c>
      <c r="BN31" s="3" t="s">
        <v>312</v>
      </c>
      <c r="BP31" s="15"/>
      <c r="BQ31" s="15" t="s">
        <v>136</v>
      </c>
      <c r="BR31" s="2" t="s">
        <v>239</v>
      </c>
      <c r="BS31" s="2" t="s">
        <v>239</v>
      </c>
      <c r="BT31" s="7" t="s">
        <v>147</v>
      </c>
      <c r="BU31" s="7"/>
      <c r="BV31" s="9" t="s">
        <v>148</v>
      </c>
      <c r="BW31" s="9" t="s">
        <v>147</v>
      </c>
    </row>
    <row r="32" spans="1:75" ht="14.25" customHeight="1" x14ac:dyDescent="0.25">
      <c r="A32" s="1">
        <v>53</v>
      </c>
      <c r="B32" s="1" t="s">
        <v>313</v>
      </c>
      <c r="C32" s="1" t="s">
        <v>314</v>
      </c>
      <c r="D32" s="1" t="s">
        <v>124</v>
      </c>
      <c r="E32" s="1" t="s">
        <v>125</v>
      </c>
      <c r="F32" s="1" t="s">
        <v>126</v>
      </c>
      <c r="G32" s="1" t="s">
        <v>315</v>
      </c>
      <c r="H32" s="2">
        <v>1</v>
      </c>
      <c r="I32" s="2">
        <v>1</v>
      </c>
      <c r="J32" s="2">
        <v>1</v>
      </c>
      <c r="K32" s="2">
        <v>1</v>
      </c>
      <c r="L32" s="3" t="s">
        <v>127</v>
      </c>
      <c r="O32" s="4">
        <v>3</v>
      </c>
      <c r="P32" s="4" t="s">
        <v>316</v>
      </c>
      <c r="Q32" s="4" t="s">
        <v>317</v>
      </c>
      <c r="R32" s="16">
        <v>5100000</v>
      </c>
      <c r="S32" s="6">
        <v>5100000</v>
      </c>
      <c r="T32" s="16">
        <v>3200000</v>
      </c>
      <c r="U32" s="6">
        <v>3200000</v>
      </c>
      <c r="V32" s="4"/>
      <c r="W32" s="4" t="s">
        <v>217</v>
      </c>
      <c r="X32" s="4"/>
      <c r="Y32" s="7">
        <v>1</v>
      </c>
      <c r="Z32" s="8">
        <v>26113543</v>
      </c>
      <c r="AA32" s="7" t="s">
        <v>154</v>
      </c>
      <c r="AB32" s="7"/>
      <c r="AC32" s="9">
        <v>1</v>
      </c>
      <c r="AD32" s="10">
        <v>19443465</v>
      </c>
      <c r="AE32" s="9" t="s">
        <v>155</v>
      </c>
      <c r="AF32" s="9"/>
      <c r="AG32" s="11">
        <v>4</v>
      </c>
      <c r="AH32" s="11" t="s">
        <v>156</v>
      </c>
      <c r="AI32" s="11" t="s">
        <v>318</v>
      </c>
      <c r="AJ32" s="11">
        <v>2</v>
      </c>
      <c r="AK32" s="11" t="s">
        <v>143</v>
      </c>
      <c r="AL32" s="12">
        <v>3</v>
      </c>
      <c r="AM32" s="12" t="s">
        <v>156</v>
      </c>
      <c r="AN32" s="12" t="s">
        <v>319</v>
      </c>
      <c r="AO32" s="12">
        <v>2</v>
      </c>
      <c r="AP32" s="12" t="s">
        <v>132</v>
      </c>
      <c r="AQ32" s="4">
        <v>5</v>
      </c>
      <c r="AR32" s="4" t="s">
        <v>133</v>
      </c>
      <c r="AS32" s="4"/>
      <c r="AT32" s="13">
        <v>-70.771636962890597</v>
      </c>
      <c r="AU32" s="13">
        <v>-2.3821945190429701</v>
      </c>
      <c r="AV32" s="13">
        <v>-3.8800001144409202</v>
      </c>
      <c r="AW32" s="13">
        <v>-1.57920098304749</v>
      </c>
      <c r="AX32" s="4">
        <v>1</v>
      </c>
      <c r="AY32" s="13">
        <v>-15.5253257751465</v>
      </c>
      <c r="AZ32" s="13">
        <v>-1.1186566352844201</v>
      </c>
      <c r="BA32" s="13">
        <v>-4.1022009849548304</v>
      </c>
      <c r="BB32" s="13">
        <v>2.0199999809265101</v>
      </c>
      <c r="BC32" s="4"/>
      <c r="BD32" s="4">
        <v>15</v>
      </c>
      <c r="BE32" s="4" t="s">
        <v>134</v>
      </c>
      <c r="BF32" s="13">
        <v>2.30079889297485</v>
      </c>
      <c r="BG32" s="4">
        <v>860.5</v>
      </c>
      <c r="BH32" s="13">
        <v>1.71000003814697</v>
      </c>
      <c r="BI32" s="13">
        <v>1468.93505859375</v>
      </c>
      <c r="BJ32" s="4"/>
      <c r="BK32" s="14">
        <v>13</v>
      </c>
      <c r="BL32" s="14">
        <v>12</v>
      </c>
      <c r="BM32" s="14">
        <v>13</v>
      </c>
      <c r="BN32" s="3" t="s">
        <v>113</v>
      </c>
      <c r="BP32" s="15"/>
      <c r="BQ32" s="15" t="s">
        <v>136</v>
      </c>
      <c r="BR32" s="2" t="s">
        <v>172</v>
      </c>
      <c r="BS32" s="2" t="s">
        <v>172</v>
      </c>
      <c r="BT32" s="7" t="s">
        <v>248</v>
      </c>
      <c r="BU32" s="7" t="s">
        <v>173</v>
      </c>
      <c r="BV32" s="9" t="s">
        <v>137</v>
      </c>
      <c r="BW32" s="9"/>
    </row>
    <row r="33" spans="1:75" ht="14.25" customHeight="1" x14ac:dyDescent="0.25">
      <c r="A33" s="1">
        <v>54</v>
      </c>
      <c r="B33" s="1" t="s">
        <v>320</v>
      </c>
      <c r="C33" s="1" t="s">
        <v>321</v>
      </c>
      <c r="D33" s="1" t="s">
        <v>124</v>
      </c>
      <c r="E33" s="1" t="s">
        <v>125</v>
      </c>
      <c r="F33" s="1" t="s">
        <v>126</v>
      </c>
      <c r="G33" s="1"/>
      <c r="H33" s="2">
        <v>1</v>
      </c>
      <c r="I33" s="2">
        <v>1</v>
      </c>
      <c r="J33" s="2">
        <v>1</v>
      </c>
      <c r="K33" s="2">
        <v>1</v>
      </c>
      <c r="L33" s="3" t="s">
        <v>127</v>
      </c>
      <c r="O33" s="4">
        <v>3</v>
      </c>
      <c r="P33" s="4" t="s">
        <v>316</v>
      </c>
      <c r="Q33" s="4" t="s">
        <v>322</v>
      </c>
      <c r="R33" s="16">
        <v>6700000</v>
      </c>
      <c r="S33" s="6">
        <v>6700000</v>
      </c>
      <c r="T33" s="16">
        <v>3900000</v>
      </c>
      <c r="U33" s="6">
        <v>3900000</v>
      </c>
      <c r="V33" s="4"/>
      <c r="W33" s="4" t="s">
        <v>217</v>
      </c>
      <c r="X33" s="4"/>
      <c r="Y33" s="7">
        <v>1</v>
      </c>
      <c r="Z33" s="8">
        <v>36098237</v>
      </c>
      <c r="AA33" s="7" t="s">
        <v>154</v>
      </c>
      <c r="AB33" s="7"/>
      <c r="AC33" s="9">
        <v>1</v>
      </c>
      <c r="AD33" s="10">
        <v>24504560</v>
      </c>
      <c r="AE33" s="9" t="s">
        <v>155</v>
      </c>
      <c r="AF33" s="9"/>
      <c r="AG33" s="11">
        <v>3</v>
      </c>
      <c r="AH33" s="11" t="s">
        <v>156</v>
      </c>
      <c r="AI33" s="11" t="s">
        <v>323</v>
      </c>
      <c r="AJ33" s="11">
        <v>3</v>
      </c>
      <c r="AK33" s="11" t="s">
        <v>143</v>
      </c>
      <c r="AL33" s="12">
        <v>2</v>
      </c>
      <c r="AM33" s="12" t="s">
        <v>156</v>
      </c>
      <c r="AN33" s="12" t="s">
        <v>324</v>
      </c>
      <c r="AO33" s="12">
        <v>2</v>
      </c>
      <c r="AP33" s="12" t="s">
        <v>132</v>
      </c>
      <c r="AQ33" s="4">
        <v>2</v>
      </c>
      <c r="AR33" s="4" t="s">
        <v>133</v>
      </c>
      <c r="AS33" s="4"/>
      <c r="AT33" s="13">
        <v>2.48883104324341</v>
      </c>
      <c r="AU33" s="13">
        <v>4.8268560320138897E-2</v>
      </c>
      <c r="AV33" s="13">
        <v>-1.7200000286102299</v>
      </c>
      <c r="AW33" s="13">
        <v>0.99320399761199996</v>
      </c>
      <c r="AX33" s="4"/>
      <c r="AY33" s="13">
        <v>9.0937929153442401</v>
      </c>
      <c r="AZ33" s="13">
        <v>0.72835612297058105</v>
      </c>
      <c r="BA33" s="13">
        <v>-1.7699999809265099</v>
      </c>
      <c r="BB33" s="13">
        <v>3.5905001163482702</v>
      </c>
      <c r="BC33" s="4"/>
      <c r="BD33" s="4">
        <v>12</v>
      </c>
      <c r="BE33" s="4" t="s">
        <v>134</v>
      </c>
      <c r="BF33" s="13">
        <v>2.7132039070129399</v>
      </c>
      <c r="BG33" s="4">
        <v>982</v>
      </c>
      <c r="BH33" s="13">
        <v>0.38699999451637301</v>
      </c>
      <c r="BI33" s="13">
        <v>379.54901123046898</v>
      </c>
      <c r="BJ33" s="4"/>
      <c r="BK33" s="14">
        <v>9</v>
      </c>
      <c r="BL33" s="14">
        <v>8</v>
      </c>
      <c r="BM33" s="14">
        <v>9</v>
      </c>
      <c r="BP33" s="15"/>
      <c r="BQ33" s="15" t="s">
        <v>136</v>
      </c>
      <c r="BR33" s="2" t="s">
        <v>172</v>
      </c>
      <c r="BS33" s="2" t="s">
        <v>172</v>
      </c>
      <c r="BT33" s="7" t="s">
        <v>137</v>
      </c>
      <c r="BU33" s="7"/>
      <c r="BV33" s="9" t="s">
        <v>137</v>
      </c>
      <c r="BW33" s="9"/>
    </row>
    <row r="34" spans="1:75" ht="14.25" customHeight="1" x14ac:dyDescent="0.25">
      <c r="A34" s="1">
        <v>55</v>
      </c>
      <c r="B34" s="1" t="s">
        <v>325</v>
      </c>
      <c r="C34" s="1" t="s">
        <v>326</v>
      </c>
      <c r="D34" s="1" t="s">
        <v>124</v>
      </c>
      <c r="E34" s="1" t="s">
        <v>125</v>
      </c>
      <c r="F34" s="1" t="s">
        <v>126</v>
      </c>
      <c r="G34" s="1" t="s">
        <v>118</v>
      </c>
      <c r="H34" s="2">
        <v>1</v>
      </c>
      <c r="I34" s="2">
        <v>1</v>
      </c>
      <c r="J34" s="2">
        <v>1</v>
      </c>
      <c r="K34" s="2">
        <v>1</v>
      </c>
      <c r="L34" s="3" t="s">
        <v>127</v>
      </c>
      <c r="O34" s="4">
        <v>3</v>
      </c>
      <c r="P34" s="4" t="s">
        <v>217</v>
      </c>
      <c r="Q34" s="4"/>
      <c r="R34" s="16">
        <v>690000</v>
      </c>
      <c r="S34" s="6">
        <v>690000</v>
      </c>
      <c r="T34" s="16">
        <v>690000</v>
      </c>
      <c r="U34" s="6">
        <v>690000</v>
      </c>
      <c r="V34" s="4"/>
      <c r="W34" s="4" t="s">
        <v>217</v>
      </c>
      <c r="X34" s="4"/>
      <c r="Y34" s="7">
        <v>2</v>
      </c>
      <c r="Z34" s="8">
        <v>3637441</v>
      </c>
      <c r="AA34" s="7" t="s">
        <v>130</v>
      </c>
      <c r="AB34" s="7"/>
      <c r="AC34" s="9">
        <v>1</v>
      </c>
      <c r="AD34" s="10">
        <v>5757278</v>
      </c>
      <c r="AE34" s="9" t="s">
        <v>130</v>
      </c>
      <c r="AF34" s="9"/>
      <c r="AG34" s="11">
        <v>3</v>
      </c>
      <c r="AH34" s="11" t="s">
        <v>156</v>
      </c>
      <c r="AI34" s="11" t="s">
        <v>327</v>
      </c>
      <c r="AJ34" s="11">
        <v>2</v>
      </c>
      <c r="AK34" s="11" t="s">
        <v>143</v>
      </c>
      <c r="AL34" s="12">
        <v>3</v>
      </c>
      <c r="AM34" s="12" t="s">
        <v>156</v>
      </c>
      <c r="AN34" s="12" t="s">
        <v>328</v>
      </c>
      <c r="AO34" s="12">
        <v>2</v>
      </c>
      <c r="AP34" s="12" t="s">
        <v>132</v>
      </c>
      <c r="AQ34" s="4">
        <v>2</v>
      </c>
      <c r="AR34" s="4" t="s">
        <v>133</v>
      </c>
      <c r="AS34" s="4"/>
      <c r="AT34" s="13">
        <v>19.145164489746101</v>
      </c>
      <c r="AU34" s="13">
        <v>0.34397107362747198</v>
      </c>
      <c r="AV34" s="13">
        <v>-0.93199998140335105</v>
      </c>
      <c r="AW34" s="13">
        <v>1.2660980224609399</v>
      </c>
      <c r="AX34" s="4"/>
      <c r="AY34" s="13">
        <v>-16.985385894775401</v>
      </c>
      <c r="AZ34" s="13">
        <v>-1.2342277765273999</v>
      </c>
      <c r="BA34" s="13">
        <v>-6.0574002265930202</v>
      </c>
      <c r="BB34" s="13">
        <v>3.25</v>
      </c>
      <c r="BC34" s="4"/>
      <c r="BD34" s="4">
        <v>15</v>
      </c>
      <c r="BE34" s="4" t="s">
        <v>134</v>
      </c>
      <c r="BF34" s="13">
        <v>2.19809794425964</v>
      </c>
      <c r="BG34" s="4">
        <v>342.5</v>
      </c>
      <c r="BH34" s="13">
        <v>0.52350002527236905</v>
      </c>
      <c r="BI34" s="13">
        <v>179.08999633789099</v>
      </c>
      <c r="BJ34" s="4"/>
      <c r="BK34" s="14">
        <v>10</v>
      </c>
      <c r="BL34" s="14">
        <v>9</v>
      </c>
      <c r="BM34" s="14">
        <v>10</v>
      </c>
      <c r="BP34" s="15"/>
      <c r="BQ34" s="15"/>
      <c r="BR34" s="2" t="s">
        <v>172</v>
      </c>
      <c r="BS34" s="2" t="s">
        <v>172</v>
      </c>
      <c r="BT34" s="7" t="s">
        <v>248</v>
      </c>
      <c r="BU34" s="7" t="s">
        <v>147</v>
      </c>
      <c r="BV34" s="9" t="s">
        <v>212</v>
      </c>
      <c r="BW34" s="9" t="s">
        <v>163</v>
      </c>
    </row>
    <row r="35" spans="1:75" ht="14.25" customHeight="1" x14ac:dyDescent="0.25">
      <c r="A35" s="1">
        <v>56</v>
      </c>
      <c r="B35" s="1" t="s">
        <v>329</v>
      </c>
      <c r="C35" s="1" t="s">
        <v>330</v>
      </c>
      <c r="D35" s="1" t="s">
        <v>124</v>
      </c>
      <c r="E35" s="1" t="s">
        <v>125</v>
      </c>
      <c r="F35" s="1" t="s">
        <v>126</v>
      </c>
      <c r="G35" s="1" t="s">
        <v>118</v>
      </c>
      <c r="H35" s="2">
        <v>1</v>
      </c>
      <c r="I35" s="2">
        <v>1</v>
      </c>
      <c r="J35" s="2">
        <v>1</v>
      </c>
      <c r="K35" s="2">
        <v>1</v>
      </c>
      <c r="L35" s="3" t="s">
        <v>127</v>
      </c>
      <c r="O35" s="4">
        <v>3</v>
      </c>
      <c r="P35" s="4" t="s">
        <v>217</v>
      </c>
      <c r="Q35" s="4"/>
      <c r="R35" s="16">
        <v>1200000</v>
      </c>
      <c r="S35" s="6">
        <v>1200000</v>
      </c>
      <c r="T35" s="16">
        <v>1200000</v>
      </c>
      <c r="U35" s="6">
        <v>1200000</v>
      </c>
      <c r="V35" s="4"/>
      <c r="W35" s="4" t="s">
        <v>217</v>
      </c>
      <c r="X35" s="4"/>
      <c r="Y35" s="7">
        <v>1</v>
      </c>
      <c r="Z35" s="8">
        <v>4994036</v>
      </c>
      <c r="AA35" s="7" t="s">
        <v>130</v>
      </c>
      <c r="AB35" s="7"/>
      <c r="AC35" s="9">
        <v>1</v>
      </c>
      <c r="AD35" s="10">
        <v>4940081</v>
      </c>
      <c r="AE35" s="9" t="s">
        <v>130</v>
      </c>
      <c r="AF35" s="9"/>
      <c r="AG35" s="11">
        <v>3</v>
      </c>
      <c r="AH35" s="11" t="s">
        <v>156</v>
      </c>
      <c r="AI35" s="11" t="s">
        <v>331</v>
      </c>
      <c r="AJ35" s="11">
        <v>2</v>
      </c>
      <c r="AK35" s="11" t="s">
        <v>332</v>
      </c>
      <c r="AL35" s="12">
        <v>3</v>
      </c>
      <c r="AM35" s="12" t="s">
        <v>156</v>
      </c>
      <c r="AN35" s="12" t="s">
        <v>333</v>
      </c>
      <c r="AO35" s="12">
        <v>2</v>
      </c>
      <c r="AP35" s="12" t="s">
        <v>132</v>
      </c>
      <c r="AQ35" s="4">
        <v>1</v>
      </c>
      <c r="AR35" s="4" t="s">
        <v>133</v>
      </c>
      <c r="AS35" s="4"/>
      <c r="AT35" s="13">
        <v>103.14566040039099</v>
      </c>
      <c r="AU35" s="13">
        <v>1.3996610641479501</v>
      </c>
      <c r="AV35" s="13">
        <v>-0.35899999737739602</v>
      </c>
      <c r="AW35" s="13">
        <v>2.7348039150238002</v>
      </c>
      <c r="AX35" s="4"/>
      <c r="AY35" s="13">
        <v>-7.6156382560729998</v>
      </c>
      <c r="AZ35" s="13">
        <v>-0.607890725135803</v>
      </c>
      <c r="BA35" s="13">
        <v>-5.5301008224487296</v>
      </c>
      <c r="BB35" s="13">
        <v>4.6799998283386204</v>
      </c>
      <c r="BC35" s="4"/>
      <c r="BD35" s="4">
        <v>13</v>
      </c>
      <c r="BE35" s="4" t="s">
        <v>134</v>
      </c>
      <c r="BF35" s="13">
        <v>3.0938038825988801</v>
      </c>
      <c r="BG35" s="4">
        <v>478.5</v>
      </c>
      <c r="BH35" s="13">
        <v>1.49500000476837</v>
      </c>
      <c r="BI35" s="13">
        <v>715.25500488281295</v>
      </c>
      <c r="BJ35" s="4"/>
      <c r="BK35" s="14">
        <v>8</v>
      </c>
      <c r="BL35" s="14">
        <v>8</v>
      </c>
      <c r="BM35" s="14">
        <v>8</v>
      </c>
      <c r="BP35" s="15"/>
      <c r="BQ35" s="15"/>
      <c r="BR35" s="2" t="s">
        <v>172</v>
      </c>
      <c r="BS35" s="2" t="s">
        <v>172</v>
      </c>
      <c r="BT35" s="7" t="s">
        <v>248</v>
      </c>
      <c r="BU35" s="7" t="s">
        <v>147</v>
      </c>
      <c r="BV35" s="9" t="s">
        <v>163</v>
      </c>
      <c r="BW35" s="9" t="s">
        <v>212</v>
      </c>
    </row>
    <row r="36" spans="1:75" ht="14.25" customHeight="1" x14ac:dyDescent="0.25">
      <c r="A36" s="1">
        <v>58</v>
      </c>
      <c r="B36" s="1" t="s">
        <v>334</v>
      </c>
      <c r="C36" s="1" t="s">
        <v>335</v>
      </c>
      <c r="D36" s="1" t="s">
        <v>124</v>
      </c>
      <c r="E36" s="1" t="s">
        <v>125</v>
      </c>
      <c r="F36" s="1" t="s">
        <v>126</v>
      </c>
      <c r="G36" s="1" t="s">
        <v>118</v>
      </c>
      <c r="H36" s="2">
        <v>1</v>
      </c>
      <c r="I36" s="2">
        <v>1</v>
      </c>
      <c r="J36" s="2">
        <v>1</v>
      </c>
      <c r="K36" s="2">
        <v>1</v>
      </c>
      <c r="L36" s="3" t="s">
        <v>127</v>
      </c>
      <c r="O36" s="4">
        <v>3</v>
      </c>
      <c r="P36" s="4" t="s">
        <v>217</v>
      </c>
      <c r="Q36" s="4"/>
      <c r="R36" s="16">
        <v>2000000</v>
      </c>
      <c r="S36" s="6">
        <v>2000000</v>
      </c>
      <c r="T36" s="16">
        <v>2000000</v>
      </c>
      <c r="U36" s="6">
        <v>2000000</v>
      </c>
      <c r="V36" s="4"/>
      <c r="W36" s="4" t="s">
        <v>217</v>
      </c>
      <c r="X36" s="4"/>
      <c r="Y36" s="7">
        <v>1</v>
      </c>
      <c r="Z36" s="8">
        <v>4773863</v>
      </c>
      <c r="AA36" s="7" t="s">
        <v>130</v>
      </c>
      <c r="AB36" s="7"/>
      <c r="AC36" s="9">
        <v>1</v>
      </c>
      <c r="AD36" s="10">
        <v>6602187</v>
      </c>
      <c r="AE36" s="9" t="s">
        <v>130</v>
      </c>
      <c r="AF36" s="9"/>
      <c r="AG36" s="11">
        <v>3</v>
      </c>
      <c r="AH36" s="11" t="s">
        <v>156</v>
      </c>
      <c r="AI36" s="11" t="s">
        <v>336</v>
      </c>
      <c r="AJ36" s="11">
        <v>3</v>
      </c>
      <c r="AK36" s="11" t="s">
        <v>143</v>
      </c>
      <c r="AL36" s="12">
        <v>2</v>
      </c>
      <c r="AM36" s="12" t="s">
        <v>156</v>
      </c>
      <c r="AN36" s="12" t="s">
        <v>337</v>
      </c>
      <c r="AO36" s="12">
        <v>2</v>
      </c>
      <c r="AP36" s="12" t="s">
        <v>132</v>
      </c>
      <c r="AQ36" s="4">
        <v>1</v>
      </c>
      <c r="AR36" s="4" t="s">
        <v>133</v>
      </c>
      <c r="AS36" s="4"/>
      <c r="AT36" s="13">
        <v>222.92803955078099</v>
      </c>
      <c r="AU36" s="13">
        <v>2.3244667053222701</v>
      </c>
      <c r="AV36" s="13">
        <v>0.68000000715255704</v>
      </c>
      <c r="AW36" s="13">
        <v>3.3717989921569802</v>
      </c>
      <c r="AX36" s="4">
        <v>1</v>
      </c>
      <c r="AY36" s="13">
        <v>23.2812805175781</v>
      </c>
      <c r="AZ36" s="13">
        <v>1.92143654823303</v>
      </c>
      <c r="BA36" s="13">
        <v>-0.92799997329711903</v>
      </c>
      <c r="BB36" s="13">
        <v>4.8200001716613796</v>
      </c>
      <c r="BC36" s="4"/>
      <c r="BD36" s="4">
        <v>11</v>
      </c>
      <c r="BE36" s="4" t="s">
        <v>134</v>
      </c>
      <c r="BF36" s="13">
        <v>2.6917989253997798</v>
      </c>
      <c r="BG36" s="4">
        <v>618.5</v>
      </c>
      <c r="BH36" s="13">
        <v>0.27599999308586098</v>
      </c>
      <c r="BI36" s="13">
        <v>170.76199340820301</v>
      </c>
      <c r="BJ36" s="4"/>
      <c r="BK36" s="14">
        <v>8</v>
      </c>
      <c r="BL36" s="14">
        <v>7</v>
      </c>
      <c r="BM36" s="14">
        <v>8</v>
      </c>
      <c r="BP36" s="15"/>
      <c r="BQ36" s="15"/>
      <c r="BR36" s="2" t="s">
        <v>211</v>
      </c>
      <c r="BS36" s="2" t="s">
        <v>172</v>
      </c>
      <c r="BT36" s="7" t="s">
        <v>303</v>
      </c>
      <c r="BU36" s="7"/>
      <c r="BV36" s="9" t="s">
        <v>212</v>
      </c>
      <c r="BW36" s="9"/>
    </row>
    <row r="37" spans="1:75" ht="14.25" customHeight="1" x14ac:dyDescent="0.25">
      <c r="A37" s="1">
        <v>60</v>
      </c>
      <c r="B37" s="1" t="s">
        <v>338</v>
      </c>
      <c r="C37" s="1" t="s">
        <v>339</v>
      </c>
      <c r="D37" s="1" t="s">
        <v>124</v>
      </c>
      <c r="E37" s="1" t="s">
        <v>125</v>
      </c>
      <c r="F37" s="1" t="s">
        <v>126</v>
      </c>
      <c r="G37" s="1"/>
      <c r="H37" s="2">
        <v>1</v>
      </c>
      <c r="I37" s="2">
        <v>1</v>
      </c>
      <c r="J37" s="2">
        <v>1</v>
      </c>
      <c r="K37" s="2">
        <v>1</v>
      </c>
      <c r="L37" s="3" t="s">
        <v>127</v>
      </c>
      <c r="O37" s="4">
        <v>3</v>
      </c>
      <c r="P37" s="4" t="s">
        <v>340</v>
      </c>
      <c r="Q37" s="4" t="s">
        <v>341</v>
      </c>
      <c r="R37" s="16">
        <v>1200000</v>
      </c>
      <c r="S37" s="6">
        <v>1200000</v>
      </c>
      <c r="T37" s="16">
        <v>720000</v>
      </c>
      <c r="U37" s="6">
        <v>720000</v>
      </c>
      <c r="V37" s="4"/>
      <c r="W37" s="4" t="s">
        <v>342</v>
      </c>
      <c r="X37" s="4" t="s">
        <v>343</v>
      </c>
      <c r="Y37" s="7">
        <v>1</v>
      </c>
      <c r="Z37" s="8">
        <v>10296457</v>
      </c>
      <c r="AA37" s="7" t="s">
        <v>154</v>
      </c>
      <c r="AB37" s="7"/>
      <c r="AC37" s="9">
        <v>1</v>
      </c>
      <c r="AD37" s="10">
        <v>6481437</v>
      </c>
      <c r="AE37" s="9" t="s">
        <v>155</v>
      </c>
      <c r="AF37" s="9"/>
      <c r="AG37" s="11">
        <v>4</v>
      </c>
      <c r="AH37" s="11" t="s">
        <v>156</v>
      </c>
      <c r="AI37" s="11" t="s">
        <v>344</v>
      </c>
      <c r="AJ37" s="11">
        <v>4</v>
      </c>
      <c r="AK37" s="11" t="s">
        <v>143</v>
      </c>
      <c r="AL37" s="12">
        <v>2</v>
      </c>
      <c r="AM37" s="12" t="s">
        <v>156</v>
      </c>
      <c r="AN37" s="12" t="s">
        <v>345</v>
      </c>
      <c r="AO37" s="12">
        <v>2</v>
      </c>
      <c r="AP37" s="12" t="s">
        <v>132</v>
      </c>
      <c r="AQ37" s="4">
        <v>2</v>
      </c>
      <c r="AR37" s="4" t="s">
        <v>222</v>
      </c>
      <c r="AS37" s="4"/>
      <c r="AT37" s="13">
        <v>-3.9492268562316899</v>
      </c>
      <c r="AU37" s="13">
        <v>-8.2197315990924794E-2</v>
      </c>
      <c r="AV37" s="13">
        <v>-2.30902075767517</v>
      </c>
      <c r="AW37" s="13">
        <v>2.24143290519714</v>
      </c>
      <c r="AX37" s="4"/>
      <c r="AY37" s="13">
        <v>19.390312194824201</v>
      </c>
      <c r="AZ37" s="13">
        <v>1.3726265430450399</v>
      </c>
      <c r="BA37" s="13">
        <v>-4.0216603279113796</v>
      </c>
      <c r="BB37" s="13">
        <v>9.1101369857788104</v>
      </c>
      <c r="BC37" s="4"/>
      <c r="BD37" s="4">
        <v>13</v>
      </c>
      <c r="BE37" s="4"/>
      <c r="BF37" s="13">
        <v>4.55045366287231</v>
      </c>
      <c r="BG37" s="4"/>
      <c r="BH37" s="13"/>
      <c r="BI37" s="13"/>
      <c r="BJ37" s="4"/>
      <c r="BK37" s="14">
        <v>10</v>
      </c>
      <c r="BL37" s="14">
        <v>8</v>
      </c>
      <c r="BM37" s="14">
        <v>10</v>
      </c>
      <c r="BP37" s="15"/>
      <c r="BQ37" s="15"/>
      <c r="BR37" s="2" t="s">
        <v>161</v>
      </c>
      <c r="BS37" s="2" t="s">
        <v>172</v>
      </c>
      <c r="BT37" s="7" t="s">
        <v>173</v>
      </c>
      <c r="BU37" s="7"/>
      <c r="BV37" s="9" t="s">
        <v>163</v>
      </c>
      <c r="BW37" s="9" t="s">
        <v>212</v>
      </c>
    </row>
    <row r="38" spans="1:75" ht="14.25" customHeight="1" x14ac:dyDescent="0.25">
      <c r="A38" s="1">
        <v>61</v>
      </c>
      <c r="B38" s="1" t="s">
        <v>346</v>
      </c>
      <c r="C38" s="1" t="s">
        <v>347</v>
      </c>
      <c r="D38" s="1" t="s">
        <v>124</v>
      </c>
      <c r="E38" s="1" t="s">
        <v>125</v>
      </c>
      <c r="F38" s="1" t="s">
        <v>126</v>
      </c>
      <c r="G38" s="1" t="s">
        <v>118</v>
      </c>
      <c r="H38" s="2">
        <v>1</v>
      </c>
      <c r="I38" s="2">
        <v>1</v>
      </c>
      <c r="J38" s="2">
        <v>1</v>
      </c>
      <c r="K38" s="2">
        <v>1</v>
      </c>
      <c r="L38" s="3" t="s">
        <v>127</v>
      </c>
      <c r="O38" s="4">
        <v>3</v>
      </c>
      <c r="P38" s="4" t="s">
        <v>342</v>
      </c>
      <c r="Q38" s="4" t="s">
        <v>348</v>
      </c>
      <c r="R38" s="16">
        <v>3700000</v>
      </c>
      <c r="S38" s="6">
        <v>3700000</v>
      </c>
      <c r="T38" s="16">
        <v>3700000</v>
      </c>
      <c r="U38" s="6">
        <v>3700000</v>
      </c>
      <c r="V38" s="4"/>
      <c r="W38" s="4" t="s">
        <v>342</v>
      </c>
      <c r="X38" s="4" t="s">
        <v>348</v>
      </c>
      <c r="Y38" s="7">
        <v>1</v>
      </c>
      <c r="Z38" s="8">
        <v>5103713</v>
      </c>
      <c r="AA38" s="7" t="s">
        <v>130</v>
      </c>
      <c r="AB38" s="7"/>
      <c r="AC38" s="9">
        <v>1</v>
      </c>
      <c r="AD38" s="10">
        <v>6033188</v>
      </c>
      <c r="AE38" s="9" t="s">
        <v>130</v>
      </c>
      <c r="AF38" s="9"/>
      <c r="AG38" s="11">
        <v>3</v>
      </c>
      <c r="AH38" s="11" t="s">
        <v>156</v>
      </c>
      <c r="AI38" s="11" t="s">
        <v>349</v>
      </c>
      <c r="AJ38" s="11">
        <v>4</v>
      </c>
      <c r="AK38" s="11" t="s">
        <v>332</v>
      </c>
      <c r="AL38" s="12">
        <v>3</v>
      </c>
      <c r="AM38" s="12" t="s">
        <v>156</v>
      </c>
      <c r="AN38" s="12" t="s">
        <v>350</v>
      </c>
      <c r="AO38" s="12">
        <v>2</v>
      </c>
      <c r="AP38" s="12" t="s">
        <v>132</v>
      </c>
      <c r="AQ38" s="4">
        <v>2</v>
      </c>
      <c r="AR38" s="4" t="s">
        <v>187</v>
      </c>
      <c r="AS38" s="4"/>
      <c r="AT38" s="13">
        <v>-15.6180610656738</v>
      </c>
      <c r="AU38" s="13">
        <v>-0.34596505761146501</v>
      </c>
      <c r="AV38" s="13">
        <v>-2.2974762916564901</v>
      </c>
      <c r="AW38" s="13">
        <v>1.8259136676788299</v>
      </c>
      <c r="AX38" s="4"/>
      <c r="AY38" s="13">
        <v>9.4113674163818395</v>
      </c>
      <c r="AZ38" s="13">
        <v>0.56373685598373402</v>
      </c>
      <c r="BA38" s="13">
        <v>-0.27744376659393299</v>
      </c>
      <c r="BB38" s="13">
        <v>1.4148926734924301</v>
      </c>
      <c r="BC38" s="4"/>
      <c r="BD38" s="4">
        <v>15</v>
      </c>
      <c r="BE38" s="4"/>
      <c r="BF38" s="13">
        <v>4.1233901977539098</v>
      </c>
      <c r="BG38" s="4"/>
      <c r="BH38" s="13"/>
      <c r="BI38" s="13"/>
      <c r="BJ38" s="4"/>
      <c r="BK38" s="14">
        <v>9</v>
      </c>
      <c r="BL38" s="14">
        <v>9</v>
      </c>
      <c r="BM38" s="14">
        <v>9</v>
      </c>
      <c r="BP38" s="15"/>
      <c r="BQ38" s="15"/>
      <c r="BR38" s="2" t="s">
        <v>172</v>
      </c>
      <c r="BS38" s="2" t="s">
        <v>247</v>
      </c>
      <c r="BT38" s="7" t="s">
        <v>212</v>
      </c>
      <c r="BU38" s="7" t="s">
        <v>147</v>
      </c>
      <c r="BV38" s="9" t="s">
        <v>163</v>
      </c>
      <c r="BW38" s="9" t="s">
        <v>212</v>
      </c>
    </row>
    <row r="39" spans="1:75" ht="14.25" customHeight="1" x14ac:dyDescent="0.25">
      <c r="A39" s="1">
        <v>67</v>
      </c>
      <c r="B39" s="1" t="s">
        <v>351</v>
      </c>
      <c r="C39" s="1" t="s">
        <v>352</v>
      </c>
      <c r="D39" s="1" t="s">
        <v>124</v>
      </c>
      <c r="E39" s="1" t="s">
        <v>125</v>
      </c>
      <c r="F39" s="1" t="s">
        <v>126</v>
      </c>
      <c r="G39" s="1" t="s">
        <v>353</v>
      </c>
      <c r="H39" s="2">
        <v>1</v>
      </c>
      <c r="I39" s="2">
        <v>1</v>
      </c>
      <c r="J39" s="2">
        <v>0</v>
      </c>
      <c r="K39" s="2">
        <v>0</v>
      </c>
      <c r="L39" s="3" t="s">
        <v>127</v>
      </c>
      <c r="O39" s="4">
        <v>4</v>
      </c>
      <c r="P39" s="4" t="s">
        <v>215</v>
      </c>
      <c r="Q39" s="4" t="s">
        <v>354</v>
      </c>
      <c r="R39" s="16">
        <v>230000</v>
      </c>
      <c r="S39" s="6">
        <v>230000</v>
      </c>
      <c r="T39" s="16">
        <v>170000</v>
      </c>
      <c r="U39" s="6">
        <v>170000</v>
      </c>
      <c r="V39" s="4"/>
      <c r="W39" s="4" t="s">
        <v>217</v>
      </c>
      <c r="X39" s="4" t="s">
        <v>355</v>
      </c>
      <c r="Y39" s="7">
        <v>1</v>
      </c>
      <c r="Z39" s="8">
        <v>6482534</v>
      </c>
      <c r="AA39" s="7" t="s">
        <v>154</v>
      </c>
      <c r="AB39" s="7"/>
      <c r="AC39" s="9">
        <v>2</v>
      </c>
      <c r="AD39" s="10">
        <v>1025318</v>
      </c>
      <c r="AE39" s="9" t="s">
        <v>155</v>
      </c>
      <c r="AF39" s="9"/>
      <c r="AG39" s="11">
        <v>3</v>
      </c>
      <c r="AH39" s="11" t="s">
        <v>356</v>
      </c>
      <c r="AI39" s="11"/>
      <c r="AJ39" s="11">
        <v>3</v>
      </c>
      <c r="AK39" s="11" t="s">
        <v>143</v>
      </c>
      <c r="AL39" s="12">
        <v>3</v>
      </c>
      <c r="AM39" s="12" t="s">
        <v>356</v>
      </c>
      <c r="AN39" s="12"/>
      <c r="AO39" s="12">
        <v>2</v>
      </c>
      <c r="AP39" s="12" t="s">
        <v>132</v>
      </c>
      <c r="AQ39" s="4">
        <v>2</v>
      </c>
      <c r="AR39" s="4" t="s">
        <v>222</v>
      </c>
      <c r="AS39" s="4"/>
      <c r="AT39" s="13">
        <v>29.419921875</v>
      </c>
      <c r="AU39" s="13">
        <v>0.52769792079925504</v>
      </c>
      <c r="AV39" s="13">
        <v>-0.75140148401260398</v>
      </c>
      <c r="AW39" s="13">
        <v>1.8853913545608501</v>
      </c>
      <c r="AX39" s="4"/>
      <c r="AY39" s="13">
        <v>12.1311750411987</v>
      </c>
      <c r="AZ39" s="13">
        <v>0.60444682836532604</v>
      </c>
      <c r="BA39" s="13">
        <v>-3.2869515419006299</v>
      </c>
      <c r="BB39" s="13">
        <v>4.2492971420288104</v>
      </c>
      <c r="BC39" s="4"/>
      <c r="BD39" s="4">
        <v>19</v>
      </c>
      <c r="BE39" s="4"/>
      <c r="BF39" s="13">
        <v>2.6367928981781001</v>
      </c>
      <c r="BG39" s="4"/>
      <c r="BH39" s="13"/>
      <c r="BI39" s="13"/>
      <c r="BJ39" s="4"/>
      <c r="BK39" s="14">
        <v>10</v>
      </c>
      <c r="BL39" s="14">
        <v>11</v>
      </c>
      <c r="BM39" s="14">
        <v>11</v>
      </c>
      <c r="BP39" s="15"/>
      <c r="BQ39" s="15"/>
      <c r="BR39" s="2" t="s">
        <v>172</v>
      </c>
      <c r="BS39" s="2" t="s">
        <v>172</v>
      </c>
      <c r="BT39" s="7" t="s">
        <v>212</v>
      </c>
      <c r="BU39" s="7" t="s">
        <v>357</v>
      </c>
      <c r="BV39" s="9" t="s">
        <v>163</v>
      </c>
      <c r="BW39" s="9" t="s">
        <v>164</v>
      </c>
    </row>
    <row r="40" spans="1:75" ht="14.25" customHeight="1" x14ac:dyDescent="0.25">
      <c r="A40" s="1">
        <v>68</v>
      </c>
      <c r="B40" s="1" t="s">
        <v>358</v>
      </c>
      <c r="C40" s="1" t="s">
        <v>359</v>
      </c>
      <c r="D40" s="1" t="s">
        <v>124</v>
      </c>
      <c r="E40" s="1" t="s">
        <v>125</v>
      </c>
      <c r="F40" s="1" t="s">
        <v>126</v>
      </c>
      <c r="G40" s="1" t="s">
        <v>118</v>
      </c>
      <c r="H40" s="2">
        <v>1</v>
      </c>
      <c r="I40" s="2">
        <v>1</v>
      </c>
      <c r="J40" s="2">
        <v>1</v>
      </c>
      <c r="K40" s="2">
        <v>0</v>
      </c>
      <c r="L40" s="3" t="s">
        <v>127</v>
      </c>
      <c r="O40" s="4">
        <v>4</v>
      </c>
      <c r="P40" s="4" t="s">
        <v>217</v>
      </c>
      <c r="Q40" s="4" t="s">
        <v>360</v>
      </c>
      <c r="R40" s="16">
        <v>470000</v>
      </c>
      <c r="S40" s="6">
        <v>470000</v>
      </c>
      <c r="T40" s="16">
        <v>470000</v>
      </c>
      <c r="U40" s="6">
        <v>470000</v>
      </c>
      <c r="V40" s="4"/>
      <c r="W40" s="4" t="s">
        <v>217</v>
      </c>
      <c r="X40" s="4" t="s">
        <v>361</v>
      </c>
      <c r="Y40" s="7">
        <v>1</v>
      </c>
      <c r="Z40" s="8">
        <v>4694175</v>
      </c>
      <c r="AA40" s="7" t="s">
        <v>130</v>
      </c>
      <c r="AB40" s="7"/>
      <c r="AC40" s="9">
        <v>2</v>
      </c>
      <c r="AD40" s="10"/>
      <c r="AE40" s="9" t="s">
        <v>362</v>
      </c>
      <c r="AF40" s="9" t="s">
        <v>363</v>
      </c>
      <c r="AG40" s="11">
        <v>4</v>
      </c>
      <c r="AH40" s="11" t="s">
        <v>356</v>
      </c>
      <c r="AI40" s="11" t="s">
        <v>364</v>
      </c>
      <c r="AJ40" s="11">
        <v>4</v>
      </c>
      <c r="AK40" s="11" t="s">
        <v>143</v>
      </c>
      <c r="AL40" s="12">
        <v>3</v>
      </c>
      <c r="AM40" s="12" t="s">
        <v>131</v>
      </c>
      <c r="AN40" s="12"/>
      <c r="AO40" s="12">
        <v>2</v>
      </c>
      <c r="AP40" s="12" t="s">
        <v>143</v>
      </c>
      <c r="AQ40" s="4">
        <v>2</v>
      </c>
      <c r="AR40" s="4" t="s">
        <v>222</v>
      </c>
      <c r="AS40" s="4"/>
      <c r="AT40" s="13">
        <v>9.9518213272094709</v>
      </c>
      <c r="AU40" s="13">
        <v>0.193804085254669</v>
      </c>
      <c r="AV40" s="13">
        <v>-0.22364349663257599</v>
      </c>
      <c r="AW40" s="13">
        <v>0.60000002384185802</v>
      </c>
      <c r="AX40" s="4"/>
      <c r="AY40" s="13">
        <v>7.5088553428649902</v>
      </c>
      <c r="AZ40" s="13">
        <v>0.42680844664573703</v>
      </c>
      <c r="BA40" s="13">
        <v>-0.68216365575790405</v>
      </c>
      <c r="BB40" s="13">
        <v>1.7563889026641799</v>
      </c>
      <c r="BC40" s="4"/>
      <c r="BD40" s="4">
        <v>17</v>
      </c>
      <c r="BE40" s="4"/>
      <c r="BF40" s="13">
        <v>0.82364350557327304</v>
      </c>
      <c r="BG40" s="4"/>
      <c r="BH40" s="13"/>
      <c r="BI40" s="13"/>
      <c r="BJ40" s="4"/>
      <c r="BK40" s="14">
        <v>11</v>
      </c>
      <c r="BL40" s="14">
        <v>11</v>
      </c>
      <c r="BM40" s="14">
        <v>11</v>
      </c>
      <c r="BP40" s="15"/>
      <c r="BQ40" s="15"/>
      <c r="BR40" s="2" t="s">
        <v>211</v>
      </c>
      <c r="BS40" s="2" t="s">
        <v>172</v>
      </c>
      <c r="BT40" s="7" t="s">
        <v>303</v>
      </c>
      <c r="BU40" s="7"/>
      <c r="BV40" s="9" t="s">
        <v>163</v>
      </c>
      <c r="BW40" s="9"/>
    </row>
    <row r="41" spans="1:75" ht="14.25" customHeight="1" x14ac:dyDescent="0.25">
      <c r="A41" s="1">
        <v>70</v>
      </c>
      <c r="B41" s="1" t="s">
        <v>365</v>
      </c>
      <c r="C41" s="1" t="s">
        <v>366</v>
      </c>
      <c r="D41" s="1" t="s">
        <v>124</v>
      </c>
      <c r="E41" s="1" t="s">
        <v>125</v>
      </c>
      <c r="F41" s="1" t="s">
        <v>126</v>
      </c>
      <c r="G41" s="1" t="s">
        <v>367</v>
      </c>
      <c r="H41" s="2">
        <v>1</v>
      </c>
      <c r="I41" s="2">
        <v>1</v>
      </c>
      <c r="J41" s="2">
        <v>1</v>
      </c>
      <c r="K41" s="2">
        <v>0</v>
      </c>
      <c r="L41" s="3" t="s">
        <v>127</v>
      </c>
      <c r="O41" s="4">
        <v>4</v>
      </c>
      <c r="P41" s="4" t="s">
        <v>217</v>
      </c>
      <c r="Q41" s="4" t="s">
        <v>368</v>
      </c>
      <c r="R41" s="16">
        <v>400000</v>
      </c>
      <c r="S41" s="6">
        <v>400000</v>
      </c>
      <c r="T41" s="16">
        <v>400000</v>
      </c>
      <c r="U41" s="6">
        <v>400000</v>
      </c>
      <c r="V41" s="4"/>
      <c r="W41" s="4" t="s">
        <v>217</v>
      </c>
      <c r="X41" s="4"/>
      <c r="Y41" s="7">
        <v>1</v>
      </c>
      <c r="Z41" s="8">
        <v>4842634</v>
      </c>
      <c r="AA41" s="7" t="s">
        <v>369</v>
      </c>
      <c r="AB41" s="7"/>
      <c r="AC41" s="9">
        <v>2</v>
      </c>
      <c r="AD41" s="10">
        <v>1427087</v>
      </c>
      <c r="AE41" s="9" t="s">
        <v>369</v>
      </c>
      <c r="AF41" s="9"/>
      <c r="AG41" s="11">
        <v>4</v>
      </c>
      <c r="AH41" s="11" t="s">
        <v>356</v>
      </c>
      <c r="AI41" s="11" t="s">
        <v>364</v>
      </c>
      <c r="AJ41" s="11">
        <v>4</v>
      </c>
      <c r="AK41" s="11" t="s">
        <v>143</v>
      </c>
      <c r="AL41" s="12">
        <v>3</v>
      </c>
      <c r="AM41" s="12" t="s">
        <v>131</v>
      </c>
      <c r="AN41" s="12"/>
      <c r="AO41" s="12">
        <v>2</v>
      </c>
      <c r="AP41" s="12" t="s">
        <v>132</v>
      </c>
      <c r="AQ41" s="4">
        <v>3</v>
      </c>
      <c r="AR41" s="4" t="s">
        <v>222</v>
      </c>
      <c r="AS41" s="4"/>
      <c r="AT41" s="13">
        <v>-41.191871643066399</v>
      </c>
      <c r="AU41" s="13">
        <v>-1.0776009559631301</v>
      </c>
      <c r="AV41" s="13">
        <v>-2.8311104774475102</v>
      </c>
      <c r="AW41" s="13">
        <v>0.31964495778083801</v>
      </c>
      <c r="AX41" s="4"/>
      <c r="AY41" s="13">
        <v>-11.352391242981</v>
      </c>
      <c r="AZ41" s="13">
        <v>-0.66721487045288097</v>
      </c>
      <c r="BA41" s="13">
        <v>-5.00215721130371</v>
      </c>
      <c r="BB41" s="13">
        <v>3.8894259929657</v>
      </c>
      <c r="BC41" s="4"/>
      <c r="BD41" s="4">
        <v>18</v>
      </c>
      <c r="BE41" s="4"/>
      <c r="BF41" s="13">
        <v>3.1507554054260298</v>
      </c>
      <c r="BG41" s="4"/>
      <c r="BH41" s="13"/>
      <c r="BI41" s="13"/>
      <c r="BJ41" s="4"/>
      <c r="BK41" s="14">
        <v>12</v>
      </c>
      <c r="BL41" s="14">
        <v>12</v>
      </c>
      <c r="BM41" s="14">
        <v>12</v>
      </c>
      <c r="BP41" s="15"/>
      <c r="BQ41" s="15"/>
      <c r="BR41" s="2" t="s">
        <v>211</v>
      </c>
      <c r="BS41" s="2" t="s">
        <v>172</v>
      </c>
      <c r="BT41" s="7" t="s">
        <v>212</v>
      </c>
      <c r="BU41" s="7"/>
      <c r="BV41" s="9" t="s">
        <v>163</v>
      </c>
      <c r="BW41" s="9"/>
    </row>
    <row r="42" spans="1:75" ht="14.25" customHeight="1" x14ac:dyDescent="0.25">
      <c r="A42" s="1">
        <v>73</v>
      </c>
      <c r="B42" s="1" t="s">
        <v>370</v>
      </c>
      <c r="C42" s="1" t="s">
        <v>371</v>
      </c>
      <c r="D42" s="1" t="s">
        <v>124</v>
      </c>
      <c r="E42" s="1" t="s">
        <v>125</v>
      </c>
      <c r="F42" s="1" t="s">
        <v>126</v>
      </c>
      <c r="G42" s="1"/>
      <c r="H42" s="2">
        <v>1</v>
      </c>
      <c r="I42" s="2">
        <v>1</v>
      </c>
      <c r="J42" s="2">
        <v>1</v>
      </c>
      <c r="K42" s="2">
        <v>0</v>
      </c>
      <c r="L42" s="3" t="s">
        <v>127</v>
      </c>
      <c r="O42" s="4">
        <v>3</v>
      </c>
      <c r="P42" s="4" t="s">
        <v>215</v>
      </c>
      <c r="Q42" s="4" t="s">
        <v>372</v>
      </c>
      <c r="R42" s="16">
        <v>900000</v>
      </c>
      <c r="S42" s="6">
        <v>900000</v>
      </c>
      <c r="T42" s="16">
        <v>500000</v>
      </c>
      <c r="U42" s="6">
        <v>500000</v>
      </c>
      <c r="V42" s="4"/>
      <c r="W42" s="4" t="s">
        <v>217</v>
      </c>
      <c r="X42" s="4"/>
      <c r="Y42" s="7">
        <v>1</v>
      </c>
      <c r="Z42" s="8">
        <v>9505445</v>
      </c>
      <c r="AA42" s="7" t="s">
        <v>154</v>
      </c>
      <c r="AB42" s="7"/>
      <c r="AC42" s="9">
        <v>2</v>
      </c>
      <c r="AD42" s="10">
        <v>2375129</v>
      </c>
      <c r="AE42" s="9" t="s">
        <v>155</v>
      </c>
      <c r="AF42" s="9"/>
      <c r="AG42" s="11">
        <v>3</v>
      </c>
      <c r="AH42" s="11" t="s">
        <v>356</v>
      </c>
      <c r="AI42" s="11" t="s">
        <v>364</v>
      </c>
      <c r="AJ42" s="11">
        <v>1</v>
      </c>
      <c r="AK42" s="11" t="s">
        <v>132</v>
      </c>
      <c r="AL42" s="12">
        <v>3</v>
      </c>
      <c r="AM42" s="12" t="s">
        <v>356</v>
      </c>
      <c r="AN42" s="12"/>
      <c r="AO42" s="12">
        <v>2</v>
      </c>
      <c r="AP42" s="12" t="s">
        <v>143</v>
      </c>
      <c r="AQ42" s="4">
        <v>5</v>
      </c>
      <c r="AR42" s="4" t="s">
        <v>222</v>
      </c>
      <c r="AS42" s="4"/>
      <c r="AT42" s="13">
        <v>-66.931236267089801</v>
      </c>
      <c r="AU42" s="13">
        <v>-2.2330193519592298</v>
      </c>
      <c r="AV42" s="13">
        <v>-4.3489923477172896</v>
      </c>
      <c r="AW42" s="13">
        <v>-0.5</v>
      </c>
      <c r="AX42" s="4">
        <v>1</v>
      </c>
      <c r="AY42" s="13">
        <v>-27.806978225708001</v>
      </c>
      <c r="AZ42" s="13">
        <v>-1.8983777761459399</v>
      </c>
      <c r="BA42" s="13">
        <v>-6.6493201255798304</v>
      </c>
      <c r="BB42" s="13">
        <v>3.4213740825653098</v>
      </c>
      <c r="BC42" s="4"/>
      <c r="BD42" s="4">
        <v>17</v>
      </c>
      <c r="BE42" s="4"/>
      <c r="BF42" s="13">
        <v>3.84899234771729</v>
      </c>
      <c r="BG42" s="4"/>
      <c r="BH42" s="13"/>
      <c r="BI42" s="13"/>
      <c r="BJ42" s="4"/>
      <c r="BK42" s="14">
        <v>12</v>
      </c>
      <c r="BL42" s="14">
        <v>13</v>
      </c>
      <c r="BM42" s="14">
        <v>13</v>
      </c>
      <c r="BN42" s="3" t="s">
        <v>113</v>
      </c>
      <c r="BO42" s="3" t="s">
        <v>120</v>
      </c>
      <c r="BP42" s="15"/>
      <c r="BQ42" s="15"/>
      <c r="BR42" s="2" t="s">
        <v>161</v>
      </c>
      <c r="BS42" s="2" t="s">
        <v>172</v>
      </c>
      <c r="BT42" s="7" t="s">
        <v>173</v>
      </c>
      <c r="BU42" s="7"/>
      <c r="BV42" s="9" t="s">
        <v>163</v>
      </c>
      <c r="BW42" s="9"/>
    </row>
    <row r="43" spans="1:75" ht="14.25" customHeight="1" x14ac:dyDescent="0.25">
      <c r="A43" s="1">
        <v>74</v>
      </c>
      <c r="B43" s="1" t="s">
        <v>373</v>
      </c>
      <c r="C43" s="1" t="s">
        <v>374</v>
      </c>
      <c r="D43" s="1" t="s">
        <v>124</v>
      </c>
      <c r="E43" s="1" t="s">
        <v>125</v>
      </c>
      <c r="F43" s="1" t="s">
        <v>126</v>
      </c>
      <c r="G43" s="1" t="s">
        <v>118</v>
      </c>
      <c r="H43" s="2">
        <v>1</v>
      </c>
      <c r="I43" s="2">
        <v>1</v>
      </c>
      <c r="J43" s="2">
        <v>1</v>
      </c>
      <c r="K43" s="2">
        <v>0</v>
      </c>
      <c r="L43" s="3" t="s">
        <v>127</v>
      </c>
      <c r="O43" s="4">
        <v>3</v>
      </c>
      <c r="P43" s="4" t="s">
        <v>316</v>
      </c>
      <c r="Q43" s="4"/>
      <c r="R43" s="16">
        <v>3200000</v>
      </c>
      <c r="S43" s="6">
        <v>3200000</v>
      </c>
      <c r="T43" s="16">
        <v>1000000</v>
      </c>
      <c r="U43" s="6">
        <v>1000000</v>
      </c>
      <c r="V43" s="4"/>
      <c r="W43" s="4" t="s">
        <v>217</v>
      </c>
      <c r="X43" s="4"/>
      <c r="Y43" s="7">
        <v>1</v>
      </c>
      <c r="Z43" s="8">
        <v>9491112</v>
      </c>
      <c r="AA43" s="7" t="s">
        <v>283</v>
      </c>
      <c r="AB43" s="7"/>
      <c r="AC43" s="9">
        <v>2</v>
      </c>
      <c r="AD43" s="10">
        <v>3020616</v>
      </c>
      <c r="AE43" s="9" t="s">
        <v>283</v>
      </c>
      <c r="AF43" s="9"/>
      <c r="AG43" s="11">
        <v>3</v>
      </c>
      <c r="AH43" s="11" t="s">
        <v>356</v>
      </c>
      <c r="AI43" s="11"/>
      <c r="AJ43" s="11">
        <v>3</v>
      </c>
      <c r="AK43" s="11" t="s">
        <v>143</v>
      </c>
      <c r="AL43" s="12">
        <v>3</v>
      </c>
      <c r="AM43" s="12" t="s">
        <v>356</v>
      </c>
      <c r="AN43" s="12"/>
      <c r="AO43" s="12">
        <v>2</v>
      </c>
      <c r="AP43" s="12" t="s">
        <v>143</v>
      </c>
      <c r="AQ43" s="4">
        <v>5</v>
      </c>
      <c r="AR43" s="4" t="s">
        <v>222</v>
      </c>
      <c r="AS43" s="4"/>
      <c r="AT43" s="13">
        <v>-80.382797241210895</v>
      </c>
      <c r="AU43" s="13">
        <v>-3.2693684101104701</v>
      </c>
      <c r="AV43" s="13">
        <v>-5.4727840423584002</v>
      </c>
      <c r="AW43" s="13">
        <v>-1.6000000238418599</v>
      </c>
      <c r="AX43" s="4">
        <v>1</v>
      </c>
      <c r="AY43" s="13">
        <v>-46.686283111572301</v>
      </c>
      <c r="AZ43" s="13">
        <v>-3.2562086582183798</v>
      </c>
      <c r="BA43" s="13">
        <v>-7.3260831832885698</v>
      </c>
      <c r="BB43" s="13">
        <v>0.21608379483223</v>
      </c>
      <c r="BC43" s="4"/>
      <c r="BD43" s="4">
        <v>19</v>
      </c>
      <c r="BE43" s="4"/>
      <c r="BF43" s="13">
        <v>3.8727838993072501</v>
      </c>
      <c r="BG43" s="4"/>
      <c r="BH43" s="13"/>
      <c r="BI43" s="13"/>
      <c r="BJ43" s="4"/>
      <c r="BK43" s="14">
        <v>12</v>
      </c>
      <c r="BL43" s="14">
        <v>13</v>
      </c>
      <c r="BM43" s="14">
        <v>13</v>
      </c>
      <c r="BN43" s="3" t="s">
        <v>375</v>
      </c>
      <c r="BO43" s="3" t="s">
        <v>114</v>
      </c>
      <c r="BP43" s="15"/>
      <c r="BQ43" s="15"/>
      <c r="BR43" s="2" t="s">
        <v>161</v>
      </c>
      <c r="BS43" s="2" t="s">
        <v>172</v>
      </c>
      <c r="BT43" s="7" t="s">
        <v>173</v>
      </c>
      <c r="BU43" s="7"/>
      <c r="BV43" s="9" t="s">
        <v>163</v>
      </c>
      <c r="BW43" s="9" t="s">
        <v>212</v>
      </c>
    </row>
    <row r="44" spans="1:75" ht="14.25" customHeight="1" x14ac:dyDescent="0.25">
      <c r="A44" s="1">
        <v>75</v>
      </c>
      <c r="B44" s="1" t="s">
        <v>376</v>
      </c>
      <c r="C44" s="1" t="s">
        <v>377</v>
      </c>
      <c r="D44" s="1" t="s">
        <v>124</v>
      </c>
      <c r="E44" s="1" t="s">
        <v>125</v>
      </c>
      <c r="F44" s="1" t="s">
        <v>126</v>
      </c>
      <c r="G44" s="1" t="s">
        <v>118</v>
      </c>
      <c r="H44" s="2">
        <v>1</v>
      </c>
      <c r="I44" s="2">
        <v>1</v>
      </c>
      <c r="J44" s="2">
        <v>1</v>
      </c>
      <c r="K44" s="2">
        <v>0</v>
      </c>
      <c r="L44" s="3" t="s">
        <v>127</v>
      </c>
      <c r="O44" s="4">
        <v>3</v>
      </c>
      <c r="P44" s="4" t="s">
        <v>217</v>
      </c>
      <c r="Q44" s="4"/>
      <c r="R44" s="16">
        <v>1300000</v>
      </c>
      <c r="S44" s="6">
        <v>1300000</v>
      </c>
      <c r="T44" s="16">
        <v>1300000</v>
      </c>
      <c r="U44" s="6">
        <v>1300000</v>
      </c>
      <c r="V44" s="4"/>
      <c r="W44" s="4" t="s">
        <v>217</v>
      </c>
      <c r="X44" s="4"/>
      <c r="Y44" s="7">
        <v>1</v>
      </c>
      <c r="Z44" s="8">
        <v>4718724</v>
      </c>
      <c r="AA44" s="7" t="s">
        <v>130</v>
      </c>
      <c r="AB44" s="7"/>
      <c r="AC44" s="9">
        <v>1</v>
      </c>
      <c r="AD44" s="10">
        <v>7933493</v>
      </c>
      <c r="AE44" s="9" t="s">
        <v>130</v>
      </c>
      <c r="AF44" s="9"/>
      <c r="AG44" s="11">
        <v>3</v>
      </c>
      <c r="AH44" s="11" t="s">
        <v>300</v>
      </c>
      <c r="AI44" s="11" t="s">
        <v>301</v>
      </c>
      <c r="AJ44" s="11">
        <v>4</v>
      </c>
      <c r="AK44" s="11" t="s">
        <v>143</v>
      </c>
      <c r="AL44" s="12">
        <v>3</v>
      </c>
      <c r="AM44" s="12" t="s">
        <v>131</v>
      </c>
      <c r="AN44" s="12"/>
      <c r="AO44" s="12">
        <v>2</v>
      </c>
      <c r="AP44" s="12" t="s">
        <v>132</v>
      </c>
      <c r="AQ44" s="4">
        <v>1</v>
      </c>
      <c r="AR44" s="4" t="s">
        <v>133</v>
      </c>
      <c r="AS44" s="4"/>
      <c r="AT44" s="13">
        <v>196.11470031738301</v>
      </c>
      <c r="AU44" s="13">
        <v>2.1518206596374498</v>
      </c>
      <c r="AV44" s="13">
        <v>-0.39800000190734902</v>
      </c>
      <c r="AW44" s="13">
        <v>3.7701010704040501</v>
      </c>
      <c r="AX44" s="4"/>
      <c r="AY44" s="13">
        <v>37.2035942077637</v>
      </c>
      <c r="AZ44" s="13">
        <v>1.9986538887023899</v>
      </c>
      <c r="BA44" s="13">
        <v>-1.2599999904632599</v>
      </c>
      <c r="BB44" s="13">
        <v>3.5182950496673602</v>
      </c>
      <c r="BC44" s="4"/>
      <c r="BD44" s="4">
        <v>16</v>
      </c>
      <c r="BE44" s="4" t="s">
        <v>134</v>
      </c>
      <c r="BF44" s="13">
        <v>4.1681008338928196</v>
      </c>
      <c r="BG44" s="4">
        <v>333.5</v>
      </c>
      <c r="BH44" s="13">
        <v>0.33349999785423301</v>
      </c>
      <c r="BI44" s="13">
        <v>111.20549774169901</v>
      </c>
      <c r="BJ44" s="4"/>
      <c r="BK44" s="14">
        <v>8</v>
      </c>
      <c r="BL44" s="14">
        <v>8</v>
      </c>
      <c r="BM44" s="14">
        <v>8</v>
      </c>
      <c r="BP44" s="15"/>
      <c r="BQ44" s="15"/>
      <c r="BR44" s="2" t="s">
        <v>211</v>
      </c>
      <c r="BS44" s="2" t="s">
        <v>172</v>
      </c>
      <c r="BT44" s="7" t="s">
        <v>240</v>
      </c>
      <c r="BU44" s="7" t="s">
        <v>212</v>
      </c>
      <c r="BV44" s="9" t="s">
        <v>163</v>
      </c>
      <c r="BW44" s="9" t="s">
        <v>212</v>
      </c>
    </row>
    <row r="45" spans="1:75" ht="14.25" customHeight="1" x14ac:dyDescent="0.25">
      <c r="A45" s="1">
        <v>76</v>
      </c>
      <c r="B45" s="1" t="s">
        <v>378</v>
      </c>
      <c r="C45" s="1" t="s">
        <v>379</v>
      </c>
      <c r="D45" s="1" t="s">
        <v>124</v>
      </c>
      <c r="E45" s="1" t="s">
        <v>125</v>
      </c>
      <c r="F45" s="1" t="s">
        <v>126</v>
      </c>
      <c r="G45" s="1"/>
      <c r="H45" s="2">
        <v>1</v>
      </c>
      <c r="I45" s="2">
        <v>1</v>
      </c>
      <c r="J45" s="2">
        <v>1</v>
      </c>
      <c r="K45" s="2">
        <v>0</v>
      </c>
      <c r="L45" s="3" t="s">
        <v>127</v>
      </c>
      <c r="O45" s="4">
        <v>3</v>
      </c>
      <c r="P45" s="4" t="s">
        <v>380</v>
      </c>
      <c r="Q45" s="4"/>
      <c r="R45" s="16">
        <v>2500000</v>
      </c>
      <c r="S45" s="6">
        <v>2500000</v>
      </c>
      <c r="T45" s="16">
        <v>1200000</v>
      </c>
      <c r="U45" s="6">
        <v>1200000</v>
      </c>
      <c r="V45" s="4"/>
      <c r="W45" s="4" t="s">
        <v>235</v>
      </c>
      <c r="X45" s="4" t="s">
        <v>381</v>
      </c>
      <c r="Y45" s="7">
        <v>1</v>
      </c>
      <c r="Z45" s="8">
        <v>18174728</v>
      </c>
      <c r="AA45" s="7" t="s">
        <v>154</v>
      </c>
      <c r="AB45" s="7"/>
      <c r="AC45" s="9">
        <v>1</v>
      </c>
      <c r="AD45" s="10">
        <v>22700635</v>
      </c>
      <c r="AE45" s="9" t="s">
        <v>155</v>
      </c>
      <c r="AF45" s="9"/>
      <c r="AG45" s="11">
        <v>3</v>
      </c>
      <c r="AH45" s="11" t="s">
        <v>300</v>
      </c>
      <c r="AI45" s="11" t="s">
        <v>301</v>
      </c>
      <c r="AJ45" s="11">
        <v>3</v>
      </c>
      <c r="AK45" s="11" t="s">
        <v>332</v>
      </c>
      <c r="AL45" s="12">
        <v>3</v>
      </c>
      <c r="AM45" s="12" t="s">
        <v>356</v>
      </c>
      <c r="AN45" s="12" t="s">
        <v>382</v>
      </c>
      <c r="AO45" s="12">
        <v>2</v>
      </c>
      <c r="AP45" s="12" t="s">
        <v>132</v>
      </c>
      <c r="AQ45" s="4">
        <v>2</v>
      </c>
      <c r="AR45" s="4" t="s">
        <v>133</v>
      </c>
      <c r="AS45" s="4"/>
      <c r="AT45" s="13">
        <v>27.547645568847699</v>
      </c>
      <c r="AU45" s="13">
        <v>0.47860053181648299</v>
      </c>
      <c r="AV45" s="13">
        <v>-0.92299997806549094</v>
      </c>
      <c r="AW45" s="13">
        <v>1.37000000476837</v>
      </c>
      <c r="AX45" s="4"/>
      <c r="AY45" s="13">
        <v>21.2027473449707</v>
      </c>
      <c r="AZ45" s="13">
        <v>0.92015087604522705</v>
      </c>
      <c r="BA45" s="13">
        <v>-1.5599999427795399</v>
      </c>
      <c r="BB45" s="13">
        <v>2.2886989116668701</v>
      </c>
      <c r="BC45" s="4"/>
      <c r="BD45" s="4">
        <v>21</v>
      </c>
      <c r="BE45" s="4" t="s">
        <v>134</v>
      </c>
      <c r="BF45" s="13">
        <v>2.2929999828338601</v>
      </c>
      <c r="BG45" s="4">
        <v>914.5</v>
      </c>
      <c r="BH45" s="13">
        <v>0.26699998974800099</v>
      </c>
      <c r="BI45" s="13">
        <v>236.36000061035199</v>
      </c>
      <c r="BJ45" s="4"/>
      <c r="BK45" s="14">
        <v>9</v>
      </c>
      <c r="BL45" s="14">
        <v>9</v>
      </c>
      <c r="BM45" s="14">
        <v>9</v>
      </c>
      <c r="BP45" s="15"/>
      <c r="BQ45" s="15"/>
      <c r="BR45" s="2" t="s">
        <v>211</v>
      </c>
      <c r="BS45" s="2" t="s">
        <v>172</v>
      </c>
      <c r="BT45" s="7" t="s">
        <v>240</v>
      </c>
      <c r="BU45" s="7" t="s">
        <v>212</v>
      </c>
      <c r="BV45" s="9" t="s">
        <v>163</v>
      </c>
      <c r="BW45" s="9" t="s">
        <v>212</v>
      </c>
    </row>
    <row r="46" spans="1:75" ht="14.25" customHeight="1" x14ac:dyDescent="0.25">
      <c r="A46" s="1">
        <v>77</v>
      </c>
      <c r="B46" s="1" t="s">
        <v>383</v>
      </c>
      <c r="C46" s="1" t="s">
        <v>384</v>
      </c>
      <c r="D46" s="1" t="s">
        <v>124</v>
      </c>
      <c r="E46" s="1" t="s">
        <v>125</v>
      </c>
      <c r="F46" s="1" t="s">
        <v>126</v>
      </c>
      <c r="G46" s="1" t="s">
        <v>118</v>
      </c>
      <c r="H46" s="2">
        <v>1</v>
      </c>
      <c r="I46" s="2">
        <v>1</v>
      </c>
      <c r="J46" s="2">
        <v>0</v>
      </c>
      <c r="K46" s="2">
        <v>0</v>
      </c>
      <c r="L46" s="3" t="s">
        <v>127</v>
      </c>
      <c r="O46" s="4">
        <v>4</v>
      </c>
      <c r="P46" s="4" t="s">
        <v>217</v>
      </c>
      <c r="Q46" s="4" t="s">
        <v>385</v>
      </c>
      <c r="R46" s="16">
        <v>180000</v>
      </c>
      <c r="S46" s="6">
        <v>180000</v>
      </c>
      <c r="T46" s="16">
        <v>180000</v>
      </c>
      <c r="U46" s="6">
        <v>180000</v>
      </c>
      <c r="V46" s="4"/>
      <c r="W46" s="4" t="s">
        <v>217</v>
      </c>
      <c r="X46" s="4" t="s">
        <v>361</v>
      </c>
      <c r="Y46" s="7">
        <v>2</v>
      </c>
      <c r="Z46" s="8">
        <v>2301140</v>
      </c>
      <c r="AA46" s="7" t="s">
        <v>154</v>
      </c>
      <c r="AB46" s="7"/>
      <c r="AC46" s="9">
        <v>2</v>
      </c>
      <c r="AD46" s="10">
        <v>1840457</v>
      </c>
      <c r="AE46" s="9" t="s">
        <v>155</v>
      </c>
      <c r="AF46" s="9"/>
      <c r="AG46" s="11">
        <v>4</v>
      </c>
      <c r="AH46" s="11" t="s">
        <v>356</v>
      </c>
      <c r="AI46" s="11"/>
      <c r="AJ46" s="11">
        <v>5</v>
      </c>
      <c r="AK46" s="11" t="s">
        <v>143</v>
      </c>
      <c r="AL46" s="12">
        <v>4</v>
      </c>
      <c r="AM46" s="12" t="s">
        <v>356</v>
      </c>
      <c r="AN46" s="12" t="s">
        <v>386</v>
      </c>
      <c r="AO46" s="12">
        <v>4</v>
      </c>
      <c r="AP46" s="12" t="s">
        <v>143</v>
      </c>
      <c r="AQ46" s="4">
        <v>3</v>
      </c>
      <c r="AR46" s="4" t="s">
        <v>387</v>
      </c>
      <c r="AS46" s="4"/>
      <c r="AT46" s="13"/>
      <c r="AU46" s="13"/>
      <c r="AV46" s="13"/>
      <c r="AW46" s="13"/>
      <c r="AX46" s="4"/>
      <c r="AY46" s="13"/>
      <c r="AZ46" s="13"/>
      <c r="BA46" s="13"/>
      <c r="BB46" s="13"/>
      <c r="BC46" s="4"/>
      <c r="BD46" s="4"/>
      <c r="BE46" s="4"/>
      <c r="BF46" s="13"/>
      <c r="BG46" s="4"/>
      <c r="BH46" s="13"/>
      <c r="BI46" s="13"/>
      <c r="BJ46" s="4"/>
      <c r="BK46" s="14">
        <v>13</v>
      </c>
      <c r="BL46" s="14">
        <v>13</v>
      </c>
      <c r="BM46" s="14">
        <v>13</v>
      </c>
      <c r="BP46" s="15"/>
      <c r="BQ46" s="15"/>
      <c r="BR46" s="2" t="s">
        <v>211</v>
      </c>
      <c r="BS46" s="2" t="s">
        <v>172</v>
      </c>
      <c r="BT46" s="7" t="s">
        <v>240</v>
      </c>
      <c r="BU46" s="7" t="s">
        <v>212</v>
      </c>
      <c r="BV46" s="9" t="s">
        <v>163</v>
      </c>
      <c r="BW46" s="9" t="s">
        <v>212</v>
      </c>
    </row>
    <row r="47" spans="1:75" ht="14.25" customHeight="1" x14ac:dyDescent="0.25">
      <c r="A47" s="1">
        <v>89</v>
      </c>
      <c r="B47" s="1" t="s">
        <v>388</v>
      </c>
      <c r="C47" s="1" t="s">
        <v>389</v>
      </c>
      <c r="D47" s="1" t="s">
        <v>77</v>
      </c>
      <c r="E47" s="1" t="s">
        <v>390</v>
      </c>
      <c r="F47" s="1" t="s">
        <v>391</v>
      </c>
      <c r="G47" s="1" t="s">
        <v>118</v>
      </c>
      <c r="H47" s="2">
        <v>0</v>
      </c>
      <c r="I47" s="2">
        <v>0</v>
      </c>
      <c r="J47" s="2">
        <v>1</v>
      </c>
      <c r="K47" s="2">
        <v>1</v>
      </c>
      <c r="L47" s="3" t="s">
        <v>80</v>
      </c>
      <c r="O47" s="4">
        <v>4</v>
      </c>
      <c r="P47" s="4" t="s">
        <v>101</v>
      </c>
      <c r="Q47" s="4" t="s">
        <v>392</v>
      </c>
      <c r="R47" s="5"/>
      <c r="S47" s="6"/>
      <c r="T47" s="17"/>
      <c r="U47" s="6"/>
      <c r="V47" s="4"/>
      <c r="W47" s="4"/>
      <c r="X47" s="4"/>
      <c r="Y47" s="7">
        <v>5</v>
      </c>
      <c r="Z47" s="8">
        <v>57397</v>
      </c>
      <c r="AA47" s="7" t="s">
        <v>92</v>
      </c>
      <c r="AB47" s="7"/>
      <c r="AC47" s="9">
        <v>5</v>
      </c>
      <c r="AD47" s="10">
        <v>57397</v>
      </c>
      <c r="AE47" s="9" t="s">
        <v>92</v>
      </c>
      <c r="AF47" s="9"/>
      <c r="AG47" s="11">
        <v>3</v>
      </c>
      <c r="AH47" s="11" t="s">
        <v>93</v>
      </c>
      <c r="AI47" s="11" t="s">
        <v>393</v>
      </c>
      <c r="AJ47" s="11"/>
      <c r="AK47" s="11"/>
      <c r="AL47" s="12">
        <v>3</v>
      </c>
      <c r="AM47" s="12" t="s">
        <v>93</v>
      </c>
      <c r="AN47" s="12" t="s">
        <v>394</v>
      </c>
      <c r="AO47" s="12"/>
      <c r="AP47" s="12"/>
      <c r="AQ47" s="4">
        <v>3</v>
      </c>
      <c r="AR47" s="4" t="s">
        <v>83</v>
      </c>
      <c r="AS47" s="4"/>
      <c r="AT47" s="13"/>
      <c r="AU47" s="13"/>
      <c r="AV47" s="13"/>
      <c r="AW47" s="13"/>
      <c r="AX47" s="4"/>
      <c r="AY47" s="13"/>
      <c r="AZ47" s="13"/>
      <c r="BA47" s="13"/>
      <c r="BB47" s="13"/>
      <c r="BC47" s="4"/>
      <c r="BD47" s="4"/>
      <c r="BE47" s="4"/>
      <c r="BF47" s="13"/>
      <c r="BG47" s="4"/>
      <c r="BH47" s="13"/>
      <c r="BI47" s="13"/>
      <c r="BJ47" s="4"/>
      <c r="BK47" s="14">
        <v>15</v>
      </c>
      <c r="BL47" s="14">
        <v>15</v>
      </c>
      <c r="BM47" s="14">
        <v>15</v>
      </c>
      <c r="BN47" s="3" t="s">
        <v>86</v>
      </c>
      <c r="BP47" s="15"/>
      <c r="BQ47" s="15"/>
      <c r="BR47" s="2" t="s">
        <v>108</v>
      </c>
      <c r="BS47" s="2" t="s">
        <v>108</v>
      </c>
      <c r="BT47" s="7" t="s">
        <v>98</v>
      </c>
      <c r="BU47" s="7" t="s">
        <v>109</v>
      </c>
      <c r="BV47" s="9" t="s">
        <v>98</v>
      </c>
      <c r="BW47" s="9" t="s">
        <v>109</v>
      </c>
    </row>
    <row r="48" spans="1:75" ht="14.25" customHeight="1" x14ac:dyDescent="0.25">
      <c r="A48" s="1">
        <v>90</v>
      </c>
      <c r="B48" s="1" t="s">
        <v>395</v>
      </c>
      <c r="C48" s="1" t="s">
        <v>396</v>
      </c>
      <c r="D48" s="1" t="s">
        <v>77</v>
      </c>
      <c r="E48" s="1" t="s">
        <v>390</v>
      </c>
      <c r="F48" s="1" t="s">
        <v>391</v>
      </c>
      <c r="G48" s="1"/>
      <c r="H48" s="2">
        <v>0</v>
      </c>
      <c r="I48" s="2">
        <v>0</v>
      </c>
      <c r="J48" s="2">
        <v>1</v>
      </c>
      <c r="K48" s="2">
        <v>1</v>
      </c>
      <c r="L48" s="3" t="s">
        <v>80</v>
      </c>
      <c r="O48" s="4">
        <v>4</v>
      </c>
      <c r="P48" s="4" t="s">
        <v>81</v>
      </c>
      <c r="Q48" s="4" t="s">
        <v>397</v>
      </c>
      <c r="R48" s="5"/>
      <c r="S48" s="6"/>
      <c r="T48" s="17"/>
      <c r="U48" s="6"/>
      <c r="V48" s="4"/>
      <c r="W48" s="4"/>
      <c r="X48" s="4"/>
      <c r="Y48" s="7">
        <v>2</v>
      </c>
      <c r="Z48" s="8">
        <v>1220177</v>
      </c>
      <c r="AA48" s="7" t="s">
        <v>92</v>
      </c>
      <c r="AB48" s="7"/>
      <c r="AC48" s="9">
        <v>2</v>
      </c>
      <c r="AD48" s="10">
        <v>1220177</v>
      </c>
      <c r="AE48" s="9" t="s">
        <v>92</v>
      </c>
      <c r="AF48" s="9"/>
      <c r="AG48" s="11">
        <v>4</v>
      </c>
      <c r="AH48" s="11" t="s">
        <v>93</v>
      </c>
      <c r="AI48" s="11"/>
      <c r="AJ48" s="11"/>
      <c r="AK48" s="11"/>
      <c r="AL48" s="12">
        <v>4</v>
      </c>
      <c r="AM48" s="12" t="s">
        <v>93</v>
      </c>
      <c r="AN48" s="12" t="s">
        <v>398</v>
      </c>
      <c r="AO48" s="12"/>
      <c r="AP48" s="12"/>
      <c r="AQ48" s="4">
        <v>5</v>
      </c>
      <c r="AR48" s="4" t="s">
        <v>83</v>
      </c>
      <c r="AS48" s="4" t="s">
        <v>399</v>
      </c>
      <c r="AT48" s="13"/>
      <c r="AU48" s="13"/>
      <c r="AV48" s="13"/>
      <c r="AW48" s="13"/>
      <c r="AX48" s="4"/>
      <c r="AY48" s="13"/>
      <c r="AZ48" s="13"/>
      <c r="BA48" s="13"/>
      <c r="BB48" s="13"/>
      <c r="BC48" s="4"/>
      <c r="BD48" s="4"/>
      <c r="BE48" s="4"/>
      <c r="BF48" s="13"/>
      <c r="BG48" s="4"/>
      <c r="BH48" s="13"/>
      <c r="BI48" s="13"/>
      <c r="BJ48" s="4"/>
      <c r="BK48" s="14">
        <v>15</v>
      </c>
      <c r="BL48" s="14">
        <v>15</v>
      </c>
      <c r="BM48" s="14">
        <v>15</v>
      </c>
      <c r="BN48" s="3" t="s">
        <v>113</v>
      </c>
      <c r="BO48" s="3" t="s">
        <v>120</v>
      </c>
      <c r="BP48" s="15"/>
      <c r="BQ48" s="15"/>
      <c r="BR48" s="2" t="s">
        <v>400</v>
      </c>
      <c r="BS48" s="2" t="s">
        <v>400</v>
      </c>
      <c r="BT48" s="7" t="s">
        <v>98</v>
      </c>
      <c r="BU48" s="7" t="s">
        <v>109</v>
      </c>
      <c r="BV48" s="9" t="s">
        <v>98</v>
      </c>
      <c r="BW48" s="9" t="s">
        <v>109</v>
      </c>
    </row>
    <row r="49" spans="1:75" ht="14.25" customHeight="1" x14ac:dyDescent="0.25">
      <c r="A49" s="1">
        <v>91</v>
      </c>
      <c r="B49" s="1" t="s">
        <v>401</v>
      </c>
      <c r="C49" s="1" t="s">
        <v>402</v>
      </c>
      <c r="D49" s="1" t="s">
        <v>77</v>
      </c>
      <c r="E49" s="1" t="s">
        <v>390</v>
      </c>
      <c r="F49" s="1" t="s">
        <v>391</v>
      </c>
      <c r="G49" s="1" t="s">
        <v>118</v>
      </c>
      <c r="H49" s="2">
        <v>0</v>
      </c>
      <c r="I49" s="2">
        <v>0</v>
      </c>
      <c r="J49" s="2">
        <v>0</v>
      </c>
      <c r="K49" s="2">
        <v>1</v>
      </c>
      <c r="L49" s="3" t="s">
        <v>80</v>
      </c>
      <c r="O49" s="4">
        <v>4</v>
      </c>
      <c r="P49" s="4" t="s">
        <v>81</v>
      </c>
      <c r="Q49" s="4"/>
      <c r="R49" s="5"/>
      <c r="S49" s="6"/>
      <c r="T49" s="17"/>
      <c r="U49" s="6"/>
      <c r="V49" s="4"/>
      <c r="W49" s="4"/>
      <c r="X49" s="4"/>
      <c r="Y49" s="7">
        <v>5</v>
      </c>
      <c r="Z49" s="8">
        <v>19159</v>
      </c>
      <c r="AA49" s="7" t="s">
        <v>82</v>
      </c>
      <c r="AB49" s="7"/>
      <c r="AC49" s="9">
        <v>5</v>
      </c>
      <c r="AD49" s="10">
        <v>19159</v>
      </c>
      <c r="AE49" s="9" t="s">
        <v>82</v>
      </c>
      <c r="AF49" s="9"/>
      <c r="AG49" s="11">
        <v>3</v>
      </c>
      <c r="AH49" s="11" t="s">
        <v>83</v>
      </c>
      <c r="AI49" s="11"/>
      <c r="AJ49" s="11"/>
      <c r="AK49" s="11"/>
      <c r="AL49" s="12">
        <v>3</v>
      </c>
      <c r="AM49" s="12" t="s">
        <v>83</v>
      </c>
      <c r="AN49" s="12" t="s">
        <v>403</v>
      </c>
      <c r="AO49" s="12"/>
      <c r="AP49" s="12"/>
      <c r="AQ49" s="4">
        <v>3</v>
      </c>
      <c r="AR49" s="4" t="s">
        <v>83</v>
      </c>
      <c r="AS49" s="4" t="s">
        <v>404</v>
      </c>
      <c r="AT49" s="13"/>
      <c r="AU49" s="13"/>
      <c r="AV49" s="13"/>
      <c r="AW49" s="13"/>
      <c r="AX49" s="4"/>
      <c r="AY49" s="13"/>
      <c r="AZ49" s="13"/>
      <c r="BA49" s="13"/>
      <c r="BB49" s="13"/>
      <c r="BC49" s="4"/>
      <c r="BD49" s="4"/>
      <c r="BE49" s="4"/>
      <c r="BF49" s="13"/>
      <c r="BG49" s="4"/>
      <c r="BH49" s="13"/>
      <c r="BI49" s="13"/>
      <c r="BJ49" s="4"/>
      <c r="BK49" s="14">
        <v>15</v>
      </c>
      <c r="BL49" s="14">
        <v>15</v>
      </c>
      <c r="BM49" s="14">
        <v>15</v>
      </c>
      <c r="BN49" s="3" t="s">
        <v>86</v>
      </c>
      <c r="BP49" s="15"/>
      <c r="BQ49" s="15"/>
      <c r="BR49" s="2" t="s">
        <v>87</v>
      </c>
      <c r="BS49" s="2" t="s">
        <v>87</v>
      </c>
      <c r="BT49" s="7" t="s">
        <v>88</v>
      </c>
      <c r="BU49" s="7"/>
      <c r="BV49" s="9" t="s">
        <v>88</v>
      </c>
      <c r="BW49" s="9"/>
    </row>
    <row r="50" spans="1:75" ht="14.25" customHeight="1" x14ac:dyDescent="0.25">
      <c r="A50" s="1">
        <v>92</v>
      </c>
      <c r="B50" s="1" t="s">
        <v>405</v>
      </c>
      <c r="C50" s="1" t="s">
        <v>406</v>
      </c>
      <c r="D50" s="1" t="s">
        <v>77</v>
      </c>
      <c r="E50" s="1" t="s">
        <v>390</v>
      </c>
      <c r="F50" s="1" t="s">
        <v>391</v>
      </c>
      <c r="G50" s="1" t="s">
        <v>118</v>
      </c>
      <c r="H50" s="2">
        <v>0</v>
      </c>
      <c r="I50" s="2">
        <v>0</v>
      </c>
      <c r="J50" s="2">
        <v>1</v>
      </c>
      <c r="K50" s="2">
        <v>1</v>
      </c>
      <c r="L50" s="3" t="s">
        <v>80</v>
      </c>
      <c r="O50" s="4">
        <v>5</v>
      </c>
      <c r="P50" s="4" t="s">
        <v>101</v>
      </c>
      <c r="Q50" s="4" t="s">
        <v>407</v>
      </c>
      <c r="R50" s="5"/>
      <c r="S50" s="6"/>
      <c r="T50" s="17"/>
      <c r="U50" s="6"/>
      <c r="V50" s="4"/>
      <c r="W50" s="4"/>
      <c r="X50" s="4"/>
      <c r="Y50" s="7">
        <v>4</v>
      </c>
      <c r="Z50" s="8">
        <v>98090</v>
      </c>
      <c r="AA50" s="7" t="s">
        <v>92</v>
      </c>
      <c r="AB50" s="7"/>
      <c r="AC50" s="9">
        <v>4</v>
      </c>
      <c r="AD50" s="10">
        <v>98090</v>
      </c>
      <c r="AE50" s="9" t="s">
        <v>92</v>
      </c>
      <c r="AF50" s="9"/>
      <c r="AG50" s="11">
        <v>5</v>
      </c>
      <c r="AH50" s="11" t="s">
        <v>93</v>
      </c>
      <c r="AI50" s="11"/>
      <c r="AJ50" s="11"/>
      <c r="AK50" s="11"/>
      <c r="AL50" s="12">
        <v>5</v>
      </c>
      <c r="AM50" s="12" t="s">
        <v>93</v>
      </c>
      <c r="AN50" s="12" t="s">
        <v>408</v>
      </c>
      <c r="AO50" s="12"/>
      <c r="AP50" s="12"/>
      <c r="AQ50" s="4">
        <v>4</v>
      </c>
      <c r="AR50" s="4" t="s">
        <v>83</v>
      </c>
      <c r="AS50" s="4"/>
      <c r="AT50" s="13"/>
      <c r="AU50" s="13"/>
      <c r="AV50" s="13"/>
      <c r="AW50" s="13"/>
      <c r="AX50" s="4"/>
      <c r="AY50" s="13"/>
      <c r="AZ50" s="13"/>
      <c r="BA50" s="13"/>
      <c r="BB50" s="13"/>
      <c r="BC50" s="4"/>
      <c r="BD50" s="4"/>
      <c r="BE50" s="4"/>
      <c r="BF50" s="13"/>
      <c r="BG50" s="4"/>
      <c r="BH50" s="13"/>
      <c r="BI50" s="13"/>
      <c r="BJ50" s="4"/>
      <c r="BK50" s="14">
        <v>18</v>
      </c>
      <c r="BL50" s="14">
        <v>18</v>
      </c>
      <c r="BM50" s="14">
        <v>18</v>
      </c>
      <c r="BN50" s="3" t="s">
        <v>312</v>
      </c>
      <c r="BO50" s="3" t="s">
        <v>114</v>
      </c>
      <c r="BP50" s="15"/>
      <c r="BQ50" s="15"/>
      <c r="BR50" s="2" t="s">
        <v>409</v>
      </c>
      <c r="BS50" s="2" t="s">
        <v>409</v>
      </c>
      <c r="BT50" s="7" t="s">
        <v>88</v>
      </c>
      <c r="BU50" s="7"/>
      <c r="BV50" s="9" t="s">
        <v>88</v>
      </c>
      <c r="BW50" s="9"/>
    </row>
    <row r="51" spans="1:75" ht="14.25" customHeight="1" x14ac:dyDescent="0.25">
      <c r="A51" s="1">
        <v>93</v>
      </c>
      <c r="B51" s="1" t="s">
        <v>410</v>
      </c>
      <c r="C51" s="1" t="s">
        <v>411</v>
      </c>
      <c r="D51" s="1" t="s">
        <v>77</v>
      </c>
      <c r="E51" s="1" t="s">
        <v>390</v>
      </c>
      <c r="F51" s="1" t="s">
        <v>391</v>
      </c>
      <c r="G51" s="1" t="s">
        <v>118</v>
      </c>
      <c r="H51" s="2">
        <v>0</v>
      </c>
      <c r="I51" s="2">
        <v>0</v>
      </c>
      <c r="J51" s="2">
        <v>1</v>
      </c>
      <c r="K51" s="2">
        <v>1</v>
      </c>
      <c r="L51" s="3" t="s">
        <v>80</v>
      </c>
      <c r="O51" s="4">
        <v>5</v>
      </c>
      <c r="P51" s="4" t="s">
        <v>112</v>
      </c>
      <c r="Q51" s="4"/>
      <c r="R51" s="5"/>
      <c r="S51" s="6"/>
      <c r="T51" s="17"/>
      <c r="U51" s="6"/>
      <c r="V51" s="4"/>
      <c r="W51" s="4"/>
      <c r="X51" s="4"/>
      <c r="Y51" s="7">
        <v>5</v>
      </c>
      <c r="Z51" s="8">
        <v>45420</v>
      </c>
      <c r="AA51" s="7" t="s">
        <v>92</v>
      </c>
      <c r="AB51" s="7"/>
      <c r="AC51" s="9">
        <v>5</v>
      </c>
      <c r="AD51" s="10">
        <v>45420</v>
      </c>
      <c r="AE51" s="9" t="s">
        <v>92</v>
      </c>
      <c r="AF51" s="9"/>
      <c r="AG51" s="11">
        <v>5</v>
      </c>
      <c r="AH51" s="11" t="s">
        <v>93</v>
      </c>
      <c r="AI51" s="11"/>
      <c r="AJ51" s="11"/>
      <c r="AK51" s="11"/>
      <c r="AL51" s="12">
        <v>5</v>
      </c>
      <c r="AM51" s="12" t="s">
        <v>93</v>
      </c>
      <c r="AN51" s="12" t="s">
        <v>412</v>
      </c>
      <c r="AO51" s="12"/>
      <c r="AP51" s="12"/>
      <c r="AQ51" s="4">
        <v>5</v>
      </c>
      <c r="AR51" s="4" t="s">
        <v>83</v>
      </c>
      <c r="AS51" s="4" t="s">
        <v>413</v>
      </c>
      <c r="AT51" s="13"/>
      <c r="AU51" s="13"/>
      <c r="AV51" s="13"/>
      <c r="AW51" s="13"/>
      <c r="AX51" s="4"/>
      <c r="AY51" s="13"/>
      <c r="AZ51" s="13"/>
      <c r="BA51" s="13"/>
      <c r="BB51" s="13"/>
      <c r="BC51" s="4"/>
      <c r="BD51" s="4"/>
      <c r="BE51" s="4"/>
      <c r="BF51" s="13"/>
      <c r="BG51" s="4"/>
      <c r="BH51" s="13"/>
      <c r="BI51" s="13"/>
      <c r="BJ51" s="4"/>
      <c r="BK51" s="14">
        <v>20</v>
      </c>
      <c r="BL51" s="14">
        <v>20</v>
      </c>
      <c r="BM51" s="14">
        <v>20</v>
      </c>
      <c r="BN51" s="3" t="s">
        <v>312</v>
      </c>
      <c r="BO51" s="3" t="s">
        <v>414</v>
      </c>
      <c r="BP51" s="15"/>
      <c r="BQ51" s="15"/>
      <c r="BR51" s="2" t="s">
        <v>409</v>
      </c>
      <c r="BS51" s="2" t="s">
        <v>409</v>
      </c>
      <c r="BT51" s="7" t="s">
        <v>88</v>
      </c>
      <c r="BU51" s="7"/>
      <c r="BV51" s="9" t="s">
        <v>88</v>
      </c>
      <c r="BW51" s="9"/>
    </row>
    <row r="52" spans="1:75" ht="14.25" customHeight="1" x14ac:dyDescent="0.25">
      <c r="A52" s="1">
        <v>94</v>
      </c>
      <c r="B52" s="1" t="s">
        <v>415</v>
      </c>
      <c r="C52" s="1" t="s">
        <v>416</v>
      </c>
      <c r="D52" s="1" t="s">
        <v>77</v>
      </c>
      <c r="E52" s="1" t="s">
        <v>390</v>
      </c>
      <c r="F52" s="1" t="s">
        <v>391</v>
      </c>
      <c r="G52" s="1"/>
      <c r="H52" s="2">
        <v>0</v>
      </c>
      <c r="I52" s="2">
        <v>0</v>
      </c>
      <c r="J52" s="2">
        <v>1</v>
      </c>
      <c r="K52" s="2">
        <v>1</v>
      </c>
      <c r="L52" s="3" t="s">
        <v>80</v>
      </c>
      <c r="O52" s="4">
        <v>4</v>
      </c>
      <c r="P52" s="4" t="s">
        <v>81</v>
      </c>
      <c r="Q52" s="4" t="s">
        <v>417</v>
      </c>
      <c r="R52" s="5"/>
      <c r="S52" s="6"/>
      <c r="T52" s="17"/>
      <c r="U52" s="6"/>
      <c r="V52" s="4"/>
      <c r="W52" s="4"/>
      <c r="X52" s="4"/>
      <c r="Y52" s="7">
        <v>3</v>
      </c>
      <c r="Z52" s="8">
        <v>648308</v>
      </c>
      <c r="AA52" s="7" t="s">
        <v>92</v>
      </c>
      <c r="AB52" s="7"/>
      <c r="AC52" s="9">
        <v>3</v>
      </c>
      <c r="AD52" s="10">
        <v>648308</v>
      </c>
      <c r="AE52" s="9" t="s">
        <v>92</v>
      </c>
      <c r="AF52" s="9"/>
      <c r="AG52" s="11">
        <v>4</v>
      </c>
      <c r="AH52" s="11" t="s">
        <v>93</v>
      </c>
      <c r="AI52" s="11"/>
      <c r="AJ52" s="11"/>
      <c r="AK52" s="11"/>
      <c r="AL52" s="12">
        <v>4</v>
      </c>
      <c r="AM52" s="12" t="s">
        <v>93</v>
      </c>
      <c r="AN52" s="12" t="s">
        <v>398</v>
      </c>
      <c r="AO52" s="12"/>
      <c r="AP52" s="12"/>
      <c r="AQ52" s="4">
        <v>5</v>
      </c>
      <c r="AR52" s="4" t="s">
        <v>83</v>
      </c>
      <c r="AS52" s="4" t="s">
        <v>399</v>
      </c>
      <c r="AT52" s="13"/>
      <c r="AU52" s="13"/>
      <c r="AV52" s="13"/>
      <c r="AW52" s="13"/>
      <c r="AX52" s="4"/>
      <c r="AY52" s="13"/>
      <c r="AZ52" s="13"/>
      <c r="BA52" s="13"/>
      <c r="BB52" s="13"/>
      <c r="BC52" s="4"/>
      <c r="BD52" s="4"/>
      <c r="BE52" s="4"/>
      <c r="BF52" s="13"/>
      <c r="BG52" s="4"/>
      <c r="BH52" s="13"/>
      <c r="BI52" s="13"/>
      <c r="BJ52" s="4"/>
      <c r="BK52" s="14">
        <v>16</v>
      </c>
      <c r="BL52" s="14">
        <v>16</v>
      </c>
      <c r="BM52" s="14">
        <v>16</v>
      </c>
      <c r="BN52" s="3" t="s">
        <v>312</v>
      </c>
      <c r="BO52" s="3" t="s">
        <v>114</v>
      </c>
      <c r="BP52" s="15"/>
      <c r="BQ52" s="15"/>
      <c r="BR52" s="2" t="s">
        <v>400</v>
      </c>
      <c r="BS52" s="2" t="s">
        <v>400</v>
      </c>
      <c r="BT52" s="7" t="s">
        <v>98</v>
      </c>
      <c r="BU52" s="7"/>
      <c r="BV52" s="9" t="s">
        <v>98</v>
      </c>
      <c r="BW52" s="9"/>
    </row>
    <row r="53" spans="1:75" ht="14.25" customHeight="1" x14ac:dyDescent="0.25">
      <c r="A53" s="1">
        <v>96</v>
      </c>
      <c r="B53" s="1" t="s">
        <v>418</v>
      </c>
      <c r="C53" s="1" t="s">
        <v>419</v>
      </c>
      <c r="D53" s="1" t="s">
        <v>77</v>
      </c>
      <c r="E53" s="1" t="s">
        <v>390</v>
      </c>
      <c r="F53" s="1" t="s">
        <v>420</v>
      </c>
      <c r="G53" s="1"/>
      <c r="H53" s="2">
        <v>0</v>
      </c>
      <c r="I53" s="2">
        <v>0</v>
      </c>
      <c r="J53" s="2">
        <v>0</v>
      </c>
      <c r="K53" s="2">
        <v>1</v>
      </c>
      <c r="L53" s="3" t="s">
        <v>80</v>
      </c>
      <c r="O53" s="4">
        <v>4</v>
      </c>
      <c r="P53" s="4" t="s">
        <v>81</v>
      </c>
      <c r="Q53" s="4"/>
      <c r="R53" s="5"/>
      <c r="S53" s="6"/>
      <c r="T53" s="17"/>
      <c r="U53" s="6"/>
      <c r="V53" s="4"/>
      <c r="W53" s="4"/>
      <c r="X53" s="4"/>
      <c r="Y53" s="7">
        <v>4</v>
      </c>
      <c r="Z53" s="8">
        <v>178273</v>
      </c>
      <c r="AA53" s="7" t="s">
        <v>82</v>
      </c>
      <c r="AB53" s="7"/>
      <c r="AC53" s="9">
        <v>4</v>
      </c>
      <c r="AD53" s="10">
        <v>178273</v>
      </c>
      <c r="AE53" s="9" t="s">
        <v>82</v>
      </c>
      <c r="AF53" s="9"/>
      <c r="AG53" s="11">
        <v>5</v>
      </c>
      <c r="AH53" s="11" t="s">
        <v>83</v>
      </c>
      <c r="AI53" s="11"/>
      <c r="AJ53" s="11"/>
      <c r="AK53" s="11"/>
      <c r="AL53" s="12">
        <v>5</v>
      </c>
      <c r="AM53" s="12" t="s">
        <v>83</v>
      </c>
      <c r="AN53" s="12"/>
      <c r="AO53" s="12"/>
      <c r="AP53" s="12"/>
      <c r="AQ53" s="4">
        <v>5</v>
      </c>
      <c r="AR53" s="4" t="s">
        <v>83</v>
      </c>
      <c r="AS53" s="4" t="s">
        <v>421</v>
      </c>
      <c r="AT53" s="13"/>
      <c r="AU53" s="13"/>
      <c r="AV53" s="13"/>
      <c r="AW53" s="13"/>
      <c r="AX53" s="4"/>
      <c r="AY53" s="13"/>
      <c r="AZ53" s="13"/>
      <c r="BA53" s="13"/>
      <c r="BB53" s="13"/>
      <c r="BC53" s="4"/>
      <c r="BD53" s="4"/>
      <c r="BE53" s="4"/>
      <c r="BF53" s="13"/>
      <c r="BG53" s="4"/>
      <c r="BH53" s="13"/>
      <c r="BI53" s="13"/>
      <c r="BJ53" s="4"/>
      <c r="BK53" s="14">
        <v>18</v>
      </c>
      <c r="BL53" s="14">
        <v>18</v>
      </c>
      <c r="BM53" s="14">
        <v>18</v>
      </c>
      <c r="BN53" s="3" t="s">
        <v>312</v>
      </c>
      <c r="BO53" s="3" t="s">
        <v>120</v>
      </c>
      <c r="BP53" s="15"/>
      <c r="BQ53" s="15"/>
      <c r="BR53" s="2" t="s">
        <v>115</v>
      </c>
      <c r="BS53" s="2" t="s">
        <v>115</v>
      </c>
      <c r="BT53" s="7" t="s">
        <v>98</v>
      </c>
      <c r="BU53" s="7"/>
      <c r="BV53" s="9" t="s">
        <v>98</v>
      </c>
      <c r="BW53" s="9"/>
    </row>
    <row r="54" spans="1:75" ht="14.25" customHeight="1" x14ac:dyDescent="0.25">
      <c r="A54" s="1">
        <v>97</v>
      </c>
      <c r="B54" s="1" t="s">
        <v>422</v>
      </c>
      <c r="C54" s="1" t="s">
        <v>423</v>
      </c>
      <c r="D54" s="1" t="s">
        <v>77</v>
      </c>
      <c r="E54" s="1" t="s">
        <v>390</v>
      </c>
      <c r="F54" s="1" t="s">
        <v>420</v>
      </c>
      <c r="G54" s="1"/>
      <c r="H54" s="2">
        <v>0</v>
      </c>
      <c r="I54" s="2">
        <v>1</v>
      </c>
      <c r="J54" s="2">
        <v>1</v>
      </c>
      <c r="K54" s="2">
        <v>0</v>
      </c>
      <c r="L54" s="3" t="s">
        <v>80</v>
      </c>
      <c r="O54" s="4">
        <v>4</v>
      </c>
      <c r="P54" s="4" t="s">
        <v>424</v>
      </c>
      <c r="Q54" s="4"/>
      <c r="R54" s="16">
        <v>260000</v>
      </c>
      <c r="S54" s="6">
        <v>260000</v>
      </c>
      <c r="T54" s="16">
        <v>250000</v>
      </c>
      <c r="U54" s="6">
        <v>250000</v>
      </c>
      <c r="V54" s="4">
        <v>2010.5</v>
      </c>
      <c r="W54" s="4" t="s">
        <v>425</v>
      </c>
      <c r="X54" s="4"/>
      <c r="Y54" s="7">
        <v>3</v>
      </c>
      <c r="Z54" s="8">
        <v>345663</v>
      </c>
      <c r="AA54" s="7" t="s">
        <v>92</v>
      </c>
      <c r="AB54" s="7"/>
      <c r="AC54" s="9">
        <v>3</v>
      </c>
      <c r="AD54" s="10">
        <v>345663</v>
      </c>
      <c r="AE54" s="9" t="s">
        <v>92</v>
      </c>
      <c r="AF54" s="9"/>
      <c r="AG54" s="11">
        <v>3</v>
      </c>
      <c r="AH54" s="11" t="s">
        <v>131</v>
      </c>
      <c r="AI54" s="11" t="s">
        <v>426</v>
      </c>
      <c r="AJ54" s="11">
        <v>2</v>
      </c>
      <c r="AK54" s="11" t="s">
        <v>143</v>
      </c>
      <c r="AL54" s="12">
        <v>3</v>
      </c>
      <c r="AM54" s="12" t="s">
        <v>131</v>
      </c>
      <c r="AN54" s="12" t="s">
        <v>427</v>
      </c>
      <c r="AO54" s="12">
        <v>3</v>
      </c>
      <c r="AP54" s="12" t="s">
        <v>143</v>
      </c>
      <c r="AQ54" s="4">
        <v>4</v>
      </c>
      <c r="AR54" s="4" t="s">
        <v>133</v>
      </c>
      <c r="AS54" s="4"/>
      <c r="AT54" s="13">
        <v>-30.494697570800799</v>
      </c>
      <c r="AU54" s="13">
        <v>-0.71046137809753396</v>
      </c>
      <c r="AV54" s="13">
        <v>-1.2884019613266</v>
      </c>
      <c r="AW54" s="13">
        <v>-3.2699998468160602E-2</v>
      </c>
      <c r="AX54" s="4">
        <v>1</v>
      </c>
      <c r="AY54" s="13">
        <v>-6.5758152008056596</v>
      </c>
      <c r="AZ54" s="13">
        <v>-0.67444026470184304</v>
      </c>
      <c r="BA54" s="13">
        <v>-3.5699999332428001</v>
      </c>
      <c r="BB54" s="13">
        <v>2.2865059375762899</v>
      </c>
      <c r="BC54" s="4"/>
      <c r="BD54" s="4">
        <v>10</v>
      </c>
      <c r="BE54" s="4" t="s">
        <v>134</v>
      </c>
      <c r="BF54" s="13">
        <v>1.2557020187377901</v>
      </c>
      <c r="BG54" s="4">
        <v>187</v>
      </c>
      <c r="BH54" s="13">
        <v>3.4900000095367401</v>
      </c>
      <c r="BI54" s="13">
        <v>652.63000488281295</v>
      </c>
      <c r="BJ54" s="4"/>
      <c r="BK54" s="14">
        <v>14</v>
      </c>
      <c r="BL54" s="14">
        <v>14</v>
      </c>
      <c r="BM54" s="14">
        <v>14</v>
      </c>
      <c r="BN54" s="3" t="s">
        <v>86</v>
      </c>
      <c r="BP54" s="15"/>
      <c r="BQ54" s="15"/>
      <c r="BR54" s="2" t="s">
        <v>162</v>
      </c>
      <c r="BS54" s="2" t="s">
        <v>162</v>
      </c>
      <c r="BT54" s="7" t="s">
        <v>428</v>
      </c>
      <c r="BU54" s="7" t="s">
        <v>429</v>
      </c>
      <c r="BV54" s="9" t="s">
        <v>428</v>
      </c>
      <c r="BW54" s="9" t="s">
        <v>429</v>
      </c>
    </row>
    <row r="55" spans="1:75" ht="14.25" customHeight="1" x14ac:dyDescent="0.25">
      <c r="A55" s="1">
        <v>98</v>
      </c>
      <c r="B55" s="1" t="s">
        <v>430</v>
      </c>
      <c r="C55" s="1" t="s">
        <v>431</v>
      </c>
      <c r="D55" s="1" t="s">
        <v>77</v>
      </c>
      <c r="E55" s="1" t="s">
        <v>390</v>
      </c>
      <c r="F55" s="1" t="s">
        <v>420</v>
      </c>
      <c r="G55" s="1"/>
      <c r="H55" s="2">
        <v>0</v>
      </c>
      <c r="I55" s="2">
        <v>0</v>
      </c>
      <c r="J55" s="2">
        <v>1</v>
      </c>
      <c r="K55" s="2">
        <v>1</v>
      </c>
      <c r="L55" s="3" t="s">
        <v>80</v>
      </c>
      <c r="O55" s="4">
        <v>4</v>
      </c>
      <c r="P55" s="4" t="s">
        <v>81</v>
      </c>
      <c r="Q55" s="4" t="s">
        <v>432</v>
      </c>
      <c r="R55" s="5"/>
      <c r="S55" s="6"/>
      <c r="T55" s="17"/>
      <c r="U55" s="6"/>
      <c r="V55" s="4"/>
      <c r="W55" s="4"/>
      <c r="X55" s="4"/>
      <c r="Y55" s="7">
        <v>4</v>
      </c>
      <c r="Z55" s="8">
        <v>117543</v>
      </c>
      <c r="AA55" s="7" t="s">
        <v>92</v>
      </c>
      <c r="AB55" s="7"/>
      <c r="AC55" s="9">
        <v>4</v>
      </c>
      <c r="AD55" s="10">
        <v>117543</v>
      </c>
      <c r="AE55" s="9" t="s">
        <v>92</v>
      </c>
      <c r="AF55" s="9"/>
      <c r="AG55" s="11">
        <v>5</v>
      </c>
      <c r="AH55" s="11" t="s">
        <v>93</v>
      </c>
      <c r="AI55" s="11" t="s">
        <v>393</v>
      </c>
      <c r="AJ55" s="11"/>
      <c r="AK55" s="11"/>
      <c r="AL55" s="12">
        <v>5</v>
      </c>
      <c r="AM55" s="12" t="s">
        <v>93</v>
      </c>
      <c r="AN55" s="12" t="s">
        <v>433</v>
      </c>
      <c r="AO55" s="12"/>
      <c r="AP55" s="12"/>
      <c r="AQ55" s="4">
        <v>5</v>
      </c>
      <c r="AR55" s="4" t="s">
        <v>83</v>
      </c>
      <c r="AS55" s="4" t="s">
        <v>434</v>
      </c>
      <c r="AT55" s="13"/>
      <c r="AU55" s="13"/>
      <c r="AV55" s="13"/>
      <c r="AW55" s="13"/>
      <c r="AX55" s="4"/>
      <c r="AY55" s="13"/>
      <c r="AZ55" s="13"/>
      <c r="BA55" s="13"/>
      <c r="BB55" s="13"/>
      <c r="BC55" s="4"/>
      <c r="BD55" s="4"/>
      <c r="BE55" s="4"/>
      <c r="BF55" s="13"/>
      <c r="BG55" s="4"/>
      <c r="BH55" s="13"/>
      <c r="BI55" s="13"/>
      <c r="BJ55" s="4"/>
      <c r="BK55" s="14">
        <v>18</v>
      </c>
      <c r="BL55" s="14">
        <v>18</v>
      </c>
      <c r="BM55" s="14">
        <v>18</v>
      </c>
      <c r="BN55" s="3" t="s">
        <v>312</v>
      </c>
      <c r="BP55" s="15"/>
      <c r="BQ55" s="15"/>
      <c r="BR55" s="2" t="s">
        <v>409</v>
      </c>
      <c r="BS55" s="2" t="s">
        <v>409</v>
      </c>
      <c r="BT55" s="7" t="s">
        <v>88</v>
      </c>
      <c r="BU55" s="7"/>
      <c r="BV55" s="9" t="s">
        <v>88</v>
      </c>
      <c r="BW55" s="9"/>
    </row>
    <row r="56" spans="1:75" ht="14.25" customHeight="1" x14ac:dyDescent="0.25">
      <c r="A56" s="1">
        <v>99</v>
      </c>
      <c r="B56" s="1" t="s">
        <v>435</v>
      </c>
      <c r="C56" s="1" t="s">
        <v>436</v>
      </c>
      <c r="D56" s="1" t="s">
        <v>77</v>
      </c>
      <c r="E56" s="1" t="s">
        <v>390</v>
      </c>
      <c r="F56" s="1" t="s">
        <v>420</v>
      </c>
      <c r="G56" s="1"/>
      <c r="H56" s="2">
        <v>0</v>
      </c>
      <c r="I56" s="2">
        <v>0</v>
      </c>
      <c r="J56" s="2">
        <v>1</v>
      </c>
      <c r="K56" s="2">
        <v>0</v>
      </c>
      <c r="L56" s="3" t="s">
        <v>80</v>
      </c>
      <c r="O56" s="4">
        <v>5</v>
      </c>
      <c r="P56" s="4" t="s">
        <v>112</v>
      </c>
      <c r="Q56" s="4"/>
      <c r="R56" s="5"/>
      <c r="S56" s="6"/>
      <c r="T56" s="17"/>
      <c r="U56" s="6"/>
      <c r="V56" s="4"/>
      <c r="W56" s="4"/>
      <c r="X56" s="4"/>
      <c r="Y56" s="7">
        <v>4</v>
      </c>
      <c r="Z56" s="8">
        <v>94024</v>
      </c>
      <c r="AA56" s="7" t="s">
        <v>92</v>
      </c>
      <c r="AB56" s="7"/>
      <c r="AC56" s="9">
        <v>4</v>
      </c>
      <c r="AD56" s="10">
        <v>94024</v>
      </c>
      <c r="AE56" s="9" t="s">
        <v>92</v>
      </c>
      <c r="AF56" s="9"/>
      <c r="AG56" s="11">
        <v>4</v>
      </c>
      <c r="AH56" s="11" t="s">
        <v>93</v>
      </c>
      <c r="AI56" s="11"/>
      <c r="AJ56" s="11"/>
      <c r="AK56" s="11"/>
      <c r="AL56" s="12">
        <v>4</v>
      </c>
      <c r="AM56" s="12" t="s">
        <v>93</v>
      </c>
      <c r="AN56" s="12" t="s">
        <v>398</v>
      </c>
      <c r="AO56" s="12"/>
      <c r="AP56" s="12"/>
      <c r="AQ56" s="4">
        <v>4</v>
      </c>
      <c r="AR56" s="4" t="s">
        <v>93</v>
      </c>
      <c r="AS56" s="4"/>
      <c r="AT56" s="13"/>
      <c r="AU56" s="13"/>
      <c r="AV56" s="13"/>
      <c r="AW56" s="13"/>
      <c r="AX56" s="4"/>
      <c r="AY56" s="13"/>
      <c r="AZ56" s="13"/>
      <c r="BA56" s="13"/>
      <c r="BB56" s="13"/>
      <c r="BC56" s="4"/>
      <c r="BD56" s="4"/>
      <c r="BE56" s="4"/>
      <c r="BF56" s="13"/>
      <c r="BG56" s="4"/>
      <c r="BH56" s="13"/>
      <c r="BI56" s="13"/>
      <c r="BJ56" s="4"/>
      <c r="BK56" s="14">
        <v>17</v>
      </c>
      <c r="BL56" s="14">
        <v>17</v>
      </c>
      <c r="BM56" s="14">
        <v>17</v>
      </c>
      <c r="BN56" s="3" t="s">
        <v>312</v>
      </c>
      <c r="BP56" s="15"/>
      <c r="BQ56" s="15"/>
      <c r="BR56" s="2" t="s">
        <v>409</v>
      </c>
      <c r="BS56" s="2" t="s">
        <v>409</v>
      </c>
      <c r="BT56" s="7" t="s">
        <v>437</v>
      </c>
      <c r="BU56" s="7" t="s">
        <v>438</v>
      </c>
      <c r="BV56" s="9" t="s">
        <v>437</v>
      </c>
      <c r="BW56" s="9" t="s">
        <v>438</v>
      </c>
    </row>
    <row r="57" spans="1:75" ht="14.25" customHeight="1" x14ac:dyDescent="0.25">
      <c r="A57" s="1">
        <v>100</v>
      </c>
      <c r="B57" s="1" t="s">
        <v>439</v>
      </c>
      <c r="C57" s="1" t="s">
        <v>440</v>
      </c>
      <c r="D57" s="1" t="s">
        <v>77</v>
      </c>
      <c r="E57" s="1" t="s">
        <v>390</v>
      </c>
      <c r="F57" s="1" t="s">
        <v>420</v>
      </c>
      <c r="G57" s="1" t="s">
        <v>118</v>
      </c>
      <c r="H57" s="2">
        <v>0</v>
      </c>
      <c r="I57" s="2">
        <v>0</v>
      </c>
      <c r="J57" s="2">
        <v>1</v>
      </c>
      <c r="K57" s="2">
        <v>0</v>
      </c>
      <c r="L57" s="3" t="s">
        <v>80</v>
      </c>
      <c r="O57" s="4">
        <v>5</v>
      </c>
      <c r="P57" s="4" t="s">
        <v>112</v>
      </c>
      <c r="Q57" s="4"/>
      <c r="R57" s="5"/>
      <c r="S57" s="6"/>
      <c r="T57" s="17"/>
      <c r="U57" s="6"/>
      <c r="V57" s="4"/>
      <c r="W57" s="4"/>
      <c r="X57" s="4"/>
      <c r="Y57" s="7">
        <v>5</v>
      </c>
      <c r="Z57" s="8">
        <v>28172</v>
      </c>
      <c r="AA57" s="7" t="s">
        <v>92</v>
      </c>
      <c r="AB57" s="7"/>
      <c r="AC57" s="9">
        <v>5</v>
      </c>
      <c r="AD57" s="10">
        <v>28172</v>
      </c>
      <c r="AE57" s="9" t="s">
        <v>92</v>
      </c>
      <c r="AF57" s="9"/>
      <c r="AG57" s="11">
        <v>5</v>
      </c>
      <c r="AH57" s="11" t="s">
        <v>93</v>
      </c>
      <c r="AI57" s="11"/>
      <c r="AJ57" s="11"/>
      <c r="AK57" s="11"/>
      <c r="AL57" s="12">
        <v>5</v>
      </c>
      <c r="AM57" s="12" t="s">
        <v>93</v>
      </c>
      <c r="AN57" s="12" t="s">
        <v>408</v>
      </c>
      <c r="AO57" s="12"/>
      <c r="AP57" s="12"/>
      <c r="AQ57" s="4">
        <v>5</v>
      </c>
      <c r="AR57" s="4" t="s">
        <v>441</v>
      </c>
      <c r="AS57" s="4" t="s">
        <v>442</v>
      </c>
      <c r="AT57" s="13"/>
      <c r="AU57" s="13"/>
      <c r="AV57" s="13"/>
      <c r="AW57" s="13"/>
      <c r="AX57" s="4"/>
      <c r="AY57" s="13"/>
      <c r="AZ57" s="13"/>
      <c r="BA57" s="13"/>
      <c r="BB57" s="13"/>
      <c r="BC57" s="4"/>
      <c r="BD57" s="4"/>
      <c r="BE57" s="4"/>
      <c r="BF57" s="13"/>
      <c r="BG57" s="4"/>
      <c r="BH57" s="13"/>
      <c r="BI57" s="13"/>
      <c r="BJ57" s="4"/>
      <c r="BK57" s="14">
        <v>20</v>
      </c>
      <c r="BL57" s="14">
        <v>20</v>
      </c>
      <c r="BM57" s="14">
        <v>20</v>
      </c>
      <c r="BN57" s="3" t="s">
        <v>312</v>
      </c>
      <c r="BO57" s="3" t="s">
        <v>114</v>
      </c>
      <c r="BP57" s="15"/>
      <c r="BQ57" s="15"/>
      <c r="BR57" s="2" t="s">
        <v>409</v>
      </c>
      <c r="BS57" s="2" t="s">
        <v>409</v>
      </c>
      <c r="BT57" s="7" t="s">
        <v>88</v>
      </c>
      <c r="BU57" s="7"/>
      <c r="BV57" s="9" t="s">
        <v>88</v>
      </c>
      <c r="BW57" s="9"/>
    </row>
    <row r="58" spans="1:75" ht="14.25" customHeight="1" x14ac:dyDescent="0.25">
      <c r="A58" s="1">
        <v>101</v>
      </c>
      <c r="B58" s="1" t="s">
        <v>443</v>
      </c>
      <c r="C58" s="1" t="s">
        <v>444</v>
      </c>
      <c r="D58" s="1" t="s">
        <v>77</v>
      </c>
      <c r="E58" s="1" t="s">
        <v>390</v>
      </c>
      <c r="F58" s="1" t="s">
        <v>420</v>
      </c>
      <c r="G58" s="1" t="s">
        <v>118</v>
      </c>
      <c r="H58" s="2">
        <v>0</v>
      </c>
      <c r="I58" s="2">
        <v>0</v>
      </c>
      <c r="J58" s="2">
        <v>1</v>
      </c>
      <c r="K58" s="2">
        <v>0</v>
      </c>
      <c r="L58" s="3" t="s">
        <v>80</v>
      </c>
      <c r="O58" s="4">
        <v>4</v>
      </c>
      <c r="P58" s="4" t="s">
        <v>112</v>
      </c>
      <c r="Q58" s="4"/>
      <c r="R58" s="5"/>
      <c r="S58" s="6"/>
      <c r="T58" s="17"/>
      <c r="U58" s="6"/>
      <c r="V58" s="4"/>
      <c r="W58" s="4"/>
      <c r="X58" s="4"/>
      <c r="Y58" s="7">
        <v>4</v>
      </c>
      <c r="Z58" s="8">
        <v>91124</v>
      </c>
      <c r="AA58" s="7" t="s">
        <v>92</v>
      </c>
      <c r="AB58" s="7"/>
      <c r="AC58" s="9">
        <v>4</v>
      </c>
      <c r="AD58" s="10">
        <v>91124</v>
      </c>
      <c r="AE58" s="9" t="s">
        <v>92</v>
      </c>
      <c r="AF58" s="9"/>
      <c r="AG58" s="11">
        <v>2</v>
      </c>
      <c r="AH58" s="11" t="s">
        <v>93</v>
      </c>
      <c r="AI58" s="11" t="s">
        <v>445</v>
      </c>
      <c r="AJ58" s="11"/>
      <c r="AK58" s="11"/>
      <c r="AL58" s="12">
        <v>2</v>
      </c>
      <c r="AM58" s="12" t="s">
        <v>93</v>
      </c>
      <c r="AN58" s="12" t="s">
        <v>446</v>
      </c>
      <c r="AO58" s="12"/>
      <c r="AP58" s="12"/>
      <c r="AQ58" s="4">
        <v>2</v>
      </c>
      <c r="AR58" s="4" t="s">
        <v>441</v>
      </c>
      <c r="AS58" s="4" t="s">
        <v>447</v>
      </c>
      <c r="AT58" s="13"/>
      <c r="AU58" s="13"/>
      <c r="AV58" s="13"/>
      <c r="AW58" s="13"/>
      <c r="AX58" s="4"/>
      <c r="AY58" s="13"/>
      <c r="AZ58" s="13"/>
      <c r="BA58" s="13"/>
      <c r="BB58" s="13"/>
      <c r="BC58" s="4"/>
      <c r="BD58" s="4"/>
      <c r="BE58" s="4"/>
      <c r="BF58" s="13"/>
      <c r="BG58" s="4"/>
      <c r="BH58" s="13"/>
      <c r="BI58" s="13"/>
      <c r="BJ58" s="4"/>
      <c r="BK58" s="14">
        <v>12</v>
      </c>
      <c r="BL58" s="14">
        <v>12</v>
      </c>
      <c r="BM58" s="14">
        <v>12</v>
      </c>
      <c r="BP58" s="15"/>
      <c r="BQ58" s="15"/>
      <c r="BR58" s="2" t="s">
        <v>108</v>
      </c>
      <c r="BS58" s="2" t="s">
        <v>108</v>
      </c>
      <c r="BT58" s="7" t="s">
        <v>109</v>
      </c>
      <c r="BU58" s="7"/>
      <c r="BV58" s="9" t="s">
        <v>109</v>
      </c>
      <c r="BW58" s="9"/>
    </row>
    <row r="59" spans="1:75" ht="14.25" customHeight="1" x14ac:dyDescent="0.25">
      <c r="A59" s="1">
        <v>102</v>
      </c>
      <c r="B59" s="1" t="s">
        <v>448</v>
      </c>
      <c r="C59" s="1" t="s">
        <v>449</v>
      </c>
      <c r="D59" s="1" t="s">
        <v>77</v>
      </c>
      <c r="E59" s="1" t="s">
        <v>390</v>
      </c>
      <c r="F59" s="1" t="s">
        <v>420</v>
      </c>
      <c r="G59" s="1"/>
      <c r="H59" s="2">
        <v>1</v>
      </c>
      <c r="I59" s="2">
        <v>1</v>
      </c>
      <c r="J59" s="2">
        <v>1</v>
      </c>
      <c r="K59" s="2">
        <v>1</v>
      </c>
      <c r="L59" s="3" t="s">
        <v>80</v>
      </c>
      <c r="O59" s="4">
        <v>2</v>
      </c>
      <c r="P59" s="4" t="s">
        <v>450</v>
      </c>
      <c r="Q59" s="4" t="s">
        <v>451</v>
      </c>
      <c r="R59" s="16">
        <v>5800000</v>
      </c>
      <c r="S59" s="6">
        <v>5800000</v>
      </c>
      <c r="T59" s="16">
        <v>4400000</v>
      </c>
      <c r="U59" s="6">
        <v>4400000</v>
      </c>
      <c r="V59" s="4"/>
      <c r="W59" s="4" t="s">
        <v>452</v>
      </c>
      <c r="X59" s="4" t="s">
        <v>453</v>
      </c>
      <c r="Y59" s="7">
        <v>1</v>
      </c>
      <c r="Z59" s="8">
        <v>4547428</v>
      </c>
      <c r="AA59" s="7" t="s">
        <v>92</v>
      </c>
      <c r="AB59" s="7"/>
      <c r="AC59" s="9">
        <v>1</v>
      </c>
      <c r="AD59" s="10">
        <v>4547428</v>
      </c>
      <c r="AE59" s="9" t="s">
        <v>92</v>
      </c>
      <c r="AF59" s="9"/>
      <c r="AG59" s="11">
        <v>4</v>
      </c>
      <c r="AH59" s="11" t="s">
        <v>454</v>
      </c>
      <c r="AI59" s="11" t="s">
        <v>455</v>
      </c>
      <c r="AJ59" s="11">
        <v>2</v>
      </c>
      <c r="AK59" s="11" t="s">
        <v>132</v>
      </c>
      <c r="AL59" s="12">
        <v>3</v>
      </c>
      <c r="AM59" s="12" t="s">
        <v>131</v>
      </c>
      <c r="AN59" s="12" t="s">
        <v>456</v>
      </c>
      <c r="AO59" s="12">
        <v>2</v>
      </c>
      <c r="AP59" s="12" t="s">
        <v>143</v>
      </c>
      <c r="AQ59" s="4">
        <v>5</v>
      </c>
      <c r="AR59" s="4" t="s">
        <v>133</v>
      </c>
      <c r="AS59" s="4"/>
      <c r="AT59" s="13">
        <v>-84.394950866699205</v>
      </c>
      <c r="AU59" s="13">
        <v>-3.5775341987609899</v>
      </c>
      <c r="AV59" s="13">
        <v>-3.8070020675659202</v>
      </c>
      <c r="AW59" s="13">
        <v>-3.28999996185303</v>
      </c>
      <c r="AX59" s="4">
        <v>1</v>
      </c>
      <c r="AY59" s="13">
        <v>-13.4070491790771</v>
      </c>
      <c r="AZ59" s="13">
        <v>-1.4291422367095901</v>
      </c>
      <c r="BA59" s="13">
        <v>-2.4800000190734899</v>
      </c>
      <c r="BB59" s="13">
        <v>-0.62609899044036899</v>
      </c>
      <c r="BC59" s="4">
        <v>1</v>
      </c>
      <c r="BD59" s="4">
        <v>10</v>
      </c>
      <c r="BE59" s="4" t="s">
        <v>134</v>
      </c>
      <c r="BF59" s="13">
        <v>0.51700198650360096</v>
      </c>
      <c r="BG59" s="4">
        <v>2041.5</v>
      </c>
      <c r="BH59" s="13">
        <v>19.014999389648398</v>
      </c>
      <c r="BI59" s="13">
        <v>38803.3046875</v>
      </c>
      <c r="BJ59" s="4"/>
      <c r="BK59" s="14">
        <v>12</v>
      </c>
      <c r="BL59" s="14">
        <v>11</v>
      </c>
      <c r="BM59" s="14">
        <v>12</v>
      </c>
      <c r="BN59" s="3" t="s">
        <v>302</v>
      </c>
      <c r="BO59" s="3" t="s">
        <v>120</v>
      </c>
      <c r="BP59" s="15"/>
      <c r="BQ59" s="15" t="s">
        <v>146</v>
      </c>
      <c r="BR59" s="2" t="s">
        <v>457</v>
      </c>
      <c r="BS59" s="2" t="s">
        <v>457</v>
      </c>
      <c r="BT59" s="7" t="s">
        <v>458</v>
      </c>
      <c r="BU59" s="7" t="s">
        <v>109</v>
      </c>
      <c r="BV59" s="9" t="s">
        <v>458</v>
      </c>
      <c r="BW59" s="9" t="s">
        <v>109</v>
      </c>
    </row>
    <row r="60" spans="1:75" ht="14.25" customHeight="1" x14ac:dyDescent="0.25">
      <c r="A60" s="1">
        <v>103</v>
      </c>
      <c r="B60" s="1" t="s">
        <v>459</v>
      </c>
      <c r="C60" s="1" t="s">
        <v>460</v>
      </c>
      <c r="D60" s="1" t="s">
        <v>77</v>
      </c>
      <c r="E60" s="1" t="s">
        <v>390</v>
      </c>
      <c r="F60" s="1" t="s">
        <v>420</v>
      </c>
      <c r="G60" s="1"/>
      <c r="H60" s="2">
        <v>0</v>
      </c>
      <c r="I60" s="2">
        <v>0</v>
      </c>
      <c r="J60" s="2">
        <v>1</v>
      </c>
      <c r="K60" s="2">
        <v>1</v>
      </c>
      <c r="L60" s="3" t="s">
        <v>80</v>
      </c>
      <c r="O60" s="4">
        <v>4</v>
      </c>
      <c r="P60" s="4" t="s">
        <v>101</v>
      </c>
      <c r="Q60" s="4" t="s">
        <v>461</v>
      </c>
      <c r="R60" s="5"/>
      <c r="S60" s="6"/>
      <c r="T60" s="17"/>
      <c r="U60" s="6"/>
      <c r="V60" s="4"/>
      <c r="W60" s="4"/>
      <c r="X60" s="4"/>
      <c r="Y60" s="7">
        <v>4</v>
      </c>
      <c r="Z60" s="8">
        <v>109099</v>
      </c>
      <c r="AA60" s="7" t="s">
        <v>92</v>
      </c>
      <c r="AB60" s="7"/>
      <c r="AC60" s="9">
        <v>4</v>
      </c>
      <c r="AD60" s="10">
        <v>109099</v>
      </c>
      <c r="AE60" s="9" t="s">
        <v>92</v>
      </c>
      <c r="AF60" s="9"/>
      <c r="AG60" s="11">
        <v>3</v>
      </c>
      <c r="AH60" s="11" t="s">
        <v>93</v>
      </c>
      <c r="AI60" s="11" t="s">
        <v>393</v>
      </c>
      <c r="AJ60" s="11"/>
      <c r="AK60" s="11"/>
      <c r="AL60" s="12">
        <v>3</v>
      </c>
      <c r="AM60" s="12" t="s">
        <v>93</v>
      </c>
      <c r="AN60" s="12" t="s">
        <v>462</v>
      </c>
      <c r="AO60" s="12"/>
      <c r="AP60" s="12"/>
      <c r="AQ60" s="4">
        <v>3</v>
      </c>
      <c r="AR60" s="4" t="s">
        <v>83</v>
      </c>
      <c r="AS60" s="4"/>
      <c r="AT60" s="13"/>
      <c r="AU60" s="13"/>
      <c r="AV60" s="13"/>
      <c r="AW60" s="13"/>
      <c r="AX60" s="4"/>
      <c r="AY60" s="13"/>
      <c r="AZ60" s="13"/>
      <c r="BA60" s="13"/>
      <c r="BB60" s="13"/>
      <c r="BC60" s="4"/>
      <c r="BD60" s="4"/>
      <c r="BE60" s="4"/>
      <c r="BF60" s="13"/>
      <c r="BG60" s="4"/>
      <c r="BH60" s="13"/>
      <c r="BI60" s="13"/>
      <c r="BJ60" s="4"/>
      <c r="BK60" s="14">
        <v>14</v>
      </c>
      <c r="BL60" s="14">
        <v>14</v>
      </c>
      <c r="BM60" s="14">
        <v>14</v>
      </c>
      <c r="BN60" s="3" t="s">
        <v>86</v>
      </c>
      <c r="BP60" s="15"/>
      <c r="BQ60" s="15" t="s">
        <v>146</v>
      </c>
      <c r="BR60" s="2" t="s">
        <v>108</v>
      </c>
      <c r="BS60" s="2" t="s">
        <v>108</v>
      </c>
      <c r="BT60" s="7" t="s">
        <v>109</v>
      </c>
      <c r="BU60" s="7" t="s">
        <v>463</v>
      </c>
      <c r="BV60" s="9" t="s">
        <v>109</v>
      </c>
      <c r="BW60" s="9" t="s">
        <v>463</v>
      </c>
    </row>
    <row r="61" spans="1:75" ht="14.25" customHeight="1" x14ac:dyDescent="0.25">
      <c r="A61" s="1">
        <v>104</v>
      </c>
      <c r="B61" s="1" t="s">
        <v>464</v>
      </c>
      <c r="C61" s="1" t="s">
        <v>465</v>
      </c>
      <c r="D61" s="1" t="s">
        <v>77</v>
      </c>
      <c r="E61" s="1" t="s">
        <v>390</v>
      </c>
      <c r="F61" s="1" t="s">
        <v>420</v>
      </c>
      <c r="G61" s="1"/>
      <c r="H61" s="2">
        <v>0</v>
      </c>
      <c r="I61" s="2">
        <v>0</v>
      </c>
      <c r="J61" s="2">
        <v>0</v>
      </c>
      <c r="K61" s="2">
        <v>1</v>
      </c>
      <c r="L61" s="3" t="s">
        <v>80</v>
      </c>
      <c r="O61" s="4">
        <v>2</v>
      </c>
      <c r="P61" s="4" t="s">
        <v>81</v>
      </c>
      <c r="Q61" s="4"/>
      <c r="R61" s="5"/>
      <c r="S61" s="6"/>
      <c r="T61" s="17"/>
      <c r="U61" s="6"/>
      <c r="V61" s="4"/>
      <c r="W61" s="4"/>
      <c r="X61" s="4"/>
      <c r="Y61" s="7">
        <v>2</v>
      </c>
      <c r="Z61" s="8">
        <v>2015150</v>
      </c>
      <c r="AA61" s="7" t="s">
        <v>82</v>
      </c>
      <c r="AB61" s="7"/>
      <c r="AC61" s="9">
        <v>2</v>
      </c>
      <c r="AD61" s="10">
        <v>2015150</v>
      </c>
      <c r="AE61" s="9" t="s">
        <v>82</v>
      </c>
      <c r="AF61" s="9"/>
      <c r="AG61" s="11">
        <v>2</v>
      </c>
      <c r="AH61" s="11" t="s">
        <v>83</v>
      </c>
      <c r="AI61" s="11" t="s">
        <v>466</v>
      </c>
      <c r="AJ61" s="11"/>
      <c r="AK61" s="11"/>
      <c r="AL61" s="12">
        <v>2</v>
      </c>
      <c r="AM61" s="12" t="s">
        <v>83</v>
      </c>
      <c r="AN61" s="12"/>
      <c r="AO61" s="12"/>
      <c r="AP61" s="12"/>
      <c r="AQ61" s="4">
        <v>2</v>
      </c>
      <c r="AR61" s="4" t="s">
        <v>83</v>
      </c>
      <c r="AS61" s="4" t="s">
        <v>467</v>
      </c>
      <c r="AT61" s="13"/>
      <c r="AU61" s="13"/>
      <c r="AV61" s="13"/>
      <c r="AW61" s="13"/>
      <c r="AX61" s="4"/>
      <c r="AY61" s="13"/>
      <c r="AZ61" s="13"/>
      <c r="BA61" s="13"/>
      <c r="BB61" s="13"/>
      <c r="BC61" s="4"/>
      <c r="BD61" s="4"/>
      <c r="BE61" s="4"/>
      <c r="BF61" s="13"/>
      <c r="BG61" s="4"/>
      <c r="BH61" s="13"/>
      <c r="BI61" s="13"/>
      <c r="BJ61" s="4"/>
      <c r="BK61" s="14">
        <v>8</v>
      </c>
      <c r="BL61" s="14">
        <v>8</v>
      </c>
      <c r="BM61" s="14">
        <v>8</v>
      </c>
      <c r="BP61" s="15"/>
      <c r="BQ61" s="15"/>
      <c r="BR61" s="2" t="s">
        <v>108</v>
      </c>
      <c r="BS61" s="2" t="s">
        <v>108</v>
      </c>
      <c r="BT61" s="7" t="s">
        <v>458</v>
      </c>
      <c r="BU61" s="7"/>
      <c r="BV61" s="9" t="s">
        <v>458</v>
      </c>
      <c r="BW61" s="9"/>
    </row>
    <row r="62" spans="1:75" ht="14.25" customHeight="1" x14ac:dyDescent="0.25">
      <c r="A62" s="1">
        <v>105</v>
      </c>
      <c r="B62" s="1" t="s">
        <v>468</v>
      </c>
      <c r="C62" s="1" t="s">
        <v>469</v>
      </c>
      <c r="D62" s="1" t="s">
        <v>77</v>
      </c>
      <c r="E62" s="1" t="s">
        <v>390</v>
      </c>
      <c r="F62" s="1" t="s">
        <v>420</v>
      </c>
      <c r="G62" s="1"/>
      <c r="H62" s="2">
        <v>0</v>
      </c>
      <c r="I62" s="2">
        <v>1</v>
      </c>
      <c r="J62" s="2">
        <v>1</v>
      </c>
      <c r="K62" s="2">
        <v>0</v>
      </c>
      <c r="L62" s="3" t="s">
        <v>80</v>
      </c>
      <c r="O62" s="4">
        <v>2</v>
      </c>
      <c r="P62" s="4" t="s">
        <v>470</v>
      </c>
      <c r="Q62" s="4"/>
      <c r="R62" s="16">
        <v>5100000</v>
      </c>
      <c r="S62" s="6">
        <v>5100000</v>
      </c>
      <c r="T62" s="16">
        <v>2400000</v>
      </c>
      <c r="U62" s="6">
        <v>2400000</v>
      </c>
      <c r="V62" s="4">
        <v>2010.5</v>
      </c>
      <c r="W62" s="4" t="s">
        <v>425</v>
      </c>
      <c r="X62" s="4"/>
      <c r="Y62" s="7">
        <v>2</v>
      </c>
      <c r="Z62" s="8">
        <v>1414450</v>
      </c>
      <c r="AA62" s="7" t="s">
        <v>92</v>
      </c>
      <c r="AB62" s="7"/>
      <c r="AC62" s="9">
        <v>2</v>
      </c>
      <c r="AD62" s="10">
        <v>1414450</v>
      </c>
      <c r="AE62" s="9" t="s">
        <v>92</v>
      </c>
      <c r="AF62" s="9"/>
      <c r="AG62" s="11">
        <v>3</v>
      </c>
      <c r="AH62" s="11" t="s">
        <v>471</v>
      </c>
      <c r="AI62" s="11" t="s">
        <v>472</v>
      </c>
      <c r="AJ62" s="11">
        <v>2</v>
      </c>
      <c r="AK62" s="11" t="s">
        <v>132</v>
      </c>
      <c r="AL62" s="12">
        <v>3</v>
      </c>
      <c r="AM62" s="12" t="s">
        <v>471</v>
      </c>
      <c r="AN62" s="12" t="s">
        <v>473</v>
      </c>
      <c r="AO62" s="12">
        <v>2</v>
      </c>
      <c r="AP62" s="12" t="s">
        <v>132</v>
      </c>
      <c r="AQ62" s="4">
        <v>3</v>
      </c>
      <c r="AR62" s="4" t="s">
        <v>133</v>
      </c>
      <c r="AS62" s="4"/>
      <c r="AT62" s="13">
        <v>-63.001255035400398</v>
      </c>
      <c r="AU62" s="13">
        <v>-1.92863404750824</v>
      </c>
      <c r="AV62" s="13">
        <v>-3.3399999141693102</v>
      </c>
      <c r="AW62" s="13">
        <v>-0.80100297927856401</v>
      </c>
      <c r="AX62" s="4">
        <v>1</v>
      </c>
      <c r="AY62" s="13">
        <v>56.180145263671903</v>
      </c>
      <c r="AZ62" s="13">
        <v>4.5594778060913104</v>
      </c>
      <c r="BA62" s="13">
        <v>0.33899998664856001</v>
      </c>
      <c r="BB62" s="13">
        <v>8.1748008728027308</v>
      </c>
      <c r="BC62" s="4">
        <v>1</v>
      </c>
      <c r="BD62" s="4">
        <v>10</v>
      </c>
      <c r="BE62" s="4" t="s">
        <v>134</v>
      </c>
      <c r="BF62" s="13">
        <v>2.5389969348907502</v>
      </c>
      <c r="BG62" s="4">
        <v>209</v>
      </c>
      <c r="BH62" s="13">
        <v>7.5999999046325701</v>
      </c>
      <c r="BI62" s="13">
        <v>1588.40002441406</v>
      </c>
      <c r="BJ62" s="4"/>
      <c r="BK62" s="14">
        <v>10</v>
      </c>
      <c r="BL62" s="14">
        <v>10</v>
      </c>
      <c r="BM62" s="14">
        <v>10</v>
      </c>
      <c r="BN62" s="3" t="s">
        <v>302</v>
      </c>
      <c r="BP62" s="15"/>
      <c r="BQ62" s="15" t="s">
        <v>146</v>
      </c>
      <c r="BR62" s="2" t="s">
        <v>297</v>
      </c>
      <c r="BS62" s="2" t="s">
        <v>297</v>
      </c>
      <c r="BT62" s="7" t="s">
        <v>474</v>
      </c>
      <c r="BU62" s="7" t="s">
        <v>475</v>
      </c>
      <c r="BV62" s="9" t="s">
        <v>474</v>
      </c>
      <c r="BW62" s="9" t="s">
        <v>475</v>
      </c>
    </row>
    <row r="63" spans="1:75" ht="14.25" customHeight="1" x14ac:dyDescent="0.25">
      <c r="A63" s="1">
        <v>106</v>
      </c>
      <c r="B63" s="1" t="s">
        <v>476</v>
      </c>
      <c r="C63" s="1" t="s">
        <v>477</v>
      </c>
      <c r="D63" s="1" t="s">
        <v>77</v>
      </c>
      <c r="E63" s="1" t="s">
        <v>390</v>
      </c>
      <c r="F63" s="1" t="s">
        <v>420</v>
      </c>
      <c r="G63" s="1"/>
      <c r="H63" s="2">
        <v>0</v>
      </c>
      <c r="I63" s="2">
        <v>0</v>
      </c>
      <c r="J63" s="2">
        <v>1</v>
      </c>
      <c r="K63" s="2">
        <v>0</v>
      </c>
      <c r="L63" s="3" t="s">
        <v>80</v>
      </c>
      <c r="O63" s="4">
        <v>4</v>
      </c>
      <c r="P63" s="4" t="s">
        <v>112</v>
      </c>
      <c r="Q63" s="4"/>
      <c r="R63" s="5"/>
      <c r="S63" s="6"/>
      <c r="T63" s="17"/>
      <c r="U63" s="6"/>
      <c r="V63" s="4"/>
      <c r="W63" s="4"/>
      <c r="X63" s="4"/>
      <c r="Y63" s="7">
        <v>4</v>
      </c>
      <c r="Z63" s="8">
        <v>119208</v>
      </c>
      <c r="AA63" s="7" t="s">
        <v>92</v>
      </c>
      <c r="AB63" s="7"/>
      <c r="AC63" s="9">
        <v>4</v>
      </c>
      <c r="AD63" s="10">
        <v>119208</v>
      </c>
      <c r="AE63" s="9" t="s">
        <v>92</v>
      </c>
      <c r="AF63" s="9"/>
      <c r="AG63" s="11">
        <v>3</v>
      </c>
      <c r="AH63" s="11" t="s">
        <v>93</v>
      </c>
      <c r="AI63" s="11" t="s">
        <v>393</v>
      </c>
      <c r="AJ63" s="11"/>
      <c r="AK63" s="11"/>
      <c r="AL63" s="12">
        <v>3</v>
      </c>
      <c r="AM63" s="12" t="s">
        <v>93</v>
      </c>
      <c r="AN63" s="12" t="s">
        <v>478</v>
      </c>
      <c r="AO63" s="12"/>
      <c r="AP63" s="12"/>
      <c r="AQ63" s="4">
        <v>3</v>
      </c>
      <c r="AR63" s="4" t="s">
        <v>93</v>
      </c>
      <c r="AS63" s="4"/>
      <c r="AT63" s="13"/>
      <c r="AU63" s="13"/>
      <c r="AV63" s="13"/>
      <c r="AW63" s="13"/>
      <c r="AX63" s="4"/>
      <c r="AY63" s="13"/>
      <c r="AZ63" s="13"/>
      <c r="BA63" s="13"/>
      <c r="BB63" s="13"/>
      <c r="BC63" s="4"/>
      <c r="BD63" s="4"/>
      <c r="BE63" s="4"/>
      <c r="BF63" s="13"/>
      <c r="BG63" s="4"/>
      <c r="BH63" s="13"/>
      <c r="BI63" s="13"/>
      <c r="BJ63" s="4"/>
      <c r="BK63" s="14">
        <v>14</v>
      </c>
      <c r="BL63" s="14">
        <v>14</v>
      </c>
      <c r="BM63" s="14">
        <v>14</v>
      </c>
      <c r="BN63" s="3" t="s">
        <v>86</v>
      </c>
      <c r="BP63" s="15"/>
      <c r="BQ63" s="15" t="s">
        <v>146</v>
      </c>
      <c r="BR63" s="2" t="s">
        <v>108</v>
      </c>
      <c r="BS63" s="2" t="s">
        <v>108</v>
      </c>
      <c r="BT63" s="7" t="s">
        <v>109</v>
      </c>
      <c r="BU63" s="7" t="s">
        <v>475</v>
      </c>
      <c r="BV63" s="9" t="s">
        <v>109</v>
      </c>
      <c r="BW63" s="9" t="s">
        <v>475</v>
      </c>
    </row>
    <row r="64" spans="1:75" ht="14.25" customHeight="1" x14ac:dyDescent="0.25">
      <c r="A64" s="1">
        <v>107</v>
      </c>
      <c r="B64" s="1" t="s">
        <v>479</v>
      </c>
      <c r="C64" s="1" t="s">
        <v>480</v>
      </c>
      <c r="D64" s="1" t="s">
        <v>77</v>
      </c>
      <c r="E64" s="1" t="s">
        <v>390</v>
      </c>
      <c r="F64" s="1" t="s">
        <v>420</v>
      </c>
      <c r="G64" s="1"/>
      <c r="H64" s="2">
        <v>1</v>
      </c>
      <c r="I64" s="2">
        <v>1</v>
      </c>
      <c r="J64" s="2">
        <v>1</v>
      </c>
      <c r="K64" s="2">
        <v>0</v>
      </c>
      <c r="L64" s="3" t="s">
        <v>80</v>
      </c>
      <c r="O64" s="4">
        <v>2</v>
      </c>
      <c r="P64" s="4" t="s">
        <v>424</v>
      </c>
      <c r="Q64" s="4"/>
      <c r="R64" s="16">
        <v>5800000</v>
      </c>
      <c r="S64" s="6">
        <v>5800000</v>
      </c>
      <c r="T64" s="16">
        <v>3400000</v>
      </c>
      <c r="U64" s="6">
        <v>3400000</v>
      </c>
      <c r="V64" s="4">
        <v>2010.5</v>
      </c>
      <c r="W64" s="4" t="s">
        <v>425</v>
      </c>
      <c r="X64" s="4"/>
      <c r="Y64" s="7">
        <v>2</v>
      </c>
      <c r="Z64" s="8">
        <v>1264999</v>
      </c>
      <c r="AA64" s="7" t="s">
        <v>92</v>
      </c>
      <c r="AB64" s="7"/>
      <c r="AC64" s="9">
        <v>2</v>
      </c>
      <c r="AD64" s="10">
        <v>1264999</v>
      </c>
      <c r="AE64" s="9" t="s">
        <v>92</v>
      </c>
      <c r="AF64" s="9" t="s">
        <v>481</v>
      </c>
      <c r="AG64" s="11">
        <v>2</v>
      </c>
      <c r="AH64" s="11" t="s">
        <v>131</v>
      </c>
      <c r="AI64" s="11" t="s">
        <v>482</v>
      </c>
      <c r="AJ64" s="11">
        <v>2</v>
      </c>
      <c r="AK64" s="11" t="s">
        <v>143</v>
      </c>
      <c r="AL64" s="12">
        <v>3</v>
      </c>
      <c r="AM64" s="12" t="s">
        <v>131</v>
      </c>
      <c r="AN64" s="12" t="s">
        <v>483</v>
      </c>
      <c r="AO64" s="12">
        <v>4</v>
      </c>
      <c r="AP64" s="12" t="s">
        <v>143</v>
      </c>
      <c r="AQ64" s="4">
        <v>2</v>
      </c>
      <c r="AR64" s="4" t="s">
        <v>133</v>
      </c>
      <c r="AS64" s="4"/>
      <c r="AT64" s="13">
        <v>44.835170745849602</v>
      </c>
      <c r="AU64" s="13">
        <v>0.72858202457428001</v>
      </c>
      <c r="AV64" s="13">
        <v>0.29499998688697798</v>
      </c>
      <c r="AW64" s="13">
        <v>1.0599999427795399</v>
      </c>
      <c r="AX64" s="4">
        <v>1</v>
      </c>
      <c r="AY64" s="13">
        <v>-5.6100640445947599E-2</v>
      </c>
      <c r="AZ64" s="13">
        <v>-5.8698900975287004E-3</v>
      </c>
      <c r="BA64" s="13">
        <v>-1.4845010042190601</v>
      </c>
      <c r="BB64" s="13">
        <v>1.8999999761581401</v>
      </c>
      <c r="BC64" s="4"/>
      <c r="BD64" s="4">
        <v>10</v>
      </c>
      <c r="BE64" s="4" t="s">
        <v>134</v>
      </c>
      <c r="BF64" s="13">
        <v>0.76499998569488503</v>
      </c>
      <c r="BG64" s="4">
        <v>460</v>
      </c>
      <c r="BH64" s="13">
        <v>4.8550000190734899</v>
      </c>
      <c r="BI64" s="13">
        <v>2232.294921875</v>
      </c>
      <c r="BJ64" s="4"/>
      <c r="BK64" s="14">
        <v>8</v>
      </c>
      <c r="BL64" s="14">
        <v>9</v>
      </c>
      <c r="BM64" s="14">
        <v>9</v>
      </c>
      <c r="BP64" s="15" t="s">
        <v>135</v>
      </c>
      <c r="BQ64" s="15"/>
      <c r="BR64" s="2" t="s">
        <v>162</v>
      </c>
      <c r="BS64" s="2" t="s">
        <v>162</v>
      </c>
      <c r="BT64" s="7" t="s">
        <v>429</v>
      </c>
      <c r="BU64" s="7"/>
      <c r="BV64" s="9" t="s">
        <v>429</v>
      </c>
      <c r="BW64" s="9"/>
    </row>
    <row r="65" spans="1:75" ht="14.25" customHeight="1" x14ac:dyDescent="0.25">
      <c r="A65" s="1">
        <v>108</v>
      </c>
      <c r="B65" s="1" t="s">
        <v>484</v>
      </c>
      <c r="C65" s="1" t="s">
        <v>485</v>
      </c>
      <c r="D65" s="1" t="s">
        <v>77</v>
      </c>
      <c r="E65" s="1" t="s">
        <v>390</v>
      </c>
      <c r="F65" s="1" t="s">
        <v>420</v>
      </c>
      <c r="G65" s="1"/>
      <c r="H65" s="2">
        <v>0</v>
      </c>
      <c r="I65" s="2">
        <v>1</v>
      </c>
      <c r="J65" s="2">
        <v>1</v>
      </c>
      <c r="K65" s="2">
        <v>0</v>
      </c>
      <c r="L65" s="3" t="s">
        <v>80</v>
      </c>
      <c r="O65" s="4">
        <v>2</v>
      </c>
      <c r="P65" s="4" t="s">
        <v>424</v>
      </c>
      <c r="Q65" s="4"/>
      <c r="R65" s="16">
        <v>5800000</v>
      </c>
      <c r="S65" s="6">
        <v>5800000</v>
      </c>
      <c r="T65" s="16">
        <v>5200000</v>
      </c>
      <c r="U65" s="6">
        <v>5200000</v>
      </c>
      <c r="V65" s="4">
        <v>2010.5</v>
      </c>
      <c r="W65" s="4" t="s">
        <v>425</v>
      </c>
      <c r="X65" s="4"/>
      <c r="Y65" s="7">
        <v>3</v>
      </c>
      <c r="Z65" s="8">
        <v>543676</v>
      </c>
      <c r="AA65" s="7" t="s">
        <v>92</v>
      </c>
      <c r="AB65" s="7"/>
      <c r="AC65" s="9">
        <v>3</v>
      </c>
      <c r="AD65" s="10">
        <v>543676</v>
      </c>
      <c r="AE65" s="9" t="s">
        <v>92</v>
      </c>
      <c r="AF65" s="9"/>
      <c r="AG65" s="11">
        <v>2</v>
      </c>
      <c r="AH65" s="11" t="s">
        <v>131</v>
      </c>
      <c r="AI65" s="11" t="s">
        <v>486</v>
      </c>
      <c r="AJ65" s="11">
        <v>2</v>
      </c>
      <c r="AK65" s="11" t="s">
        <v>132</v>
      </c>
      <c r="AL65" s="12">
        <v>2</v>
      </c>
      <c r="AM65" s="12" t="s">
        <v>131</v>
      </c>
      <c r="AN65" s="12"/>
      <c r="AO65" s="12">
        <v>2</v>
      </c>
      <c r="AP65" s="12" t="s">
        <v>132</v>
      </c>
      <c r="AQ65" s="4">
        <v>3</v>
      </c>
      <c r="AR65" s="4" t="s">
        <v>133</v>
      </c>
      <c r="AS65" s="4"/>
      <c r="AT65" s="13">
        <v>-14.8151550292969</v>
      </c>
      <c r="AU65" s="13">
        <v>-0.313848227262497</v>
      </c>
      <c r="AV65" s="13">
        <v>-1.3388990163803101</v>
      </c>
      <c r="AW65" s="13">
        <v>0.51200002431869496</v>
      </c>
      <c r="AX65" s="4"/>
      <c r="AY65" s="13">
        <v>-0.66416734457016002</v>
      </c>
      <c r="AZ65" s="13">
        <v>-6.6368043422699002E-2</v>
      </c>
      <c r="BA65" s="13">
        <v>-2.4300000667571999</v>
      </c>
      <c r="BB65" s="13">
        <v>2.7896049022674601</v>
      </c>
      <c r="BC65" s="4"/>
      <c r="BD65" s="4">
        <v>10</v>
      </c>
      <c r="BE65" s="4" t="s">
        <v>134</v>
      </c>
      <c r="BF65" s="13">
        <v>1.8508989810943599</v>
      </c>
      <c r="BG65" s="4">
        <v>157.5</v>
      </c>
      <c r="BH65" s="13">
        <v>10.960000038146999</v>
      </c>
      <c r="BI65" s="13">
        <v>1723.67004394531</v>
      </c>
      <c r="BJ65" s="4"/>
      <c r="BK65" s="14">
        <v>10</v>
      </c>
      <c r="BL65" s="14">
        <v>10</v>
      </c>
      <c r="BM65" s="14">
        <v>10</v>
      </c>
      <c r="BP65" s="15" t="s">
        <v>135</v>
      </c>
      <c r="BQ65" s="15"/>
      <c r="BR65" s="2" t="s">
        <v>297</v>
      </c>
      <c r="BS65" s="2" t="s">
        <v>297</v>
      </c>
      <c r="BT65" s="7" t="s">
        <v>475</v>
      </c>
      <c r="BU65" s="7" t="s">
        <v>487</v>
      </c>
      <c r="BV65" s="9" t="s">
        <v>475</v>
      </c>
      <c r="BW65" s="9" t="s">
        <v>487</v>
      </c>
    </row>
    <row r="66" spans="1:75" ht="14.25" customHeight="1" x14ac:dyDescent="0.25">
      <c r="A66" s="1">
        <v>109</v>
      </c>
      <c r="B66" s="1" t="s">
        <v>488</v>
      </c>
      <c r="C66" s="1" t="s">
        <v>489</v>
      </c>
      <c r="D66" s="1" t="s">
        <v>77</v>
      </c>
      <c r="E66" s="1" t="s">
        <v>390</v>
      </c>
      <c r="F66" s="1" t="s">
        <v>420</v>
      </c>
      <c r="G66" s="1"/>
      <c r="H66" s="2">
        <v>0</v>
      </c>
      <c r="I66" s="2">
        <v>1</v>
      </c>
      <c r="J66" s="2">
        <v>1</v>
      </c>
      <c r="K66" s="2">
        <v>0</v>
      </c>
      <c r="L66" s="3" t="s">
        <v>80</v>
      </c>
      <c r="O66" s="4">
        <v>3</v>
      </c>
      <c r="P66" s="4" t="s">
        <v>490</v>
      </c>
      <c r="Q66" s="4" t="s">
        <v>491</v>
      </c>
      <c r="R66" s="16">
        <v>1500000</v>
      </c>
      <c r="S66" s="6">
        <v>1500000</v>
      </c>
      <c r="T66" s="16">
        <v>300000</v>
      </c>
      <c r="U66" s="6">
        <v>300000</v>
      </c>
      <c r="V66" s="4"/>
      <c r="W66" s="4" t="s">
        <v>492</v>
      </c>
      <c r="X66" s="4" t="s">
        <v>491</v>
      </c>
      <c r="Y66" s="7">
        <v>3</v>
      </c>
      <c r="Z66" s="8">
        <v>688899</v>
      </c>
      <c r="AA66" s="7" t="s">
        <v>92</v>
      </c>
      <c r="AB66" s="7"/>
      <c r="AC66" s="9">
        <v>3</v>
      </c>
      <c r="AD66" s="10">
        <v>688899</v>
      </c>
      <c r="AE66" s="9" t="s">
        <v>92</v>
      </c>
      <c r="AF66" s="9"/>
      <c r="AG66" s="11">
        <v>4</v>
      </c>
      <c r="AH66" s="11" t="s">
        <v>131</v>
      </c>
      <c r="AI66" s="11" t="s">
        <v>493</v>
      </c>
      <c r="AJ66" s="11">
        <v>5</v>
      </c>
      <c r="AK66" s="11" t="s">
        <v>143</v>
      </c>
      <c r="AL66" s="12">
        <v>3</v>
      </c>
      <c r="AM66" s="12" t="s">
        <v>131</v>
      </c>
      <c r="AN66" s="12" t="s">
        <v>494</v>
      </c>
      <c r="AO66" s="12">
        <v>3</v>
      </c>
      <c r="AP66" s="12" t="s">
        <v>132</v>
      </c>
      <c r="AQ66" s="4">
        <v>4</v>
      </c>
      <c r="AR66" s="4" t="s">
        <v>93</v>
      </c>
      <c r="AS66" s="4"/>
      <c r="AT66" s="13"/>
      <c r="AU66" s="13"/>
      <c r="AV66" s="13"/>
      <c r="AW66" s="13"/>
      <c r="AX66" s="4"/>
      <c r="AY66" s="13"/>
      <c r="AZ66" s="13"/>
      <c r="BA66" s="13"/>
      <c r="BB66" s="13"/>
      <c r="BC66" s="4"/>
      <c r="BD66" s="4"/>
      <c r="BE66" s="4"/>
      <c r="BF66" s="13"/>
      <c r="BG66" s="4"/>
      <c r="BH66" s="13"/>
      <c r="BI66" s="13"/>
      <c r="BJ66" s="4"/>
      <c r="BK66" s="14">
        <v>14</v>
      </c>
      <c r="BL66" s="14">
        <v>13</v>
      </c>
      <c r="BM66" s="14">
        <v>14</v>
      </c>
      <c r="BN66" s="3" t="s">
        <v>86</v>
      </c>
      <c r="BP66" s="15"/>
      <c r="BQ66" s="15"/>
      <c r="BR66" s="2" t="s">
        <v>409</v>
      </c>
      <c r="BS66" s="2" t="s">
        <v>409</v>
      </c>
      <c r="BT66" s="7" t="s">
        <v>438</v>
      </c>
      <c r="BU66" s="7" t="s">
        <v>463</v>
      </c>
      <c r="BV66" s="9" t="s">
        <v>438</v>
      </c>
      <c r="BW66" s="9" t="s">
        <v>463</v>
      </c>
    </row>
    <row r="67" spans="1:75" ht="14.25" customHeight="1" x14ac:dyDescent="0.25">
      <c r="A67" s="1">
        <v>115</v>
      </c>
      <c r="B67" s="1" t="s">
        <v>495</v>
      </c>
      <c r="C67" s="1" t="s">
        <v>496</v>
      </c>
      <c r="D67" s="1" t="s">
        <v>77</v>
      </c>
      <c r="E67" s="1" t="s">
        <v>390</v>
      </c>
      <c r="F67" s="1" t="s">
        <v>420</v>
      </c>
      <c r="G67" s="1" t="s">
        <v>118</v>
      </c>
      <c r="H67" s="2">
        <v>0</v>
      </c>
      <c r="I67" s="2">
        <v>0</v>
      </c>
      <c r="J67" s="2">
        <v>0</v>
      </c>
      <c r="K67" s="2">
        <v>1</v>
      </c>
      <c r="L67" s="3" t="s">
        <v>80</v>
      </c>
      <c r="O67" s="4">
        <v>4</v>
      </c>
      <c r="P67" s="4" t="s">
        <v>81</v>
      </c>
      <c r="Q67" s="4"/>
      <c r="R67" s="5"/>
      <c r="S67" s="6"/>
      <c r="T67" s="17"/>
      <c r="U67" s="6"/>
      <c r="V67" s="4"/>
      <c r="W67" s="4"/>
      <c r="X67" s="4"/>
      <c r="Y67" s="7">
        <v>5</v>
      </c>
      <c r="Z67" s="8">
        <v>9517</v>
      </c>
      <c r="AA67" s="7" t="s">
        <v>82</v>
      </c>
      <c r="AB67" s="7"/>
      <c r="AC67" s="9">
        <v>5</v>
      </c>
      <c r="AD67" s="10">
        <v>9517</v>
      </c>
      <c r="AE67" s="9" t="s">
        <v>82</v>
      </c>
      <c r="AF67" s="9"/>
      <c r="AG67" s="11">
        <v>4</v>
      </c>
      <c r="AH67" s="11" t="s">
        <v>83</v>
      </c>
      <c r="AI67" s="11" t="s">
        <v>497</v>
      </c>
      <c r="AJ67" s="11"/>
      <c r="AK67" s="11"/>
      <c r="AL67" s="12">
        <v>4</v>
      </c>
      <c r="AM67" s="12" t="s">
        <v>83</v>
      </c>
      <c r="AN67" s="12"/>
      <c r="AO67" s="12"/>
      <c r="AP67" s="12"/>
      <c r="AQ67" s="4">
        <v>4</v>
      </c>
      <c r="AR67" s="4" t="s">
        <v>83</v>
      </c>
      <c r="AS67" s="4"/>
      <c r="AT67" s="13"/>
      <c r="AU67" s="13"/>
      <c r="AV67" s="13"/>
      <c r="AW67" s="13"/>
      <c r="AX67" s="4"/>
      <c r="AY67" s="13"/>
      <c r="AZ67" s="13"/>
      <c r="BA67" s="13"/>
      <c r="BB67" s="13"/>
      <c r="BC67" s="4"/>
      <c r="BD67" s="4"/>
      <c r="BE67" s="4"/>
      <c r="BF67" s="13"/>
      <c r="BG67" s="4"/>
      <c r="BH67" s="13"/>
      <c r="BI67" s="13"/>
      <c r="BJ67" s="4"/>
      <c r="BK67" s="14">
        <v>17</v>
      </c>
      <c r="BL67" s="14">
        <v>17</v>
      </c>
      <c r="BM67" s="14">
        <v>17</v>
      </c>
      <c r="BN67" s="3" t="s">
        <v>312</v>
      </c>
      <c r="BP67" s="15"/>
      <c r="BQ67" s="15"/>
      <c r="BR67" s="2" t="s">
        <v>87</v>
      </c>
      <c r="BS67" s="2" t="s">
        <v>87</v>
      </c>
      <c r="BT67" s="7" t="s">
        <v>88</v>
      </c>
      <c r="BU67" s="7"/>
      <c r="BV67" s="9" t="s">
        <v>88</v>
      </c>
      <c r="BW67" s="9"/>
    </row>
    <row r="68" spans="1:75" ht="14.25" customHeight="1" x14ac:dyDescent="0.25">
      <c r="A68" s="1">
        <v>116</v>
      </c>
      <c r="B68" s="1" t="s">
        <v>498</v>
      </c>
      <c r="C68" s="1" t="s">
        <v>499</v>
      </c>
      <c r="D68" s="1" t="s">
        <v>77</v>
      </c>
      <c r="E68" s="1" t="s">
        <v>390</v>
      </c>
      <c r="F68" s="1" t="s">
        <v>420</v>
      </c>
      <c r="G68" s="1" t="s">
        <v>118</v>
      </c>
      <c r="H68" s="2">
        <v>0</v>
      </c>
      <c r="I68" s="2">
        <v>0</v>
      </c>
      <c r="J68" s="2">
        <v>1</v>
      </c>
      <c r="K68" s="2">
        <v>1</v>
      </c>
      <c r="L68" s="3" t="s">
        <v>80</v>
      </c>
      <c r="O68" s="4">
        <v>4</v>
      </c>
      <c r="P68" s="4" t="s">
        <v>81</v>
      </c>
      <c r="Q68" s="4" t="s">
        <v>500</v>
      </c>
      <c r="R68" s="5"/>
      <c r="S68" s="6"/>
      <c r="T68" s="17"/>
      <c r="U68" s="6"/>
      <c r="V68" s="4"/>
      <c r="W68" s="4"/>
      <c r="X68" s="4"/>
      <c r="Y68" s="7">
        <v>3</v>
      </c>
      <c r="Z68" s="8">
        <v>339900</v>
      </c>
      <c r="AA68" s="7" t="s">
        <v>92</v>
      </c>
      <c r="AB68" s="7"/>
      <c r="AC68" s="9">
        <v>3</v>
      </c>
      <c r="AD68" s="10">
        <v>339900</v>
      </c>
      <c r="AE68" s="9" t="s">
        <v>92</v>
      </c>
      <c r="AF68" s="9"/>
      <c r="AG68" s="11">
        <v>4</v>
      </c>
      <c r="AH68" s="11" t="s">
        <v>93</v>
      </c>
      <c r="AI68" s="11"/>
      <c r="AJ68" s="11"/>
      <c r="AK68" s="11"/>
      <c r="AL68" s="12">
        <v>4</v>
      </c>
      <c r="AM68" s="12" t="s">
        <v>93</v>
      </c>
      <c r="AN68" s="12" t="s">
        <v>501</v>
      </c>
      <c r="AO68" s="12"/>
      <c r="AP68" s="12"/>
      <c r="AQ68" s="4">
        <v>4</v>
      </c>
      <c r="AR68" s="4" t="s">
        <v>83</v>
      </c>
      <c r="AS68" s="4"/>
      <c r="AT68" s="13"/>
      <c r="AU68" s="13"/>
      <c r="AV68" s="13"/>
      <c r="AW68" s="13"/>
      <c r="AX68" s="4"/>
      <c r="AY68" s="13"/>
      <c r="AZ68" s="13"/>
      <c r="BA68" s="13"/>
      <c r="BB68" s="13"/>
      <c r="BC68" s="4"/>
      <c r="BD68" s="4"/>
      <c r="BE68" s="4"/>
      <c r="BF68" s="13"/>
      <c r="BG68" s="4"/>
      <c r="BH68" s="13"/>
      <c r="BI68" s="13"/>
      <c r="BJ68" s="4"/>
      <c r="BK68" s="14">
        <v>15</v>
      </c>
      <c r="BL68" s="14">
        <v>15</v>
      </c>
      <c r="BM68" s="14">
        <v>15</v>
      </c>
      <c r="BN68" s="3" t="s">
        <v>86</v>
      </c>
      <c r="BP68" s="15"/>
      <c r="BQ68" s="15"/>
      <c r="BR68" s="2" t="s">
        <v>409</v>
      </c>
      <c r="BS68" s="2" t="s">
        <v>409</v>
      </c>
      <c r="BT68" s="7" t="s">
        <v>88</v>
      </c>
      <c r="BU68" s="7"/>
      <c r="BV68" s="9" t="s">
        <v>88</v>
      </c>
      <c r="BW68" s="9"/>
    </row>
    <row r="69" spans="1:75" ht="14.25" customHeight="1" x14ac:dyDescent="0.25">
      <c r="A69" s="1">
        <v>117</v>
      </c>
      <c r="B69" s="1" t="s">
        <v>502</v>
      </c>
      <c r="C69" s="1" t="s">
        <v>503</v>
      </c>
      <c r="D69" s="1" t="s">
        <v>77</v>
      </c>
      <c r="E69" s="1" t="s">
        <v>390</v>
      </c>
      <c r="F69" s="1" t="s">
        <v>504</v>
      </c>
      <c r="G69" s="1"/>
      <c r="H69" s="2">
        <v>1</v>
      </c>
      <c r="I69" s="2">
        <v>1</v>
      </c>
      <c r="J69" s="2">
        <v>1</v>
      </c>
      <c r="K69" s="2">
        <v>0</v>
      </c>
      <c r="L69" s="3" t="s">
        <v>80</v>
      </c>
      <c r="O69" s="4">
        <v>2</v>
      </c>
      <c r="P69" s="4" t="s">
        <v>505</v>
      </c>
      <c r="Q69" s="4" t="s">
        <v>506</v>
      </c>
      <c r="R69" s="16">
        <v>6900000</v>
      </c>
      <c r="S69" s="6">
        <v>6900000</v>
      </c>
      <c r="T69" s="16">
        <v>6700000</v>
      </c>
      <c r="U69" s="6">
        <v>6700000</v>
      </c>
      <c r="V69" s="4"/>
      <c r="W69" s="4" t="s">
        <v>505</v>
      </c>
      <c r="X69" s="4"/>
      <c r="Y69" s="7">
        <v>2</v>
      </c>
      <c r="Z69" s="8">
        <v>3998540</v>
      </c>
      <c r="AA69" s="7" t="s">
        <v>92</v>
      </c>
      <c r="AB69" s="7"/>
      <c r="AC69" s="9">
        <v>2</v>
      </c>
      <c r="AD69" s="10">
        <v>3998540</v>
      </c>
      <c r="AE69" s="9" t="s">
        <v>92</v>
      </c>
      <c r="AF69" s="9"/>
      <c r="AG69" s="11">
        <v>2</v>
      </c>
      <c r="AH69" s="11" t="s">
        <v>131</v>
      </c>
      <c r="AI69" s="11" t="s">
        <v>507</v>
      </c>
      <c r="AJ69" s="11">
        <v>2</v>
      </c>
      <c r="AK69" s="11" t="s">
        <v>143</v>
      </c>
      <c r="AL69" s="12">
        <v>2</v>
      </c>
      <c r="AM69" s="12" t="s">
        <v>131</v>
      </c>
      <c r="AN69" s="12" t="s">
        <v>508</v>
      </c>
      <c r="AO69" s="12">
        <v>2</v>
      </c>
      <c r="AP69" s="12" t="s">
        <v>132</v>
      </c>
      <c r="AQ69" s="4">
        <v>1</v>
      </c>
      <c r="AR69" s="4" t="s">
        <v>133</v>
      </c>
      <c r="AS69" s="4"/>
      <c r="AT69" s="13">
        <v>3091.4931640625</v>
      </c>
      <c r="AU69" s="13">
        <v>7.02632808685303</v>
      </c>
      <c r="AV69" s="13">
        <v>5.8000001907348597</v>
      </c>
      <c r="AW69" s="13">
        <v>7.9694991111755398</v>
      </c>
      <c r="AX69" s="4">
        <v>1</v>
      </c>
      <c r="AY69" s="13">
        <v>16.6596984863281</v>
      </c>
      <c r="AZ69" s="13">
        <v>1.10742080211639</v>
      </c>
      <c r="BA69" s="13">
        <v>0.196897998452187</v>
      </c>
      <c r="BB69" s="13">
        <v>2.4400000572204599</v>
      </c>
      <c r="BC69" s="4">
        <v>1</v>
      </c>
      <c r="BD69" s="4">
        <v>14</v>
      </c>
      <c r="BE69" s="4" t="s">
        <v>134</v>
      </c>
      <c r="BF69" s="13">
        <v>2.1694989204406698</v>
      </c>
      <c r="BG69" s="4">
        <v>2464</v>
      </c>
      <c r="BH69" s="13">
        <v>0.34900000691413902</v>
      </c>
      <c r="BI69" s="13">
        <v>859.93597412109398</v>
      </c>
      <c r="BJ69" s="4"/>
      <c r="BK69" s="14">
        <v>7</v>
      </c>
      <c r="BL69" s="14">
        <v>7</v>
      </c>
      <c r="BM69" s="14">
        <v>7</v>
      </c>
      <c r="BP69" s="15" t="s">
        <v>135</v>
      </c>
      <c r="BQ69" s="15"/>
      <c r="BR69" s="2" t="s">
        <v>172</v>
      </c>
      <c r="BS69" s="2" t="s">
        <v>172</v>
      </c>
      <c r="BT69" s="7" t="s">
        <v>509</v>
      </c>
      <c r="BU69" s="7"/>
      <c r="BV69" s="9" t="s">
        <v>509</v>
      </c>
      <c r="BW69" s="9"/>
    </row>
    <row r="70" spans="1:75" ht="14.25" customHeight="1" x14ac:dyDescent="0.25">
      <c r="A70" s="1">
        <v>118</v>
      </c>
      <c r="B70" s="1" t="s">
        <v>510</v>
      </c>
      <c r="C70" s="1" t="s">
        <v>511</v>
      </c>
      <c r="D70" s="1" t="s">
        <v>77</v>
      </c>
      <c r="E70" s="1" t="s">
        <v>390</v>
      </c>
      <c r="F70" s="1" t="s">
        <v>504</v>
      </c>
      <c r="G70" s="1" t="s">
        <v>118</v>
      </c>
      <c r="H70" s="2">
        <v>0</v>
      </c>
      <c r="I70" s="2">
        <v>0</v>
      </c>
      <c r="J70" s="2">
        <v>1</v>
      </c>
      <c r="K70" s="2">
        <v>1</v>
      </c>
      <c r="L70" s="3" t="s">
        <v>80</v>
      </c>
      <c r="O70" s="4">
        <v>5</v>
      </c>
      <c r="P70" s="4" t="s">
        <v>101</v>
      </c>
      <c r="Q70" s="4" t="s">
        <v>512</v>
      </c>
      <c r="R70" s="5"/>
      <c r="S70" s="6"/>
      <c r="T70" s="17"/>
      <c r="U70" s="6"/>
      <c r="V70" s="4"/>
      <c r="W70" s="4"/>
      <c r="X70" s="4"/>
      <c r="Y70" s="7">
        <v>4</v>
      </c>
      <c r="Z70" s="8">
        <v>159200</v>
      </c>
      <c r="AA70" s="7" t="s">
        <v>92</v>
      </c>
      <c r="AB70" s="7"/>
      <c r="AC70" s="9">
        <v>4</v>
      </c>
      <c r="AD70" s="10">
        <v>159200</v>
      </c>
      <c r="AE70" s="9" t="s">
        <v>92</v>
      </c>
      <c r="AF70" s="9"/>
      <c r="AG70" s="11">
        <v>4</v>
      </c>
      <c r="AH70" s="11" t="s">
        <v>93</v>
      </c>
      <c r="AI70" s="11" t="s">
        <v>393</v>
      </c>
      <c r="AJ70" s="11"/>
      <c r="AK70" s="11"/>
      <c r="AL70" s="12">
        <v>3</v>
      </c>
      <c r="AM70" s="12" t="s">
        <v>93</v>
      </c>
      <c r="AN70" s="12" t="s">
        <v>398</v>
      </c>
      <c r="AO70" s="12"/>
      <c r="AP70" s="12"/>
      <c r="AQ70" s="4">
        <v>5</v>
      </c>
      <c r="AR70" s="4" t="s">
        <v>83</v>
      </c>
      <c r="AS70" s="4" t="s">
        <v>513</v>
      </c>
      <c r="AT70" s="13"/>
      <c r="AU70" s="13"/>
      <c r="AV70" s="13"/>
      <c r="AW70" s="13"/>
      <c r="AX70" s="4"/>
      <c r="AY70" s="13"/>
      <c r="AZ70" s="13"/>
      <c r="BA70" s="13"/>
      <c r="BB70" s="13"/>
      <c r="BC70" s="4"/>
      <c r="BD70" s="4"/>
      <c r="BE70" s="4"/>
      <c r="BF70" s="13"/>
      <c r="BG70" s="4"/>
      <c r="BH70" s="13"/>
      <c r="BI70" s="13"/>
      <c r="BJ70" s="4"/>
      <c r="BK70" s="14">
        <v>18</v>
      </c>
      <c r="BL70" s="14">
        <v>17</v>
      </c>
      <c r="BM70" s="14">
        <v>18</v>
      </c>
      <c r="BN70" s="3" t="s">
        <v>312</v>
      </c>
      <c r="BO70" s="3" t="s">
        <v>120</v>
      </c>
      <c r="BP70" s="15"/>
      <c r="BQ70" s="15"/>
      <c r="BR70" s="2" t="s">
        <v>115</v>
      </c>
      <c r="BS70" s="2" t="s">
        <v>115</v>
      </c>
      <c r="BT70" s="7" t="s">
        <v>98</v>
      </c>
      <c r="BU70" s="7"/>
      <c r="BV70" s="9" t="s">
        <v>98</v>
      </c>
      <c r="BW70" s="9"/>
    </row>
    <row r="71" spans="1:75" ht="14.25" customHeight="1" x14ac:dyDescent="0.25">
      <c r="A71" s="1">
        <v>119</v>
      </c>
      <c r="B71" s="1" t="s">
        <v>514</v>
      </c>
      <c r="C71" s="1" t="s">
        <v>515</v>
      </c>
      <c r="D71" s="1" t="s">
        <v>77</v>
      </c>
      <c r="E71" s="1" t="s">
        <v>390</v>
      </c>
      <c r="F71" s="1" t="s">
        <v>504</v>
      </c>
      <c r="G71" s="1"/>
      <c r="H71" s="2">
        <v>1</v>
      </c>
      <c r="I71" s="2">
        <v>1</v>
      </c>
      <c r="J71" s="2">
        <v>0</v>
      </c>
      <c r="K71" s="2">
        <v>0</v>
      </c>
      <c r="L71" s="3" t="s">
        <v>80</v>
      </c>
      <c r="O71" s="4">
        <v>2</v>
      </c>
      <c r="P71" s="4" t="s">
        <v>516</v>
      </c>
      <c r="Q71" s="4" t="s">
        <v>517</v>
      </c>
      <c r="R71" s="16">
        <v>18000000</v>
      </c>
      <c r="S71" s="6">
        <v>18000000</v>
      </c>
      <c r="T71" s="16">
        <v>18000000</v>
      </c>
      <c r="U71" s="6">
        <v>18000000</v>
      </c>
      <c r="V71" s="4"/>
      <c r="W71" s="4" t="s">
        <v>516</v>
      </c>
      <c r="X71" s="4"/>
      <c r="Y71" s="7">
        <v>1</v>
      </c>
      <c r="Z71" s="8">
        <v>7986534</v>
      </c>
      <c r="AA71" s="7" t="s">
        <v>92</v>
      </c>
      <c r="AB71" s="7"/>
      <c r="AC71" s="9">
        <v>1</v>
      </c>
      <c r="AD71" s="10">
        <v>7986534</v>
      </c>
      <c r="AE71" s="9" t="s">
        <v>92</v>
      </c>
      <c r="AF71" s="9"/>
      <c r="AG71" s="11">
        <v>2</v>
      </c>
      <c r="AH71" s="11" t="s">
        <v>518</v>
      </c>
      <c r="AI71" s="11" t="s">
        <v>519</v>
      </c>
      <c r="AJ71" s="11">
        <v>2</v>
      </c>
      <c r="AK71" s="11" t="s">
        <v>143</v>
      </c>
      <c r="AL71" s="12">
        <v>3</v>
      </c>
      <c r="AM71" s="12" t="s">
        <v>131</v>
      </c>
      <c r="AN71" s="12" t="s">
        <v>520</v>
      </c>
      <c r="AO71" s="12">
        <v>2</v>
      </c>
      <c r="AP71" s="12" t="s">
        <v>132</v>
      </c>
      <c r="AQ71" s="4">
        <v>2</v>
      </c>
      <c r="AR71" s="4" t="s">
        <v>133</v>
      </c>
      <c r="AS71" s="4"/>
      <c r="AT71" s="13">
        <v>13.9419660568237</v>
      </c>
      <c r="AU71" s="13">
        <v>0.25629189610481301</v>
      </c>
      <c r="AV71" s="13">
        <v>-0.67699998617172197</v>
      </c>
      <c r="AW71" s="13">
        <v>0.97229498624801602</v>
      </c>
      <c r="AX71" s="4"/>
      <c r="AY71" s="13">
        <v>14.816637039184601</v>
      </c>
      <c r="AZ71" s="13">
        <v>1.39138507843018</v>
      </c>
      <c r="BA71" s="13">
        <v>-0.43599998950958302</v>
      </c>
      <c r="BB71" s="13">
        <v>3.3905029296875</v>
      </c>
      <c r="BC71" s="4"/>
      <c r="BD71" s="4">
        <v>10</v>
      </c>
      <c r="BE71" s="4" t="s">
        <v>134</v>
      </c>
      <c r="BF71" s="13">
        <v>1.6492949724197401</v>
      </c>
      <c r="BG71" s="4">
        <v>1387.5</v>
      </c>
      <c r="BH71" s="13">
        <v>0.34200000762939498</v>
      </c>
      <c r="BI71" s="13">
        <v>474.60501098632801</v>
      </c>
      <c r="BJ71" s="4"/>
      <c r="BK71" s="14">
        <v>7</v>
      </c>
      <c r="BL71" s="14">
        <v>8</v>
      </c>
      <c r="BM71" s="14">
        <v>8</v>
      </c>
      <c r="BP71" s="15"/>
      <c r="BQ71" s="15"/>
      <c r="BR71" s="2" t="s">
        <v>172</v>
      </c>
      <c r="BS71" s="2" t="s">
        <v>172</v>
      </c>
      <c r="BT71" s="7" t="s">
        <v>509</v>
      </c>
      <c r="BU71" s="7"/>
      <c r="BV71" s="9" t="s">
        <v>509</v>
      </c>
      <c r="BW71" s="9"/>
    </row>
    <row r="72" spans="1:75" ht="14.25" customHeight="1" x14ac:dyDescent="0.25">
      <c r="A72" s="1">
        <v>120</v>
      </c>
      <c r="B72" s="1" t="s">
        <v>521</v>
      </c>
      <c r="C72" s="1" t="s">
        <v>522</v>
      </c>
      <c r="D72" s="1" t="s">
        <v>77</v>
      </c>
      <c r="E72" s="1" t="s">
        <v>390</v>
      </c>
      <c r="F72" s="1" t="s">
        <v>504</v>
      </c>
      <c r="G72" s="1" t="s">
        <v>523</v>
      </c>
      <c r="H72" s="2">
        <v>1</v>
      </c>
      <c r="I72" s="2">
        <v>1</v>
      </c>
      <c r="J72" s="2">
        <v>0</v>
      </c>
      <c r="K72" s="2">
        <v>0</v>
      </c>
      <c r="L72" s="3" t="s">
        <v>80</v>
      </c>
      <c r="O72" s="4">
        <v>2</v>
      </c>
      <c r="P72" s="4" t="s">
        <v>524</v>
      </c>
      <c r="Q72" s="4" t="s">
        <v>525</v>
      </c>
      <c r="R72" s="16">
        <v>11000000</v>
      </c>
      <c r="S72" s="6">
        <v>11000000</v>
      </c>
      <c r="T72" s="16">
        <v>11000000</v>
      </c>
      <c r="U72" s="6">
        <v>11000000</v>
      </c>
      <c r="V72" s="4"/>
      <c r="W72" s="4" t="s">
        <v>524</v>
      </c>
      <c r="X72" s="4"/>
      <c r="Y72" s="7">
        <v>1</v>
      </c>
      <c r="Z72" s="8">
        <v>7534629</v>
      </c>
      <c r="AA72" s="7" t="s">
        <v>92</v>
      </c>
      <c r="AB72" s="7"/>
      <c r="AC72" s="9">
        <v>1</v>
      </c>
      <c r="AD72" s="10">
        <v>7534629</v>
      </c>
      <c r="AE72" s="9" t="s">
        <v>92</v>
      </c>
      <c r="AF72" s="9"/>
      <c r="AG72" s="11">
        <v>4</v>
      </c>
      <c r="AH72" s="11" t="s">
        <v>131</v>
      </c>
      <c r="AI72" s="11" t="s">
        <v>526</v>
      </c>
      <c r="AJ72" s="11">
        <v>5</v>
      </c>
      <c r="AK72" s="11" t="s">
        <v>143</v>
      </c>
      <c r="AL72" s="12">
        <v>3</v>
      </c>
      <c r="AM72" s="12" t="s">
        <v>131</v>
      </c>
      <c r="AN72" s="12"/>
      <c r="AO72" s="12">
        <v>3</v>
      </c>
      <c r="AP72" s="12" t="s">
        <v>143</v>
      </c>
      <c r="AQ72" s="4">
        <v>1</v>
      </c>
      <c r="AR72" s="4" t="s">
        <v>222</v>
      </c>
      <c r="AS72" s="4"/>
      <c r="AT72" s="13">
        <v>311.88195800781301</v>
      </c>
      <c r="AU72" s="13">
        <v>2.9310452938079798</v>
      </c>
      <c r="AV72" s="13">
        <v>2.0999999046325701</v>
      </c>
      <c r="AW72" s="13">
        <v>3.68438673019409</v>
      </c>
      <c r="AX72" s="4">
        <v>1</v>
      </c>
      <c r="AY72" s="13">
        <v>37.813526153564503</v>
      </c>
      <c r="AZ72" s="13">
        <v>2.9586629867553702</v>
      </c>
      <c r="BA72" s="13">
        <v>1.17317235469818</v>
      </c>
      <c r="BB72" s="13">
        <v>5.04718112945557</v>
      </c>
      <c r="BC72" s="4">
        <v>1</v>
      </c>
      <c r="BD72" s="4">
        <v>11</v>
      </c>
      <c r="BE72" s="4"/>
      <c r="BF72" s="13">
        <v>1.5843867063522299</v>
      </c>
      <c r="BG72" s="4"/>
      <c r="BH72" s="13"/>
      <c r="BI72" s="13"/>
      <c r="BJ72" s="4"/>
      <c r="BK72" s="14">
        <v>8</v>
      </c>
      <c r="BL72" s="14">
        <v>7</v>
      </c>
      <c r="BM72" s="14">
        <v>8</v>
      </c>
      <c r="BP72" s="15"/>
      <c r="BQ72" s="15"/>
      <c r="BR72" s="2" t="s">
        <v>211</v>
      </c>
      <c r="BS72" s="2" t="s">
        <v>211</v>
      </c>
      <c r="BT72" s="7" t="s">
        <v>527</v>
      </c>
      <c r="BU72" s="7"/>
      <c r="BV72" s="9" t="s">
        <v>527</v>
      </c>
      <c r="BW72" s="9"/>
    </row>
    <row r="73" spans="1:75" ht="14.25" customHeight="1" x14ac:dyDescent="0.25">
      <c r="A73" s="1">
        <v>121</v>
      </c>
      <c r="B73" s="1" t="s">
        <v>528</v>
      </c>
      <c r="C73" s="1" t="s">
        <v>529</v>
      </c>
      <c r="D73" s="1" t="s">
        <v>77</v>
      </c>
      <c r="E73" s="1" t="s">
        <v>390</v>
      </c>
      <c r="F73" s="1" t="s">
        <v>504</v>
      </c>
      <c r="G73" s="1"/>
      <c r="H73" s="2">
        <v>1</v>
      </c>
      <c r="I73" s="2">
        <v>1</v>
      </c>
      <c r="J73" s="2">
        <v>0</v>
      </c>
      <c r="K73" s="2">
        <v>0</v>
      </c>
      <c r="L73" s="3" t="s">
        <v>127</v>
      </c>
      <c r="O73" s="4">
        <v>2</v>
      </c>
      <c r="P73" s="4" t="s">
        <v>530</v>
      </c>
      <c r="Q73" s="4"/>
      <c r="R73" s="16">
        <v>43000000</v>
      </c>
      <c r="S73" s="6">
        <v>43000000</v>
      </c>
      <c r="T73" s="16">
        <v>13000000</v>
      </c>
      <c r="U73" s="6">
        <v>13000000</v>
      </c>
      <c r="V73" s="4">
        <v>2010.5</v>
      </c>
      <c r="W73" s="4" t="s">
        <v>531</v>
      </c>
      <c r="X73" s="4"/>
      <c r="Y73" s="7">
        <v>1</v>
      </c>
      <c r="Z73" s="8">
        <v>21341750</v>
      </c>
      <c r="AA73" s="7" t="s">
        <v>92</v>
      </c>
      <c r="AB73" s="7"/>
      <c r="AC73" s="9">
        <v>1</v>
      </c>
      <c r="AD73" s="10">
        <v>25322953</v>
      </c>
      <c r="AE73" s="9" t="s">
        <v>92</v>
      </c>
      <c r="AF73" s="9"/>
      <c r="AG73" s="11">
        <v>3</v>
      </c>
      <c r="AH73" s="11" t="s">
        <v>131</v>
      </c>
      <c r="AI73" s="11"/>
      <c r="AJ73" s="11">
        <v>3</v>
      </c>
      <c r="AK73" s="11" t="s">
        <v>132</v>
      </c>
      <c r="AL73" s="12">
        <v>3</v>
      </c>
      <c r="AM73" s="12" t="s">
        <v>131</v>
      </c>
      <c r="AN73" s="12"/>
      <c r="AO73" s="12">
        <v>4</v>
      </c>
      <c r="AP73" s="12" t="s">
        <v>143</v>
      </c>
      <c r="AQ73" s="4">
        <v>4</v>
      </c>
      <c r="AR73" s="4" t="s">
        <v>532</v>
      </c>
      <c r="AS73" s="4"/>
      <c r="AT73" s="13">
        <v>-9.2884712219238299</v>
      </c>
      <c r="AU73" s="13">
        <v>-0.352923303842545</v>
      </c>
      <c r="AV73" s="13">
        <v>-3.4111020565032999</v>
      </c>
      <c r="AW73" s="13">
        <v>2.9500000476837198</v>
      </c>
      <c r="AX73" s="4"/>
      <c r="AY73" s="13">
        <v>-35.713615417480497</v>
      </c>
      <c r="AZ73" s="13">
        <v>-4.3193230628967303</v>
      </c>
      <c r="BA73" s="13">
        <v>-12.7327976226807</v>
      </c>
      <c r="BB73" s="13">
        <v>2.4100000858306898</v>
      </c>
      <c r="BC73" s="4"/>
      <c r="BD73" s="4">
        <v>10</v>
      </c>
      <c r="BE73" s="4" t="s">
        <v>210</v>
      </c>
      <c r="BF73" s="13">
        <v>6.3611021041870099</v>
      </c>
      <c r="BG73" s="4">
        <v>44</v>
      </c>
      <c r="BH73" s="13">
        <v>1.9700000286102299</v>
      </c>
      <c r="BI73" s="13">
        <v>86.680000305175795</v>
      </c>
      <c r="BJ73" s="4"/>
      <c r="BK73" s="14">
        <v>10</v>
      </c>
      <c r="BL73" s="14">
        <v>10</v>
      </c>
      <c r="BM73" s="14">
        <v>10</v>
      </c>
      <c r="BP73" s="15"/>
      <c r="BQ73" s="15"/>
      <c r="BR73" s="2" t="s">
        <v>161</v>
      </c>
      <c r="BS73" s="2" t="s">
        <v>161</v>
      </c>
      <c r="BT73" s="7" t="s">
        <v>174</v>
      </c>
      <c r="BU73" s="7"/>
      <c r="BV73" s="9" t="s">
        <v>174</v>
      </c>
      <c r="BW73" s="9"/>
    </row>
    <row r="74" spans="1:75" ht="14.25" customHeight="1" x14ac:dyDescent="0.25">
      <c r="A74" s="1">
        <v>122</v>
      </c>
      <c r="B74" s="1" t="s">
        <v>533</v>
      </c>
      <c r="C74" s="1" t="s">
        <v>534</v>
      </c>
      <c r="D74" s="1" t="s">
        <v>77</v>
      </c>
      <c r="E74" s="1" t="s">
        <v>390</v>
      </c>
      <c r="F74" s="1" t="s">
        <v>504</v>
      </c>
      <c r="G74" s="1"/>
      <c r="H74" s="2">
        <v>1</v>
      </c>
      <c r="I74" s="2">
        <v>1</v>
      </c>
      <c r="J74" s="2">
        <v>0</v>
      </c>
      <c r="K74" s="2">
        <v>0</v>
      </c>
      <c r="L74" s="3" t="s">
        <v>80</v>
      </c>
      <c r="O74" s="4">
        <v>2</v>
      </c>
      <c r="P74" s="4" t="s">
        <v>535</v>
      </c>
      <c r="Q74" s="4"/>
      <c r="R74" s="16">
        <v>8000000</v>
      </c>
      <c r="S74" s="6">
        <v>8000000</v>
      </c>
      <c r="T74" s="16">
        <v>4000000</v>
      </c>
      <c r="U74" s="6">
        <v>4000000</v>
      </c>
      <c r="V74" s="4">
        <v>2010.5</v>
      </c>
      <c r="W74" s="4" t="s">
        <v>536</v>
      </c>
      <c r="X74" s="4"/>
      <c r="Y74" s="7">
        <v>1</v>
      </c>
      <c r="Z74" s="8">
        <v>9199890</v>
      </c>
      <c r="AA74" s="7" t="s">
        <v>92</v>
      </c>
      <c r="AB74" s="7"/>
      <c r="AC74" s="9">
        <v>1</v>
      </c>
      <c r="AD74" s="10">
        <v>14363004</v>
      </c>
      <c r="AE74" s="9" t="s">
        <v>92</v>
      </c>
      <c r="AF74" s="9"/>
      <c r="AG74" s="11">
        <v>3</v>
      </c>
      <c r="AH74" s="11" t="s">
        <v>131</v>
      </c>
      <c r="AI74" s="11"/>
      <c r="AJ74" s="11">
        <v>4</v>
      </c>
      <c r="AK74" s="11" t="s">
        <v>332</v>
      </c>
      <c r="AL74" s="12">
        <v>3</v>
      </c>
      <c r="AM74" s="12" t="s">
        <v>131</v>
      </c>
      <c r="AN74" s="12"/>
      <c r="AO74" s="12">
        <v>3</v>
      </c>
      <c r="AP74" s="12" t="s">
        <v>143</v>
      </c>
      <c r="AQ74" s="4">
        <v>3</v>
      </c>
      <c r="AR74" s="4" t="s">
        <v>537</v>
      </c>
      <c r="AS74" s="4" t="s">
        <v>538</v>
      </c>
      <c r="AT74" s="13"/>
      <c r="AU74" s="13"/>
      <c r="AV74" s="13"/>
      <c r="AW74" s="13"/>
      <c r="AX74" s="4"/>
      <c r="AY74" s="13"/>
      <c r="AZ74" s="13"/>
      <c r="BA74" s="13"/>
      <c r="BB74" s="13"/>
      <c r="BC74" s="4"/>
      <c r="BD74" s="4"/>
      <c r="BE74" s="4"/>
      <c r="BF74" s="13"/>
      <c r="BG74" s="4"/>
      <c r="BH74" s="13"/>
      <c r="BI74" s="13"/>
      <c r="BJ74" s="4"/>
      <c r="BK74" s="14">
        <v>9</v>
      </c>
      <c r="BL74" s="14">
        <v>9</v>
      </c>
      <c r="BM74" s="14">
        <v>9</v>
      </c>
      <c r="BP74" s="15"/>
      <c r="BQ74" s="15"/>
      <c r="BR74" s="2" t="s">
        <v>161</v>
      </c>
      <c r="BS74" s="2" t="s">
        <v>161</v>
      </c>
      <c r="BT74" s="7" t="s">
        <v>539</v>
      </c>
      <c r="BU74" s="7" t="s">
        <v>174</v>
      </c>
      <c r="BV74" s="9" t="s">
        <v>174</v>
      </c>
      <c r="BW74" s="9"/>
    </row>
    <row r="75" spans="1:75" ht="14.25" customHeight="1" x14ac:dyDescent="0.25">
      <c r="A75" s="1">
        <v>123</v>
      </c>
      <c r="B75" s="1" t="s">
        <v>540</v>
      </c>
      <c r="C75" s="1" t="s">
        <v>541</v>
      </c>
      <c r="D75" s="1" t="s">
        <v>77</v>
      </c>
      <c r="E75" s="1" t="s">
        <v>390</v>
      </c>
      <c r="F75" s="1" t="s">
        <v>504</v>
      </c>
      <c r="G75" s="1"/>
      <c r="H75" s="2">
        <v>1</v>
      </c>
      <c r="I75" s="2">
        <v>1</v>
      </c>
      <c r="J75" s="2">
        <v>0</v>
      </c>
      <c r="K75" s="2">
        <v>0</v>
      </c>
      <c r="L75" s="3" t="s">
        <v>80</v>
      </c>
      <c r="O75" s="4">
        <v>3</v>
      </c>
      <c r="P75" s="4" t="s">
        <v>542</v>
      </c>
      <c r="Q75" s="4"/>
      <c r="R75" s="16">
        <v>2000000</v>
      </c>
      <c r="S75" s="6">
        <v>2000000</v>
      </c>
      <c r="T75" s="16">
        <v>2000000</v>
      </c>
      <c r="U75" s="6">
        <v>2000000</v>
      </c>
      <c r="V75" s="4"/>
      <c r="W75" s="4" t="s">
        <v>543</v>
      </c>
      <c r="X75" s="4"/>
      <c r="Y75" s="7">
        <v>2</v>
      </c>
      <c r="Z75" s="8">
        <v>1627779</v>
      </c>
      <c r="AA75" s="7" t="s">
        <v>92</v>
      </c>
      <c r="AB75" s="7"/>
      <c r="AC75" s="9">
        <v>2</v>
      </c>
      <c r="AD75" s="10">
        <v>1627779</v>
      </c>
      <c r="AE75" s="9" t="s">
        <v>92</v>
      </c>
      <c r="AF75" s="9"/>
      <c r="AG75" s="11">
        <v>3</v>
      </c>
      <c r="AH75" s="11" t="s">
        <v>544</v>
      </c>
      <c r="AI75" s="11" t="s">
        <v>545</v>
      </c>
      <c r="AJ75" s="11"/>
      <c r="AK75" s="11"/>
      <c r="AL75" s="12">
        <v>3</v>
      </c>
      <c r="AM75" s="12" t="s">
        <v>544</v>
      </c>
      <c r="AN75" s="12" t="s">
        <v>546</v>
      </c>
      <c r="AO75" s="12"/>
      <c r="AP75" s="12"/>
      <c r="AQ75" s="4">
        <v>3</v>
      </c>
      <c r="AR75" s="4" t="s">
        <v>547</v>
      </c>
      <c r="AS75" s="4" t="s">
        <v>548</v>
      </c>
      <c r="AT75" s="13"/>
      <c r="AU75" s="13"/>
      <c r="AV75" s="13"/>
      <c r="AW75" s="13"/>
      <c r="AX75" s="4"/>
      <c r="AY75" s="13"/>
      <c r="AZ75" s="13"/>
      <c r="BA75" s="13"/>
      <c r="BB75" s="13"/>
      <c r="BC75" s="4"/>
      <c r="BD75" s="4"/>
      <c r="BE75" s="4"/>
      <c r="BF75" s="13"/>
      <c r="BG75" s="4"/>
      <c r="BH75" s="13"/>
      <c r="BI75" s="13"/>
      <c r="BJ75" s="4"/>
      <c r="BK75" s="14">
        <v>11</v>
      </c>
      <c r="BL75" s="14">
        <v>11</v>
      </c>
      <c r="BM75" s="14">
        <v>11</v>
      </c>
      <c r="BP75" s="15"/>
      <c r="BQ75" s="15"/>
      <c r="BR75" s="2" t="s">
        <v>256</v>
      </c>
      <c r="BS75" s="2" t="s">
        <v>256</v>
      </c>
      <c r="BT75" s="7" t="s">
        <v>539</v>
      </c>
      <c r="BU75" s="7"/>
      <c r="BV75" s="9" t="s">
        <v>539</v>
      </c>
      <c r="BW75" s="9"/>
    </row>
    <row r="76" spans="1:75" ht="14.25" customHeight="1" x14ac:dyDescent="0.25">
      <c r="A76" s="1">
        <v>124</v>
      </c>
      <c r="B76" s="1" t="s">
        <v>549</v>
      </c>
      <c r="C76" s="1" t="s">
        <v>550</v>
      </c>
      <c r="D76" s="1" t="s">
        <v>77</v>
      </c>
      <c r="E76" s="1" t="s">
        <v>390</v>
      </c>
      <c r="F76" s="1" t="s">
        <v>504</v>
      </c>
      <c r="G76" s="1"/>
      <c r="H76" s="2">
        <v>1</v>
      </c>
      <c r="I76" s="2">
        <v>1</v>
      </c>
      <c r="J76" s="2">
        <v>0</v>
      </c>
      <c r="K76" s="2">
        <v>0</v>
      </c>
      <c r="L76" s="3" t="s">
        <v>80</v>
      </c>
      <c r="O76" s="4">
        <v>4</v>
      </c>
      <c r="P76" s="4" t="s">
        <v>551</v>
      </c>
      <c r="Q76" s="4" t="s">
        <v>552</v>
      </c>
      <c r="R76" s="16">
        <v>430000</v>
      </c>
      <c r="S76" s="6">
        <v>430000</v>
      </c>
      <c r="T76" s="16">
        <v>430000</v>
      </c>
      <c r="U76" s="6">
        <v>430000</v>
      </c>
      <c r="V76" s="4"/>
      <c r="W76" s="4" t="s">
        <v>551</v>
      </c>
      <c r="X76" s="4"/>
      <c r="Y76" s="7">
        <v>2</v>
      </c>
      <c r="Z76" s="8">
        <v>1407633</v>
      </c>
      <c r="AA76" s="7" t="s">
        <v>92</v>
      </c>
      <c r="AB76" s="7"/>
      <c r="AC76" s="9">
        <v>2</v>
      </c>
      <c r="AD76" s="10">
        <v>1407633</v>
      </c>
      <c r="AE76" s="9" t="s">
        <v>92</v>
      </c>
      <c r="AF76" s="9"/>
      <c r="AG76" s="11">
        <v>5</v>
      </c>
      <c r="AH76" s="11" t="s">
        <v>131</v>
      </c>
      <c r="AI76" s="11" t="s">
        <v>553</v>
      </c>
      <c r="AJ76" s="11">
        <v>5</v>
      </c>
      <c r="AK76" s="11" t="s">
        <v>143</v>
      </c>
      <c r="AL76" s="12">
        <v>5</v>
      </c>
      <c r="AM76" s="12" t="s">
        <v>131</v>
      </c>
      <c r="AN76" s="12" t="s">
        <v>554</v>
      </c>
      <c r="AO76" s="12">
        <v>5</v>
      </c>
      <c r="AP76" s="12" t="s">
        <v>132</v>
      </c>
      <c r="AQ76" s="4">
        <v>5</v>
      </c>
      <c r="AR76" s="4" t="s">
        <v>133</v>
      </c>
      <c r="AS76" s="4"/>
      <c r="AT76" s="13">
        <v>-70.196266174316406</v>
      </c>
      <c r="AU76" s="13">
        <v>-2.34224605560303</v>
      </c>
      <c r="AV76" s="13">
        <v>-4.3299999237060502</v>
      </c>
      <c r="AW76" s="13">
        <v>-0.76460200548171997</v>
      </c>
      <c r="AX76" s="4">
        <v>1</v>
      </c>
      <c r="AY76" s="13">
        <v>-9.4044027328491193</v>
      </c>
      <c r="AZ76" s="13">
        <v>-0.89338088035583496</v>
      </c>
      <c r="BA76" s="13">
        <v>-4.9699997901916504</v>
      </c>
      <c r="BB76" s="13">
        <v>3.8299999237060498</v>
      </c>
      <c r="BC76" s="4"/>
      <c r="BD76" s="4">
        <v>11</v>
      </c>
      <c r="BE76" s="4" t="s">
        <v>134</v>
      </c>
      <c r="BF76" s="13">
        <v>3.5653979778289799</v>
      </c>
      <c r="BG76" s="4">
        <v>168.5</v>
      </c>
      <c r="BH76" s="13">
        <v>0.90350002050399802</v>
      </c>
      <c r="BI76" s="13">
        <v>152.41450500488301</v>
      </c>
      <c r="BJ76" s="4"/>
      <c r="BK76" s="14">
        <v>16</v>
      </c>
      <c r="BL76" s="14">
        <v>16</v>
      </c>
      <c r="BM76" s="14">
        <v>16</v>
      </c>
      <c r="BN76" s="3" t="s">
        <v>312</v>
      </c>
      <c r="BP76" s="15"/>
      <c r="BQ76" s="15"/>
      <c r="BR76" s="2" t="s">
        <v>555</v>
      </c>
      <c r="BS76" s="2" t="s">
        <v>555</v>
      </c>
      <c r="BT76" s="7" t="s">
        <v>556</v>
      </c>
      <c r="BU76" s="7"/>
      <c r="BV76" s="9" t="s">
        <v>556</v>
      </c>
      <c r="BW76" s="9"/>
    </row>
    <row r="77" spans="1:75" ht="14.25" customHeight="1" x14ac:dyDescent="0.25">
      <c r="A77" s="1">
        <v>125</v>
      </c>
      <c r="B77" s="1" t="s">
        <v>557</v>
      </c>
      <c r="C77" s="1" t="s">
        <v>558</v>
      </c>
      <c r="D77" s="1" t="s">
        <v>77</v>
      </c>
      <c r="E77" s="1" t="s">
        <v>390</v>
      </c>
      <c r="F77" s="1" t="s">
        <v>504</v>
      </c>
      <c r="G77" s="1" t="s">
        <v>118</v>
      </c>
      <c r="H77" s="2">
        <v>0</v>
      </c>
      <c r="I77" s="2">
        <v>1</v>
      </c>
      <c r="J77" s="2">
        <v>0</v>
      </c>
      <c r="K77" s="2">
        <v>0</v>
      </c>
      <c r="L77" s="3" t="s">
        <v>80</v>
      </c>
      <c r="O77" s="4">
        <v>5</v>
      </c>
      <c r="P77" s="4" t="s">
        <v>559</v>
      </c>
      <c r="Q77" s="4" t="s">
        <v>560</v>
      </c>
      <c r="R77" s="16">
        <v>4800</v>
      </c>
      <c r="S77" s="6">
        <v>4800</v>
      </c>
      <c r="T77" s="16">
        <v>4800</v>
      </c>
      <c r="U77" s="6">
        <v>4800</v>
      </c>
      <c r="V77" s="4"/>
      <c r="W77" s="4" t="s">
        <v>559</v>
      </c>
      <c r="X77" s="4"/>
      <c r="Y77" s="7">
        <v>5</v>
      </c>
      <c r="Z77" s="8">
        <v>4878</v>
      </c>
      <c r="AA77" s="7" t="s">
        <v>92</v>
      </c>
      <c r="AB77" s="7"/>
      <c r="AC77" s="9">
        <v>5</v>
      </c>
      <c r="AD77" s="10">
        <v>4878</v>
      </c>
      <c r="AE77" s="9" t="s">
        <v>92</v>
      </c>
      <c r="AF77" s="9"/>
      <c r="AG77" s="11">
        <v>5</v>
      </c>
      <c r="AH77" s="11" t="s">
        <v>271</v>
      </c>
      <c r="AI77" s="11" t="s">
        <v>561</v>
      </c>
      <c r="AJ77" s="11"/>
      <c r="AK77" s="11"/>
      <c r="AL77" s="12">
        <v>5</v>
      </c>
      <c r="AM77" s="12" t="s">
        <v>271</v>
      </c>
      <c r="AN77" s="12" t="s">
        <v>562</v>
      </c>
      <c r="AO77" s="12"/>
      <c r="AP77" s="12"/>
      <c r="AQ77" s="4">
        <v>5</v>
      </c>
      <c r="AR77" s="4" t="s">
        <v>537</v>
      </c>
      <c r="AS77" s="4"/>
      <c r="AT77" s="13"/>
      <c r="AU77" s="13"/>
      <c r="AV77" s="13"/>
      <c r="AW77" s="13"/>
      <c r="AX77" s="4"/>
      <c r="AY77" s="13"/>
      <c r="AZ77" s="13"/>
      <c r="BA77" s="13"/>
      <c r="BB77" s="13"/>
      <c r="BC77" s="4"/>
      <c r="BD77" s="4"/>
      <c r="BE77" s="4"/>
      <c r="BF77" s="13"/>
      <c r="BG77" s="4"/>
      <c r="BH77" s="13"/>
      <c r="BI77" s="13"/>
      <c r="BJ77" s="4"/>
      <c r="BK77" s="14">
        <v>20</v>
      </c>
      <c r="BL77" s="14">
        <v>20</v>
      </c>
      <c r="BM77" s="14">
        <v>20</v>
      </c>
      <c r="BN77" s="3" t="s">
        <v>312</v>
      </c>
      <c r="BO77" s="3" t="s">
        <v>414</v>
      </c>
      <c r="BP77" s="15"/>
      <c r="BQ77" s="15"/>
      <c r="BR77" s="2" t="s">
        <v>555</v>
      </c>
      <c r="BS77" s="2" t="s">
        <v>555</v>
      </c>
      <c r="BT77" s="7" t="s">
        <v>556</v>
      </c>
      <c r="BU77" s="7"/>
      <c r="BV77" s="9" t="s">
        <v>556</v>
      </c>
      <c r="BW77" s="9"/>
    </row>
    <row r="78" spans="1:75" ht="14.25" customHeight="1" x14ac:dyDescent="0.25">
      <c r="A78" s="1">
        <v>126</v>
      </c>
      <c r="B78" s="1" t="s">
        <v>563</v>
      </c>
      <c r="C78" s="1" t="s">
        <v>564</v>
      </c>
      <c r="D78" s="1" t="s">
        <v>77</v>
      </c>
      <c r="E78" s="1" t="s">
        <v>390</v>
      </c>
      <c r="F78" s="1" t="s">
        <v>504</v>
      </c>
      <c r="G78" s="1"/>
      <c r="H78" s="2">
        <v>1</v>
      </c>
      <c r="I78" s="2">
        <v>1</v>
      </c>
      <c r="J78" s="2">
        <v>0</v>
      </c>
      <c r="K78" s="2">
        <v>0</v>
      </c>
      <c r="L78" s="3" t="s">
        <v>80</v>
      </c>
      <c r="O78" s="4">
        <v>4</v>
      </c>
      <c r="P78" s="4" t="s">
        <v>565</v>
      </c>
      <c r="Q78" s="4" t="s">
        <v>566</v>
      </c>
      <c r="R78" s="16">
        <v>200000</v>
      </c>
      <c r="S78" s="6">
        <v>200000</v>
      </c>
      <c r="T78" s="16">
        <v>200000</v>
      </c>
      <c r="U78" s="6">
        <v>200000</v>
      </c>
      <c r="V78" s="4"/>
      <c r="W78" s="4" t="s">
        <v>565</v>
      </c>
      <c r="X78" s="4"/>
      <c r="Y78" s="7">
        <v>2</v>
      </c>
      <c r="Z78" s="8">
        <v>1629628</v>
      </c>
      <c r="AA78" s="7" t="s">
        <v>537</v>
      </c>
      <c r="AB78" s="7" t="s">
        <v>567</v>
      </c>
      <c r="AC78" s="9">
        <v>2</v>
      </c>
      <c r="AD78" s="10">
        <v>1629628</v>
      </c>
      <c r="AE78" s="9" t="s">
        <v>537</v>
      </c>
      <c r="AF78" s="9" t="s">
        <v>568</v>
      </c>
      <c r="AG78" s="11">
        <v>4</v>
      </c>
      <c r="AH78" s="11" t="s">
        <v>569</v>
      </c>
      <c r="AI78" s="11"/>
      <c r="AJ78" s="11">
        <v>5</v>
      </c>
      <c r="AK78" s="11" t="s">
        <v>143</v>
      </c>
      <c r="AL78" s="12">
        <v>4</v>
      </c>
      <c r="AM78" s="12" t="s">
        <v>569</v>
      </c>
      <c r="AN78" s="12"/>
      <c r="AO78" s="12">
        <v>4</v>
      </c>
      <c r="AP78" s="12" t="s">
        <v>143</v>
      </c>
      <c r="AQ78" s="4">
        <v>2</v>
      </c>
      <c r="AR78" s="4" t="s">
        <v>133</v>
      </c>
      <c r="AS78" s="4"/>
      <c r="AT78" s="13">
        <v>13.554175376892101</v>
      </c>
      <c r="AU78" s="13">
        <v>0.249479055404663</v>
      </c>
      <c r="AV78" s="13">
        <v>-0.67799997329711903</v>
      </c>
      <c r="AW78" s="13">
        <v>1.6499999761581401</v>
      </c>
      <c r="AX78" s="4"/>
      <c r="AY78" s="13">
        <v>4.9790678024292001</v>
      </c>
      <c r="AZ78" s="13">
        <v>0.374453336000443</v>
      </c>
      <c r="BA78" s="13">
        <v>-1.9299999475479099</v>
      </c>
      <c r="BB78" s="13">
        <v>2.9900000095367401</v>
      </c>
      <c r="BC78" s="4"/>
      <c r="BD78" s="4">
        <v>13</v>
      </c>
      <c r="BE78" s="4" t="s">
        <v>134</v>
      </c>
      <c r="BF78" s="13">
        <v>2.3280000686645499</v>
      </c>
      <c r="BG78" s="4">
        <v>105</v>
      </c>
      <c r="BH78" s="13">
        <v>2.6799999177455899E-2</v>
      </c>
      <c r="BI78" s="13">
        <v>2.8139998912811302</v>
      </c>
      <c r="BJ78" s="4"/>
      <c r="BK78" s="14">
        <v>12</v>
      </c>
      <c r="BL78" s="14">
        <v>12</v>
      </c>
      <c r="BM78" s="14">
        <v>12</v>
      </c>
      <c r="BP78" s="15"/>
      <c r="BQ78" s="15"/>
      <c r="BR78" s="2" t="s">
        <v>555</v>
      </c>
      <c r="BS78" s="2" t="s">
        <v>555</v>
      </c>
      <c r="BT78" s="7" t="s">
        <v>428</v>
      </c>
      <c r="BU78" s="7"/>
      <c r="BV78" s="9" t="s">
        <v>428</v>
      </c>
      <c r="BW78" s="9"/>
    </row>
    <row r="79" spans="1:75" ht="14.25" customHeight="1" x14ac:dyDescent="0.25">
      <c r="A79" s="1">
        <v>127</v>
      </c>
      <c r="B79" s="1" t="s">
        <v>570</v>
      </c>
      <c r="C79" s="1" t="s">
        <v>571</v>
      </c>
      <c r="D79" s="1" t="s">
        <v>77</v>
      </c>
      <c r="E79" s="1" t="s">
        <v>390</v>
      </c>
      <c r="F79" s="1" t="s">
        <v>504</v>
      </c>
      <c r="G79" s="1" t="s">
        <v>118</v>
      </c>
      <c r="H79" s="2">
        <v>1</v>
      </c>
      <c r="I79" s="2">
        <v>1</v>
      </c>
      <c r="J79" s="2">
        <v>0</v>
      </c>
      <c r="K79" s="2">
        <v>0</v>
      </c>
      <c r="L79" s="3" t="s">
        <v>80</v>
      </c>
      <c r="O79" s="4">
        <v>3</v>
      </c>
      <c r="P79" s="4" t="s">
        <v>565</v>
      </c>
      <c r="Q79" s="4" t="s">
        <v>572</v>
      </c>
      <c r="R79" s="16">
        <v>2000000</v>
      </c>
      <c r="S79" s="6">
        <v>2000000</v>
      </c>
      <c r="T79" s="16">
        <v>2000000</v>
      </c>
      <c r="U79" s="6">
        <v>2000000</v>
      </c>
      <c r="V79" s="4"/>
      <c r="W79" s="4" t="s">
        <v>573</v>
      </c>
      <c r="X79" s="4"/>
      <c r="Y79" s="7">
        <v>3</v>
      </c>
      <c r="Z79" s="8">
        <v>465010</v>
      </c>
      <c r="AA79" s="7" t="s">
        <v>537</v>
      </c>
      <c r="AB79" s="7" t="s">
        <v>574</v>
      </c>
      <c r="AC79" s="9">
        <v>3</v>
      </c>
      <c r="AD79" s="10">
        <v>465010</v>
      </c>
      <c r="AE79" s="9" t="s">
        <v>537</v>
      </c>
      <c r="AF79" s="9" t="s">
        <v>575</v>
      </c>
      <c r="AG79" s="11">
        <v>3</v>
      </c>
      <c r="AH79" s="11" t="s">
        <v>576</v>
      </c>
      <c r="AI79" s="11"/>
      <c r="AJ79" s="11"/>
      <c r="AK79" s="11"/>
      <c r="AL79" s="12">
        <v>3</v>
      </c>
      <c r="AM79" s="12" t="s">
        <v>576</v>
      </c>
      <c r="AN79" s="12"/>
      <c r="AO79" s="12"/>
      <c r="AP79" s="12"/>
      <c r="AQ79" s="4">
        <v>3</v>
      </c>
      <c r="AR79" s="4" t="s">
        <v>133</v>
      </c>
      <c r="AS79" s="4"/>
      <c r="AT79" s="13">
        <v>-42.503879547119098</v>
      </c>
      <c r="AU79" s="13">
        <v>-1.0764577388763401</v>
      </c>
      <c r="AV79" s="13">
        <v>-1.8600000143051101</v>
      </c>
      <c r="AW79" s="13">
        <v>-0.18000000715255701</v>
      </c>
      <c r="AX79" s="4">
        <v>1</v>
      </c>
      <c r="AY79" s="13">
        <v>7.2319302558898899</v>
      </c>
      <c r="AZ79" s="13">
        <v>0.63677346706390403</v>
      </c>
      <c r="BA79" s="13">
        <v>-1.8518979549407999</v>
      </c>
      <c r="BB79" s="13">
        <v>3.2000000476837198</v>
      </c>
      <c r="BC79" s="4"/>
      <c r="BD79" s="4">
        <v>11</v>
      </c>
      <c r="BE79" s="4" t="s">
        <v>134</v>
      </c>
      <c r="BF79" s="13">
        <v>1.6799999475479099</v>
      </c>
      <c r="BG79" s="4">
        <v>154</v>
      </c>
      <c r="BH79" s="13">
        <v>0.59799998998642001</v>
      </c>
      <c r="BI79" s="13">
        <v>92.092002868652301</v>
      </c>
      <c r="BJ79" s="4"/>
      <c r="BK79" s="14">
        <v>12</v>
      </c>
      <c r="BL79" s="14">
        <v>12</v>
      </c>
      <c r="BM79" s="14">
        <v>12</v>
      </c>
      <c r="BP79" s="15"/>
      <c r="BQ79" s="15"/>
      <c r="BR79" s="2" t="s">
        <v>162</v>
      </c>
      <c r="BS79" s="2" t="s">
        <v>162</v>
      </c>
      <c r="BT79" s="7" t="s">
        <v>428</v>
      </c>
      <c r="BU79" s="7"/>
      <c r="BV79" s="9" t="s">
        <v>428</v>
      </c>
      <c r="BW79" s="9"/>
    </row>
    <row r="80" spans="1:75" ht="14.25" customHeight="1" x14ac:dyDescent="0.25">
      <c r="A80" s="1">
        <v>128</v>
      </c>
      <c r="B80" s="1" t="s">
        <v>577</v>
      </c>
      <c r="C80" s="1" t="s">
        <v>578</v>
      </c>
      <c r="D80" s="1" t="s">
        <v>77</v>
      </c>
      <c r="E80" s="1" t="s">
        <v>390</v>
      </c>
      <c r="F80" s="1" t="s">
        <v>504</v>
      </c>
      <c r="G80" s="1"/>
      <c r="H80" s="2">
        <v>1</v>
      </c>
      <c r="I80" s="2">
        <v>1</v>
      </c>
      <c r="J80" s="2">
        <v>0</v>
      </c>
      <c r="K80" s="2">
        <v>0</v>
      </c>
      <c r="L80" s="3" t="s">
        <v>80</v>
      </c>
      <c r="O80" s="4">
        <v>3</v>
      </c>
      <c r="P80" s="4" t="s">
        <v>579</v>
      </c>
      <c r="Q80" s="4"/>
      <c r="R80" s="16">
        <v>760000</v>
      </c>
      <c r="S80" s="6">
        <v>760000</v>
      </c>
      <c r="T80" s="16">
        <v>760000</v>
      </c>
      <c r="U80" s="6">
        <v>760000</v>
      </c>
      <c r="V80" s="4">
        <v>2010.5</v>
      </c>
      <c r="W80" s="4" t="s">
        <v>579</v>
      </c>
      <c r="X80" s="4"/>
      <c r="Y80" s="7">
        <v>2</v>
      </c>
      <c r="Z80" s="8">
        <v>3021798</v>
      </c>
      <c r="AA80" s="7" t="s">
        <v>580</v>
      </c>
      <c r="AB80" s="7" t="s">
        <v>581</v>
      </c>
      <c r="AC80" s="9">
        <v>2</v>
      </c>
      <c r="AD80" s="10">
        <v>3021798</v>
      </c>
      <c r="AE80" s="9" t="s">
        <v>582</v>
      </c>
      <c r="AF80" s="9" t="s">
        <v>581</v>
      </c>
      <c r="AG80" s="11">
        <v>3</v>
      </c>
      <c r="AH80" s="11" t="s">
        <v>131</v>
      </c>
      <c r="AI80" s="11" t="s">
        <v>583</v>
      </c>
      <c r="AJ80" s="11">
        <v>3</v>
      </c>
      <c r="AK80" s="11" t="s">
        <v>143</v>
      </c>
      <c r="AL80" s="12">
        <v>3</v>
      </c>
      <c r="AM80" s="12" t="s">
        <v>131</v>
      </c>
      <c r="AN80" s="12" t="s">
        <v>584</v>
      </c>
      <c r="AO80" s="12">
        <v>3</v>
      </c>
      <c r="AP80" s="12" t="s">
        <v>143</v>
      </c>
      <c r="AQ80" s="4">
        <v>2</v>
      </c>
      <c r="AR80" s="4" t="s">
        <v>133</v>
      </c>
      <c r="AS80" s="4"/>
      <c r="AT80" s="13">
        <v>44.070896148681598</v>
      </c>
      <c r="AU80" s="13">
        <v>0.71907794475555398</v>
      </c>
      <c r="AV80" s="13">
        <v>-0.28499999642372098</v>
      </c>
      <c r="AW80" s="13">
        <v>1.54930400848389</v>
      </c>
      <c r="AX80" s="4"/>
      <c r="AY80" s="13">
        <v>27.838151931762699</v>
      </c>
      <c r="AZ80" s="13">
        <v>2.4867484569549601</v>
      </c>
      <c r="BA80" s="13">
        <v>0.24699999392032601</v>
      </c>
      <c r="BB80" s="13">
        <v>4.53999996185303</v>
      </c>
      <c r="BC80" s="4">
        <v>1</v>
      </c>
      <c r="BD80" s="4">
        <v>10</v>
      </c>
      <c r="BE80" s="4" t="s">
        <v>134</v>
      </c>
      <c r="BF80" s="13">
        <v>1.8343039751052901</v>
      </c>
      <c r="BG80" s="4">
        <v>369.5</v>
      </c>
      <c r="BH80" s="13">
        <v>0.39449998736381497</v>
      </c>
      <c r="BI80" s="13">
        <v>145.74600219726599</v>
      </c>
      <c r="BJ80" s="4"/>
      <c r="BK80" s="14">
        <v>10</v>
      </c>
      <c r="BL80" s="14">
        <v>10</v>
      </c>
      <c r="BM80" s="14">
        <v>10</v>
      </c>
      <c r="BP80" s="15"/>
      <c r="BQ80" s="15" t="s">
        <v>146</v>
      </c>
      <c r="BR80" s="2" t="s">
        <v>457</v>
      </c>
      <c r="BS80" s="2" t="s">
        <v>457</v>
      </c>
      <c r="BT80" s="7" t="s">
        <v>585</v>
      </c>
      <c r="BU80" s="7" t="s">
        <v>527</v>
      </c>
      <c r="BV80" s="9" t="s">
        <v>585</v>
      </c>
      <c r="BW80" s="9" t="s">
        <v>527</v>
      </c>
    </row>
    <row r="81" spans="1:75" ht="14.25" customHeight="1" x14ac:dyDescent="0.25">
      <c r="A81" s="1">
        <v>129</v>
      </c>
      <c r="B81" s="1" t="s">
        <v>586</v>
      </c>
      <c r="C81" s="1" t="s">
        <v>587</v>
      </c>
      <c r="D81" s="1" t="s">
        <v>77</v>
      </c>
      <c r="E81" s="1" t="s">
        <v>390</v>
      </c>
      <c r="F81" s="1" t="s">
        <v>504</v>
      </c>
      <c r="G81" s="1"/>
      <c r="H81" s="2">
        <v>1</v>
      </c>
      <c r="I81" s="2">
        <v>1</v>
      </c>
      <c r="J81" s="2">
        <v>0</v>
      </c>
      <c r="K81" s="2">
        <v>0</v>
      </c>
      <c r="L81" s="3" t="s">
        <v>80</v>
      </c>
      <c r="O81" s="4">
        <v>4</v>
      </c>
      <c r="P81" s="4" t="s">
        <v>425</v>
      </c>
      <c r="Q81" s="4"/>
      <c r="R81" s="16">
        <v>360000</v>
      </c>
      <c r="S81" s="6">
        <v>360000</v>
      </c>
      <c r="T81" s="16">
        <v>360000</v>
      </c>
      <c r="U81" s="6">
        <v>360000</v>
      </c>
      <c r="V81" s="4">
        <v>2010.5</v>
      </c>
      <c r="W81" s="4" t="s">
        <v>425</v>
      </c>
      <c r="X81" s="4"/>
      <c r="Y81" s="7">
        <v>3</v>
      </c>
      <c r="Z81" s="8">
        <v>414926</v>
      </c>
      <c r="AA81" s="7" t="s">
        <v>92</v>
      </c>
      <c r="AB81" s="7"/>
      <c r="AC81" s="9">
        <v>3</v>
      </c>
      <c r="AD81" s="10">
        <v>414926</v>
      </c>
      <c r="AE81" s="9" t="s">
        <v>92</v>
      </c>
      <c r="AF81" s="9"/>
      <c r="AG81" s="11">
        <v>4</v>
      </c>
      <c r="AH81" s="11" t="s">
        <v>131</v>
      </c>
      <c r="AI81" s="11" t="s">
        <v>588</v>
      </c>
      <c r="AJ81" s="11">
        <v>3</v>
      </c>
      <c r="AK81" s="11" t="s">
        <v>143</v>
      </c>
      <c r="AL81" s="12">
        <v>4</v>
      </c>
      <c r="AM81" s="12" t="s">
        <v>131</v>
      </c>
      <c r="AN81" s="12" t="s">
        <v>589</v>
      </c>
      <c r="AO81" s="12">
        <v>2</v>
      </c>
      <c r="AP81" s="12" t="s">
        <v>132</v>
      </c>
      <c r="AQ81" s="4">
        <v>5</v>
      </c>
      <c r="AR81" s="4" t="s">
        <v>590</v>
      </c>
      <c r="AS81" s="4" t="s">
        <v>591</v>
      </c>
      <c r="AT81" s="13"/>
      <c r="AU81" s="13"/>
      <c r="AV81" s="13"/>
      <c r="AW81" s="13"/>
      <c r="AX81" s="4"/>
      <c r="AY81" s="13"/>
      <c r="AZ81" s="13"/>
      <c r="BA81" s="13"/>
      <c r="BB81" s="13"/>
      <c r="BC81" s="4"/>
      <c r="BD81" s="4"/>
      <c r="BE81" s="4"/>
      <c r="BF81" s="13"/>
      <c r="BG81" s="4"/>
      <c r="BH81" s="13"/>
      <c r="BI81" s="13"/>
      <c r="BJ81" s="4"/>
      <c r="BK81" s="14">
        <v>16</v>
      </c>
      <c r="BL81" s="14">
        <v>16</v>
      </c>
      <c r="BM81" s="14">
        <v>16</v>
      </c>
      <c r="BN81" s="3" t="s">
        <v>312</v>
      </c>
      <c r="BO81" s="3" t="s">
        <v>120</v>
      </c>
      <c r="BP81" s="15"/>
      <c r="BQ81" s="15"/>
      <c r="BR81" s="2" t="s">
        <v>457</v>
      </c>
      <c r="BS81" s="2" t="s">
        <v>457</v>
      </c>
      <c r="BT81" s="7" t="s">
        <v>585</v>
      </c>
      <c r="BU81" s="7"/>
      <c r="BV81" s="9" t="s">
        <v>585</v>
      </c>
      <c r="BW81" s="9"/>
    </row>
    <row r="82" spans="1:75" ht="14.25" customHeight="1" x14ac:dyDescent="0.25">
      <c r="A82" s="1">
        <v>130</v>
      </c>
      <c r="B82" s="1" t="s">
        <v>592</v>
      </c>
      <c r="C82" s="1" t="s">
        <v>593</v>
      </c>
      <c r="D82" s="1" t="s">
        <v>77</v>
      </c>
      <c r="E82" s="1" t="s">
        <v>390</v>
      </c>
      <c r="F82" s="1" t="s">
        <v>504</v>
      </c>
      <c r="G82" s="1" t="s">
        <v>118</v>
      </c>
      <c r="H82" s="2">
        <v>0</v>
      </c>
      <c r="I82" s="2">
        <v>1</v>
      </c>
      <c r="J82" s="2">
        <v>0</v>
      </c>
      <c r="K82" s="2">
        <v>0</v>
      </c>
      <c r="L82" s="3" t="s">
        <v>80</v>
      </c>
      <c r="O82" s="4">
        <v>5</v>
      </c>
      <c r="P82" s="4" t="s">
        <v>594</v>
      </c>
      <c r="Q82" s="4" t="s">
        <v>595</v>
      </c>
      <c r="R82" s="16">
        <v>28000</v>
      </c>
      <c r="S82" s="6">
        <v>28000</v>
      </c>
      <c r="T82" s="16">
        <v>28000</v>
      </c>
      <c r="U82" s="6">
        <v>28000</v>
      </c>
      <c r="V82" s="4"/>
      <c r="W82" s="4" t="s">
        <v>594</v>
      </c>
      <c r="X82" s="4"/>
      <c r="Y82" s="7">
        <v>4</v>
      </c>
      <c r="Z82" s="8">
        <v>82023</v>
      </c>
      <c r="AA82" s="7" t="s">
        <v>92</v>
      </c>
      <c r="AB82" s="7"/>
      <c r="AC82" s="9">
        <v>4</v>
      </c>
      <c r="AD82" s="10">
        <v>82023</v>
      </c>
      <c r="AE82" s="9" t="s">
        <v>92</v>
      </c>
      <c r="AF82" s="9"/>
      <c r="AG82" s="11">
        <v>5</v>
      </c>
      <c r="AH82" s="11" t="s">
        <v>131</v>
      </c>
      <c r="AI82" s="11" t="s">
        <v>596</v>
      </c>
      <c r="AJ82" s="11">
        <v>2</v>
      </c>
      <c r="AK82" s="11" t="s">
        <v>132</v>
      </c>
      <c r="AL82" s="12">
        <v>5</v>
      </c>
      <c r="AM82" s="12" t="s">
        <v>131</v>
      </c>
      <c r="AN82" s="12" t="s">
        <v>597</v>
      </c>
      <c r="AO82" s="12">
        <v>2</v>
      </c>
      <c r="AP82" s="12" t="s">
        <v>143</v>
      </c>
      <c r="AQ82" s="4">
        <v>5</v>
      </c>
      <c r="AR82" s="4" t="s">
        <v>598</v>
      </c>
      <c r="AS82" s="4" t="s">
        <v>599</v>
      </c>
      <c r="AT82" s="13"/>
      <c r="AU82" s="13"/>
      <c r="AV82" s="13"/>
      <c r="AW82" s="13"/>
      <c r="AX82" s="4"/>
      <c r="AY82" s="13"/>
      <c r="AZ82" s="13"/>
      <c r="BA82" s="13"/>
      <c r="BB82" s="13"/>
      <c r="BC82" s="4"/>
      <c r="BD82" s="4"/>
      <c r="BE82" s="4"/>
      <c r="BF82" s="13"/>
      <c r="BG82" s="4"/>
      <c r="BH82" s="13"/>
      <c r="BI82" s="13"/>
      <c r="BJ82" s="4"/>
      <c r="BK82" s="14">
        <v>19</v>
      </c>
      <c r="BL82" s="14">
        <v>19</v>
      </c>
      <c r="BM82" s="14">
        <v>19</v>
      </c>
      <c r="BN82" s="3" t="s">
        <v>312</v>
      </c>
      <c r="BO82" s="3" t="s">
        <v>114</v>
      </c>
      <c r="BP82" s="15"/>
      <c r="BQ82" s="15"/>
      <c r="BR82" s="2" t="s">
        <v>457</v>
      </c>
      <c r="BS82" s="2" t="s">
        <v>457</v>
      </c>
      <c r="BT82" s="7" t="s">
        <v>585</v>
      </c>
      <c r="BU82" s="7"/>
      <c r="BV82" s="9" t="s">
        <v>585</v>
      </c>
      <c r="BW82" s="9"/>
    </row>
    <row r="83" spans="1:75" ht="14.25" customHeight="1" x14ac:dyDescent="0.25">
      <c r="A83" s="1">
        <v>131</v>
      </c>
      <c r="B83" s="1" t="s">
        <v>600</v>
      </c>
      <c r="C83" s="1" t="s">
        <v>601</v>
      </c>
      <c r="D83" s="1" t="s">
        <v>77</v>
      </c>
      <c r="E83" s="1" t="s">
        <v>390</v>
      </c>
      <c r="F83" s="1" t="s">
        <v>504</v>
      </c>
      <c r="G83" s="1"/>
      <c r="H83" s="2">
        <v>1</v>
      </c>
      <c r="I83" s="2">
        <v>1</v>
      </c>
      <c r="J83" s="2">
        <v>0</v>
      </c>
      <c r="K83" s="2">
        <v>0</v>
      </c>
      <c r="L83" s="3" t="s">
        <v>80</v>
      </c>
      <c r="M83" s="3">
        <v>1</v>
      </c>
      <c r="O83" s="4">
        <v>2</v>
      </c>
      <c r="P83" s="4" t="s">
        <v>602</v>
      </c>
      <c r="Q83" s="4"/>
      <c r="R83" s="16">
        <v>8200000</v>
      </c>
      <c r="S83" s="6">
        <v>8200000</v>
      </c>
      <c r="T83" s="16">
        <v>820000</v>
      </c>
      <c r="U83" s="6">
        <v>820000</v>
      </c>
      <c r="V83" s="4">
        <v>2010.5</v>
      </c>
      <c r="W83" s="4" t="s">
        <v>425</v>
      </c>
      <c r="X83" s="4"/>
      <c r="Y83" s="7">
        <v>1</v>
      </c>
      <c r="Z83" s="8">
        <v>27547740</v>
      </c>
      <c r="AA83" s="7" t="s">
        <v>92</v>
      </c>
      <c r="AB83" s="7"/>
      <c r="AC83" s="9">
        <v>1</v>
      </c>
      <c r="AD83" s="10">
        <v>27547740</v>
      </c>
      <c r="AE83" s="9" t="s">
        <v>92</v>
      </c>
      <c r="AF83" s="9"/>
      <c r="AG83" s="11">
        <v>2</v>
      </c>
      <c r="AH83" s="11" t="s">
        <v>131</v>
      </c>
      <c r="AI83" s="11"/>
      <c r="AJ83" s="11">
        <v>3</v>
      </c>
      <c r="AK83" s="11" t="s">
        <v>132</v>
      </c>
      <c r="AL83" s="12">
        <v>2</v>
      </c>
      <c r="AM83" s="12" t="s">
        <v>131</v>
      </c>
      <c r="AN83" s="12"/>
      <c r="AO83" s="12">
        <v>3</v>
      </c>
      <c r="AP83" s="12" t="s">
        <v>143</v>
      </c>
      <c r="AQ83" s="4">
        <v>2</v>
      </c>
      <c r="AR83" s="4" t="s">
        <v>133</v>
      </c>
      <c r="AS83" s="4"/>
      <c r="AT83" s="13">
        <v>-29.344032287597699</v>
      </c>
      <c r="AU83" s="13">
        <v>-0.67837023735046398</v>
      </c>
      <c r="AV83" s="13">
        <v>-1.9349989891052199</v>
      </c>
      <c r="AW83" s="13">
        <v>0.98799997568130504</v>
      </c>
      <c r="AX83" s="4"/>
      <c r="AY83" s="13">
        <v>31.036216735839801</v>
      </c>
      <c r="AZ83" s="13">
        <v>2.7390239238739</v>
      </c>
      <c r="BA83" s="13">
        <v>-2.0099999904632599</v>
      </c>
      <c r="BB83" s="13">
        <v>7.0669050216674796</v>
      </c>
      <c r="BC83" s="4"/>
      <c r="BD83" s="4">
        <v>10</v>
      </c>
      <c r="BE83" s="4" t="s">
        <v>134</v>
      </c>
      <c r="BF83" s="13">
        <v>2.9229989051818799</v>
      </c>
      <c r="BG83" s="4">
        <v>483</v>
      </c>
      <c r="BH83" s="13">
        <v>0.36599999666214</v>
      </c>
      <c r="BI83" s="13">
        <v>176.77799987793</v>
      </c>
      <c r="BJ83" s="4"/>
      <c r="BK83" s="14">
        <v>7</v>
      </c>
      <c r="BL83" s="14">
        <v>7</v>
      </c>
      <c r="BM83" s="14">
        <v>7</v>
      </c>
      <c r="BP83" s="15"/>
      <c r="BQ83" s="15"/>
      <c r="BR83" s="2" t="s">
        <v>12</v>
      </c>
      <c r="BS83" s="2" t="s">
        <v>12</v>
      </c>
      <c r="BT83" s="7" t="s">
        <v>603</v>
      </c>
      <c r="BU83" s="7"/>
      <c r="BV83" s="9" t="s">
        <v>603</v>
      </c>
      <c r="BW83" s="9"/>
    </row>
    <row r="84" spans="1:75" ht="14.25" customHeight="1" x14ac:dyDescent="0.25">
      <c r="A84" s="1">
        <v>132</v>
      </c>
      <c r="B84" s="1" t="s">
        <v>604</v>
      </c>
      <c r="C84" s="1" t="s">
        <v>605</v>
      </c>
      <c r="D84" s="1" t="s">
        <v>77</v>
      </c>
      <c r="E84" s="1" t="s">
        <v>390</v>
      </c>
      <c r="F84" s="1" t="s">
        <v>504</v>
      </c>
      <c r="G84" s="1"/>
      <c r="H84" s="2">
        <v>1</v>
      </c>
      <c r="I84" s="2">
        <v>1</v>
      </c>
      <c r="J84" s="2">
        <v>1</v>
      </c>
      <c r="K84" s="2">
        <v>0</v>
      </c>
      <c r="L84" s="3" t="s">
        <v>80</v>
      </c>
      <c r="M84" s="3">
        <v>1</v>
      </c>
      <c r="O84" s="4">
        <v>1</v>
      </c>
      <c r="P84" s="4" t="s">
        <v>606</v>
      </c>
      <c r="Q84" s="4"/>
      <c r="R84" s="16">
        <v>56000000</v>
      </c>
      <c r="S84" s="6">
        <v>56000000</v>
      </c>
      <c r="T84" s="16">
        <v>17000000</v>
      </c>
      <c r="U84" s="6">
        <v>17000000</v>
      </c>
      <c r="V84" s="4">
        <v>2010.5</v>
      </c>
      <c r="W84" s="4" t="s">
        <v>425</v>
      </c>
      <c r="X84" s="4"/>
      <c r="Y84" s="7">
        <v>1</v>
      </c>
      <c r="Z84" s="8">
        <v>14959690</v>
      </c>
      <c r="AA84" s="7" t="s">
        <v>92</v>
      </c>
      <c r="AB84" s="7"/>
      <c r="AC84" s="9">
        <v>1</v>
      </c>
      <c r="AD84" s="10">
        <v>14959690</v>
      </c>
      <c r="AE84" s="9" t="s">
        <v>92</v>
      </c>
      <c r="AF84" s="9"/>
      <c r="AG84" s="11">
        <v>2</v>
      </c>
      <c r="AH84" s="11" t="s">
        <v>131</v>
      </c>
      <c r="AI84" s="11"/>
      <c r="AJ84" s="11">
        <v>2</v>
      </c>
      <c r="AK84" s="11" t="s">
        <v>132</v>
      </c>
      <c r="AL84" s="12">
        <v>2</v>
      </c>
      <c r="AM84" s="12" t="s">
        <v>131</v>
      </c>
      <c r="AN84" s="12"/>
      <c r="AO84" s="12">
        <v>2</v>
      </c>
      <c r="AP84" s="12" t="s">
        <v>143</v>
      </c>
      <c r="AQ84" s="4">
        <v>4</v>
      </c>
      <c r="AR84" s="4" t="s">
        <v>133</v>
      </c>
      <c r="AS84" s="4"/>
      <c r="AT84" s="13">
        <v>-40.3651313781738</v>
      </c>
      <c r="AU84" s="13">
        <v>-1.0069932937622099</v>
      </c>
      <c r="AV84" s="13">
        <v>-1.6900000572204601</v>
      </c>
      <c r="AW84" s="13">
        <v>-0.39929699897766102</v>
      </c>
      <c r="AX84" s="4">
        <v>1</v>
      </c>
      <c r="AY84" s="13">
        <v>-26.687437057495099</v>
      </c>
      <c r="AZ84" s="13">
        <v>-2.19030094146729</v>
      </c>
      <c r="BA84" s="13">
        <v>-3.2300000190734899</v>
      </c>
      <c r="BB84" s="13">
        <v>-1.3656020164489699</v>
      </c>
      <c r="BC84" s="4">
        <v>1</v>
      </c>
      <c r="BD84" s="4">
        <v>14</v>
      </c>
      <c r="BE84" s="4" t="s">
        <v>134</v>
      </c>
      <c r="BF84" s="13">
        <v>1.2907030582428001</v>
      </c>
      <c r="BG84" s="4">
        <v>1938</v>
      </c>
      <c r="BH84" s="13">
        <v>11.5</v>
      </c>
      <c r="BI84" s="13">
        <v>22272.5390625</v>
      </c>
      <c r="BJ84" s="4"/>
      <c r="BK84" s="14">
        <v>8</v>
      </c>
      <c r="BL84" s="14">
        <v>8</v>
      </c>
      <c r="BM84" s="14">
        <v>8</v>
      </c>
      <c r="BP84" s="15"/>
      <c r="BQ84" s="15"/>
      <c r="BR84" s="2" t="s">
        <v>12</v>
      </c>
      <c r="BS84" s="2" t="s">
        <v>12</v>
      </c>
      <c r="BT84" s="7" t="s">
        <v>585</v>
      </c>
      <c r="BU84" s="7"/>
      <c r="BV84" s="9" t="s">
        <v>585</v>
      </c>
      <c r="BW84" s="9"/>
    </row>
    <row r="85" spans="1:75" ht="14.25" customHeight="1" x14ac:dyDescent="0.25">
      <c r="A85" s="1">
        <v>138</v>
      </c>
      <c r="B85" s="1" t="s">
        <v>607</v>
      </c>
      <c r="C85" s="1" t="s">
        <v>608</v>
      </c>
      <c r="D85" s="1" t="s">
        <v>77</v>
      </c>
      <c r="E85" s="1" t="s">
        <v>390</v>
      </c>
      <c r="F85" s="1" t="s">
        <v>504</v>
      </c>
      <c r="G85" s="1"/>
      <c r="H85" s="2">
        <v>0</v>
      </c>
      <c r="I85" s="2">
        <v>1</v>
      </c>
      <c r="J85" s="2">
        <v>0</v>
      </c>
      <c r="K85" s="2">
        <v>0</v>
      </c>
      <c r="L85" s="3" t="s">
        <v>80</v>
      </c>
      <c r="M85" s="3">
        <v>1</v>
      </c>
      <c r="O85" s="4"/>
      <c r="P85" s="4" t="s">
        <v>609</v>
      </c>
      <c r="Q85" s="4"/>
      <c r="R85" s="5"/>
      <c r="S85" s="6"/>
      <c r="T85" s="17"/>
      <c r="U85" s="6"/>
      <c r="V85" s="4"/>
      <c r="W85" s="4"/>
      <c r="X85" s="4"/>
      <c r="Y85" s="7"/>
      <c r="Z85" s="8"/>
      <c r="AA85" s="7" t="s">
        <v>610</v>
      </c>
      <c r="AB85" s="7"/>
      <c r="AC85" s="9"/>
      <c r="AD85" s="10"/>
      <c r="AE85" s="9" t="s">
        <v>610</v>
      </c>
      <c r="AF85" s="9"/>
      <c r="AG85" s="11">
        <v>3</v>
      </c>
      <c r="AH85" s="11" t="s">
        <v>544</v>
      </c>
      <c r="AI85" s="11" t="s">
        <v>611</v>
      </c>
      <c r="AJ85" s="11"/>
      <c r="AK85" s="11"/>
      <c r="AL85" s="12">
        <v>3</v>
      </c>
      <c r="AM85" s="12" t="s">
        <v>544</v>
      </c>
      <c r="AN85" s="12"/>
      <c r="AO85" s="12"/>
      <c r="AP85" s="12"/>
      <c r="AQ85" s="4">
        <v>3</v>
      </c>
      <c r="AR85" s="4" t="s">
        <v>610</v>
      </c>
      <c r="AS85" s="4"/>
      <c r="AT85" s="13"/>
      <c r="AU85" s="13"/>
      <c r="AV85" s="13"/>
      <c r="AW85" s="13"/>
      <c r="AX85" s="4"/>
      <c r="AY85" s="13"/>
      <c r="AZ85" s="13"/>
      <c r="BA85" s="13"/>
      <c r="BB85" s="13"/>
      <c r="BC85" s="4"/>
      <c r="BD85" s="4"/>
      <c r="BE85" s="4"/>
      <c r="BF85" s="13"/>
      <c r="BG85" s="4"/>
      <c r="BH85" s="13"/>
      <c r="BI85" s="13"/>
      <c r="BJ85" s="4"/>
      <c r="BK85" s="14"/>
      <c r="BL85" s="14"/>
      <c r="BM85" s="14"/>
      <c r="BP85" s="15"/>
      <c r="BQ85" s="15"/>
      <c r="BR85" s="2" t="s">
        <v>12</v>
      </c>
      <c r="BS85" s="2" t="s">
        <v>12</v>
      </c>
      <c r="BT85" s="7" t="s">
        <v>539</v>
      </c>
      <c r="BU85" s="7"/>
      <c r="BV85" s="9" t="s">
        <v>539</v>
      </c>
      <c r="BW85" s="9"/>
    </row>
    <row r="86" spans="1:75" ht="14.25" customHeight="1" x14ac:dyDescent="0.25">
      <c r="A86" s="1">
        <v>139</v>
      </c>
      <c r="B86" s="1" t="s">
        <v>612</v>
      </c>
      <c r="C86" s="1" t="s">
        <v>613</v>
      </c>
      <c r="D86" s="1" t="s">
        <v>77</v>
      </c>
      <c r="E86" s="1" t="s">
        <v>390</v>
      </c>
      <c r="F86" s="1" t="s">
        <v>504</v>
      </c>
      <c r="G86" s="1"/>
      <c r="H86" s="2">
        <v>1</v>
      </c>
      <c r="I86" s="2">
        <v>1</v>
      </c>
      <c r="J86" s="2">
        <v>0</v>
      </c>
      <c r="K86" s="2">
        <v>0</v>
      </c>
      <c r="L86" s="3" t="s">
        <v>80</v>
      </c>
      <c r="M86" s="3">
        <v>1</v>
      </c>
      <c r="O86" s="4">
        <v>2</v>
      </c>
      <c r="P86" s="4" t="s">
        <v>602</v>
      </c>
      <c r="Q86" s="4"/>
      <c r="R86" s="16">
        <v>7800000</v>
      </c>
      <c r="S86" s="6">
        <v>7800000</v>
      </c>
      <c r="T86" s="16">
        <v>390000</v>
      </c>
      <c r="U86" s="6">
        <v>390000</v>
      </c>
      <c r="V86" s="4">
        <v>2010.5</v>
      </c>
      <c r="W86" s="4" t="s">
        <v>425</v>
      </c>
      <c r="X86" s="4"/>
      <c r="Y86" s="7">
        <v>1</v>
      </c>
      <c r="Z86" s="8">
        <v>19309800</v>
      </c>
      <c r="AA86" s="7" t="s">
        <v>92</v>
      </c>
      <c r="AB86" s="7"/>
      <c r="AC86" s="9">
        <v>1</v>
      </c>
      <c r="AD86" s="10">
        <v>19309800</v>
      </c>
      <c r="AE86" s="9" t="s">
        <v>92</v>
      </c>
      <c r="AF86" s="9"/>
      <c r="AG86" s="11">
        <v>2</v>
      </c>
      <c r="AH86" s="11" t="s">
        <v>131</v>
      </c>
      <c r="AI86" s="11"/>
      <c r="AJ86" s="11">
        <v>2</v>
      </c>
      <c r="AK86" s="11" t="s">
        <v>332</v>
      </c>
      <c r="AL86" s="12">
        <v>2</v>
      </c>
      <c r="AM86" s="12" t="s">
        <v>131</v>
      </c>
      <c r="AN86" s="12"/>
      <c r="AO86" s="12">
        <v>4</v>
      </c>
      <c r="AP86" s="12" t="s">
        <v>332</v>
      </c>
      <c r="AQ86" s="4">
        <v>2</v>
      </c>
      <c r="AR86" s="4" t="s">
        <v>133</v>
      </c>
      <c r="AS86" s="4"/>
      <c r="AT86" s="13">
        <v>0.95199424028396595</v>
      </c>
      <c r="AU86" s="13">
        <v>1.89376380294561E-2</v>
      </c>
      <c r="AV86" s="13">
        <v>-1.7200000286102299</v>
      </c>
      <c r="AW86" s="13">
        <v>1.6111969947814899</v>
      </c>
      <c r="AX86" s="4"/>
      <c r="AY86" s="13">
        <v>27.192573547363299</v>
      </c>
      <c r="AZ86" s="13">
        <v>2.4337563514709499</v>
      </c>
      <c r="BA86" s="13">
        <v>-0.87159901857376099</v>
      </c>
      <c r="BB86" s="13">
        <v>6.5799999237060502</v>
      </c>
      <c r="BC86" s="4"/>
      <c r="BD86" s="4">
        <v>10</v>
      </c>
      <c r="BE86" s="4" t="s">
        <v>134</v>
      </c>
      <c r="BF86" s="13">
        <v>3.3311970233917201</v>
      </c>
      <c r="BG86" s="4">
        <v>181.5</v>
      </c>
      <c r="BH86" s="13">
        <v>0.72699999809265103</v>
      </c>
      <c r="BI86" s="13">
        <v>131.97900390625</v>
      </c>
      <c r="BJ86" s="4"/>
      <c r="BK86" s="14">
        <v>7</v>
      </c>
      <c r="BL86" s="14">
        <v>7</v>
      </c>
      <c r="BM86" s="14">
        <v>7</v>
      </c>
      <c r="BP86" s="15"/>
      <c r="BQ86" s="15"/>
      <c r="BR86" s="2" t="s">
        <v>12</v>
      </c>
      <c r="BS86" s="2" t="s">
        <v>12</v>
      </c>
      <c r="BT86" s="7" t="s">
        <v>475</v>
      </c>
      <c r="BU86" s="7"/>
      <c r="BV86" s="9" t="s">
        <v>475</v>
      </c>
      <c r="BW86" s="9"/>
    </row>
    <row r="87" spans="1:75" ht="14.25" customHeight="1" x14ac:dyDescent="0.25">
      <c r="A87" s="1">
        <v>142</v>
      </c>
      <c r="B87" s="1" t="s">
        <v>614</v>
      </c>
      <c r="C87" s="1" t="s">
        <v>615</v>
      </c>
      <c r="D87" s="1" t="s">
        <v>616</v>
      </c>
      <c r="E87" s="1" t="s">
        <v>617</v>
      </c>
      <c r="F87" s="1" t="s">
        <v>618</v>
      </c>
      <c r="G87" s="1"/>
      <c r="H87" s="2">
        <v>0</v>
      </c>
      <c r="I87" s="2">
        <v>1</v>
      </c>
      <c r="J87" s="2">
        <v>1</v>
      </c>
      <c r="K87" s="2">
        <v>1</v>
      </c>
      <c r="L87" s="3" t="s">
        <v>80</v>
      </c>
      <c r="O87" s="4">
        <v>4</v>
      </c>
      <c r="P87" s="4" t="s">
        <v>225</v>
      </c>
      <c r="Q87" s="4" t="s">
        <v>619</v>
      </c>
      <c r="R87" s="16">
        <v>180000</v>
      </c>
      <c r="S87" s="6">
        <v>180000</v>
      </c>
      <c r="T87" s="17"/>
      <c r="U87" s="6"/>
      <c r="V87" s="4"/>
      <c r="W87" s="4"/>
      <c r="X87" s="4"/>
      <c r="Y87" s="7">
        <v>3</v>
      </c>
      <c r="Z87" s="8">
        <v>327654</v>
      </c>
      <c r="AA87" s="7" t="s">
        <v>130</v>
      </c>
      <c r="AB87" s="7"/>
      <c r="AC87" s="9">
        <v>3</v>
      </c>
      <c r="AD87" s="10">
        <v>375295</v>
      </c>
      <c r="AE87" s="9" t="s">
        <v>130</v>
      </c>
      <c r="AF87" s="9"/>
      <c r="AG87" s="11">
        <v>4</v>
      </c>
      <c r="AH87" s="11" t="s">
        <v>620</v>
      </c>
      <c r="AI87" s="11"/>
      <c r="AJ87" s="11"/>
      <c r="AK87" s="11"/>
      <c r="AL87" s="12">
        <v>3</v>
      </c>
      <c r="AM87" s="12" t="s">
        <v>620</v>
      </c>
      <c r="AN87" s="12"/>
      <c r="AO87" s="12"/>
      <c r="AP87" s="12"/>
      <c r="AQ87" s="4">
        <v>2</v>
      </c>
      <c r="AR87" s="4" t="s">
        <v>621</v>
      </c>
      <c r="AS87" s="4" t="s">
        <v>622</v>
      </c>
      <c r="AT87" s="13"/>
      <c r="AU87" s="13"/>
      <c r="AV87" s="13"/>
      <c r="AW87" s="13"/>
      <c r="AX87" s="4"/>
      <c r="AY87" s="13"/>
      <c r="AZ87" s="13"/>
      <c r="BA87" s="13"/>
      <c r="BB87" s="13"/>
      <c r="BC87" s="4"/>
      <c r="BD87" s="4"/>
      <c r="BE87" s="4"/>
      <c r="BF87" s="13"/>
      <c r="BG87" s="4"/>
      <c r="BH87" s="13"/>
      <c r="BI87" s="13"/>
      <c r="BJ87" s="4"/>
      <c r="BK87" s="14">
        <v>13</v>
      </c>
      <c r="BL87" s="14">
        <v>12</v>
      </c>
      <c r="BM87" s="14">
        <v>13</v>
      </c>
      <c r="BP87" s="15"/>
      <c r="BQ87" s="15"/>
      <c r="BR87" s="2" t="s">
        <v>97</v>
      </c>
      <c r="BS87" s="2" t="s">
        <v>97</v>
      </c>
      <c r="BT87" s="7" t="s">
        <v>357</v>
      </c>
      <c r="BU87" s="7" t="s">
        <v>623</v>
      </c>
      <c r="BV87" s="9" t="s">
        <v>357</v>
      </c>
      <c r="BW87" s="9" t="s">
        <v>623</v>
      </c>
    </row>
    <row r="88" spans="1:75" ht="14.25" customHeight="1" x14ac:dyDescent="0.25">
      <c r="A88" s="1">
        <v>143</v>
      </c>
      <c r="B88" s="1" t="s">
        <v>624</v>
      </c>
      <c r="C88" s="1" t="s">
        <v>625</v>
      </c>
      <c r="D88" s="1" t="s">
        <v>616</v>
      </c>
      <c r="E88" s="1" t="s">
        <v>626</v>
      </c>
      <c r="F88" s="1" t="s">
        <v>627</v>
      </c>
      <c r="G88" s="1"/>
      <c r="H88" s="2">
        <v>0</v>
      </c>
      <c r="I88" s="2">
        <v>1</v>
      </c>
      <c r="J88" s="2">
        <v>1</v>
      </c>
      <c r="K88" s="2">
        <v>1</v>
      </c>
      <c r="L88" s="3" t="s">
        <v>80</v>
      </c>
      <c r="O88" s="4">
        <v>3</v>
      </c>
      <c r="P88" s="4" t="s">
        <v>81</v>
      </c>
      <c r="Q88" s="4" t="s">
        <v>628</v>
      </c>
      <c r="R88" s="5" t="s">
        <v>629</v>
      </c>
      <c r="S88" s="6">
        <v>500000</v>
      </c>
      <c r="T88" s="17"/>
      <c r="U88" s="6"/>
      <c r="V88" s="4"/>
      <c r="W88" s="4"/>
      <c r="X88" s="4"/>
      <c r="Y88" s="7">
        <v>1</v>
      </c>
      <c r="Z88" s="8">
        <v>9185115</v>
      </c>
      <c r="AA88" s="7" t="s">
        <v>130</v>
      </c>
      <c r="AB88" s="7"/>
      <c r="AC88" s="9">
        <v>1</v>
      </c>
      <c r="AD88" s="10">
        <v>9184626</v>
      </c>
      <c r="AE88" s="9" t="s">
        <v>130</v>
      </c>
      <c r="AF88" s="9"/>
      <c r="AG88" s="11">
        <v>2</v>
      </c>
      <c r="AH88" s="11" t="s">
        <v>630</v>
      </c>
      <c r="AI88" s="11" t="s">
        <v>631</v>
      </c>
      <c r="AJ88" s="11">
        <v>2</v>
      </c>
      <c r="AK88" s="11" t="s">
        <v>132</v>
      </c>
      <c r="AL88" s="12">
        <v>2</v>
      </c>
      <c r="AM88" s="12" t="s">
        <v>630</v>
      </c>
      <c r="AN88" s="12"/>
      <c r="AO88" s="12">
        <v>1</v>
      </c>
      <c r="AP88" s="12" t="s">
        <v>132</v>
      </c>
      <c r="AQ88" s="4">
        <v>2</v>
      </c>
      <c r="AR88" s="4" t="s">
        <v>83</v>
      </c>
      <c r="AS88" s="4" t="s">
        <v>632</v>
      </c>
      <c r="AT88" s="13"/>
      <c r="AU88" s="13"/>
      <c r="AV88" s="13"/>
      <c r="AW88" s="13"/>
      <c r="AX88" s="4"/>
      <c r="AY88" s="13"/>
      <c r="AZ88" s="13"/>
      <c r="BA88" s="13"/>
      <c r="BB88" s="13"/>
      <c r="BC88" s="4"/>
      <c r="BD88" s="4"/>
      <c r="BE88" s="4"/>
      <c r="BF88" s="13"/>
      <c r="BG88" s="4"/>
      <c r="BH88" s="13"/>
      <c r="BI88" s="13"/>
      <c r="BJ88" s="4"/>
      <c r="BK88" s="14">
        <v>8</v>
      </c>
      <c r="BL88" s="14">
        <v>8</v>
      </c>
      <c r="BM88" s="14">
        <v>8</v>
      </c>
      <c r="BP88" s="15"/>
      <c r="BQ88" s="15"/>
      <c r="BR88" s="2" t="s">
        <v>97</v>
      </c>
      <c r="BS88" s="2" t="s">
        <v>97</v>
      </c>
      <c r="BT88" s="7" t="s">
        <v>137</v>
      </c>
      <c r="BU88" s="7"/>
      <c r="BV88" s="9" t="s">
        <v>137</v>
      </c>
      <c r="BW88" s="9"/>
    </row>
    <row r="89" spans="1:75" ht="14.25" customHeight="1" x14ac:dyDescent="0.25">
      <c r="A89" s="1">
        <v>144</v>
      </c>
      <c r="B89" s="1" t="s">
        <v>633</v>
      </c>
      <c r="C89" s="1" t="s">
        <v>634</v>
      </c>
      <c r="D89" s="1" t="s">
        <v>616</v>
      </c>
      <c r="E89" s="1" t="s">
        <v>626</v>
      </c>
      <c r="F89" s="1" t="s">
        <v>627</v>
      </c>
      <c r="G89" s="1"/>
      <c r="H89" s="2">
        <v>1</v>
      </c>
      <c r="I89" s="2">
        <v>1</v>
      </c>
      <c r="J89" s="2">
        <v>1</v>
      </c>
      <c r="K89" s="2">
        <v>1</v>
      </c>
      <c r="L89" s="3" t="s">
        <v>127</v>
      </c>
      <c r="O89" s="4">
        <v>3</v>
      </c>
      <c r="P89" s="4" t="s">
        <v>635</v>
      </c>
      <c r="Q89" s="4" t="s">
        <v>169</v>
      </c>
      <c r="R89" s="16">
        <v>3100000</v>
      </c>
      <c r="S89" s="6">
        <v>3100000</v>
      </c>
      <c r="T89" s="16">
        <v>1100000</v>
      </c>
      <c r="U89" s="6">
        <v>1100000</v>
      </c>
      <c r="V89" s="4">
        <v>2010.5</v>
      </c>
      <c r="W89" s="4" t="s">
        <v>425</v>
      </c>
      <c r="X89" s="4"/>
      <c r="Y89" s="7">
        <v>1</v>
      </c>
      <c r="Z89" s="8">
        <v>20982210</v>
      </c>
      <c r="AA89" s="7" t="s">
        <v>130</v>
      </c>
      <c r="AB89" s="7"/>
      <c r="AC89" s="9">
        <v>1</v>
      </c>
      <c r="AD89" s="10">
        <v>14986567</v>
      </c>
      <c r="AE89" s="9" t="s">
        <v>130</v>
      </c>
      <c r="AF89" s="9"/>
      <c r="AG89" s="11">
        <v>2</v>
      </c>
      <c r="AH89" s="11" t="s">
        <v>630</v>
      </c>
      <c r="AI89" s="11" t="s">
        <v>636</v>
      </c>
      <c r="AJ89" s="11">
        <v>2</v>
      </c>
      <c r="AK89" s="11" t="s">
        <v>132</v>
      </c>
      <c r="AL89" s="12">
        <v>2</v>
      </c>
      <c r="AM89" s="12" t="s">
        <v>630</v>
      </c>
      <c r="AN89" s="12"/>
      <c r="AO89" s="12">
        <v>2</v>
      </c>
      <c r="AP89" s="12" t="s">
        <v>132</v>
      </c>
      <c r="AQ89" s="4">
        <v>2</v>
      </c>
      <c r="AR89" s="4" t="s">
        <v>133</v>
      </c>
      <c r="AS89" s="4"/>
      <c r="AT89" s="13">
        <v>29.155668258666999</v>
      </c>
      <c r="AU89" s="13">
        <v>0.50350683927536</v>
      </c>
      <c r="AV89" s="13">
        <v>-0.384999990463257</v>
      </c>
      <c r="AW89" s="13">
        <v>1.12730300426483</v>
      </c>
      <c r="AX89" s="4"/>
      <c r="AY89" s="13">
        <v>-27.360570907592798</v>
      </c>
      <c r="AZ89" s="13">
        <v>-3.14605641365051</v>
      </c>
      <c r="BA89" s="13">
        <v>-7.9509968757629403</v>
      </c>
      <c r="BB89" s="13">
        <v>1.8500000238418599</v>
      </c>
      <c r="BC89" s="4"/>
      <c r="BD89" s="4">
        <v>10</v>
      </c>
      <c r="BE89" s="4" t="s">
        <v>134</v>
      </c>
      <c r="BF89" s="13">
        <v>1.5123029947280899</v>
      </c>
      <c r="BG89" s="4">
        <v>1183.5</v>
      </c>
      <c r="BH89" s="13">
        <v>0.18950000405311601</v>
      </c>
      <c r="BI89" s="13">
        <v>224.83850097656301</v>
      </c>
      <c r="BJ89" s="4"/>
      <c r="BK89" s="14">
        <v>8</v>
      </c>
      <c r="BL89" s="14">
        <v>8</v>
      </c>
      <c r="BM89" s="14">
        <v>8</v>
      </c>
      <c r="BP89" s="15"/>
      <c r="BQ89" s="15"/>
      <c r="BR89" s="2" t="s">
        <v>247</v>
      </c>
      <c r="BS89" s="2" t="s">
        <v>247</v>
      </c>
      <c r="BT89" s="7" t="s">
        <v>147</v>
      </c>
      <c r="BU89" s="7"/>
      <c r="BV89" s="9" t="s">
        <v>212</v>
      </c>
      <c r="BW89" s="9"/>
    </row>
    <row r="90" spans="1:75" ht="14.25" customHeight="1" x14ac:dyDescent="0.25">
      <c r="A90" s="1">
        <v>146</v>
      </c>
      <c r="B90" s="1" t="s">
        <v>637</v>
      </c>
      <c r="C90" s="1" t="s">
        <v>638</v>
      </c>
      <c r="D90" s="1" t="s">
        <v>616</v>
      </c>
      <c r="E90" s="1" t="s">
        <v>626</v>
      </c>
      <c r="F90" s="1" t="s">
        <v>627</v>
      </c>
      <c r="G90" s="1"/>
      <c r="H90" s="2">
        <v>1</v>
      </c>
      <c r="I90" s="2">
        <v>1</v>
      </c>
      <c r="J90" s="2">
        <v>1</v>
      </c>
      <c r="K90" s="2">
        <v>0</v>
      </c>
      <c r="L90" s="3" t="s">
        <v>127</v>
      </c>
      <c r="O90" s="4">
        <v>3</v>
      </c>
      <c r="P90" s="4" t="s">
        <v>639</v>
      </c>
      <c r="Q90" s="4" t="s">
        <v>169</v>
      </c>
      <c r="R90" s="16">
        <v>620000</v>
      </c>
      <c r="S90" s="6">
        <v>620000</v>
      </c>
      <c r="T90" s="16">
        <v>250000</v>
      </c>
      <c r="U90" s="6">
        <v>250000</v>
      </c>
      <c r="V90" s="4">
        <v>2010.5</v>
      </c>
      <c r="W90" s="4" t="s">
        <v>640</v>
      </c>
      <c r="X90" s="4"/>
      <c r="Y90" s="7">
        <v>1</v>
      </c>
      <c r="Z90" s="8">
        <v>13055513</v>
      </c>
      <c r="AA90" s="7" t="s">
        <v>154</v>
      </c>
      <c r="AB90" s="7"/>
      <c r="AC90" s="9">
        <v>1</v>
      </c>
      <c r="AD90" s="10">
        <v>5391903</v>
      </c>
      <c r="AE90" s="9" t="s">
        <v>155</v>
      </c>
      <c r="AF90" s="9"/>
      <c r="AG90" s="11">
        <v>4</v>
      </c>
      <c r="AH90" s="11" t="s">
        <v>630</v>
      </c>
      <c r="AI90" s="11" t="s">
        <v>641</v>
      </c>
      <c r="AJ90" s="11">
        <v>4</v>
      </c>
      <c r="AK90" s="11" t="s">
        <v>143</v>
      </c>
      <c r="AL90" s="12">
        <v>3</v>
      </c>
      <c r="AM90" s="12" t="s">
        <v>630</v>
      </c>
      <c r="AN90" s="12" t="s">
        <v>642</v>
      </c>
      <c r="AO90" s="12">
        <v>2</v>
      </c>
      <c r="AP90" s="12" t="s">
        <v>132</v>
      </c>
      <c r="AQ90" s="4">
        <v>5</v>
      </c>
      <c r="AR90" s="4" t="s">
        <v>133</v>
      </c>
      <c r="AS90" s="4"/>
      <c r="AT90" s="13">
        <v>-57.981685638427699</v>
      </c>
      <c r="AU90" s="13">
        <v>-1.6835353374481199</v>
      </c>
      <c r="AV90" s="13">
        <v>-4.3600001335143999</v>
      </c>
      <c r="AW90" s="13">
        <v>-0.38199999928474399</v>
      </c>
      <c r="AX90" s="4">
        <v>1</v>
      </c>
      <c r="AY90" s="13">
        <v>-17.103147506713899</v>
      </c>
      <c r="AZ90" s="13">
        <v>-1.4323468208312999</v>
      </c>
      <c r="BA90" s="13">
        <v>-4.6019968986511204</v>
      </c>
      <c r="BB90" s="13">
        <v>1.79999995231628</v>
      </c>
      <c r="BC90" s="4"/>
      <c r="BD90" s="4">
        <v>13</v>
      </c>
      <c r="BE90" s="4" t="s">
        <v>134</v>
      </c>
      <c r="BF90" s="13">
        <v>3.9779999256134002</v>
      </c>
      <c r="BG90" s="4">
        <v>235</v>
      </c>
      <c r="BH90" s="13">
        <v>0.24600000679493</v>
      </c>
      <c r="BI90" s="13">
        <v>57.948001861572301</v>
      </c>
      <c r="BJ90" s="4"/>
      <c r="BK90" s="14">
        <v>13</v>
      </c>
      <c r="BL90" s="14">
        <v>12</v>
      </c>
      <c r="BM90" s="14">
        <v>13</v>
      </c>
      <c r="BN90" s="3" t="s">
        <v>113</v>
      </c>
      <c r="BO90" s="3" t="s">
        <v>114</v>
      </c>
      <c r="BP90" s="15"/>
      <c r="BQ90" s="15"/>
      <c r="BR90" s="2" t="s">
        <v>211</v>
      </c>
      <c r="BS90" s="2" t="s">
        <v>172</v>
      </c>
      <c r="BT90" s="7" t="s">
        <v>147</v>
      </c>
      <c r="BU90" s="7"/>
      <c r="BV90" s="9" t="s">
        <v>163</v>
      </c>
      <c r="BW90" s="9" t="s">
        <v>212</v>
      </c>
    </row>
    <row r="91" spans="1:75" ht="14.25" customHeight="1" x14ac:dyDescent="0.25">
      <c r="A91" s="1">
        <v>160</v>
      </c>
      <c r="B91" s="1" t="s">
        <v>643</v>
      </c>
      <c r="C91" s="1" t="s">
        <v>644</v>
      </c>
      <c r="D91" s="1" t="s">
        <v>77</v>
      </c>
      <c r="E91" s="1" t="s">
        <v>645</v>
      </c>
      <c r="F91" s="1" t="s">
        <v>646</v>
      </c>
      <c r="G91" s="1"/>
      <c r="H91" s="2">
        <v>1</v>
      </c>
      <c r="I91" s="2">
        <v>1</v>
      </c>
      <c r="J91" s="2">
        <v>1</v>
      </c>
      <c r="K91" s="2">
        <v>1</v>
      </c>
      <c r="L91" s="3" t="s">
        <v>127</v>
      </c>
      <c r="O91" s="4">
        <v>2</v>
      </c>
      <c r="P91" s="4" t="s">
        <v>470</v>
      </c>
      <c r="Q91" s="4"/>
      <c r="R91" s="16">
        <v>6100000</v>
      </c>
      <c r="S91" s="6">
        <v>6100000</v>
      </c>
      <c r="T91" s="16">
        <v>1500000</v>
      </c>
      <c r="U91" s="6">
        <v>1500000</v>
      </c>
      <c r="V91" s="4">
        <v>2010.5</v>
      </c>
      <c r="W91" s="4" t="s">
        <v>425</v>
      </c>
      <c r="X91" s="4"/>
      <c r="Y91" s="7">
        <v>2</v>
      </c>
      <c r="Z91" s="8">
        <v>3311640</v>
      </c>
      <c r="AA91" s="7" t="s">
        <v>92</v>
      </c>
      <c r="AB91" s="7"/>
      <c r="AC91" s="9">
        <v>2</v>
      </c>
      <c r="AD91" s="10">
        <v>2334461</v>
      </c>
      <c r="AE91" s="9" t="s">
        <v>92</v>
      </c>
      <c r="AF91" s="9" t="s">
        <v>647</v>
      </c>
      <c r="AG91" s="11">
        <v>3</v>
      </c>
      <c r="AH91" s="11" t="s">
        <v>131</v>
      </c>
      <c r="AI91" s="11" t="s">
        <v>648</v>
      </c>
      <c r="AJ91" s="11">
        <v>3</v>
      </c>
      <c r="AK91" s="11" t="s">
        <v>132</v>
      </c>
      <c r="AL91" s="12">
        <v>4</v>
      </c>
      <c r="AM91" s="12" t="s">
        <v>131</v>
      </c>
      <c r="AN91" s="12" t="s">
        <v>649</v>
      </c>
      <c r="AO91" s="12">
        <v>4</v>
      </c>
      <c r="AP91" s="12" t="s">
        <v>143</v>
      </c>
      <c r="AQ91" s="4">
        <v>3</v>
      </c>
      <c r="AR91" s="4" t="s">
        <v>133</v>
      </c>
      <c r="AS91" s="4"/>
      <c r="AT91" s="13">
        <v>-43.8745727539063</v>
      </c>
      <c r="AU91" s="13">
        <v>-1.12602066993713</v>
      </c>
      <c r="AV91" s="13">
        <v>-1.87999999523163</v>
      </c>
      <c r="AW91" s="13">
        <v>-0.451999992132187</v>
      </c>
      <c r="AX91" s="4">
        <v>1</v>
      </c>
      <c r="AY91" s="13">
        <v>11.7149209976196</v>
      </c>
      <c r="AZ91" s="13">
        <v>0.85535085201263406</v>
      </c>
      <c r="BA91" s="13">
        <v>-0.65780299901962302</v>
      </c>
      <c r="BB91" s="13">
        <v>2.6500000953674299</v>
      </c>
      <c r="BC91" s="4"/>
      <c r="BD91" s="4">
        <v>13</v>
      </c>
      <c r="BE91" s="4" t="s">
        <v>134</v>
      </c>
      <c r="BF91" s="13">
        <v>1.42799997329712</v>
      </c>
      <c r="BG91" s="4">
        <v>347.5</v>
      </c>
      <c r="BH91" s="13">
        <v>2.2799999713897701</v>
      </c>
      <c r="BI91" s="13">
        <v>792.23498535156295</v>
      </c>
      <c r="BJ91" s="4"/>
      <c r="BK91" s="14">
        <v>10</v>
      </c>
      <c r="BL91" s="14">
        <v>11</v>
      </c>
      <c r="BM91" s="14">
        <v>11</v>
      </c>
      <c r="BP91" s="15" t="s">
        <v>135</v>
      </c>
      <c r="BQ91" s="15"/>
      <c r="BR91" s="2" t="s">
        <v>256</v>
      </c>
      <c r="BS91" s="2" t="s">
        <v>409</v>
      </c>
      <c r="BT91" s="7" t="s">
        <v>428</v>
      </c>
      <c r="BU91" s="7" t="s">
        <v>437</v>
      </c>
      <c r="BV91" s="9" t="s">
        <v>438</v>
      </c>
      <c r="BW91" s="9" t="s">
        <v>428</v>
      </c>
    </row>
    <row r="92" spans="1:75" ht="14.25" customHeight="1" x14ac:dyDescent="0.25">
      <c r="A92" s="1">
        <v>163</v>
      </c>
      <c r="B92" s="1" t="s">
        <v>650</v>
      </c>
      <c r="C92" s="1" t="s">
        <v>651</v>
      </c>
      <c r="D92" s="1" t="s">
        <v>77</v>
      </c>
      <c r="E92" s="1" t="s">
        <v>645</v>
      </c>
      <c r="F92" s="1" t="s">
        <v>646</v>
      </c>
      <c r="G92" s="1"/>
      <c r="H92" s="2">
        <v>0</v>
      </c>
      <c r="I92" s="2">
        <v>0</v>
      </c>
      <c r="J92" s="2">
        <v>0</v>
      </c>
      <c r="K92" s="2">
        <v>1</v>
      </c>
      <c r="L92" s="3" t="s">
        <v>80</v>
      </c>
      <c r="O92" s="4">
        <v>2</v>
      </c>
      <c r="P92" s="4" t="s">
        <v>81</v>
      </c>
      <c r="Q92" s="4"/>
      <c r="R92" s="5"/>
      <c r="S92" s="6"/>
      <c r="T92" s="17"/>
      <c r="U92" s="6"/>
      <c r="V92" s="4"/>
      <c r="W92" s="4"/>
      <c r="X92" s="4"/>
      <c r="Y92" s="7">
        <v>1</v>
      </c>
      <c r="Z92" s="8">
        <v>6909885</v>
      </c>
      <c r="AA92" s="7" t="s">
        <v>82</v>
      </c>
      <c r="AB92" s="7"/>
      <c r="AC92" s="9">
        <v>1</v>
      </c>
      <c r="AD92" s="10">
        <v>6909885</v>
      </c>
      <c r="AE92" s="9" t="s">
        <v>82</v>
      </c>
      <c r="AF92" s="9"/>
      <c r="AG92" s="11">
        <v>3</v>
      </c>
      <c r="AH92" s="11" t="s">
        <v>83</v>
      </c>
      <c r="AI92" s="11"/>
      <c r="AJ92" s="11"/>
      <c r="AK92" s="11"/>
      <c r="AL92" s="12">
        <v>3</v>
      </c>
      <c r="AM92" s="12" t="s">
        <v>83</v>
      </c>
      <c r="AN92" s="12"/>
      <c r="AO92" s="12"/>
      <c r="AP92" s="12"/>
      <c r="AQ92" s="4">
        <v>3</v>
      </c>
      <c r="AR92" s="4" t="s">
        <v>83</v>
      </c>
      <c r="AS92" s="4"/>
      <c r="AT92" s="13"/>
      <c r="AU92" s="13"/>
      <c r="AV92" s="13"/>
      <c r="AW92" s="13"/>
      <c r="AX92" s="4"/>
      <c r="AY92" s="13"/>
      <c r="AZ92" s="13"/>
      <c r="BA92" s="13"/>
      <c r="BB92" s="13"/>
      <c r="BC92" s="4"/>
      <c r="BD92" s="4"/>
      <c r="BE92" s="4"/>
      <c r="BF92" s="13"/>
      <c r="BG92" s="4"/>
      <c r="BH92" s="13"/>
      <c r="BI92" s="13"/>
      <c r="BJ92" s="4"/>
      <c r="BK92" s="14">
        <v>9</v>
      </c>
      <c r="BL92" s="14">
        <v>9</v>
      </c>
      <c r="BM92" s="14">
        <v>9</v>
      </c>
      <c r="BP92" s="15"/>
      <c r="BQ92" s="15"/>
      <c r="BR92" s="2" t="s">
        <v>97</v>
      </c>
      <c r="BS92" s="2" t="s">
        <v>97</v>
      </c>
      <c r="BT92" s="7" t="s">
        <v>98</v>
      </c>
      <c r="BU92" s="7"/>
      <c r="BV92" s="9" t="s">
        <v>98</v>
      </c>
      <c r="BW92" s="9"/>
    </row>
    <row r="93" spans="1:75" ht="14.25" customHeight="1" x14ac:dyDescent="0.25">
      <c r="A93" s="1">
        <v>164</v>
      </c>
      <c r="B93" s="1" t="s">
        <v>652</v>
      </c>
      <c r="C93" s="1" t="s">
        <v>653</v>
      </c>
      <c r="D93" s="1" t="s">
        <v>77</v>
      </c>
      <c r="E93" s="1" t="s">
        <v>645</v>
      </c>
      <c r="F93" s="1" t="s">
        <v>646</v>
      </c>
      <c r="G93" s="1" t="s">
        <v>118</v>
      </c>
      <c r="H93" s="2">
        <v>0</v>
      </c>
      <c r="I93" s="2">
        <v>0</v>
      </c>
      <c r="J93" s="2">
        <v>1</v>
      </c>
      <c r="K93" s="2">
        <v>1</v>
      </c>
      <c r="L93" s="3" t="s">
        <v>80</v>
      </c>
      <c r="O93" s="4">
        <v>4</v>
      </c>
      <c r="P93" s="4" t="s">
        <v>112</v>
      </c>
      <c r="Q93" s="4"/>
      <c r="R93" s="5"/>
      <c r="S93" s="6"/>
      <c r="T93" s="17"/>
      <c r="U93" s="6"/>
      <c r="V93" s="4"/>
      <c r="W93" s="4"/>
      <c r="X93" s="4"/>
      <c r="Y93" s="7">
        <v>3</v>
      </c>
      <c r="Z93" s="8">
        <v>351765</v>
      </c>
      <c r="AA93" s="7" t="s">
        <v>92</v>
      </c>
      <c r="AB93" s="7"/>
      <c r="AC93" s="9">
        <v>3</v>
      </c>
      <c r="AD93" s="10">
        <v>351765</v>
      </c>
      <c r="AE93" s="9" t="s">
        <v>92</v>
      </c>
      <c r="AF93" s="9"/>
      <c r="AG93" s="11">
        <v>4</v>
      </c>
      <c r="AH93" s="11" t="s">
        <v>93</v>
      </c>
      <c r="AI93" s="11" t="s">
        <v>654</v>
      </c>
      <c r="AJ93" s="11"/>
      <c r="AK93" s="11"/>
      <c r="AL93" s="12">
        <v>4</v>
      </c>
      <c r="AM93" s="12" t="s">
        <v>93</v>
      </c>
      <c r="AN93" s="12" t="s">
        <v>655</v>
      </c>
      <c r="AO93" s="12"/>
      <c r="AP93" s="12"/>
      <c r="AQ93" s="4">
        <v>4</v>
      </c>
      <c r="AR93" s="4" t="s">
        <v>83</v>
      </c>
      <c r="AS93" s="4" t="s">
        <v>656</v>
      </c>
      <c r="AT93" s="13"/>
      <c r="AU93" s="13"/>
      <c r="AV93" s="13"/>
      <c r="AW93" s="13"/>
      <c r="AX93" s="4"/>
      <c r="AY93" s="13"/>
      <c r="AZ93" s="13"/>
      <c r="BA93" s="13"/>
      <c r="BB93" s="13"/>
      <c r="BC93" s="4"/>
      <c r="BD93" s="4"/>
      <c r="BE93" s="4"/>
      <c r="BF93" s="13"/>
      <c r="BG93" s="4"/>
      <c r="BH93" s="13"/>
      <c r="BI93" s="13"/>
      <c r="BJ93" s="4"/>
      <c r="BK93" s="14">
        <v>15</v>
      </c>
      <c r="BL93" s="14">
        <v>15</v>
      </c>
      <c r="BM93" s="14">
        <v>15</v>
      </c>
      <c r="BN93" s="3" t="s">
        <v>86</v>
      </c>
      <c r="BP93" s="15"/>
      <c r="BQ93" s="15"/>
      <c r="BR93" s="2" t="s">
        <v>115</v>
      </c>
      <c r="BS93" s="2" t="s">
        <v>115</v>
      </c>
      <c r="BT93" s="7" t="s">
        <v>98</v>
      </c>
      <c r="BU93" s="7"/>
      <c r="BV93" s="9" t="s">
        <v>98</v>
      </c>
      <c r="BW93" s="9"/>
    </row>
    <row r="94" spans="1:75" ht="14.25" customHeight="1" x14ac:dyDescent="0.25">
      <c r="A94" s="1">
        <v>169</v>
      </c>
      <c r="B94" s="1" t="s">
        <v>657</v>
      </c>
      <c r="C94" s="1" t="s">
        <v>658</v>
      </c>
      <c r="D94" s="1" t="s">
        <v>77</v>
      </c>
      <c r="E94" s="1" t="s">
        <v>645</v>
      </c>
      <c r="F94" s="1" t="s">
        <v>646</v>
      </c>
      <c r="G94" s="1"/>
      <c r="H94" s="2">
        <v>1</v>
      </c>
      <c r="I94" s="2">
        <v>1</v>
      </c>
      <c r="J94" s="2">
        <v>1</v>
      </c>
      <c r="K94" s="2">
        <v>0</v>
      </c>
      <c r="L94" s="3" t="s">
        <v>80</v>
      </c>
      <c r="M94" s="3">
        <v>1</v>
      </c>
      <c r="O94" s="4">
        <v>1</v>
      </c>
      <c r="P94" s="4" t="s">
        <v>659</v>
      </c>
      <c r="Q94" s="4" t="s">
        <v>660</v>
      </c>
      <c r="R94" s="16">
        <v>85000000</v>
      </c>
      <c r="S94" s="6">
        <v>85000000</v>
      </c>
      <c r="T94" s="16">
        <v>8700000</v>
      </c>
      <c r="U94" s="6">
        <v>8700000</v>
      </c>
      <c r="V94" s="4">
        <v>2010.5</v>
      </c>
      <c r="W94" s="4" t="s">
        <v>425</v>
      </c>
      <c r="X94" s="4"/>
      <c r="Y94" s="7">
        <v>1</v>
      </c>
      <c r="Z94" s="8">
        <v>19399760</v>
      </c>
      <c r="AA94" s="7" t="s">
        <v>92</v>
      </c>
      <c r="AB94" s="7"/>
      <c r="AC94" s="9">
        <v>1</v>
      </c>
      <c r="AD94" s="10">
        <v>19399760</v>
      </c>
      <c r="AE94" s="9" t="s">
        <v>92</v>
      </c>
      <c r="AF94" s="9"/>
      <c r="AG94" s="11">
        <v>2</v>
      </c>
      <c r="AH94" s="11" t="s">
        <v>131</v>
      </c>
      <c r="AI94" s="11"/>
      <c r="AJ94" s="11">
        <v>2</v>
      </c>
      <c r="AK94" s="11" t="s">
        <v>132</v>
      </c>
      <c r="AL94" s="12">
        <v>2</v>
      </c>
      <c r="AM94" s="12" t="s">
        <v>131</v>
      </c>
      <c r="AN94" s="12"/>
      <c r="AO94" s="12">
        <v>2</v>
      </c>
      <c r="AP94" s="12" t="s">
        <v>132</v>
      </c>
      <c r="AQ94" s="4">
        <v>1</v>
      </c>
      <c r="AR94" s="4" t="s">
        <v>661</v>
      </c>
      <c r="AS94" s="4"/>
      <c r="AT94" s="13">
        <v>369616.1875</v>
      </c>
      <c r="AU94" s="13">
        <v>22.109956741333001</v>
      </c>
      <c r="AV94" s="13">
        <v>20.5</v>
      </c>
      <c r="AW94" s="13">
        <v>23.59889793396</v>
      </c>
      <c r="AX94" s="4">
        <v>1</v>
      </c>
      <c r="AY94" s="13">
        <v>67.830955505371094</v>
      </c>
      <c r="AZ94" s="13">
        <v>5.3149986267089799</v>
      </c>
      <c r="BA94" s="13">
        <v>4.2699999809265101</v>
      </c>
      <c r="BB94" s="13">
        <v>6.5300002098083496</v>
      </c>
      <c r="BC94" s="4">
        <v>1</v>
      </c>
      <c r="BD94" s="4">
        <v>10</v>
      </c>
      <c r="BE94" s="4" t="s">
        <v>134</v>
      </c>
      <c r="BF94" s="13">
        <v>3.09889793395996</v>
      </c>
      <c r="BG94" s="4">
        <v>1837.5</v>
      </c>
      <c r="BH94" s="13">
        <v>0.82999998331069902</v>
      </c>
      <c r="BI94" s="13">
        <v>1523.89501953125</v>
      </c>
      <c r="BJ94" s="4"/>
      <c r="BK94" s="14">
        <v>5</v>
      </c>
      <c r="BL94" s="14">
        <v>5</v>
      </c>
      <c r="BM94" s="14">
        <v>5</v>
      </c>
      <c r="BP94" s="15" t="s">
        <v>135</v>
      </c>
      <c r="BQ94" s="15"/>
      <c r="BR94" s="2" t="s">
        <v>12</v>
      </c>
      <c r="BS94" s="2" t="s">
        <v>12</v>
      </c>
      <c r="BT94" s="7" t="s">
        <v>603</v>
      </c>
      <c r="BU94" s="7"/>
      <c r="BV94" s="9" t="s">
        <v>603</v>
      </c>
      <c r="BW94" s="9"/>
    </row>
    <row r="95" spans="1:75" ht="14.25" customHeight="1" x14ac:dyDescent="0.25">
      <c r="A95" s="1">
        <v>170</v>
      </c>
      <c r="B95" s="1" t="s">
        <v>662</v>
      </c>
      <c r="C95" s="1" t="s">
        <v>663</v>
      </c>
      <c r="D95" s="1" t="s">
        <v>77</v>
      </c>
      <c r="E95" s="1" t="s">
        <v>645</v>
      </c>
      <c r="F95" s="1" t="s">
        <v>646</v>
      </c>
      <c r="G95" s="1"/>
      <c r="H95" s="2">
        <v>0</v>
      </c>
      <c r="I95" s="2">
        <v>1</v>
      </c>
      <c r="J95" s="2">
        <v>0</v>
      </c>
      <c r="K95" s="2">
        <v>0</v>
      </c>
      <c r="L95" s="3" t="s">
        <v>80</v>
      </c>
      <c r="M95" s="3">
        <v>1</v>
      </c>
      <c r="O95" s="4"/>
      <c r="P95" s="4" t="s">
        <v>609</v>
      </c>
      <c r="Q95" s="4"/>
      <c r="R95" s="5"/>
      <c r="S95" s="6"/>
      <c r="T95" s="17"/>
      <c r="U95" s="6"/>
      <c r="V95" s="4"/>
      <c r="W95" s="4"/>
      <c r="X95" s="4"/>
      <c r="Y95" s="7"/>
      <c r="Z95" s="8"/>
      <c r="AA95" s="7" t="s">
        <v>610</v>
      </c>
      <c r="AB95" s="7"/>
      <c r="AC95" s="9"/>
      <c r="AD95" s="10"/>
      <c r="AE95" s="9" t="s">
        <v>610</v>
      </c>
      <c r="AF95" s="9"/>
      <c r="AG95" s="11"/>
      <c r="AH95" s="11" t="s">
        <v>664</v>
      </c>
      <c r="AI95" s="11"/>
      <c r="AJ95" s="11">
        <v>2</v>
      </c>
      <c r="AK95" s="11" t="s">
        <v>143</v>
      </c>
      <c r="AL95" s="12"/>
      <c r="AM95" s="12" t="s">
        <v>664</v>
      </c>
      <c r="AN95" s="12"/>
      <c r="AO95" s="12">
        <v>5</v>
      </c>
      <c r="AP95" s="12" t="s">
        <v>143</v>
      </c>
      <c r="AQ95" s="4">
        <v>5</v>
      </c>
      <c r="AR95" s="4" t="s">
        <v>665</v>
      </c>
      <c r="AS95" s="4"/>
      <c r="AT95" s="13"/>
      <c r="AU95" s="13"/>
      <c r="AV95" s="13"/>
      <c r="AW95" s="13"/>
      <c r="AX95" s="4"/>
      <c r="AY95" s="13"/>
      <c r="AZ95" s="13"/>
      <c r="BA95" s="13"/>
      <c r="BB95" s="13"/>
      <c r="BC95" s="4"/>
      <c r="BD95" s="4"/>
      <c r="BE95" s="4"/>
      <c r="BF95" s="13"/>
      <c r="BG95" s="4"/>
      <c r="BH95" s="13"/>
      <c r="BI95" s="13"/>
      <c r="BJ95" s="4"/>
      <c r="BK95" s="14"/>
      <c r="BL95" s="14"/>
      <c r="BM95" s="14"/>
      <c r="BP95" s="15" t="s">
        <v>135</v>
      </c>
      <c r="BQ95" s="15"/>
      <c r="BR95" s="2" t="s">
        <v>12</v>
      </c>
      <c r="BS95" s="2" t="s">
        <v>12</v>
      </c>
      <c r="BT95" s="7" t="s">
        <v>603</v>
      </c>
      <c r="BU95" s="7"/>
      <c r="BV95" s="9" t="s">
        <v>603</v>
      </c>
      <c r="BW95" s="9"/>
    </row>
    <row r="96" spans="1:75" ht="14.25" customHeight="1" x14ac:dyDescent="0.25">
      <c r="A96" s="1">
        <v>173</v>
      </c>
      <c r="B96" s="1" t="s">
        <v>666</v>
      </c>
      <c r="C96" s="1" t="s">
        <v>667</v>
      </c>
      <c r="D96" s="1" t="s">
        <v>77</v>
      </c>
      <c r="E96" s="1" t="s">
        <v>645</v>
      </c>
      <c r="F96" s="1" t="s">
        <v>646</v>
      </c>
      <c r="G96" s="1" t="s">
        <v>118</v>
      </c>
      <c r="H96" s="2">
        <v>0</v>
      </c>
      <c r="I96" s="2">
        <v>1</v>
      </c>
      <c r="J96" s="2">
        <v>1</v>
      </c>
      <c r="K96" s="2">
        <v>1</v>
      </c>
      <c r="L96" s="3" t="s">
        <v>80</v>
      </c>
      <c r="O96" s="4">
        <v>3</v>
      </c>
      <c r="P96" s="4" t="s">
        <v>470</v>
      </c>
      <c r="Q96" s="4" t="s">
        <v>668</v>
      </c>
      <c r="R96" s="16">
        <v>4700000</v>
      </c>
      <c r="S96" s="6">
        <v>4700000</v>
      </c>
      <c r="T96" s="16">
        <v>620000</v>
      </c>
      <c r="U96" s="6">
        <v>620000</v>
      </c>
      <c r="V96" s="4">
        <v>2010.5</v>
      </c>
      <c r="W96" s="4" t="s">
        <v>425</v>
      </c>
      <c r="X96" s="4"/>
      <c r="Y96" s="7">
        <v>2</v>
      </c>
      <c r="Z96" s="8">
        <v>2933050</v>
      </c>
      <c r="AA96" s="7" t="s">
        <v>92</v>
      </c>
      <c r="AB96" s="7"/>
      <c r="AC96" s="9">
        <v>2</v>
      </c>
      <c r="AD96" s="10">
        <v>2933050</v>
      </c>
      <c r="AE96" s="9" t="s">
        <v>92</v>
      </c>
      <c r="AF96" s="9" t="s">
        <v>669</v>
      </c>
      <c r="AG96" s="11">
        <v>2</v>
      </c>
      <c r="AH96" s="11" t="s">
        <v>131</v>
      </c>
      <c r="AI96" s="11" t="s">
        <v>670</v>
      </c>
      <c r="AJ96" s="11">
        <v>2</v>
      </c>
      <c r="AK96" s="11" t="s">
        <v>132</v>
      </c>
      <c r="AL96" s="12">
        <v>2</v>
      </c>
      <c r="AM96" s="12" t="s">
        <v>131</v>
      </c>
      <c r="AN96" s="12"/>
      <c r="AO96" s="12">
        <v>2</v>
      </c>
      <c r="AP96" s="12" t="s">
        <v>132</v>
      </c>
      <c r="AQ96" s="4">
        <v>3</v>
      </c>
      <c r="AR96" s="4" t="s">
        <v>208</v>
      </c>
      <c r="AS96" s="4"/>
      <c r="AT96" s="13">
        <v>89.493873596191406</v>
      </c>
      <c r="AU96" s="13">
        <v>1.26151931285858</v>
      </c>
      <c r="AV96" s="13">
        <v>-0.29699999094009399</v>
      </c>
      <c r="AW96" s="13">
        <v>2.54550004005432</v>
      </c>
      <c r="AX96" s="4"/>
      <c r="AY96" s="13">
        <v>-56.357616424560497</v>
      </c>
      <c r="AZ96" s="13">
        <v>-7.96089839935303</v>
      </c>
      <c r="BA96" s="13">
        <v>-11.199999809265099</v>
      </c>
      <c r="BB96" s="13">
        <v>-5.2047009468078604</v>
      </c>
      <c r="BC96" s="4">
        <v>1</v>
      </c>
      <c r="BD96" s="4">
        <v>10</v>
      </c>
      <c r="BE96" s="4" t="s">
        <v>134</v>
      </c>
      <c r="BF96" s="13">
        <v>2.8424999713897701</v>
      </c>
      <c r="BG96" s="4">
        <v>233.5</v>
      </c>
      <c r="BH96" s="13">
        <v>0.77350002527236905</v>
      </c>
      <c r="BI96" s="13">
        <v>180.60699462890599</v>
      </c>
      <c r="BJ96" s="4"/>
      <c r="BK96" s="14">
        <v>10</v>
      </c>
      <c r="BL96" s="14">
        <v>10</v>
      </c>
      <c r="BM96" s="14">
        <v>10</v>
      </c>
      <c r="BP96" s="15" t="s">
        <v>135</v>
      </c>
      <c r="BQ96" s="15" t="s">
        <v>146</v>
      </c>
      <c r="BR96" s="2" t="s">
        <v>297</v>
      </c>
      <c r="BS96" s="2" t="s">
        <v>297</v>
      </c>
      <c r="BT96" s="7" t="s">
        <v>458</v>
      </c>
      <c r="BU96" s="7"/>
      <c r="BV96" s="9" t="s">
        <v>458</v>
      </c>
      <c r="BW96" s="9"/>
    </row>
    <row r="97" spans="1:75" ht="14.25" customHeight="1" x14ac:dyDescent="0.25">
      <c r="A97" s="1">
        <v>174</v>
      </c>
      <c r="B97" s="1" t="s">
        <v>671</v>
      </c>
      <c r="C97" s="1" t="s">
        <v>672</v>
      </c>
      <c r="D97" s="1" t="s">
        <v>77</v>
      </c>
      <c r="E97" s="1" t="s">
        <v>645</v>
      </c>
      <c r="F97" s="1" t="s">
        <v>646</v>
      </c>
      <c r="G97" s="1"/>
      <c r="H97" s="2">
        <v>0</v>
      </c>
      <c r="I97" s="2">
        <v>1</v>
      </c>
      <c r="J97" s="2">
        <v>1</v>
      </c>
      <c r="K97" s="2">
        <v>1</v>
      </c>
      <c r="L97" s="3" t="s">
        <v>80</v>
      </c>
      <c r="O97" s="4">
        <v>2</v>
      </c>
      <c r="P97" s="4" t="s">
        <v>470</v>
      </c>
      <c r="Q97" s="4"/>
      <c r="R97" s="16">
        <v>36000000</v>
      </c>
      <c r="S97" s="6">
        <v>36000000</v>
      </c>
      <c r="T97" s="16">
        <v>2000000</v>
      </c>
      <c r="U97" s="6">
        <v>2000000</v>
      </c>
      <c r="V97" s="4">
        <v>2010.5</v>
      </c>
      <c r="W97" s="4" t="s">
        <v>425</v>
      </c>
      <c r="X97" s="4"/>
      <c r="Y97" s="7">
        <v>1</v>
      </c>
      <c r="Z97" s="8">
        <v>6777862</v>
      </c>
      <c r="AA97" s="7" t="s">
        <v>92</v>
      </c>
      <c r="AB97" s="7"/>
      <c r="AC97" s="9">
        <v>1</v>
      </c>
      <c r="AD97" s="10">
        <v>6777862</v>
      </c>
      <c r="AE97" s="9" t="s">
        <v>92</v>
      </c>
      <c r="AF97" s="9"/>
      <c r="AG97" s="11">
        <v>3</v>
      </c>
      <c r="AH97" s="11" t="s">
        <v>131</v>
      </c>
      <c r="AI97" s="11"/>
      <c r="AJ97" s="11">
        <v>2</v>
      </c>
      <c r="AK97" s="11" t="s">
        <v>132</v>
      </c>
      <c r="AL97" s="12">
        <v>3</v>
      </c>
      <c r="AM97" s="12" t="s">
        <v>131</v>
      </c>
      <c r="AN97" s="12"/>
      <c r="AO97" s="12">
        <v>2</v>
      </c>
      <c r="AP97" s="12" t="s">
        <v>132</v>
      </c>
      <c r="AQ97" s="4">
        <v>3</v>
      </c>
      <c r="AR97" s="4" t="s">
        <v>673</v>
      </c>
      <c r="AS97" s="4" t="s">
        <v>674</v>
      </c>
      <c r="AT97" s="13"/>
      <c r="AU97" s="13"/>
      <c r="AV97" s="13"/>
      <c r="AW97" s="13"/>
      <c r="AX97" s="4"/>
      <c r="AY97" s="13"/>
      <c r="AZ97" s="13"/>
      <c r="BA97" s="13"/>
      <c r="BB97" s="13"/>
      <c r="BC97" s="4"/>
      <c r="BD97" s="4"/>
      <c r="BE97" s="4"/>
      <c r="BF97" s="13"/>
      <c r="BG97" s="4"/>
      <c r="BH97" s="13"/>
      <c r="BI97" s="13"/>
      <c r="BJ97" s="4"/>
      <c r="BK97" s="14">
        <v>9</v>
      </c>
      <c r="BL97" s="14">
        <v>9</v>
      </c>
      <c r="BM97" s="14">
        <v>9</v>
      </c>
      <c r="BP97" s="15"/>
      <c r="BQ97" s="15"/>
      <c r="BR97" s="2" t="s">
        <v>247</v>
      </c>
      <c r="BS97" s="2" t="s">
        <v>247</v>
      </c>
      <c r="BT97" s="7" t="s">
        <v>475</v>
      </c>
      <c r="BU97" s="7" t="s">
        <v>109</v>
      </c>
      <c r="BV97" s="9" t="s">
        <v>475</v>
      </c>
      <c r="BW97" s="9" t="s">
        <v>109</v>
      </c>
    </row>
    <row r="98" spans="1:75" ht="14.25" customHeight="1" x14ac:dyDescent="0.25">
      <c r="A98" s="1">
        <v>175</v>
      </c>
      <c r="B98" s="1" t="s">
        <v>675</v>
      </c>
      <c r="C98" s="1" t="s">
        <v>676</v>
      </c>
      <c r="D98" s="1" t="s">
        <v>77</v>
      </c>
      <c r="E98" s="1" t="s">
        <v>645</v>
      </c>
      <c r="F98" s="1" t="s">
        <v>646</v>
      </c>
      <c r="G98" s="1"/>
      <c r="H98" s="2">
        <v>0</v>
      </c>
      <c r="I98" s="2">
        <v>0</v>
      </c>
      <c r="J98" s="2">
        <v>1</v>
      </c>
      <c r="K98" s="2">
        <v>1</v>
      </c>
      <c r="L98" s="3" t="s">
        <v>80</v>
      </c>
      <c r="O98" s="4">
        <v>3</v>
      </c>
      <c r="P98" s="4" t="s">
        <v>81</v>
      </c>
      <c r="Q98" s="4" t="s">
        <v>677</v>
      </c>
      <c r="R98" s="5"/>
      <c r="S98" s="6"/>
      <c r="T98" s="17"/>
      <c r="U98" s="6"/>
      <c r="V98" s="4"/>
      <c r="W98" s="4"/>
      <c r="X98" s="4"/>
      <c r="Y98" s="7">
        <v>1</v>
      </c>
      <c r="Z98" s="8">
        <v>7053110</v>
      </c>
      <c r="AA98" s="7" t="s">
        <v>92</v>
      </c>
      <c r="AB98" s="7"/>
      <c r="AC98" s="9">
        <v>1</v>
      </c>
      <c r="AD98" s="10">
        <v>7053110</v>
      </c>
      <c r="AE98" s="9" t="s">
        <v>92</v>
      </c>
      <c r="AF98" s="9"/>
      <c r="AG98" s="11">
        <v>2</v>
      </c>
      <c r="AH98" s="11" t="s">
        <v>93</v>
      </c>
      <c r="AI98" s="11"/>
      <c r="AJ98" s="11"/>
      <c r="AK98" s="11"/>
      <c r="AL98" s="12">
        <v>2</v>
      </c>
      <c r="AM98" s="12" t="s">
        <v>93</v>
      </c>
      <c r="AN98" s="12" t="s">
        <v>678</v>
      </c>
      <c r="AO98" s="12"/>
      <c r="AP98" s="12"/>
      <c r="AQ98" s="4">
        <v>2</v>
      </c>
      <c r="AR98" s="4" t="s">
        <v>83</v>
      </c>
      <c r="AS98" s="4"/>
      <c r="AT98" s="13"/>
      <c r="AU98" s="13"/>
      <c r="AV98" s="13"/>
      <c r="AW98" s="13"/>
      <c r="AX98" s="4"/>
      <c r="AY98" s="13"/>
      <c r="AZ98" s="13"/>
      <c r="BA98" s="13"/>
      <c r="BB98" s="13"/>
      <c r="BC98" s="4"/>
      <c r="BD98" s="4"/>
      <c r="BE98" s="4"/>
      <c r="BF98" s="13"/>
      <c r="BG98" s="4"/>
      <c r="BH98" s="13"/>
      <c r="BI98" s="13"/>
      <c r="BJ98" s="4"/>
      <c r="BK98" s="14">
        <v>8</v>
      </c>
      <c r="BL98" s="14">
        <v>8</v>
      </c>
      <c r="BM98" s="14">
        <v>8</v>
      </c>
      <c r="BP98" s="15"/>
      <c r="BQ98" s="15" t="s">
        <v>136</v>
      </c>
      <c r="BR98" s="2" t="s">
        <v>97</v>
      </c>
      <c r="BS98" s="2" t="s">
        <v>97</v>
      </c>
      <c r="BT98" s="7" t="s">
        <v>679</v>
      </c>
      <c r="BU98" s="7" t="s">
        <v>463</v>
      </c>
      <c r="BV98" s="9" t="s">
        <v>679</v>
      </c>
      <c r="BW98" s="9" t="s">
        <v>463</v>
      </c>
    </row>
    <row r="99" spans="1:75" ht="14.25" customHeight="1" x14ac:dyDescent="0.25">
      <c r="A99" s="1">
        <v>176</v>
      </c>
      <c r="B99" s="1" t="s">
        <v>680</v>
      </c>
      <c r="C99" s="1" t="s">
        <v>681</v>
      </c>
      <c r="D99" s="1" t="s">
        <v>77</v>
      </c>
      <c r="E99" s="1" t="s">
        <v>645</v>
      </c>
      <c r="F99" s="1" t="s">
        <v>646</v>
      </c>
      <c r="G99" s="1"/>
      <c r="H99" s="2">
        <v>0</v>
      </c>
      <c r="I99" s="2">
        <v>1</v>
      </c>
      <c r="J99" s="2">
        <v>1</v>
      </c>
      <c r="K99" s="2">
        <v>1</v>
      </c>
      <c r="L99" s="3" t="s">
        <v>80</v>
      </c>
      <c r="O99" s="4">
        <v>2</v>
      </c>
      <c r="P99" s="4" t="s">
        <v>271</v>
      </c>
      <c r="Q99" s="4"/>
      <c r="R99" s="5"/>
      <c r="S99" s="6"/>
      <c r="T99" s="17" t="s">
        <v>682</v>
      </c>
      <c r="U99" s="6">
        <v>50</v>
      </c>
      <c r="V99" s="4"/>
      <c r="W99" s="4" t="s">
        <v>543</v>
      </c>
      <c r="X99" s="4"/>
      <c r="Y99" s="7">
        <v>1</v>
      </c>
      <c r="Z99" s="8">
        <v>14655918</v>
      </c>
      <c r="AA99" s="7" t="s">
        <v>92</v>
      </c>
      <c r="AB99" s="7"/>
      <c r="AC99" s="9">
        <v>1</v>
      </c>
      <c r="AD99" s="10">
        <v>14655918</v>
      </c>
      <c r="AE99" s="9" t="s">
        <v>92</v>
      </c>
      <c r="AF99" s="9"/>
      <c r="AG99" s="11">
        <v>1</v>
      </c>
      <c r="AH99" s="11" t="s">
        <v>271</v>
      </c>
      <c r="AI99" s="11"/>
      <c r="AJ99" s="11"/>
      <c r="AK99" s="11"/>
      <c r="AL99" s="12">
        <v>1</v>
      </c>
      <c r="AM99" s="12" t="s">
        <v>271</v>
      </c>
      <c r="AN99" s="12" t="s">
        <v>683</v>
      </c>
      <c r="AO99" s="12"/>
      <c r="AP99" s="12"/>
      <c r="AQ99" s="4">
        <v>1</v>
      </c>
      <c r="AR99" s="4" t="s">
        <v>93</v>
      </c>
      <c r="AS99" s="4" t="s">
        <v>684</v>
      </c>
      <c r="AT99" s="13"/>
      <c r="AU99" s="13"/>
      <c r="AV99" s="13"/>
      <c r="AW99" s="13"/>
      <c r="AX99" s="4"/>
      <c r="AY99" s="13"/>
      <c r="AZ99" s="13"/>
      <c r="BA99" s="13"/>
      <c r="BB99" s="13"/>
      <c r="BC99" s="4"/>
      <c r="BD99" s="4"/>
      <c r="BE99" s="4"/>
      <c r="BF99" s="13"/>
      <c r="BG99" s="4"/>
      <c r="BH99" s="13"/>
      <c r="BI99" s="13"/>
      <c r="BJ99" s="4"/>
      <c r="BK99" s="14">
        <v>5</v>
      </c>
      <c r="BL99" s="14">
        <v>5</v>
      </c>
      <c r="BM99" s="14">
        <v>5</v>
      </c>
      <c r="BP99" s="15" t="s">
        <v>135</v>
      </c>
      <c r="BQ99" s="15" t="s">
        <v>146</v>
      </c>
      <c r="BR99" s="2" t="s">
        <v>97</v>
      </c>
      <c r="BS99" s="2" t="s">
        <v>97</v>
      </c>
      <c r="BT99" s="7" t="s">
        <v>458</v>
      </c>
      <c r="BU99" s="7" t="s">
        <v>603</v>
      </c>
      <c r="BV99" s="9" t="s">
        <v>458</v>
      </c>
      <c r="BW99" s="9" t="s">
        <v>603</v>
      </c>
    </row>
    <row r="100" spans="1:75" ht="14.25" customHeight="1" x14ac:dyDescent="0.25">
      <c r="A100" s="1">
        <v>177</v>
      </c>
      <c r="B100" s="1" t="s">
        <v>685</v>
      </c>
      <c r="C100" s="1" t="s">
        <v>686</v>
      </c>
      <c r="D100" s="1" t="s">
        <v>77</v>
      </c>
      <c r="E100" s="1" t="s">
        <v>645</v>
      </c>
      <c r="F100" s="1" t="s">
        <v>646</v>
      </c>
      <c r="G100" s="1" t="s">
        <v>118</v>
      </c>
      <c r="H100" s="2">
        <v>0</v>
      </c>
      <c r="I100" s="2">
        <v>0</v>
      </c>
      <c r="J100" s="2">
        <v>1</v>
      </c>
      <c r="K100" s="2">
        <v>1</v>
      </c>
      <c r="L100" s="3" t="s">
        <v>80</v>
      </c>
      <c r="O100" s="4">
        <v>3</v>
      </c>
      <c r="P100" s="4" t="s">
        <v>112</v>
      </c>
      <c r="Q100" s="4"/>
      <c r="R100" s="5"/>
      <c r="S100" s="6"/>
      <c r="T100" s="17"/>
      <c r="U100" s="6"/>
      <c r="V100" s="4"/>
      <c r="W100" s="4"/>
      <c r="X100" s="4"/>
      <c r="Y100" s="7">
        <v>1</v>
      </c>
      <c r="Z100" s="8">
        <v>13013600</v>
      </c>
      <c r="AA100" s="7" t="s">
        <v>92</v>
      </c>
      <c r="AB100" s="7"/>
      <c r="AC100" s="9">
        <v>1</v>
      </c>
      <c r="AD100" s="10">
        <v>13013600</v>
      </c>
      <c r="AE100" s="9" t="s">
        <v>92</v>
      </c>
      <c r="AF100" s="9"/>
      <c r="AG100" s="11">
        <v>3</v>
      </c>
      <c r="AH100" s="11" t="s">
        <v>93</v>
      </c>
      <c r="AI100" s="11"/>
      <c r="AJ100" s="11"/>
      <c r="AK100" s="11"/>
      <c r="AL100" s="12">
        <v>3</v>
      </c>
      <c r="AM100" s="12" t="s">
        <v>93</v>
      </c>
      <c r="AN100" s="12" t="s">
        <v>687</v>
      </c>
      <c r="AO100" s="12"/>
      <c r="AP100" s="12"/>
      <c r="AQ100" s="4">
        <v>4</v>
      </c>
      <c r="AR100" s="4" t="s">
        <v>83</v>
      </c>
      <c r="AS100" s="4"/>
      <c r="AT100" s="13"/>
      <c r="AU100" s="13"/>
      <c r="AV100" s="13"/>
      <c r="AW100" s="13"/>
      <c r="AX100" s="4"/>
      <c r="AY100" s="13"/>
      <c r="AZ100" s="13"/>
      <c r="BA100" s="13"/>
      <c r="BB100" s="13"/>
      <c r="BC100" s="4"/>
      <c r="BD100" s="4"/>
      <c r="BE100" s="4"/>
      <c r="BF100" s="13"/>
      <c r="BG100" s="4"/>
      <c r="BH100" s="13"/>
      <c r="BI100" s="13"/>
      <c r="BJ100" s="4"/>
      <c r="BK100" s="14">
        <v>11</v>
      </c>
      <c r="BL100" s="14">
        <v>11</v>
      </c>
      <c r="BM100" s="14">
        <v>11</v>
      </c>
      <c r="BP100" s="15"/>
      <c r="BQ100" s="15"/>
      <c r="BR100" s="2" t="s">
        <v>97</v>
      </c>
      <c r="BS100" s="2" t="s">
        <v>97</v>
      </c>
      <c r="BT100" s="7" t="s">
        <v>98</v>
      </c>
      <c r="BU100" s="7"/>
      <c r="BV100" s="9" t="s">
        <v>98</v>
      </c>
      <c r="BW100" s="9"/>
    </row>
    <row r="101" spans="1:75" ht="14.25" customHeight="1" x14ac:dyDescent="0.25">
      <c r="A101" s="1">
        <v>178</v>
      </c>
      <c r="B101" s="1" t="s">
        <v>688</v>
      </c>
      <c r="C101" s="1" t="s">
        <v>689</v>
      </c>
      <c r="D101" s="1" t="s">
        <v>77</v>
      </c>
      <c r="E101" s="1" t="s">
        <v>645</v>
      </c>
      <c r="F101" s="1" t="s">
        <v>646</v>
      </c>
      <c r="G101" s="1" t="s">
        <v>690</v>
      </c>
      <c r="H101" s="2">
        <v>0</v>
      </c>
      <c r="I101" s="2">
        <v>0</v>
      </c>
      <c r="J101" s="2">
        <v>1</v>
      </c>
      <c r="K101" s="2">
        <v>1</v>
      </c>
      <c r="L101" s="3" t="s">
        <v>80</v>
      </c>
      <c r="O101" s="4">
        <v>4</v>
      </c>
      <c r="P101" s="4" t="s">
        <v>81</v>
      </c>
      <c r="Q101" s="4" t="s">
        <v>691</v>
      </c>
      <c r="R101" s="5"/>
      <c r="S101" s="6"/>
      <c r="T101" s="17"/>
      <c r="U101" s="6"/>
      <c r="V101" s="4"/>
      <c r="W101" s="4"/>
      <c r="X101" s="4"/>
      <c r="Y101" s="7">
        <v>3</v>
      </c>
      <c r="Z101" s="8"/>
      <c r="AA101" s="7" t="s">
        <v>580</v>
      </c>
      <c r="AB101" s="7" t="s">
        <v>692</v>
      </c>
      <c r="AC101" s="9">
        <v>3</v>
      </c>
      <c r="AD101" s="10"/>
      <c r="AE101" s="9" t="s">
        <v>537</v>
      </c>
      <c r="AF101" s="9" t="s">
        <v>693</v>
      </c>
      <c r="AG101" s="11">
        <v>4</v>
      </c>
      <c r="AH101" s="11" t="s">
        <v>93</v>
      </c>
      <c r="AI101" s="11"/>
      <c r="AJ101" s="11"/>
      <c r="AK101" s="11"/>
      <c r="AL101" s="12">
        <v>4</v>
      </c>
      <c r="AM101" s="12" t="s">
        <v>93</v>
      </c>
      <c r="AN101" s="12" t="s">
        <v>694</v>
      </c>
      <c r="AO101" s="12"/>
      <c r="AP101" s="12"/>
      <c r="AQ101" s="4">
        <v>4</v>
      </c>
      <c r="AR101" s="4" t="s">
        <v>83</v>
      </c>
      <c r="AS101" s="4"/>
      <c r="AT101" s="13"/>
      <c r="AU101" s="13"/>
      <c r="AV101" s="13"/>
      <c r="AW101" s="13"/>
      <c r="AX101" s="4"/>
      <c r="AY101" s="13"/>
      <c r="AZ101" s="13"/>
      <c r="BA101" s="13"/>
      <c r="BB101" s="13"/>
      <c r="BC101" s="4"/>
      <c r="BD101" s="4"/>
      <c r="BE101" s="4"/>
      <c r="BF101" s="13"/>
      <c r="BG101" s="4"/>
      <c r="BH101" s="13"/>
      <c r="BI101" s="13"/>
      <c r="BJ101" s="4"/>
      <c r="BK101" s="14">
        <v>15</v>
      </c>
      <c r="BL101" s="14">
        <v>15</v>
      </c>
      <c r="BM101" s="14">
        <v>15</v>
      </c>
      <c r="BN101" s="3" t="s">
        <v>86</v>
      </c>
      <c r="BP101" s="15"/>
      <c r="BQ101" s="15"/>
      <c r="BR101" s="2" t="s">
        <v>87</v>
      </c>
      <c r="BS101" s="2" t="s">
        <v>87</v>
      </c>
      <c r="BT101" s="7" t="s">
        <v>88</v>
      </c>
      <c r="BU101" s="7"/>
      <c r="BV101" s="9" t="s">
        <v>88</v>
      </c>
      <c r="BW101" s="9"/>
    </row>
    <row r="102" spans="1:75" ht="14.25" customHeight="1" x14ac:dyDescent="0.25">
      <c r="A102" s="1">
        <v>181</v>
      </c>
      <c r="B102" s="1" t="s">
        <v>695</v>
      </c>
      <c r="C102" s="1" t="s">
        <v>696</v>
      </c>
      <c r="D102" s="1" t="s">
        <v>77</v>
      </c>
      <c r="E102" s="1" t="s">
        <v>645</v>
      </c>
      <c r="F102" s="1" t="s">
        <v>646</v>
      </c>
      <c r="G102" s="1"/>
      <c r="H102" s="2">
        <v>0</v>
      </c>
      <c r="I102" s="2">
        <v>0</v>
      </c>
      <c r="J102" s="2">
        <v>1</v>
      </c>
      <c r="K102" s="2">
        <v>1</v>
      </c>
      <c r="L102" s="3" t="s">
        <v>80</v>
      </c>
      <c r="O102" s="4">
        <v>4</v>
      </c>
      <c r="P102" s="4" t="s">
        <v>81</v>
      </c>
      <c r="Q102" s="4" t="s">
        <v>697</v>
      </c>
      <c r="R102" s="5"/>
      <c r="S102" s="6"/>
      <c r="T102" s="17"/>
      <c r="U102" s="6"/>
      <c r="V102" s="4"/>
      <c r="W102" s="4"/>
      <c r="X102" s="4"/>
      <c r="Y102" s="7">
        <v>1</v>
      </c>
      <c r="Z102" s="8">
        <v>10371149</v>
      </c>
      <c r="AA102" s="7" t="s">
        <v>92</v>
      </c>
      <c r="AB102" s="7"/>
      <c r="AC102" s="9">
        <v>1</v>
      </c>
      <c r="AD102" s="10">
        <v>10371149</v>
      </c>
      <c r="AE102" s="9" t="s">
        <v>92</v>
      </c>
      <c r="AF102" s="9"/>
      <c r="AG102" s="11">
        <v>3</v>
      </c>
      <c r="AH102" s="11" t="s">
        <v>93</v>
      </c>
      <c r="AI102" s="11"/>
      <c r="AJ102" s="11"/>
      <c r="AK102" s="11"/>
      <c r="AL102" s="12">
        <v>3</v>
      </c>
      <c r="AM102" s="12" t="s">
        <v>93</v>
      </c>
      <c r="AN102" s="12" t="s">
        <v>698</v>
      </c>
      <c r="AO102" s="12"/>
      <c r="AP102" s="12"/>
      <c r="AQ102" s="4">
        <v>4</v>
      </c>
      <c r="AR102" s="4" t="s">
        <v>83</v>
      </c>
      <c r="AS102" s="4"/>
      <c r="AT102" s="13"/>
      <c r="AU102" s="13"/>
      <c r="AV102" s="13"/>
      <c r="AW102" s="13"/>
      <c r="AX102" s="4"/>
      <c r="AY102" s="13"/>
      <c r="AZ102" s="13"/>
      <c r="BA102" s="13"/>
      <c r="BB102" s="13"/>
      <c r="BC102" s="4"/>
      <c r="BD102" s="4"/>
      <c r="BE102" s="4"/>
      <c r="BF102" s="13"/>
      <c r="BG102" s="4"/>
      <c r="BH102" s="13"/>
      <c r="BI102" s="13"/>
      <c r="BJ102" s="4"/>
      <c r="BK102" s="14">
        <v>12</v>
      </c>
      <c r="BL102" s="14">
        <v>12</v>
      </c>
      <c r="BM102" s="14">
        <v>12</v>
      </c>
      <c r="BP102" s="15"/>
      <c r="BQ102" s="15"/>
      <c r="BR102" s="2" t="s">
        <v>97</v>
      </c>
      <c r="BS102" s="2" t="s">
        <v>97</v>
      </c>
      <c r="BT102" s="7" t="s">
        <v>98</v>
      </c>
      <c r="BU102" s="7"/>
      <c r="BV102" s="9" t="s">
        <v>98</v>
      </c>
      <c r="BW102" s="9"/>
    </row>
    <row r="103" spans="1:75" ht="14.25" customHeight="1" x14ac:dyDescent="0.25">
      <c r="A103" s="1">
        <v>182</v>
      </c>
      <c r="B103" s="1" t="s">
        <v>699</v>
      </c>
      <c r="C103" s="1" t="s">
        <v>700</v>
      </c>
      <c r="D103" s="1" t="s">
        <v>77</v>
      </c>
      <c r="E103" s="1" t="s">
        <v>645</v>
      </c>
      <c r="F103" s="1" t="s">
        <v>646</v>
      </c>
      <c r="G103" s="1"/>
      <c r="H103" s="2">
        <v>0</v>
      </c>
      <c r="I103" s="2">
        <v>0</v>
      </c>
      <c r="J103" s="2">
        <v>0</v>
      </c>
      <c r="K103" s="2">
        <v>1</v>
      </c>
      <c r="L103" s="3" t="s">
        <v>80</v>
      </c>
      <c r="O103" s="4">
        <v>4</v>
      </c>
      <c r="P103" s="4" t="s">
        <v>81</v>
      </c>
      <c r="Q103" s="4" t="s">
        <v>701</v>
      </c>
      <c r="R103" s="5"/>
      <c r="S103" s="6"/>
      <c r="T103" s="17"/>
      <c r="U103" s="6"/>
      <c r="V103" s="4"/>
      <c r="W103" s="4"/>
      <c r="X103" s="4"/>
      <c r="Y103" s="7">
        <v>2</v>
      </c>
      <c r="Z103" s="8">
        <v>1111096.5</v>
      </c>
      <c r="AA103" s="7" t="s">
        <v>82</v>
      </c>
      <c r="AB103" s="7"/>
      <c r="AC103" s="9">
        <v>2</v>
      </c>
      <c r="AD103" s="10">
        <v>1481462</v>
      </c>
      <c r="AE103" s="9" t="s">
        <v>82</v>
      </c>
      <c r="AF103" s="9"/>
      <c r="AG103" s="11">
        <v>5</v>
      </c>
      <c r="AH103" s="11" t="s">
        <v>83</v>
      </c>
      <c r="AI103" s="11"/>
      <c r="AJ103" s="11"/>
      <c r="AK103" s="11"/>
      <c r="AL103" s="12">
        <v>5</v>
      </c>
      <c r="AM103" s="12" t="s">
        <v>83</v>
      </c>
      <c r="AN103" s="12"/>
      <c r="AO103" s="12"/>
      <c r="AP103" s="12"/>
      <c r="AQ103" s="4">
        <v>5</v>
      </c>
      <c r="AR103" s="4" t="s">
        <v>83</v>
      </c>
      <c r="AS103" s="4"/>
      <c r="AT103" s="13"/>
      <c r="AU103" s="13"/>
      <c r="AV103" s="13"/>
      <c r="AW103" s="13"/>
      <c r="AX103" s="4"/>
      <c r="AY103" s="13"/>
      <c r="AZ103" s="13"/>
      <c r="BA103" s="13"/>
      <c r="BB103" s="13"/>
      <c r="BC103" s="4"/>
      <c r="BD103" s="4"/>
      <c r="BE103" s="4"/>
      <c r="BF103" s="13"/>
      <c r="BG103" s="4"/>
      <c r="BH103" s="13"/>
      <c r="BI103" s="13"/>
      <c r="BJ103" s="4"/>
      <c r="BK103" s="14">
        <v>16</v>
      </c>
      <c r="BL103" s="14">
        <v>16</v>
      </c>
      <c r="BM103" s="14">
        <v>16</v>
      </c>
      <c r="BN103" s="3" t="s">
        <v>312</v>
      </c>
      <c r="BP103" s="15"/>
      <c r="BQ103" s="15"/>
      <c r="BR103" s="2" t="s">
        <v>97</v>
      </c>
      <c r="BS103" s="2" t="s">
        <v>97</v>
      </c>
      <c r="BT103" s="7" t="s">
        <v>98</v>
      </c>
      <c r="BU103" s="7"/>
      <c r="BV103" s="9" t="s">
        <v>98</v>
      </c>
      <c r="BW103" s="9"/>
    </row>
    <row r="104" spans="1:75" ht="14.25" customHeight="1" x14ac:dyDescent="0.25">
      <c r="A104" s="1">
        <v>187</v>
      </c>
      <c r="B104" s="1" t="s">
        <v>702</v>
      </c>
      <c r="C104" s="1" t="s">
        <v>703</v>
      </c>
      <c r="D104" s="1" t="s">
        <v>77</v>
      </c>
      <c r="E104" s="1" t="s">
        <v>645</v>
      </c>
      <c r="F104" s="1" t="s">
        <v>646</v>
      </c>
      <c r="G104" s="1"/>
      <c r="H104" s="2">
        <v>0</v>
      </c>
      <c r="I104" s="2">
        <v>0</v>
      </c>
      <c r="J104" s="2">
        <v>0</v>
      </c>
      <c r="K104" s="2">
        <v>1</v>
      </c>
      <c r="L104" s="3" t="s">
        <v>80</v>
      </c>
      <c r="O104" s="4">
        <v>5</v>
      </c>
      <c r="P104" s="4" t="s">
        <v>81</v>
      </c>
      <c r="Q104" s="4"/>
      <c r="R104" s="5"/>
      <c r="S104" s="6"/>
      <c r="T104" s="17"/>
      <c r="U104" s="6"/>
      <c r="V104" s="4"/>
      <c r="W104" s="4"/>
      <c r="X104" s="4"/>
      <c r="Y104" s="7">
        <v>4</v>
      </c>
      <c r="Z104" s="8">
        <v>126033</v>
      </c>
      <c r="AA104" s="7" t="s">
        <v>82</v>
      </c>
      <c r="AB104" s="7"/>
      <c r="AC104" s="9">
        <v>4</v>
      </c>
      <c r="AD104" s="10">
        <v>126033</v>
      </c>
      <c r="AE104" s="9" t="s">
        <v>82</v>
      </c>
      <c r="AF104" s="9"/>
      <c r="AG104" s="11">
        <v>4</v>
      </c>
      <c r="AH104" s="11" t="s">
        <v>83</v>
      </c>
      <c r="AI104" s="11"/>
      <c r="AJ104" s="11"/>
      <c r="AK104" s="11"/>
      <c r="AL104" s="12">
        <v>4</v>
      </c>
      <c r="AM104" s="12" t="s">
        <v>83</v>
      </c>
      <c r="AN104" s="12"/>
      <c r="AO104" s="12"/>
      <c r="AP104" s="12"/>
      <c r="AQ104" s="4">
        <v>4</v>
      </c>
      <c r="AR104" s="4" t="s">
        <v>83</v>
      </c>
      <c r="AS104" s="4"/>
      <c r="AT104" s="13"/>
      <c r="AU104" s="13"/>
      <c r="AV104" s="13"/>
      <c r="AW104" s="13"/>
      <c r="AX104" s="4"/>
      <c r="AY104" s="13"/>
      <c r="AZ104" s="13"/>
      <c r="BA104" s="13"/>
      <c r="BB104" s="13"/>
      <c r="BC104" s="4"/>
      <c r="BD104" s="4"/>
      <c r="BE104" s="4"/>
      <c r="BF104" s="13"/>
      <c r="BG104" s="4"/>
      <c r="BH104" s="13"/>
      <c r="BI104" s="13"/>
      <c r="BJ104" s="4"/>
      <c r="BK104" s="14">
        <v>17</v>
      </c>
      <c r="BL104" s="14">
        <v>17</v>
      </c>
      <c r="BM104" s="14">
        <v>17</v>
      </c>
      <c r="BN104" s="3" t="s">
        <v>312</v>
      </c>
      <c r="BP104" s="15"/>
      <c r="BQ104" s="15"/>
      <c r="BR104" s="2" t="s">
        <v>115</v>
      </c>
      <c r="BS104" s="2" t="s">
        <v>115</v>
      </c>
      <c r="BT104" s="7" t="s">
        <v>98</v>
      </c>
      <c r="BU104" s="7"/>
      <c r="BV104" s="9" t="s">
        <v>98</v>
      </c>
      <c r="BW104" s="9"/>
    </row>
    <row r="105" spans="1:75" ht="14.25" customHeight="1" x14ac:dyDescent="0.25">
      <c r="A105" s="1">
        <v>188</v>
      </c>
      <c r="B105" s="1" t="s">
        <v>704</v>
      </c>
      <c r="C105" s="1" t="s">
        <v>705</v>
      </c>
      <c r="D105" s="1" t="s">
        <v>77</v>
      </c>
      <c r="E105" s="1" t="s">
        <v>645</v>
      </c>
      <c r="F105" s="1" t="s">
        <v>646</v>
      </c>
      <c r="G105" s="1"/>
      <c r="H105" s="2">
        <v>0</v>
      </c>
      <c r="I105" s="2">
        <v>1</v>
      </c>
      <c r="J105" s="2">
        <v>1</v>
      </c>
      <c r="K105" s="2">
        <v>1</v>
      </c>
      <c r="L105" s="3" t="s">
        <v>80</v>
      </c>
      <c r="O105" s="4">
        <v>2</v>
      </c>
      <c r="P105" s="4" t="s">
        <v>706</v>
      </c>
      <c r="Q105" s="4"/>
      <c r="R105" s="16">
        <v>20000000</v>
      </c>
      <c r="S105" s="6">
        <v>20000000</v>
      </c>
      <c r="T105" s="17" t="s">
        <v>707</v>
      </c>
      <c r="U105" s="6">
        <v>10000</v>
      </c>
      <c r="V105" s="4"/>
      <c r="W105" s="4" t="s">
        <v>543</v>
      </c>
      <c r="X105" s="4" t="s">
        <v>708</v>
      </c>
      <c r="Y105" s="7">
        <v>1</v>
      </c>
      <c r="Z105" s="8">
        <v>13437668</v>
      </c>
      <c r="AA105" s="7" t="s">
        <v>92</v>
      </c>
      <c r="AB105" s="7"/>
      <c r="AC105" s="9">
        <v>1</v>
      </c>
      <c r="AD105" s="10">
        <v>13437668</v>
      </c>
      <c r="AE105" s="9" t="s">
        <v>92</v>
      </c>
      <c r="AF105" s="9"/>
      <c r="AG105" s="11">
        <v>2</v>
      </c>
      <c r="AH105" s="11" t="s">
        <v>131</v>
      </c>
      <c r="AI105" s="11" t="s">
        <v>709</v>
      </c>
      <c r="AJ105" s="11">
        <v>2</v>
      </c>
      <c r="AK105" s="11" t="s">
        <v>132</v>
      </c>
      <c r="AL105" s="12">
        <v>2</v>
      </c>
      <c r="AM105" s="12" t="s">
        <v>131</v>
      </c>
      <c r="AN105" s="12" t="s">
        <v>710</v>
      </c>
      <c r="AO105" s="12">
        <v>2</v>
      </c>
      <c r="AP105" s="12" t="s">
        <v>132</v>
      </c>
      <c r="AQ105" s="4">
        <v>3</v>
      </c>
      <c r="AR105" s="4" t="s">
        <v>673</v>
      </c>
      <c r="AS105" s="4"/>
      <c r="AT105" s="13"/>
      <c r="AU105" s="13"/>
      <c r="AV105" s="13"/>
      <c r="AW105" s="13"/>
      <c r="AX105" s="4"/>
      <c r="AY105" s="13"/>
      <c r="AZ105" s="13"/>
      <c r="BA105" s="13"/>
      <c r="BB105" s="13"/>
      <c r="BC105" s="4"/>
      <c r="BD105" s="4"/>
      <c r="BE105" s="4"/>
      <c r="BF105" s="13"/>
      <c r="BG105" s="4"/>
      <c r="BH105" s="13"/>
      <c r="BI105" s="13"/>
      <c r="BJ105" s="4"/>
      <c r="BK105" s="14">
        <v>8</v>
      </c>
      <c r="BL105" s="14">
        <v>8</v>
      </c>
      <c r="BM105" s="14">
        <v>8</v>
      </c>
      <c r="BP105" s="15" t="s">
        <v>135</v>
      </c>
      <c r="BQ105" s="15"/>
      <c r="BR105" s="2" t="s">
        <v>97</v>
      </c>
      <c r="BS105" s="2" t="s">
        <v>97</v>
      </c>
      <c r="BT105" s="7" t="s">
        <v>109</v>
      </c>
      <c r="BU105" s="7"/>
      <c r="BV105" s="9" t="s">
        <v>109</v>
      </c>
      <c r="BW105" s="9"/>
    </row>
    <row r="106" spans="1:75" ht="14.25" customHeight="1" x14ac:dyDescent="0.25">
      <c r="A106" s="1">
        <v>206</v>
      </c>
      <c r="B106" s="1" t="s">
        <v>711</v>
      </c>
      <c r="C106" s="1" t="s">
        <v>712</v>
      </c>
      <c r="D106" s="1" t="s">
        <v>77</v>
      </c>
      <c r="E106" s="1" t="s">
        <v>713</v>
      </c>
      <c r="F106" s="1" t="s">
        <v>714</v>
      </c>
      <c r="G106" s="1" t="s">
        <v>118</v>
      </c>
      <c r="H106" s="2">
        <v>0</v>
      </c>
      <c r="I106" s="2">
        <v>1</v>
      </c>
      <c r="J106" s="2">
        <v>1</v>
      </c>
      <c r="K106" s="2">
        <v>1</v>
      </c>
      <c r="L106" s="3" t="s">
        <v>127</v>
      </c>
      <c r="O106" s="4">
        <v>3</v>
      </c>
      <c r="P106" s="4" t="s">
        <v>715</v>
      </c>
      <c r="Q106" s="4" t="s">
        <v>716</v>
      </c>
      <c r="R106" s="16">
        <v>2000000</v>
      </c>
      <c r="S106" s="6">
        <v>2000000</v>
      </c>
      <c r="T106" s="16">
        <v>28000</v>
      </c>
      <c r="U106" s="6">
        <v>28000</v>
      </c>
      <c r="V106" s="4">
        <v>2010.5</v>
      </c>
      <c r="W106" s="4" t="s">
        <v>425</v>
      </c>
      <c r="X106" s="4"/>
      <c r="Y106" s="7">
        <v>2</v>
      </c>
      <c r="Z106" s="8">
        <v>2668991</v>
      </c>
      <c r="AA106" s="7" t="s">
        <v>92</v>
      </c>
      <c r="AB106" s="7"/>
      <c r="AC106" s="9">
        <v>2</v>
      </c>
      <c r="AD106" s="10">
        <v>2622778</v>
      </c>
      <c r="AE106" s="9" t="s">
        <v>92</v>
      </c>
      <c r="AF106" s="9"/>
      <c r="AG106" s="11">
        <v>2</v>
      </c>
      <c r="AH106" s="11" t="s">
        <v>131</v>
      </c>
      <c r="AI106" s="11"/>
      <c r="AJ106" s="11">
        <v>2</v>
      </c>
      <c r="AK106" s="11" t="s">
        <v>132</v>
      </c>
      <c r="AL106" s="12">
        <v>2</v>
      </c>
      <c r="AM106" s="12" t="s">
        <v>131</v>
      </c>
      <c r="AN106" s="12" t="s">
        <v>683</v>
      </c>
      <c r="AO106" s="12">
        <v>2</v>
      </c>
      <c r="AP106" s="12" t="s">
        <v>132</v>
      </c>
      <c r="AQ106" s="4">
        <v>1</v>
      </c>
      <c r="AR106" s="4" t="s">
        <v>93</v>
      </c>
      <c r="AS106" s="4"/>
      <c r="AT106" s="13"/>
      <c r="AU106" s="13"/>
      <c r="AV106" s="13"/>
      <c r="AW106" s="13"/>
      <c r="AX106" s="4"/>
      <c r="AY106" s="13"/>
      <c r="AZ106" s="13"/>
      <c r="BA106" s="13"/>
      <c r="BB106" s="13"/>
      <c r="BC106" s="4"/>
      <c r="BD106" s="4"/>
      <c r="BE106" s="4"/>
      <c r="BF106" s="13"/>
      <c r="BG106" s="4"/>
      <c r="BH106" s="13"/>
      <c r="BI106" s="13"/>
      <c r="BJ106" s="4"/>
      <c r="BK106" s="14">
        <v>8</v>
      </c>
      <c r="BL106" s="14">
        <v>8</v>
      </c>
      <c r="BM106" s="14">
        <v>8</v>
      </c>
      <c r="BP106" s="15" t="s">
        <v>135</v>
      </c>
      <c r="BQ106" s="15" t="s">
        <v>146</v>
      </c>
      <c r="BR106" s="2" t="s">
        <v>97</v>
      </c>
      <c r="BS106" s="2" t="s">
        <v>97</v>
      </c>
      <c r="BT106" s="7" t="s">
        <v>603</v>
      </c>
      <c r="BU106" s="7"/>
      <c r="BV106" s="9" t="s">
        <v>603</v>
      </c>
      <c r="BW106" s="9"/>
    </row>
    <row r="107" spans="1:75" ht="14.25" customHeight="1" x14ac:dyDescent="0.25">
      <c r="A107" s="1">
        <v>207</v>
      </c>
      <c r="B107" s="1" t="s">
        <v>717</v>
      </c>
      <c r="C107" s="1" t="s">
        <v>718</v>
      </c>
      <c r="D107" s="1" t="s">
        <v>77</v>
      </c>
      <c r="E107" s="1" t="s">
        <v>713</v>
      </c>
      <c r="F107" s="1" t="s">
        <v>714</v>
      </c>
      <c r="G107" s="1"/>
      <c r="H107" s="2">
        <v>0</v>
      </c>
      <c r="I107" s="2">
        <v>0</v>
      </c>
      <c r="J107" s="2">
        <v>1</v>
      </c>
      <c r="K107" s="2">
        <v>1</v>
      </c>
      <c r="L107" s="3" t="s">
        <v>80</v>
      </c>
      <c r="O107" s="4">
        <v>3</v>
      </c>
      <c r="P107" s="4" t="s">
        <v>112</v>
      </c>
      <c r="Q107" s="4"/>
      <c r="R107" s="5"/>
      <c r="S107" s="6"/>
      <c r="T107" s="17"/>
      <c r="U107" s="6"/>
      <c r="V107" s="4"/>
      <c r="W107" s="4"/>
      <c r="X107" s="4"/>
      <c r="Y107" s="7">
        <v>1</v>
      </c>
      <c r="Z107" s="8">
        <v>12373953</v>
      </c>
      <c r="AA107" s="7" t="s">
        <v>92</v>
      </c>
      <c r="AB107" s="7"/>
      <c r="AC107" s="9">
        <v>1</v>
      </c>
      <c r="AD107" s="10">
        <v>12373953</v>
      </c>
      <c r="AE107" s="9" t="s">
        <v>92</v>
      </c>
      <c r="AF107" s="9"/>
      <c r="AG107" s="11">
        <v>2</v>
      </c>
      <c r="AH107" s="11" t="s">
        <v>93</v>
      </c>
      <c r="AI107" s="11"/>
      <c r="AJ107" s="11"/>
      <c r="AK107" s="11"/>
      <c r="AL107" s="12">
        <v>2</v>
      </c>
      <c r="AM107" s="12" t="s">
        <v>93</v>
      </c>
      <c r="AN107" s="12" t="s">
        <v>719</v>
      </c>
      <c r="AO107" s="12"/>
      <c r="AP107" s="12"/>
      <c r="AQ107" s="4">
        <v>2</v>
      </c>
      <c r="AR107" s="4" t="s">
        <v>83</v>
      </c>
      <c r="AS107" s="4"/>
      <c r="AT107" s="13"/>
      <c r="AU107" s="13"/>
      <c r="AV107" s="13"/>
      <c r="AW107" s="13"/>
      <c r="AX107" s="4"/>
      <c r="AY107" s="13"/>
      <c r="AZ107" s="13"/>
      <c r="BA107" s="13"/>
      <c r="BB107" s="13"/>
      <c r="BC107" s="4"/>
      <c r="BD107" s="4"/>
      <c r="BE107" s="4"/>
      <c r="BF107" s="13"/>
      <c r="BG107" s="4"/>
      <c r="BH107" s="13"/>
      <c r="BI107" s="13"/>
      <c r="BJ107" s="4"/>
      <c r="BK107" s="14">
        <v>8</v>
      </c>
      <c r="BL107" s="14">
        <v>8</v>
      </c>
      <c r="BM107" s="14">
        <v>8</v>
      </c>
      <c r="BP107" s="15"/>
      <c r="BQ107" s="15"/>
      <c r="BR107" s="2" t="s">
        <v>97</v>
      </c>
      <c r="BS107" s="2" t="s">
        <v>97</v>
      </c>
      <c r="BT107" s="7" t="s">
        <v>458</v>
      </c>
      <c r="BU107" s="7" t="s">
        <v>463</v>
      </c>
      <c r="BV107" s="9" t="s">
        <v>458</v>
      </c>
      <c r="BW107" s="9" t="s">
        <v>463</v>
      </c>
    </row>
    <row r="108" spans="1:75" ht="14.25" customHeight="1" x14ac:dyDescent="0.25">
      <c r="A108" s="1">
        <v>208</v>
      </c>
      <c r="B108" s="1" t="s">
        <v>720</v>
      </c>
      <c r="C108" s="1" t="s">
        <v>721</v>
      </c>
      <c r="D108" s="1" t="s">
        <v>77</v>
      </c>
      <c r="E108" s="1" t="s">
        <v>713</v>
      </c>
      <c r="F108" s="1" t="s">
        <v>714</v>
      </c>
      <c r="G108" s="1" t="s">
        <v>118</v>
      </c>
      <c r="H108" s="2">
        <v>0</v>
      </c>
      <c r="I108" s="2">
        <v>0</v>
      </c>
      <c r="J108" s="2">
        <v>1</v>
      </c>
      <c r="K108" s="2">
        <v>1</v>
      </c>
      <c r="L108" s="3" t="s">
        <v>80</v>
      </c>
      <c r="O108" s="4">
        <v>4</v>
      </c>
      <c r="P108" s="4" t="s">
        <v>101</v>
      </c>
      <c r="Q108" s="4" t="s">
        <v>722</v>
      </c>
      <c r="R108" s="5"/>
      <c r="S108" s="6"/>
      <c r="T108" s="17"/>
      <c r="U108" s="6"/>
      <c r="V108" s="4"/>
      <c r="W108" s="4"/>
      <c r="X108" s="4"/>
      <c r="Y108" s="7">
        <v>1</v>
      </c>
      <c r="Z108" s="8">
        <v>8870638</v>
      </c>
      <c r="AA108" s="7" t="s">
        <v>92</v>
      </c>
      <c r="AB108" s="7"/>
      <c r="AC108" s="9">
        <v>1</v>
      </c>
      <c r="AD108" s="10">
        <v>8870638</v>
      </c>
      <c r="AE108" s="9" t="s">
        <v>92</v>
      </c>
      <c r="AF108" s="9"/>
      <c r="AG108" s="11">
        <v>3</v>
      </c>
      <c r="AH108" s="11" t="s">
        <v>93</v>
      </c>
      <c r="AI108" s="11"/>
      <c r="AJ108" s="11"/>
      <c r="AK108" s="11"/>
      <c r="AL108" s="12">
        <v>3</v>
      </c>
      <c r="AM108" s="12" t="s">
        <v>93</v>
      </c>
      <c r="AN108" s="12" t="s">
        <v>723</v>
      </c>
      <c r="AO108" s="12"/>
      <c r="AP108" s="12"/>
      <c r="AQ108" s="4">
        <v>4</v>
      </c>
      <c r="AR108" s="4" t="s">
        <v>83</v>
      </c>
      <c r="AS108" s="4"/>
      <c r="AT108" s="13"/>
      <c r="AU108" s="13"/>
      <c r="AV108" s="13"/>
      <c r="AW108" s="13"/>
      <c r="AX108" s="4"/>
      <c r="AY108" s="13"/>
      <c r="AZ108" s="13"/>
      <c r="BA108" s="13"/>
      <c r="BB108" s="13"/>
      <c r="BC108" s="4"/>
      <c r="BD108" s="4"/>
      <c r="BE108" s="4"/>
      <c r="BF108" s="13"/>
      <c r="BG108" s="4"/>
      <c r="BH108" s="13"/>
      <c r="BI108" s="13"/>
      <c r="BJ108" s="4"/>
      <c r="BK108" s="14">
        <v>12</v>
      </c>
      <c r="BL108" s="14">
        <v>12</v>
      </c>
      <c r="BM108" s="14">
        <v>12</v>
      </c>
      <c r="BP108" s="15"/>
      <c r="BQ108" s="15"/>
      <c r="BR108" s="2" t="s">
        <v>97</v>
      </c>
      <c r="BS108" s="2" t="s">
        <v>97</v>
      </c>
      <c r="BT108" s="7" t="s">
        <v>98</v>
      </c>
      <c r="BU108" s="7"/>
      <c r="BV108" s="9" t="s">
        <v>98</v>
      </c>
      <c r="BW108" s="9"/>
    </row>
    <row r="109" spans="1:75" ht="14.25" customHeight="1" x14ac:dyDescent="0.25">
      <c r="A109" s="1">
        <v>209</v>
      </c>
      <c r="B109" s="1" t="s">
        <v>724</v>
      </c>
      <c r="C109" s="1" t="s">
        <v>725</v>
      </c>
      <c r="D109" s="1" t="s">
        <v>77</v>
      </c>
      <c r="E109" s="1" t="s">
        <v>713</v>
      </c>
      <c r="F109" s="1" t="s">
        <v>714</v>
      </c>
      <c r="G109" s="1"/>
      <c r="H109" s="2">
        <v>0</v>
      </c>
      <c r="I109" s="2">
        <v>0</v>
      </c>
      <c r="J109" s="2">
        <v>1</v>
      </c>
      <c r="K109" s="2">
        <v>1</v>
      </c>
      <c r="L109" s="3" t="s">
        <v>80</v>
      </c>
      <c r="O109" s="4">
        <v>4</v>
      </c>
      <c r="P109" s="4" t="s">
        <v>101</v>
      </c>
      <c r="Q109" s="4" t="s">
        <v>726</v>
      </c>
      <c r="R109" s="5"/>
      <c r="S109" s="6"/>
      <c r="T109" s="17"/>
      <c r="U109" s="6"/>
      <c r="V109" s="4"/>
      <c r="W109" s="4"/>
      <c r="X109" s="4"/>
      <c r="Y109" s="7">
        <v>3</v>
      </c>
      <c r="Z109" s="8">
        <v>359495</v>
      </c>
      <c r="AA109" s="7" t="s">
        <v>92</v>
      </c>
      <c r="AB109" s="7"/>
      <c r="AC109" s="9">
        <v>3</v>
      </c>
      <c r="AD109" s="10">
        <v>359495</v>
      </c>
      <c r="AE109" s="9" t="s">
        <v>92</v>
      </c>
      <c r="AF109" s="9"/>
      <c r="AG109" s="11">
        <v>3</v>
      </c>
      <c r="AH109" s="11" t="s">
        <v>93</v>
      </c>
      <c r="AI109" s="11"/>
      <c r="AJ109" s="11"/>
      <c r="AK109" s="11"/>
      <c r="AL109" s="12">
        <v>3</v>
      </c>
      <c r="AM109" s="12" t="s">
        <v>93</v>
      </c>
      <c r="AN109" s="12" t="s">
        <v>723</v>
      </c>
      <c r="AO109" s="12"/>
      <c r="AP109" s="12"/>
      <c r="AQ109" s="4">
        <v>4</v>
      </c>
      <c r="AR109" s="4" t="s">
        <v>83</v>
      </c>
      <c r="AS109" s="4"/>
      <c r="AT109" s="13"/>
      <c r="AU109" s="13"/>
      <c r="AV109" s="13"/>
      <c r="AW109" s="13"/>
      <c r="AX109" s="4"/>
      <c r="AY109" s="13"/>
      <c r="AZ109" s="13"/>
      <c r="BA109" s="13"/>
      <c r="BB109" s="13"/>
      <c r="BC109" s="4"/>
      <c r="BD109" s="4"/>
      <c r="BE109" s="4"/>
      <c r="BF109" s="13"/>
      <c r="BG109" s="4"/>
      <c r="BH109" s="13"/>
      <c r="BI109" s="13"/>
      <c r="BJ109" s="4"/>
      <c r="BK109" s="14">
        <v>14</v>
      </c>
      <c r="BL109" s="14">
        <v>14</v>
      </c>
      <c r="BM109" s="14">
        <v>14</v>
      </c>
      <c r="BN109" s="3" t="s">
        <v>86</v>
      </c>
      <c r="BP109" s="15"/>
      <c r="BQ109" s="15"/>
      <c r="BR109" s="2" t="s">
        <v>108</v>
      </c>
      <c r="BS109" s="2" t="s">
        <v>108</v>
      </c>
      <c r="BT109" s="7" t="s">
        <v>109</v>
      </c>
      <c r="BU109" s="7"/>
      <c r="BV109" s="9" t="s">
        <v>109</v>
      </c>
      <c r="BW109" s="9"/>
    </row>
    <row r="110" spans="1:75" ht="14.25" customHeight="1" x14ac:dyDescent="0.25">
      <c r="A110" s="1">
        <v>210</v>
      </c>
      <c r="B110" s="1" t="s">
        <v>727</v>
      </c>
      <c r="C110" s="1" t="s">
        <v>728</v>
      </c>
      <c r="D110" s="1" t="s">
        <v>77</v>
      </c>
      <c r="E110" s="1" t="s">
        <v>713</v>
      </c>
      <c r="F110" s="1" t="s">
        <v>714</v>
      </c>
      <c r="G110" s="1" t="s">
        <v>118</v>
      </c>
      <c r="H110" s="2">
        <v>0</v>
      </c>
      <c r="I110" s="2">
        <v>0</v>
      </c>
      <c r="J110" s="2">
        <v>1</v>
      </c>
      <c r="K110" s="2">
        <v>1</v>
      </c>
      <c r="L110" s="3" t="s">
        <v>80</v>
      </c>
      <c r="O110" s="4">
        <v>3</v>
      </c>
      <c r="P110" s="4" t="s">
        <v>101</v>
      </c>
      <c r="Q110" s="4" t="s">
        <v>729</v>
      </c>
      <c r="R110" s="5"/>
      <c r="S110" s="6"/>
      <c r="T110" s="17"/>
      <c r="U110" s="6"/>
      <c r="V110" s="4"/>
      <c r="W110" s="4"/>
      <c r="X110" s="4"/>
      <c r="Y110" s="7">
        <v>3</v>
      </c>
      <c r="Z110" s="8">
        <v>518100</v>
      </c>
      <c r="AA110" s="7" t="s">
        <v>92</v>
      </c>
      <c r="AB110" s="7"/>
      <c r="AC110" s="9">
        <v>3</v>
      </c>
      <c r="AD110" s="10">
        <v>518100</v>
      </c>
      <c r="AE110" s="9" t="s">
        <v>92</v>
      </c>
      <c r="AF110" s="9"/>
      <c r="AG110" s="11">
        <v>2</v>
      </c>
      <c r="AH110" s="11" t="s">
        <v>93</v>
      </c>
      <c r="AI110" s="11"/>
      <c r="AJ110" s="11"/>
      <c r="AK110" s="11"/>
      <c r="AL110" s="12">
        <v>2</v>
      </c>
      <c r="AM110" s="12" t="s">
        <v>93</v>
      </c>
      <c r="AN110" s="12" t="s">
        <v>730</v>
      </c>
      <c r="AO110" s="12"/>
      <c r="AP110" s="12"/>
      <c r="AQ110" s="4">
        <v>2</v>
      </c>
      <c r="AR110" s="4" t="s">
        <v>83</v>
      </c>
      <c r="AS110" s="4"/>
      <c r="AT110" s="13"/>
      <c r="AU110" s="13"/>
      <c r="AV110" s="13"/>
      <c r="AW110" s="13"/>
      <c r="AX110" s="4"/>
      <c r="AY110" s="13"/>
      <c r="AZ110" s="13"/>
      <c r="BA110" s="13"/>
      <c r="BB110" s="13"/>
      <c r="BC110" s="4"/>
      <c r="BD110" s="4"/>
      <c r="BE110" s="4"/>
      <c r="BF110" s="13"/>
      <c r="BG110" s="4"/>
      <c r="BH110" s="13"/>
      <c r="BI110" s="13"/>
      <c r="BJ110" s="4"/>
      <c r="BK110" s="14">
        <v>10</v>
      </c>
      <c r="BL110" s="14">
        <v>10</v>
      </c>
      <c r="BM110" s="14">
        <v>10</v>
      </c>
      <c r="BP110" s="15"/>
      <c r="BQ110" s="15"/>
      <c r="BR110" s="2" t="s">
        <v>108</v>
      </c>
      <c r="BS110" s="2" t="s">
        <v>108</v>
      </c>
      <c r="BT110" s="7" t="s">
        <v>109</v>
      </c>
      <c r="BU110" s="7"/>
      <c r="BV110" s="9" t="s">
        <v>109</v>
      </c>
      <c r="BW110" s="9"/>
    </row>
    <row r="111" spans="1:75" ht="14.25" customHeight="1" x14ac:dyDescent="0.25">
      <c r="A111" s="1">
        <v>211</v>
      </c>
      <c r="B111" s="1" t="s">
        <v>731</v>
      </c>
      <c r="C111" s="1" t="s">
        <v>732</v>
      </c>
      <c r="D111" s="1" t="s">
        <v>77</v>
      </c>
      <c r="E111" s="1" t="s">
        <v>713</v>
      </c>
      <c r="F111" s="1" t="s">
        <v>714</v>
      </c>
      <c r="G111" s="1" t="s">
        <v>118</v>
      </c>
      <c r="H111" s="2">
        <v>0</v>
      </c>
      <c r="I111" s="2">
        <v>1</v>
      </c>
      <c r="J111" s="2">
        <v>1</v>
      </c>
      <c r="K111" s="2">
        <v>0</v>
      </c>
      <c r="L111" s="3" t="s">
        <v>80</v>
      </c>
      <c r="O111" s="4">
        <v>3</v>
      </c>
      <c r="P111" s="4" t="s">
        <v>424</v>
      </c>
      <c r="Q111" s="4"/>
      <c r="R111" s="16">
        <v>1400000</v>
      </c>
      <c r="S111" s="6">
        <v>1400000</v>
      </c>
      <c r="T111" s="16">
        <v>840000</v>
      </c>
      <c r="U111" s="6">
        <v>840000</v>
      </c>
      <c r="V111" s="4">
        <v>2010.5</v>
      </c>
      <c r="W111" s="4" t="s">
        <v>425</v>
      </c>
      <c r="X111" s="4"/>
      <c r="Y111" s="7">
        <v>2</v>
      </c>
      <c r="Z111" s="8">
        <v>2926960</v>
      </c>
      <c r="AA111" s="7" t="s">
        <v>92</v>
      </c>
      <c r="AB111" s="7"/>
      <c r="AC111" s="9">
        <v>2</v>
      </c>
      <c r="AD111" s="10">
        <v>2926960</v>
      </c>
      <c r="AE111" s="9" t="s">
        <v>92</v>
      </c>
      <c r="AF111" s="9"/>
      <c r="AG111" s="11">
        <v>2</v>
      </c>
      <c r="AH111" s="11" t="s">
        <v>131</v>
      </c>
      <c r="AI111" s="11" t="s">
        <v>733</v>
      </c>
      <c r="AJ111" s="11">
        <v>2</v>
      </c>
      <c r="AK111" s="11" t="s">
        <v>132</v>
      </c>
      <c r="AL111" s="12">
        <v>2</v>
      </c>
      <c r="AM111" s="12" t="s">
        <v>131</v>
      </c>
      <c r="AN111" s="12"/>
      <c r="AO111" s="12">
        <v>2</v>
      </c>
      <c r="AP111" s="12" t="s">
        <v>132</v>
      </c>
      <c r="AQ111" s="4">
        <v>2</v>
      </c>
      <c r="AR111" s="4" t="s">
        <v>133</v>
      </c>
      <c r="AS111" s="4"/>
      <c r="AT111" s="13">
        <v>40.980575561523402</v>
      </c>
      <c r="AU111" s="13">
        <v>0.67541247606277499</v>
      </c>
      <c r="AV111" s="13">
        <v>-0.17200000584125499</v>
      </c>
      <c r="AW111" s="13">
        <v>1.1512989997863801</v>
      </c>
      <c r="AX111" s="4"/>
      <c r="AY111" s="13">
        <v>32.611091613769503</v>
      </c>
      <c r="AZ111" s="13">
        <v>2.8635687828064</v>
      </c>
      <c r="BA111" s="13">
        <v>0.29600000381469699</v>
      </c>
      <c r="BB111" s="13">
        <v>4.7564029693603498</v>
      </c>
      <c r="BC111" s="4">
        <v>1</v>
      </c>
      <c r="BD111" s="4">
        <v>10</v>
      </c>
      <c r="BE111" s="4" t="s">
        <v>134</v>
      </c>
      <c r="BF111" s="13">
        <v>1.3232990503311199</v>
      </c>
      <c r="BG111" s="4">
        <v>517.5</v>
      </c>
      <c r="BH111" s="13">
        <v>0.52950000762939498</v>
      </c>
      <c r="BI111" s="13">
        <v>274.03048706054699</v>
      </c>
      <c r="BJ111" s="4"/>
      <c r="BK111" s="14">
        <v>9</v>
      </c>
      <c r="BL111" s="14">
        <v>9</v>
      </c>
      <c r="BM111" s="14">
        <v>9</v>
      </c>
      <c r="BP111" s="15" t="s">
        <v>135</v>
      </c>
      <c r="BQ111" s="15" t="s">
        <v>146</v>
      </c>
      <c r="BR111" s="2" t="s">
        <v>297</v>
      </c>
      <c r="BS111" s="2" t="s">
        <v>297</v>
      </c>
      <c r="BT111" s="7" t="s">
        <v>475</v>
      </c>
      <c r="BU111" s="7"/>
      <c r="BV111" s="9" t="s">
        <v>475</v>
      </c>
      <c r="BW111" s="9"/>
    </row>
    <row r="112" spans="1:75" ht="14.25" customHeight="1" x14ac:dyDescent="0.25">
      <c r="A112" s="1">
        <v>212</v>
      </c>
      <c r="B112" s="1" t="s">
        <v>734</v>
      </c>
      <c r="C112" s="1" t="s">
        <v>735</v>
      </c>
      <c r="D112" s="1" t="s">
        <v>77</v>
      </c>
      <c r="E112" s="1" t="s">
        <v>713</v>
      </c>
      <c r="F112" s="1" t="s">
        <v>714</v>
      </c>
      <c r="G112" s="1"/>
      <c r="H112" s="2">
        <v>0</v>
      </c>
      <c r="I112" s="2">
        <v>0</v>
      </c>
      <c r="J112" s="2">
        <v>0</v>
      </c>
      <c r="K112" s="2">
        <v>1</v>
      </c>
      <c r="L112" s="3" t="s">
        <v>80</v>
      </c>
      <c r="O112" s="4">
        <v>5</v>
      </c>
      <c r="P112" s="4" t="s">
        <v>81</v>
      </c>
      <c r="Q112" s="4"/>
      <c r="R112" s="5"/>
      <c r="S112" s="6"/>
      <c r="T112" s="17"/>
      <c r="U112" s="6"/>
      <c r="V112" s="4"/>
      <c r="W112" s="4"/>
      <c r="X112" s="4"/>
      <c r="Y112" s="7">
        <v>3</v>
      </c>
      <c r="Z112" s="8">
        <v>613294</v>
      </c>
      <c r="AA112" s="7" t="s">
        <v>82</v>
      </c>
      <c r="AB112" s="7"/>
      <c r="AC112" s="9">
        <v>3</v>
      </c>
      <c r="AD112" s="10">
        <v>613294</v>
      </c>
      <c r="AE112" s="9" t="s">
        <v>82</v>
      </c>
      <c r="AF112" s="9"/>
      <c r="AG112" s="11">
        <v>4</v>
      </c>
      <c r="AH112" s="11" t="s">
        <v>83</v>
      </c>
      <c r="AI112" s="11" t="s">
        <v>736</v>
      </c>
      <c r="AJ112" s="11"/>
      <c r="AK112" s="11"/>
      <c r="AL112" s="12">
        <v>4</v>
      </c>
      <c r="AM112" s="12" t="s">
        <v>83</v>
      </c>
      <c r="AN112" s="12"/>
      <c r="AO112" s="12"/>
      <c r="AP112" s="12"/>
      <c r="AQ112" s="4">
        <v>5</v>
      </c>
      <c r="AR112" s="4" t="s">
        <v>83</v>
      </c>
      <c r="AS112" s="4"/>
      <c r="AT112" s="13"/>
      <c r="AU112" s="13"/>
      <c r="AV112" s="13"/>
      <c r="AW112" s="13"/>
      <c r="AX112" s="4"/>
      <c r="AY112" s="13"/>
      <c r="AZ112" s="13"/>
      <c r="BA112" s="13"/>
      <c r="BB112" s="13"/>
      <c r="BC112" s="4"/>
      <c r="BD112" s="4"/>
      <c r="BE112" s="4"/>
      <c r="BF112" s="13"/>
      <c r="BG112" s="4"/>
      <c r="BH112" s="13"/>
      <c r="BI112" s="13"/>
      <c r="BJ112" s="4"/>
      <c r="BK112" s="14">
        <v>17</v>
      </c>
      <c r="BL112" s="14">
        <v>17</v>
      </c>
      <c r="BM112" s="14">
        <v>17</v>
      </c>
      <c r="BN112" s="3" t="s">
        <v>312</v>
      </c>
      <c r="BO112" s="3" t="s">
        <v>114</v>
      </c>
      <c r="BP112" s="15"/>
      <c r="BQ112" s="15"/>
      <c r="BR112" s="2" t="s">
        <v>97</v>
      </c>
      <c r="BS112" s="2" t="s">
        <v>97</v>
      </c>
      <c r="BT112" s="7" t="s">
        <v>98</v>
      </c>
      <c r="BU112" s="7"/>
      <c r="BV112" s="9" t="s">
        <v>98</v>
      </c>
      <c r="BW112" s="9"/>
    </row>
    <row r="113" spans="1:75" ht="14.25" customHeight="1" x14ac:dyDescent="0.25">
      <c r="A113" s="1">
        <v>215</v>
      </c>
      <c r="B113" s="1" t="s">
        <v>737</v>
      </c>
      <c r="C113" s="1" t="s">
        <v>738</v>
      </c>
      <c r="D113" s="1" t="s">
        <v>77</v>
      </c>
      <c r="E113" s="1" t="s">
        <v>713</v>
      </c>
      <c r="F113" s="1" t="s">
        <v>714</v>
      </c>
      <c r="G113" s="1"/>
      <c r="H113" s="2">
        <v>0</v>
      </c>
      <c r="I113" s="2">
        <v>0</v>
      </c>
      <c r="J113" s="2">
        <v>0</v>
      </c>
      <c r="K113" s="2">
        <v>1</v>
      </c>
      <c r="L113" s="3" t="s">
        <v>80</v>
      </c>
      <c r="O113" s="4">
        <v>3</v>
      </c>
      <c r="P113" s="4" t="s">
        <v>81</v>
      </c>
      <c r="Q113" s="4"/>
      <c r="R113" s="5"/>
      <c r="S113" s="6"/>
      <c r="T113" s="17"/>
      <c r="U113" s="6"/>
      <c r="V113" s="4"/>
      <c r="W113" s="4"/>
      <c r="X113" s="4"/>
      <c r="Y113" s="7">
        <v>1</v>
      </c>
      <c r="Z113" s="8">
        <v>8782798</v>
      </c>
      <c r="AA113" s="7" t="s">
        <v>82</v>
      </c>
      <c r="AB113" s="7"/>
      <c r="AC113" s="9">
        <v>1</v>
      </c>
      <c r="AD113" s="10">
        <v>8782798</v>
      </c>
      <c r="AE113" s="9" t="s">
        <v>82</v>
      </c>
      <c r="AF113" s="9"/>
      <c r="AG113" s="11">
        <v>3</v>
      </c>
      <c r="AH113" s="11" t="s">
        <v>83</v>
      </c>
      <c r="AI113" s="11"/>
      <c r="AJ113" s="11"/>
      <c r="AK113" s="11"/>
      <c r="AL113" s="12">
        <v>3</v>
      </c>
      <c r="AM113" s="12" t="s">
        <v>83</v>
      </c>
      <c r="AN113" s="12"/>
      <c r="AO113" s="12"/>
      <c r="AP113" s="12"/>
      <c r="AQ113" s="4">
        <v>4</v>
      </c>
      <c r="AR113" s="4" t="s">
        <v>83</v>
      </c>
      <c r="AS113" s="4" t="s">
        <v>739</v>
      </c>
      <c r="AT113" s="13"/>
      <c r="AU113" s="13"/>
      <c r="AV113" s="13"/>
      <c r="AW113" s="13"/>
      <c r="AX113" s="4"/>
      <c r="AY113" s="13"/>
      <c r="AZ113" s="13"/>
      <c r="BA113" s="13"/>
      <c r="BB113" s="13"/>
      <c r="BC113" s="4"/>
      <c r="BD113" s="4"/>
      <c r="BE113" s="4"/>
      <c r="BF113" s="13"/>
      <c r="BG113" s="4"/>
      <c r="BH113" s="13"/>
      <c r="BI113" s="13"/>
      <c r="BJ113" s="4"/>
      <c r="BK113" s="14">
        <v>11</v>
      </c>
      <c r="BL113" s="14">
        <v>11</v>
      </c>
      <c r="BM113" s="14">
        <v>11</v>
      </c>
      <c r="BP113" s="15"/>
      <c r="BQ113" s="15"/>
      <c r="BR113" s="2" t="s">
        <v>740</v>
      </c>
      <c r="BS113" s="2" t="s">
        <v>740</v>
      </c>
      <c r="BT113" s="7" t="s">
        <v>98</v>
      </c>
      <c r="BU113" s="7"/>
      <c r="BV113" s="9" t="s">
        <v>98</v>
      </c>
      <c r="BW113" s="9"/>
    </row>
    <row r="114" spans="1:75" ht="14.25" customHeight="1" x14ac:dyDescent="0.25">
      <c r="A114" s="1">
        <v>217</v>
      </c>
      <c r="B114" s="1" t="s">
        <v>741</v>
      </c>
      <c r="C114" s="1" t="s">
        <v>742</v>
      </c>
      <c r="D114" s="1" t="s">
        <v>77</v>
      </c>
      <c r="E114" s="1" t="s">
        <v>713</v>
      </c>
      <c r="F114" s="1" t="s">
        <v>714</v>
      </c>
      <c r="G114" s="1"/>
      <c r="H114" s="2">
        <v>0</v>
      </c>
      <c r="I114" s="2">
        <v>0</v>
      </c>
      <c r="J114" s="2">
        <v>1</v>
      </c>
      <c r="K114" s="2">
        <v>1</v>
      </c>
      <c r="L114" s="3" t="s">
        <v>80</v>
      </c>
      <c r="O114" s="4">
        <v>2</v>
      </c>
      <c r="P114" s="4" t="s">
        <v>112</v>
      </c>
      <c r="Q114" s="4"/>
      <c r="R114" s="5"/>
      <c r="S114" s="6"/>
      <c r="T114" s="17"/>
      <c r="U114" s="6"/>
      <c r="V114" s="4"/>
      <c r="W114" s="4"/>
      <c r="X114" s="4"/>
      <c r="Y114" s="7">
        <v>1</v>
      </c>
      <c r="Z114" s="8">
        <v>14299560</v>
      </c>
      <c r="AA114" s="7" t="s">
        <v>92</v>
      </c>
      <c r="AB114" s="7"/>
      <c r="AC114" s="9">
        <v>1</v>
      </c>
      <c r="AD114" s="10">
        <v>14299560</v>
      </c>
      <c r="AE114" s="9" t="s">
        <v>92</v>
      </c>
      <c r="AF114" s="9"/>
      <c r="AG114" s="11">
        <v>3</v>
      </c>
      <c r="AH114" s="11" t="s">
        <v>743</v>
      </c>
      <c r="AI114" s="11" t="s">
        <v>744</v>
      </c>
      <c r="AJ114" s="11"/>
      <c r="AK114" s="11"/>
      <c r="AL114" s="12">
        <v>3</v>
      </c>
      <c r="AM114" s="12" t="s">
        <v>93</v>
      </c>
      <c r="AN114" s="12" t="s">
        <v>394</v>
      </c>
      <c r="AO114" s="12"/>
      <c r="AP114" s="12"/>
      <c r="AQ114" s="4">
        <v>3</v>
      </c>
      <c r="AR114" s="4" t="s">
        <v>83</v>
      </c>
      <c r="AS114" s="4" t="s">
        <v>745</v>
      </c>
      <c r="AT114" s="13"/>
      <c r="AU114" s="13"/>
      <c r="AV114" s="13"/>
      <c r="AW114" s="13"/>
      <c r="AX114" s="4"/>
      <c r="AY114" s="13"/>
      <c r="AZ114" s="13"/>
      <c r="BA114" s="13"/>
      <c r="BB114" s="13"/>
      <c r="BC114" s="4"/>
      <c r="BD114" s="4"/>
      <c r="BE114" s="4"/>
      <c r="BF114" s="13"/>
      <c r="BG114" s="4"/>
      <c r="BH114" s="13"/>
      <c r="BI114" s="13"/>
      <c r="BJ114" s="4"/>
      <c r="BK114" s="14">
        <v>9</v>
      </c>
      <c r="BL114" s="14">
        <v>9</v>
      </c>
      <c r="BM114" s="14">
        <v>9</v>
      </c>
      <c r="BP114" s="15"/>
      <c r="BQ114" s="15"/>
      <c r="BR114" s="2" t="s">
        <v>97</v>
      </c>
      <c r="BS114" s="2" t="s">
        <v>97</v>
      </c>
      <c r="BT114" s="7" t="s">
        <v>98</v>
      </c>
      <c r="BU114" s="7" t="s">
        <v>109</v>
      </c>
      <c r="BV114" s="9" t="s">
        <v>98</v>
      </c>
      <c r="BW114" s="9" t="s">
        <v>109</v>
      </c>
    </row>
    <row r="115" spans="1:75" ht="14.25" customHeight="1" x14ac:dyDescent="0.25">
      <c r="A115" s="1">
        <v>219</v>
      </c>
      <c r="B115" s="1" t="s">
        <v>746</v>
      </c>
      <c r="C115" s="1" t="s">
        <v>747</v>
      </c>
      <c r="D115" s="1" t="s">
        <v>77</v>
      </c>
      <c r="E115" s="1" t="s">
        <v>713</v>
      </c>
      <c r="F115" s="1" t="s">
        <v>714</v>
      </c>
      <c r="G115" s="1" t="s">
        <v>118</v>
      </c>
      <c r="H115" s="2">
        <v>1</v>
      </c>
      <c r="I115" s="2">
        <v>1</v>
      </c>
      <c r="J115" s="2">
        <v>1</v>
      </c>
      <c r="K115" s="2">
        <v>1</v>
      </c>
      <c r="L115" s="3" t="s">
        <v>127</v>
      </c>
      <c r="O115" s="4">
        <v>2</v>
      </c>
      <c r="P115" s="4" t="s">
        <v>424</v>
      </c>
      <c r="Q115" s="4"/>
      <c r="R115" s="16">
        <v>9600000</v>
      </c>
      <c r="S115" s="6">
        <v>9600000</v>
      </c>
      <c r="T115" s="16">
        <v>8400000</v>
      </c>
      <c r="U115" s="6">
        <v>8400000</v>
      </c>
      <c r="V115" s="4">
        <v>2010.5</v>
      </c>
      <c r="W115" s="4" t="s">
        <v>425</v>
      </c>
      <c r="X115" s="4"/>
      <c r="Y115" s="7">
        <v>1</v>
      </c>
      <c r="Z115" s="8">
        <v>5267573</v>
      </c>
      <c r="AA115" s="7" t="s">
        <v>92</v>
      </c>
      <c r="AB115" s="7"/>
      <c r="AC115" s="9">
        <v>2</v>
      </c>
      <c r="AD115" s="10">
        <v>3514098</v>
      </c>
      <c r="AE115" s="9" t="s">
        <v>582</v>
      </c>
      <c r="AF115" s="9" t="s">
        <v>748</v>
      </c>
      <c r="AG115" s="11">
        <v>3</v>
      </c>
      <c r="AH115" s="11" t="s">
        <v>131</v>
      </c>
      <c r="AI115" s="11" t="s">
        <v>749</v>
      </c>
      <c r="AJ115" s="11">
        <v>2</v>
      </c>
      <c r="AK115" s="11" t="s">
        <v>132</v>
      </c>
      <c r="AL115" s="12">
        <v>3</v>
      </c>
      <c r="AM115" s="12" t="s">
        <v>271</v>
      </c>
      <c r="AN115" s="12" t="s">
        <v>750</v>
      </c>
      <c r="AO115" s="12"/>
      <c r="AP115" s="12"/>
      <c r="AQ115" s="4">
        <v>4</v>
      </c>
      <c r="AR115" s="4" t="s">
        <v>133</v>
      </c>
      <c r="AS115" s="4"/>
      <c r="AT115" s="13">
        <v>-50.207923889160199</v>
      </c>
      <c r="AU115" s="13">
        <v>-1.3570474386215201</v>
      </c>
      <c r="AV115" s="13">
        <v>-1.6306999921798699</v>
      </c>
      <c r="AW115" s="13">
        <v>-1.0099999904632599</v>
      </c>
      <c r="AX115" s="4">
        <v>1</v>
      </c>
      <c r="AY115" s="13">
        <v>17.192253112793001</v>
      </c>
      <c r="AZ115" s="13">
        <v>1.5949065685272199</v>
      </c>
      <c r="BA115" s="13">
        <v>0.94289797544479403</v>
      </c>
      <c r="BB115" s="13">
        <v>2.5299999713897701</v>
      </c>
      <c r="BC115" s="4">
        <v>1</v>
      </c>
      <c r="BD115" s="4">
        <v>10</v>
      </c>
      <c r="BE115" s="4" t="s">
        <v>134</v>
      </c>
      <c r="BF115" s="13">
        <v>0.62070000171661399</v>
      </c>
      <c r="BG115" s="4">
        <v>2440</v>
      </c>
      <c r="BH115" s="13">
        <v>4.0599999427795401</v>
      </c>
      <c r="BI115" s="13">
        <v>9905.080078125</v>
      </c>
      <c r="BJ115" s="4"/>
      <c r="BK115" s="14">
        <v>10</v>
      </c>
      <c r="BL115" s="14">
        <v>11</v>
      </c>
      <c r="BM115" s="14">
        <v>11</v>
      </c>
      <c r="BN115" s="3" t="s">
        <v>302</v>
      </c>
      <c r="BP115" s="15"/>
      <c r="BQ115" s="15"/>
      <c r="BR115" s="2" t="s">
        <v>239</v>
      </c>
      <c r="BS115" s="2" t="s">
        <v>740</v>
      </c>
      <c r="BT115" s="7" t="s">
        <v>241</v>
      </c>
      <c r="BU115" s="7"/>
      <c r="BV115" s="9" t="s">
        <v>109</v>
      </c>
      <c r="BW115" s="9" t="s">
        <v>98</v>
      </c>
    </row>
    <row r="116" spans="1:75" ht="14.25" customHeight="1" x14ac:dyDescent="0.25">
      <c r="A116" s="1">
        <v>221</v>
      </c>
      <c r="B116" s="1" t="s">
        <v>751</v>
      </c>
      <c r="C116" s="1" t="s">
        <v>752</v>
      </c>
      <c r="D116" s="1" t="s">
        <v>77</v>
      </c>
      <c r="E116" s="1" t="s">
        <v>713</v>
      </c>
      <c r="F116" s="1" t="s">
        <v>714</v>
      </c>
      <c r="G116" s="1" t="s">
        <v>118</v>
      </c>
      <c r="H116" s="2">
        <v>0</v>
      </c>
      <c r="I116" s="2">
        <v>1</v>
      </c>
      <c r="J116" s="2">
        <v>1</v>
      </c>
      <c r="K116" s="2">
        <v>1</v>
      </c>
      <c r="L116" s="3" t="s">
        <v>80</v>
      </c>
      <c r="O116" s="4">
        <v>4</v>
      </c>
      <c r="P116" s="4" t="s">
        <v>753</v>
      </c>
      <c r="Q116" s="4" t="s">
        <v>754</v>
      </c>
      <c r="R116" s="16">
        <v>200000</v>
      </c>
      <c r="S116" s="6">
        <v>200000</v>
      </c>
      <c r="T116" s="16">
        <v>2400</v>
      </c>
      <c r="U116" s="6">
        <v>2400</v>
      </c>
      <c r="V116" s="4">
        <v>2010.5</v>
      </c>
      <c r="W116" s="4" t="s">
        <v>425</v>
      </c>
      <c r="X116" s="4"/>
      <c r="Y116" s="7">
        <v>3</v>
      </c>
      <c r="Z116" s="8">
        <v>893972</v>
      </c>
      <c r="AA116" s="7" t="s">
        <v>92</v>
      </c>
      <c r="AB116" s="7"/>
      <c r="AC116" s="9">
        <v>3</v>
      </c>
      <c r="AD116" s="10">
        <v>893972</v>
      </c>
      <c r="AE116" s="9" t="s">
        <v>92</v>
      </c>
      <c r="AF116" s="9"/>
      <c r="AG116" s="11">
        <v>3</v>
      </c>
      <c r="AH116" s="11" t="s">
        <v>131</v>
      </c>
      <c r="AI116" s="11" t="s">
        <v>755</v>
      </c>
      <c r="AJ116" s="11">
        <v>2</v>
      </c>
      <c r="AK116" s="11" t="s">
        <v>132</v>
      </c>
      <c r="AL116" s="12">
        <v>3</v>
      </c>
      <c r="AM116" s="12" t="s">
        <v>131</v>
      </c>
      <c r="AN116" s="12" t="s">
        <v>756</v>
      </c>
      <c r="AO116" s="12">
        <v>2</v>
      </c>
      <c r="AP116" s="12" t="s">
        <v>132</v>
      </c>
      <c r="AQ116" s="4">
        <v>4</v>
      </c>
      <c r="AR116" s="4" t="s">
        <v>93</v>
      </c>
      <c r="AS116" s="4"/>
      <c r="AT116" s="13"/>
      <c r="AU116" s="13"/>
      <c r="AV116" s="13"/>
      <c r="AW116" s="13"/>
      <c r="AX116" s="4"/>
      <c r="AY116" s="13"/>
      <c r="AZ116" s="13"/>
      <c r="BA116" s="13"/>
      <c r="BB116" s="13"/>
      <c r="BC116" s="4"/>
      <c r="BD116" s="4"/>
      <c r="BE116" s="4"/>
      <c r="BF116" s="13"/>
      <c r="BG116" s="4"/>
      <c r="BH116" s="13"/>
      <c r="BI116" s="13"/>
      <c r="BJ116" s="4"/>
      <c r="BK116" s="14">
        <v>14</v>
      </c>
      <c r="BL116" s="14">
        <v>14</v>
      </c>
      <c r="BM116" s="14">
        <v>14</v>
      </c>
      <c r="BN116" s="3" t="s">
        <v>86</v>
      </c>
      <c r="BP116" s="15"/>
      <c r="BQ116" s="15"/>
      <c r="BR116" s="2" t="s">
        <v>97</v>
      </c>
      <c r="BS116" s="2" t="s">
        <v>97</v>
      </c>
      <c r="BT116" s="7" t="s">
        <v>623</v>
      </c>
      <c r="BU116" s="7" t="s">
        <v>109</v>
      </c>
      <c r="BV116" s="9" t="s">
        <v>623</v>
      </c>
      <c r="BW116" s="9" t="s">
        <v>109</v>
      </c>
    </row>
    <row r="117" spans="1:75" ht="14.25" customHeight="1" x14ac:dyDescent="0.25">
      <c r="A117" s="1">
        <v>222</v>
      </c>
      <c r="B117" s="1" t="s">
        <v>757</v>
      </c>
      <c r="C117" s="1" t="s">
        <v>758</v>
      </c>
      <c r="D117" s="1" t="s">
        <v>77</v>
      </c>
      <c r="E117" s="1" t="s">
        <v>713</v>
      </c>
      <c r="F117" s="1" t="s">
        <v>714</v>
      </c>
      <c r="G117" s="1" t="s">
        <v>118</v>
      </c>
      <c r="H117" s="2">
        <v>0</v>
      </c>
      <c r="I117" s="2">
        <v>0</v>
      </c>
      <c r="J117" s="2">
        <v>0</v>
      </c>
      <c r="K117" s="2">
        <v>1</v>
      </c>
      <c r="L117" s="3" t="s">
        <v>80</v>
      </c>
      <c r="O117" s="4">
        <v>5</v>
      </c>
      <c r="P117" s="4" t="s">
        <v>81</v>
      </c>
      <c r="Q117" s="4"/>
      <c r="R117" s="5"/>
      <c r="S117" s="6"/>
      <c r="T117" s="17"/>
      <c r="U117" s="6"/>
      <c r="V117" s="4"/>
      <c r="W117" s="4"/>
      <c r="X117" s="4"/>
      <c r="Y117" s="7">
        <v>5</v>
      </c>
      <c r="Z117" s="8">
        <v>24</v>
      </c>
      <c r="AA117" s="7" t="s">
        <v>82</v>
      </c>
      <c r="AB117" s="7"/>
      <c r="AC117" s="9">
        <v>5</v>
      </c>
      <c r="AD117" s="10">
        <v>24</v>
      </c>
      <c r="AE117" s="9" t="s">
        <v>82</v>
      </c>
      <c r="AF117" s="9"/>
      <c r="AG117" s="11">
        <v>3</v>
      </c>
      <c r="AH117" s="11" t="s">
        <v>83</v>
      </c>
      <c r="AI117" s="11" t="s">
        <v>759</v>
      </c>
      <c r="AJ117" s="11"/>
      <c r="AK117" s="11"/>
      <c r="AL117" s="12">
        <v>3</v>
      </c>
      <c r="AM117" s="12" t="s">
        <v>83</v>
      </c>
      <c r="AN117" s="12"/>
      <c r="AO117" s="12"/>
      <c r="AP117" s="12"/>
      <c r="AQ117" s="4">
        <v>2</v>
      </c>
      <c r="AR117" s="4" t="s">
        <v>83</v>
      </c>
      <c r="AS117" s="4"/>
      <c r="AT117" s="13"/>
      <c r="AU117" s="13"/>
      <c r="AV117" s="13"/>
      <c r="AW117" s="13"/>
      <c r="AX117" s="4"/>
      <c r="AY117" s="13"/>
      <c r="AZ117" s="13"/>
      <c r="BA117" s="13"/>
      <c r="BB117" s="13"/>
      <c r="BC117" s="4"/>
      <c r="BD117" s="4"/>
      <c r="BE117" s="4"/>
      <c r="BF117" s="13"/>
      <c r="BG117" s="4"/>
      <c r="BH117" s="13"/>
      <c r="BI117" s="13"/>
      <c r="BJ117" s="4"/>
      <c r="BK117" s="14">
        <v>15</v>
      </c>
      <c r="BL117" s="14">
        <v>15</v>
      </c>
      <c r="BM117" s="14">
        <v>15</v>
      </c>
      <c r="BN117" s="3" t="s">
        <v>86</v>
      </c>
      <c r="BO117" s="3" t="s">
        <v>114</v>
      </c>
      <c r="BP117" s="15"/>
      <c r="BQ117" s="15"/>
      <c r="BR117" s="2" t="s">
        <v>108</v>
      </c>
      <c r="BS117" s="2" t="s">
        <v>108</v>
      </c>
      <c r="BT117" s="7" t="s">
        <v>760</v>
      </c>
      <c r="BU117" s="7"/>
      <c r="BV117" s="9" t="s">
        <v>760</v>
      </c>
      <c r="BW117" s="9"/>
    </row>
    <row r="118" spans="1:75" ht="14.25" customHeight="1" x14ac:dyDescent="0.25">
      <c r="A118" s="1">
        <v>223</v>
      </c>
      <c r="B118" s="1" t="s">
        <v>761</v>
      </c>
      <c r="C118" s="1" t="s">
        <v>762</v>
      </c>
      <c r="D118" s="1" t="s">
        <v>77</v>
      </c>
      <c r="E118" s="1" t="s">
        <v>713</v>
      </c>
      <c r="F118" s="1" t="s">
        <v>714</v>
      </c>
      <c r="G118" s="1" t="s">
        <v>118</v>
      </c>
      <c r="H118" s="2">
        <v>1</v>
      </c>
      <c r="I118" s="2">
        <v>1</v>
      </c>
      <c r="J118" s="2">
        <v>1</v>
      </c>
      <c r="K118" s="2">
        <v>1</v>
      </c>
      <c r="L118" s="3" t="s">
        <v>127</v>
      </c>
      <c r="O118" s="4">
        <v>3</v>
      </c>
      <c r="P118" s="4" t="s">
        <v>425</v>
      </c>
      <c r="Q118" s="4" t="s">
        <v>763</v>
      </c>
      <c r="R118" s="16">
        <v>880000</v>
      </c>
      <c r="S118" s="6">
        <v>880000</v>
      </c>
      <c r="T118" s="16">
        <v>880000</v>
      </c>
      <c r="U118" s="6">
        <v>880000</v>
      </c>
      <c r="V118" s="4">
        <v>2010.5</v>
      </c>
      <c r="W118" s="4" t="s">
        <v>425</v>
      </c>
      <c r="X118" s="4"/>
      <c r="Y118" s="7">
        <v>1</v>
      </c>
      <c r="Z118" s="8">
        <v>4934488</v>
      </c>
      <c r="AA118" s="7" t="s">
        <v>92</v>
      </c>
      <c r="AB118" s="7"/>
      <c r="AC118" s="9">
        <v>2</v>
      </c>
      <c r="AD118" s="10">
        <v>2301267</v>
      </c>
      <c r="AE118" s="9" t="s">
        <v>92</v>
      </c>
      <c r="AF118" s="9"/>
      <c r="AG118" s="11">
        <v>3</v>
      </c>
      <c r="AH118" s="11" t="s">
        <v>131</v>
      </c>
      <c r="AI118" s="11" t="s">
        <v>764</v>
      </c>
      <c r="AJ118" s="11">
        <v>2</v>
      </c>
      <c r="AK118" s="11" t="s">
        <v>143</v>
      </c>
      <c r="AL118" s="12">
        <v>3</v>
      </c>
      <c r="AM118" s="12" t="s">
        <v>271</v>
      </c>
      <c r="AN118" s="12" t="s">
        <v>765</v>
      </c>
      <c r="AO118" s="12"/>
      <c r="AP118" s="12"/>
      <c r="AQ118" s="4">
        <v>4</v>
      </c>
      <c r="AR118" s="4" t="s">
        <v>133</v>
      </c>
      <c r="AS118" s="4"/>
      <c r="AT118" s="13">
        <v>-67.669532775878906</v>
      </c>
      <c r="AU118" s="13">
        <v>-2.1900389194488499</v>
      </c>
      <c r="AV118" s="13">
        <v>-2.8812999725341801</v>
      </c>
      <c r="AW118" s="13">
        <v>-1.2699999809265099</v>
      </c>
      <c r="AX118" s="4">
        <v>1</v>
      </c>
      <c r="AY118" s="13">
        <v>12.6561899185181</v>
      </c>
      <c r="AZ118" s="13">
        <v>1.19474530220032</v>
      </c>
      <c r="BA118" s="13">
        <v>-1.4299999475479099</v>
      </c>
      <c r="BB118" s="13">
        <v>3.4800000190734899</v>
      </c>
      <c r="BC118" s="4"/>
      <c r="BD118" s="4">
        <v>10</v>
      </c>
      <c r="BE118" s="4" t="s">
        <v>134</v>
      </c>
      <c r="BF118" s="13">
        <v>1.61129999160767</v>
      </c>
      <c r="BG118" s="4">
        <v>1780</v>
      </c>
      <c r="BH118" s="13">
        <v>0.51099997758865401</v>
      </c>
      <c r="BI118" s="13">
        <v>909.51702880859398</v>
      </c>
      <c r="BJ118" s="4"/>
      <c r="BK118" s="14">
        <v>11</v>
      </c>
      <c r="BL118" s="14">
        <v>12</v>
      </c>
      <c r="BM118" s="14">
        <v>12</v>
      </c>
      <c r="BN118" s="3" t="s">
        <v>255</v>
      </c>
      <c r="BP118" s="15"/>
      <c r="BQ118" s="15"/>
      <c r="BR118" s="2" t="s">
        <v>211</v>
      </c>
      <c r="BS118" s="2" t="s">
        <v>740</v>
      </c>
      <c r="BT118" s="7" t="s">
        <v>241</v>
      </c>
      <c r="BU118" s="7"/>
      <c r="BV118" s="9" t="s">
        <v>109</v>
      </c>
      <c r="BW118" s="9" t="s">
        <v>98</v>
      </c>
    </row>
    <row r="119" spans="1:75" ht="14.25" customHeight="1" x14ac:dyDescent="0.25">
      <c r="A119" s="1">
        <v>231</v>
      </c>
      <c r="B119" s="1" t="s">
        <v>766</v>
      </c>
      <c r="C119" s="1" t="s">
        <v>767</v>
      </c>
      <c r="D119" s="1" t="s">
        <v>77</v>
      </c>
      <c r="E119" s="1" t="s">
        <v>768</v>
      </c>
      <c r="F119" s="1" t="s">
        <v>769</v>
      </c>
      <c r="G119" s="1"/>
      <c r="H119" s="2">
        <v>0</v>
      </c>
      <c r="I119" s="2">
        <v>0</v>
      </c>
      <c r="J119" s="2">
        <v>1</v>
      </c>
      <c r="K119" s="2">
        <v>1</v>
      </c>
      <c r="L119" s="3" t="s">
        <v>80</v>
      </c>
      <c r="O119" s="4">
        <v>4</v>
      </c>
      <c r="P119" s="4" t="s">
        <v>112</v>
      </c>
      <c r="Q119" s="4" t="s">
        <v>770</v>
      </c>
      <c r="R119" s="5"/>
      <c r="S119" s="6"/>
      <c r="T119" s="17"/>
      <c r="U119" s="6"/>
      <c r="V119" s="4"/>
      <c r="W119" s="4"/>
      <c r="X119" s="4"/>
      <c r="Y119" s="7">
        <v>1</v>
      </c>
      <c r="Z119" s="8">
        <v>8410768</v>
      </c>
      <c r="AA119" s="7" t="s">
        <v>92</v>
      </c>
      <c r="AB119" s="7"/>
      <c r="AC119" s="9">
        <v>1</v>
      </c>
      <c r="AD119" s="10">
        <v>8410768</v>
      </c>
      <c r="AE119" s="9" t="s">
        <v>92</v>
      </c>
      <c r="AF119" s="9"/>
      <c r="AG119" s="11">
        <v>3</v>
      </c>
      <c r="AH119" s="11" t="s">
        <v>93</v>
      </c>
      <c r="AI119" s="11"/>
      <c r="AJ119" s="11"/>
      <c r="AK119" s="11"/>
      <c r="AL119" s="12">
        <v>3</v>
      </c>
      <c r="AM119" s="12" t="s">
        <v>93</v>
      </c>
      <c r="AN119" s="12" t="s">
        <v>771</v>
      </c>
      <c r="AO119" s="12"/>
      <c r="AP119" s="12"/>
      <c r="AQ119" s="4">
        <v>3</v>
      </c>
      <c r="AR119" s="4" t="s">
        <v>83</v>
      </c>
      <c r="AS119" s="4"/>
      <c r="AT119" s="13"/>
      <c r="AU119" s="13"/>
      <c r="AV119" s="13"/>
      <c r="AW119" s="13"/>
      <c r="AX119" s="4"/>
      <c r="AY119" s="13"/>
      <c r="AZ119" s="13"/>
      <c r="BA119" s="13"/>
      <c r="BB119" s="13"/>
      <c r="BC119" s="4"/>
      <c r="BD119" s="4"/>
      <c r="BE119" s="4"/>
      <c r="BF119" s="13"/>
      <c r="BG119" s="4"/>
      <c r="BH119" s="13"/>
      <c r="BI119" s="13"/>
      <c r="BJ119" s="4"/>
      <c r="BK119" s="14">
        <v>11</v>
      </c>
      <c r="BL119" s="14">
        <v>11</v>
      </c>
      <c r="BM119" s="14">
        <v>11</v>
      </c>
      <c r="BP119" s="15"/>
      <c r="BQ119" s="15"/>
      <c r="BR119" s="2" t="s">
        <v>97</v>
      </c>
      <c r="BS119" s="2" t="s">
        <v>97</v>
      </c>
      <c r="BT119" s="7" t="s">
        <v>98</v>
      </c>
      <c r="BU119" s="7"/>
      <c r="BV119" s="9" t="s">
        <v>98</v>
      </c>
      <c r="BW119" s="9"/>
    </row>
    <row r="120" spans="1:75" ht="14.25" customHeight="1" x14ac:dyDescent="0.25">
      <c r="A120" s="1">
        <v>232</v>
      </c>
      <c r="B120" s="1" t="s">
        <v>772</v>
      </c>
      <c r="C120" s="1" t="s">
        <v>773</v>
      </c>
      <c r="D120" s="1" t="s">
        <v>77</v>
      </c>
      <c r="E120" s="1" t="s">
        <v>768</v>
      </c>
      <c r="F120" s="1" t="s">
        <v>769</v>
      </c>
      <c r="G120" s="1"/>
      <c r="H120" s="2">
        <v>0</v>
      </c>
      <c r="I120" s="2">
        <v>1</v>
      </c>
      <c r="J120" s="2">
        <v>1</v>
      </c>
      <c r="K120" s="2">
        <v>1</v>
      </c>
      <c r="L120" s="3" t="s">
        <v>127</v>
      </c>
      <c r="O120" s="4">
        <v>2</v>
      </c>
      <c r="P120" s="4" t="s">
        <v>470</v>
      </c>
      <c r="Q120" s="4"/>
      <c r="R120" s="16">
        <v>14000000</v>
      </c>
      <c r="S120" s="6">
        <v>14000000</v>
      </c>
      <c r="T120" s="16">
        <v>3800000</v>
      </c>
      <c r="U120" s="6">
        <v>3800000</v>
      </c>
      <c r="V120" s="4">
        <v>2010.5</v>
      </c>
      <c r="W120" s="4" t="s">
        <v>425</v>
      </c>
      <c r="X120" s="4"/>
      <c r="Y120" s="7">
        <v>2</v>
      </c>
      <c r="Z120" s="8">
        <v>2104709</v>
      </c>
      <c r="AA120" s="7" t="s">
        <v>92</v>
      </c>
      <c r="AB120" s="7"/>
      <c r="AC120" s="9">
        <v>1</v>
      </c>
      <c r="AD120" s="10">
        <v>9191034</v>
      </c>
      <c r="AE120" s="9" t="s">
        <v>92</v>
      </c>
      <c r="AF120" s="9" t="s">
        <v>774</v>
      </c>
      <c r="AG120" s="11">
        <v>2</v>
      </c>
      <c r="AH120" s="11" t="s">
        <v>131</v>
      </c>
      <c r="AI120" s="11"/>
      <c r="AJ120" s="11">
        <v>2</v>
      </c>
      <c r="AK120" s="11" t="s">
        <v>132</v>
      </c>
      <c r="AL120" s="12">
        <v>2</v>
      </c>
      <c r="AM120" s="12" t="s">
        <v>131</v>
      </c>
      <c r="AN120" s="12" t="s">
        <v>775</v>
      </c>
      <c r="AO120" s="12">
        <v>2</v>
      </c>
      <c r="AP120" s="12" t="s">
        <v>143</v>
      </c>
      <c r="AQ120" s="4">
        <v>3</v>
      </c>
      <c r="AR120" s="4" t="s">
        <v>133</v>
      </c>
      <c r="AS120" s="4"/>
      <c r="AT120" s="13">
        <v>-0.46201023459434498</v>
      </c>
      <c r="AU120" s="13">
        <v>-9.0771745890379004E-3</v>
      </c>
      <c r="AV120" s="13">
        <v>-0.76800000667571999</v>
      </c>
      <c r="AW120" s="13">
        <v>0.82700002193450906</v>
      </c>
      <c r="AX120" s="4"/>
      <c r="AY120" s="13">
        <v>-7.6201677322387704</v>
      </c>
      <c r="AZ120" s="13">
        <v>-0.78840827941894498</v>
      </c>
      <c r="BA120" s="13">
        <v>-3.4700000286102299</v>
      </c>
      <c r="BB120" s="13">
        <v>1.4700000286102299</v>
      </c>
      <c r="BC120" s="4"/>
      <c r="BD120" s="4">
        <v>10</v>
      </c>
      <c r="BE120" s="4" t="s">
        <v>134</v>
      </c>
      <c r="BF120" s="13">
        <v>1.5950000286102299</v>
      </c>
      <c r="BG120" s="4">
        <v>212</v>
      </c>
      <c r="BH120" s="13">
        <v>2.3550000190734899</v>
      </c>
      <c r="BI120" s="13">
        <v>498.17001342773398</v>
      </c>
      <c r="BJ120" s="4"/>
      <c r="BK120" s="14">
        <v>9</v>
      </c>
      <c r="BL120" s="14">
        <v>8</v>
      </c>
      <c r="BM120" s="14">
        <v>9</v>
      </c>
      <c r="BP120" s="15"/>
      <c r="BQ120" s="15" t="s">
        <v>146</v>
      </c>
      <c r="BR120" s="2" t="s">
        <v>297</v>
      </c>
      <c r="BS120" s="2" t="s">
        <v>97</v>
      </c>
      <c r="BT120" s="7" t="s">
        <v>776</v>
      </c>
      <c r="BU120" s="7"/>
      <c r="BV120" s="9" t="s">
        <v>777</v>
      </c>
      <c r="BW120" s="9"/>
    </row>
    <row r="121" spans="1:75" ht="14.25" customHeight="1" x14ac:dyDescent="0.25">
      <c r="A121" s="1">
        <v>233</v>
      </c>
      <c r="B121" s="1" t="s">
        <v>778</v>
      </c>
      <c r="C121" s="1" t="s">
        <v>779</v>
      </c>
      <c r="D121" s="1" t="s">
        <v>77</v>
      </c>
      <c r="E121" s="1" t="s">
        <v>768</v>
      </c>
      <c r="F121" s="1" t="s">
        <v>769</v>
      </c>
      <c r="G121" s="1"/>
      <c r="H121" s="2">
        <v>1</v>
      </c>
      <c r="I121" s="2">
        <v>1</v>
      </c>
      <c r="J121" s="2">
        <v>1</v>
      </c>
      <c r="K121" s="2">
        <v>1</v>
      </c>
      <c r="L121" s="3" t="s">
        <v>127</v>
      </c>
      <c r="O121" s="4">
        <v>2</v>
      </c>
      <c r="P121" s="4" t="s">
        <v>424</v>
      </c>
      <c r="Q121" s="4" t="s">
        <v>780</v>
      </c>
      <c r="R121" s="16">
        <v>23000000</v>
      </c>
      <c r="S121" s="6">
        <v>23000000</v>
      </c>
      <c r="T121" s="16">
        <v>22000000</v>
      </c>
      <c r="U121" s="6">
        <v>22000000</v>
      </c>
      <c r="V121" s="4">
        <v>2010.5</v>
      </c>
      <c r="W121" s="4" t="s">
        <v>425</v>
      </c>
      <c r="X121" s="4"/>
      <c r="Y121" s="7">
        <v>1</v>
      </c>
      <c r="Z121" s="8">
        <v>13162934</v>
      </c>
      <c r="AA121" s="7" t="s">
        <v>92</v>
      </c>
      <c r="AB121" s="7"/>
      <c r="AC121" s="9">
        <v>1</v>
      </c>
      <c r="AD121" s="10">
        <v>14101824</v>
      </c>
      <c r="AE121" s="9" t="s">
        <v>92</v>
      </c>
      <c r="AF121" s="9"/>
      <c r="AG121" s="11">
        <v>3</v>
      </c>
      <c r="AH121" s="11" t="s">
        <v>131</v>
      </c>
      <c r="AI121" s="11" t="s">
        <v>781</v>
      </c>
      <c r="AJ121" s="11">
        <v>2</v>
      </c>
      <c r="AK121" s="11" t="s">
        <v>132</v>
      </c>
      <c r="AL121" s="12">
        <v>3</v>
      </c>
      <c r="AM121" s="12" t="s">
        <v>271</v>
      </c>
      <c r="AN121" s="12" t="s">
        <v>782</v>
      </c>
      <c r="AO121" s="12"/>
      <c r="AP121" s="12"/>
      <c r="AQ121" s="4">
        <v>5</v>
      </c>
      <c r="AR121" s="4" t="s">
        <v>133</v>
      </c>
      <c r="AS121" s="4"/>
      <c r="AT121" s="13">
        <v>-53.338653564453097</v>
      </c>
      <c r="AU121" s="13">
        <v>-1.4820626974105799</v>
      </c>
      <c r="AV121" s="13">
        <v>-1.7035009860992401</v>
      </c>
      <c r="AW121" s="13">
        <v>-1.1900000572204601</v>
      </c>
      <c r="AX121" s="4">
        <v>1</v>
      </c>
      <c r="AY121" s="13">
        <v>-7.1946206092834499</v>
      </c>
      <c r="AZ121" s="13">
        <v>-0.53186398744583097</v>
      </c>
      <c r="BA121" s="13">
        <v>-1.0585010051727299</v>
      </c>
      <c r="BB121" s="13">
        <v>0.144999995827675</v>
      </c>
      <c r="BC121" s="4"/>
      <c r="BD121" s="4">
        <v>14</v>
      </c>
      <c r="BE121" s="4" t="s">
        <v>134</v>
      </c>
      <c r="BF121" s="13">
        <v>0.51350098848342896</v>
      </c>
      <c r="BG121" s="4">
        <v>2701.5</v>
      </c>
      <c r="BH121" s="13">
        <v>1.95500004291534</v>
      </c>
      <c r="BI121" s="13">
        <v>5274.68994140625</v>
      </c>
      <c r="BJ121" s="4"/>
      <c r="BK121" s="14">
        <v>11</v>
      </c>
      <c r="BL121" s="14">
        <v>11</v>
      </c>
      <c r="BM121" s="14">
        <v>11</v>
      </c>
      <c r="BN121" s="3" t="s">
        <v>302</v>
      </c>
      <c r="BP121" s="15" t="s">
        <v>135</v>
      </c>
      <c r="BQ121" s="15" t="s">
        <v>146</v>
      </c>
      <c r="BR121" s="2" t="s">
        <v>172</v>
      </c>
      <c r="BS121" s="2" t="s">
        <v>740</v>
      </c>
      <c r="BT121" s="7" t="s">
        <v>777</v>
      </c>
      <c r="BU121" s="7"/>
      <c r="BV121" s="9" t="s">
        <v>777</v>
      </c>
      <c r="BW121" s="9"/>
    </row>
    <row r="122" spans="1:75" ht="14.25" customHeight="1" x14ac:dyDescent="0.25">
      <c r="A122" s="1">
        <v>234</v>
      </c>
      <c r="B122" s="1" t="s">
        <v>783</v>
      </c>
      <c r="C122" s="1" t="s">
        <v>784</v>
      </c>
      <c r="D122" s="1" t="s">
        <v>77</v>
      </c>
      <c r="E122" s="1" t="s">
        <v>768</v>
      </c>
      <c r="F122" s="1" t="s">
        <v>769</v>
      </c>
      <c r="G122" s="1"/>
      <c r="H122" s="2">
        <v>0</v>
      </c>
      <c r="I122" s="2">
        <v>1</v>
      </c>
      <c r="J122" s="2">
        <v>0</v>
      </c>
      <c r="K122" s="2">
        <v>0</v>
      </c>
      <c r="L122" s="3" t="s">
        <v>127</v>
      </c>
      <c r="O122" s="4">
        <v>4</v>
      </c>
      <c r="P122" s="4" t="s">
        <v>785</v>
      </c>
      <c r="Q122" s="4" t="s">
        <v>786</v>
      </c>
      <c r="R122" s="16">
        <v>200000</v>
      </c>
      <c r="S122" s="6">
        <v>200000</v>
      </c>
      <c r="T122" s="17" t="s">
        <v>682</v>
      </c>
      <c r="U122" s="6">
        <v>50</v>
      </c>
      <c r="V122" s="4"/>
      <c r="W122" s="4" t="s">
        <v>543</v>
      </c>
      <c r="X122" s="4" t="s">
        <v>787</v>
      </c>
      <c r="Y122" s="7">
        <v>4</v>
      </c>
      <c r="Z122" s="8">
        <v>221429</v>
      </c>
      <c r="AA122" s="7" t="s">
        <v>92</v>
      </c>
      <c r="AB122" s="7" t="s">
        <v>788</v>
      </c>
      <c r="AC122" s="9">
        <v>3</v>
      </c>
      <c r="AD122" s="10"/>
      <c r="AE122" s="9" t="s">
        <v>537</v>
      </c>
      <c r="AF122" s="9" t="s">
        <v>789</v>
      </c>
      <c r="AG122" s="11">
        <v>2</v>
      </c>
      <c r="AH122" s="11" t="s">
        <v>271</v>
      </c>
      <c r="AI122" s="11" t="s">
        <v>790</v>
      </c>
      <c r="AJ122" s="11"/>
      <c r="AK122" s="11"/>
      <c r="AL122" s="12">
        <v>2</v>
      </c>
      <c r="AM122" s="12" t="s">
        <v>271</v>
      </c>
      <c r="AN122" s="12"/>
      <c r="AO122" s="12"/>
      <c r="AP122" s="12"/>
      <c r="AQ122" s="4">
        <v>3</v>
      </c>
      <c r="AR122" s="4" t="s">
        <v>271</v>
      </c>
      <c r="AS122" s="4"/>
      <c r="AT122" s="13"/>
      <c r="AU122" s="13"/>
      <c r="AV122" s="13"/>
      <c r="AW122" s="13"/>
      <c r="AX122" s="4"/>
      <c r="AY122" s="13"/>
      <c r="AZ122" s="13"/>
      <c r="BA122" s="13"/>
      <c r="BB122" s="13"/>
      <c r="BC122" s="4"/>
      <c r="BD122" s="4"/>
      <c r="BE122" s="4"/>
      <c r="BF122" s="13"/>
      <c r="BG122" s="4"/>
      <c r="BH122" s="13"/>
      <c r="BI122" s="13"/>
      <c r="BJ122" s="4"/>
      <c r="BK122" s="14">
        <v>13</v>
      </c>
      <c r="BL122" s="14">
        <v>12</v>
      </c>
      <c r="BM122" s="14">
        <v>13</v>
      </c>
      <c r="BP122" s="15" t="s">
        <v>135</v>
      </c>
      <c r="BQ122" s="15"/>
      <c r="BR122" s="2" t="s">
        <v>791</v>
      </c>
      <c r="BS122" s="2" t="s">
        <v>740</v>
      </c>
      <c r="BT122" s="7" t="s">
        <v>777</v>
      </c>
      <c r="BU122" s="7"/>
      <c r="BV122" s="9" t="s">
        <v>792</v>
      </c>
      <c r="BW122" s="9"/>
    </row>
    <row r="123" spans="1:75" ht="14.25" customHeight="1" x14ac:dyDescent="0.25">
      <c r="A123" s="1">
        <v>235</v>
      </c>
      <c r="B123" s="1" t="s">
        <v>793</v>
      </c>
      <c r="C123" s="1" t="s">
        <v>794</v>
      </c>
      <c r="D123" s="1" t="s">
        <v>77</v>
      </c>
      <c r="E123" s="1" t="s">
        <v>768</v>
      </c>
      <c r="F123" s="1" t="s">
        <v>769</v>
      </c>
      <c r="G123" s="1"/>
      <c r="H123" s="2">
        <v>0</v>
      </c>
      <c r="I123" s="2">
        <v>1</v>
      </c>
      <c r="J123" s="2">
        <v>1</v>
      </c>
      <c r="K123" s="2">
        <v>1</v>
      </c>
      <c r="L123" s="3" t="s">
        <v>80</v>
      </c>
      <c r="O123" s="4">
        <v>2</v>
      </c>
      <c r="P123" s="4" t="s">
        <v>706</v>
      </c>
      <c r="Q123" s="4"/>
      <c r="R123" s="16">
        <v>20000000</v>
      </c>
      <c r="S123" s="6">
        <v>20000000</v>
      </c>
      <c r="T123" s="17" t="s">
        <v>795</v>
      </c>
      <c r="U123" s="6">
        <v>5000</v>
      </c>
      <c r="V123" s="4"/>
      <c r="W123" s="4" t="s">
        <v>543</v>
      </c>
      <c r="X123" s="4" t="s">
        <v>787</v>
      </c>
      <c r="Y123" s="7">
        <v>1</v>
      </c>
      <c r="Z123" s="8">
        <v>13781988</v>
      </c>
      <c r="AA123" s="7" t="s">
        <v>92</v>
      </c>
      <c r="AB123" s="7"/>
      <c r="AC123" s="9">
        <v>1</v>
      </c>
      <c r="AD123" s="10">
        <v>13781988</v>
      </c>
      <c r="AE123" s="9" t="s">
        <v>92</v>
      </c>
      <c r="AF123" s="9"/>
      <c r="AG123" s="11">
        <v>2</v>
      </c>
      <c r="AH123" s="11" t="s">
        <v>131</v>
      </c>
      <c r="AI123" s="11" t="s">
        <v>796</v>
      </c>
      <c r="AJ123" s="11">
        <v>2</v>
      </c>
      <c r="AK123" s="11" t="s">
        <v>132</v>
      </c>
      <c r="AL123" s="12">
        <v>2</v>
      </c>
      <c r="AM123" s="12" t="s">
        <v>131</v>
      </c>
      <c r="AN123" s="12" t="s">
        <v>756</v>
      </c>
      <c r="AO123" s="12">
        <v>2</v>
      </c>
      <c r="AP123" s="12" t="s">
        <v>132</v>
      </c>
      <c r="AQ123" s="4">
        <v>2</v>
      </c>
      <c r="AR123" s="4" t="s">
        <v>93</v>
      </c>
      <c r="AS123" s="4"/>
      <c r="AT123" s="13"/>
      <c r="AU123" s="13"/>
      <c r="AV123" s="13"/>
      <c r="AW123" s="13"/>
      <c r="AX123" s="4"/>
      <c r="AY123" s="13"/>
      <c r="AZ123" s="13"/>
      <c r="BA123" s="13"/>
      <c r="BB123" s="13"/>
      <c r="BC123" s="4"/>
      <c r="BD123" s="4"/>
      <c r="BE123" s="4"/>
      <c r="BF123" s="13"/>
      <c r="BG123" s="4"/>
      <c r="BH123" s="13"/>
      <c r="BI123" s="13"/>
      <c r="BJ123" s="4"/>
      <c r="BK123" s="14">
        <v>7</v>
      </c>
      <c r="BL123" s="14">
        <v>7</v>
      </c>
      <c r="BM123" s="14">
        <v>7</v>
      </c>
      <c r="BP123" s="15"/>
      <c r="BQ123" s="15"/>
      <c r="BR123" s="2" t="s">
        <v>97</v>
      </c>
      <c r="BS123" s="2" t="s">
        <v>97</v>
      </c>
      <c r="BT123" s="7" t="s">
        <v>797</v>
      </c>
      <c r="BU123" s="7"/>
      <c r="BV123" s="9" t="s">
        <v>797</v>
      </c>
      <c r="BW123" s="9"/>
    </row>
    <row r="124" spans="1:75" ht="14.25" customHeight="1" x14ac:dyDescent="0.25">
      <c r="A124" s="1">
        <v>236</v>
      </c>
      <c r="B124" s="1" t="s">
        <v>798</v>
      </c>
      <c r="C124" s="1" t="s">
        <v>799</v>
      </c>
      <c r="D124" s="1" t="s">
        <v>77</v>
      </c>
      <c r="E124" s="1" t="s">
        <v>768</v>
      </c>
      <c r="F124" s="1" t="s">
        <v>769</v>
      </c>
      <c r="G124" s="1"/>
      <c r="H124" s="2">
        <v>1</v>
      </c>
      <c r="I124" s="2">
        <v>1</v>
      </c>
      <c r="J124" s="2">
        <v>1</v>
      </c>
      <c r="K124" s="2">
        <v>0</v>
      </c>
      <c r="L124" s="3" t="s">
        <v>127</v>
      </c>
      <c r="O124" s="4">
        <v>3</v>
      </c>
      <c r="P124" s="4" t="s">
        <v>424</v>
      </c>
      <c r="Q124" s="4"/>
      <c r="R124" s="16">
        <v>1700000</v>
      </c>
      <c r="S124" s="6">
        <v>1700000</v>
      </c>
      <c r="T124" s="16">
        <v>1300000</v>
      </c>
      <c r="U124" s="6">
        <v>1300000</v>
      </c>
      <c r="V124" s="4">
        <v>2010.5</v>
      </c>
      <c r="W124" s="4" t="s">
        <v>425</v>
      </c>
      <c r="X124" s="4"/>
      <c r="Y124" s="7">
        <v>1</v>
      </c>
      <c r="Z124" s="8">
        <v>4382515</v>
      </c>
      <c r="AA124" s="7" t="s">
        <v>92</v>
      </c>
      <c r="AB124" s="7"/>
      <c r="AC124" s="9">
        <v>2</v>
      </c>
      <c r="AD124" s="10">
        <v>1254098</v>
      </c>
      <c r="AE124" s="9" t="s">
        <v>92</v>
      </c>
      <c r="AF124" s="9"/>
      <c r="AG124" s="11">
        <v>3</v>
      </c>
      <c r="AH124" s="11" t="s">
        <v>800</v>
      </c>
      <c r="AI124" s="11" t="s">
        <v>801</v>
      </c>
      <c r="AJ124" s="11">
        <v>2</v>
      </c>
      <c r="AK124" s="11" t="s">
        <v>132</v>
      </c>
      <c r="AL124" s="12">
        <v>3</v>
      </c>
      <c r="AM124" s="12" t="s">
        <v>131</v>
      </c>
      <c r="AN124" s="12" t="s">
        <v>802</v>
      </c>
      <c r="AO124" s="12">
        <v>3</v>
      </c>
      <c r="AP124" s="12" t="s">
        <v>143</v>
      </c>
      <c r="AQ124" s="4">
        <v>2</v>
      </c>
      <c r="AR124" s="4" t="s">
        <v>133</v>
      </c>
      <c r="AS124" s="4"/>
      <c r="AT124" s="13">
        <v>-3.7940802574157702</v>
      </c>
      <c r="AU124" s="13">
        <v>-7.5803093612194103E-2</v>
      </c>
      <c r="AV124" s="13">
        <v>-0.72899997234344505</v>
      </c>
      <c r="AW124" s="13">
        <v>0.56499999761581399</v>
      </c>
      <c r="AX124" s="4"/>
      <c r="AY124" s="13">
        <v>4.0504522323608398</v>
      </c>
      <c r="AZ124" s="13">
        <v>0.39785176515579201</v>
      </c>
      <c r="BA124" s="13">
        <v>-1.54999995231628</v>
      </c>
      <c r="BB124" s="13">
        <v>2.29250192642212</v>
      </c>
      <c r="BC124" s="4"/>
      <c r="BD124" s="4">
        <v>10</v>
      </c>
      <c r="BE124" s="4" t="s">
        <v>134</v>
      </c>
      <c r="BF124" s="13">
        <v>1.2940000295639</v>
      </c>
      <c r="BG124" s="4">
        <v>375</v>
      </c>
      <c r="BH124" s="13">
        <v>0.112499997019768</v>
      </c>
      <c r="BI124" s="13">
        <v>42.189998626708999</v>
      </c>
      <c r="BJ124" s="4"/>
      <c r="BK124" s="14">
        <v>9</v>
      </c>
      <c r="BL124" s="14">
        <v>10</v>
      </c>
      <c r="BM124" s="14">
        <v>10</v>
      </c>
      <c r="BP124" s="15"/>
      <c r="BQ124" s="15"/>
      <c r="BR124" s="2" t="s">
        <v>297</v>
      </c>
      <c r="BS124" s="2" t="s">
        <v>297</v>
      </c>
      <c r="BT124" s="7" t="s">
        <v>475</v>
      </c>
      <c r="BU124" s="7" t="s">
        <v>556</v>
      </c>
      <c r="BV124" s="9" t="s">
        <v>475</v>
      </c>
      <c r="BW124" s="9"/>
    </row>
    <row r="125" spans="1:75" ht="14.25" customHeight="1" x14ac:dyDescent="0.25">
      <c r="A125" s="1">
        <v>239</v>
      </c>
      <c r="B125" s="1" t="s">
        <v>803</v>
      </c>
      <c r="C125" s="1" t="s">
        <v>804</v>
      </c>
      <c r="D125" s="1" t="s">
        <v>77</v>
      </c>
      <c r="E125" s="1" t="s">
        <v>768</v>
      </c>
      <c r="F125" s="1" t="s">
        <v>769</v>
      </c>
      <c r="G125" s="1"/>
      <c r="H125" s="2">
        <v>0</v>
      </c>
      <c r="I125" s="2">
        <v>0</v>
      </c>
      <c r="J125" s="2">
        <v>1</v>
      </c>
      <c r="K125" s="2">
        <v>0</v>
      </c>
      <c r="L125" s="3" t="s">
        <v>80</v>
      </c>
      <c r="O125" s="4">
        <v>5</v>
      </c>
      <c r="P125" s="4" t="s">
        <v>112</v>
      </c>
      <c r="Q125" s="4"/>
      <c r="R125" s="5"/>
      <c r="S125" s="6"/>
      <c r="T125" s="17"/>
      <c r="U125" s="6"/>
      <c r="V125" s="4"/>
      <c r="W125" s="4"/>
      <c r="X125" s="4"/>
      <c r="Y125" s="7">
        <v>4</v>
      </c>
      <c r="Z125" s="8">
        <v>188557</v>
      </c>
      <c r="AA125" s="7" t="s">
        <v>92</v>
      </c>
      <c r="AB125" s="7"/>
      <c r="AC125" s="9">
        <v>4</v>
      </c>
      <c r="AD125" s="10">
        <v>188557</v>
      </c>
      <c r="AE125" s="9" t="s">
        <v>92</v>
      </c>
      <c r="AF125" s="9"/>
      <c r="AG125" s="11">
        <v>3</v>
      </c>
      <c r="AH125" s="11" t="s">
        <v>93</v>
      </c>
      <c r="AI125" s="11"/>
      <c r="AJ125" s="11"/>
      <c r="AK125" s="11"/>
      <c r="AL125" s="12">
        <v>3</v>
      </c>
      <c r="AM125" s="12" t="s">
        <v>93</v>
      </c>
      <c r="AN125" s="12" t="s">
        <v>805</v>
      </c>
      <c r="AO125" s="12"/>
      <c r="AP125" s="12"/>
      <c r="AQ125" s="4">
        <v>3</v>
      </c>
      <c r="AR125" s="4" t="s">
        <v>441</v>
      </c>
      <c r="AS125" s="4" t="s">
        <v>806</v>
      </c>
      <c r="AT125" s="13"/>
      <c r="AU125" s="13"/>
      <c r="AV125" s="13"/>
      <c r="AW125" s="13"/>
      <c r="AX125" s="4"/>
      <c r="AY125" s="13"/>
      <c r="AZ125" s="13"/>
      <c r="BA125" s="13"/>
      <c r="BB125" s="13"/>
      <c r="BC125" s="4"/>
      <c r="BD125" s="4"/>
      <c r="BE125" s="4"/>
      <c r="BF125" s="13"/>
      <c r="BG125" s="4"/>
      <c r="BH125" s="13"/>
      <c r="BI125" s="13"/>
      <c r="BJ125" s="4"/>
      <c r="BK125" s="14">
        <v>15</v>
      </c>
      <c r="BL125" s="14">
        <v>15</v>
      </c>
      <c r="BM125" s="14">
        <v>15</v>
      </c>
      <c r="BN125" s="3" t="s">
        <v>86</v>
      </c>
      <c r="BP125" s="15"/>
      <c r="BQ125" s="15"/>
      <c r="BR125" s="2" t="s">
        <v>409</v>
      </c>
      <c r="BS125" s="2" t="s">
        <v>409</v>
      </c>
      <c r="BT125" s="7" t="s">
        <v>438</v>
      </c>
      <c r="BU125" s="7"/>
      <c r="BV125" s="9" t="s">
        <v>438</v>
      </c>
      <c r="BW125" s="9"/>
    </row>
    <row r="126" spans="1:75" ht="14.25" customHeight="1" x14ac:dyDescent="0.25">
      <c r="A126" s="1">
        <v>240</v>
      </c>
      <c r="B126" s="1" t="s">
        <v>807</v>
      </c>
      <c r="C126" s="1" t="s">
        <v>808</v>
      </c>
      <c r="D126" s="1" t="s">
        <v>77</v>
      </c>
      <c r="E126" s="1" t="s">
        <v>768</v>
      </c>
      <c r="F126" s="1" t="s">
        <v>769</v>
      </c>
      <c r="G126" s="1" t="s">
        <v>118</v>
      </c>
      <c r="H126" s="2">
        <v>0</v>
      </c>
      <c r="I126" s="2">
        <v>0</v>
      </c>
      <c r="J126" s="2">
        <v>1</v>
      </c>
      <c r="K126" s="2">
        <v>1</v>
      </c>
      <c r="L126" s="3" t="s">
        <v>80</v>
      </c>
      <c r="O126" s="4">
        <v>5</v>
      </c>
      <c r="P126" s="4" t="s">
        <v>112</v>
      </c>
      <c r="Q126" s="4"/>
      <c r="R126" s="5"/>
      <c r="S126" s="6"/>
      <c r="T126" s="17"/>
      <c r="U126" s="6"/>
      <c r="V126" s="4"/>
      <c r="W126" s="4"/>
      <c r="X126" s="4"/>
      <c r="Y126" s="7">
        <v>4</v>
      </c>
      <c r="Z126" s="8">
        <v>145781</v>
      </c>
      <c r="AA126" s="7" t="s">
        <v>92</v>
      </c>
      <c r="AB126" s="7"/>
      <c r="AC126" s="9">
        <v>4</v>
      </c>
      <c r="AD126" s="10">
        <v>145781</v>
      </c>
      <c r="AE126" s="9" t="s">
        <v>92</v>
      </c>
      <c r="AF126" s="9"/>
      <c r="AG126" s="11">
        <v>3</v>
      </c>
      <c r="AH126" s="11" t="s">
        <v>93</v>
      </c>
      <c r="AI126" s="11"/>
      <c r="AJ126" s="11"/>
      <c r="AK126" s="11"/>
      <c r="AL126" s="12">
        <v>3</v>
      </c>
      <c r="AM126" s="12" t="s">
        <v>93</v>
      </c>
      <c r="AN126" s="12" t="s">
        <v>805</v>
      </c>
      <c r="AO126" s="12"/>
      <c r="AP126" s="12"/>
      <c r="AQ126" s="4">
        <v>3</v>
      </c>
      <c r="AR126" s="4" t="s">
        <v>83</v>
      </c>
      <c r="AS126" s="4"/>
      <c r="AT126" s="13"/>
      <c r="AU126" s="13"/>
      <c r="AV126" s="13"/>
      <c r="AW126" s="13"/>
      <c r="AX126" s="4"/>
      <c r="AY126" s="13"/>
      <c r="AZ126" s="13"/>
      <c r="BA126" s="13"/>
      <c r="BB126" s="13"/>
      <c r="BC126" s="4"/>
      <c r="BD126" s="4"/>
      <c r="BE126" s="4"/>
      <c r="BF126" s="13"/>
      <c r="BG126" s="4"/>
      <c r="BH126" s="13"/>
      <c r="BI126" s="13"/>
      <c r="BJ126" s="4"/>
      <c r="BK126" s="14">
        <v>15</v>
      </c>
      <c r="BL126" s="14">
        <v>15</v>
      </c>
      <c r="BM126" s="14">
        <v>15</v>
      </c>
      <c r="BN126" s="3" t="s">
        <v>86</v>
      </c>
      <c r="BP126" s="15"/>
      <c r="BQ126" s="15"/>
      <c r="BR126" s="2" t="s">
        <v>115</v>
      </c>
      <c r="BS126" s="2" t="s">
        <v>115</v>
      </c>
      <c r="BT126" s="7" t="s">
        <v>109</v>
      </c>
      <c r="BU126" s="7" t="s">
        <v>98</v>
      </c>
      <c r="BV126" s="9" t="s">
        <v>109</v>
      </c>
      <c r="BW126" s="9" t="s">
        <v>98</v>
      </c>
    </row>
    <row r="127" spans="1:75" ht="14.25" customHeight="1" x14ac:dyDescent="0.25">
      <c r="A127" s="1">
        <v>241</v>
      </c>
      <c r="B127" s="1" t="s">
        <v>809</v>
      </c>
      <c r="C127" s="1" t="s">
        <v>810</v>
      </c>
      <c r="D127" s="1" t="s">
        <v>77</v>
      </c>
      <c r="E127" s="1" t="s">
        <v>768</v>
      </c>
      <c r="F127" s="1" t="s">
        <v>769</v>
      </c>
      <c r="G127" s="1"/>
      <c r="H127" s="2">
        <v>0</v>
      </c>
      <c r="I127" s="2">
        <v>0</v>
      </c>
      <c r="J127" s="2">
        <v>0</v>
      </c>
      <c r="K127" s="2">
        <v>1</v>
      </c>
      <c r="L127" s="3" t="s">
        <v>80</v>
      </c>
      <c r="O127" s="4">
        <v>3</v>
      </c>
      <c r="P127" s="4" t="s">
        <v>81</v>
      </c>
      <c r="Q127" s="4" t="s">
        <v>811</v>
      </c>
      <c r="R127" s="5"/>
      <c r="S127" s="6"/>
      <c r="T127" s="17"/>
      <c r="U127" s="6"/>
      <c r="V127" s="4"/>
      <c r="W127" s="4"/>
      <c r="X127" s="4"/>
      <c r="Y127" s="7">
        <v>2</v>
      </c>
      <c r="Z127" s="8">
        <v>3400000</v>
      </c>
      <c r="AA127" s="7" t="s">
        <v>812</v>
      </c>
      <c r="AB127" s="7"/>
      <c r="AC127" s="9">
        <v>2</v>
      </c>
      <c r="AD127" s="10">
        <v>3400000</v>
      </c>
      <c r="AE127" s="9" t="s">
        <v>812</v>
      </c>
      <c r="AF127" s="9"/>
      <c r="AG127" s="11">
        <v>5</v>
      </c>
      <c r="AH127" s="11" t="s">
        <v>83</v>
      </c>
      <c r="AI127" s="11"/>
      <c r="AJ127" s="11"/>
      <c r="AK127" s="11"/>
      <c r="AL127" s="12">
        <v>5</v>
      </c>
      <c r="AM127" s="12" t="s">
        <v>83</v>
      </c>
      <c r="AN127" s="12"/>
      <c r="AO127" s="12"/>
      <c r="AP127" s="12"/>
      <c r="AQ127" s="4">
        <v>5</v>
      </c>
      <c r="AR127" s="4" t="s">
        <v>83</v>
      </c>
      <c r="AS127" s="4"/>
      <c r="AT127" s="13"/>
      <c r="AU127" s="13"/>
      <c r="AV127" s="13"/>
      <c r="AW127" s="13"/>
      <c r="AX127" s="4"/>
      <c r="AY127" s="13"/>
      <c r="AZ127" s="13"/>
      <c r="BA127" s="13"/>
      <c r="BB127" s="13"/>
      <c r="BC127" s="4"/>
      <c r="BD127" s="4"/>
      <c r="BE127" s="4"/>
      <c r="BF127" s="13"/>
      <c r="BG127" s="4"/>
      <c r="BH127" s="13"/>
      <c r="BI127" s="13"/>
      <c r="BJ127" s="4"/>
      <c r="BK127" s="14">
        <v>15</v>
      </c>
      <c r="BL127" s="14">
        <v>15</v>
      </c>
      <c r="BM127" s="14">
        <v>15</v>
      </c>
      <c r="BN127" s="3" t="s">
        <v>375</v>
      </c>
      <c r="BP127" s="15"/>
      <c r="BQ127" s="15"/>
      <c r="BR127" s="2" t="s">
        <v>740</v>
      </c>
      <c r="BS127" s="2" t="s">
        <v>740</v>
      </c>
      <c r="BT127" s="7" t="s">
        <v>98</v>
      </c>
      <c r="BU127" s="7"/>
      <c r="BV127" s="9" t="s">
        <v>98</v>
      </c>
      <c r="BW127" s="9"/>
    </row>
    <row r="128" spans="1:75" ht="14.25" customHeight="1" x14ac:dyDescent="0.25">
      <c r="A128" s="1">
        <v>242</v>
      </c>
      <c r="B128" s="1" t="s">
        <v>813</v>
      </c>
      <c r="C128" s="1" t="s">
        <v>814</v>
      </c>
      <c r="D128" s="1" t="s">
        <v>77</v>
      </c>
      <c r="E128" s="1" t="s">
        <v>768</v>
      </c>
      <c r="F128" s="1" t="s">
        <v>769</v>
      </c>
      <c r="G128" s="1" t="s">
        <v>118</v>
      </c>
      <c r="H128" s="2">
        <v>0</v>
      </c>
      <c r="I128" s="2">
        <v>1</v>
      </c>
      <c r="J128" s="2">
        <v>1</v>
      </c>
      <c r="K128" s="2">
        <v>1</v>
      </c>
      <c r="L128" s="3" t="s">
        <v>127</v>
      </c>
      <c r="O128" s="4">
        <v>2</v>
      </c>
      <c r="P128" s="4" t="s">
        <v>424</v>
      </c>
      <c r="Q128" s="4" t="s">
        <v>780</v>
      </c>
      <c r="R128" s="16">
        <v>5700000</v>
      </c>
      <c r="S128" s="6">
        <v>5700000</v>
      </c>
      <c r="T128" s="16">
        <v>5600000</v>
      </c>
      <c r="U128" s="6">
        <v>5600000</v>
      </c>
      <c r="V128" s="4">
        <v>2010.5</v>
      </c>
      <c r="W128" s="4" t="s">
        <v>425</v>
      </c>
      <c r="X128" s="4"/>
      <c r="Y128" s="7">
        <v>2</v>
      </c>
      <c r="Z128" s="8">
        <v>1718293</v>
      </c>
      <c r="AA128" s="7" t="s">
        <v>92</v>
      </c>
      <c r="AB128" s="7"/>
      <c r="AC128" s="9">
        <v>2</v>
      </c>
      <c r="AD128" s="10">
        <v>1447514</v>
      </c>
      <c r="AE128" s="9" t="s">
        <v>815</v>
      </c>
      <c r="AF128" s="9" t="s">
        <v>816</v>
      </c>
      <c r="AG128" s="11">
        <v>3</v>
      </c>
      <c r="AH128" s="11" t="s">
        <v>131</v>
      </c>
      <c r="AI128" s="11" t="s">
        <v>817</v>
      </c>
      <c r="AJ128" s="11">
        <v>2</v>
      </c>
      <c r="AK128" s="11" t="s">
        <v>132</v>
      </c>
      <c r="AL128" s="12">
        <v>3</v>
      </c>
      <c r="AM128" s="12" t="s">
        <v>131</v>
      </c>
      <c r="AN128" s="12" t="s">
        <v>818</v>
      </c>
      <c r="AO128" s="12">
        <v>3</v>
      </c>
      <c r="AP128" s="12" t="s">
        <v>143</v>
      </c>
      <c r="AQ128" s="4">
        <v>5</v>
      </c>
      <c r="AR128" s="4" t="s">
        <v>133</v>
      </c>
      <c r="AS128" s="4"/>
      <c r="AT128" s="13">
        <v>-66.005561828613295</v>
      </c>
      <c r="AU128" s="13">
        <v>-2.09365677833557</v>
      </c>
      <c r="AV128" s="13">
        <v>-2.2880020141601598</v>
      </c>
      <c r="AW128" s="13">
        <v>-1.8400000333786</v>
      </c>
      <c r="AX128" s="4">
        <v>1</v>
      </c>
      <c r="AY128" s="13">
        <v>-8.0359001159668004</v>
      </c>
      <c r="AZ128" s="13">
        <v>-0.69709843397140503</v>
      </c>
      <c r="BA128" s="13">
        <v>-1.6499999761581401</v>
      </c>
      <c r="BB128" s="13">
        <v>8.5997998714446994E-2</v>
      </c>
      <c r="BC128" s="4"/>
      <c r="BD128" s="4">
        <v>12</v>
      </c>
      <c r="BE128" s="4" t="s">
        <v>134</v>
      </c>
      <c r="BF128" s="13">
        <v>0.44800201058387801</v>
      </c>
      <c r="BG128" s="4">
        <v>788</v>
      </c>
      <c r="BH128" s="13">
        <v>1.2849999666214</v>
      </c>
      <c r="BI128" s="13">
        <v>1012.28997802734</v>
      </c>
      <c r="BJ128" s="4"/>
      <c r="BK128" s="14">
        <v>12</v>
      </c>
      <c r="BL128" s="14">
        <v>12</v>
      </c>
      <c r="BM128" s="14">
        <v>12</v>
      </c>
      <c r="BN128" s="3" t="s">
        <v>302</v>
      </c>
      <c r="BO128" s="3" t="s">
        <v>120</v>
      </c>
      <c r="BP128" s="15"/>
      <c r="BQ128" s="15"/>
      <c r="BR128" s="2" t="s">
        <v>239</v>
      </c>
      <c r="BS128" s="2" t="s">
        <v>115</v>
      </c>
      <c r="BT128" s="7" t="s">
        <v>241</v>
      </c>
      <c r="BU128" s="7"/>
      <c r="BV128" s="9" t="s">
        <v>458</v>
      </c>
      <c r="BW128" s="9"/>
    </row>
    <row r="129" spans="1:75" ht="14.25" customHeight="1" x14ac:dyDescent="0.25">
      <c r="A129" s="1">
        <v>243</v>
      </c>
      <c r="B129" s="1" t="s">
        <v>819</v>
      </c>
      <c r="C129" s="1" t="s">
        <v>820</v>
      </c>
      <c r="D129" s="1" t="s">
        <v>77</v>
      </c>
      <c r="E129" s="1" t="s">
        <v>768</v>
      </c>
      <c r="F129" s="1" t="s">
        <v>769</v>
      </c>
      <c r="G129" s="1"/>
      <c r="H129" s="2">
        <v>0</v>
      </c>
      <c r="I129" s="2">
        <v>0</v>
      </c>
      <c r="J129" s="2">
        <v>0</v>
      </c>
      <c r="K129" s="2">
        <v>1</v>
      </c>
      <c r="L129" s="3" t="s">
        <v>80</v>
      </c>
      <c r="O129" s="4">
        <v>2</v>
      </c>
      <c r="P129" s="4" t="s">
        <v>81</v>
      </c>
      <c r="Q129" s="4"/>
      <c r="R129" s="5"/>
      <c r="S129" s="6"/>
      <c r="T129" s="17"/>
      <c r="U129" s="6"/>
      <c r="V129" s="4"/>
      <c r="W129" s="4"/>
      <c r="X129" s="4"/>
      <c r="Y129" s="7">
        <v>1</v>
      </c>
      <c r="Z129" s="8">
        <v>5402891</v>
      </c>
      <c r="AA129" s="7" t="s">
        <v>82</v>
      </c>
      <c r="AB129" s="7"/>
      <c r="AC129" s="9">
        <v>1</v>
      </c>
      <c r="AD129" s="10">
        <v>5402891</v>
      </c>
      <c r="AE129" s="9" t="s">
        <v>82</v>
      </c>
      <c r="AF129" s="9"/>
      <c r="AG129" s="11">
        <v>4</v>
      </c>
      <c r="AH129" s="11" t="s">
        <v>83</v>
      </c>
      <c r="AI129" s="11" t="s">
        <v>821</v>
      </c>
      <c r="AJ129" s="11"/>
      <c r="AK129" s="11"/>
      <c r="AL129" s="12">
        <v>4</v>
      </c>
      <c r="AM129" s="12" t="s">
        <v>83</v>
      </c>
      <c r="AN129" s="12"/>
      <c r="AO129" s="12"/>
      <c r="AP129" s="12"/>
      <c r="AQ129" s="4">
        <v>3</v>
      </c>
      <c r="AR129" s="4" t="s">
        <v>83</v>
      </c>
      <c r="AS129" s="4"/>
      <c r="AT129" s="13"/>
      <c r="AU129" s="13"/>
      <c r="AV129" s="13"/>
      <c r="AW129" s="13"/>
      <c r="AX129" s="4"/>
      <c r="AY129" s="13"/>
      <c r="AZ129" s="13"/>
      <c r="BA129" s="13"/>
      <c r="BB129" s="13"/>
      <c r="BC129" s="4"/>
      <c r="BD129" s="4"/>
      <c r="BE129" s="4"/>
      <c r="BF129" s="13"/>
      <c r="BG129" s="4"/>
      <c r="BH129" s="13"/>
      <c r="BI129" s="13"/>
      <c r="BJ129" s="4"/>
      <c r="BK129" s="14">
        <v>10</v>
      </c>
      <c r="BL129" s="14">
        <v>10</v>
      </c>
      <c r="BM129" s="14">
        <v>10</v>
      </c>
      <c r="BP129" s="15"/>
      <c r="BQ129" s="15"/>
      <c r="BR129" s="2" t="s">
        <v>740</v>
      </c>
      <c r="BS129" s="2" t="s">
        <v>740</v>
      </c>
      <c r="BT129" s="7" t="s">
        <v>109</v>
      </c>
      <c r="BU129" s="7"/>
      <c r="BV129" s="9" t="s">
        <v>109</v>
      </c>
      <c r="BW129" s="9"/>
    </row>
    <row r="130" spans="1:75" ht="14.25" customHeight="1" x14ac:dyDescent="0.25">
      <c r="A130" s="1">
        <v>245</v>
      </c>
      <c r="B130" s="1" t="s">
        <v>822</v>
      </c>
      <c r="C130" s="1" t="s">
        <v>823</v>
      </c>
      <c r="D130" s="1" t="s">
        <v>77</v>
      </c>
      <c r="E130" s="1" t="s">
        <v>768</v>
      </c>
      <c r="F130" s="1" t="s">
        <v>769</v>
      </c>
      <c r="G130" s="1" t="s">
        <v>118</v>
      </c>
      <c r="H130" s="2">
        <v>0</v>
      </c>
      <c r="I130" s="2">
        <v>0</v>
      </c>
      <c r="J130" s="2">
        <v>1</v>
      </c>
      <c r="K130" s="2">
        <v>0</v>
      </c>
      <c r="L130" s="3" t="s">
        <v>80</v>
      </c>
      <c r="O130" s="4">
        <v>4</v>
      </c>
      <c r="P130" s="4" t="s">
        <v>271</v>
      </c>
      <c r="Q130" s="4"/>
      <c r="R130" s="5"/>
      <c r="S130" s="6"/>
      <c r="T130" s="17"/>
      <c r="U130" s="6"/>
      <c r="V130" s="4"/>
      <c r="W130" s="4"/>
      <c r="X130" s="4"/>
      <c r="Y130" s="7">
        <v>4</v>
      </c>
      <c r="Z130" s="8">
        <v>114880</v>
      </c>
      <c r="AA130" s="7" t="s">
        <v>92</v>
      </c>
      <c r="AB130" s="7"/>
      <c r="AC130" s="9">
        <v>4</v>
      </c>
      <c r="AD130" s="10">
        <v>114880</v>
      </c>
      <c r="AE130" s="9" t="s">
        <v>92</v>
      </c>
      <c r="AF130" s="9"/>
      <c r="AG130" s="11">
        <v>3</v>
      </c>
      <c r="AH130" s="11" t="s">
        <v>93</v>
      </c>
      <c r="AI130" s="11" t="s">
        <v>824</v>
      </c>
      <c r="AJ130" s="11"/>
      <c r="AK130" s="11"/>
      <c r="AL130" s="12">
        <v>3</v>
      </c>
      <c r="AM130" s="12" t="s">
        <v>93</v>
      </c>
      <c r="AN130" s="12" t="s">
        <v>805</v>
      </c>
      <c r="AO130" s="12"/>
      <c r="AP130" s="12"/>
      <c r="AQ130" s="4">
        <v>3</v>
      </c>
      <c r="AR130" s="4" t="s">
        <v>93</v>
      </c>
      <c r="AS130" s="4"/>
      <c r="AT130" s="13"/>
      <c r="AU130" s="13"/>
      <c r="AV130" s="13"/>
      <c r="AW130" s="13"/>
      <c r="AX130" s="4"/>
      <c r="AY130" s="13"/>
      <c r="AZ130" s="13"/>
      <c r="BA130" s="13"/>
      <c r="BB130" s="13"/>
      <c r="BC130" s="4"/>
      <c r="BD130" s="4"/>
      <c r="BE130" s="4"/>
      <c r="BF130" s="13"/>
      <c r="BG130" s="4"/>
      <c r="BH130" s="13"/>
      <c r="BI130" s="13"/>
      <c r="BJ130" s="4"/>
      <c r="BK130" s="14">
        <v>14</v>
      </c>
      <c r="BL130" s="14">
        <v>14</v>
      </c>
      <c r="BM130" s="14">
        <v>14</v>
      </c>
      <c r="BN130" s="3" t="s">
        <v>86</v>
      </c>
      <c r="BP130" s="15"/>
      <c r="BQ130" s="15"/>
      <c r="BR130" s="2" t="s">
        <v>115</v>
      </c>
      <c r="BS130" s="2" t="s">
        <v>115</v>
      </c>
      <c r="BT130" s="7" t="s">
        <v>109</v>
      </c>
      <c r="BU130" s="7"/>
      <c r="BV130" s="9" t="s">
        <v>109</v>
      </c>
      <c r="BW130" s="9"/>
    </row>
    <row r="131" spans="1:75" ht="14.25" customHeight="1" x14ac:dyDescent="0.25">
      <c r="A131" s="1">
        <v>259</v>
      </c>
      <c r="B131" s="1" t="s">
        <v>825</v>
      </c>
      <c r="C131" s="1" t="s">
        <v>826</v>
      </c>
      <c r="D131" s="1" t="s">
        <v>77</v>
      </c>
      <c r="E131" s="1" t="s">
        <v>827</v>
      </c>
      <c r="F131" s="1" t="s">
        <v>828</v>
      </c>
      <c r="G131" s="1"/>
      <c r="H131" s="2">
        <v>1</v>
      </c>
      <c r="I131" s="2">
        <v>1</v>
      </c>
      <c r="J131" s="2">
        <v>1</v>
      </c>
      <c r="K131" s="2">
        <v>1</v>
      </c>
      <c r="L131" s="3" t="s">
        <v>127</v>
      </c>
      <c r="O131" s="4">
        <v>4</v>
      </c>
      <c r="P131" s="4" t="s">
        <v>424</v>
      </c>
      <c r="Q131" s="4" t="s">
        <v>829</v>
      </c>
      <c r="R131" s="16">
        <v>170000</v>
      </c>
      <c r="S131" s="6">
        <v>170000</v>
      </c>
      <c r="T131" s="16">
        <v>89000</v>
      </c>
      <c r="U131" s="6">
        <v>89000</v>
      </c>
      <c r="V131" s="4">
        <v>2010.5</v>
      </c>
      <c r="W131" s="4" t="s">
        <v>425</v>
      </c>
      <c r="X131" s="4"/>
      <c r="Y131" s="7">
        <v>2</v>
      </c>
      <c r="Z131" s="8">
        <v>1306962</v>
      </c>
      <c r="AA131" s="7" t="s">
        <v>537</v>
      </c>
      <c r="AB131" s="7" t="s">
        <v>830</v>
      </c>
      <c r="AC131" s="9">
        <v>2</v>
      </c>
      <c r="AD131" s="10">
        <v>1900000</v>
      </c>
      <c r="AE131" s="9" t="s">
        <v>537</v>
      </c>
      <c r="AF131" s="9" t="s">
        <v>831</v>
      </c>
      <c r="AG131" s="11">
        <v>4</v>
      </c>
      <c r="AH131" s="11" t="s">
        <v>800</v>
      </c>
      <c r="AI131" s="11" t="s">
        <v>832</v>
      </c>
      <c r="AJ131" s="11">
        <v>3</v>
      </c>
      <c r="AK131" s="11" t="s">
        <v>132</v>
      </c>
      <c r="AL131" s="12">
        <v>3</v>
      </c>
      <c r="AM131" s="12" t="s">
        <v>271</v>
      </c>
      <c r="AN131" s="12" t="s">
        <v>833</v>
      </c>
      <c r="AO131" s="12"/>
      <c r="AP131" s="12"/>
      <c r="AQ131" s="4">
        <v>5</v>
      </c>
      <c r="AR131" s="4" t="s">
        <v>133</v>
      </c>
      <c r="AS131" s="4"/>
      <c r="AT131" s="13">
        <v>-90.193466186523395</v>
      </c>
      <c r="AU131" s="13">
        <v>-4.4495882987976101</v>
      </c>
      <c r="AV131" s="13">
        <v>-6.2811970710754403</v>
      </c>
      <c r="AW131" s="13">
        <v>-2.4000000953674299</v>
      </c>
      <c r="AX131" s="4">
        <v>1</v>
      </c>
      <c r="AY131" s="13">
        <v>45.631725311279297</v>
      </c>
      <c r="AZ131" s="13">
        <v>3.4789226055145299</v>
      </c>
      <c r="BA131" s="13">
        <v>-3.1181991100311302</v>
      </c>
      <c r="BB131" s="13">
        <v>11.225902557373001</v>
      </c>
      <c r="BC131" s="4"/>
      <c r="BD131" s="4">
        <v>11</v>
      </c>
      <c r="BE131" s="4" t="s">
        <v>134</v>
      </c>
      <c r="BF131" s="13">
        <v>3.88119697570801</v>
      </c>
      <c r="BG131" s="4">
        <v>120</v>
      </c>
      <c r="BH131" s="13">
        <v>2.7349998950958301</v>
      </c>
      <c r="BI131" s="13">
        <v>331.47000122070301</v>
      </c>
      <c r="BJ131" s="4"/>
      <c r="BK131" s="14">
        <v>15</v>
      </c>
      <c r="BL131" s="14">
        <v>14</v>
      </c>
      <c r="BM131" s="14">
        <v>15</v>
      </c>
      <c r="BN131" s="3" t="s">
        <v>375</v>
      </c>
      <c r="BO131" s="3" t="s">
        <v>114</v>
      </c>
      <c r="BP131" s="15"/>
      <c r="BQ131" s="15"/>
      <c r="BR131" s="2" t="s">
        <v>247</v>
      </c>
      <c r="BS131" s="2" t="s">
        <v>740</v>
      </c>
      <c r="BT131" s="7" t="s">
        <v>834</v>
      </c>
      <c r="BU131" s="7" t="s">
        <v>835</v>
      </c>
      <c r="BV131" s="9" t="s">
        <v>836</v>
      </c>
      <c r="BW131" s="9"/>
    </row>
    <row r="132" spans="1:75" ht="14.25" customHeight="1" x14ac:dyDescent="0.25">
      <c r="A132" s="1">
        <v>260</v>
      </c>
      <c r="B132" s="1" t="s">
        <v>837</v>
      </c>
      <c r="C132" s="1" t="s">
        <v>838</v>
      </c>
      <c r="D132" s="1" t="s">
        <v>77</v>
      </c>
      <c r="E132" s="1" t="s">
        <v>827</v>
      </c>
      <c r="F132" s="1" t="s">
        <v>828</v>
      </c>
      <c r="G132" s="1" t="s">
        <v>118</v>
      </c>
      <c r="H132" s="2">
        <v>0</v>
      </c>
      <c r="I132" s="2">
        <v>0</v>
      </c>
      <c r="J132" s="2">
        <v>1</v>
      </c>
      <c r="K132" s="2">
        <v>0</v>
      </c>
      <c r="L132" s="3" t="s">
        <v>80</v>
      </c>
      <c r="O132" s="4">
        <v>5</v>
      </c>
      <c r="P132" s="4" t="s">
        <v>112</v>
      </c>
      <c r="Q132" s="4"/>
      <c r="R132" s="5"/>
      <c r="S132" s="6"/>
      <c r="T132" s="17"/>
      <c r="U132" s="6"/>
      <c r="V132" s="4"/>
      <c r="W132" s="4"/>
      <c r="X132" s="4"/>
      <c r="Y132" s="7">
        <v>4</v>
      </c>
      <c r="Z132" s="8">
        <v>127724</v>
      </c>
      <c r="AA132" s="7" t="s">
        <v>92</v>
      </c>
      <c r="AB132" s="7"/>
      <c r="AC132" s="9">
        <v>4</v>
      </c>
      <c r="AD132" s="10">
        <v>127724</v>
      </c>
      <c r="AE132" s="9" t="s">
        <v>92</v>
      </c>
      <c r="AF132" s="9"/>
      <c r="AG132" s="11">
        <v>3</v>
      </c>
      <c r="AH132" s="11" t="s">
        <v>93</v>
      </c>
      <c r="AI132" s="11"/>
      <c r="AJ132" s="11"/>
      <c r="AK132" s="11"/>
      <c r="AL132" s="12">
        <v>3</v>
      </c>
      <c r="AM132" s="12" t="s">
        <v>93</v>
      </c>
      <c r="AN132" s="12" t="s">
        <v>839</v>
      </c>
      <c r="AO132" s="12"/>
      <c r="AP132" s="12"/>
      <c r="AQ132" s="4">
        <v>3</v>
      </c>
      <c r="AR132" s="4" t="s">
        <v>93</v>
      </c>
      <c r="AS132" s="4"/>
      <c r="AT132" s="13"/>
      <c r="AU132" s="13"/>
      <c r="AV132" s="13"/>
      <c r="AW132" s="13"/>
      <c r="AX132" s="4"/>
      <c r="AY132" s="13"/>
      <c r="AZ132" s="13"/>
      <c r="BA132" s="13"/>
      <c r="BB132" s="13"/>
      <c r="BC132" s="4"/>
      <c r="BD132" s="4"/>
      <c r="BE132" s="4"/>
      <c r="BF132" s="13"/>
      <c r="BG132" s="4"/>
      <c r="BH132" s="13"/>
      <c r="BI132" s="13"/>
      <c r="BJ132" s="4"/>
      <c r="BK132" s="14">
        <v>15</v>
      </c>
      <c r="BL132" s="14">
        <v>15</v>
      </c>
      <c r="BM132" s="14">
        <v>15</v>
      </c>
      <c r="BN132" s="3" t="s">
        <v>86</v>
      </c>
      <c r="BO132" s="3" t="s">
        <v>840</v>
      </c>
      <c r="BP132" s="15"/>
      <c r="BQ132" s="15"/>
      <c r="BR132" s="2" t="s">
        <v>409</v>
      </c>
      <c r="BS132" s="2" t="s">
        <v>409</v>
      </c>
      <c r="BT132" s="7" t="s">
        <v>841</v>
      </c>
      <c r="BU132" s="7"/>
      <c r="BV132" s="9" t="s">
        <v>841</v>
      </c>
      <c r="BW132" s="9"/>
    </row>
    <row r="133" spans="1:75" ht="14.25" customHeight="1" x14ac:dyDescent="0.25">
      <c r="A133" s="1">
        <v>261</v>
      </c>
      <c r="B133" s="1" t="s">
        <v>842</v>
      </c>
      <c r="C133" s="1" t="s">
        <v>843</v>
      </c>
      <c r="D133" s="1" t="s">
        <v>77</v>
      </c>
      <c r="E133" s="1" t="s">
        <v>827</v>
      </c>
      <c r="F133" s="1" t="s">
        <v>828</v>
      </c>
      <c r="G133" s="1" t="s">
        <v>118</v>
      </c>
      <c r="H133" s="2">
        <v>0</v>
      </c>
      <c r="I133" s="2">
        <v>0</v>
      </c>
      <c r="J133" s="2">
        <v>0</v>
      </c>
      <c r="K133" s="2">
        <v>1</v>
      </c>
      <c r="L133" s="3" t="s">
        <v>80</v>
      </c>
      <c r="O133" s="4">
        <v>5</v>
      </c>
      <c r="P133" s="4" t="s">
        <v>81</v>
      </c>
      <c r="Q133" s="4" t="s">
        <v>844</v>
      </c>
      <c r="R133" s="5"/>
      <c r="S133" s="6"/>
      <c r="T133" s="17"/>
      <c r="U133" s="6"/>
      <c r="V133" s="4"/>
      <c r="W133" s="4"/>
      <c r="X133" s="4"/>
      <c r="Y133" s="7">
        <v>4</v>
      </c>
      <c r="Z133" s="8">
        <v>289456</v>
      </c>
      <c r="AA133" s="7" t="s">
        <v>82</v>
      </c>
      <c r="AB133" s="7"/>
      <c r="AC133" s="9">
        <v>4</v>
      </c>
      <c r="AD133" s="10">
        <v>123438</v>
      </c>
      <c r="AE133" s="9" t="s">
        <v>82</v>
      </c>
      <c r="AF133" s="9"/>
      <c r="AG133" s="11">
        <v>3</v>
      </c>
      <c r="AH133" s="11" t="s">
        <v>83</v>
      </c>
      <c r="AI133" s="11"/>
      <c r="AJ133" s="11"/>
      <c r="AK133" s="11"/>
      <c r="AL133" s="12">
        <v>3</v>
      </c>
      <c r="AM133" s="12" t="s">
        <v>83</v>
      </c>
      <c r="AN133" s="12"/>
      <c r="AO133" s="12"/>
      <c r="AP133" s="12"/>
      <c r="AQ133" s="4">
        <v>3</v>
      </c>
      <c r="AR133" s="4" t="s">
        <v>83</v>
      </c>
      <c r="AS133" s="4" t="s">
        <v>845</v>
      </c>
      <c r="AT133" s="13"/>
      <c r="AU133" s="13"/>
      <c r="AV133" s="13"/>
      <c r="AW133" s="13"/>
      <c r="AX133" s="4"/>
      <c r="AY133" s="13"/>
      <c r="AZ133" s="13"/>
      <c r="BA133" s="13"/>
      <c r="BB133" s="13"/>
      <c r="BC133" s="4"/>
      <c r="BD133" s="4"/>
      <c r="BE133" s="4"/>
      <c r="BF133" s="13"/>
      <c r="BG133" s="4"/>
      <c r="BH133" s="13"/>
      <c r="BI133" s="13"/>
      <c r="BJ133" s="4"/>
      <c r="BK133" s="14">
        <v>15</v>
      </c>
      <c r="BL133" s="14">
        <v>15</v>
      </c>
      <c r="BM133" s="14">
        <v>15</v>
      </c>
      <c r="BN133" s="3" t="s">
        <v>86</v>
      </c>
      <c r="BP133" s="15"/>
      <c r="BQ133" s="15"/>
      <c r="BR133" s="2" t="s">
        <v>97</v>
      </c>
      <c r="BS133" s="2" t="s">
        <v>97</v>
      </c>
      <c r="BT133" s="7" t="s">
        <v>846</v>
      </c>
      <c r="BU133" s="7"/>
      <c r="BV133" s="9" t="s">
        <v>846</v>
      </c>
      <c r="BW133" s="9"/>
    </row>
    <row r="134" spans="1:75" ht="14.25" customHeight="1" x14ac:dyDescent="0.25">
      <c r="A134" s="1">
        <v>262</v>
      </c>
      <c r="B134" s="1" t="s">
        <v>847</v>
      </c>
      <c r="C134" s="1" t="s">
        <v>848</v>
      </c>
      <c r="D134" s="1" t="s">
        <v>77</v>
      </c>
      <c r="E134" s="1" t="s">
        <v>827</v>
      </c>
      <c r="F134" s="1" t="s">
        <v>828</v>
      </c>
      <c r="G134" s="1" t="s">
        <v>118</v>
      </c>
      <c r="H134" s="2">
        <v>0</v>
      </c>
      <c r="I134" s="2">
        <v>0</v>
      </c>
      <c r="J134" s="2">
        <v>0</v>
      </c>
      <c r="K134" s="2">
        <v>1</v>
      </c>
      <c r="L134" s="3" t="s">
        <v>127</v>
      </c>
      <c r="O134" s="4">
        <v>5</v>
      </c>
      <c r="P134" s="4" t="s">
        <v>81</v>
      </c>
      <c r="Q134" s="4"/>
      <c r="R134" s="5"/>
      <c r="S134" s="6"/>
      <c r="T134" s="17"/>
      <c r="U134" s="6"/>
      <c r="V134" s="4"/>
      <c r="W134" s="4"/>
      <c r="X134" s="4"/>
      <c r="Y134" s="7">
        <v>5</v>
      </c>
      <c r="Z134" s="8">
        <v>3539</v>
      </c>
      <c r="AA134" s="7" t="s">
        <v>82</v>
      </c>
      <c r="AB134" s="7"/>
      <c r="AC134" s="9">
        <v>5</v>
      </c>
      <c r="AD134" s="10">
        <v>3539</v>
      </c>
      <c r="AE134" s="9" t="s">
        <v>82</v>
      </c>
      <c r="AF134" s="9"/>
      <c r="AG134" s="11">
        <v>3</v>
      </c>
      <c r="AH134" s="11" t="s">
        <v>83</v>
      </c>
      <c r="AI134" s="11"/>
      <c r="AJ134" s="11"/>
      <c r="AK134" s="11"/>
      <c r="AL134" s="12">
        <v>3</v>
      </c>
      <c r="AM134" s="12" t="s">
        <v>83</v>
      </c>
      <c r="AN134" s="12"/>
      <c r="AO134" s="12"/>
      <c r="AP134" s="12"/>
      <c r="AQ134" s="4">
        <v>3</v>
      </c>
      <c r="AR134" s="4" t="s">
        <v>83</v>
      </c>
      <c r="AS134" s="4" t="s">
        <v>845</v>
      </c>
      <c r="AT134" s="13"/>
      <c r="AU134" s="13"/>
      <c r="AV134" s="13"/>
      <c r="AW134" s="13"/>
      <c r="AX134" s="4"/>
      <c r="AY134" s="13"/>
      <c r="AZ134" s="13"/>
      <c r="BA134" s="13"/>
      <c r="BB134" s="13"/>
      <c r="BC134" s="4"/>
      <c r="BD134" s="4"/>
      <c r="BE134" s="4"/>
      <c r="BF134" s="13"/>
      <c r="BG134" s="4"/>
      <c r="BH134" s="13"/>
      <c r="BI134" s="13"/>
      <c r="BJ134" s="4"/>
      <c r="BK134" s="14">
        <v>16</v>
      </c>
      <c r="BL134" s="14">
        <v>16</v>
      </c>
      <c r="BM134" s="14">
        <v>16</v>
      </c>
      <c r="BN134" s="3" t="s">
        <v>86</v>
      </c>
      <c r="BP134" s="15"/>
      <c r="BQ134" s="15"/>
      <c r="BR134" s="2" t="s">
        <v>87</v>
      </c>
      <c r="BS134" s="2" t="s">
        <v>87</v>
      </c>
      <c r="BT134" s="7" t="s">
        <v>846</v>
      </c>
      <c r="BU134" s="7"/>
      <c r="BV134" s="9" t="s">
        <v>846</v>
      </c>
      <c r="BW134" s="9"/>
    </row>
    <row r="135" spans="1:75" ht="14.25" customHeight="1" x14ac:dyDescent="0.25">
      <c r="A135" s="1">
        <v>263</v>
      </c>
      <c r="B135" s="1" t="s">
        <v>849</v>
      </c>
      <c r="C135" s="1" t="s">
        <v>850</v>
      </c>
      <c r="D135" s="1" t="s">
        <v>77</v>
      </c>
      <c r="E135" s="1" t="s">
        <v>827</v>
      </c>
      <c r="F135" s="1" t="s">
        <v>828</v>
      </c>
      <c r="G135" s="1"/>
      <c r="H135" s="2">
        <v>0</v>
      </c>
      <c r="I135" s="2">
        <v>0</v>
      </c>
      <c r="J135" s="2">
        <v>1</v>
      </c>
      <c r="K135" s="2">
        <v>1</v>
      </c>
      <c r="L135" s="3" t="s">
        <v>80</v>
      </c>
      <c r="O135" s="4">
        <v>3</v>
      </c>
      <c r="P135" s="4" t="s">
        <v>112</v>
      </c>
      <c r="Q135" s="4"/>
      <c r="R135" s="5"/>
      <c r="S135" s="6"/>
      <c r="T135" s="17"/>
      <c r="U135" s="6"/>
      <c r="V135" s="4"/>
      <c r="W135" s="4"/>
      <c r="X135" s="4"/>
      <c r="Y135" s="7">
        <v>2</v>
      </c>
      <c r="Z135" s="8">
        <v>1392509</v>
      </c>
      <c r="AA135" s="7" t="s">
        <v>92</v>
      </c>
      <c r="AB135" s="7"/>
      <c r="AC135" s="9">
        <v>2</v>
      </c>
      <c r="AD135" s="10">
        <v>1392509</v>
      </c>
      <c r="AE135" s="9" t="s">
        <v>92</v>
      </c>
      <c r="AF135" s="9"/>
      <c r="AG135" s="11">
        <v>3</v>
      </c>
      <c r="AH135" s="11" t="s">
        <v>93</v>
      </c>
      <c r="AI135" s="11"/>
      <c r="AJ135" s="11"/>
      <c r="AK135" s="11"/>
      <c r="AL135" s="12">
        <v>3</v>
      </c>
      <c r="AM135" s="12" t="s">
        <v>93</v>
      </c>
      <c r="AN135" s="12" t="s">
        <v>839</v>
      </c>
      <c r="AO135" s="12"/>
      <c r="AP135" s="12"/>
      <c r="AQ135" s="4">
        <v>3</v>
      </c>
      <c r="AR135" s="4" t="s">
        <v>83</v>
      </c>
      <c r="AS135" s="4"/>
      <c r="AT135" s="13"/>
      <c r="AU135" s="13"/>
      <c r="AV135" s="13"/>
      <c r="AW135" s="13"/>
      <c r="AX135" s="4"/>
      <c r="AY135" s="13"/>
      <c r="AZ135" s="13"/>
      <c r="BA135" s="13"/>
      <c r="BB135" s="13"/>
      <c r="BC135" s="4"/>
      <c r="BD135" s="4"/>
      <c r="BE135" s="4"/>
      <c r="BF135" s="13"/>
      <c r="BG135" s="4"/>
      <c r="BH135" s="13"/>
      <c r="BI135" s="13"/>
      <c r="BJ135" s="4"/>
      <c r="BK135" s="14">
        <v>11</v>
      </c>
      <c r="BL135" s="14">
        <v>11</v>
      </c>
      <c r="BM135" s="14">
        <v>11</v>
      </c>
      <c r="BP135" s="15"/>
      <c r="BQ135" s="15"/>
      <c r="BR135" s="2" t="s">
        <v>87</v>
      </c>
      <c r="BS135" s="2" t="s">
        <v>87</v>
      </c>
      <c r="BT135" s="7" t="s">
        <v>841</v>
      </c>
      <c r="BU135" s="7" t="s">
        <v>851</v>
      </c>
      <c r="BV135" s="9" t="s">
        <v>841</v>
      </c>
      <c r="BW135" s="9" t="s">
        <v>846</v>
      </c>
    </row>
    <row r="136" spans="1:75" ht="14.25" customHeight="1" x14ac:dyDescent="0.25">
      <c r="A136" s="1">
        <v>291.5</v>
      </c>
      <c r="B136" s="1" t="s">
        <v>852</v>
      </c>
      <c r="C136" s="1" t="s">
        <v>853</v>
      </c>
      <c r="D136" s="1" t="s">
        <v>77</v>
      </c>
      <c r="E136" s="1" t="s">
        <v>768</v>
      </c>
      <c r="F136" s="1" t="s">
        <v>854</v>
      </c>
      <c r="G136" s="1" t="s">
        <v>855</v>
      </c>
      <c r="H136" s="2">
        <v>0</v>
      </c>
      <c r="I136" s="2">
        <v>0</v>
      </c>
      <c r="J136" s="2">
        <v>0</v>
      </c>
      <c r="K136" s="2">
        <v>1</v>
      </c>
      <c r="L136" s="3" t="s">
        <v>80</v>
      </c>
      <c r="O136" s="4">
        <v>4</v>
      </c>
      <c r="P136" s="4" t="s">
        <v>81</v>
      </c>
      <c r="Q136" s="4"/>
      <c r="R136" s="5"/>
      <c r="S136" s="6"/>
      <c r="T136" s="17"/>
      <c r="U136" s="6"/>
      <c r="V136" s="4"/>
      <c r="W136" s="4"/>
      <c r="X136" s="4"/>
      <c r="Y136" s="7">
        <v>4</v>
      </c>
      <c r="Z136" s="8">
        <v>119297</v>
      </c>
      <c r="AA136" s="7" t="s">
        <v>856</v>
      </c>
      <c r="AB136" s="7"/>
      <c r="AC136" s="9">
        <v>4</v>
      </c>
      <c r="AD136" s="10">
        <v>119297</v>
      </c>
      <c r="AE136" s="9" t="s">
        <v>856</v>
      </c>
      <c r="AF136" s="9"/>
      <c r="AG136" s="11">
        <v>3</v>
      </c>
      <c r="AH136" s="11" t="s">
        <v>83</v>
      </c>
      <c r="AI136" s="11" t="s">
        <v>857</v>
      </c>
      <c r="AJ136" s="11"/>
      <c r="AK136" s="11"/>
      <c r="AL136" s="12">
        <v>3</v>
      </c>
      <c r="AM136" s="12" t="s">
        <v>83</v>
      </c>
      <c r="AN136" s="12"/>
      <c r="AO136" s="12"/>
      <c r="AP136" s="12"/>
      <c r="AQ136" s="4">
        <v>3</v>
      </c>
      <c r="AR136" s="4" t="s">
        <v>83</v>
      </c>
      <c r="AS136" s="4"/>
      <c r="AT136" s="13"/>
      <c r="AU136" s="13"/>
      <c r="AV136" s="13"/>
      <c r="AW136" s="13"/>
      <c r="AX136" s="4"/>
      <c r="AY136" s="13"/>
      <c r="AZ136" s="13"/>
      <c r="BA136" s="13"/>
      <c r="BB136" s="13"/>
      <c r="BC136" s="4"/>
      <c r="BD136" s="4"/>
      <c r="BE136" s="4"/>
      <c r="BF136" s="13"/>
      <c r="BG136" s="4"/>
      <c r="BH136" s="13"/>
      <c r="BI136" s="13"/>
      <c r="BJ136" s="4"/>
      <c r="BK136" s="14">
        <v>14</v>
      </c>
      <c r="BL136" s="14">
        <v>14</v>
      </c>
      <c r="BM136" s="14">
        <v>14</v>
      </c>
      <c r="BN136" s="3" t="s">
        <v>86</v>
      </c>
      <c r="BP136" s="15"/>
      <c r="BQ136" s="15"/>
      <c r="BR136" s="2" t="s">
        <v>121</v>
      </c>
      <c r="BS136" s="2" t="s">
        <v>121</v>
      </c>
      <c r="BT136" s="7" t="s">
        <v>88</v>
      </c>
      <c r="BU136" s="7"/>
      <c r="BV136" s="9" t="s">
        <v>88</v>
      </c>
      <c r="BW136" s="9"/>
    </row>
    <row r="137" spans="1:75" ht="14.25" customHeight="1" x14ac:dyDescent="0.25">
      <c r="A137" s="1">
        <v>292</v>
      </c>
      <c r="B137" s="1" t="s">
        <v>858</v>
      </c>
      <c r="C137" s="1" t="s">
        <v>859</v>
      </c>
      <c r="D137" s="1" t="s">
        <v>77</v>
      </c>
      <c r="E137" s="1" t="s">
        <v>827</v>
      </c>
      <c r="F137" s="1" t="s">
        <v>854</v>
      </c>
      <c r="G137" s="1"/>
      <c r="H137" s="2">
        <v>0</v>
      </c>
      <c r="I137" s="2">
        <v>0</v>
      </c>
      <c r="J137" s="2">
        <v>0</v>
      </c>
      <c r="K137" s="2">
        <v>1</v>
      </c>
      <c r="L137" s="3" t="s">
        <v>80</v>
      </c>
      <c r="O137" s="4">
        <v>3</v>
      </c>
      <c r="P137" s="4" t="s">
        <v>81</v>
      </c>
      <c r="Q137" s="4"/>
      <c r="R137" s="5"/>
      <c r="S137" s="6"/>
      <c r="T137" s="17"/>
      <c r="U137" s="6"/>
      <c r="V137" s="4"/>
      <c r="W137" s="4"/>
      <c r="X137" s="4"/>
      <c r="Y137" s="7">
        <v>3</v>
      </c>
      <c r="Z137" s="8">
        <v>414066</v>
      </c>
      <c r="AA137" s="7" t="s">
        <v>82</v>
      </c>
      <c r="AB137" s="7"/>
      <c r="AC137" s="9">
        <v>3</v>
      </c>
      <c r="AD137" s="10">
        <v>414066</v>
      </c>
      <c r="AE137" s="9" t="s">
        <v>82</v>
      </c>
      <c r="AF137" s="9"/>
      <c r="AG137" s="11">
        <v>2</v>
      </c>
      <c r="AH137" s="11" t="s">
        <v>83</v>
      </c>
      <c r="AI137" s="11"/>
      <c r="AJ137" s="11"/>
      <c r="AK137" s="11"/>
      <c r="AL137" s="12">
        <v>2</v>
      </c>
      <c r="AM137" s="12" t="s">
        <v>83</v>
      </c>
      <c r="AN137" s="12"/>
      <c r="AO137" s="12"/>
      <c r="AP137" s="12"/>
      <c r="AQ137" s="4">
        <v>3</v>
      </c>
      <c r="AR137" s="4" t="s">
        <v>83</v>
      </c>
      <c r="AS137" s="4"/>
      <c r="AT137" s="13"/>
      <c r="AU137" s="13"/>
      <c r="AV137" s="13"/>
      <c r="AW137" s="13"/>
      <c r="AX137" s="4"/>
      <c r="AY137" s="13"/>
      <c r="AZ137" s="13"/>
      <c r="BA137" s="13"/>
      <c r="BB137" s="13"/>
      <c r="BC137" s="4"/>
      <c r="BD137" s="4"/>
      <c r="BE137" s="4"/>
      <c r="BF137" s="13"/>
      <c r="BG137" s="4"/>
      <c r="BH137" s="13"/>
      <c r="BI137" s="13"/>
      <c r="BJ137" s="4"/>
      <c r="BK137" s="14">
        <v>11</v>
      </c>
      <c r="BL137" s="14">
        <v>11</v>
      </c>
      <c r="BM137" s="14">
        <v>11</v>
      </c>
      <c r="BP137" s="15"/>
      <c r="BQ137" s="15"/>
      <c r="BR137" s="2" t="s">
        <v>121</v>
      </c>
      <c r="BS137" s="2" t="s">
        <v>121</v>
      </c>
      <c r="BT137" s="7" t="s">
        <v>98</v>
      </c>
      <c r="BU137" s="7"/>
      <c r="BV137" s="9" t="s">
        <v>98</v>
      </c>
      <c r="BW137" s="9"/>
    </row>
    <row r="138" spans="1:75" ht="14.25" customHeight="1" x14ac:dyDescent="0.25">
      <c r="A138" s="1">
        <v>293</v>
      </c>
      <c r="B138" s="1" t="s">
        <v>860</v>
      </c>
      <c r="C138" s="1" t="s">
        <v>861</v>
      </c>
      <c r="D138" s="1" t="s">
        <v>77</v>
      </c>
      <c r="E138" s="1" t="s">
        <v>827</v>
      </c>
      <c r="F138" s="1" t="s">
        <v>854</v>
      </c>
      <c r="G138" s="1"/>
      <c r="H138" s="2">
        <v>0</v>
      </c>
      <c r="I138" s="2">
        <v>0</v>
      </c>
      <c r="J138" s="2">
        <v>1</v>
      </c>
      <c r="K138" s="2">
        <v>1</v>
      </c>
      <c r="L138" s="3" t="s">
        <v>80</v>
      </c>
      <c r="O138" s="4">
        <v>4</v>
      </c>
      <c r="P138" s="4" t="s">
        <v>112</v>
      </c>
      <c r="Q138" s="4"/>
      <c r="R138" s="5"/>
      <c r="S138" s="6"/>
      <c r="T138" s="17"/>
      <c r="U138" s="6"/>
      <c r="V138" s="4"/>
      <c r="W138" s="4"/>
      <c r="X138" s="4"/>
      <c r="Y138" s="7">
        <v>3</v>
      </c>
      <c r="Z138" s="8">
        <v>765758</v>
      </c>
      <c r="AA138" s="7" t="s">
        <v>92</v>
      </c>
      <c r="AB138" s="7"/>
      <c r="AC138" s="9">
        <v>3</v>
      </c>
      <c r="AD138" s="10">
        <v>765758</v>
      </c>
      <c r="AE138" s="9" t="s">
        <v>92</v>
      </c>
      <c r="AF138" s="9"/>
      <c r="AG138" s="11">
        <v>2</v>
      </c>
      <c r="AH138" s="11" t="s">
        <v>93</v>
      </c>
      <c r="AI138" s="11"/>
      <c r="AJ138" s="11"/>
      <c r="AK138" s="11"/>
      <c r="AL138" s="12">
        <v>2</v>
      </c>
      <c r="AM138" s="12" t="s">
        <v>93</v>
      </c>
      <c r="AN138" s="12" t="s">
        <v>698</v>
      </c>
      <c r="AO138" s="12"/>
      <c r="AP138" s="12"/>
      <c r="AQ138" s="4">
        <v>4</v>
      </c>
      <c r="AR138" s="4" t="s">
        <v>83</v>
      </c>
      <c r="AS138" s="4" t="s">
        <v>862</v>
      </c>
      <c r="AT138" s="13"/>
      <c r="AU138" s="13"/>
      <c r="AV138" s="13"/>
      <c r="AW138" s="13"/>
      <c r="AX138" s="4"/>
      <c r="AY138" s="13"/>
      <c r="AZ138" s="13"/>
      <c r="BA138" s="13"/>
      <c r="BB138" s="13"/>
      <c r="BC138" s="4"/>
      <c r="BD138" s="4"/>
      <c r="BE138" s="4"/>
      <c r="BF138" s="13"/>
      <c r="BG138" s="4"/>
      <c r="BH138" s="13"/>
      <c r="BI138" s="13"/>
      <c r="BJ138" s="4"/>
      <c r="BK138" s="14">
        <v>13</v>
      </c>
      <c r="BL138" s="14">
        <v>13</v>
      </c>
      <c r="BM138" s="14">
        <v>13</v>
      </c>
      <c r="BP138" s="15"/>
      <c r="BQ138" s="15"/>
      <c r="BR138" s="2" t="s">
        <v>121</v>
      </c>
      <c r="BS138" s="2" t="s">
        <v>121</v>
      </c>
      <c r="BT138" s="7" t="s">
        <v>98</v>
      </c>
      <c r="BU138" s="7"/>
      <c r="BV138" s="9" t="s">
        <v>98</v>
      </c>
      <c r="BW138" s="9"/>
    </row>
    <row r="139" spans="1:75" ht="14.25" customHeight="1" x14ac:dyDescent="0.25">
      <c r="A139" s="1">
        <v>294</v>
      </c>
      <c r="B139" s="1" t="s">
        <v>863</v>
      </c>
      <c r="C139" s="1" t="s">
        <v>864</v>
      </c>
      <c r="D139" s="1" t="s">
        <v>77</v>
      </c>
      <c r="E139" s="1" t="s">
        <v>827</v>
      </c>
      <c r="F139" s="1" t="s">
        <v>854</v>
      </c>
      <c r="G139" s="1"/>
      <c r="H139" s="2">
        <v>0</v>
      </c>
      <c r="I139" s="2">
        <v>0</v>
      </c>
      <c r="J139" s="2">
        <v>0</v>
      </c>
      <c r="K139" s="2">
        <v>1</v>
      </c>
      <c r="L139" s="3" t="s">
        <v>80</v>
      </c>
      <c r="O139" s="4">
        <v>3</v>
      </c>
      <c r="P139" s="4" t="s">
        <v>81</v>
      </c>
      <c r="Q139" s="4"/>
      <c r="R139" s="5"/>
      <c r="S139" s="6"/>
      <c r="T139" s="17"/>
      <c r="U139" s="6"/>
      <c r="V139" s="4"/>
      <c r="W139" s="4"/>
      <c r="X139" s="4"/>
      <c r="Y139" s="7">
        <v>3</v>
      </c>
      <c r="Z139" s="8">
        <v>388728</v>
      </c>
      <c r="AA139" s="7" t="s">
        <v>82</v>
      </c>
      <c r="AB139" s="7"/>
      <c r="AC139" s="9">
        <v>3</v>
      </c>
      <c r="AD139" s="10">
        <v>388728</v>
      </c>
      <c r="AE139" s="9" t="s">
        <v>82</v>
      </c>
      <c r="AF139" s="9"/>
      <c r="AG139" s="11">
        <v>4</v>
      </c>
      <c r="AH139" s="11" t="s">
        <v>83</v>
      </c>
      <c r="AI139" s="11" t="s">
        <v>865</v>
      </c>
      <c r="AJ139" s="11"/>
      <c r="AK139" s="11"/>
      <c r="AL139" s="12">
        <v>4</v>
      </c>
      <c r="AM139" s="12" t="s">
        <v>83</v>
      </c>
      <c r="AN139" s="12"/>
      <c r="AO139" s="12"/>
      <c r="AP139" s="12"/>
      <c r="AQ139" s="4">
        <v>3</v>
      </c>
      <c r="AR139" s="4" t="s">
        <v>83</v>
      </c>
      <c r="AS139" s="4" t="s">
        <v>866</v>
      </c>
      <c r="AT139" s="13"/>
      <c r="AU139" s="13"/>
      <c r="AV139" s="13"/>
      <c r="AW139" s="13"/>
      <c r="AX139" s="4"/>
      <c r="AY139" s="13"/>
      <c r="AZ139" s="13"/>
      <c r="BA139" s="13"/>
      <c r="BB139" s="13"/>
      <c r="BC139" s="4"/>
      <c r="BD139" s="4"/>
      <c r="BE139" s="4"/>
      <c r="BF139" s="13"/>
      <c r="BG139" s="4"/>
      <c r="BH139" s="13"/>
      <c r="BI139" s="13"/>
      <c r="BJ139" s="4"/>
      <c r="BK139" s="14">
        <v>13</v>
      </c>
      <c r="BL139" s="14">
        <v>13</v>
      </c>
      <c r="BM139" s="14">
        <v>13</v>
      </c>
      <c r="BP139" s="15"/>
      <c r="BQ139" s="15"/>
      <c r="BR139" s="2" t="s">
        <v>87</v>
      </c>
      <c r="BS139" s="2" t="s">
        <v>87</v>
      </c>
      <c r="BT139" s="7" t="s">
        <v>88</v>
      </c>
      <c r="BU139" s="7"/>
      <c r="BV139" s="9" t="s">
        <v>88</v>
      </c>
      <c r="BW139" s="9"/>
    </row>
    <row r="140" spans="1:75" ht="14.25" customHeight="1" x14ac:dyDescent="0.25">
      <c r="A140" s="1">
        <v>295</v>
      </c>
      <c r="B140" s="1" t="s">
        <v>867</v>
      </c>
      <c r="C140" s="1" t="s">
        <v>868</v>
      </c>
      <c r="D140" s="1" t="s">
        <v>77</v>
      </c>
      <c r="E140" s="1" t="s">
        <v>827</v>
      </c>
      <c r="F140" s="1" t="s">
        <v>854</v>
      </c>
      <c r="G140" s="1" t="s">
        <v>118</v>
      </c>
      <c r="H140" s="2">
        <v>0</v>
      </c>
      <c r="I140" s="2">
        <v>0</v>
      </c>
      <c r="J140" s="2">
        <v>0</v>
      </c>
      <c r="K140" s="2">
        <v>1</v>
      </c>
      <c r="L140" s="3" t="s">
        <v>80</v>
      </c>
      <c r="O140" s="4">
        <v>3</v>
      </c>
      <c r="P140" s="4" t="s">
        <v>81</v>
      </c>
      <c r="Q140" s="4"/>
      <c r="R140" s="5"/>
      <c r="S140" s="6"/>
      <c r="T140" s="17"/>
      <c r="U140" s="6"/>
      <c r="V140" s="4"/>
      <c r="W140" s="4"/>
      <c r="X140" s="4"/>
      <c r="Y140" s="7">
        <v>2</v>
      </c>
      <c r="Z140" s="8">
        <v>1203745</v>
      </c>
      <c r="AA140" s="7" t="s">
        <v>82</v>
      </c>
      <c r="AB140" s="7"/>
      <c r="AC140" s="9">
        <v>2</v>
      </c>
      <c r="AD140" s="10">
        <v>1203745</v>
      </c>
      <c r="AE140" s="9" t="s">
        <v>82</v>
      </c>
      <c r="AF140" s="9"/>
      <c r="AG140" s="11">
        <v>4</v>
      </c>
      <c r="AH140" s="11" t="s">
        <v>83</v>
      </c>
      <c r="AI140" s="11"/>
      <c r="AJ140" s="11"/>
      <c r="AK140" s="11"/>
      <c r="AL140" s="12">
        <v>4</v>
      </c>
      <c r="AM140" s="12" t="s">
        <v>83</v>
      </c>
      <c r="AN140" s="12"/>
      <c r="AO140" s="12"/>
      <c r="AP140" s="12"/>
      <c r="AQ140" s="4">
        <v>4</v>
      </c>
      <c r="AR140" s="4" t="s">
        <v>83</v>
      </c>
      <c r="AS140" s="4"/>
      <c r="AT140" s="13"/>
      <c r="AU140" s="13"/>
      <c r="AV140" s="13"/>
      <c r="AW140" s="13"/>
      <c r="AX140" s="4"/>
      <c r="AY140" s="13"/>
      <c r="AZ140" s="13"/>
      <c r="BA140" s="13"/>
      <c r="BB140" s="13"/>
      <c r="BC140" s="4"/>
      <c r="BD140" s="4"/>
      <c r="BE140" s="4"/>
      <c r="BF140" s="13"/>
      <c r="BG140" s="4"/>
      <c r="BH140" s="13"/>
      <c r="BI140" s="13"/>
      <c r="BJ140" s="4"/>
      <c r="BK140" s="14">
        <v>13</v>
      </c>
      <c r="BL140" s="14">
        <v>13</v>
      </c>
      <c r="BM140" s="14">
        <v>13</v>
      </c>
      <c r="BP140" s="15"/>
      <c r="BQ140" s="15"/>
      <c r="BR140" s="2" t="s">
        <v>87</v>
      </c>
      <c r="BS140" s="2" t="s">
        <v>87</v>
      </c>
      <c r="BT140" s="7" t="s">
        <v>88</v>
      </c>
      <c r="BU140" s="7"/>
      <c r="BV140" s="9" t="s">
        <v>88</v>
      </c>
      <c r="BW140" s="9"/>
    </row>
    <row r="141" spans="1:75" ht="14.25" customHeight="1" x14ac:dyDescent="0.25">
      <c r="A141" s="1">
        <v>296</v>
      </c>
      <c r="B141" s="1" t="s">
        <v>869</v>
      </c>
      <c r="C141" s="1" t="s">
        <v>870</v>
      </c>
      <c r="D141" s="1" t="s">
        <v>77</v>
      </c>
      <c r="E141" s="1" t="s">
        <v>827</v>
      </c>
      <c r="F141" s="1" t="s">
        <v>854</v>
      </c>
      <c r="G141" s="1"/>
      <c r="H141" s="2">
        <v>0</v>
      </c>
      <c r="I141" s="2">
        <v>0</v>
      </c>
      <c r="J141" s="2">
        <v>1</v>
      </c>
      <c r="K141" s="2">
        <v>1</v>
      </c>
      <c r="L141" s="3" t="s">
        <v>127</v>
      </c>
      <c r="O141" s="4">
        <v>3</v>
      </c>
      <c r="P141" s="4" t="s">
        <v>871</v>
      </c>
      <c r="Q141" s="4" t="s">
        <v>872</v>
      </c>
      <c r="R141" s="5"/>
      <c r="S141" s="6"/>
      <c r="T141" s="17"/>
      <c r="U141" s="6"/>
      <c r="V141" s="4"/>
      <c r="W141" s="4"/>
      <c r="X141" s="4"/>
      <c r="Y141" s="7">
        <v>4</v>
      </c>
      <c r="Z141" s="8">
        <v>299056</v>
      </c>
      <c r="AA141" s="7" t="s">
        <v>873</v>
      </c>
      <c r="AB141" s="7"/>
      <c r="AC141" s="9">
        <v>4</v>
      </c>
      <c r="AD141" s="10">
        <v>299056</v>
      </c>
      <c r="AE141" s="9" t="s">
        <v>873</v>
      </c>
      <c r="AF141" s="9"/>
      <c r="AG141" s="11">
        <v>2</v>
      </c>
      <c r="AH141" s="11" t="s">
        <v>874</v>
      </c>
      <c r="AI141" s="11" t="s">
        <v>875</v>
      </c>
      <c r="AJ141" s="11"/>
      <c r="AK141" s="11"/>
      <c r="AL141" s="12">
        <v>3</v>
      </c>
      <c r="AM141" s="12" t="s">
        <v>876</v>
      </c>
      <c r="AN141" s="12" t="s">
        <v>877</v>
      </c>
      <c r="AO141" s="12"/>
      <c r="AP141" s="12"/>
      <c r="AQ141" s="4">
        <v>3</v>
      </c>
      <c r="AR141" s="4" t="s">
        <v>874</v>
      </c>
      <c r="AS141" s="4" t="s">
        <v>875</v>
      </c>
      <c r="AT141" s="13"/>
      <c r="AU141" s="13"/>
      <c r="AV141" s="13"/>
      <c r="AW141" s="13"/>
      <c r="AX141" s="4"/>
      <c r="AY141" s="13"/>
      <c r="AZ141" s="13"/>
      <c r="BA141" s="13"/>
      <c r="BB141" s="13"/>
      <c r="BC141" s="4"/>
      <c r="BD141" s="4"/>
      <c r="BE141" s="4"/>
      <c r="BF141" s="13"/>
      <c r="BG141" s="4"/>
      <c r="BH141" s="13"/>
      <c r="BI141" s="13"/>
      <c r="BJ141" s="4"/>
      <c r="BK141" s="14">
        <v>12</v>
      </c>
      <c r="BL141" s="14">
        <v>13</v>
      </c>
      <c r="BM141" s="14">
        <v>13</v>
      </c>
      <c r="BP141" s="15"/>
      <c r="BQ141" s="15"/>
      <c r="BR141" s="2" t="s">
        <v>409</v>
      </c>
      <c r="BS141" s="2" t="s">
        <v>409</v>
      </c>
      <c r="BT141" s="7" t="s">
        <v>88</v>
      </c>
      <c r="BU141" s="7" t="s">
        <v>438</v>
      </c>
      <c r="BV141" s="9" t="s">
        <v>88</v>
      </c>
      <c r="BW141" s="9" t="s">
        <v>438</v>
      </c>
    </row>
    <row r="142" spans="1:75" ht="14.25" customHeight="1" x14ac:dyDescent="0.25">
      <c r="A142" s="1">
        <v>297</v>
      </c>
      <c r="B142" s="1" t="s">
        <v>878</v>
      </c>
      <c r="C142" s="1" t="s">
        <v>879</v>
      </c>
      <c r="D142" s="1" t="s">
        <v>77</v>
      </c>
      <c r="E142" s="1" t="s">
        <v>827</v>
      </c>
      <c r="F142" s="1" t="s">
        <v>854</v>
      </c>
      <c r="G142" s="1"/>
      <c r="H142" s="2">
        <v>0</v>
      </c>
      <c r="I142" s="2">
        <v>0</v>
      </c>
      <c r="J142" s="2">
        <v>0</v>
      </c>
      <c r="K142" s="2">
        <v>1</v>
      </c>
      <c r="L142" s="3" t="s">
        <v>80</v>
      </c>
      <c r="O142" s="4">
        <v>3</v>
      </c>
      <c r="P142" s="4" t="s">
        <v>871</v>
      </c>
      <c r="Q142" s="4" t="s">
        <v>872</v>
      </c>
      <c r="R142" s="5"/>
      <c r="S142" s="6"/>
      <c r="T142" s="17"/>
      <c r="U142" s="6"/>
      <c r="V142" s="4"/>
      <c r="W142" s="4"/>
      <c r="X142" s="4"/>
      <c r="Y142" s="7">
        <v>3</v>
      </c>
      <c r="Z142" s="8">
        <v>493051</v>
      </c>
      <c r="AA142" s="7" t="s">
        <v>873</v>
      </c>
      <c r="AB142" s="7"/>
      <c r="AC142" s="9">
        <v>3</v>
      </c>
      <c r="AD142" s="10">
        <v>493051</v>
      </c>
      <c r="AE142" s="9" t="s">
        <v>873</v>
      </c>
      <c r="AF142" s="9"/>
      <c r="AG142" s="11">
        <v>2</v>
      </c>
      <c r="AH142" s="11" t="s">
        <v>876</v>
      </c>
      <c r="AI142" s="11" t="s">
        <v>880</v>
      </c>
      <c r="AJ142" s="11"/>
      <c r="AK142" s="11"/>
      <c r="AL142" s="12">
        <v>3</v>
      </c>
      <c r="AM142" s="12" t="s">
        <v>876</v>
      </c>
      <c r="AN142" s="12" t="s">
        <v>881</v>
      </c>
      <c r="AO142" s="12"/>
      <c r="AP142" s="12"/>
      <c r="AQ142" s="4">
        <v>2</v>
      </c>
      <c r="AR142" s="4" t="s">
        <v>876</v>
      </c>
      <c r="AS142" s="4" t="s">
        <v>880</v>
      </c>
      <c r="AT142" s="13"/>
      <c r="AU142" s="13"/>
      <c r="AV142" s="13"/>
      <c r="AW142" s="13"/>
      <c r="AX142" s="4"/>
      <c r="AY142" s="13"/>
      <c r="AZ142" s="13"/>
      <c r="BA142" s="13"/>
      <c r="BB142" s="13"/>
      <c r="BC142" s="4"/>
      <c r="BD142" s="4"/>
      <c r="BE142" s="4"/>
      <c r="BF142" s="13"/>
      <c r="BG142" s="4"/>
      <c r="BH142" s="13"/>
      <c r="BI142" s="13"/>
      <c r="BJ142" s="4"/>
      <c r="BK142" s="14">
        <v>10</v>
      </c>
      <c r="BL142" s="14">
        <v>11</v>
      </c>
      <c r="BM142" s="14">
        <v>11</v>
      </c>
      <c r="BP142" s="15"/>
      <c r="BQ142" s="15"/>
      <c r="BR142" s="2" t="s">
        <v>409</v>
      </c>
      <c r="BS142" s="2" t="s">
        <v>409</v>
      </c>
      <c r="BT142" s="7" t="s">
        <v>88</v>
      </c>
      <c r="BU142" s="7"/>
      <c r="BV142" s="9" t="s">
        <v>88</v>
      </c>
      <c r="BW142" s="9"/>
    </row>
    <row r="143" spans="1:75" ht="14.25" customHeight="1" x14ac:dyDescent="0.25">
      <c r="A143" s="1">
        <v>298</v>
      </c>
      <c r="B143" s="1" t="s">
        <v>882</v>
      </c>
      <c r="C143" s="1" t="s">
        <v>883</v>
      </c>
      <c r="D143" s="1" t="s">
        <v>77</v>
      </c>
      <c r="E143" s="1" t="s">
        <v>827</v>
      </c>
      <c r="F143" s="1" t="s">
        <v>854</v>
      </c>
      <c r="G143" s="1" t="s">
        <v>118</v>
      </c>
      <c r="H143" s="2">
        <v>0</v>
      </c>
      <c r="I143" s="2">
        <v>0</v>
      </c>
      <c r="J143" s="2">
        <v>0</v>
      </c>
      <c r="K143" s="2">
        <v>1</v>
      </c>
      <c r="L143" s="3" t="s">
        <v>80</v>
      </c>
      <c r="O143" s="4">
        <v>5</v>
      </c>
      <c r="P143" s="4" t="s">
        <v>81</v>
      </c>
      <c r="Q143" s="4"/>
      <c r="R143" s="5"/>
      <c r="S143" s="6"/>
      <c r="T143" s="17"/>
      <c r="U143" s="6"/>
      <c r="V143" s="4"/>
      <c r="W143" s="4"/>
      <c r="X143" s="4"/>
      <c r="Y143" s="7">
        <v>4</v>
      </c>
      <c r="Z143" s="8">
        <v>112955</v>
      </c>
      <c r="AA143" s="7" t="s">
        <v>82</v>
      </c>
      <c r="AB143" s="7"/>
      <c r="AC143" s="9">
        <v>4</v>
      </c>
      <c r="AD143" s="10">
        <v>112955</v>
      </c>
      <c r="AE143" s="9" t="s">
        <v>82</v>
      </c>
      <c r="AF143" s="9"/>
      <c r="AG143" s="11">
        <v>3</v>
      </c>
      <c r="AH143" s="11" t="s">
        <v>83</v>
      </c>
      <c r="AI143" s="11" t="s">
        <v>884</v>
      </c>
      <c r="AJ143" s="11"/>
      <c r="AK143" s="11"/>
      <c r="AL143" s="12">
        <v>3</v>
      </c>
      <c r="AM143" s="12" t="s">
        <v>83</v>
      </c>
      <c r="AN143" s="12"/>
      <c r="AO143" s="12"/>
      <c r="AP143" s="12"/>
      <c r="AQ143" s="4">
        <v>3</v>
      </c>
      <c r="AR143" s="4" t="s">
        <v>83</v>
      </c>
      <c r="AS143" s="4"/>
      <c r="AT143" s="13"/>
      <c r="AU143" s="13"/>
      <c r="AV143" s="13"/>
      <c r="AW143" s="13"/>
      <c r="AX143" s="4"/>
      <c r="AY143" s="13"/>
      <c r="AZ143" s="13"/>
      <c r="BA143" s="13"/>
      <c r="BB143" s="13"/>
      <c r="BC143" s="4"/>
      <c r="BD143" s="4"/>
      <c r="BE143" s="4"/>
      <c r="BF143" s="13"/>
      <c r="BG143" s="4"/>
      <c r="BH143" s="13"/>
      <c r="BI143" s="13"/>
      <c r="BJ143" s="4"/>
      <c r="BK143" s="14">
        <v>15</v>
      </c>
      <c r="BL143" s="14">
        <v>15</v>
      </c>
      <c r="BM143" s="14">
        <v>15</v>
      </c>
      <c r="BN143" s="3" t="s">
        <v>86</v>
      </c>
      <c r="BP143" s="15"/>
      <c r="BQ143" s="15"/>
      <c r="BR143" s="2" t="s">
        <v>121</v>
      </c>
      <c r="BS143" s="2" t="s">
        <v>121</v>
      </c>
      <c r="BT143" s="7" t="s">
        <v>88</v>
      </c>
      <c r="BU143" s="7"/>
      <c r="BV143" s="9" t="s">
        <v>88</v>
      </c>
      <c r="BW143" s="9"/>
    </row>
    <row r="144" spans="1:75" ht="14.25" customHeight="1" x14ac:dyDescent="0.25">
      <c r="A144" s="1">
        <v>299</v>
      </c>
      <c r="B144" s="1" t="s">
        <v>885</v>
      </c>
      <c r="C144" s="1" t="s">
        <v>886</v>
      </c>
      <c r="D144" s="1" t="s">
        <v>77</v>
      </c>
      <c r="E144" s="1" t="s">
        <v>827</v>
      </c>
      <c r="F144" s="1" t="s">
        <v>854</v>
      </c>
      <c r="G144" s="1" t="s">
        <v>118</v>
      </c>
      <c r="H144" s="2">
        <v>0</v>
      </c>
      <c r="I144" s="2">
        <v>0</v>
      </c>
      <c r="J144" s="2">
        <v>1</v>
      </c>
      <c r="K144" s="2">
        <v>1</v>
      </c>
      <c r="L144" s="3" t="s">
        <v>80</v>
      </c>
      <c r="O144" s="4">
        <v>4</v>
      </c>
      <c r="P144" s="4" t="s">
        <v>112</v>
      </c>
      <c r="Q144" s="4"/>
      <c r="R144" s="5"/>
      <c r="S144" s="6"/>
      <c r="T144" s="17"/>
      <c r="U144" s="6"/>
      <c r="V144" s="4"/>
      <c r="W144" s="4"/>
      <c r="X144" s="4"/>
      <c r="Y144" s="7">
        <v>3</v>
      </c>
      <c r="Z144" s="8">
        <v>489401</v>
      </c>
      <c r="AA144" s="7" t="s">
        <v>92</v>
      </c>
      <c r="AB144" s="7"/>
      <c r="AC144" s="9">
        <v>3</v>
      </c>
      <c r="AD144" s="10">
        <v>489401</v>
      </c>
      <c r="AE144" s="9" t="s">
        <v>92</v>
      </c>
      <c r="AF144" s="9"/>
      <c r="AG144" s="11">
        <v>3</v>
      </c>
      <c r="AH144" s="11" t="s">
        <v>93</v>
      </c>
      <c r="AI144" s="11"/>
      <c r="AJ144" s="11"/>
      <c r="AK144" s="11"/>
      <c r="AL144" s="12">
        <v>3</v>
      </c>
      <c r="AM144" s="12" t="s">
        <v>93</v>
      </c>
      <c r="AN144" s="12" t="s">
        <v>698</v>
      </c>
      <c r="AO144" s="12"/>
      <c r="AP144" s="12"/>
      <c r="AQ144" s="4">
        <v>4</v>
      </c>
      <c r="AR144" s="4" t="s">
        <v>83</v>
      </c>
      <c r="AS144" s="4"/>
      <c r="AT144" s="13"/>
      <c r="AU144" s="13"/>
      <c r="AV144" s="13"/>
      <c r="AW144" s="13"/>
      <c r="AX144" s="4"/>
      <c r="AY144" s="13"/>
      <c r="AZ144" s="13"/>
      <c r="BA144" s="13"/>
      <c r="BB144" s="13"/>
      <c r="BC144" s="4"/>
      <c r="BD144" s="4"/>
      <c r="BE144" s="4"/>
      <c r="BF144" s="13"/>
      <c r="BG144" s="4"/>
      <c r="BH144" s="13"/>
      <c r="BI144" s="13"/>
      <c r="BJ144" s="4"/>
      <c r="BK144" s="14">
        <v>14</v>
      </c>
      <c r="BL144" s="14">
        <v>14</v>
      </c>
      <c r="BM144" s="14">
        <v>14</v>
      </c>
      <c r="BN144" s="3" t="s">
        <v>86</v>
      </c>
      <c r="BP144" s="15"/>
      <c r="BQ144" s="15"/>
      <c r="BR144" s="2" t="s">
        <v>121</v>
      </c>
      <c r="BS144" s="2" t="s">
        <v>121</v>
      </c>
      <c r="BT144" s="7" t="s">
        <v>98</v>
      </c>
      <c r="BU144" s="7"/>
      <c r="BV144" s="9" t="s">
        <v>98</v>
      </c>
      <c r="BW144" s="9"/>
    </row>
    <row r="145" spans="1:75" ht="14.25" customHeight="1" x14ac:dyDescent="0.25">
      <c r="A145" s="1">
        <v>301</v>
      </c>
      <c r="B145" s="1" t="s">
        <v>887</v>
      </c>
      <c r="C145" s="1" t="s">
        <v>888</v>
      </c>
      <c r="D145" s="1" t="s">
        <v>77</v>
      </c>
      <c r="E145" s="1" t="s">
        <v>827</v>
      </c>
      <c r="F145" s="1" t="s">
        <v>854</v>
      </c>
      <c r="G145" s="1"/>
      <c r="H145" s="2">
        <v>0</v>
      </c>
      <c r="I145" s="2">
        <v>0</v>
      </c>
      <c r="J145" s="2">
        <v>1</v>
      </c>
      <c r="K145" s="2">
        <v>1</v>
      </c>
      <c r="L145" s="3" t="s">
        <v>80</v>
      </c>
      <c r="O145" s="4">
        <v>3</v>
      </c>
      <c r="P145" s="4" t="s">
        <v>112</v>
      </c>
      <c r="Q145" s="4"/>
      <c r="R145" s="5"/>
      <c r="S145" s="6"/>
      <c r="T145" s="17"/>
      <c r="U145" s="6"/>
      <c r="V145" s="4"/>
      <c r="W145" s="4"/>
      <c r="X145" s="4"/>
      <c r="Y145" s="7">
        <v>3</v>
      </c>
      <c r="Z145" s="8">
        <v>675906</v>
      </c>
      <c r="AA145" s="7" t="s">
        <v>92</v>
      </c>
      <c r="AB145" s="7"/>
      <c r="AC145" s="9">
        <v>3</v>
      </c>
      <c r="AD145" s="10">
        <v>629240</v>
      </c>
      <c r="AE145" s="9" t="s">
        <v>92</v>
      </c>
      <c r="AF145" s="9"/>
      <c r="AG145" s="11">
        <v>2</v>
      </c>
      <c r="AH145" s="11" t="s">
        <v>93</v>
      </c>
      <c r="AI145" s="11"/>
      <c r="AJ145" s="11"/>
      <c r="AK145" s="11"/>
      <c r="AL145" s="12">
        <v>2</v>
      </c>
      <c r="AM145" s="12" t="s">
        <v>93</v>
      </c>
      <c r="AN145" s="12" t="s">
        <v>394</v>
      </c>
      <c r="AO145" s="12"/>
      <c r="AP145" s="12"/>
      <c r="AQ145" s="4">
        <v>3</v>
      </c>
      <c r="AR145" s="4" t="s">
        <v>83</v>
      </c>
      <c r="AS145" s="4"/>
      <c r="AT145" s="13"/>
      <c r="AU145" s="13"/>
      <c r="AV145" s="13"/>
      <c r="AW145" s="13"/>
      <c r="AX145" s="4"/>
      <c r="AY145" s="13"/>
      <c r="AZ145" s="13"/>
      <c r="BA145" s="13"/>
      <c r="BB145" s="13"/>
      <c r="BC145" s="4"/>
      <c r="BD145" s="4"/>
      <c r="BE145" s="4"/>
      <c r="BF145" s="13"/>
      <c r="BG145" s="4"/>
      <c r="BH145" s="13"/>
      <c r="BI145" s="13"/>
      <c r="BJ145" s="4"/>
      <c r="BK145" s="14">
        <v>11</v>
      </c>
      <c r="BL145" s="14">
        <v>11</v>
      </c>
      <c r="BM145" s="14">
        <v>11</v>
      </c>
      <c r="BP145" s="15"/>
      <c r="BQ145" s="15"/>
      <c r="BR145" s="2" t="s">
        <v>115</v>
      </c>
      <c r="BS145" s="2" t="s">
        <v>115</v>
      </c>
      <c r="BT145" s="7" t="s">
        <v>98</v>
      </c>
      <c r="BU145" s="7"/>
      <c r="BV145" s="9" t="s">
        <v>98</v>
      </c>
      <c r="BW145" s="9"/>
    </row>
    <row r="146" spans="1:75" ht="14.25" customHeight="1" x14ac:dyDescent="0.25">
      <c r="A146" s="1">
        <v>302</v>
      </c>
      <c r="B146" s="1" t="s">
        <v>889</v>
      </c>
      <c r="C146" s="1" t="s">
        <v>890</v>
      </c>
      <c r="D146" s="1" t="s">
        <v>77</v>
      </c>
      <c r="E146" s="1" t="s">
        <v>827</v>
      </c>
      <c r="F146" s="1" t="s">
        <v>854</v>
      </c>
      <c r="G146" s="1" t="s">
        <v>118</v>
      </c>
      <c r="H146" s="2">
        <v>0</v>
      </c>
      <c r="I146" s="2">
        <v>0</v>
      </c>
      <c r="J146" s="2">
        <v>0</v>
      </c>
      <c r="K146" s="2">
        <v>1</v>
      </c>
      <c r="L146" s="3" t="s">
        <v>80</v>
      </c>
      <c r="O146" s="4">
        <v>2</v>
      </c>
      <c r="P146" s="4" t="s">
        <v>81</v>
      </c>
      <c r="Q146" s="4"/>
      <c r="R146" s="5"/>
      <c r="S146" s="6"/>
      <c r="T146" s="17"/>
      <c r="U146" s="6"/>
      <c r="V146" s="4"/>
      <c r="W146" s="4"/>
      <c r="X146" s="4"/>
      <c r="Y146" s="7">
        <v>1</v>
      </c>
      <c r="Z146" s="8">
        <v>9849233</v>
      </c>
      <c r="AA146" s="7" t="s">
        <v>82</v>
      </c>
      <c r="AB146" s="7"/>
      <c r="AC146" s="9">
        <v>1</v>
      </c>
      <c r="AD146" s="10">
        <v>9849233</v>
      </c>
      <c r="AE146" s="9" t="s">
        <v>82</v>
      </c>
      <c r="AF146" s="9"/>
      <c r="AG146" s="11">
        <v>2</v>
      </c>
      <c r="AH146" s="11" t="s">
        <v>83</v>
      </c>
      <c r="AI146" s="11"/>
      <c r="AJ146" s="11"/>
      <c r="AK146" s="11"/>
      <c r="AL146" s="12">
        <v>2</v>
      </c>
      <c r="AM146" s="12" t="s">
        <v>83</v>
      </c>
      <c r="AN146" s="12"/>
      <c r="AO146" s="12"/>
      <c r="AP146" s="12"/>
      <c r="AQ146" s="4">
        <v>2</v>
      </c>
      <c r="AR146" s="4" t="s">
        <v>83</v>
      </c>
      <c r="AS146" s="4"/>
      <c r="AT146" s="13"/>
      <c r="AU146" s="13"/>
      <c r="AV146" s="13"/>
      <c r="AW146" s="13"/>
      <c r="AX146" s="4"/>
      <c r="AY146" s="13"/>
      <c r="AZ146" s="13"/>
      <c r="BA146" s="13"/>
      <c r="BB146" s="13"/>
      <c r="BC146" s="4"/>
      <c r="BD146" s="4"/>
      <c r="BE146" s="4"/>
      <c r="BF146" s="13"/>
      <c r="BG146" s="4"/>
      <c r="BH146" s="13"/>
      <c r="BI146" s="13"/>
      <c r="BJ146" s="4"/>
      <c r="BK146" s="14">
        <v>7</v>
      </c>
      <c r="BL146" s="14">
        <v>7</v>
      </c>
      <c r="BM146" s="14">
        <v>7</v>
      </c>
      <c r="BP146" s="15"/>
      <c r="BQ146" s="15"/>
      <c r="BR146" s="2" t="s">
        <v>740</v>
      </c>
      <c r="BS146" s="2" t="s">
        <v>740</v>
      </c>
      <c r="BT146" s="7" t="s">
        <v>458</v>
      </c>
      <c r="BU146" s="7"/>
      <c r="BV146" s="9" t="s">
        <v>458</v>
      </c>
      <c r="BW146" s="9"/>
    </row>
    <row r="147" spans="1:75" ht="14.25" customHeight="1" x14ac:dyDescent="0.25">
      <c r="A147" s="1">
        <v>303</v>
      </c>
      <c r="B147" s="1" t="s">
        <v>891</v>
      </c>
      <c r="C147" s="1" t="s">
        <v>892</v>
      </c>
      <c r="D147" s="1" t="s">
        <v>77</v>
      </c>
      <c r="E147" s="1" t="s">
        <v>827</v>
      </c>
      <c r="F147" s="1" t="s">
        <v>854</v>
      </c>
      <c r="G147" s="1" t="s">
        <v>118</v>
      </c>
      <c r="H147" s="2">
        <v>0</v>
      </c>
      <c r="I147" s="2">
        <v>0</v>
      </c>
      <c r="J147" s="2">
        <v>0</v>
      </c>
      <c r="K147" s="2">
        <v>1</v>
      </c>
      <c r="L147" s="3" t="s">
        <v>80</v>
      </c>
      <c r="O147" s="4">
        <v>5</v>
      </c>
      <c r="P147" s="4" t="s">
        <v>81</v>
      </c>
      <c r="Q147" s="4"/>
      <c r="R147" s="5"/>
      <c r="S147" s="6"/>
      <c r="T147" s="17"/>
      <c r="U147" s="6"/>
      <c r="V147" s="4"/>
      <c r="W147" s="4"/>
      <c r="X147" s="4"/>
      <c r="Y147" s="7">
        <v>5</v>
      </c>
      <c r="Z147" s="8">
        <v>30184</v>
      </c>
      <c r="AA147" s="7" t="s">
        <v>82</v>
      </c>
      <c r="AB147" s="7"/>
      <c r="AC147" s="9">
        <v>5</v>
      </c>
      <c r="AD147" s="10">
        <v>30184</v>
      </c>
      <c r="AE147" s="9" t="s">
        <v>82</v>
      </c>
      <c r="AF147" s="9"/>
      <c r="AG147" s="11">
        <v>2</v>
      </c>
      <c r="AH147" s="11" t="s">
        <v>83</v>
      </c>
      <c r="AI147" s="11"/>
      <c r="AJ147" s="11"/>
      <c r="AK147" s="11"/>
      <c r="AL147" s="12">
        <v>2</v>
      </c>
      <c r="AM147" s="12" t="s">
        <v>83</v>
      </c>
      <c r="AN147" s="12"/>
      <c r="AO147" s="12"/>
      <c r="AP147" s="12"/>
      <c r="AQ147" s="4">
        <v>2</v>
      </c>
      <c r="AR147" s="4" t="s">
        <v>83</v>
      </c>
      <c r="AS147" s="4"/>
      <c r="AT147" s="13"/>
      <c r="AU147" s="13"/>
      <c r="AV147" s="13"/>
      <c r="AW147" s="13"/>
      <c r="AX147" s="4"/>
      <c r="AY147" s="13"/>
      <c r="AZ147" s="13"/>
      <c r="BA147" s="13"/>
      <c r="BB147" s="13"/>
      <c r="BC147" s="4"/>
      <c r="BD147" s="4"/>
      <c r="BE147" s="4"/>
      <c r="BF147" s="13"/>
      <c r="BG147" s="4"/>
      <c r="BH147" s="13"/>
      <c r="BI147" s="13"/>
      <c r="BJ147" s="4"/>
      <c r="BK147" s="14">
        <v>14</v>
      </c>
      <c r="BL147" s="14">
        <v>14</v>
      </c>
      <c r="BM147" s="14">
        <v>14</v>
      </c>
      <c r="BN147" s="3" t="s">
        <v>86</v>
      </c>
      <c r="BP147" s="15"/>
      <c r="BQ147" s="15"/>
      <c r="BR147" s="2" t="s">
        <v>108</v>
      </c>
      <c r="BS147" s="2" t="s">
        <v>108</v>
      </c>
      <c r="BT147" s="7" t="s">
        <v>458</v>
      </c>
      <c r="BU147" s="7"/>
      <c r="BV147" s="9" t="s">
        <v>458</v>
      </c>
      <c r="BW147" s="9"/>
    </row>
    <row r="148" spans="1:75" ht="14.25" customHeight="1" x14ac:dyDescent="0.25">
      <c r="A148" s="1">
        <v>310</v>
      </c>
      <c r="B148" s="1" t="s">
        <v>893</v>
      </c>
      <c r="C148" s="1" t="s">
        <v>894</v>
      </c>
      <c r="D148" s="1" t="s">
        <v>77</v>
      </c>
      <c r="E148" s="1" t="s">
        <v>827</v>
      </c>
      <c r="F148" s="1" t="s">
        <v>854</v>
      </c>
      <c r="G148" s="1" t="s">
        <v>118</v>
      </c>
      <c r="H148" s="2">
        <v>0</v>
      </c>
      <c r="I148" s="2">
        <v>0</v>
      </c>
      <c r="J148" s="2">
        <v>0</v>
      </c>
      <c r="K148" s="2">
        <v>1</v>
      </c>
      <c r="L148" s="3" t="s">
        <v>80</v>
      </c>
      <c r="O148" s="4">
        <v>4</v>
      </c>
      <c r="P148" s="4" t="s">
        <v>81</v>
      </c>
      <c r="Q148" s="4"/>
      <c r="R148" s="5"/>
      <c r="S148" s="6"/>
      <c r="T148" s="17"/>
      <c r="U148" s="6"/>
      <c r="V148" s="4"/>
      <c r="W148" s="4"/>
      <c r="X148" s="4"/>
      <c r="Y148" s="7">
        <v>4</v>
      </c>
      <c r="Z148" s="8">
        <v>132274</v>
      </c>
      <c r="AA148" s="7" t="s">
        <v>82</v>
      </c>
      <c r="AB148" s="7"/>
      <c r="AC148" s="9">
        <v>4</v>
      </c>
      <c r="AD148" s="10">
        <v>132274</v>
      </c>
      <c r="AE148" s="9" t="s">
        <v>82</v>
      </c>
      <c r="AF148" s="9"/>
      <c r="AG148" s="11">
        <v>3</v>
      </c>
      <c r="AH148" s="11" t="s">
        <v>83</v>
      </c>
      <c r="AI148" s="11"/>
      <c r="AJ148" s="11"/>
      <c r="AK148" s="11"/>
      <c r="AL148" s="12">
        <v>3</v>
      </c>
      <c r="AM148" s="12" t="s">
        <v>83</v>
      </c>
      <c r="AN148" s="12"/>
      <c r="AO148" s="12"/>
      <c r="AP148" s="12"/>
      <c r="AQ148" s="4">
        <v>4</v>
      </c>
      <c r="AR148" s="4" t="s">
        <v>83</v>
      </c>
      <c r="AS148" s="4"/>
      <c r="AT148" s="13"/>
      <c r="AU148" s="13"/>
      <c r="AV148" s="13"/>
      <c r="AW148" s="13"/>
      <c r="AX148" s="4"/>
      <c r="AY148" s="13"/>
      <c r="AZ148" s="13"/>
      <c r="BA148" s="13"/>
      <c r="BB148" s="13"/>
      <c r="BC148" s="4"/>
      <c r="BD148" s="4"/>
      <c r="BE148" s="4"/>
      <c r="BF148" s="13"/>
      <c r="BG148" s="4"/>
      <c r="BH148" s="13"/>
      <c r="BI148" s="13"/>
      <c r="BJ148" s="4"/>
      <c r="BK148" s="14">
        <v>15</v>
      </c>
      <c r="BL148" s="14">
        <v>15</v>
      </c>
      <c r="BM148" s="14">
        <v>15</v>
      </c>
      <c r="BN148" s="3" t="s">
        <v>86</v>
      </c>
      <c r="BP148" s="15"/>
      <c r="BQ148" s="15"/>
      <c r="BR148" s="2" t="s">
        <v>87</v>
      </c>
      <c r="BS148" s="2" t="s">
        <v>87</v>
      </c>
      <c r="BT148" s="7" t="s">
        <v>88</v>
      </c>
      <c r="BU148" s="7"/>
      <c r="BV148" s="9" t="s">
        <v>88</v>
      </c>
      <c r="BW148" s="9"/>
    </row>
    <row r="149" spans="1:75" ht="14.25" customHeight="1" x14ac:dyDescent="0.25">
      <c r="A149" s="1">
        <v>311</v>
      </c>
      <c r="B149" s="1" t="s">
        <v>895</v>
      </c>
      <c r="C149" s="1" t="s">
        <v>896</v>
      </c>
      <c r="D149" s="1" t="s">
        <v>77</v>
      </c>
      <c r="E149" s="1" t="s">
        <v>827</v>
      </c>
      <c r="F149" s="1" t="s">
        <v>854</v>
      </c>
      <c r="G149" s="1" t="s">
        <v>118</v>
      </c>
      <c r="H149" s="2">
        <v>0</v>
      </c>
      <c r="I149" s="2">
        <v>0</v>
      </c>
      <c r="J149" s="2">
        <v>1</v>
      </c>
      <c r="K149" s="2">
        <v>0</v>
      </c>
      <c r="L149" s="3" t="s">
        <v>80</v>
      </c>
      <c r="O149" s="4">
        <v>5</v>
      </c>
      <c r="P149" s="4" t="s">
        <v>112</v>
      </c>
      <c r="Q149" s="4"/>
      <c r="R149" s="5"/>
      <c r="S149" s="6"/>
      <c r="T149" s="17"/>
      <c r="U149" s="6"/>
      <c r="V149" s="4"/>
      <c r="W149" s="4"/>
      <c r="X149" s="4"/>
      <c r="Y149" s="7">
        <v>5</v>
      </c>
      <c r="Z149" s="8">
        <v>10744</v>
      </c>
      <c r="AA149" s="7" t="s">
        <v>92</v>
      </c>
      <c r="AB149" s="7"/>
      <c r="AC149" s="9">
        <v>5</v>
      </c>
      <c r="AD149" s="10">
        <v>10744</v>
      </c>
      <c r="AE149" s="9" t="s">
        <v>92</v>
      </c>
      <c r="AF149" s="9"/>
      <c r="AG149" s="11">
        <v>5</v>
      </c>
      <c r="AH149" s="11" t="s">
        <v>93</v>
      </c>
      <c r="AI149" s="11"/>
      <c r="AJ149" s="11"/>
      <c r="AK149" s="11"/>
      <c r="AL149" s="12">
        <v>5</v>
      </c>
      <c r="AM149" s="12" t="s">
        <v>93</v>
      </c>
      <c r="AN149" s="12" t="s">
        <v>897</v>
      </c>
      <c r="AO149" s="12"/>
      <c r="AP149" s="12"/>
      <c r="AQ149" s="4">
        <v>4</v>
      </c>
      <c r="AR149" s="4" t="s">
        <v>441</v>
      </c>
      <c r="AS149" s="4" t="s">
        <v>898</v>
      </c>
      <c r="AT149" s="13"/>
      <c r="AU149" s="13"/>
      <c r="AV149" s="13"/>
      <c r="AW149" s="13"/>
      <c r="AX149" s="4"/>
      <c r="AY149" s="13"/>
      <c r="AZ149" s="13"/>
      <c r="BA149" s="13"/>
      <c r="BB149" s="13"/>
      <c r="BC149" s="4"/>
      <c r="BD149" s="4"/>
      <c r="BE149" s="4"/>
      <c r="BF149" s="13"/>
      <c r="BG149" s="4"/>
      <c r="BH149" s="13"/>
      <c r="BI149" s="13"/>
      <c r="BJ149" s="4"/>
      <c r="BK149" s="14">
        <v>19</v>
      </c>
      <c r="BL149" s="14">
        <v>19</v>
      </c>
      <c r="BM149" s="14">
        <v>19</v>
      </c>
      <c r="BN149" s="3" t="s">
        <v>312</v>
      </c>
      <c r="BO149" s="3" t="s">
        <v>899</v>
      </c>
      <c r="BP149" s="15"/>
      <c r="BQ149" s="15"/>
      <c r="BR149" s="2" t="s">
        <v>108</v>
      </c>
      <c r="BS149" s="2" t="s">
        <v>108</v>
      </c>
      <c r="BT149" s="7" t="s">
        <v>98</v>
      </c>
      <c r="BU149" s="7"/>
      <c r="BV149" s="9" t="s">
        <v>98</v>
      </c>
      <c r="BW149" s="9"/>
    </row>
    <row r="150" spans="1:75" ht="14.25" customHeight="1" x14ac:dyDescent="0.25">
      <c r="A150" s="1">
        <v>312</v>
      </c>
      <c r="B150" s="1" t="s">
        <v>900</v>
      </c>
      <c r="C150" s="1" t="s">
        <v>901</v>
      </c>
      <c r="D150" s="1" t="s">
        <v>77</v>
      </c>
      <c r="E150" s="1" t="s">
        <v>827</v>
      </c>
      <c r="F150" s="1" t="s">
        <v>854</v>
      </c>
      <c r="G150" s="1"/>
      <c r="H150" s="2">
        <v>0</v>
      </c>
      <c r="I150" s="2">
        <v>0</v>
      </c>
      <c r="J150" s="2">
        <v>0</v>
      </c>
      <c r="K150" s="2">
        <v>1</v>
      </c>
      <c r="L150" s="3" t="s">
        <v>80</v>
      </c>
      <c r="O150" s="4">
        <v>4</v>
      </c>
      <c r="P150" s="4" t="s">
        <v>81</v>
      </c>
      <c r="Q150" s="4" t="s">
        <v>902</v>
      </c>
      <c r="R150" s="5"/>
      <c r="S150" s="6"/>
      <c r="T150" s="17"/>
      <c r="U150" s="6"/>
      <c r="V150" s="4"/>
      <c r="W150" s="4"/>
      <c r="X150" s="4"/>
      <c r="Y150" s="7">
        <v>4</v>
      </c>
      <c r="Z150" s="8">
        <v>186898</v>
      </c>
      <c r="AA150" s="7" t="s">
        <v>82</v>
      </c>
      <c r="AB150" s="7"/>
      <c r="AC150" s="9">
        <v>4</v>
      </c>
      <c r="AD150" s="10">
        <v>186898</v>
      </c>
      <c r="AE150" s="9" t="s">
        <v>82</v>
      </c>
      <c r="AF150" s="9"/>
      <c r="AG150" s="11">
        <v>3</v>
      </c>
      <c r="AH150" s="11" t="s">
        <v>83</v>
      </c>
      <c r="AI150" s="11"/>
      <c r="AJ150" s="11"/>
      <c r="AK150" s="11"/>
      <c r="AL150" s="12">
        <v>3</v>
      </c>
      <c r="AM150" s="12" t="s">
        <v>83</v>
      </c>
      <c r="AN150" s="12"/>
      <c r="AO150" s="12"/>
      <c r="AP150" s="12"/>
      <c r="AQ150" s="4">
        <v>4</v>
      </c>
      <c r="AR150" s="4" t="s">
        <v>83</v>
      </c>
      <c r="AS150" s="4"/>
      <c r="AT150" s="13"/>
      <c r="AU150" s="13"/>
      <c r="AV150" s="13"/>
      <c r="AW150" s="13"/>
      <c r="AX150" s="4"/>
      <c r="AY150" s="13"/>
      <c r="AZ150" s="13"/>
      <c r="BA150" s="13"/>
      <c r="BB150" s="13"/>
      <c r="BC150" s="4"/>
      <c r="BD150" s="4"/>
      <c r="BE150" s="4"/>
      <c r="BF150" s="13"/>
      <c r="BG150" s="4"/>
      <c r="BH150" s="13"/>
      <c r="BI150" s="13"/>
      <c r="BJ150" s="4"/>
      <c r="BK150" s="14">
        <v>15</v>
      </c>
      <c r="BL150" s="14">
        <v>15</v>
      </c>
      <c r="BM150" s="14">
        <v>15</v>
      </c>
      <c r="BN150" s="3" t="s">
        <v>86</v>
      </c>
      <c r="BP150" s="15"/>
      <c r="BQ150" s="15"/>
      <c r="BR150" s="2" t="s">
        <v>87</v>
      </c>
      <c r="BS150" s="2" t="s">
        <v>87</v>
      </c>
      <c r="BT150" s="7" t="s">
        <v>98</v>
      </c>
      <c r="BU150" s="7"/>
      <c r="BV150" s="9" t="s">
        <v>98</v>
      </c>
      <c r="BW150" s="9"/>
    </row>
    <row r="151" spans="1:75" ht="14.25" customHeight="1" x14ac:dyDescent="0.25">
      <c r="A151" s="1">
        <v>346</v>
      </c>
      <c r="B151" s="1" t="s">
        <v>903</v>
      </c>
      <c r="C151" s="1" t="s">
        <v>904</v>
      </c>
      <c r="D151" s="1" t="s">
        <v>77</v>
      </c>
      <c r="E151" s="1" t="s">
        <v>827</v>
      </c>
      <c r="F151" s="1" t="s">
        <v>854</v>
      </c>
      <c r="G151" s="1" t="s">
        <v>118</v>
      </c>
      <c r="H151" s="2">
        <v>1</v>
      </c>
      <c r="I151" s="2">
        <v>1</v>
      </c>
      <c r="J151" s="2">
        <v>1</v>
      </c>
      <c r="K151" s="2">
        <v>0</v>
      </c>
      <c r="L151" s="3" t="s">
        <v>127</v>
      </c>
      <c r="O151" s="4">
        <v>2</v>
      </c>
      <c r="P151" s="4" t="s">
        <v>424</v>
      </c>
      <c r="Q151" s="4"/>
      <c r="R151" s="16">
        <v>22000000</v>
      </c>
      <c r="S151" s="6">
        <v>22000000</v>
      </c>
      <c r="T151" s="16">
        <v>22000000</v>
      </c>
      <c r="U151" s="6">
        <v>22000000</v>
      </c>
      <c r="V151" s="4">
        <v>2010.5</v>
      </c>
      <c r="W151" s="4" t="s">
        <v>425</v>
      </c>
      <c r="X151" s="4"/>
      <c r="Y151" s="7">
        <v>2</v>
      </c>
      <c r="Z151" s="8">
        <v>1520851</v>
      </c>
      <c r="AA151" s="7" t="s">
        <v>92</v>
      </c>
      <c r="AB151" s="7"/>
      <c r="AC151" s="9">
        <v>4</v>
      </c>
      <c r="AD151" s="10">
        <v>232723</v>
      </c>
      <c r="AE151" s="9" t="s">
        <v>92</v>
      </c>
      <c r="AF151" s="9"/>
      <c r="AG151" s="11">
        <v>4</v>
      </c>
      <c r="AH151" s="11" t="s">
        <v>905</v>
      </c>
      <c r="AI151" s="11" t="s">
        <v>906</v>
      </c>
      <c r="AJ151" s="11">
        <v>4</v>
      </c>
      <c r="AK151" s="11" t="s">
        <v>332</v>
      </c>
      <c r="AL151" s="12">
        <v>3</v>
      </c>
      <c r="AM151" s="12" t="s">
        <v>131</v>
      </c>
      <c r="AN151" s="12" t="s">
        <v>907</v>
      </c>
      <c r="AO151" s="12">
        <v>3</v>
      </c>
      <c r="AP151" s="12" t="s">
        <v>132</v>
      </c>
      <c r="AQ151" s="4">
        <v>5</v>
      </c>
      <c r="AR151" s="4" t="s">
        <v>133</v>
      </c>
      <c r="AS151" s="4"/>
      <c r="AT151" s="13">
        <v>-68.735244750976605</v>
      </c>
      <c r="AU151" s="13">
        <v>-2.2532556056976301</v>
      </c>
      <c r="AV151" s="13">
        <v>-2.6600000858306898</v>
      </c>
      <c r="AW151" s="13">
        <v>-1.7799999713897701</v>
      </c>
      <c r="AX151" s="4">
        <v>1</v>
      </c>
      <c r="AY151" s="13">
        <v>-27.902675628662099</v>
      </c>
      <c r="AZ151" s="13">
        <v>-3.2203636169433598</v>
      </c>
      <c r="BA151" s="13">
        <v>-5.46000003814697</v>
      </c>
      <c r="BB151" s="13">
        <v>-1.8449009656906099</v>
      </c>
      <c r="BC151" s="4">
        <v>1</v>
      </c>
      <c r="BD151" s="4">
        <v>10</v>
      </c>
      <c r="BE151" s="4" t="s">
        <v>134</v>
      </c>
      <c r="BF151" s="13">
        <v>0.87999999523162797</v>
      </c>
      <c r="BG151" s="4">
        <v>411</v>
      </c>
      <c r="BH151" s="13">
        <v>1.28999996185303</v>
      </c>
      <c r="BI151" s="13">
        <v>530.10998535156295</v>
      </c>
      <c r="BJ151" s="4">
        <v>21</v>
      </c>
      <c r="BK151" s="14">
        <v>13</v>
      </c>
      <c r="BL151" s="14">
        <v>14</v>
      </c>
      <c r="BM151" s="14">
        <v>14</v>
      </c>
      <c r="BN151" s="3" t="s">
        <v>375</v>
      </c>
      <c r="BO151" s="3" t="s">
        <v>120</v>
      </c>
      <c r="BP151" s="15"/>
      <c r="BQ151" s="15"/>
      <c r="BR151" s="2" t="s">
        <v>162</v>
      </c>
      <c r="BS151" s="2" t="s">
        <v>409</v>
      </c>
      <c r="BT151" s="7" t="s">
        <v>428</v>
      </c>
      <c r="BU151" s="7"/>
      <c r="BV151" s="9" t="s">
        <v>438</v>
      </c>
      <c r="BW151" s="9" t="s">
        <v>437</v>
      </c>
    </row>
    <row r="152" spans="1:75" ht="14.25" customHeight="1" x14ac:dyDescent="0.25">
      <c r="A152" s="1">
        <v>347</v>
      </c>
      <c r="B152" s="1" t="s">
        <v>908</v>
      </c>
      <c r="C152" s="1" t="s">
        <v>909</v>
      </c>
      <c r="D152" s="1" t="s">
        <v>77</v>
      </c>
      <c r="E152" s="1" t="s">
        <v>827</v>
      </c>
      <c r="F152" s="1" t="s">
        <v>854</v>
      </c>
      <c r="G152" s="1"/>
      <c r="H152" s="2">
        <v>0</v>
      </c>
      <c r="I152" s="2">
        <v>1</v>
      </c>
      <c r="J152" s="2">
        <v>1</v>
      </c>
      <c r="K152" s="2">
        <v>0</v>
      </c>
      <c r="L152" s="3" t="s">
        <v>127</v>
      </c>
      <c r="O152" s="4">
        <v>3</v>
      </c>
      <c r="P152" s="4" t="s">
        <v>424</v>
      </c>
      <c r="Q152" s="4"/>
      <c r="R152" s="16">
        <v>1500000</v>
      </c>
      <c r="S152" s="6">
        <v>1500000</v>
      </c>
      <c r="T152" s="16">
        <v>1500000</v>
      </c>
      <c r="U152" s="6">
        <v>1500000</v>
      </c>
      <c r="V152" s="4">
        <v>2010.5</v>
      </c>
      <c r="W152" s="4" t="s">
        <v>425</v>
      </c>
      <c r="X152" s="4"/>
      <c r="Y152" s="7">
        <v>5</v>
      </c>
      <c r="Z152" s="8">
        <v>31371</v>
      </c>
      <c r="AA152" s="7" t="s">
        <v>92</v>
      </c>
      <c r="AB152" s="7"/>
      <c r="AC152" s="9">
        <v>5</v>
      </c>
      <c r="AD152" s="10">
        <v>42461</v>
      </c>
      <c r="AE152" s="9" t="s">
        <v>92</v>
      </c>
      <c r="AF152" s="9"/>
      <c r="AG152" s="11">
        <v>4</v>
      </c>
      <c r="AH152" s="11" t="s">
        <v>131</v>
      </c>
      <c r="AI152" s="11" t="s">
        <v>910</v>
      </c>
      <c r="AJ152" s="11">
        <v>4</v>
      </c>
      <c r="AK152" s="11" t="s">
        <v>143</v>
      </c>
      <c r="AL152" s="12">
        <v>4</v>
      </c>
      <c r="AM152" s="12" t="s">
        <v>131</v>
      </c>
      <c r="AN152" s="12" t="s">
        <v>911</v>
      </c>
      <c r="AO152" s="12">
        <v>4</v>
      </c>
      <c r="AP152" s="12" t="s">
        <v>143</v>
      </c>
      <c r="AQ152" s="4">
        <v>5</v>
      </c>
      <c r="AR152" s="4" t="s">
        <v>133</v>
      </c>
      <c r="AS152" s="4"/>
      <c r="AT152" s="13">
        <v>-80.956031799316406</v>
      </c>
      <c r="AU152" s="13">
        <v>-3.1966197490692099</v>
      </c>
      <c r="AV152" s="13">
        <v>-4.5211968421936</v>
      </c>
      <c r="AW152" s="13">
        <v>-1.7599999904632599</v>
      </c>
      <c r="AX152" s="4">
        <v>1</v>
      </c>
      <c r="AY152" s="13">
        <v>-24.334856033325199</v>
      </c>
      <c r="AZ152" s="13">
        <v>-2.7504317760467498</v>
      </c>
      <c r="BA152" s="13">
        <v>-7.3466010093689</v>
      </c>
      <c r="BB152" s="13">
        <v>1.3600000143051101</v>
      </c>
      <c r="BC152" s="4"/>
      <c r="BD152" s="4">
        <v>10</v>
      </c>
      <c r="BE152" s="4" t="s">
        <v>134</v>
      </c>
      <c r="BF152" s="13">
        <v>2.7611970901489298</v>
      </c>
      <c r="BG152" s="4">
        <v>59.5</v>
      </c>
      <c r="BH152" s="13">
        <v>1.28149998188019</v>
      </c>
      <c r="BI152" s="13">
        <v>76.050003051757798</v>
      </c>
      <c r="BJ152" s="4"/>
      <c r="BK152" s="14">
        <v>17</v>
      </c>
      <c r="BL152" s="14">
        <v>17</v>
      </c>
      <c r="BM152" s="14">
        <v>17</v>
      </c>
      <c r="BN152" s="3" t="s">
        <v>312</v>
      </c>
      <c r="BP152" s="15" t="s">
        <v>135</v>
      </c>
      <c r="BQ152" s="15"/>
      <c r="BR152" s="2" t="s">
        <v>162</v>
      </c>
      <c r="BS152" s="2" t="s">
        <v>409</v>
      </c>
      <c r="BT152" s="7" t="s">
        <v>429</v>
      </c>
      <c r="BU152" s="7"/>
      <c r="BV152" s="9" t="s">
        <v>438</v>
      </c>
      <c r="BW152" s="9" t="s">
        <v>429</v>
      </c>
    </row>
    <row r="153" spans="1:75" ht="14.25" customHeight="1" x14ac:dyDescent="0.25">
      <c r="A153" s="1">
        <v>348</v>
      </c>
      <c r="B153" s="1" t="s">
        <v>912</v>
      </c>
      <c r="C153" s="1" t="s">
        <v>913</v>
      </c>
      <c r="D153" s="1" t="s">
        <v>77</v>
      </c>
      <c r="E153" s="1" t="s">
        <v>827</v>
      </c>
      <c r="F153" s="1" t="s">
        <v>854</v>
      </c>
      <c r="G153" s="1" t="s">
        <v>118</v>
      </c>
      <c r="H153" s="2">
        <v>0</v>
      </c>
      <c r="I153" s="2">
        <v>1</v>
      </c>
      <c r="J153" s="2">
        <v>1</v>
      </c>
      <c r="K153" s="2">
        <v>1</v>
      </c>
      <c r="L153" s="3" t="s">
        <v>127</v>
      </c>
      <c r="O153" s="4">
        <v>2</v>
      </c>
      <c r="P153" s="4" t="s">
        <v>424</v>
      </c>
      <c r="Q153" s="4"/>
      <c r="R153" s="16">
        <v>9800000</v>
      </c>
      <c r="S153" s="6">
        <v>9800000</v>
      </c>
      <c r="T153" s="16">
        <v>8800000</v>
      </c>
      <c r="U153" s="6">
        <v>8800000</v>
      </c>
      <c r="V153" s="4">
        <v>2010.5</v>
      </c>
      <c r="W153" s="4" t="s">
        <v>425</v>
      </c>
      <c r="X153" s="4"/>
      <c r="Y153" s="7">
        <v>2</v>
      </c>
      <c r="Z153" s="8">
        <v>2012500</v>
      </c>
      <c r="AA153" s="7" t="s">
        <v>537</v>
      </c>
      <c r="AB153" s="7" t="s">
        <v>914</v>
      </c>
      <c r="AC153" s="9">
        <v>4</v>
      </c>
      <c r="AD153" s="10">
        <v>259689</v>
      </c>
      <c r="AE153" s="9" t="s">
        <v>92</v>
      </c>
      <c r="AF153" s="9" t="s">
        <v>915</v>
      </c>
      <c r="AG153" s="11">
        <v>4</v>
      </c>
      <c r="AH153" s="11" t="s">
        <v>518</v>
      </c>
      <c r="AI153" s="11" t="s">
        <v>916</v>
      </c>
      <c r="AJ153" s="11">
        <v>4</v>
      </c>
      <c r="AK153" s="11" t="s">
        <v>143</v>
      </c>
      <c r="AL153" s="12">
        <v>3</v>
      </c>
      <c r="AM153" s="12" t="s">
        <v>131</v>
      </c>
      <c r="AN153" s="12"/>
      <c r="AO153" s="12">
        <v>3</v>
      </c>
      <c r="AP153" s="12" t="s">
        <v>132</v>
      </c>
      <c r="AQ153" s="4">
        <v>4</v>
      </c>
      <c r="AR153" s="4" t="s">
        <v>133</v>
      </c>
      <c r="AS153" s="4"/>
      <c r="AT153" s="13">
        <v>-38.569622039794901</v>
      </c>
      <c r="AU153" s="13">
        <v>-0.95103144645690896</v>
      </c>
      <c r="AV153" s="13">
        <v>-1.52099704742432</v>
      </c>
      <c r="AW153" s="13">
        <v>-0.29300001263618503</v>
      </c>
      <c r="AX153" s="4">
        <v>1</v>
      </c>
      <c r="AY153" s="13">
        <v>-24.180303573608398</v>
      </c>
      <c r="AZ153" s="13">
        <v>-2.7302653789520299</v>
      </c>
      <c r="BA153" s="13">
        <v>-3.6427021026611301</v>
      </c>
      <c r="BB153" s="13">
        <v>-1.5</v>
      </c>
      <c r="BC153" s="4">
        <v>1</v>
      </c>
      <c r="BD153" s="4">
        <v>10</v>
      </c>
      <c r="BE153" s="4" t="s">
        <v>134</v>
      </c>
      <c r="BF153" s="13">
        <v>1.2279969453811601</v>
      </c>
      <c r="BG153" s="4">
        <v>311</v>
      </c>
      <c r="BH153" s="13">
        <v>2.4749999046325701</v>
      </c>
      <c r="BI153" s="13">
        <v>772.02001953125</v>
      </c>
      <c r="BJ153" s="4">
        <v>25</v>
      </c>
      <c r="BK153" s="14">
        <v>12</v>
      </c>
      <c r="BL153" s="14">
        <v>13</v>
      </c>
      <c r="BM153" s="14">
        <v>13</v>
      </c>
      <c r="BN153" s="3" t="s">
        <v>917</v>
      </c>
      <c r="BP153" s="15" t="s">
        <v>135</v>
      </c>
      <c r="BQ153" s="15"/>
      <c r="BR153" s="2" t="s">
        <v>555</v>
      </c>
      <c r="BS153" s="2" t="s">
        <v>409</v>
      </c>
      <c r="BT153" s="7" t="s">
        <v>428</v>
      </c>
      <c r="BU153" s="7" t="s">
        <v>438</v>
      </c>
      <c r="BV153" s="9" t="s">
        <v>438</v>
      </c>
      <c r="BW153" s="9"/>
    </row>
    <row r="154" spans="1:75" ht="14.25" customHeight="1" x14ac:dyDescent="0.25">
      <c r="A154" s="1">
        <v>349</v>
      </c>
      <c r="B154" s="1" t="s">
        <v>918</v>
      </c>
      <c r="C154" s="1" t="s">
        <v>919</v>
      </c>
      <c r="D154" s="1" t="s">
        <v>77</v>
      </c>
      <c r="E154" s="1" t="s">
        <v>827</v>
      </c>
      <c r="F154" s="1" t="s">
        <v>854</v>
      </c>
      <c r="G154" s="1" t="s">
        <v>920</v>
      </c>
      <c r="H154" s="2">
        <v>0</v>
      </c>
      <c r="I154" s="2">
        <v>0</v>
      </c>
      <c r="J154" s="2">
        <v>1</v>
      </c>
      <c r="K154" s="2">
        <v>0</v>
      </c>
      <c r="L154" s="3" t="s">
        <v>80</v>
      </c>
      <c r="O154" s="4">
        <v>4</v>
      </c>
      <c r="P154" s="4" t="s">
        <v>112</v>
      </c>
      <c r="Q154" s="4"/>
      <c r="R154" s="5"/>
      <c r="S154" s="6"/>
      <c r="T154" s="17"/>
      <c r="U154" s="6"/>
      <c r="V154" s="4"/>
      <c r="W154" s="4"/>
      <c r="X154" s="4"/>
      <c r="Y154" s="7">
        <v>4</v>
      </c>
      <c r="Z154" s="8">
        <v>248267</v>
      </c>
      <c r="AA154" s="7" t="s">
        <v>92</v>
      </c>
      <c r="AB154" s="7"/>
      <c r="AC154" s="9">
        <v>4</v>
      </c>
      <c r="AD154" s="10">
        <v>248267</v>
      </c>
      <c r="AE154" s="9" t="s">
        <v>92</v>
      </c>
      <c r="AF154" s="9"/>
      <c r="AG154" s="11">
        <v>3</v>
      </c>
      <c r="AH154" s="11" t="s">
        <v>93</v>
      </c>
      <c r="AI154" s="11"/>
      <c r="AJ154" s="11"/>
      <c r="AK154" s="11"/>
      <c r="AL154" s="12">
        <v>3</v>
      </c>
      <c r="AM154" s="12" t="s">
        <v>93</v>
      </c>
      <c r="AN154" s="12" t="s">
        <v>698</v>
      </c>
      <c r="AO154" s="12"/>
      <c r="AP154" s="12"/>
      <c r="AQ154" s="4">
        <v>3</v>
      </c>
      <c r="AR154" s="4" t="s">
        <v>93</v>
      </c>
      <c r="AS154" s="4"/>
      <c r="AT154" s="13"/>
      <c r="AU154" s="13"/>
      <c r="AV154" s="13"/>
      <c r="AW154" s="13"/>
      <c r="AX154" s="4"/>
      <c r="AY154" s="13"/>
      <c r="AZ154" s="13"/>
      <c r="BA154" s="13"/>
      <c r="BB154" s="13"/>
      <c r="BC154" s="4"/>
      <c r="BD154" s="4"/>
      <c r="BE154" s="4"/>
      <c r="BF154" s="13"/>
      <c r="BG154" s="4"/>
      <c r="BH154" s="13"/>
      <c r="BI154" s="13"/>
      <c r="BJ154" s="4"/>
      <c r="BK154" s="14">
        <v>14</v>
      </c>
      <c r="BL154" s="14">
        <v>14</v>
      </c>
      <c r="BM154" s="14">
        <v>14</v>
      </c>
      <c r="BN154" s="3" t="s">
        <v>86</v>
      </c>
      <c r="BP154" s="15"/>
      <c r="BQ154" s="15"/>
      <c r="BR154" s="2" t="s">
        <v>409</v>
      </c>
      <c r="BS154" s="2" t="s">
        <v>409</v>
      </c>
      <c r="BT154" s="7" t="s">
        <v>438</v>
      </c>
      <c r="BU154" s="7" t="s">
        <v>437</v>
      </c>
      <c r="BV154" s="9" t="s">
        <v>438</v>
      </c>
      <c r="BW154" s="9" t="s">
        <v>437</v>
      </c>
    </row>
    <row r="155" spans="1:75" ht="14.25" customHeight="1" x14ac:dyDescent="0.25">
      <c r="A155" s="1">
        <v>350</v>
      </c>
      <c r="B155" s="1" t="s">
        <v>921</v>
      </c>
      <c r="C155" s="1" t="s">
        <v>922</v>
      </c>
      <c r="D155" s="1" t="s">
        <v>77</v>
      </c>
      <c r="E155" s="1" t="s">
        <v>827</v>
      </c>
      <c r="F155" s="1" t="s">
        <v>854</v>
      </c>
      <c r="G155" s="1" t="s">
        <v>920</v>
      </c>
      <c r="H155" s="2">
        <v>0</v>
      </c>
      <c r="I155" s="2">
        <v>0</v>
      </c>
      <c r="J155" s="2">
        <v>1</v>
      </c>
      <c r="K155" s="2">
        <v>1</v>
      </c>
      <c r="L155" s="3" t="s">
        <v>80</v>
      </c>
      <c r="O155" s="4">
        <v>5</v>
      </c>
      <c r="P155" s="4" t="s">
        <v>112</v>
      </c>
      <c r="Q155" s="4"/>
      <c r="R155" s="5"/>
      <c r="S155" s="6"/>
      <c r="T155" s="17"/>
      <c r="U155" s="6"/>
      <c r="V155" s="4"/>
      <c r="W155" s="4"/>
      <c r="X155" s="4"/>
      <c r="Y155" s="7">
        <v>4</v>
      </c>
      <c r="Z155" s="8">
        <v>95311</v>
      </c>
      <c r="AA155" s="7" t="s">
        <v>92</v>
      </c>
      <c r="AB155" s="7"/>
      <c r="AC155" s="9">
        <v>4</v>
      </c>
      <c r="AD155" s="10">
        <v>95311</v>
      </c>
      <c r="AE155" s="9" t="s">
        <v>92</v>
      </c>
      <c r="AF155" s="9"/>
      <c r="AG155" s="11">
        <v>4</v>
      </c>
      <c r="AH155" s="11" t="s">
        <v>93</v>
      </c>
      <c r="AI155" s="11"/>
      <c r="AJ155" s="11"/>
      <c r="AK155" s="11"/>
      <c r="AL155" s="12">
        <v>4</v>
      </c>
      <c r="AM155" s="12" t="s">
        <v>93</v>
      </c>
      <c r="AN155" s="12" t="s">
        <v>923</v>
      </c>
      <c r="AO155" s="12"/>
      <c r="AP155" s="12"/>
      <c r="AQ155" s="4">
        <v>4</v>
      </c>
      <c r="AR155" s="4" t="s">
        <v>83</v>
      </c>
      <c r="AS155" s="4"/>
      <c r="AT155" s="13"/>
      <c r="AU155" s="13"/>
      <c r="AV155" s="13"/>
      <c r="AW155" s="13"/>
      <c r="AX155" s="4"/>
      <c r="AY155" s="13"/>
      <c r="AZ155" s="13"/>
      <c r="BA155" s="13"/>
      <c r="BB155" s="13"/>
      <c r="BC155" s="4"/>
      <c r="BD155" s="4"/>
      <c r="BE155" s="4"/>
      <c r="BF155" s="13"/>
      <c r="BG155" s="4"/>
      <c r="BH155" s="13"/>
      <c r="BI155" s="13"/>
      <c r="BJ155" s="4"/>
      <c r="BK155" s="14">
        <v>17</v>
      </c>
      <c r="BL155" s="14">
        <v>17</v>
      </c>
      <c r="BM155" s="14">
        <v>17</v>
      </c>
      <c r="BN155" s="3" t="s">
        <v>312</v>
      </c>
      <c r="BP155" s="15"/>
      <c r="BQ155" s="15"/>
      <c r="BR155" s="2" t="s">
        <v>409</v>
      </c>
      <c r="BS155" s="2" t="s">
        <v>409</v>
      </c>
      <c r="BT155" s="7" t="s">
        <v>88</v>
      </c>
      <c r="BU155" s="7"/>
      <c r="BV155" s="9" t="s">
        <v>88</v>
      </c>
      <c r="BW155" s="9"/>
    </row>
    <row r="156" spans="1:75" ht="14.25" customHeight="1" x14ac:dyDescent="0.25">
      <c r="A156" s="1">
        <v>351</v>
      </c>
      <c r="B156" s="1" t="s">
        <v>924</v>
      </c>
      <c r="C156" s="1" t="s">
        <v>925</v>
      </c>
      <c r="D156" s="1" t="s">
        <v>77</v>
      </c>
      <c r="E156" s="1" t="s">
        <v>827</v>
      </c>
      <c r="F156" s="1" t="s">
        <v>854</v>
      </c>
      <c r="G156" s="1"/>
      <c r="H156" s="2">
        <v>0</v>
      </c>
      <c r="I156" s="2">
        <v>0</v>
      </c>
      <c r="J156" s="2">
        <v>0</v>
      </c>
      <c r="K156" s="2">
        <v>1</v>
      </c>
      <c r="L156" s="3" t="s">
        <v>80</v>
      </c>
      <c r="O156" s="4">
        <v>5</v>
      </c>
      <c r="P156" s="4" t="s">
        <v>81</v>
      </c>
      <c r="Q156" s="4"/>
      <c r="R156" s="5"/>
      <c r="S156" s="6"/>
      <c r="T156" s="17"/>
      <c r="U156" s="6"/>
      <c r="V156" s="4"/>
      <c r="W156" s="4"/>
      <c r="X156" s="4"/>
      <c r="Y156" s="7">
        <v>5</v>
      </c>
      <c r="Z156" s="8">
        <v>4620</v>
      </c>
      <c r="AA156" s="7" t="s">
        <v>82</v>
      </c>
      <c r="AB156" s="7"/>
      <c r="AC156" s="9">
        <v>5</v>
      </c>
      <c r="AD156" s="10">
        <v>4620</v>
      </c>
      <c r="AE156" s="9" t="s">
        <v>82</v>
      </c>
      <c r="AF156" s="9"/>
      <c r="AG156" s="11">
        <v>3</v>
      </c>
      <c r="AH156" s="11" t="s">
        <v>83</v>
      </c>
      <c r="AI156" s="11" t="s">
        <v>926</v>
      </c>
      <c r="AJ156" s="11"/>
      <c r="AK156" s="11"/>
      <c r="AL156" s="12">
        <v>3</v>
      </c>
      <c r="AM156" s="12" t="s">
        <v>83</v>
      </c>
      <c r="AN156" s="12"/>
      <c r="AO156" s="12"/>
      <c r="AP156" s="12"/>
      <c r="AQ156" s="4">
        <v>2</v>
      </c>
      <c r="AR156" s="4" t="s">
        <v>83</v>
      </c>
      <c r="AS156" s="4"/>
      <c r="AT156" s="13"/>
      <c r="AU156" s="13"/>
      <c r="AV156" s="13"/>
      <c r="AW156" s="13"/>
      <c r="AX156" s="4"/>
      <c r="AY156" s="13"/>
      <c r="AZ156" s="13"/>
      <c r="BA156" s="13"/>
      <c r="BB156" s="13"/>
      <c r="BC156" s="4"/>
      <c r="BD156" s="4"/>
      <c r="BE156" s="4"/>
      <c r="BF156" s="13"/>
      <c r="BG156" s="4"/>
      <c r="BH156" s="13"/>
      <c r="BI156" s="13"/>
      <c r="BJ156" s="4"/>
      <c r="BK156" s="14">
        <v>15</v>
      </c>
      <c r="BL156" s="14">
        <v>15</v>
      </c>
      <c r="BM156" s="14">
        <v>15</v>
      </c>
      <c r="BN156" s="3" t="s">
        <v>86</v>
      </c>
      <c r="BP156" s="15"/>
      <c r="BQ156" s="15"/>
      <c r="BR156" s="2" t="s">
        <v>87</v>
      </c>
      <c r="BS156" s="2" t="s">
        <v>87</v>
      </c>
      <c r="BT156" s="7" t="s">
        <v>927</v>
      </c>
      <c r="BU156" s="7"/>
      <c r="BV156" s="9" t="s">
        <v>927</v>
      </c>
      <c r="BW156" s="9"/>
    </row>
    <row r="157" spans="1:75" ht="14.25" customHeight="1" x14ac:dyDescent="0.25">
      <c r="A157" s="1">
        <v>352</v>
      </c>
      <c r="B157" s="1" t="s">
        <v>928</v>
      </c>
      <c r="C157" s="1" t="s">
        <v>929</v>
      </c>
      <c r="D157" s="1" t="s">
        <v>77</v>
      </c>
      <c r="E157" s="1" t="s">
        <v>827</v>
      </c>
      <c r="F157" s="1" t="s">
        <v>854</v>
      </c>
      <c r="G157" s="1" t="s">
        <v>118</v>
      </c>
      <c r="H157" s="2">
        <v>0</v>
      </c>
      <c r="I157" s="2">
        <v>0</v>
      </c>
      <c r="J157" s="2">
        <v>0</v>
      </c>
      <c r="K157" s="2">
        <v>1</v>
      </c>
      <c r="L157" s="3" t="s">
        <v>80</v>
      </c>
      <c r="O157" s="4">
        <v>5</v>
      </c>
      <c r="P157" s="4" t="s">
        <v>81</v>
      </c>
      <c r="Q157" s="4"/>
      <c r="R157" s="5"/>
      <c r="S157" s="6"/>
      <c r="T157" s="17"/>
      <c r="U157" s="6"/>
      <c r="V157" s="4"/>
      <c r="W157" s="4"/>
      <c r="X157" s="4"/>
      <c r="Y157" s="7">
        <v>5</v>
      </c>
      <c r="Z157" s="8">
        <v>9476</v>
      </c>
      <c r="AA157" s="7" t="s">
        <v>82</v>
      </c>
      <c r="AB157" s="7"/>
      <c r="AC157" s="9">
        <v>5</v>
      </c>
      <c r="AD157" s="10">
        <v>9476</v>
      </c>
      <c r="AE157" s="9" t="s">
        <v>82</v>
      </c>
      <c r="AF157" s="9"/>
      <c r="AG157" s="11">
        <v>3</v>
      </c>
      <c r="AH157" s="11" t="s">
        <v>83</v>
      </c>
      <c r="AI157" s="11"/>
      <c r="AJ157" s="11"/>
      <c r="AK157" s="11"/>
      <c r="AL157" s="12">
        <v>3</v>
      </c>
      <c r="AM157" s="12" t="s">
        <v>83</v>
      </c>
      <c r="AN157" s="12"/>
      <c r="AO157" s="12"/>
      <c r="AP157" s="12"/>
      <c r="AQ157" s="4">
        <v>4</v>
      </c>
      <c r="AR157" s="4" t="s">
        <v>83</v>
      </c>
      <c r="AS157" s="4"/>
      <c r="AT157" s="13"/>
      <c r="AU157" s="13"/>
      <c r="AV157" s="13"/>
      <c r="AW157" s="13"/>
      <c r="AX157" s="4"/>
      <c r="AY157" s="13"/>
      <c r="AZ157" s="13"/>
      <c r="BA157" s="13"/>
      <c r="BB157" s="13"/>
      <c r="BC157" s="4"/>
      <c r="BD157" s="4"/>
      <c r="BE157" s="4"/>
      <c r="BF157" s="13"/>
      <c r="BG157" s="4"/>
      <c r="BH157" s="13"/>
      <c r="BI157" s="13"/>
      <c r="BJ157" s="4"/>
      <c r="BK157" s="14">
        <v>17</v>
      </c>
      <c r="BL157" s="14">
        <v>17</v>
      </c>
      <c r="BM157" s="14">
        <v>17</v>
      </c>
      <c r="BN157" s="3" t="s">
        <v>312</v>
      </c>
      <c r="BP157" s="15"/>
      <c r="BQ157" s="15"/>
      <c r="BR157" s="2" t="s">
        <v>87</v>
      </c>
      <c r="BS157" s="2" t="s">
        <v>87</v>
      </c>
      <c r="BT157" s="7" t="s">
        <v>88</v>
      </c>
      <c r="BU157" s="7"/>
      <c r="BV157" s="9" t="s">
        <v>88</v>
      </c>
      <c r="BW157" s="9"/>
    </row>
    <row r="158" spans="1:75" ht="14.25" customHeight="1" x14ac:dyDescent="0.25">
      <c r="A158" s="1">
        <v>353</v>
      </c>
      <c r="B158" s="1" t="s">
        <v>930</v>
      </c>
      <c r="C158" s="1" t="s">
        <v>931</v>
      </c>
      <c r="D158" s="1" t="s">
        <v>77</v>
      </c>
      <c r="E158" s="1" t="s">
        <v>827</v>
      </c>
      <c r="F158" s="1" t="s">
        <v>854</v>
      </c>
      <c r="G158" s="1" t="s">
        <v>118</v>
      </c>
      <c r="H158" s="2">
        <v>0</v>
      </c>
      <c r="I158" s="2">
        <v>0</v>
      </c>
      <c r="J158" s="2">
        <v>0</v>
      </c>
      <c r="K158" s="2">
        <v>1</v>
      </c>
      <c r="L158" s="3" t="s">
        <v>80</v>
      </c>
      <c r="O158" s="4">
        <v>5</v>
      </c>
      <c r="P158" s="4" t="s">
        <v>81</v>
      </c>
      <c r="Q158" s="4"/>
      <c r="R158" s="5"/>
      <c r="S158" s="6"/>
      <c r="T158" s="17"/>
      <c r="U158" s="6"/>
      <c r="V158" s="4"/>
      <c r="W158" s="4"/>
      <c r="X158" s="4"/>
      <c r="Y158" s="7">
        <v>5</v>
      </c>
      <c r="Z158" s="8">
        <v>2295</v>
      </c>
      <c r="AA158" s="7" t="s">
        <v>82</v>
      </c>
      <c r="AB158" s="7"/>
      <c r="AC158" s="9">
        <v>5</v>
      </c>
      <c r="AD158" s="10">
        <v>2295</v>
      </c>
      <c r="AE158" s="9" t="s">
        <v>82</v>
      </c>
      <c r="AF158" s="9"/>
      <c r="AG158" s="11">
        <v>5</v>
      </c>
      <c r="AH158" s="11" t="s">
        <v>83</v>
      </c>
      <c r="AI158" s="11"/>
      <c r="AJ158" s="11"/>
      <c r="AK158" s="11"/>
      <c r="AL158" s="12">
        <v>5</v>
      </c>
      <c r="AM158" s="12" t="s">
        <v>83</v>
      </c>
      <c r="AN158" s="12"/>
      <c r="AO158" s="12"/>
      <c r="AP158" s="12"/>
      <c r="AQ158" s="4">
        <v>4</v>
      </c>
      <c r="AR158" s="4" t="s">
        <v>83</v>
      </c>
      <c r="AS158" s="4"/>
      <c r="AT158" s="13"/>
      <c r="AU158" s="13"/>
      <c r="AV158" s="13"/>
      <c r="AW158" s="13"/>
      <c r="AX158" s="4"/>
      <c r="AY158" s="13"/>
      <c r="AZ158" s="13"/>
      <c r="BA158" s="13"/>
      <c r="BB158" s="13"/>
      <c r="BC158" s="4"/>
      <c r="BD158" s="4"/>
      <c r="BE158" s="4"/>
      <c r="BF158" s="13"/>
      <c r="BG158" s="4"/>
      <c r="BH158" s="13"/>
      <c r="BI158" s="13"/>
      <c r="BJ158" s="4"/>
      <c r="BK158" s="14">
        <v>19</v>
      </c>
      <c r="BL158" s="14">
        <v>19</v>
      </c>
      <c r="BM158" s="14">
        <v>19</v>
      </c>
      <c r="BN158" s="3" t="s">
        <v>312</v>
      </c>
      <c r="BO158" s="3" t="s">
        <v>414</v>
      </c>
      <c r="BP158" s="15"/>
      <c r="BQ158" s="15"/>
      <c r="BR158" s="2" t="s">
        <v>87</v>
      </c>
      <c r="BS158" s="2" t="s">
        <v>87</v>
      </c>
      <c r="BT158" s="7" t="s">
        <v>88</v>
      </c>
      <c r="BU158" s="7"/>
      <c r="BV158" s="9" t="s">
        <v>88</v>
      </c>
      <c r="BW158" s="9"/>
    </row>
    <row r="159" spans="1:75" ht="14.25" customHeight="1" x14ac:dyDescent="0.25">
      <c r="A159" s="1">
        <v>354</v>
      </c>
      <c r="B159" s="1" t="s">
        <v>932</v>
      </c>
      <c r="C159" s="1" t="s">
        <v>933</v>
      </c>
      <c r="D159" s="1" t="s">
        <v>77</v>
      </c>
      <c r="E159" s="1" t="s">
        <v>827</v>
      </c>
      <c r="F159" s="1" t="s">
        <v>854</v>
      </c>
      <c r="G159" s="1" t="s">
        <v>934</v>
      </c>
      <c r="H159" s="2">
        <v>0</v>
      </c>
      <c r="I159" s="2">
        <v>0</v>
      </c>
      <c r="J159" s="2">
        <v>1</v>
      </c>
      <c r="K159" s="2">
        <v>0</v>
      </c>
      <c r="L159" s="3" t="s">
        <v>80</v>
      </c>
      <c r="O159" s="4">
        <v>4</v>
      </c>
      <c r="P159" s="4" t="s">
        <v>112</v>
      </c>
      <c r="Q159" s="4"/>
      <c r="R159" s="5"/>
      <c r="S159" s="6"/>
      <c r="T159" s="17"/>
      <c r="U159" s="6"/>
      <c r="V159" s="4"/>
      <c r="W159" s="4"/>
      <c r="X159" s="4"/>
      <c r="Y159" s="7">
        <v>4</v>
      </c>
      <c r="Z159" s="8">
        <v>96518</v>
      </c>
      <c r="AA159" s="7" t="s">
        <v>92</v>
      </c>
      <c r="AB159" s="7"/>
      <c r="AC159" s="9">
        <v>4</v>
      </c>
      <c r="AD159" s="10">
        <v>96518</v>
      </c>
      <c r="AE159" s="9" t="s">
        <v>92</v>
      </c>
      <c r="AF159" s="9"/>
      <c r="AG159" s="11">
        <v>2</v>
      </c>
      <c r="AH159" s="11" t="s">
        <v>93</v>
      </c>
      <c r="AI159" s="11"/>
      <c r="AJ159" s="11"/>
      <c r="AK159" s="11"/>
      <c r="AL159" s="12">
        <v>2</v>
      </c>
      <c r="AM159" s="12" t="s">
        <v>93</v>
      </c>
      <c r="AN159" s="12" t="s">
        <v>394</v>
      </c>
      <c r="AO159" s="12"/>
      <c r="AP159" s="12"/>
      <c r="AQ159" s="4">
        <v>2</v>
      </c>
      <c r="AR159" s="4" t="s">
        <v>93</v>
      </c>
      <c r="AS159" s="4"/>
      <c r="AT159" s="13"/>
      <c r="AU159" s="13"/>
      <c r="AV159" s="13"/>
      <c r="AW159" s="13"/>
      <c r="AX159" s="4"/>
      <c r="AY159" s="13"/>
      <c r="AZ159" s="13"/>
      <c r="BA159" s="13"/>
      <c r="BB159" s="13"/>
      <c r="BC159" s="4"/>
      <c r="BD159" s="4"/>
      <c r="BE159" s="4"/>
      <c r="BF159" s="13"/>
      <c r="BG159" s="4"/>
      <c r="BH159" s="13"/>
      <c r="BI159" s="13"/>
      <c r="BJ159" s="4"/>
      <c r="BK159" s="14">
        <v>12</v>
      </c>
      <c r="BL159" s="14">
        <v>12</v>
      </c>
      <c r="BM159" s="14">
        <v>12</v>
      </c>
      <c r="BP159" s="15"/>
      <c r="BQ159" s="15"/>
      <c r="BR159" s="2" t="s">
        <v>108</v>
      </c>
      <c r="BS159" s="2" t="s">
        <v>108</v>
      </c>
      <c r="BT159" s="7" t="s">
        <v>109</v>
      </c>
      <c r="BU159" s="7"/>
      <c r="BV159" s="9" t="s">
        <v>109</v>
      </c>
      <c r="BW159" s="9"/>
    </row>
    <row r="160" spans="1:75" ht="14.25" customHeight="1" x14ac:dyDescent="0.25">
      <c r="A160" s="1">
        <v>364</v>
      </c>
      <c r="B160" s="1" t="s">
        <v>935</v>
      </c>
      <c r="C160" s="1" t="s">
        <v>936</v>
      </c>
      <c r="D160" s="1" t="s">
        <v>77</v>
      </c>
      <c r="E160" s="1" t="s">
        <v>827</v>
      </c>
      <c r="F160" s="1" t="s">
        <v>854</v>
      </c>
      <c r="G160" s="1" t="s">
        <v>937</v>
      </c>
      <c r="H160" s="2">
        <v>0</v>
      </c>
      <c r="I160" s="2">
        <v>0</v>
      </c>
      <c r="J160" s="2">
        <v>1</v>
      </c>
      <c r="K160" s="2">
        <v>0</v>
      </c>
      <c r="L160" s="3" t="s">
        <v>80</v>
      </c>
      <c r="O160" s="4">
        <v>5</v>
      </c>
      <c r="P160" s="4" t="s">
        <v>112</v>
      </c>
      <c r="Q160" s="4"/>
      <c r="R160" s="5"/>
      <c r="S160" s="6"/>
      <c r="T160" s="17"/>
      <c r="U160" s="6"/>
      <c r="V160" s="4"/>
      <c r="W160" s="4"/>
      <c r="X160" s="4"/>
      <c r="Y160" s="7">
        <v>5</v>
      </c>
      <c r="Z160" s="8">
        <v>471</v>
      </c>
      <c r="AA160" s="7" t="s">
        <v>92</v>
      </c>
      <c r="AB160" s="7"/>
      <c r="AC160" s="9">
        <v>5</v>
      </c>
      <c r="AD160" s="10">
        <v>471</v>
      </c>
      <c r="AE160" s="9" t="s">
        <v>92</v>
      </c>
      <c r="AF160" s="9"/>
      <c r="AG160" s="11">
        <v>3</v>
      </c>
      <c r="AH160" s="11" t="s">
        <v>93</v>
      </c>
      <c r="AI160" s="11" t="s">
        <v>393</v>
      </c>
      <c r="AJ160" s="11"/>
      <c r="AK160" s="11"/>
      <c r="AL160" s="12">
        <v>3</v>
      </c>
      <c r="AM160" s="12" t="s">
        <v>93</v>
      </c>
      <c r="AN160" s="12" t="s">
        <v>394</v>
      </c>
      <c r="AO160" s="12"/>
      <c r="AP160" s="12"/>
      <c r="AQ160" s="4">
        <v>2</v>
      </c>
      <c r="AR160" s="4" t="s">
        <v>93</v>
      </c>
      <c r="AS160" s="4"/>
      <c r="AT160" s="13"/>
      <c r="AU160" s="13"/>
      <c r="AV160" s="13"/>
      <c r="AW160" s="13"/>
      <c r="AX160" s="4"/>
      <c r="AY160" s="13"/>
      <c r="AZ160" s="13"/>
      <c r="BA160" s="13"/>
      <c r="BB160" s="13"/>
      <c r="BC160" s="4"/>
      <c r="BD160" s="4"/>
      <c r="BE160" s="4"/>
      <c r="BF160" s="13"/>
      <c r="BG160" s="4"/>
      <c r="BH160" s="13"/>
      <c r="BI160" s="13"/>
      <c r="BJ160" s="4"/>
      <c r="BK160" s="14">
        <v>15</v>
      </c>
      <c r="BL160" s="14">
        <v>15</v>
      </c>
      <c r="BM160" s="14">
        <v>15</v>
      </c>
      <c r="BN160" s="3" t="s">
        <v>86</v>
      </c>
      <c r="BP160" s="15"/>
      <c r="BQ160" s="15"/>
      <c r="BR160" s="2" t="s">
        <v>115</v>
      </c>
      <c r="BS160" s="2" t="s">
        <v>115</v>
      </c>
      <c r="BT160" s="7" t="s">
        <v>109</v>
      </c>
      <c r="BU160" s="7"/>
      <c r="BV160" s="9" t="s">
        <v>109</v>
      </c>
      <c r="BW160" s="9"/>
    </row>
    <row r="161" spans="1:75" ht="14.25" customHeight="1" x14ac:dyDescent="0.25">
      <c r="A161" s="1">
        <v>365</v>
      </c>
      <c r="B161" s="1" t="s">
        <v>938</v>
      </c>
      <c r="C161" s="1" t="s">
        <v>939</v>
      </c>
      <c r="D161" s="1" t="s">
        <v>77</v>
      </c>
      <c r="E161" s="1" t="s">
        <v>827</v>
      </c>
      <c r="F161" s="1" t="s">
        <v>854</v>
      </c>
      <c r="G161" s="1" t="s">
        <v>940</v>
      </c>
      <c r="H161" s="2">
        <v>0</v>
      </c>
      <c r="I161" s="2">
        <v>0</v>
      </c>
      <c r="J161" s="2">
        <v>1</v>
      </c>
      <c r="K161" s="2">
        <v>1</v>
      </c>
      <c r="L161" s="3" t="s">
        <v>80</v>
      </c>
      <c r="O161" s="4">
        <v>3</v>
      </c>
      <c r="P161" s="4" t="s">
        <v>112</v>
      </c>
      <c r="Q161" s="4"/>
      <c r="R161" s="5"/>
      <c r="S161" s="6"/>
      <c r="T161" s="17"/>
      <c r="U161" s="6"/>
      <c r="V161" s="4"/>
      <c r="W161" s="4"/>
      <c r="X161" s="4"/>
      <c r="Y161" s="7">
        <v>3</v>
      </c>
      <c r="Z161" s="8">
        <v>577595</v>
      </c>
      <c r="AA161" s="7" t="s">
        <v>92</v>
      </c>
      <c r="AB161" s="7"/>
      <c r="AC161" s="9">
        <v>3</v>
      </c>
      <c r="AD161" s="10">
        <v>577595</v>
      </c>
      <c r="AE161" s="9" t="s">
        <v>92</v>
      </c>
      <c r="AF161" s="9"/>
      <c r="AG161" s="11">
        <v>2</v>
      </c>
      <c r="AH161" s="11" t="s">
        <v>93</v>
      </c>
      <c r="AI161" s="11"/>
      <c r="AJ161" s="11"/>
      <c r="AK161" s="11"/>
      <c r="AL161" s="12">
        <v>2</v>
      </c>
      <c r="AM161" s="12" t="s">
        <v>93</v>
      </c>
      <c r="AN161" s="12" t="s">
        <v>394</v>
      </c>
      <c r="AO161" s="12"/>
      <c r="AP161" s="12"/>
      <c r="AQ161" s="4">
        <v>2</v>
      </c>
      <c r="AR161" s="4" t="s">
        <v>83</v>
      </c>
      <c r="AS161" s="4" t="s">
        <v>941</v>
      </c>
      <c r="AT161" s="13"/>
      <c r="AU161" s="13"/>
      <c r="AV161" s="13"/>
      <c r="AW161" s="13"/>
      <c r="AX161" s="4"/>
      <c r="AY161" s="13"/>
      <c r="AZ161" s="13"/>
      <c r="BA161" s="13"/>
      <c r="BB161" s="13"/>
      <c r="BC161" s="4"/>
      <c r="BD161" s="4"/>
      <c r="BE161" s="4"/>
      <c r="BF161" s="13"/>
      <c r="BG161" s="4"/>
      <c r="BH161" s="13"/>
      <c r="BI161" s="13"/>
      <c r="BJ161" s="4"/>
      <c r="BK161" s="14">
        <v>10</v>
      </c>
      <c r="BL161" s="14">
        <v>10</v>
      </c>
      <c r="BM161" s="14">
        <v>10</v>
      </c>
      <c r="BP161" s="15"/>
      <c r="BQ161" s="15"/>
      <c r="BR161" s="2" t="s">
        <v>115</v>
      </c>
      <c r="BS161" s="2" t="s">
        <v>115</v>
      </c>
      <c r="BT161" s="7" t="s">
        <v>98</v>
      </c>
      <c r="BU161" s="7"/>
      <c r="BV161" s="9" t="s">
        <v>98</v>
      </c>
      <c r="BW161" s="9"/>
    </row>
    <row r="162" spans="1:75" ht="14.25" customHeight="1" x14ac:dyDescent="0.25">
      <c r="A162" s="1">
        <v>366</v>
      </c>
      <c r="B162" s="1" t="s">
        <v>942</v>
      </c>
      <c r="C162" s="1" t="s">
        <v>943</v>
      </c>
      <c r="D162" s="1" t="s">
        <v>77</v>
      </c>
      <c r="E162" s="1" t="s">
        <v>827</v>
      </c>
      <c r="F162" s="1" t="s">
        <v>854</v>
      </c>
      <c r="G162" s="1" t="s">
        <v>118</v>
      </c>
      <c r="H162" s="2">
        <v>0</v>
      </c>
      <c r="I162" s="2">
        <v>0</v>
      </c>
      <c r="J162" s="2">
        <v>0</v>
      </c>
      <c r="K162" s="2">
        <v>1</v>
      </c>
      <c r="L162" s="3" t="s">
        <v>80</v>
      </c>
      <c r="O162" s="4">
        <v>4</v>
      </c>
      <c r="P162" s="4" t="s">
        <v>81</v>
      </c>
      <c r="Q162" s="4"/>
      <c r="R162" s="5"/>
      <c r="S162" s="6"/>
      <c r="T162" s="17"/>
      <c r="U162" s="6"/>
      <c r="V162" s="4"/>
      <c r="W162" s="4"/>
      <c r="X162" s="4"/>
      <c r="Y162" s="7">
        <v>5</v>
      </c>
      <c r="Z162" s="8">
        <v>48581</v>
      </c>
      <c r="AA162" s="7" t="s">
        <v>82</v>
      </c>
      <c r="AB162" s="7"/>
      <c r="AC162" s="9">
        <v>5</v>
      </c>
      <c r="AD162" s="10">
        <v>48581</v>
      </c>
      <c r="AE162" s="9" t="s">
        <v>82</v>
      </c>
      <c r="AF162" s="9"/>
      <c r="AG162" s="11">
        <v>2</v>
      </c>
      <c r="AH162" s="11" t="s">
        <v>83</v>
      </c>
      <c r="AI162" s="11"/>
      <c r="AJ162" s="11"/>
      <c r="AK162" s="11"/>
      <c r="AL162" s="12">
        <v>2</v>
      </c>
      <c r="AM162" s="12" t="s">
        <v>83</v>
      </c>
      <c r="AN162" s="12"/>
      <c r="AO162" s="12"/>
      <c r="AP162" s="12"/>
      <c r="AQ162" s="4">
        <v>2</v>
      </c>
      <c r="AR162" s="4" t="s">
        <v>83</v>
      </c>
      <c r="AS162" s="4"/>
      <c r="AT162" s="13"/>
      <c r="AU162" s="13"/>
      <c r="AV162" s="13"/>
      <c r="AW162" s="13"/>
      <c r="AX162" s="4"/>
      <c r="AY162" s="13"/>
      <c r="AZ162" s="13"/>
      <c r="BA162" s="13"/>
      <c r="BB162" s="13"/>
      <c r="BC162" s="4"/>
      <c r="BD162" s="4"/>
      <c r="BE162" s="4"/>
      <c r="BF162" s="13"/>
      <c r="BG162" s="4"/>
      <c r="BH162" s="13"/>
      <c r="BI162" s="13"/>
      <c r="BJ162" s="4"/>
      <c r="BK162" s="14">
        <v>13</v>
      </c>
      <c r="BL162" s="14">
        <v>13</v>
      </c>
      <c r="BM162" s="14">
        <v>13</v>
      </c>
      <c r="BP162" s="15"/>
      <c r="BQ162" s="15"/>
      <c r="BR162" s="2" t="s">
        <v>108</v>
      </c>
      <c r="BS162" s="2" t="s">
        <v>108</v>
      </c>
      <c r="BT162" s="7" t="s">
        <v>98</v>
      </c>
      <c r="BU162" s="7"/>
      <c r="BV162" s="9" t="s">
        <v>98</v>
      </c>
      <c r="BW162" s="9"/>
    </row>
    <row r="163" spans="1:75" ht="14.25" customHeight="1" x14ac:dyDescent="0.25">
      <c r="A163" s="1">
        <v>367</v>
      </c>
      <c r="B163" s="1" t="s">
        <v>944</v>
      </c>
      <c r="C163" s="1" t="s">
        <v>945</v>
      </c>
      <c r="D163" s="1" t="s">
        <v>77</v>
      </c>
      <c r="E163" s="1" t="s">
        <v>827</v>
      </c>
      <c r="F163" s="1" t="s">
        <v>854</v>
      </c>
      <c r="G163" s="1" t="s">
        <v>946</v>
      </c>
      <c r="H163" s="2">
        <v>0</v>
      </c>
      <c r="I163" s="2">
        <v>0</v>
      </c>
      <c r="J163" s="2">
        <v>1</v>
      </c>
      <c r="K163" s="2">
        <v>1</v>
      </c>
      <c r="L163" s="3" t="s">
        <v>127</v>
      </c>
      <c r="O163" s="4">
        <v>3</v>
      </c>
      <c r="P163" s="4" t="s">
        <v>706</v>
      </c>
      <c r="Q163" s="4"/>
      <c r="R163" s="16">
        <v>2000000</v>
      </c>
      <c r="S163" s="6">
        <v>2000000</v>
      </c>
      <c r="T163" s="17" t="s">
        <v>947</v>
      </c>
      <c r="U163" s="6">
        <v>200</v>
      </c>
      <c r="V163" s="4"/>
      <c r="W163" s="4" t="s">
        <v>543</v>
      </c>
      <c r="X163" s="4" t="s">
        <v>948</v>
      </c>
      <c r="Y163" s="7">
        <v>3</v>
      </c>
      <c r="Z163" s="8">
        <v>558435</v>
      </c>
      <c r="AA163" s="7" t="s">
        <v>92</v>
      </c>
      <c r="AB163" s="7"/>
      <c r="AC163" s="9">
        <v>3</v>
      </c>
      <c r="AD163" s="10">
        <v>558435</v>
      </c>
      <c r="AE163" s="9" t="s">
        <v>92</v>
      </c>
      <c r="AF163" s="9"/>
      <c r="AG163" s="11">
        <v>2</v>
      </c>
      <c r="AH163" s="11" t="s">
        <v>271</v>
      </c>
      <c r="AI163" s="11"/>
      <c r="AJ163" s="11"/>
      <c r="AK163" s="11"/>
      <c r="AL163" s="12">
        <v>2</v>
      </c>
      <c r="AM163" s="12" t="s">
        <v>271</v>
      </c>
      <c r="AN163" s="12" t="s">
        <v>949</v>
      </c>
      <c r="AO163" s="12"/>
      <c r="AP163" s="12"/>
      <c r="AQ163" s="4">
        <v>3</v>
      </c>
      <c r="AR163" s="4" t="s">
        <v>673</v>
      </c>
      <c r="AS163" s="4"/>
      <c r="AT163" s="13"/>
      <c r="AU163" s="13"/>
      <c r="AV163" s="13"/>
      <c r="AW163" s="13"/>
      <c r="AX163" s="4"/>
      <c r="AY163" s="13"/>
      <c r="AZ163" s="13"/>
      <c r="BA163" s="13"/>
      <c r="BB163" s="13"/>
      <c r="BC163" s="4"/>
      <c r="BD163" s="4"/>
      <c r="BE163" s="4"/>
      <c r="BF163" s="13"/>
      <c r="BG163" s="4"/>
      <c r="BH163" s="13"/>
      <c r="BI163" s="13"/>
      <c r="BJ163" s="4"/>
      <c r="BK163" s="14">
        <v>11</v>
      </c>
      <c r="BL163" s="14">
        <v>11</v>
      </c>
      <c r="BM163" s="14">
        <v>11</v>
      </c>
      <c r="BP163" s="15"/>
      <c r="BQ163" s="15"/>
      <c r="BR163" s="2" t="s">
        <v>409</v>
      </c>
      <c r="BS163" s="2" t="s">
        <v>409</v>
      </c>
      <c r="BT163" s="7" t="s">
        <v>438</v>
      </c>
      <c r="BU163" s="7" t="s">
        <v>437</v>
      </c>
      <c r="BV163" s="9" t="s">
        <v>438</v>
      </c>
      <c r="BW163" s="9" t="s">
        <v>437</v>
      </c>
    </row>
    <row r="164" spans="1:75" ht="14.25" customHeight="1" x14ac:dyDescent="0.25">
      <c r="A164" s="1">
        <v>368</v>
      </c>
      <c r="B164" s="1" t="s">
        <v>950</v>
      </c>
      <c r="C164" s="1" t="s">
        <v>951</v>
      </c>
      <c r="D164" s="1" t="s">
        <v>77</v>
      </c>
      <c r="E164" s="1" t="s">
        <v>827</v>
      </c>
      <c r="F164" s="1" t="s">
        <v>854</v>
      </c>
      <c r="G164" s="1" t="s">
        <v>952</v>
      </c>
      <c r="H164" s="2">
        <v>0</v>
      </c>
      <c r="I164" s="2">
        <v>0</v>
      </c>
      <c r="J164" s="2">
        <v>1</v>
      </c>
      <c r="K164" s="2">
        <v>0</v>
      </c>
      <c r="L164" s="3" t="s">
        <v>80</v>
      </c>
      <c r="O164" s="4">
        <v>5</v>
      </c>
      <c r="P164" s="4" t="s">
        <v>112</v>
      </c>
      <c r="Q164" s="4"/>
      <c r="R164" s="5"/>
      <c r="S164" s="6"/>
      <c r="T164" s="17"/>
      <c r="U164" s="6"/>
      <c r="V164" s="4"/>
      <c r="W164" s="4"/>
      <c r="X164" s="4"/>
      <c r="Y164" s="7">
        <v>5</v>
      </c>
      <c r="Z164" s="8">
        <v>41996</v>
      </c>
      <c r="AA164" s="7" t="s">
        <v>92</v>
      </c>
      <c r="AB164" s="7"/>
      <c r="AC164" s="9">
        <v>5</v>
      </c>
      <c r="AD164" s="10">
        <v>41996</v>
      </c>
      <c r="AE164" s="9" t="s">
        <v>92</v>
      </c>
      <c r="AF164" s="9"/>
      <c r="AG164" s="11">
        <v>3</v>
      </c>
      <c r="AH164" s="11" t="s">
        <v>93</v>
      </c>
      <c r="AI164" s="11" t="s">
        <v>393</v>
      </c>
      <c r="AJ164" s="11"/>
      <c r="AK164" s="11"/>
      <c r="AL164" s="12">
        <v>3</v>
      </c>
      <c r="AM164" s="12" t="s">
        <v>93</v>
      </c>
      <c r="AN164" s="12" t="s">
        <v>478</v>
      </c>
      <c r="AO164" s="12"/>
      <c r="AP164" s="12"/>
      <c r="AQ164" s="4">
        <v>2</v>
      </c>
      <c r="AR164" s="4" t="s">
        <v>93</v>
      </c>
      <c r="AS164" s="4"/>
      <c r="AT164" s="13"/>
      <c r="AU164" s="13"/>
      <c r="AV164" s="13"/>
      <c r="AW164" s="13"/>
      <c r="AX164" s="4"/>
      <c r="AY164" s="13"/>
      <c r="AZ164" s="13"/>
      <c r="BA164" s="13"/>
      <c r="BB164" s="13"/>
      <c r="BC164" s="4"/>
      <c r="BD164" s="4"/>
      <c r="BE164" s="4"/>
      <c r="BF164" s="13"/>
      <c r="BG164" s="4"/>
      <c r="BH164" s="13"/>
      <c r="BI164" s="13"/>
      <c r="BJ164" s="4"/>
      <c r="BK164" s="14">
        <v>15</v>
      </c>
      <c r="BL164" s="14">
        <v>15</v>
      </c>
      <c r="BM164" s="14">
        <v>15</v>
      </c>
      <c r="BN164" s="3" t="s">
        <v>86</v>
      </c>
      <c r="BP164" s="15"/>
      <c r="BQ164" s="15"/>
      <c r="BR164" s="2" t="s">
        <v>297</v>
      </c>
      <c r="BS164" s="2" t="s">
        <v>297</v>
      </c>
      <c r="BT164" s="7" t="s">
        <v>475</v>
      </c>
      <c r="BU164" s="7"/>
      <c r="BV164" s="9" t="s">
        <v>475</v>
      </c>
      <c r="BW164" s="9"/>
    </row>
    <row r="165" spans="1:75" ht="14.25" customHeight="1" x14ac:dyDescent="0.25">
      <c r="A165" s="1">
        <v>369</v>
      </c>
      <c r="B165" s="1" t="s">
        <v>953</v>
      </c>
      <c r="C165" s="1" t="s">
        <v>954</v>
      </c>
      <c r="D165" s="1" t="s">
        <v>77</v>
      </c>
      <c r="E165" s="1" t="s">
        <v>827</v>
      </c>
      <c r="F165" s="1" t="s">
        <v>854</v>
      </c>
      <c r="G165" s="1" t="s">
        <v>955</v>
      </c>
      <c r="H165" s="2">
        <v>0</v>
      </c>
      <c r="I165" s="2">
        <v>0</v>
      </c>
      <c r="J165" s="2">
        <v>1</v>
      </c>
      <c r="K165" s="2">
        <v>1</v>
      </c>
      <c r="L165" s="3" t="s">
        <v>80</v>
      </c>
      <c r="O165" s="4">
        <v>4</v>
      </c>
      <c r="P165" s="4" t="s">
        <v>956</v>
      </c>
      <c r="Q165" s="4" t="s">
        <v>957</v>
      </c>
      <c r="R165" s="5"/>
      <c r="S165" s="6"/>
      <c r="T165" s="17"/>
      <c r="U165" s="6"/>
      <c r="V165" s="4"/>
      <c r="W165" s="4"/>
      <c r="X165" s="4"/>
      <c r="Y165" s="7">
        <v>4</v>
      </c>
      <c r="Z165" s="8">
        <v>244907</v>
      </c>
      <c r="AA165" s="7" t="s">
        <v>958</v>
      </c>
      <c r="AB165" s="7" t="s">
        <v>959</v>
      </c>
      <c r="AC165" s="9">
        <v>4</v>
      </c>
      <c r="AD165" s="10">
        <v>246068</v>
      </c>
      <c r="AE165" s="9" t="s">
        <v>958</v>
      </c>
      <c r="AF165" s="9" t="s">
        <v>959</v>
      </c>
      <c r="AG165" s="11">
        <v>3</v>
      </c>
      <c r="AH165" s="11" t="s">
        <v>93</v>
      </c>
      <c r="AI165" s="11"/>
      <c r="AJ165" s="11"/>
      <c r="AK165" s="11"/>
      <c r="AL165" s="12">
        <v>3</v>
      </c>
      <c r="AM165" s="12" t="s">
        <v>93</v>
      </c>
      <c r="AN165" s="12" t="s">
        <v>960</v>
      </c>
      <c r="AO165" s="12"/>
      <c r="AP165" s="12"/>
      <c r="AQ165" s="4">
        <v>4</v>
      </c>
      <c r="AR165" s="4" t="s">
        <v>144</v>
      </c>
      <c r="AS165" s="4" t="s">
        <v>961</v>
      </c>
      <c r="AT165" s="13"/>
      <c r="AU165" s="13"/>
      <c r="AV165" s="13"/>
      <c r="AW165" s="13"/>
      <c r="AX165" s="4"/>
      <c r="AY165" s="13"/>
      <c r="AZ165" s="13"/>
      <c r="BA165" s="13"/>
      <c r="BB165" s="13"/>
      <c r="BC165" s="4"/>
      <c r="BD165" s="4"/>
      <c r="BE165" s="4"/>
      <c r="BF165" s="13"/>
      <c r="BG165" s="4"/>
      <c r="BH165" s="13"/>
      <c r="BI165" s="13"/>
      <c r="BJ165" s="4"/>
      <c r="BK165" s="14">
        <v>15</v>
      </c>
      <c r="BL165" s="14">
        <v>15</v>
      </c>
      <c r="BM165" s="14">
        <v>15</v>
      </c>
      <c r="BN165" s="3" t="s">
        <v>86</v>
      </c>
      <c r="BP165" s="15"/>
      <c r="BQ165" s="15"/>
      <c r="BR165" s="2" t="s">
        <v>115</v>
      </c>
      <c r="BS165" s="2" t="s">
        <v>115</v>
      </c>
      <c r="BT165" s="7" t="s">
        <v>98</v>
      </c>
      <c r="BU165" s="7"/>
      <c r="BV165" s="9" t="s">
        <v>98</v>
      </c>
      <c r="BW165" s="9"/>
    </row>
    <row r="166" spans="1:75" ht="14.25" customHeight="1" x14ac:dyDescent="0.25">
      <c r="A166" s="1">
        <v>370</v>
      </c>
      <c r="B166" s="1" t="s">
        <v>962</v>
      </c>
      <c r="C166" s="1" t="s">
        <v>963</v>
      </c>
      <c r="D166" s="1" t="s">
        <v>77</v>
      </c>
      <c r="E166" s="1" t="s">
        <v>827</v>
      </c>
      <c r="F166" s="1" t="s">
        <v>854</v>
      </c>
      <c r="G166" s="1" t="s">
        <v>964</v>
      </c>
      <c r="H166" s="2">
        <v>0</v>
      </c>
      <c r="I166" s="2">
        <v>0</v>
      </c>
      <c r="J166" s="2">
        <v>1</v>
      </c>
      <c r="K166" s="2">
        <v>1</v>
      </c>
      <c r="L166" s="3" t="s">
        <v>80</v>
      </c>
      <c r="O166" s="4">
        <v>5</v>
      </c>
      <c r="P166" s="4" t="s">
        <v>112</v>
      </c>
      <c r="Q166" s="4"/>
      <c r="R166" s="5"/>
      <c r="S166" s="6"/>
      <c r="T166" s="17"/>
      <c r="U166" s="6"/>
      <c r="V166" s="4"/>
      <c r="W166" s="4"/>
      <c r="X166" s="4"/>
      <c r="Y166" s="7">
        <v>5</v>
      </c>
      <c r="Z166" s="8">
        <v>16783</v>
      </c>
      <c r="AA166" s="7" t="s">
        <v>92</v>
      </c>
      <c r="AB166" s="7"/>
      <c r="AC166" s="9">
        <v>5</v>
      </c>
      <c r="AD166" s="10">
        <v>16783</v>
      </c>
      <c r="AE166" s="9" t="s">
        <v>92</v>
      </c>
      <c r="AF166" s="9"/>
      <c r="AG166" s="11">
        <v>4</v>
      </c>
      <c r="AH166" s="11" t="s">
        <v>93</v>
      </c>
      <c r="AI166" s="11" t="s">
        <v>393</v>
      </c>
      <c r="AJ166" s="11"/>
      <c r="AK166" s="11"/>
      <c r="AL166" s="12">
        <v>4</v>
      </c>
      <c r="AM166" s="12" t="s">
        <v>93</v>
      </c>
      <c r="AN166" s="12" t="s">
        <v>394</v>
      </c>
      <c r="AO166" s="12"/>
      <c r="AP166" s="12"/>
      <c r="AQ166" s="4">
        <v>4</v>
      </c>
      <c r="AR166" s="4" t="s">
        <v>83</v>
      </c>
      <c r="AS166" s="4" t="s">
        <v>965</v>
      </c>
      <c r="AT166" s="13"/>
      <c r="AU166" s="13"/>
      <c r="AV166" s="13"/>
      <c r="AW166" s="13"/>
      <c r="AX166" s="4"/>
      <c r="AY166" s="13"/>
      <c r="AZ166" s="13"/>
      <c r="BA166" s="13"/>
      <c r="BB166" s="13"/>
      <c r="BC166" s="4"/>
      <c r="BD166" s="4"/>
      <c r="BE166" s="4"/>
      <c r="BF166" s="13"/>
      <c r="BG166" s="4"/>
      <c r="BH166" s="13"/>
      <c r="BI166" s="13"/>
      <c r="BJ166" s="4"/>
      <c r="BK166" s="14">
        <v>18</v>
      </c>
      <c r="BL166" s="14">
        <v>18</v>
      </c>
      <c r="BM166" s="14">
        <v>18</v>
      </c>
      <c r="BN166" s="3" t="s">
        <v>312</v>
      </c>
      <c r="BP166" s="15"/>
      <c r="BQ166" s="15"/>
      <c r="BR166" s="2" t="s">
        <v>409</v>
      </c>
      <c r="BS166" s="2" t="s">
        <v>409</v>
      </c>
      <c r="BT166" s="7" t="s">
        <v>88</v>
      </c>
      <c r="BU166" s="7"/>
      <c r="BV166" s="9" t="s">
        <v>88</v>
      </c>
      <c r="BW166" s="9"/>
    </row>
    <row r="167" spans="1:75" ht="14.25" customHeight="1" x14ac:dyDescent="0.25">
      <c r="A167" s="1">
        <v>371</v>
      </c>
      <c r="B167" s="1" t="s">
        <v>966</v>
      </c>
      <c r="C167" s="1" t="s">
        <v>967</v>
      </c>
      <c r="D167" s="1" t="s">
        <v>77</v>
      </c>
      <c r="E167" s="1" t="s">
        <v>827</v>
      </c>
      <c r="F167" s="1" t="s">
        <v>854</v>
      </c>
      <c r="G167" s="1"/>
      <c r="H167" s="2">
        <v>0</v>
      </c>
      <c r="I167" s="2">
        <v>0</v>
      </c>
      <c r="J167" s="2">
        <v>1</v>
      </c>
      <c r="K167" s="2">
        <v>1</v>
      </c>
      <c r="L167" s="3" t="s">
        <v>80</v>
      </c>
      <c r="O167" s="4">
        <v>5</v>
      </c>
      <c r="P167" s="4" t="s">
        <v>101</v>
      </c>
      <c r="Q167" s="4" t="s">
        <v>968</v>
      </c>
      <c r="R167" s="5"/>
      <c r="S167" s="6"/>
      <c r="T167" s="17"/>
      <c r="U167" s="6"/>
      <c r="V167" s="4"/>
      <c r="W167" s="4"/>
      <c r="X167" s="4"/>
      <c r="Y167" s="7">
        <v>4</v>
      </c>
      <c r="Z167" s="8">
        <v>145112</v>
      </c>
      <c r="AA167" s="7" t="s">
        <v>92</v>
      </c>
      <c r="AB167" s="7"/>
      <c r="AC167" s="9">
        <v>4</v>
      </c>
      <c r="AD167" s="10">
        <v>145112</v>
      </c>
      <c r="AE167" s="9" t="s">
        <v>92</v>
      </c>
      <c r="AF167" s="9"/>
      <c r="AG167" s="11">
        <v>4</v>
      </c>
      <c r="AH167" s="11" t="s">
        <v>743</v>
      </c>
      <c r="AI167" s="11" t="s">
        <v>969</v>
      </c>
      <c r="AJ167" s="11"/>
      <c r="AK167" s="11"/>
      <c r="AL167" s="12">
        <v>4</v>
      </c>
      <c r="AM167" s="12" t="s">
        <v>93</v>
      </c>
      <c r="AN167" s="12" t="s">
        <v>923</v>
      </c>
      <c r="AO167" s="12"/>
      <c r="AP167" s="12"/>
      <c r="AQ167" s="4">
        <v>4</v>
      </c>
      <c r="AR167" s="4" t="s">
        <v>83</v>
      </c>
      <c r="AS167" s="4"/>
      <c r="AT167" s="13"/>
      <c r="AU167" s="13"/>
      <c r="AV167" s="13"/>
      <c r="AW167" s="13"/>
      <c r="AX167" s="4"/>
      <c r="AY167" s="13"/>
      <c r="AZ167" s="13"/>
      <c r="BA167" s="13"/>
      <c r="BB167" s="13"/>
      <c r="BC167" s="4"/>
      <c r="BD167" s="4"/>
      <c r="BE167" s="4"/>
      <c r="BF167" s="13"/>
      <c r="BG167" s="4"/>
      <c r="BH167" s="13"/>
      <c r="BI167" s="13"/>
      <c r="BJ167" s="4"/>
      <c r="BK167" s="14">
        <v>17</v>
      </c>
      <c r="BL167" s="14">
        <v>17</v>
      </c>
      <c r="BM167" s="14">
        <v>17</v>
      </c>
      <c r="BN167" s="3" t="s">
        <v>312</v>
      </c>
      <c r="BP167" s="15"/>
      <c r="BQ167" s="15"/>
      <c r="BR167" s="2" t="s">
        <v>409</v>
      </c>
      <c r="BS167" s="2" t="s">
        <v>409</v>
      </c>
      <c r="BT167" s="7" t="s">
        <v>88</v>
      </c>
      <c r="BU167" s="7"/>
      <c r="BV167" s="9" t="s">
        <v>88</v>
      </c>
      <c r="BW167" s="9"/>
    </row>
    <row r="168" spans="1:75" ht="14.25" customHeight="1" x14ac:dyDescent="0.25">
      <c r="A168" s="1">
        <v>372</v>
      </c>
      <c r="B168" s="1" t="s">
        <v>970</v>
      </c>
      <c r="C168" s="1" t="s">
        <v>971</v>
      </c>
      <c r="D168" s="1" t="s">
        <v>77</v>
      </c>
      <c r="E168" s="1" t="s">
        <v>827</v>
      </c>
      <c r="F168" s="1" t="s">
        <v>854</v>
      </c>
      <c r="G168" s="1"/>
      <c r="H168" s="2">
        <v>0</v>
      </c>
      <c r="I168" s="2">
        <v>0</v>
      </c>
      <c r="J168" s="2">
        <v>0</v>
      </c>
      <c r="K168" s="2">
        <v>1</v>
      </c>
      <c r="L168" s="3" t="s">
        <v>80</v>
      </c>
      <c r="O168" s="4">
        <v>3</v>
      </c>
      <c r="P168" s="4" t="s">
        <v>81</v>
      </c>
      <c r="Q168" s="4"/>
      <c r="R168" s="5"/>
      <c r="S168" s="6"/>
      <c r="T168" s="17"/>
      <c r="U168" s="6"/>
      <c r="V168" s="4"/>
      <c r="W168" s="4"/>
      <c r="X168" s="4"/>
      <c r="Y168" s="7">
        <v>3</v>
      </c>
      <c r="Z168" s="8">
        <v>472815</v>
      </c>
      <c r="AA168" s="7" t="s">
        <v>82</v>
      </c>
      <c r="AB168" s="7"/>
      <c r="AC168" s="9">
        <v>3</v>
      </c>
      <c r="AD168" s="10">
        <v>472815</v>
      </c>
      <c r="AE168" s="9" t="s">
        <v>82</v>
      </c>
      <c r="AF168" s="9"/>
      <c r="AG168" s="11">
        <v>4</v>
      </c>
      <c r="AH168" s="11" t="s">
        <v>83</v>
      </c>
      <c r="AI168" s="11"/>
      <c r="AJ168" s="11"/>
      <c r="AK168" s="11"/>
      <c r="AL168" s="12">
        <v>4</v>
      </c>
      <c r="AM168" s="12" t="s">
        <v>83</v>
      </c>
      <c r="AN168" s="12"/>
      <c r="AO168" s="12"/>
      <c r="AP168" s="12"/>
      <c r="AQ168" s="4">
        <v>5</v>
      </c>
      <c r="AR168" s="4" t="s">
        <v>83</v>
      </c>
      <c r="AS168" s="4"/>
      <c r="AT168" s="13"/>
      <c r="AU168" s="13"/>
      <c r="AV168" s="13"/>
      <c r="AW168" s="13"/>
      <c r="AX168" s="4"/>
      <c r="AY168" s="13"/>
      <c r="AZ168" s="13"/>
      <c r="BA168" s="13"/>
      <c r="BB168" s="13"/>
      <c r="BC168" s="4"/>
      <c r="BD168" s="4"/>
      <c r="BE168" s="4"/>
      <c r="BF168" s="13"/>
      <c r="BG168" s="4"/>
      <c r="BH168" s="13"/>
      <c r="BI168" s="13"/>
      <c r="BJ168" s="4"/>
      <c r="BK168" s="14">
        <v>15</v>
      </c>
      <c r="BL168" s="14">
        <v>15</v>
      </c>
      <c r="BM168" s="14">
        <v>15</v>
      </c>
      <c r="BN168" s="3" t="s">
        <v>113</v>
      </c>
      <c r="BP168" s="15"/>
      <c r="BQ168" s="15"/>
      <c r="BR168" s="2" t="s">
        <v>87</v>
      </c>
      <c r="BS168" s="2" t="s">
        <v>87</v>
      </c>
      <c r="BT168" s="7" t="s">
        <v>88</v>
      </c>
      <c r="BU168" s="7"/>
      <c r="BV168" s="9" t="s">
        <v>88</v>
      </c>
      <c r="BW168" s="9"/>
    </row>
    <row r="169" spans="1:75" ht="14.25" customHeight="1" x14ac:dyDescent="0.25">
      <c r="A169" s="1">
        <v>374</v>
      </c>
      <c r="B169" s="1" t="s">
        <v>972</v>
      </c>
      <c r="C169" s="1" t="s">
        <v>973</v>
      </c>
      <c r="D169" s="1" t="s">
        <v>77</v>
      </c>
      <c r="E169" s="1" t="s">
        <v>827</v>
      </c>
      <c r="F169" s="1" t="s">
        <v>854</v>
      </c>
      <c r="G169" s="1"/>
      <c r="H169" s="2">
        <v>0</v>
      </c>
      <c r="I169" s="2">
        <v>0</v>
      </c>
      <c r="J169" s="2">
        <v>1</v>
      </c>
      <c r="K169" s="2">
        <v>1</v>
      </c>
      <c r="L169" s="3" t="s">
        <v>80</v>
      </c>
      <c r="O169" s="4">
        <v>4</v>
      </c>
      <c r="P169" s="4" t="s">
        <v>112</v>
      </c>
      <c r="Q169" s="4"/>
      <c r="R169" s="5"/>
      <c r="S169" s="6"/>
      <c r="T169" s="17"/>
      <c r="U169" s="6"/>
      <c r="V169" s="4"/>
      <c r="W169" s="4"/>
      <c r="X169" s="4"/>
      <c r="Y169" s="7">
        <v>4</v>
      </c>
      <c r="Z169" s="8">
        <v>281390</v>
      </c>
      <c r="AA169" s="7" t="s">
        <v>92</v>
      </c>
      <c r="AB169" s="7"/>
      <c r="AC169" s="9">
        <v>4</v>
      </c>
      <c r="AD169" s="10">
        <v>281390</v>
      </c>
      <c r="AE169" s="9" t="s">
        <v>92</v>
      </c>
      <c r="AF169" s="9"/>
      <c r="AG169" s="11">
        <v>3</v>
      </c>
      <c r="AH169" s="11" t="s">
        <v>93</v>
      </c>
      <c r="AI169" s="11"/>
      <c r="AJ169" s="11"/>
      <c r="AK169" s="11"/>
      <c r="AL169" s="12">
        <v>3</v>
      </c>
      <c r="AM169" s="12" t="s">
        <v>93</v>
      </c>
      <c r="AN169" s="12" t="s">
        <v>394</v>
      </c>
      <c r="AO169" s="12"/>
      <c r="AP169" s="12"/>
      <c r="AQ169" s="4">
        <v>4</v>
      </c>
      <c r="AR169" s="4" t="s">
        <v>83</v>
      </c>
      <c r="AS169" s="4" t="s">
        <v>974</v>
      </c>
      <c r="AT169" s="13"/>
      <c r="AU169" s="13"/>
      <c r="AV169" s="13"/>
      <c r="AW169" s="13"/>
      <c r="AX169" s="4"/>
      <c r="AY169" s="13"/>
      <c r="AZ169" s="13"/>
      <c r="BA169" s="13"/>
      <c r="BB169" s="13"/>
      <c r="BC169" s="4"/>
      <c r="BD169" s="4"/>
      <c r="BE169" s="4"/>
      <c r="BF169" s="13"/>
      <c r="BG169" s="4"/>
      <c r="BH169" s="13"/>
      <c r="BI169" s="13"/>
      <c r="BJ169" s="4"/>
      <c r="BK169" s="14">
        <v>15</v>
      </c>
      <c r="BL169" s="14">
        <v>15</v>
      </c>
      <c r="BM169" s="14">
        <v>15</v>
      </c>
      <c r="BN169" s="3" t="s">
        <v>86</v>
      </c>
      <c r="BP169" s="15"/>
      <c r="BQ169" s="15"/>
      <c r="BR169" s="2" t="s">
        <v>87</v>
      </c>
      <c r="BS169" s="2" t="s">
        <v>87</v>
      </c>
      <c r="BT169" s="7" t="s">
        <v>88</v>
      </c>
      <c r="BU169" s="7"/>
      <c r="BV169" s="9" t="s">
        <v>88</v>
      </c>
      <c r="BW169" s="9"/>
    </row>
    <row r="170" spans="1:75" ht="14.25" customHeight="1" x14ac:dyDescent="0.25">
      <c r="A170" s="1">
        <v>375</v>
      </c>
      <c r="B170" s="1" t="s">
        <v>975</v>
      </c>
      <c r="C170" s="1" t="s">
        <v>976</v>
      </c>
      <c r="D170" s="1" t="s">
        <v>77</v>
      </c>
      <c r="E170" s="1" t="s">
        <v>827</v>
      </c>
      <c r="F170" s="1" t="s">
        <v>854</v>
      </c>
      <c r="G170" s="1"/>
      <c r="H170" s="2">
        <v>0</v>
      </c>
      <c r="I170" s="2">
        <v>0</v>
      </c>
      <c r="J170" s="2">
        <v>0</v>
      </c>
      <c r="K170" s="2">
        <v>1</v>
      </c>
      <c r="L170" s="3" t="s">
        <v>80</v>
      </c>
      <c r="O170" s="4">
        <v>3</v>
      </c>
      <c r="P170" s="4" t="s">
        <v>81</v>
      </c>
      <c r="Q170" s="4"/>
      <c r="R170" s="5"/>
      <c r="S170" s="6"/>
      <c r="T170" s="17"/>
      <c r="U170" s="6"/>
      <c r="V170" s="4"/>
      <c r="W170" s="4"/>
      <c r="X170" s="4"/>
      <c r="Y170" s="7">
        <v>4</v>
      </c>
      <c r="Z170" s="8">
        <v>199106</v>
      </c>
      <c r="AA170" s="7" t="s">
        <v>82</v>
      </c>
      <c r="AB170" s="7"/>
      <c r="AC170" s="9">
        <v>4</v>
      </c>
      <c r="AD170" s="10">
        <v>199106</v>
      </c>
      <c r="AE170" s="9" t="s">
        <v>82</v>
      </c>
      <c r="AF170" s="9"/>
      <c r="AG170" s="11">
        <v>4</v>
      </c>
      <c r="AH170" s="11" t="s">
        <v>83</v>
      </c>
      <c r="AI170" s="11"/>
      <c r="AJ170" s="11"/>
      <c r="AK170" s="11"/>
      <c r="AL170" s="12">
        <v>4</v>
      </c>
      <c r="AM170" s="12" t="s">
        <v>83</v>
      </c>
      <c r="AN170" s="12"/>
      <c r="AO170" s="12"/>
      <c r="AP170" s="12"/>
      <c r="AQ170" s="4">
        <v>5</v>
      </c>
      <c r="AR170" s="4" t="s">
        <v>83</v>
      </c>
      <c r="AS170" s="4"/>
      <c r="AT170" s="13"/>
      <c r="AU170" s="13"/>
      <c r="AV170" s="13"/>
      <c r="AW170" s="13"/>
      <c r="AX170" s="4"/>
      <c r="AY170" s="13"/>
      <c r="AZ170" s="13"/>
      <c r="BA170" s="13"/>
      <c r="BB170" s="13"/>
      <c r="BC170" s="4"/>
      <c r="BD170" s="4"/>
      <c r="BE170" s="4"/>
      <c r="BF170" s="13"/>
      <c r="BG170" s="4"/>
      <c r="BH170" s="13"/>
      <c r="BI170" s="13"/>
      <c r="BJ170" s="4"/>
      <c r="BK170" s="14">
        <v>16</v>
      </c>
      <c r="BL170" s="14">
        <v>16</v>
      </c>
      <c r="BM170" s="14">
        <v>16</v>
      </c>
      <c r="BN170" s="3" t="s">
        <v>312</v>
      </c>
      <c r="BP170" s="15"/>
      <c r="BQ170" s="15"/>
      <c r="BR170" s="2" t="s">
        <v>115</v>
      </c>
      <c r="BS170" s="2" t="s">
        <v>115</v>
      </c>
      <c r="BT170" s="7" t="s">
        <v>98</v>
      </c>
      <c r="BU170" s="7"/>
      <c r="BV170" s="9" t="s">
        <v>98</v>
      </c>
      <c r="BW170" s="9"/>
    </row>
    <row r="171" spans="1:75" ht="14.25" customHeight="1" x14ac:dyDescent="0.25">
      <c r="A171" s="1">
        <v>376</v>
      </c>
      <c r="B171" s="1" t="s">
        <v>977</v>
      </c>
      <c r="C171" s="1" t="s">
        <v>978</v>
      </c>
      <c r="D171" s="1" t="s">
        <v>77</v>
      </c>
      <c r="E171" s="1" t="s">
        <v>827</v>
      </c>
      <c r="F171" s="1" t="s">
        <v>854</v>
      </c>
      <c r="G171" s="1"/>
      <c r="H171" s="2">
        <v>0</v>
      </c>
      <c r="I171" s="2">
        <v>0</v>
      </c>
      <c r="J171" s="2">
        <v>0</v>
      </c>
      <c r="K171" s="2">
        <v>1</v>
      </c>
      <c r="L171" s="3" t="s">
        <v>80</v>
      </c>
      <c r="O171" s="4">
        <v>3</v>
      </c>
      <c r="P171" s="4" t="s">
        <v>81</v>
      </c>
      <c r="Q171" s="4"/>
      <c r="R171" s="5"/>
      <c r="S171" s="6"/>
      <c r="T171" s="17"/>
      <c r="U171" s="6"/>
      <c r="V171" s="4"/>
      <c r="W171" s="4"/>
      <c r="X171" s="4"/>
      <c r="Y171" s="7">
        <v>3</v>
      </c>
      <c r="Z171" s="8">
        <v>512538</v>
      </c>
      <c r="AA171" s="7" t="s">
        <v>82</v>
      </c>
      <c r="AB171" s="7"/>
      <c r="AC171" s="9">
        <v>3</v>
      </c>
      <c r="AD171" s="10">
        <v>512538</v>
      </c>
      <c r="AE171" s="9" t="s">
        <v>82</v>
      </c>
      <c r="AF171" s="9"/>
      <c r="AG171" s="11">
        <v>3</v>
      </c>
      <c r="AH171" s="11" t="s">
        <v>83</v>
      </c>
      <c r="AI171" s="11"/>
      <c r="AJ171" s="11"/>
      <c r="AK171" s="11"/>
      <c r="AL171" s="12">
        <v>3</v>
      </c>
      <c r="AM171" s="12" t="s">
        <v>83</v>
      </c>
      <c r="AN171" s="12"/>
      <c r="AO171" s="12"/>
      <c r="AP171" s="12"/>
      <c r="AQ171" s="4">
        <v>4</v>
      </c>
      <c r="AR171" s="4" t="s">
        <v>83</v>
      </c>
      <c r="AS171" s="4"/>
      <c r="AT171" s="13"/>
      <c r="AU171" s="13"/>
      <c r="AV171" s="13"/>
      <c r="AW171" s="13"/>
      <c r="AX171" s="4"/>
      <c r="AY171" s="13"/>
      <c r="AZ171" s="13"/>
      <c r="BA171" s="13"/>
      <c r="BB171" s="13"/>
      <c r="BC171" s="4"/>
      <c r="BD171" s="4"/>
      <c r="BE171" s="4"/>
      <c r="BF171" s="13"/>
      <c r="BG171" s="4"/>
      <c r="BH171" s="13"/>
      <c r="BI171" s="13"/>
      <c r="BJ171" s="4"/>
      <c r="BK171" s="14">
        <v>13</v>
      </c>
      <c r="BL171" s="14">
        <v>13</v>
      </c>
      <c r="BM171" s="14">
        <v>13</v>
      </c>
      <c r="BP171" s="15"/>
      <c r="BQ171" s="15"/>
      <c r="BR171" s="2" t="s">
        <v>121</v>
      </c>
      <c r="BS171" s="2" t="s">
        <v>121</v>
      </c>
      <c r="BT171" s="7" t="s">
        <v>98</v>
      </c>
      <c r="BU171" s="7"/>
      <c r="BV171" s="9" t="s">
        <v>98</v>
      </c>
      <c r="BW171" s="9"/>
    </row>
    <row r="172" spans="1:75" ht="14.25" customHeight="1" x14ac:dyDescent="0.25">
      <c r="A172" s="1">
        <v>377</v>
      </c>
      <c r="B172" s="1" t="s">
        <v>979</v>
      </c>
      <c r="C172" s="1" t="s">
        <v>980</v>
      </c>
      <c r="D172" s="1" t="s">
        <v>77</v>
      </c>
      <c r="E172" s="1" t="s">
        <v>827</v>
      </c>
      <c r="F172" s="1" t="s">
        <v>854</v>
      </c>
      <c r="G172" s="1"/>
      <c r="H172" s="2">
        <v>0</v>
      </c>
      <c r="I172" s="2">
        <v>0</v>
      </c>
      <c r="J172" s="2">
        <v>0</v>
      </c>
      <c r="K172" s="2">
        <v>1</v>
      </c>
      <c r="L172" s="3" t="s">
        <v>80</v>
      </c>
      <c r="O172" s="4">
        <v>2</v>
      </c>
      <c r="P172" s="4" t="s">
        <v>81</v>
      </c>
      <c r="Q172" s="4"/>
      <c r="R172" s="5"/>
      <c r="S172" s="6"/>
      <c r="T172" s="17"/>
      <c r="U172" s="6"/>
      <c r="V172" s="4"/>
      <c r="W172" s="4"/>
      <c r="X172" s="4"/>
      <c r="Y172" s="7">
        <v>3</v>
      </c>
      <c r="Z172" s="8">
        <v>601681</v>
      </c>
      <c r="AA172" s="7" t="s">
        <v>283</v>
      </c>
      <c r="AB172" s="7"/>
      <c r="AC172" s="9">
        <v>3</v>
      </c>
      <c r="AD172" s="10">
        <v>601681</v>
      </c>
      <c r="AE172" s="9" t="s">
        <v>283</v>
      </c>
      <c r="AF172" s="9"/>
      <c r="AG172" s="11">
        <v>4</v>
      </c>
      <c r="AH172" s="11" t="s">
        <v>83</v>
      </c>
      <c r="AI172" s="11" t="s">
        <v>981</v>
      </c>
      <c r="AJ172" s="11"/>
      <c r="AK172" s="11"/>
      <c r="AL172" s="12">
        <v>4</v>
      </c>
      <c r="AM172" s="12" t="s">
        <v>83</v>
      </c>
      <c r="AN172" s="12"/>
      <c r="AO172" s="12"/>
      <c r="AP172" s="12"/>
      <c r="AQ172" s="4">
        <v>4</v>
      </c>
      <c r="AR172" s="4" t="s">
        <v>83</v>
      </c>
      <c r="AS172" s="4"/>
      <c r="AT172" s="13"/>
      <c r="AU172" s="13"/>
      <c r="AV172" s="13"/>
      <c r="AW172" s="13"/>
      <c r="AX172" s="4"/>
      <c r="AY172" s="13"/>
      <c r="AZ172" s="13"/>
      <c r="BA172" s="13"/>
      <c r="BB172" s="13"/>
      <c r="BC172" s="4"/>
      <c r="BD172" s="4"/>
      <c r="BE172" s="4"/>
      <c r="BF172" s="13"/>
      <c r="BG172" s="4"/>
      <c r="BH172" s="13"/>
      <c r="BI172" s="13"/>
      <c r="BJ172" s="4"/>
      <c r="BK172" s="14">
        <v>13</v>
      </c>
      <c r="BL172" s="14">
        <v>13</v>
      </c>
      <c r="BM172" s="14">
        <v>13</v>
      </c>
      <c r="BP172" s="15"/>
      <c r="BQ172" s="15"/>
      <c r="BR172" s="2" t="s">
        <v>121</v>
      </c>
      <c r="BS172" s="2" t="s">
        <v>121</v>
      </c>
      <c r="BT172" s="7" t="s">
        <v>98</v>
      </c>
      <c r="BU172" s="7"/>
      <c r="BV172" s="9" t="s">
        <v>98</v>
      </c>
      <c r="BW172" s="9"/>
    </row>
    <row r="173" spans="1:75" ht="14.25" customHeight="1" x14ac:dyDescent="0.25">
      <c r="A173" s="1">
        <v>378</v>
      </c>
      <c r="B173" s="1" t="s">
        <v>982</v>
      </c>
      <c r="C173" s="1" t="s">
        <v>983</v>
      </c>
      <c r="D173" s="1" t="s">
        <v>77</v>
      </c>
      <c r="E173" s="1" t="s">
        <v>827</v>
      </c>
      <c r="F173" s="1" t="s">
        <v>854</v>
      </c>
      <c r="G173" s="1"/>
      <c r="H173" s="2">
        <v>0</v>
      </c>
      <c r="I173" s="2">
        <v>0</v>
      </c>
      <c r="J173" s="2">
        <v>0</v>
      </c>
      <c r="K173" s="2">
        <v>1</v>
      </c>
      <c r="L173" s="3" t="s">
        <v>80</v>
      </c>
      <c r="O173" s="4">
        <v>4</v>
      </c>
      <c r="P173" s="4" t="s">
        <v>81</v>
      </c>
      <c r="Q173" s="4"/>
      <c r="R173" s="5"/>
      <c r="S173" s="6"/>
      <c r="T173" s="17"/>
      <c r="U173" s="6"/>
      <c r="V173" s="4"/>
      <c r="W173" s="4"/>
      <c r="X173" s="4"/>
      <c r="Y173" s="7">
        <v>5</v>
      </c>
      <c r="Z173" s="8">
        <v>76657</v>
      </c>
      <c r="AA173" s="7" t="s">
        <v>82</v>
      </c>
      <c r="AB173" s="7"/>
      <c r="AC173" s="9">
        <v>5</v>
      </c>
      <c r="AD173" s="10">
        <v>76657</v>
      </c>
      <c r="AE173" s="9" t="s">
        <v>82</v>
      </c>
      <c r="AF173" s="9"/>
      <c r="AG173" s="11">
        <v>4</v>
      </c>
      <c r="AH173" s="11" t="s">
        <v>83</v>
      </c>
      <c r="AI173" s="11" t="s">
        <v>984</v>
      </c>
      <c r="AJ173" s="11"/>
      <c r="AK173" s="11"/>
      <c r="AL173" s="12">
        <v>4</v>
      </c>
      <c r="AM173" s="12" t="s">
        <v>83</v>
      </c>
      <c r="AN173" s="12"/>
      <c r="AO173" s="12"/>
      <c r="AP173" s="12"/>
      <c r="AQ173" s="4">
        <v>5</v>
      </c>
      <c r="AR173" s="4" t="s">
        <v>83</v>
      </c>
      <c r="AS173" s="4"/>
      <c r="AT173" s="13"/>
      <c r="AU173" s="13"/>
      <c r="AV173" s="13"/>
      <c r="AW173" s="13"/>
      <c r="AX173" s="4"/>
      <c r="AY173" s="13"/>
      <c r="AZ173" s="13"/>
      <c r="BA173" s="13"/>
      <c r="BB173" s="13"/>
      <c r="BC173" s="4"/>
      <c r="BD173" s="4"/>
      <c r="BE173" s="4"/>
      <c r="BF173" s="13"/>
      <c r="BG173" s="4"/>
      <c r="BH173" s="13"/>
      <c r="BI173" s="13"/>
      <c r="BJ173" s="4"/>
      <c r="BK173" s="14">
        <v>18</v>
      </c>
      <c r="BL173" s="14">
        <v>18</v>
      </c>
      <c r="BM173" s="14">
        <v>18</v>
      </c>
      <c r="BN173" s="3" t="s">
        <v>312</v>
      </c>
      <c r="BP173" s="15"/>
      <c r="BQ173" s="15"/>
      <c r="BR173" s="2" t="s">
        <v>87</v>
      </c>
      <c r="BS173" s="2" t="s">
        <v>87</v>
      </c>
      <c r="BT173" s="7" t="s">
        <v>98</v>
      </c>
      <c r="BU173" s="7"/>
      <c r="BV173" s="9" t="s">
        <v>98</v>
      </c>
      <c r="BW173" s="9"/>
    </row>
    <row r="174" spans="1:75" ht="14.25" customHeight="1" x14ac:dyDescent="0.25">
      <c r="A174" s="1">
        <v>379</v>
      </c>
      <c r="B174" s="1" t="s">
        <v>985</v>
      </c>
      <c r="C174" s="1" t="s">
        <v>986</v>
      </c>
      <c r="D174" s="1" t="s">
        <v>77</v>
      </c>
      <c r="E174" s="1" t="s">
        <v>827</v>
      </c>
      <c r="F174" s="1" t="s">
        <v>854</v>
      </c>
      <c r="G174" s="1" t="s">
        <v>987</v>
      </c>
      <c r="H174" s="2">
        <v>0</v>
      </c>
      <c r="I174" s="2">
        <v>0</v>
      </c>
      <c r="J174" s="2">
        <v>0</v>
      </c>
      <c r="K174" s="2">
        <v>1</v>
      </c>
      <c r="L174" s="3" t="s">
        <v>80</v>
      </c>
      <c r="O174" s="4">
        <v>5</v>
      </c>
      <c r="P174" s="4" t="s">
        <v>81</v>
      </c>
      <c r="Q174" s="4"/>
      <c r="R174" s="5"/>
      <c r="S174" s="6"/>
      <c r="T174" s="17"/>
      <c r="U174" s="6"/>
      <c r="V174" s="4"/>
      <c r="W174" s="4"/>
      <c r="X174" s="4"/>
      <c r="Y174" s="7">
        <v>5</v>
      </c>
      <c r="Z174" s="8">
        <v>5241</v>
      </c>
      <c r="AA174" s="7" t="s">
        <v>82</v>
      </c>
      <c r="AB174" s="7"/>
      <c r="AC174" s="9">
        <v>5</v>
      </c>
      <c r="AD174" s="10">
        <v>5241</v>
      </c>
      <c r="AE174" s="9" t="s">
        <v>82</v>
      </c>
      <c r="AF174" s="9"/>
      <c r="AG174" s="11">
        <v>2</v>
      </c>
      <c r="AH174" s="11" t="s">
        <v>83</v>
      </c>
      <c r="AI174" s="11"/>
      <c r="AJ174" s="11"/>
      <c r="AK174" s="11"/>
      <c r="AL174" s="12">
        <v>2</v>
      </c>
      <c r="AM174" s="12" t="s">
        <v>83</v>
      </c>
      <c r="AN174" s="12"/>
      <c r="AO174" s="12"/>
      <c r="AP174" s="12"/>
      <c r="AQ174" s="4">
        <v>2</v>
      </c>
      <c r="AR174" s="4" t="s">
        <v>83</v>
      </c>
      <c r="AS174" s="4"/>
      <c r="AT174" s="13"/>
      <c r="AU174" s="13"/>
      <c r="AV174" s="13"/>
      <c r="AW174" s="13"/>
      <c r="AX174" s="4"/>
      <c r="AY174" s="13"/>
      <c r="AZ174" s="13"/>
      <c r="BA174" s="13"/>
      <c r="BB174" s="13"/>
      <c r="BC174" s="4"/>
      <c r="BD174" s="4"/>
      <c r="BE174" s="4"/>
      <c r="BF174" s="13"/>
      <c r="BG174" s="4"/>
      <c r="BH174" s="13"/>
      <c r="BI174" s="13"/>
      <c r="BJ174" s="4"/>
      <c r="BK174" s="14">
        <v>14</v>
      </c>
      <c r="BL174" s="14">
        <v>14</v>
      </c>
      <c r="BM174" s="14">
        <v>14</v>
      </c>
      <c r="BN174" s="3" t="s">
        <v>86</v>
      </c>
      <c r="BP174" s="15"/>
      <c r="BQ174" s="15"/>
      <c r="BR174" s="2" t="s">
        <v>87</v>
      </c>
      <c r="BS174" s="2" t="s">
        <v>87</v>
      </c>
      <c r="BT174" s="7" t="s">
        <v>88</v>
      </c>
      <c r="BU174" s="7"/>
      <c r="BV174" s="9" t="s">
        <v>88</v>
      </c>
      <c r="BW174" s="9"/>
    </row>
    <row r="175" spans="1:75" ht="14.25" customHeight="1" x14ac:dyDescent="0.25">
      <c r="A175" s="1">
        <v>380</v>
      </c>
      <c r="B175" s="1" t="s">
        <v>988</v>
      </c>
      <c r="C175" s="1" t="s">
        <v>989</v>
      </c>
      <c r="D175" s="1" t="s">
        <v>77</v>
      </c>
      <c r="E175" s="1" t="s">
        <v>827</v>
      </c>
      <c r="F175" s="1" t="s">
        <v>854</v>
      </c>
      <c r="G175" s="1" t="s">
        <v>987</v>
      </c>
      <c r="H175" s="2">
        <v>0</v>
      </c>
      <c r="I175" s="2">
        <v>0</v>
      </c>
      <c r="J175" s="2">
        <v>0</v>
      </c>
      <c r="K175" s="2">
        <v>1</v>
      </c>
      <c r="L175" s="3" t="s">
        <v>80</v>
      </c>
      <c r="O175" s="4">
        <v>5</v>
      </c>
      <c r="P175" s="4" t="s">
        <v>81</v>
      </c>
      <c r="Q175" s="4"/>
      <c r="R175" s="5"/>
      <c r="S175" s="6"/>
      <c r="T175" s="17"/>
      <c r="U175" s="6"/>
      <c r="V175" s="4"/>
      <c r="W175" s="4"/>
      <c r="X175" s="4"/>
      <c r="Y175" s="7">
        <v>5</v>
      </c>
      <c r="Z175" s="8">
        <v>9642</v>
      </c>
      <c r="AA175" s="7" t="s">
        <v>82</v>
      </c>
      <c r="AB175" s="7"/>
      <c r="AC175" s="9">
        <v>5</v>
      </c>
      <c r="AD175" s="10">
        <v>9642</v>
      </c>
      <c r="AE175" s="9" t="s">
        <v>82</v>
      </c>
      <c r="AF175" s="9"/>
      <c r="AG175" s="11">
        <v>3</v>
      </c>
      <c r="AH175" s="11" t="s">
        <v>83</v>
      </c>
      <c r="AI175" s="11"/>
      <c r="AJ175" s="11"/>
      <c r="AK175" s="11"/>
      <c r="AL175" s="12">
        <v>3</v>
      </c>
      <c r="AM175" s="12" t="s">
        <v>83</v>
      </c>
      <c r="AN175" s="12"/>
      <c r="AO175" s="12"/>
      <c r="AP175" s="12"/>
      <c r="AQ175" s="4">
        <v>3</v>
      </c>
      <c r="AR175" s="4" t="s">
        <v>83</v>
      </c>
      <c r="AS175" s="4"/>
      <c r="AT175" s="13"/>
      <c r="AU175" s="13"/>
      <c r="AV175" s="13"/>
      <c r="AW175" s="13"/>
      <c r="AX175" s="4"/>
      <c r="AY175" s="13"/>
      <c r="AZ175" s="13"/>
      <c r="BA175" s="13"/>
      <c r="BB175" s="13"/>
      <c r="BC175" s="4"/>
      <c r="BD175" s="4"/>
      <c r="BE175" s="4"/>
      <c r="BF175" s="13"/>
      <c r="BG175" s="4"/>
      <c r="BH175" s="13"/>
      <c r="BI175" s="13"/>
      <c r="BJ175" s="4"/>
      <c r="BK175" s="14">
        <v>16</v>
      </c>
      <c r="BL175" s="14">
        <v>16</v>
      </c>
      <c r="BM175" s="14">
        <v>16</v>
      </c>
      <c r="BN175" s="3" t="s">
        <v>86</v>
      </c>
      <c r="BP175" s="15"/>
      <c r="BQ175" s="15"/>
      <c r="BR175" s="2" t="s">
        <v>87</v>
      </c>
      <c r="BS175" s="2" t="s">
        <v>87</v>
      </c>
      <c r="BT175" s="7" t="s">
        <v>88</v>
      </c>
      <c r="BU175" s="7"/>
      <c r="BV175" s="9" t="s">
        <v>88</v>
      </c>
      <c r="BW175" s="9"/>
    </row>
    <row r="176" spans="1:75" ht="14.25" customHeight="1" x14ac:dyDescent="0.25">
      <c r="A176" s="1">
        <v>381</v>
      </c>
      <c r="B176" s="1" t="s">
        <v>990</v>
      </c>
      <c r="C176" s="1" t="s">
        <v>991</v>
      </c>
      <c r="D176" s="1" t="s">
        <v>77</v>
      </c>
      <c r="E176" s="1" t="s">
        <v>827</v>
      </c>
      <c r="F176" s="1" t="s">
        <v>854</v>
      </c>
      <c r="G176" s="1"/>
      <c r="H176" s="2">
        <v>0</v>
      </c>
      <c r="I176" s="2">
        <v>0</v>
      </c>
      <c r="J176" s="2">
        <v>0</v>
      </c>
      <c r="K176" s="2">
        <v>1</v>
      </c>
      <c r="L176" s="3" t="s">
        <v>80</v>
      </c>
      <c r="O176" s="4">
        <v>5</v>
      </c>
      <c r="P176" s="4" t="s">
        <v>81</v>
      </c>
      <c r="Q176" s="4"/>
      <c r="R176" s="5"/>
      <c r="S176" s="6"/>
      <c r="T176" s="17"/>
      <c r="U176" s="6"/>
      <c r="V176" s="4"/>
      <c r="W176" s="4"/>
      <c r="X176" s="4"/>
      <c r="Y176" s="7">
        <v>5</v>
      </c>
      <c r="Z176" s="8">
        <v>1287</v>
      </c>
      <c r="AA176" s="7" t="s">
        <v>82</v>
      </c>
      <c r="AB176" s="7"/>
      <c r="AC176" s="9">
        <v>5</v>
      </c>
      <c r="AD176" s="10">
        <v>1287</v>
      </c>
      <c r="AE176" s="9" t="s">
        <v>82</v>
      </c>
      <c r="AF176" s="9"/>
      <c r="AG176" s="11">
        <v>4</v>
      </c>
      <c r="AH176" s="11" t="s">
        <v>83</v>
      </c>
      <c r="AI176" s="11"/>
      <c r="AJ176" s="11"/>
      <c r="AK176" s="11"/>
      <c r="AL176" s="12">
        <v>4</v>
      </c>
      <c r="AM176" s="12" t="s">
        <v>83</v>
      </c>
      <c r="AN176" s="12"/>
      <c r="AO176" s="12"/>
      <c r="AP176" s="12"/>
      <c r="AQ176" s="4">
        <v>4</v>
      </c>
      <c r="AR176" s="4" t="s">
        <v>83</v>
      </c>
      <c r="AS176" s="4"/>
      <c r="AT176" s="13"/>
      <c r="AU176" s="13"/>
      <c r="AV176" s="13"/>
      <c r="AW176" s="13"/>
      <c r="AX176" s="4"/>
      <c r="AY176" s="13"/>
      <c r="AZ176" s="13"/>
      <c r="BA176" s="13"/>
      <c r="BB176" s="13"/>
      <c r="BC176" s="4"/>
      <c r="BD176" s="4"/>
      <c r="BE176" s="4"/>
      <c r="BF176" s="13"/>
      <c r="BG176" s="4"/>
      <c r="BH176" s="13"/>
      <c r="BI176" s="13"/>
      <c r="BJ176" s="4"/>
      <c r="BK176" s="14">
        <v>18</v>
      </c>
      <c r="BL176" s="14">
        <v>18</v>
      </c>
      <c r="BM176" s="14">
        <v>18</v>
      </c>
      <c r="BN176" s="3" t="s">
        <v>312</v>
      </c>
      <c r="BO176" s="3" t="s">
        <v>120</v>
      </c>
      <c r="BP176" s="15"/>
      <c r="BQ176" s="15"/>
      <c r="BR176" s="2" t="s">
        <v>115</v>
      </c>
      <c r="BS176" s="2" t="s">
        <v>115</v>
      </c>
      <c r="BT176" s="7" t="s">
        <v>98</v>
      </c>
      <c r="BU176" s="7"/>
      <c r="BV176" s="9" t="s">
        <v>98</v>
      </c>
      <c r="BW176" s="9"/>
    </row>
    <row r="177" spans="1:75" ht="14.25" customHeight="1" x14ac:dyDescent="0.25">
      <c r="A177" s="1">
        <v>382</v>
      </c>
      <c r="B177" s="1" t="s">
        <v>992</v>
      </c>
      <c r="C177" s="1" t="s">
        <v>993</v>
      </c>
      <c r="D177" s="1" t="s">
        <v>77</v>
      </c>
      <c r="E177" s="1" t="s">
        <v>827</v>
      </c>
      <c r="F177" s="1" t="s">
        <v>854</v>
      </c>
      <c r="G177" s="1" t="s">
        <v>994</v>
      </c>
      <c r="H177" s="2">
        <v>0</v>
      </c>
      <c r="I177" s="2">
        <v>0</v>
      </c>
      <c r="J177" s="2">
        <v>0</v>
      </c>
      <c r="K177" s="2">
        <v>1</v>
      </c>
      <c r="L177" s="3" t="s">
        <v>80</v>
      </c>
      <c r="O177" s="4">
        <v>5</v>
      </c>
      <c r="P177" s="4" t="s">
        <v>81</v>
      </c>
      <c r="Q177" s="4"/>
      <c r="R177" s="5"/>
      <c r="S177" s="6"/>
      <c r="T177" s="17"/>
      <c r="U177" s="6"/>
      <c r="V177" s="4"/>
      <c r="W177" s="4"/>
      <c r="X177" s="4"/>
      <c r="Y177" s="7">
        <v>5</v>
      </c>
      <c r="Z177" s="8">
        <v>1885</v>
      </c>
      <c r="AA177" s="7" t="s">
        <v>82</v>
      </c>
      <c r="AB177" s="7"/>
      <c r="AC177" s="9">
        <v>5</v>
      </c>
      <c r="AD177" s="10">
        <v>1885</v>
      </c>
      <c r="AE177" s="9" t="s">
        <v>82</v>
      </c>
      <c r="AF177" s="9"/>
      <c r="AG177" s="11">
        <v>3</v>
      </c>
      <c r="AH177" s="11" t="s">
        <v>83</v>
      </c>
      <c r="AI177" s="11" t="s">
        <v>995</v>
      </c>
      <c r="AJ177" s="11"/>
      <c r="AK177" s="11"/>
      <c r="AL177" s="12">
        <v>3</v>
      </c>
      <c r="AM177" s="12" t="s">
        <v>83</v>
      </c>
      <c r="AN177" s="12"/>
      <c r="AO177" s="12"/>
      <c r="AP177" s="12"/>
      <c r="AQ177" s="4">
        <v>3</v>
      </c>
      <c r="AR177" s="4" t="s">
        <v>83</v>
      </c>
      <c r="AS177" s="4"/>
      <c r="AT177" s="13"/>
      <c r="AU177" s="13"/>
      <c r="AV177" s="13"/>
      <c r="AW177" s="13"/>
      <c r="AX177" s="4"/>
      <c r="AY177" s="13"/>
      <c r="AZ177" s="13"/>
      <c r="BA177" s="13"/>
      <c r="BB177" s="13"/>
      <c r="BC177" s="4"/>
      <c r="BD177" s="4"/>
      <c r="BE177" s="4"/>
      <c r="BF177" s="13"/>
      <c r="BG177" s="4"/>
      <c r="BH177" s="13"/>
      <c r="BI177" s="13"/>
      <c r="BJ177" s="4"/>
      <c r="BK177" s="14">
        <v>16</v>
      </c>
      <c r="BL177" s="14">
        <v>16</v>
      </c>
      <c r="BM177" s="14">
        <v>16</v>
      </c>
      <c r="BN177" s="3" t="s">
        <v>86</v>
      </c>
      <c r="BO177" s="3" t="s">
        <v>120</v>
      </c>
      <c r="BP177" s="15"/>
      <c r="BQ177" s="15"/>
      <c r="BR177" s="2" t="s">
        <v>87</v>
      </c>
      <c r="BS177" s="2" t="s">
        <v>87</v>
      </c>
      <c r="BT177" s="7" t="s">
        <v>88</v>
      </c>
      <c r="BU177" s="7"/>
      <c r="BV177" s="9" t="s">
        <v>88</v>
      </c>
      <c r="BW177" s="9"/>
    </row>
    <row r="178" spans="1:75" ht="14.25" customHeight="1" x14ac:dyDescent="0.25">
      <c r="A178" s="1">
        <v>383</v>
      </c>
      <c r="B178" s="1" t="s">
        <v>996</v>
      </c>
      <c r="C178" s="1" t="s">
        <v>997</v>
      </c>
      <c r="D178" s="1" t="s">
        <v>77</v>
      </c>
      <c r="E178" s="1" t="s">
        <v>827</v>
      </c>
      <c r="F178" s="1" t="s">
        <v>854</v>
      </c>
      <c r="G178" s="1" t="s">
        <v>998</v>
      </c>
      <c r="H178" s="2">
        <v>0</v>
      </c>
      <c r="I178" s="2">
        <v>0</v>
      </c>
      <c r="J178" s="2">
        <v>1</v>
      </c>
      <c r="K178" s="2">
        <v>0</v>
      </c>
      <c r="L178" s="3" t="s">
        <v>80</v>
      </c>
      <c r="O178" s="4">
        <v>5</v>
      </c>
      <c r="P178" s="4" t="s">
        <v>112</v>
      </c>
      <c r="Q178" s="4"/>
      <c r="R178" s="5"/>
      <c r="S178" s="6"/>
      <c r="T178" s="17"/>
      <c r="U178" s="6"/>
      <c r="V178" s="4"/>
      <c r="W178" s="4"/>
      <c r="X178" s="4"/>
      <c r="Y178" s="7">
        <v>5</v>
      </c>
      <c r="Z178" s="8">
        <v>22004</v>
      </c>
      <c r="AA178" s="7" t="s">
        <v>92</v>
      </c>
      <c r="AB178" s="7"/>
      <c r="AC178" s="9">
        <v>5</v>
      </c>
      <c r="AD178" s="10">
        <v>22004</v>
      </c>
      <c r="AE178" s="9" t="s">
        <v>92</v>
      </c>
      <c r="AF178" s="9"/>
      <c r="AG178" s="11">
        <v>4</v>
      </c>
      <c r="AH178" s="11" t="s">
        <v>93</v>
      </c>
      <c r="AI178" s="11" t="s">
        <v>393</v>
      </c>
      <c r="AJ178" s="11"/>
      <c r="AK178" s="11"/>
      <c r="AL178" s="12">
        <v>4</v>
      </c>
      <c r="AM178" s="12" t="s">
        <v>93</v>
      </c>
      <c r="AN178" s="12" t="s">
        <v>805</v>
      </c>
      <c r="AO178" s="12"/>
      <c r="AP178" s="12"/>
      <c r="AQ178" s="4">
        <v>4</v>
      </c>
      <c r="AR178" s="4" t="s">
        <v>441</v>
      </c>
      <c r="AS178" s="4" t="s">
        <v>999</v>
      </c>
      <c r="AT178" s="13"/>
      <c r="AU178" s="13"/>
      <c r="AV178" s="13"/>
      <c r="AW178" s="13"/>
      <c r="AX178" s="4"/>
      <c r="AY178" s="13"/>
      <c r="AZ178" s="13"/>
      <c r="BA178" s="13"/>
      <c r="BB178" s="13"/>
      <c r="BC178" s="4"/>
      <c r="BD178" s="4"/>
      <c r="BE178" s="4"/>
      <c r="BF178" s="13"/>
      <c r="BG178" s="4"/>
      <c r="BH178" s="13"/>
      <c r="BI178" s="13"/>
      <c r="BJ178" s="4"/>
      <c r="BK178" s="14">
        <v>18</v>
      </c>
      <c r="BL178" s="14">
        <v>18</v>
      </c>
      <c r="BM178" s="14">
        <v>18</v>
      </c>
      <c r="BN178" s="3" t="s">
        <v>312</v>
      </c>
      <c r="BO178" s="3" t="s">
        <v>114</v>
      </c>
      <c r="BP178" s="15"/>
      <c r="BQ178" s="15"/>
      <c r="BR178" s="2" t="s">
        <v>108</v>
      </c>
      <c r="BS178" s="2" t="s">
        <v>108</v>
      </c>
      <c r="BT178" s="7" t="s">
        <v>109</v>
      </c>
      <c r="BU178" s="7"/>
      <c r="BV178" s="9" t="s">
        <v>109</v>
      </c>
      <c r="BW178" s="9"/>
    </row>
    <row r="179" spans="1:75" ht="14.25" customHeight="1" x14ac:dyDescent="0.25">
      <c r="A179" s="1">
        <v>384</v>
      </c>
      <c r="B179" s="1" t="s">
        <v>1000</v>
      </c>
      <c r="C179" s="1" t="s">
        <v>1001</v>
      </c>
      <c r="D179" s="1" t="s">
        <v>77</v>
      </c>
      <c r="E179" s="1" t="s">
        <v>827</v>
      </c>
      <c r="F179" s="1" t="s">
        <v>854</v>
      </c>
      <c r="G179" s="1" t="s">
        <v>118</v>
      </c>
      <c r="H179" s="2">
        <v>0</v>
      </c>
      <c r="I179" s="2">
        <v>0</v>
      </c>
      <c r="J179" s="2">
        <v>1</v>
      </c>
      <c r="K179" s="2">
        <v>0</v>
      </c>
      <c r="L179" s="3" t="s">
        <v>80</v>
      </c>
      <c r="O179" s="4">
        <v>5</v>
      </c>
      <c r="P179" s="4" t="s">
        <v>112</v>
      </c>
      <c r="Q179" s="4"/>
      <c r="R179" s="5"/>
      <c r="S179" s="6"/>
      <c r="T179" s="17"/>
      <c r="U179" s="6"/>
      <c r="V179" s="4"/>
      <c r="W179" s="4"/>
      <c r="X179" s="4"/>
      <c r="Y179" s="7">
        <v>5</v>
      </c>
      <c r="Z179" s="8">
        <v>24531</v>
      </c>
      <c r="AA179" s="7" t="s">
        <v>92</v>
      </c>
      <c r="AB179" s="7"/>
      <c r="AC179" s="9">
        <v>5</v>
      </c>
      <c r="AD179" s="10">
        <v>24531</v>
      </c>
      <c r="AE179" s="9" t="s">
        <v>92</v>
      </c>
      <c r="AF179" s="9"/>
      <c r="AG179" s="11">
        <v>4</v>
      </c>
      <c r="AH179" s="11" t="s">
        <v>93</v>
      </c>
      <c r="AI179" s="11"/>
      <c r="AJ179" s="11"/>
      <c r="AK179" s="11"/>
      <c r="AL179" s="12">
        <v>4</v>
      </c>
      <c r="AM179" s="12" t="s">
        <v>93</v>
      </c>
      <c r="AN179" s="12" t="s">
        <v>1002</v>
      </c>
      <c r="AO179" s="12"/>
      <c r="AP179" s="12"/>
      <c r="AQ179" s="4">
        <v>4</v>
      </c>
      <c r="AR179" s="4" t="s">
        <v>93</v>
      </c>
      <c r="AS179" s="4"/>
      <c r="AT179" s="13"/>
      <c r="AU179" s="13"/>
      <c r="AV179" s="13"/>
      <c r="AW179" s="13"/>
      <c r="AX179" s="4"/>
      <c r="AY179" s="13"/>
      <c r="AZ179" s="13"/>
      <c r="BA179" s="13"/>
      <c r="BB179" s="13"/>
      <c r="BC179" s="4"/>
      <c r="BD179" s="4"/>
      <c r="BE179" s="4"/>
      <c r="BF179" s="13"/>
      <c r="BG179" s="4"/>
      <c r="BH179" s="13"/>
      <c r="BI179" s="13"/>
      <c r="BJ179" s="4"/>
      <c r="BK179" s="14">
        <v>18</v>
      </c>
      <c r="BL179" s="14">
        <v>18</v>
      </c>
      <c r="BM179" s="14">
        <v>18</v>
      </c>
      <c r="BN179" s="3" t="s">
        <v>312</v>
      </c>
      <c r="BO179" s="3" t="s">
        <v>120</v>
      </c>
      <c r="BP179" s="15"/>
      <c r="BQ179" s="15"/>
      <c r="BR179" s="2" t="s">
        <v>87</v>
      </c>
      <c r="BS179" s="2" t="s">
        <v>87</v>
      </c>
      <c r="BT179" s="7" t="s">
        <v>88</v>
      </c>
      <c r="BU179" s="7"/>
      <c r="BV179" s="9" t="s">
        <v>88</v>
      </c>
      <c r="BW179" s="9"/>
    </row>
    <row r="180" spans="1:75" ht="14.25" customHeight="1" x14ac:dyDescent="0.25">
      <c r="A180" s="1">
        <v>385</v>
      </c>
      <c r="B180" s="1" t="s">
        <v>1003</v>
      </c>
      <c r="C180" s="1" t="s">
        <v>1004</v>
      </c>
      <c r="D180" s="1" t="s">
        <v>77</v>
      </c>
      <c r="E180" s="1" t="s">
        <v>827</v>
      </c>
      <c r="F180" s="1" t="s">
        <v>854</v>
      </c>
      <c r="G180" s="1" t="s">
        <v>118</v>
      </c>
      <c r="H180" s="2">
        <v>0</v>
      </c>
      <c r="I180" s="2">
        <v>0</v>
      </c>
      <c r="J180" s="2">
        <v>1</v>
      </c>
      <c r="K180" s="2">
        <v>0</v>
      </c>
      <c r="L180" s="3" t="s">
        <v>80</v>
      </c>
      <c r="O180" s="4">
        <v>5</v>
      </c>
      <c r="P180" s="4" t="s">
        <v>112</v>
      </c>
      <c r="Q180" s="4"/>
      <c r="R180" s="5"/>
      <c r="S180" s="6"/>
      <c r="T180" s="17"/>
      <c r="U180" s="6"/>
      <c r="V180" s="4"/>
      <c r="W180" s="4"/>
      <c r="X180" s="4"/>
      <c r="Y180" s="7">
        <v>5</v>
      </c>
      <c r="Z180" s="8">
        <v>11707</v>
      </c>
      <c r="AA180" s="7" t="s">
        <v>92</v>
      </c>
      <c r="AB180" s="7"/>
      <c r="AC180" s="9">
        <v>5</v>
      </c>
      <c r="AD180" s="10">
        <v>11707</v>
      </c>
      <c r="AE180" s="9" t="s">
        <v>92</v>
      </c>
      <c r="AF180" s="9"/>
      <c r="AG180" s="11">
        <v>4</v>
      </c>
      <c r="AH180" s="11" t="s">
        <v>93</v>
      </c>
      <c r="AI180" s="11" t="s">
        <v>393</v>
      </c>
      <c r="AJ180" s="11"/>
      <c r="AK180" s="11"/>
      <c r="AL180" s="12">
        <v>4</v>
      </c>
      <c r="AM180" s="12" t="s">
        <v>93</v>
      </c>
      <c r="AN180" s="12" t="s">
        <v>1005</v>
      </c>
      <c r="AO180" s="12"/>
      <c r="AP180" s="12"/>
      <c r="AQ180" s="4">
        <v>4</v>
      </c>
      <c r="AR180" s="4" t="s">
        <v>93</v>
      </c>
      <c r="AS180" s="4"/>
      <c r="AT180" s="13"/>
      <c r="AU180" s="13"/>
      <c r="AV180" s="13"/>
      <c r="AW180" s="13"/>
      <c r="AX180" s="4"/>
      <c r="AY180" s="13"/>
      <c r="AZ180" s="13"/>
      <c r="BA180" s="13"/>
      <c r="BB180" s="13"/>
      <c r="BC180" s="4"/>
      <c r="BD180" s="4"/>
      <c r="BE180" s="4"/>
      <c r="BF180" s="13"/>
      <c r="BG180" s="4"/>
      <c r="BH180" s="13"/>
      <c r="BI180" s="13"/>
      <c r="BJ180" s="4"/>
      <c r="BK180" s="14">
        <v>18</v>
      </c>
      <c r="BL180" s="14">
        <v>18</v>
      </c>
      <c r="BM180" s="14">
        <v>18</v>
      </c>
      <c r="BN180" s="3" t="s">
        <v>312</v>
      </c>
      <c r="BO180" s="3" t="s">
        <v>414</v>
      </c>
      <c r="BP180" s="15"/>
      <c r="BQ180" s="15"/>
      <c r="BR180" s="2" t="s">
        <v>409</v>
      </c>
      <c r="BS180" s="2" t="s">
        <v>409</v>
      </c>
      <c r="BT180" s="7" t="s">
        <v>88</v>
      </c>
      <c r="BU180" s="7"/>
      <c r="BV180" s="9" t="s">
        <v>88</v>
      </c>
      <c r="BW180" s="9"/>
    </row>
    <row r="181" spans="1:75" ht="14.25" customHeight="1" x14ac:dyDescent="0.25">
      <c r="A181" s="1">
        <v>386</v>
      </c>
      <c r="B181" s="1" t="s">
        <v>1006</v>
      </c>
      <c r="C181" s="1" t="s">
        <v>1007</v>
      </c>
      <c r="D181" s="1" t="s">
        <v>77</v>
      </c>
      <c r="E181" s="1" t="s">
        <v>827</v>
      </c>
      <c r="F181" s="1" t="s">
        <v>854</v>
      </c>
      <c r="G181" s="1"/>
      <c r="H181" s="2">
        <v>0</v>
      </c>
      <c r="I181" s="2">
        <v>0</v>
      </c>
      <c r="J181" s="2">
        <v>1</v>
      </c>
      <c r="K181" s="2">
        <v>1</v>
      </c>
      <c r="L181" s="3" t="s">
        <v>80</v>
      </c>
      <c r="O181" s="4">
        <v>4</v>
      </c>
      <c r="P181" s="4" t="s">
        <v>112</v>
      </c>
      <c r="Q181" s="4"/>
      <c r="R181" s="5"/>
      <c r="S181" s="6"/>
      <c r="T181" s="17"/>
      <c r="U181" s="6"/>
      <c r="V181" s="4"/>
      <c r="W181" s="4"/>
      <c r="X181" s="4"/>
      <c r="Y181" s="7">
        <v>4</v>
      </c>
      <c r="Z181" s="8">
        <v>175034</v>
      </c>
      <c r="AA181" s="7" t="s">
        <v>92</v>
      </c>
      <c r="AB181" s="7"/>
      <c r="AC181" s="9">
        <v>4</v>
      </c>
      <c r="AD181" s="10">
        <v>175034</v>
      </c>
      <c r="AE181" s="9" t="s">
        <v>92</v>
      </c>
      <c r="AF181" s="9"/>
      <c r="AG181" s="11">
        <v>3</v>
      </c>
      <c r="AH181" s="11" t="s">
        <v>93</v>
      </c>
      <c r="AI181" s="11"/>
      <c r="AJ181" s="11"/>
      <c r="AK181" s="11"/>
      <c r="AL181" s="12">
        <v>3</v>
      </c>
      <c r="AM181" s="12" t="s">
        <v>93</v>
      </c>
      <c r="AN181" s="12" t="s">
        <v>805</v>
      </c>
      <c r="AO181" s="12"/>
      <c r="AP181" s="12"/>
      <c r="AQ181" s="4">
        <v>4</v>
      </c>
      <c r="AR181" s="4" t="s">
        <v>83</v>
      </c>
      <c r="AS181" s="4" t="s">
        <v>862</v>
      </c>
      <c r="AT181" s="13"/>
      <c r="AU181" s="13"/>
      <c r="AV181" s="13"/>
      <c r="AW181" s="13"/>
      <c r="AX181" s="4"/>
      <c r="AY181" s="13"/>
      <c r="AZ181" s="13"/>
      <c r="BA181" s="13"/>
      <c r="BB181" s="13"/>
      <c r="BC181" s="4"/>
      <c r="BD181" s="4"/>
      <c r="BE181" s="4"/>
      <c r="BF181" s="13"/>
      <c r="BG181" s="4"/>
      <c r="BH181" s="13"/>
      <c r="BI181" s="13"/>
      <c r="BJ181" s="4"/>
      <c r="BK181" s="14">
        <v>15</v>
      </c>
      <c r="BL181" s="14">
        <v>15</v>
      </c>
      <c r="BM181" s="14">
        <v>15</v>
      </c>
      <c r="BN181" s="3" t="s">
        <v>86</v>
      </c>
      <c r="BP181" s="15"/>
      <c r="BQ181" s="15"/>
      <c r="BR181" s="2" t="s">
        <v>87</v>
      </c>
      <c r="BS181" s="2" t="s">
        <v>87</v>
      </c>
      <c r="BT181" s="7" t="s">
        <v>88</v>
      </c>
      <c r="BU181" s="7"/>
      <c r="BV181" s="9" t="s">
        <v>88</v>
      </c>
      <c r="BW181" s="9"/>
    </row>
    <row r="182" spans="1:75" ht="14.25" customHeight="1" x14ac:dyDescent="0.25">
      <c r="A182" s="1">
        <v>387</v>
      </c>
      <c r="B182" s="1" t="s">
        <v>1008</v>
      </c>
      <c r="C182" s="1" t="s">
        <v>1009</v>
      </c>
      <c r="D182" s="1" t="s">
        <v>77</v>
      </c>
      <c r="E182" s="1" t="s">
        <v>827</v>
      </c>
      <c r="F182" s="1" t="s">
        <v>854</v>
      </c>
      <c r="G182" s="1" t="s">
        <v>118</v>
      </c>
      <c r="H182" s="2">
        <v>0</v>
      </c>
      <c r="I182" s="2">
        <v>0</v>
      </c>
      <c r="J182" s="2">
        <v>0</v>
      </c>
      <c r="K182" s="2">
        <v>1</v>
      </c>
      <c r="L182" s="3" t="s">
        <v>80</v>
      </c>
      <c r="O182" s="4">
        <v>4</v>
      </c>
      <c r="P182" s="4" t="s">
        <v>81</v>
      </c>
      <c r="Q182" s="4"/>
      <c r="R182" s="5"/>
      <c r="S182" s="6"/>
      <c r="T182" s="17"/>
      <c r="U182" s="6"/>
      <c r="V182" s="4"/>
      <c r="W182" s="4"/>
      <c r="X182" s="4"/>
      <c r="Y182" s="7">
        <v>5</v>
      </c>
      <c r="Z182" s="8">
        <v>14383</v>
      </c>
      <c r="AA182" s="7" t="s">
        <v>82</v>
      </c>
      <c r="AB182" s="7"/>
      <c r="AC182" s="9">
        <v>5</v>
      </c>
      <c r="AD182" s="10">
        <v>14383</v>
      </c>
      <c r="AE182" s="9" t="s">
        <v>82</v>
      </c>
      <c r="AF182" s="9"/>
      <c r="AG182" s="11">
        <v>3</v>
      </c>
      <c r="AH182" s="11" t="s">
        <v>83</v>
      </c>
      <c r="AI182" s="11"/>
      <c r="AJ182" s="11"/>
      <c r="AK182" s="11"/>
      <c r="AL182" s="12">
        <v>3</v>
      </c>
      <c r="AM182" s="12" t="s">
        <v>83</v>
      </c>
      <c r="AN182" s="12"/>
      <c r="AO182" s="12"/>
      <c r="AP182" s="12"/>
      <c r="AQ182" s="4">
        <v>4</v>
      </c>
      <c r="AR182" s="4" t="s">
        <v>83</v>
      </c>
      <c r="AS182" s="4"/>
      <c r="AT182" s="13"/>
      <c r="AU182" s="13"/>
      <c r="AV182" s="13"/>
      <c r="AW182" s="13"/>
      <c r="AX182" s="4"/>
      <c r="AY182" s="13"/>
      <c r="AZ182" s="13"/>
      <c r="BA182" s="13"/>
      <c r="BB182" s="13"/>
      <c r="BC182" s="4"/>
      <c r="BD182" s="4"/>
      <c r="BE182" s="4"/>
      <c r="BF182" s="13"/>
      <c r="BG182" s="4"/>
      <c r="BH182" s="13"/>
      <c r="BI182" s="13"/>
      <c r="BJ182" s="4"/>
      <c r="BK182" s="14">
        <v>16</v>
      </c>
      <c r="BL182" s="14">
        <v>16</v>
      </c>
      <c r="BM182" s="14">
        <v>16</v>
      </c>
      <c r="BN182" s="3" t="s">
        <v>86</v>
      </c>
      <c r="BP182" s="15"/>
      <c r="BQ182" s="15"/>
      <c r="BR182" s="2" t="s">
        <v>87</v>
      </c>
      <c r="BS182" s="2" t="s">
        <v>87</v>
      </c>
      <c r="BT182" s="7" t="s">
        <v>88</v>
      </c>
      <c r="BU182" s="7"/>
      <c r="BV182" s="9" t="s">
        <v>88</v>
      </c>
      <c r="BW182" s="9"/>
    </row>
    <row r="183" spans="1:75" ht="14.25" customHeight="1" x14ac:dyDescent="0.25">
      <c r="A183" s="1">
        <v>388</v>
      </c>
      <c r="B183" s="1" t="s">
        <v>1010</v>
      </c>
      <c r="C183" s="1" t="s">
        <v>1011</v>
      </c>
      <c r="D183" s="1" t="s">
        <v>77</v>
      </c>
      <c r="E183" s="1" t="s">
        <v>827</v>
      </c>
      <c r="F183" s="1" t="s">
        <v>854</v>
      </c>
      <c r="G183" s="1"/>
      <c r="H183" s="2">
        <v>0</v>
      </c>
      <c r="I183" s="2">
        <v>0</v>
      </c>
      <c r="J183" s="2">
        <v>1</v>
      </c>
      <c r="K183" s="2">
        <v>1</v>
      </c>
      <c r="L183" s="3" t="s">
        <v>80</v>
      </c>
      <c r="O183" s="4">
        <v>4</v>
      </c>
      <c r="P183" s="4" t="s">
        <v>81</v>
      </c>
      <c r="Q183" s="4" t="s">
        <v>1012</v>
      </c>
      <c r="R183" s="5"/>
      <c r="S183" s="6"/>
      <c r="T183" s="17"/>
      <c r="U183" s="6"/>
      <c r="V183" s="4"/>
      <c r="W183" s="4"/>
      <c r="X183" s="4"/>
      <c r="Y183" s="7">
        <v>4</v>
      </c>
      <c r="Z183" s="8">
        <v>234660</v>
      </c>
      <c r="AA183" s="7" t="s">
        <v>92</v>
      </c>
      <c r="AB183" s="7"/>
      <c r="AC183" s="9">
        <v>4</v>
      </c>
      <c r="AD183" s="10">
        <v>234660</v>
      </c>
      <c r="AE183" s="9" t="s">
        <v>92</v>
      </c>
      <c r="AF183" s="9"/>
      <c r="AG183" s="11">
        <v>3</v>
      </c>
      <c r="AH183" s="11" t="s">
        <v>93</v>
      </c>
      <c r="AI183" s="11"/>
      <c r="AJ183" s="11"/>
      <c r="AK183" s="11"/>
      <c r="AL183" s="12">
        <v>3</v>
      </c>
      <c r="AM183" s="12" t="s">
        <v>93</v>
      </c>
      <c r="AN183" s="12" t="s">
        <v>1013</v>
      </c>
      <c r="AO183" s="12"/>
      <c r="AP183" s="12"/>
      <c r="AQ183" s="4">
        <v>2</v>
      </c>
      <c r="AR183" s="4" t="s">
        <v>83</v>
      </c>
      <c r="AS183" s="4"/>
      <c r="AT183" s="13"/>
      <c r="AU183" s="13"/>
      <c r="AV183" s="13"/>
      <c r="AW183" s="13"/>
      <c r="AX183" s="4"/>
      <c r="AY183" s="13"/>
      <c r="AZ183" s="13"/>
      <c r="BA183" s="13"/>
      <c r="BB183" s="13"/>
      <c r="BC183" s="4"/>
      <c r="BD183" s="4"/>
      <c r="BE183" s="4"/>
      <c r="BF183" s="13"/>
      <c r="BG183" s="4"/>
      <c r="BH183" s="13"/>
      <c r="BI183" s="13"/>
      <c r="BJ183" s="4"/>
      <c r="BK183" s="14">
        <v>13</v>
      </c>
      <c r="BL183" s="14">
        <v>13</v>
      </c>
      <c r="BM183" s="14">
        <v>13</v>
      </c>
      <c r="BP183" s="15"/>
      <c r="BQ183" s="15"/>
      <c r="BR183" s="2" t="s">
        <v>400</v>
      </c>
      <c r="BS183" s="2" t="s">
        <v>400</v>
      </c>
      <c r="BT183" s="7" t="s">
        <v>98</v>
      </c>
      <c r="BU183" s="7"/>
      <c r="BV183" s="9" t="s">
        <v>98</v>
      </c>
      <c r="BW183" s="9"/>
    </row>
    <row r="184" spans="1:75" ht="14.25" customHeight="1" x14ac:dyDescent="0.25">
      <c r="A184" s="1">
        <v>391</v>
      </c>
      <c r="B184" s="1" t="s">
        <v>1014</v>
      </c>
      <c r="C184" s="1" t="s">
        <v>1015</v>
      </c>
      <c r="D184" s="1" t="s">
        <v>77</v>
      </c>
      <c r="E184" s="1" t="s">
        <v>827</v>
      </c>
      <c r="F184" s="1" t="s">
        <v>854</v>
      </c>
      <c r="G184" s="1" t="s">
        <v>1016</v>
      </c>
      <c r="H184" s="2">
        <v>0</v>
      </c>
      <c r="I184" s="2">
        <v>1</v>
      </c>
      <c r="J184" s="2">
        <v>1</v>
      </c>
      <c r="K184" s="2">
        <v>0</v>
      </c>
      <c r="L184" s="3" t="s">
        <v>127</v>
      </c>
      <c r="O184" s="4">
        <v>3</v>
      </c>
      <c r="P184" s="4" t="s">
        <v>706</v>
      </c>
      <c r="Q184" s="4"/>
      <c r="R184" s="16">
        <v>2000000</v>
      </c>
      <c r="S184" s="6">
        <v>2000000</v>
      </c>
      <c r="T184" s="17" t="s">
        <v>947</v>
      </c>
      <c r="U184" s="6">
        <v>200</v>
      </c>
      <c r="V184" s="4"/>
      <c r="W184" s="4" t="s">
        <v>543</v>
      </c>
      <c r="X184" s="4" t="s">
        <v>787</v>
      </c>
      <c r="Y184" s="7">
        <v>3</v>
      </c>
      <c r="Z184" s="8">
        <v>557028</v>
      </c>
      <c r="AA184" s="7" t="s">
        <v>92</v>
      </c>
      <c r="AB184" s="7"/>
      <c r="AC184" s="9">
        <v>3</v>
      </c>
      <c r="AD184" s="10">
        <v>416600</v>
      </c>
      <c r="AE184" s="9" t="s">
        <v>92</v>
      </c>
      <c r="AF184" s="9"/>
      <c r="AG184" s="11">
        <v>2</v>
      </c>
      <c r="AH184" s="11" t="s">
        <v>271</v>
      </c>
      <c r="AI184" s="11" t="s">
        <v>1017</v>
      </c>
      <c r="AJ184" s="11"/>
      <c r="AK184" s="11"/>
      <c r="AL184" s="12">
        <v>2</v>
      </c>
      <c r="AM184" s="12" t="s">
        <v>271</v>
      </c>
      <c r="AN184" s="12" t="s">
        <v>394</v>
      </c>
      <c r="AO184" s="12"/>
      <c r="AP184" s="12"/>
      <c r="AQ184" s="4">
        <v>2</v>
      </c>
      <c r="AR184" s="4" t="s">
        <v>93</v>
      </c>
      <c r="AS184" s="4"/>
      <c r="AT184" s="13"/>
      <c r="AU184" s="13"/>
      <c r="AV184" s="13"/>
      <c r="AW184" s="13"/>
      <c r="AX184" s="4"/>
      <c r="AY184" s="13"/>
      <c r="AZ184" s="13"/>
      <c r="BA184" s="13"/>
      <c r="BB184" s="13"/>
      <c r="BC184" s="4"/>
      <c r="BD184" s="4"/>
      <c r="BE184" s="4"/>
      <c r="BF184" s="13"/>
      <c r="BG184" s="4"/>
      <c r="BH184" s="13"/>
      <c r="BI184" s="13"/>
      <c r="BJ184" s="4"/>
      <c r="BK184" s="14">
        <v>10</v>
      </c>
      <c r="BL184" s="14">
        <v>10</v>
      </c>
      <c r="BM184" s="14">
        <v>10</v>
      </c>
      <c r="BP184" s="15"/>
      <c r="BQ184" s="15"/>
      <c r="BR184" s="2" t="s">
        <v>108</v>
      </c>
      <c r="BS184" s="2" t="s">
        <v>108</v>
      </c>
      <c r="BT184" s="7" t="s">
        <v>109</v>
      </c>
      <c r="BU184" s="7"/>
      <c r="BV184" s="9" t="s">
        <v>109</v>
      </c>
      <c r="BW184" s="9" t="s">
        <v>487</v>
      </c>
    </row>
    <row r="185" spans="1:75" ht="14.25" customHeight="1" x14ac:dyDescent="0.25">
      <c r="A185" s="1">
        <v>429</v>
      </c>
      <c r="B185" s="1" t="s">
        <v>1018</v>
      </c>
      <c r="C185" s="1" t="s">
        <v>1019</v>
      </c>
      <c r="D185" s="1" t="s">
        <v>616</v>
      </c>
      <c r="E185" s="1" t="s">
        <v>1020</v>
      </c>
      <c r="F185" s="1" t="s">
        <v>1021</v>
      </c>
      <c r="G185" s="1"/>
      <c r="H185" s="2">
        <v>1</v>
      </c>
      <c r="I185" s="2">
        <v>1</v>
      </c>
      <c r="J185" s="2">
        <v>1</v>
      </c>
      <c r="K185" s="2">
        <v>1</v>
      </c>
      <c r="L185" s="3" t="s">
        <v>127</v>
      </c>
      <c r="O185" s="4">
        <v>2</v>
      </c>
      <c r="P185" s="4" t="s">
        <v>635</v>
      </c>
      <c r="Q185" s="4" t="s">
        <v>169</v>
      </c>
      <c r="R185" s="16">
        <v>5100000</v>
      </c>
      <c r="S185" s="6">
        <v>5100000</v>
      </c>
      <c r="T185" s="16">
        <v>500000</v>
      </c>
      <c r="U185" s="6">
        <v>500000</v>
      </c>
      <c r="V185" s="4">
        <v>2010.5</v>
      </c>
      <c r="W185" s="4" t="s">
        <v>425</v>
      </c>
      <c r="X185" s="4"/>
      <c r="Y185" s="7">
        <v>1</v>
      </c>
      <c r="Z185" s="8">
        <v>45236583</v>
      </c>
      <c r="AA185" s="7" t="s">
        <v>154</v>
      </c>
      <c r="AB185" s="7"/>
      <c r="AC185" s="9">
        <v>1</v>
      </c>
      <c r="AD185" s="10">
        <v>39722777</v>
      </c>
      <c r="AE185" s="9" t="s">
        <v>155</v>
      </c>
      <c r="AF185" s="9"/>
      <c r="AG185" s="11">
        <v>3</v>
      </c>
      <c r="AH185" s="11" t="s">
        <v>630</v>
      </c>
      <c r="AI185" s="11" t="s">
        <v>1022</v>
      </c>
      <c r="AJ185" s="11">
        <v>2</v>
      </c>
      <c r="AK185" s="11" t="s">
        <v>132</v>
      </c>
      <c r="AL185" s="12">
        <v>2</v>
      </c>
      <c r="AM185" s="12" t="s">
        <v>630</v>
      </c>
      <c r="AN185" s="12" t="s">
        <v>1023</v>
      </c>
      <c r="AO185" s="12">
        <v>2</v>
      </c>
      <c r="AP185" s="12" t="s">
        <v>132</v>
      </c>
      <c r="AQ185" s="4">
        <v>2</v>
      </c>
      <c r="AR185" s="4" t="s">
        <v>133</v>
      </c>
      <c r="AS185" s="4" t="s">
        <v>1024</v>
      </c>
      <c r="AT185" s="13">
        <v>-39.806941986083999</v>
      </c>
      <c r="AU185" s="13">
        <v>-0.99063777923583995</v>
      </c>
      <c r="AV185" s="13">
        <v>-1.94619905948639</v>
      </c>
      <c r="AW185" s="13">
        <v>0.13099999725818601</v>
      </c>
      <c r="AX185" s="4"/>
      <c r="AY185" s="13">
        <v>6.6660127639770499</v>
      </c>
      <c r="AZ185" s="13">
        <v>0.64451301097869895</v>
      </c>
      <c r="BA185" s="13">
        <v>-4.4000000953674299</v>
      </c>
      <c r="BB185" s="13">
        <v>6.4823989868164098</v>
      </c>
      <c r="BC185" s="4"/>
      <c r="BD185" s="4">
        <v>10</v>
      </c>
      <c r="BE185" s="4" t="s">
        <v>134</v>
      </c>
      <c r="BF185" s="13">
        <v>2.07719898223877</v>
      </c>
      <c r="BG185" s="4">
        <v>244</v>
      </c>
      <c r="BH185" s="13">
        <v>0.42849999666214</v>
      </c>
      <c r="BI185" s="13">
        <v>104.67099761962901</v>
      </c>
      <c r="BJ185" s="4"/>
      <c r="BK185" s="14">
        <v>8</v>
      </c>
      <c r="BL185" s="14">
        <v>7</v>
      </c>
      <c r="BM185" s="14">
        <v>8</v>
      </c>
      <c r="BP185" s="15"/>
      <c r="BQ185" s="15"/>
      <c r="BR185" s="2" t="s">
        <v>247</v>
      </c>
      <c r="BS185" s="2" t="s">
        <v>247</v>
      </c>
      <c r="BT185" s="7" t="s">
        <v>147</v>
      </c>
      <c r="BU185" s="7"/>
      <c r="BV185" s="9" t="s">
        <v>147</v>
      </c>
      <c r="BW185" s="9"/>
    </row>
    <row r="186" spans="1:75" ht="14.25" customHeight="1" x14ac:dyDescent="0.25">
      <c r="A186" s="1">
        <v>433</v>
      </c>
      <c r="B186" s="1" t="s">
        <v>1025</v>
      </c>
      <c r="C186" s="1" t="s">
        <v>1026</v>
      </c>
      <c r="D186" s="1" t="s">
        <v>616</v>
      </c>
      <c r="E186" s="1" t="s">
        <v>1020</v>
      </c>
      <c r="F186" s="1" t="s">
        <v>1021</v>
      </c>
      <c r="G186" s="1"/>
      <c r="H186" s="2">
        <v>1</v>
      </c>
      <c r="I186" s="2">
        <v>1</v>
      </c>
      <c r="J186" s="2">
        <v>1</v>
      </c>
      <c r="K186" s="2">
        <v>1</v>
      </c>
      <c r="L186" s="3" t="s">
        <v>127</v>
      </c>
      <c r="O186" s="4">
        <v>2</v>
      </c>
      <c r="P186" s="4" t="s">
        <v>635</v>
      </c>
      <c r="Q186" s="4" t="s">
        <v>169</v>
      </c>
      <c r="R186" s="16">
        <v>7100000</v>
      </c>
      <c r="S186" s="6">
        <v>7100000</v>
      </c>
      <c r="T186" s="16">
        <v>5500000</v>
      </c>
      <c r="U186" s="6">
        <v>5500000</v>
      </c>
      <c r="V186" s="4">
        <v>2010.5</v>
      </c>
      <c r="W186" s="4" t="s">
        <v>425</v>
      </c>
      <c r="X186" s="4"/>
      <c r="Y186" s="7">
        <v>1</v>
      </c>
      <c r="Z186" s="8">
        <v>10932810</v>
      </c>
      <c r="AA186" s="7" t="s">
        <v>283</v>
      </c>
      <c r="AB186" s="7" t="s">
        <v>1027</v>
      </c>
      <c r="AC186" s="9">
        <v>1</v>
      </c>
      <c r="AD186" s="10">
        <v>7424774</v>
      </c>
      <c r="AE186" s="9" t="s">
        <v>283</v>
      </c>
      <c r="AF186" s="9"/>
      <c r="AG186" s="11">
        <v>3</v>
      </c>
      <c r="AH186" s="11" t="s">
        <v>630</v>
      </c>
      <c r="AI186" s="11"/>
      <c r="AJ186" s="11">
        <v>2</v>
      </c>
      <c r="AK186" s="11" t="s">
        <v>132</v>
      </c>
      <c r="AL186" s="12">
        <v>3</v>
      </c>
      <c r="AM186" s="12" t="s">
        <v>630</v>
      </c>
      <c r="AN186" s="12" t="s">
        <v>1028</v>
      </c>
      <c r="AO186" s="12">
        <v>2</v>
      </c>
      <c r="AP186" s="12" t="s">
        <v>132</v>
      </c>
      <c r="AQ186" s="4">
        <v>4</v>
      </c>
      <c r="AR186" s="4" t="s">
        <v>133</v>
      </c>
      <c r="AS186" s="4"/>
      <c r="AT186" s="13">
        <v>-17.0760688781738</v>
      </c>
      <c r="AU186" s="13">
        <v>-0.36690801382064803</v>
      </c>
      <c r="AV186" s="13">
        <v>-1.5700000524520901</v>
      </c>
      <c r="AW186" s="13">
        <v>0.60750198364257801</v>
      </c>
      <c r="AX186" s="4"/>
      <c r="AY186" s="13">
        <v>-39.043716430664098</v>
      </c>
      <c r="AZ186" s="13">
        <v>-4.0407600402831996</v>
      </c>
      <c r="BA186" s="13">
        <v>-8.9568977355956996</v>
      </c>
      <c r="BB186" s="13">
        <v>0.92699998617172197</v>
      </c>
      <c r="BC186" s="4"/>
      <c r="BD186" s="4">
        <v>12</v>
      </c>
      <c r="BE186" s="4" t="s">
        <v>134</v>
      </c>
      <c r="BF186" s="13">
        <v>2.17750191688538</v>
      </c>
      <c r="BG186" s="4">
        <v>1100</v>
      </c>
      <c r="BH186" s="13">
        <v>2.6400001049041699</v>
      </c>
      <c r="BI186" s="13">
        <v>2903.7099609375</v>
      </c>
      <c r="BJ186" s="4"/>
      <c r="BK186" s="14">
        <v>10</v>
      </c>
      <c r="BL186" s="14">
        <v>10</v>
      </c>
      <c r="BM186" s="14">
        <v>10</v>
      </c>
      <c r="BP186" s="15"/>
      <c r="BQ186" s="15"/>
      <c r="BR186" s="2" t="s">
        <v>172</v>
      </c>
      <c r="BS186" s="2" t="s">
        <v>247</v>
      </c>
      <c r="BT186" s="7" t="s">
        <v>147</v>
      </c>
      <c r="BU186" s="7"/>
      <c r="BV186" s="9" t="s">
        <v>212</v>
      </c>
      <c r="BW186" s="9" t="s">
        <v>148</v>
      </c>
    </row>
    <row r="187" spans="1:75" ht="14.25" customHeight="1" x14ac:dyDescent="0.25">
      <c r="A187" s="1">
        <v>434</v>
      </c>
      <c r="B187" s="1" t="s">
        <v>1029</v>
      </c>
      <c r="C187" s="1" t="s">
        <v>1030</v>
      </c>
      <c r="D187" s="1" t="s">
        <v>616</v>
      </c>
      <c r="E187" s="1" t="s">
        <v>1020</v>
      </c>
      <c r="F187" s="1" t="s">
        <v>1021</v>
      </c>
      <c r="G187" s="1" t="s">
        <v>118</v>
      </c>
      <c r="H187" s="2">
        <v>0</v>
      </c>
      <c r="I187" s="2">
        <v>1</v>
      </c>
      <c r="J187" s="2">
        <v>1</v>
      </c>
      <c r="K187" s="2">
        <v>1</v>
      </c>
      <c r="L187" s="3" t="s">
        <v>127</v>
      </c>
      <c r="O187" s="4">
        <v>4</v>
      </c>
      <c r="P187" s="4" t="s">
        <v>1031</v>
      </c>
      <c r="Q187" s="4" t="s">
        <v>169</v>
      </c>
      <c r="R187" s="16">
        <v>390000</v>
      </c>
      <c r="S187" s="6">
        <v>390000</v>
      </c>
      <c r="T187" s="16">
        <v>20000</v>
      </c>
      <c r="U187" s="6">
        <v>20000</v>
      </c>
      <c r="V187" s="4">
        <v>2010.5</v>
      </c>
      <c r="W187" s="4" t="s">
        <v>640</v>
      </c>
      <c r="X187" s="4"/>
      <c r="Y187" s="7">
        <v>1</v>
      </c>
      <c r="Z187" s="8">
        <v>13379008</v>
      </c>
      <c r="AA187" s="7" t="s">
        <v>130</v>
      </c>
      <c r="AB187" s="7"/>
      <c r="AC187" s="9">
        <v>1</v>
      </c>
      <c r="AD187" s="10">
        <v>13340081</v>
      </c>
      <c r="AE187" s="9" t="s">
        <v>130</v>
      </c>
      <c r="AF187" s="9"/>
      <c r="AG187" s="11">
        <v>3</v>
      </c>
      <c r="AH187" s="11" t="s">
        <v>620</v>
      </c>
      <c r="AI187" s="11" t="s">
        <v>1022</v>
      </c>
      <c r="AJ187" s="11"/>
      <c r="AK187" s="11"/>
      <c r="AL187" s="12">
        <v>2</v>
      </c>
      <c r="AM187" s="12" t="s">
        <v>620</v>
      </c>
      <c r="AN187" s="12" t="s">
        <v>1023</v>
      </c>
      <c r="AO187" s="12"/>
      <c r="AP187" s="12"/>
      <c r="AQ187" s="4">
        <v>3</v>
      </c>
      <c r="AR187" s="4" t="s">
        <v>387</v>
      </c>
      <c r="AS187" s="4" t="s">
        <v>1032</v>
      </c>
      <c r="AT187" s="13"/>
      <c r="AU187" s="13"/>
      <c r="AV187" s="13"/>
      <c r="AW187" s="13"/>
      <c r="AX187" s="4"/>
      <c r="AY187" s="13"/>
      <c r="AZ187" s="13"/>
      <c r="BA187" s="13"/>
      <c r="BB187" s="13"/>
      <c r="BC187" s="4"/>
      <c r="BD187" s="4"/>
      <c r="BE187" s="4"/>
      <c r="BF187" s="13"/>
      <c r="BG187" s="4"/>
      <c r="BH187" s="13"/>
      <c r="BI187" s="13"/>
      <c r="BJ187" s="4"/>
      <c r="BK187" s="14">
        <v>11</v>
      </c>
      <c r="BL187" s="14">
        <v>10</v>
      </c>
      <c r="BM187" s="14">
        <v>11</v>
      </c>
      <c r="BP187" s="15"/>
      <c r="BQ187" s="15"/>
      <c r="BR187" s="2" t="s">
        <v>247</v>
      </c>
      <c r="BS187" s="2" t="s">
        <v>97</v>
      </c>
      <c r="BT187" s="7" t="s">
        <v>147</v>
      </c>
      <c r="BU187" s="7"/>
      <c r="BV187" s="9" t="s">
        <v>147</v>
      </c>
      <c r="BW187" s="9"/>
    </row>
    <row r="188" spans="1:75" ht="14.25" customHeight="1" x14ac:dyDescent="0.25">
      <c r="A188" s="1">
        <v>437</v>
      </c>
      <c r="B188" s="1" t="s">
        <v>1033</v>
      </c>
      <c r="C188" s="1" t="s">
        <v>1034</v>
      </c>
      <c r="D188" s="1" t="s">
        <v>616</v>
      </c>
      <c r="E188" s="1" t="s">
        <v>1020</v>
      </c>
      <c r="F188" s="1" t="s">
        <v>1021</v>
      </c>
      <c r="G188" s="1"/>
      <c r="H188" s="2">
        <v>0</v>
      </c>
      <c r="I188" s="2">
        <v>0</v>
      </c>
      <c r="J188" s="2">
        <v>0</v>
      </c>
      <c r="K188" s="2">
        <v>1</v>
      </c>
      <c r="L188" s="3" t="s">
        <v>80</v>
      </c>
      <c r="O188" s="4">
        <v>4</v>
      </c>
      <c r="P188" s="4" t="s">
        <v>81</v>
      </c>
      <c r="Q188" s="4"/>
      <c r="R188" s="5"/>
      <c r="S188" s="6"/>
      <c r="T188" s="17"/>
      <c r="U188" s="6"/>
      <c r="V188" s="4"/>
      <c r="W188" s="4"/>
      <c r="X188" s="4"/>
      <c r="Y188" s="7">
        <v>2</v>
      </c>
      <c r="Z188" s="8">
        <v>2870000</v>
      </c>
      <c r="AA188" s="7" t="s">
        <v>812</v>
      </c>
      <c r="AB188" s="7"/>
      <c r="AC188" s="9">
        <v>2</v>
      </c>
      <c r="AD188" s="10">
        <v>2870000</v>
      </c>
      <c r="AE188" s="9" t="s">
        <v>812</v>
      </c>
      <c r="AF188" s="9"/>
      <c r="AG188" s="11">
        <v>3</v>
      </c>
      <c r="AH188" s="11" t="s">
        <v>83</v>
      </c>
      <c r="AI188" s="11" t="s">
        <v>1035</v>
      </c>
      <c r="AJ188" s="11"/>
      <c r="AK188" s="11"/>
      <c r="AL188" s="12">
        <v>3</v>
      </c>
      <c r="AM188" s="12" t="s">
        <v>83</v>
      </c>
      <c r="AN188" s="12"/>
      <c r="AO188" s="12"/>
      <c r="AP188" s="12"/>
      <c r="AQ188" s="4">
        <v>5</v>
      </c>
      <c r="AR188" s="4" t="s">
        <v>83</v>
      </c>
      <c r="AS188" s="4" t="s">
        <v>1036</v>
      </c>
      <c r="AT188" s="13"/>
      <c r="AU188" s="13"/>
      <c r="AV188" s="13"/>
      <c r="AW188" s="13"/>
      <c r="AX188" s="4"/>
      <c r="AY188" s="13"/>
      <c r="AZ188" s="13"/>
      <c r="BA188" s="13"/>
      <c r="BB188" s="13"/>
      <c r="BC188" s="4"/>
      <c r="BD188" s="4"/>
      <c r="BE188" s="4"/>
      <c r="BF188" s="13"/>
      <c r="BG188" s="4"/>
      <c r="BH188" s="13"/>
      <c r="BI188" s="13"/>
      <c r="BJ188" s="4"/>
      <c r="BK188" s="14">
        <v>14</v>
      </c>
      <c r="BL188" s="14">
        <v>14</v>
      </c>
      <c r="BM188" s="14">
        <v>14</v>
      </c>
      <c r="BN188" s="3" t="s">
        <v>113</v>
      </c>
      <c r="BP188" s="15"/>
      <c r="BQ188" s="15"/>
      <c r="BR188" s="2" t="s">
        <v>740</v>
      </c>
      <c r="BS188" s="2" t="s">
        <v>740</v>
      </c>
      <c r="BT188" s="7" t="s">
        <v>463</v>
      </c>
      <c r="BU188" s="7"/>
      <c r="BV188" s="9" t="s">
        <v>463</v>
      </c>
      <c r="BW188" s="9"/>
    </row>
    <row r="189" spans="1:75" ht="14.25" customHeight="1" x14ac:dyDescent="0.25">
      <c r="A189" s="1">
        <v>438</v>
      </c>
      <c r="B189" s="1" t="s">
        <v>1037</v>
      </c>
      <c r="C189" s="1" t="s">
        <v>1038</v>
      </c>
      <c r="D189" s="1" t="s">
        <v>616</v>
      </c>
      <c r="E189" s="1" t="s">
        <v>1020</v>
      </c>
      <c r="F189" s="1" t="s">
        <v>1021</v>
      </c>
      <c r="G189" s="1"/>
      <c r="H189" s="2">
        <v>1</v>
      </c>
      <c r="I189" s="2">
        <v>1</v>
      </c>
      <c r="J189" s="2">
        <v>1</v>
      </c>
      <c r="K189" s="2">
        <v>0</v>
      </c>
      <c r="L189" s="3" t="s">
        <v>127</v>
      </c>
      <c r="O189" s="4">
        <v>5</v>
      </c>
      <c r="P189" s="4" t="s">
        <v>1039</v>
      </c>
      <c r="Q189" s="4" t="s">
        <v>1040</v>
      </c>
      <c r="R189" s="5" t="s">
        <v>1041</v>
      </c>
      <c r="S189" s="6">
        <v>12000</v>
      </c>
      <c r="T189" s="17" t="s">
        <v>1041</v>
      </c>
      <c r="U189" s="6">
        <v>12000</v>
      </c>
      <c r="V189" s="4"/>
      <c r="W189" s="4" t="s">
        <v>1039</v>
      </c>
      <c r="X189" s="4" t="s">
        <v>1040</v>
      </c>
      <c r="Y189" s="7">
        <v>2</v>
      </c>
      <c r="Z189" s="8">
        <v>3649430</v>
      </c>
      <c r="AA189" s="7" t="s">
        <v>130</v>
      </c>
      <c r="AB189" s="7"/>
      <c r="AC189" s="9">
        <v>3</v>
      </c>
      <c r="AD189" s="10">
        <v>451887</v>
      </c>
      <c r="AE189" s="9" t="s">
        <v>130</v>
      </c>
      <c r="AF189" s="9"/>
      <c r="AG189" s="11">
        <v>4</v>
      </c>
      <c r="AH189" s="11" t="s">
        <v>630</v>
      </c>
      <c r="AI189" s="11" t="s">
        <v>1042</v>
      </c>
      <c r="AJ189" s="11">
        <v>5</v>
      </c>
      <c r="AK189" s="11" t="s">
        <v>143</v>
      </c>
      <c r="AL189" s="12">
        <v>4</v>
      </c>
      <c r="AM189" s="12" t="s">
        <v>620</v>
      </c>
      <c r="AN189" s="12" t="s">
        <v>1043</v>
      </c>
      <c r="AO189" s="12"/>
      <c r="AP189" s="12"/>
      <c r="AQ189" s="4">
        <v>3</v>
      </c>
      <c r="AR189" s="4" t="s">
        <v>208</v>
      </c>
      <c r="AS189" s="4"/>
      <c r="AT189" s="13">
        <v>48.418140411377003</v>
      </c>
      <c r="AU189" s="13">
        <v>0.76362597942352295</v>
      </c>
      <c r="AV189" s="13">
        <v>-2.7373020648956299</v>
      </c>
      <c r="AW189" s="13">
        <v>3.71000003814697</v>
      </c>
      <c r="AX189" s="4"/>
      <c r="AY189" s="13">
        <v>-48.525276184082003</v>
      </c>
      <c r="AZ189" s="13">
        <v>-6.4207501411437997</v>
      </c>
      <c r="BA189" s="13">
        <v>-14.3453006744385</v>
      </c>
      <c r="BB189" s="13">
        <v>0.81650000810623202</v>
      </c>
      <c r="BC189" s="4"/>
      <c r="BD189" s="4">
        <v>10</v>
      </c>
      <c r="BE189" s="4" t="s">
        <v>210</v>
      </c>
      <c r="BF189" s="13">
        <v>6.4473018646240199</v>
      </c>
      <c r="BG189" s="4">
        <v>61.5</v>
      </c>
      <c r="BH189" s="13">
        <v>4.1000001132488299E-2</v>
      </c>
      <c r="BI189" s="13">
        <v>2.5215001106262198</v>
      </c>
      <c r="BJ189" s="4"/>
      <c r="BK189" s="14">
        <v>14</v>
      </c>
      <c r="BL189" s="14">
        <v>15</v>
      </c>
      <c r="BM189" s="14">
        <v>15</v>
      </c>
      <c r="BN189" s="3" t="s">
        <v>113</v>
      </c>
      <c r="BP189" s="15"/>
      <c r="BQ189" s="15" t="s">
        <v>136</v>
      </c>
      <c r="BR189" s="2" t="s">
        <v>211</v>
      </c>
      <c r="BS189" s="2" t="s">
        <v>239</v>
      </c>
      <c r="BT189" s="7" t="s">
        <v>303</v>
      </c>
      <c r="BU189" s="7" t="s">
        <v>147</v>
      </c>
      <c r="BV189" s="9" t="s">
        <v>148</v>
      </c>
      <c r="BW189" s="9" t="s">
        <v>147</v>
      </c>
    </row>
    <row r="190" spans="1:75" ht="14.25" customHeight="1" x14ac:dyDescent="0.25">
      <c r="A190" s="1">
        <v>439</v>
      </c>
      <c r="B190" s="1" t="s">
        <v>1044</v>
      </c>
      <c r="C190" s="1" t="s">
        <v>1045</v>
      </c>
      <c r="D190" s="1" t="s">
        <v>616</v>
      </c>
      <c r="E190" s="1" t="s">
        <v>1020</v>
      </c>
      <c r="F190" s="1" t="s">
        <v>1021</v>
      </c>
      <c r="G190" s="1"/>
      <c r="H190" s="2">
        <v>0</v>
      </c>
      <c r="I190" s="2">
        <v>0</v>
      </c>
      <c r="J190" s="2">
        <v>1</v>
      </c>
      <c r="K190" s="2">
        <v>1</v>
      </c>
      <c r="L190" s="3" t="s">
        <v>80</v>
      </c>
      <c r="O190" s="4">
        <v>5</v>
      </c>
      <c r="P190" s="4" t="s">
        <v>225</v>
      </c>
      <c r="Q190" s="4" t="s">
        <v>1046</v>
      </c>
      <c r="R190" s="5" t="s">
        <v>1047</v>
      </c>
      <c r="S190" s="6">
        <v>7000</v>
      </c>
      <c r="T190" s="17"/>
      <c r="U190" s="6"/>
      <c r="V190" s="4"/>
      <c r="W190" s="4"/>
      <c r="X190" s="4"/>
      <c r="Y190" s="7">
        <v>2</v>
      </c>
      <c r="Z190" s="8">
        <v>2076515</v>
      </c>
      <c r="AA190" s="7" t="s">
        <v>130</v>
      </c>
      <c r="AB190" s="7"/>
      <c r="AC190" s="9">
        <v>2</v>
      </c>
      <c r="AD190" s="10">
        <v>2076515</v>
      </c>
      <c r="AE190" s="9" t="s">
        <v>130</v>
      </c>
      <c r="AF190" s="9"/>
      <c r="AG190" s="11">
        <v>4</v>
      </c>
      <c r="AH190" s="11" t="s">
        <v>1048</v>
      </c>
      <c r="AI190" s="11"/>
      <c r="AJ190" s="11"/>
      <c r="AK190" s="11"/>
      <c r="AL190" s="12">
        <v>4</v>
      </c>
      <c r="AM190" s="12" t="s">
        <v>1049</v>
      </c>
      <c r="AN190" s="12"/>
      <c r="AO190" s="12"/>
      <c r="AP190" s="12"/>
      <c r="AQ190" s="4">
        <v>4</v>
      </c>
      <c r="AR190" s="4" t="s">
        <v>1049</v>
      </c>
      <c r="AS190" s="4" t="s">
        <v>1050</v>
      </c>
      <c r="AT190" s="13"/>
      <c r="AU190" s="13"/>
      <c r="AV190" s="13"/>
      <c r="AW190" s="13"/>
      <c r="AX190" s="4"/>
      <c r="AY190" s="13"/>
      <c r="AZ190" s="13"/>
      <c r="BA190" s="13"/>
      <c r="BB190" s="13"/>
      <c r="BC190" s="4"/>
      <c r="BD190" s="4"/>
      <c r="BE190" s="4"/>
      <c r="BF190" s="13"/>
      <c r="BG190" s="4"/>
      <c r="BH190" s="13"/>
      <c r="BI190" s="13"/>
      <c r="BJ190" s="4"/>
      <c r="BK190" s="14">
        <v>15</v>
      </c>
      <c r="BL190" s="14">
        <v>15</v>
      </c>
      <c r="BM190" s="14">
        <v>15</v>
      </c>
      <c r="BN190" s="3" t="s">
        <v>113</v>
      </c>
      <c r="BP190" s="15"/>
      <c r="BQ190" s="15"/>
      <c r="BR190" s="2" t="s">
        <v>97</v>
      </c>
      <c r="BS190" s="2" t="s">
        <v>97</v>
      </c>
      <c r="BT190" s="7" t="s">
        <v>147</v>
      </c>
      <c r="BU190" s="7"/>
      <c r="BV190" s="9" t="s">
        <v>147</v>
      </c>
      <c r="BW190" s="9"/>
    </row>
    <row r="191" spans="1:75" ht="14.25" customHeight="1" x14ac:dyDescent="0.25">
      <c r="A191" s="1">
        <v>440</v>
      </c>
      <c r="B191" s="1" t="s">
        <v>1051</v>
      </c>
      <c r="C191" s="1" t="s">
        <v>1052</v>
      </c>
      <c r="D191" s="1" t="s">
        <v>616</v>
      </c>
      <c r="E191" s="1" t="s">
        <v>1020</v>
      </c>
      <c r="F191" s="1" t="s">
        <v>1021</v>
      </c>
      <c r="G191" s="1" t="s">
        <v>118</v>
      </c>
      <c r="H191" s="2">
        <v>0</v>
      </c>
      <c r="I191" s="2">
        <v>0</v>
      </c>
      <c r="J191" s="2">
        <v>1</v>
      </c>
      <c r="K191" s="2">
        <v>1</v>
      </c>
      <c r="L191" s="3" t="s">
        <v>80</v>
      </c>
      <c r="O191" s="4">
        <v>4</v>
      </c>
      <c r="P191" s="4" t="s">
        <v>81</v>
      </c>
      <c r="Q191" s="4" t="s">
        <v>1012</v>
      </c>
      <c r="R191" s="5"/>
      <c r="S191" s="6"/>
      <c r="T191" s="17"/>
      <c r="U191" s="6"/>
      <c r="V191" s="4"/>
      <c r="W191" s="4"/>
      <c r="X191" s="4"/>
      <c r="Y191" s="7">
        <v>3</v>
      </c>
      <c r="Z191" s="8">
        <v>559308</v>
      </c>
      <c r="AA191" s="7" t="s">
        <v>130</v>
      </c>
      <c r="AB191" s="7"/>
      <c r="AC191" s="9">
        <v>3</v>
      </c>
      <c r="AD191" s="10">
        <v>559308</v>
      </c>
      <c r="AE191" s="9" t="s">
        <v>130</v>
      </c>
      <c r="AF191" s="9"/>
      <c r="AG191" s="11">
        <v>2</v>
      </c>
      <c r="AH191" s="11" t="s">
        <v>93</v>
      </c>
      <c r="AI191" s="11"/>
      <c r="AJ191" s="11"/>
      <c r="AK191" s="11"/>
      <c r="AL191" s="12">
        <v>2</v>
      </c>
      <c r="AM191" s="12" t="s">
        <v>93</v>
      </c>
      <c r="AN191" s="12"/>
      <c r="AO191" s="12"/>
      <c r="AP191" s="12"/>
      <c r="AQ191" s="4">
        <v>2</v>
      </c>
      <c r="AR191" s="4" t="s">
        <v>83</v>
      </c>
      <c r="AS191" s="4" t="s">
        <v>1053</v>
      </c>
      <c r="AT191" s="13"/>
      <c r="AU191" s="13"/>
      <c r="AV191" s="13"/>
      <c r="AW191" s="13"/>
      <c r="AX191" s="4"/>
      <c r="AY191" s="13"/>
      <c r="AZ191" s="13"/>
      <c r="BA191" s="13"/>
      <c r="BB191" s="13"/>
      <c r="BC191" s="4"/>
      <c r="BD191" s="4"/>
      <c r="BE191" s="4"/>
      <c r="BF191" s="13"/>
      <c r="BG191" s="4"/>
      <c r="BH191" s="13"/>
      <c r="BI191" s="13"/>
      <c r="BJ191" s="4"/>
      <c r="BK191" s="14">
        <v>11</v>
      </c>
      <c r="BL191" s="14">
        <v>11</v>
      </c>
      <c r="BM191" s="14">
        <v>11</v>
      </c>
      <c r="BP191" s="15"/>
      <c r="BQ191" s="15"/>
      <c r="BR191" s="2" t="s">
        <v>115</v>
      </c>
      <c r="BS191" s="2" t="s">
        <v>115</v>
      </c>
      <c r="BT191" s="7" t="s">
        <v>147</v>
      </c>
      <c r="BU191" s="7"/>
      <c r="BV191" s="9" t="s">
        <v>147</v>
      </c>
      <c r="BW191" s="9"/>
    </row>
    <row r="192" spans="1:75" ht="14.25" customHeight="1" x14ac:dyDescent="0.25">
      <c r="A192" s="1">
        <v>441</v>
      </c>
      <c r="B192" s="1" t="s">
        <v>1054</v>
      </c>
      <c r="C192" s="1" t="s">
        <v>1055</v>
      </c>
      <c r="D192" s="1" t="s">
        <v>616</v>
      </c>
      <c r="E192" s="1" t="s">
        <v>1020</v>
      </c>
      <c r="F192" s="1" t="s">
        <v>1021</v>
      </c>
      <c r="G192" s="1"/>
      <c r="H192" s="2">
        <v>0</v>
      </c>
      <c r="I192" s="2">
        <v>0</v>
      </c>
      <c r="J192" s="2">
        <v>0</v>
      </c>
      <c r="K192" s="2">
        <v>1</v>
      </c>
      <c r="L192" s="3" t="s">
        <v>80</v>
      </c>
      <c r="O192" s="4">
        <v>3</v>
      </c>
      <c r="P192" s="4" t="s">
        <v>81</v>
      </c>
      <c r="Q192" s="4"/>
      <c r="R192" s="5"/>
      <c r="S192" s="6"/>
      <c r="T192" s="17"/>
      <c r="U192" s="6"/>
      <c r="V192" s="4"/>
      <c r="W192" s="4"/>
      <c r="X192" s="4"/>
      <c r="Y192" s="7">
        <v>3</v>
      </c>
      <c r="Z192" s="8">
        <v>484000</v>
      </c>
      <c r="AA192" s="7" t="s">
        <v>812</v>
      </c>
      <c r="AB192" s="7"/>
      <c r="AC192" s="9">
        <v>3</v>
      </c>
      <c r="AD192" s="10">
        <v>484000</v>
      </c>
      <c r="AE192" s="9" t="s">
        <v>812</v>
      </c>
      <c r="AF192" s="9"/>
      <c r="AG192" s="11">
        <v>2</v>
      </c>
      <c r="AH192" s="11" t="s">
        <v>83</v>
      </c>
      <c r="AI192" s="11"/>
      <c r="AJ192" s="11"/>
      <c r="AK192" s="11"/>
      <c r="AL192" s="12">
        <v>2</v>
      </c>
      <c r="AM192" s="12" t="s">
        <v>83</v>
      </c>
      <c r="AN192" s="12"/>
      <c r="AO192" s="12"/>
      <c r="AP192" s="12"/>
      <c r="AQ192" s="4">
        <v>2</v>
      </c>
      <c r="AR192" s="4" t="s">
        <v>83</v>
      </c>
      <c r="AS192" s="4" t="s">
        <v>1056</v>
      </c>
      <c r="AT192" s="13"/>
      <c r="AU192" s="13"/>
      <c r="AV192" s="13"/>
      <c r="AW192" s="13"/>
      <c r="AX192" s="4"/>
      <c r="AY192" s="13"/>
      <c r="AZ192" s="13"/>
      <c r="BA192" s="13"/>
      <c r="BB192" s="13"/>
      <c r="BC192" s="4"/>
      <c r="BD192" s="4"/>
      <c r="BE192" s="4"/>
      <c r="BF192" s="13"/>
      <c r="BG192" s="4"/>
      <c r="BH192" s="13"/>
      <c r="BI192" s="13"/>
      <c r="BJ192" s="4"/>
      <c r="BK192" s="14">
        <v>10</v>
      </c>
      <c r="BL192" s="14">
        <v>10</v>
      </c>
      <c r="BM192" s="14">
        <v>10</v>
      </c>
      <c r="BP192" s="15"/>
      <c r="BQ192" s="15"/>
      <c r="BR192" s="2" t="s">
        <v>121</v>
      </c>
      <c r="BS192" s="2" t="s">
        <v>121</v>
      </c>
      <c r="BT192" s="7" t="s">
        <v>147</v>
      </c>
      <c r="BU192" s="7"/>
      <c r="BV192" s="9" t="s">
        <v>147</v>
      </c>
      <c r="BW192" s="9"/>
    </row>
    <row r="193" spans="1:75" ht="14.25" customHeight="1" x14ac:dyDescent="0.25">
      <c r="A193" s="1">
        <v>442</v>
      </c>
      <c r="B193" s="1" t="s">
        <v>1057</v>
      </c>
      <c r="C193" s="1" t="s">
        <v>1058</v>
      </c>
      <c r="D193" s="1" t="s">
        <v>616</v>
      </c>
      <c r="E193" s="1" t="s">
        <v>1020</v>
      </c>
      <c r="F193" s="1" t="s">
        <v>1021</v>
      </c>
      <c r="G193" s="1" t="s">
        <v>118</v>
      </c>
      <c r="H193" s="2">
        <v>0</v>
      </c>
      <c r="I193" s="2">
        <v>0</v>
      </c>
      <c r="J193" s="2">
        <v>1</v>
      </c>
      <c r="K193" s="2">
        <v>1</v>
      </c>
      <c r="L193" s="3" t="s">
        <v>80</v>
      </c>
      <c r="O193" s="4">
        <v>3</v>
      </c>
      <c r="P193" s="4" t="s">
        <v>81</v>
      </c>
      <c r="Q193" s="4"/>
      <c r="R193" s="5"/>
      <c r="S193" s="6"/>
      <c r="T193" s="17"/>
      <c r="U193" s="6"/>
      <c r="V193" s="4"/>
      <c r="W193" s="4"/>
      <c r="X193" s="4"/>
      <c r="Y193" s="7">
        <v>1</v>
      </c>
      <c r="Z193" s="8">
        <v>5160000</v>
      </c>
      <c r="AA193" s="7" t="s">
        <v>812</v>
      </c>
      <c r="AB193" s="7"/>
      <c r="AC193" s="9">
        <v>1</v>
      </c>
      <c r="AD193" s="10">
        <v>5160000</v>
      </c>
      <c r="AE193" s="9" t="s">
        <v>812</v>
      </c>
      <c r="AF193" s="9"/>
      <c r="AG193" s="11">
        <v>4</v>
      </c>
      <c r="AH193" s="11" t="s">
        <v>83</v>
      </c>
      <c r="AI193" s="11"/>
      <c r="AJ193" s="11"/>
      <c r="AK193" s="11"/>
      <c r="AL193" s="12">
        <v>4</v>
      </c>
      <c r="AM193" s="12" t="s">
        <v>83</v>
      </c>
      <c r="AN193" s="12"/>
      <c r="AO193" s="12"/>
      <c r="AP193" s="12"/>
      <c r="AQ193" s="4">
        <v>3</v>
      </c>
      <c r="AR193" s="4" t="s">
        <v>83</v>
      </c>
      <c r="AS193" s="4" t="s">
        <v>1059</v>
      </c>
      <c r="AT193" s="13"/>
      <c r="AU193" s="13"/>
      <c r="AV193" s="13"/>
      <c r="AW193" s="13"/>
      <c r="AX193" s="4"/>
      <c r="AY193" s="13"/>
      <c r="AZ193" s="13"/>
      <c r="BA193" s="13"/>
      <c r="BB193" s="13"/>
      <c r="BC193" s="4"/>
      <c r="BD193" s="4"/>
      <c r="BE193" s="4"/>
      <c r="BF193" s="13"/>
      <c r="BG193" s="4"/>
      <c r="BH193" s="13"/>
      <c r="BI193" s="13"/>
      <c r="BJ193" s="4"/>
      <c r="BK193" s="14">
        <v>11</v>
      </c>
      <c r="BL193" s="14">
        <v>11</v>
      </c>
      <c r="BM193" s="14">
        <v>11</v>
      </c>
      <c r="BP193" s="15"/>
      <c r="BQ193" s="15"/>
      <c r="BR193" s="2" t="s">
        <v>97</v>
      </c>
      <c r="BS193" s="2" t="s">
        <v>97</v>
      </c>
      <c r="BT193" s="7" t="s">
        <v>147</v>
      </c>
      <c r="BU193" s="7"/>
      <c r="BV193" s="9" t="s">
        <v>147</v>
      </c>
      <c r="BW193" s="9"/>
    </row>
    <row r="194" spans="1:75" ht="14.25" customHeight="1" x14ac:dyDescent="0.25">
      <c r="A194" s="1">
        <v>443</v>
      </c>
      <c r="B194" s="1" t="s">
        <v>1060</v>
      </c>
      <c r="C194" s="1" t="s">
        <v>1061</v>
      </c>
      <c r="D194" s="1" t="s">
        <v>616</v>
      </c>
      <c r="E194" s="1" t="s">
        <v>1020</v>
      </c>
      <c r="F194" s="1" t="s">
        <v>1021</v>
      </c>
      <c r="G194" s="1"/>
      <c r="H194" s="2">
        <v>0</v>
      </c>
      <c r="I194" s="2">
        <v>1</v>
      </c>
      <c r="J194" s="2">
        <v>1</v>
      </c>
      <c r="K194" s="2">
        <v>1</v>
      </c>
      <c r="L194" s="3" t="s">
        <v>127</v>
      </c>
      <c r="O194" s="4">
        <v>4</v>
      </c>
      <c r="P194" s="4" t="s">
        <v>1062</v>
      </c>
      <c r="Q194" s="4" t="s">
        <v>1063</v>
      </c>
      <c r="R194" s="16">
        <v>52000</v>
      </c>
      <c r="S194" s="6">
        <v>52000</v>
      </c>
      <c r="T194" s="17"/>
      <c r="U194" s="6"/>
      <c r="V194" s="4"/>
      <c r="W194" s="4"/>
      <c r="X194" s="4"/>
      <c r="Y194" s="7">
        <v>3</v>
      </c>
      <c r="Z194" s="8">
        <v>337361</v>
      </c>
      <c r="AA194" s="7" t="s">
        <v>130</v>
      </c>
      <c r="AB194" s="7"/>
      <c r="AC194" s="9">
        <v>3</v>
      </c>
      <c r="AD194" s="10">
        <v>485080</v>
      </c>
      <c r="AE194" s="9" t="s">
        <v>130</v>
      </c>
      <c r="AF194" s="9"/>
      <c r="AG194" s="11">
        <v>5</v>
      </c>
      <c r="AH194" s="11" t="s">
        <v>630</v>
      </c>
      <c r="AI194" s="11" t="s">
        <v>1064</v>
      </c>
      <c r="AJ194" s="11">
        <v>3</v>
      </c>
      <c r="AK194" s="11" t="s">
        <v>143</v>
      </c>
      <c r="AL194" s="12">
        <v>4</v>
      </c>
      <c r="AM194" s="12" t="s">
        <v>630</v>
      </c>
      <c r="AN194" s="12" t="s">
        <v>1043</v>
      </c>
      <c r="AO194" s="12">
        <v>2</v>
      </c>
      <c r="AP194" s="12" t="s">
        <v>143</v>
      </c>
      <c r="AQ194" s="4">
        <v>5</v>
      </c>
      <c r="AR194" s="4" t="s">
        <v>620</v>
      </c>
      <c r="AS194" s="4" t="s">
        <v>1065</v>
      </c>
      <c r="AT194" s="13"/>
      <c r="AU194" s="13"/>
      <c r="AV194" s="13"/>
      <c r="AW194" s="13"/>
      <c r="AX194" s="4"/>
      <c r="AY194" s="13"/>
      <c r="AZ194" s="13"/>
      <c r="BA194" s="13"/>
      <c r="BB194" s="13"/>
      <c r="BC194" s="4"/>
      <c r="BD194" s="4"/>
      <c r="BE194" s="4"/>
      <c r="BF194" s="13"/>
      <c r="BG194" s="4"/>
      <c r="BH194" s="13"/>
      <c r="BI194" s="13"/>
      <c r="BJ194" s="4"/>
      <c r="BK194" s="14">
        <v>17</v>
      </c>
      <c r="BL194" s="14">
        <v>16</v>
      </c>
      <c r="BM194" s="14">
        <v>17</v>
      </c>
      <c r="BN194" s="3" t="s">
        <v>312</v>
      </c>
      <c r="BO194" s="3" t="s">
        <v>414</v>
      </c>
      <c r="BP194" s="15"/>
      <c r="BQ194" s="15"/>
      <c r="BR194" s="2" t="s">
        <v>172</v>
      </c>
      <c r="BS194" s="2" t="s">
        <v>247</v>
      </c>
      <c r="BT194" s="7" t="s">
        <v>148</v>
      </c>
      <c r="BU194" s="7" t="s">
        <v>147</v>
      </c>
      <c r="BV194" s="9" t="s">
        <v>148</v>
      </c>
      <c r="BW194" s="9" t="s">
        <v>147</v>
      </c>
    </row>
    <row r="195" spans="1:75" ht="14.25" customHeight="1" x14ac:dyDescent="0.25">
      <c r="A195" s="1">
        <v>446</v>
      </c>
      <c r="B195" s="1" t="s">
        <v>1066</v>
      </c>
      <c r="C195" s="1" t="s">
        <v>1067</v>
      </c>
      <c r="D195" s="1" t="s">
        <v>616</v>
      </c>
      <c r="E195" s="1" t="s">
        <v>1020</v>
      </c>
      <c r="F195" s="1" t="s">
        <v>1068</v>
      </c>
      <c r="G195" s="1" t="s">
        <v>118</v>
      </c>
      <c r="H195" s="2">
        <v>0</v>
      </c>
      <c r="I195" s="2">
        <v>0</v>
      </c>
      <c r="J195" s="2">
        <v>1</v>
      </c>
      <c r="K195" s="2">
        <v>1</v>
      </c>
      <c r="L195" s="3" t="s">
        <v>80</v>
      </c>
      <c r="O195" s="4">
        <v>3</v>
      </c>
      <c r="P195" s="4" t="s">
        <v>81</v>
      </c>
      <c r="Q195" s="4" t="s">
        <v>1069</v>
      </c>
      <c r="R195" s="5"/>
      <c r="S195" s="6"/>
      <c r="T195" s="17"/>
      <c r="U195" s="6"/>
      <c r="V195" s="4"/>
      <c r="W195" s="4"/>
      <c r="X195" s="4"/>
      <c r="Y195" s="7">
        <v>1</v>
      </c>
      <c r="Z195" s="8">
        <v>8844397</v>
      </c>
      <c r="AA195" s="7" t="s">
        <v>130</v>
      </c>
      <c r="AB195" s="7"/>
      <c r="AC195" s="9">
        <v>1</v>
      </c>
      <c r="AD195" s="10">
        <v>8844397</v>
      </c>
      <c r="AE195" s="9" t="s">
        <v>130</v>
      </c>
      <c r="AF195" s="9"/>
      <c r="AG195" s="11">
        <v>3</v>
      </c>
      <c r="AH195" s="11" t="s">
        <v>93</v>
      </c>
      <c r="AI195" s="11"/>
      <c r="AJ195" s="11"/>
      <c r="AK195" s="11"/>
      <c r="AL195" s="12">
        <v>3</v>
      </c>
      <c r="AM195" s="12" t="s">
        <v>93</v>
      </c>
      <c r="AN195" s="12"/>
      <c r="AO195" s="12"/>
      <c r="AP195" s="12"/>
      <c r="AQ195" s="4">
        <v>4</v>
      </c>
      <c r="AR195" s="4" t="s">
        <v>83</v>
      </c>
      <c r="AS195" s="4" t="s">
        <v>1053</v>
      </c>
      <c r="AT195" s="13"/>
      <c r="AU195" s="13"/>
      <c r="AV195" s="13"/>
      <c r="AW195" s="13"/>
      <c r="AX195" s="4"/>
      <c r="AY195" s="13"/>
      <c r="AZ195" s="13"/>
      <c r="BA195" s="13"/>
      <c r="BB195" s="13"/>
      <c r="BC195" s="4"/>
      <c r="BD195" s="4"/>
      <c r="BE195" s="4"/>
      <c r="BF195" s="13"/>
      <c r="BG195" s="4"/>
      <c r="BH195" s="13"/>
      <c r="BI195" s="13"/>
      <c r="BJ195" s="4"/>
      <c r="BK195" s="14">
        <v>11</v>
      </c>
      <c r="BL195" s="14">
        <v>11</v>
      </c>
      <c r="BM195" s="14">
        <v>11</v>
      </c>
      <c r="BP195" s="15"/>
      <c r="BQ195" s="15"/>
      <c r="BR195" s="2" t="s">
        <v>97</v>
      </c>
      <c r="BS195" s="2" t="s">
        <v>97</v>
      </c>
      <c r="BT195" s="7" t="s">
        <v>212</v>
      </c>
      <c r="BU195" s="7"/>
      <c r="BV195" s="9" t="s">
        <v>212</v>
      </c>
      <c r="BW195" s="9"/>
    </row>
    <row r="196" spans="1:75" ht="14.25" customHeight="1" x14ac:dyDescent="0.25">
      <c r="A196" s="1">
        <v>447</v>
      </c>
      <c r="B196" s="1" t="s">
        <v>1070</v>
      </c>
      <c r="C196" s="1" t="s">
        <v>1071</v>
      </c>
      <c r="D196" s="1" t="s">
        <v>616</v>
      </c>
      <c r="E196" s="1" t="s">
        <v>1020</v>
      </c>
      <c r="F196" s="1" t="s">
        <v>1072</v>
      </c>
      <c r="G196" s="1"/>
      <c r="H196" s="2">
        <v>0</v>
      </c>
      <c r="I196" s="2">
        <v>1</v>
      </c>
      <c r="J196" s="2">
        <v>1</v>
      </c>
      <c r="K196" s="2">
        <v>1</v>
      </c>
      <c r="L196" s="3" t="s">
        <v>80</v>
      </c>
      <c r="O196" s="4">
        <v>3</v>
      </c>
      <c r="P196" s="4" t="s">
        <v>1039</v>
      </c>
      <c r="Q196" s="4" t="s">
        <v>1073</v>
      </c>
      <c r="R196" s="5" t="s">
        <v>1074</v>
      </c>
      <c r="S196" s="6">
        <v>1000000</v>
      </c>
      <c r="T196" s="16">
        <v>9000</v>
      </c>
      <c r="U196" s="6">
        <v>9000</v>
      </c>
      <c r="V196" s="4">
        <v>1994</v>
      </c>
      <c r="W196" s="4" t="s">
        <v>1075</v>
      </c>
      <c r="X196" s="4"/>
      <c r="Y196" s="7">
        <v>1</v>
      </c>
      <c r="Z196" s="8">
        <v>12254998</v>
      </c>
      <c r="AA196" s="7" t="s">
        <v>130</v>
      </c>
      <c r="AB196" s="7"/>
      <c r="AC196" s="9">
        <v>1</v>
      </c>
      <c r="AD196" s="10">
        <v>12254998</v>
      </c>
      <c r="AE196" s="9" t="s">
        <v>130</v>
      </c>
      <c r="AF196" s="9"/>
      <c r="AG196" s="11">
        <v>3</v>
      </c>
      <c r="AH196" s="11" t="s">
        <v>630</v>
      </c>
      <c r="AI196" s="11"/>
      <c r="AJ196" s="11">
        <v>2</v>
      </c>
      <c r="AK196" s="11" t="s">
        <v>143</v>
      </c>
      <c r="AL196" s="12">
        <v>3</v>
      </c>
      <c r="AM196" s="12" t="s">
        <v>630</v>
      </c>
      <c r="AN196" s="12"/>
      <c r="AO196" s="12">
        <v>2</v>
      </c>
      <c r="AP196" s="12" t="s">
        <v>132</v>
      </c>
      <c r="AQ196" s="4">
        <v>1</v>
      </c>
      <c r="AR196" s="4" t="s">
        <v>222</v>
      </c>
      <c r="AS196" s="4" t="s">
        <v>1076</v>
      </c>
      <c r="AT196" s="13">
        <v>283.41879272460898</v>
      </c>
      <c r="AU196" s="13">
        <v>2.7807309627532999</v>
      </c>
      <c r="AV196" s="13">
        <v>1.4893779754638701</v>
      </c>
      <c r="AW196" s="13">
        <v>4.4000000953674299</v>
      </c>
      <c r="AX196" s="4">
        <v>1</v>
      </c>
      <c r="AY196" s="13">
        <v>215.989013671875</v>
      </c>
      <c r="AZ196" s="13">
        <v>10.0624895095825</v>
      </c>
      <c r="BA196" s="13">
        <v>6.8595385551452601</v>
      </c>
      <c r="BB196" s="13">
        <v>14.6000003814697</v>
      </c>
      <c r="BC196" s="4">
        <v>1</v>
      </c>
      <c r="BD196" s="4">
        <v>12</v>
      </c>
      <c r="BE196" s="4"/>
      <c r="BF196" s="13">
        <v>2.9106218814849898</v>
      </c>
      <c r="BG196" s="4"/>
      <c r="BH196" s="13"/>
      <c r="BI196" s="13"/>
      <c r="BJ196" s="4"/>
      <c r="BK196" s="14">
        <v>8</v>
      </c>
      <c r="BL196" s="14">
        <v>8</v>
      </c>
      <c r="BM196" s="14">
        <v>8</v>
      </c>
      <c r="BP196" s="15"/>
      <c r="BQ196" s="15"/>
      <c r="BR196" s="2" t="s">
        <v>97</v>
      </c>
      <c r="BS196" s="2" t="s">
        <v>97</v>
      </c>
      <c r="BT196" s="7" t="s">
        <v>212</v>
      </c>
      <c r="BU196" s="7" t="s">
        <v>147</v>
      </c>
      <c r="BV196" s="9" t="s">
        <v>212</v>
      </c>
      <c r="BW196" s="9" t="s">
        <v>147</v>
      </c>
    </row>
    <row r="197" spans="1:75" ht="14.25" customHeight="1" x14ac:dyDescent="0.25">
      <c r="A197" s="1">
        <v>448</v>
      </c>
      <c r="B197" s="1" t="s">
        <v>1077</v>
      </c>
      <c r="C197" s="1" t="s">
        <v>1078</v>
      </c>
      <c r="D197" s="1" t="s">
        <v>616</v>
      </c>
      <c r="E197" s="1" t="s">
        <v>1020</v>
      </c>
      <c r="F197" s="1" t="s">
        <v>1079</v>
      </c>
      <c r="G197" s="1"/>
      <c r="H197" s="2">
        <v>1</v>
      </c>
      <c r="I197" s="2">
        <v>1</v>
      </c>
      <c r="J197" s="2">
        <v>1</v>
      </c>
      <c r="K197" s="2">
        <v>0</v>
      </c>
      <c r="L197" s="3" t="s">
        <v>127</v>
      </c>
      <c r="O197" s="4">
        <v>3</v>
      </c>
      <c r="P197" s="4" t="s">
        <v>1080</v>
      </c>
      <c r="Q197" s="4" t="s">
        <v>169</v>
      </c>
      <c r="R197" s="16">
        <v>560000</v>
      </c>
      <c r="S197" s="6">
        <v>560000</v>
      </c>
      <c r="T197" s="16">
        <v>500000</v>
      </c>
      <c r="U197" s="6">
        <v>500000</v>
      </c>
      <c r="V197" s="4">
        <v>2010.5</v>
      </c>
      <c r="W197" s="4" t="s">
        <v>1081</v>
      </c>
      <c r="X197" s="4"/>
      <c r="Y197" s="7">
        <v>1</v>
      </c>
      <c r="Z197" s="8">
        <v>9157548</v>
      </c>
      <c r="AA197" s="7" t="s">
        <v>154</v>
      </c>
      <c r="AB197" s="7"/>
      <c r="AC197" s="9">
        <v>2</v>
      </c>
      <c r="AD197" s="10">
        <v>1334290</v>
      </c>
      <c r="AE197" s="9" t="s">
        <v>155</v>
      </c>
      <c r="AF197" s="9"/>
      <c r="AG197" s="11">
        <v>3</v>
      </c>
      <c r="AH197" s="11" t="s">
        <v>630</v>
      </c>
      <c r="AI197" s="11" t="s">
        <v>1082</v>
      </c>
      <c r="AJ197" s="11">
        <v>3</v>
      </c>
      <c r="AK197" s="11" t="s">
        <v>143</v>
      </c>
      <c r="AL197" s="12">
        <v>2</v>
      </c>
      <c r="AM197" s="12" t="s">
        <v>630</v>
      </c>
      <c r="AN197" s="12" t="s">
        <v>1083</v>
      </c>
      <c r="AO197" s="12">
        <v>1</v>
      </c>
      <c r="AP197" s="12" t="s">
        <v>143</v>
      </c>
      <c r="AQ197" s="4">
        <v>1</v>
      </c>
      <c r="AR197" s="4" t="s">
        <v>133</v>
      </c>
      <c r="AS197" s="4"/>
      <c r="AT197" s="13">
        <v>1123.70825195313</v>
      </c>
      <c r="AU197" s="13">
        <v>5.0330843925476101</v>
      </c>
      <c r="AV197" s="13">
        <v>4.25</v>
      </c>
      <c r="AW197" s="13">
        <v>6.1399998664856001</v>
      </c>
      <c r="AX197" s="4">
        <v>1</v>
      </c>
      <c r="AY197" s="13">
        <v>279.52911376953102</v>
      </c>
      <c r="AZ197" s="13">
        <v>4.0040225982665998</v>
      </c>
      <c r="BA197" s="13">
        <v>2.6239039897918701</v>
      </c>
      <c r="BB197" s="13">
        <v>5.4699997901916504</v>
      </c>
      <c r="BC197" s="4">
        <v>1</v>
      </c>
      <c r="BD197" s="4">
        <v>34</v>
      </c>
      <c r="BE197" s="4" t="s">
        <v>134</v>
      </c>
      <c r="BF197" s="13">
        <v>1.8899999856948899</v>
      </c>
      <c r="BG197" s="4">
        <v>970</v>
      </c>
      <c r="BH197" s="13">
        <v>1.1499999761581401</v>
      </c>
      <c r="BI197" s="13">
        <v>1114.73999023438</v>
      </c>
      <c r="BJ197" s="4"/>
      <c r="BK197" s="14">
        <v>8</v>
      </c>
      <c r="BL197" s="14">
        <v>8</v>
      </c>
      <c r="BM197" s="14">
        <v>8</v>
      </c>
      <c r="BP197" s="15"/>
      <c r="BQ197" s="15" t="s">
        <v>136</v>
      </c>
      <c r="BR197" s="2" t="s">
        <v>172</v>
      </c>
      <c r="BS197" s="2" t="s">
        <v>172</v>
      </c>
      <c r="BT197" s="7" t="s">
        <v>137</v>
      </c>
      <c r="BU197" s="7"/>
      <c r="BV197" s="9" t="s">
        <v>137</v>
      </c>
      <c r="BW197" s="9"/>
    </row>
    <row r="198" spans="1:75" ht="14.25" customHeight="1" x14ac:dyDescent="0.25">
      <c r="A198" s="1">
        <v>451</v>
      </c>
      <c r="B198" s="1" t="s">
        <v>1084</v>
      </c>
      <c r="C198" s="1" t="s">
        <v>1085</v>
      </c>
      <c r="D198" s="1" t="s">
        <v>616</v>
      </c>
      <c r="E198" s="1" t="s">
        <v>1020</v>
      </c>
      <c r="F198" s="1" t="s">
        <v>1079</v>
      </c>
      <c r="G198" s="1" t="s">
        <v>118</v>
      </c>
      <c r="H198" s="2">
        <v>1</v>
      </c>
      <c r="I198" s="2">
        <v>1</v>
      </c>
      <c r="J198" s="2">
        <v>1</v>
      </c>
      <c r="K198" s="2">
        <v>0</v>
      </c>
      <c r="L198" s="3" t="s">
        <v>127</v>
      </c>
      <c r="O198" s="4">
        <v>5</v>
      </c>
      <c r="P198" s="4" t="s">
        <v>1086</v>
      </c>
      <c r="Q198" s="4"/>
      <c r="R198" s="5">
        <v>280</v>
      </c>
      <c r="S198" s="6">
        <v>280</v>
      </c>
      <c r="T198" s="5">
        <v>280</v>
      </c>
      <c r="U198" s="6">
        <v>280</v>
      </c>
      <c r="V198" s="4"/>
      <c r="W198" s="4" t="s">
        <v>1086</v>
      </c>
      <c r="X198" s="4"/>
      <c r="Y198" s="7">
        <v>5</v>
      </c>
      <c r="Z198" s="8">
        <v>36574</v>
      </c>
      <c r="AA198" s="7" t="s">
        <v>130</v>
      </c>
      <c r="AB198" s="7"/>
      <c r="AC198" s="9">
        <v>5</v>
      </c>
      <c r="AD198" s="10">
        <v>61670</v>
      </c>
      <c r="AE198" s="9" t="s">
        <v>130</v>
      </c>
      <c r="AF198" s="9"/>
      <c r="AG198" s="11">
        <v>5</v>
      </c>
      <c r="AH198" s="11" t="s">
        <v>630</v>
      </c>
      <c r="AI198" s="11" t="s">
        <v>1087</v>
      </c>
      <c r="AJ198" s="11">
        <v>5</v>
      </c>
      <c r="AK198" s="11" t="s">
        <v>132</v>
      </c>
      <c r="AL198" s="12">
        <v>5</v>
      </c>
      <c r="AM198" s="12" t="s">
        <v>630</v>
      </c>
      <c r="AN198" s="12" t="s">
        <v>1088</v>
      </c>
      <c r="AO198" s="12">
        <v>2</v>
      </c>
      <c r="AP198" s="12" t="s">
        <v>143</v>
      </c>
      <c r="AQ198" s="4">
        <v>3</v>
      </c>
      <c r="AR198" s="4" t="s">
        <v>1089</v>
      </c>
      <c r="AS198" s="4" t="s">
        <v>1090</v>
      </c>
      <c r="AT198" s="13"/>
      <c r="AU198" s="13"/>
      <c r="AV198" s="13"/>
      <c r="AW198" s="13"/>
      <c r="AX198" s="4"/>
      <c r="AY198" s="13"/>
      <c r="AZ198" s="13"/>
      <c r="BA198" s="13"/>
      <c r="BB198" s="13"/>
      <c r="BC198" s="4"/>
      <c r="BD198" s="4"/>
      <c r="BE198" s="4"/>
      <c r="BF198" s="13"/>
      <c r="BG198" s="4"/>
      <c r="BH198" s="13"/>
      <c r="BI198" s="13"/>
      <c r="BJ198" s="4"/>
      <c r="BK198" s="14">
        <v>18</v>
      </c>
      <c r="BL198" s="14">
        <v>18</v>
      </c>
      <c r="BM198" s="14">
        <v>18</v>
      </c>
      <c r="BN198" s="3" t="s">
        <v>312</v>
      </c>
      <c r="BO198" s="3" t="s">
        <v>414</v>
      </c>
      <c r="BP198" s="15"/>
      <c r="BQ198" s="15"/>
      <c r="BR198" s="2" t="s">
        <v>211</v>
      </c>
      <c r="BS198" s="2" t="s">
        <v>239</v>
      </c>
      <c r="BT198" s="7" t="s">
        <v>303</v>
      </c>
      <c r="BU198" s="7" t="s">
        <v>147</v>
      </c>
      <c r="BV198" s="9" t="s">
        <v>148</v>
      </c>
      <c r="BW198" s="9" t="s">
        <v>147</v>
      </c>
    </row>
    <row r="199" spans="1:75" ht="14.25" customHeight="1" x14ac:dyDescent="0.25">
      <c r="A199" s="1">
        <v>452</v>
      </c>
      <c r="B199" s="1" t="s">
        <v>1091</v>
      </c>
      <c r="C199" s="1" t="s">
        <v>1092</v>
      </c>
      <c r="D199" s="1" t="s">
        <v>1093</v>
      </c>
      <c r="E199" s="1" t="s">
        <v>1094</v>
      </c>
      <c r="F199" s="1" t="s">
        <v>1095</v>
      </c>
      <c r="G199" s="1"/>
      <c r="H199" s="2">
        <v>0</v>
      </c>
      <c r="I199" s="2">
        <v>0</v>
      </c>
      <c r="J199" s="2">
        <v>1</v>
      </c>
      <c r="K199" s="2">
        <v>1</v>
      </c>
      <c r="L199" s="3" t="s">
        <v>80</v>
      </c>
      <c r="O199" s="4">
        <v>3</v>
      </c>
      <c r="P199" s="4" t="s">
        <v>81</v>
      </c>
      <c r="Q199" s="4" t="s">
        <v>1096</v>
      </c>
      <c r="R199" s="5"/>
      <c r="S199" s="6"/>
      <c r="T199" s="17"/>
      <c r="U199" s="6"/>
      <c r="V199" s="4"/>
      <c r="W199" s="4"/>
      <c r="X199" s="4"/>
      <c r="Y199" s="7">
        <v>3</v>
      </c>
      <c r="Z199" s="8">
        <v>845824</v>
      </c>
      <c r="AA199" s="7" t="s">
        <v>130</v>
      </c>
      <c r="AB199" s="7"/>
      <c r="AC199" s="9">
        <v>3</v>
      </c>
      <c r="AD199" s="10">
        <v>845824</v>
      </c>
      <c r="AE199" s="9" t="s">
        <v>130</v>
      </c>
      <c r="AF199" s="9"/>
      <c r="AG199" s="11">
        <v>2</v>
      </c>
      <c r="AH199" s="11" t="s">
        <v>83</v>
      </c>
      <c r="AI199" s="11"/>
      <c r="AJ199" s="11"/>
      <c r="AK199" s="11"/>
      <c r="AL199" s="12">
        <v>2</v>
      </c>
      <c r="AM199" s="12" t="s">
        <v>83</v>
      </c>
      <c r="AN199" s="12"/>
      <c r="AO199" s="12"/>
      <c r="AP199" s="12"/>
      <c r="AQ199" s="4">
        <v>2</v>
      </c>
      <c r="AR199" s="4" t="s">
        <v>83</v>
      </c>
      <c r="AS199" s="4"/>
      <c r="AT199" s="13"/>
      <c r="AU199" s="13"/>
      <c r="AV199" s="13"/>
      <c r="AW199" s="13"/>
      <c r="AX199" s="4"/>
      <c r="AY199" s="13"/>
      <c r="AZ199" s="13"/>
      <c r="BA199" s="13"/>
      <c r="BB199" s="13"/>
      <c r="BC199" s="4"/>
      <c r="BD199" s="4"/>
      <c r="BE199" s="4"/>
      <c r="BF199" s="13"/>
      <c r="BG199" s="4"/>
      <c r="BH199" s="13"/>
      <c r="BI199" s="13"/>
      <c r="BJ199" s="4"/>
      <c r="BK199" s="14">
        <v>10</v>
      </c>
      <c r="BL199" s="14">
        <v>10</v>
      </c>
      <c r="BM199" s="14">
        <v>10</v>
      </c>
      <c r="BP199" s="15"/>
      <c r="BQ199" s="15" t="s">
        <v>136</v>
      </c>
      <c r="BR199" s="2" t="s">
        <v>97</v>
      </c>
      <c r="BS199" s="2" t="s">
        <v>97</v>
      </c>
      <c r="BT199" s="7" t="s">
        <v>463</v>
      </c>
      <c r="BU199" s="7"/>
      <c r="BV199" s="9" t="s">
        <v>463</v>
      </c>
      <c r="BW199" s="9"/>
    </row>
    <row r="200" spans="1:75" ht="14.25" customHeight="1" x14ac:dyDescent="0.25">
      <c r="A200" s="1">
        <v>454</v>
      </c>
      <c r="B200" s="1" t="s">
        <v>1097</v>
      </c>
      <c r="C200" s="1" t="s">
        <v>1098</v>
      </c>
      <c r="D200" s="1" t="s">
        <v>1093</v>
      </c>
      <c r="E200" s="1" t="s">
        <v>1094</v>
      </c>
      <c r="F200" s="1" t="s">
        <v>1099</v>
      </c>
      <c r="G200" s="1"/>
      <c r="H200" s="2">
        <v>1</v>
      </c>
      <c r="I200" s="2">
        <v>1</v>
      </c>
      <c r="J200" s="2">
        <v>1</v>
      </c>
      <c r="K200" s="2">
        <v>1</v>
      </c>
      <c r="L200" s="3" t="s">
        <v>127</v>
      </c>
      <c r="O200" s="4">
        <v>3</v>
      </c>
      <c r="P200" s="4" t="s">
        <v>1100</v>
      </c>
      <c r="Q200" s="4" t="s">
        <v>1101</v>
      </c>
      <c r="R200" s="16">
        <v>900000</v>
      </c>
      <c r="S200" s="6">
        <v>900000</v>
      </c>
      <c r="T200" s="16">
        <v>180000</v>
      </c>
      <c r="U200" s="6">
        <v>180000</v>
      </c>
      <c r="V200" s="4"/>
      <c r="W200" s="4" t="s">
        <v>1102</v>
      </c>
      <c r="X200" s="4" t="s">
        <v>1103</v>
      </c>
      <c r="Y200" s="7">
        <v>1</v>
      </c>
      <c r="Z200" s="8">
        <v>12040995</v>
      </c>
      <c r="AA200" s="7" t="s">
        <v>1104</v>
      </c>
      <c r="AB200" s="7"/>
      <c r="AC200" s="9">
        <v>1</v>
      </c>
      <c r="AD200" s="10">
        <v>10311281</v>
      </c>
      <c r="AE200" s="9" t="s">
        <v>1104</v>
      </c>
      <c r="AF200" s="9"/>
      <c r="AG200" s="11">
        <v>3</v>
      </c>
      <c r="AH200" s="11" t="s">
        <v>1105</v>
      </c>
      <c r="AI200" s="11"/>
      <c r="AJ200" s="11">
        <v>2</v>
      </c>
      <c r="AK200" s="11" t="s">
        <v>132</v>
      </c>
      <c r="AL200" s="12">
        <v>3</v>
      </c>
      <c r="AM200" s="12" t="s">
        <v>1105</v>
      </c>
      <c r="AN200" s="12"/>
      <c r="AO200" s="12">
        <v>2</v>
      </c>
      <c r="AP200" s="12" t="s">
        <v>143</v>
      </c>
      <c r="AQ200" s="4">
        <v>1</v>
      </c>
      <c r="AR200" s="4" t="s">
        <v>133</v>
      </c>
      <c r="AS200" s="4"/>
      <c r="AT200" s="13">
        <v>80.441795349121094</v>
      </c>
      <c r="AU200" s="13">
        <v>1.1616451740264899</v>
      </c>
      <c r="AV200" s="13">
        <v>0.104000002145767</v>
      </c>
      <c r="AW200" s="13">
        <v>2.2200000286102299</v>
      </c>
      <c r="AX200" s="4">
        <v>1</v>
      </c>
      <c r="AY200" s="13">
        <v>-3.0414397716522199</v>
      </c>
      <c r="AZ200" s="13">
        <v>-0.18250811100006101</v>
      </c>
      <c r="BA200" s="13">
        <v>-2.8599998950958301</v>
      </c>
      <c r="BB200" s="13">
        <v>2.1610980033874498</v>
      </c>
      <c r="BC200" s="4"/>
      <c r="BD200" s="4">
        <v>17</v>
      </c>
      <c r="BE200" s="4" t="s">
        <v>134</v>
      </c>
      <c r="BF200" s="13">
        <v>2.1159999370575</v>
      </c>
      <c r="BG200" s="4">
        <v>316</v>
      </c>
      <c r="BH200" s="13">
        <v>1.6599999666214</v>
      </c>
      <c r="BI200" s="13">
        <v>524.16998291015602</v>
      </c>
      <c r="BJ200" s="4"/>
      <c r="BK200" s="14">
        <v>8</v>
      </c>
      <c r="BL200" s="14">
        <v>8</v>
      </c>
      <c r="BM200" s="14">
        <v>8</v>
      </c>
      <c r="BP200" s="15"/>
      <c r="BQ200" s="15" t="s">
        <v>136</v>
      </c>
      <c r="BR200" s="2" t="s">
        <v>247</v>
      </c>
      <c r="BS200" s="2" t="s">
        <v>247</v>
      </c>
      <c r="BT200" s="7" t="s">
        <v>147</v>
      </c>
      <c r="BU200" s="7"/>
      <c r="BV200" s="9" t="s">
        <v>137</v>
      </c>
      <c r="BW200" s="9"/>
    </row>
    <row r="201" spans="1:75" ht="14.25" customHeight="1" x14ac:dyDescent="0.25">
      <c r="A201" s="1">
        <v>493</v>
      </c>
      <c r="B201" s="1" t="s">
        <v>1106</v>
      </c>
      <c r="C201" s="1" t="s">
        <v>1107</v>
      </c>
      <c r="D201" s="1" t="s">
        <v>1093</v>
      </c>
      <c r="E201" s="1" t="s">
        <v>1094</v>
      </c>
      <c r="F201" s="1" t="s">
        <v>1108</v>
      </c>
      <c r="G201" s="1"/>
      <c r="H201" s="2">
        <v>1</v>
      </c>
      <c r="I201" s="2">
        <v>1</v>
      </c>
      <c r="J201" s="2">
        <v>1</v>
      </c>
      <c r="K201" s="2">
        <v>1</v>
      </c>
      <c r="L201" s="3" t="s">
        <v>127</v>
      </c>
      <c r="O201" s="4">
        <v>3</v>
      </c>
      <c r="P201" s="4" t="s">
        <v>1102</v>
      </c>
      <c r="Q201" s="4"/>
      <c r="R201" s="16">
        <v>600000</v>
      </c>
      <c r="S201" s="6">
        <v>600000</v>
      </c>
      <c r="T201" s="16">
        <v>250000</v>
      </c>
      <c r="U201" s="6">
        <v>250000</v>
      </c>
      <c r="V201" s="4"/>
      <c r="W201" s="4" t="s">
        <v>1102</v>
      </c>
      <c r="X201" s="4"/>
      <c r="Y201" s="7">
        <v>2</v>
      </c>
      <c r="Z201" s="8">
        <v>2606591</v>
      </c>
      <c r="AA201" s="7" t="s">
        <v>1104</v>
      </c>
      <c r="AB201" s="7"/>
      <c r="AC201" s="9">
        <v>1</v>
      </c>
      <c r="AD201" s="10">
        <v>10536338</v>
      </c>
      <c r="AE201" s="9" t="s">
        <v>1104</v>
      </c>
      <c r="AF201" s="9"/>
      <c r="AG201" s="11">
        <v>4</v>
      </c>
      <c r="AH201" s="11" t="s">
        <v>1105</v>
      </c>
      <c r="AI201" s="11"/>
      <c r="AJ201" s="11">
        <v>5</v>
      </c>
      <c r="AK201" s="11" t="s">
        <v>143</v>
      </c>
      <c r="AL201" s="12">
        <v>4</v>
      </c>
      <c r="AM201" s="12" t="s">
        <v>1109</v>
      </c>
      <c r="AN201" s="12" t="s">
        <v>1110</v>
      </c>
      <c r="AO201" s="12">
        <v>1</v>
      </c>
      <c r="AP201" s="12" t="s">
        <v>132</v>
      </c>
      <c r="AQ201" s="4">
        <v>5</v>
      </c>
      <c r="AR201" s="4" t="s">
        <v>1111</v>
      </c>
      <c r="AS201" s="4"/>
      <c r="AT201" s="13">
        <v>-76.291587829589801</v>
      </c>
      <c r="AU201" s="13">
        <v>-3.64620780944824</v>
      </c>
      <c r="AV201" s="13">
        <v>-4.9198565483093297</v>
      </c>
      <c r="AW201" s="13">
        <v>-2.4003119468689</v>
      </c>
      <c r="AX201" s="4">
        <v>1</v>
      </c>
      <c r="AY201" s="13">
        <v>-46.733795166015597</v>
      </c>
      <c r="AZ201" s="13">
        <v>-3.2721688747406001</v>
      </c>
      <c r="BA201" s="13">
        <v>-5.6455326080322301</v>
      </c>
      <c r="BB201" s="13">
        <v>-0.94948452711105302</v>
      </c>
      <c r="BC201" s="4">
        <v>1</v>
      </c>
      <c r="BD201" s="4">
        <v>19</v>
      </c>
      <c r="BE201" s="4"/>
      <c r="BF201" s="13">
        <v>2.5195443630218501</v>
      </c>
      <c r="BG201" s="4">
        <v>732.2</v>
      </c>
      <c r="BH201" s="13">
        <v>4.6345500946044904</v>
      </c>
      <c r="BI201" s="13">
        <v>3393.41748046875</v>
      </c>
      <c r="BJ201" s="4">
        <v>21</v>
      </c>
      <c r="BK201" s="14">
        <v>14</v>
      </c>
      <c r="BL201" s="14">
        <v>13</v>
      </c>
      <c r="BM201" s="14">
        <v>14</v>
      </c>
      <c r="BN201" s="3" t="s">
        <v>375</v>
      </c>
      <c r="BP201" s="15"/>
      <c r="BQ201" s="15"/>
      <c r="BR201" s="2" t="s">
        <v>161</v>
      </c>
      <c r="BS201" s="2" t="s">
        <v>247</v>
      </c>
      <c r="BT201" s="7" t="s">
        <v>188</v>
      </c>
      <c r="BU201" s="7" t="s">
        <v>173</v>
      </c>
      <c r="BV201" s="9" t="s">
        <v>357</v>
      </c>
      <c r="BW201" s="9" t="s">
        <v>164</v>
      </c>
    </row>
    <row r="202" spans="1:75" ht="14.25" customHeight="1" x14ac:dyDescent="0.25">
      <c r="A202" s="1">
        <v>494</v>
      </c>
      <c r="B202" s="1" t="s">
        <v>1112</v>
      </c>
      <c r="C202" s="1" t="s">
        <v>1113</v>
      </c>
      <c r="D202" s="1" t="s">
        <v>1093</v>
      </c>
      <c r="E202" s="1" t="s">
        <v>1094</v>
      </c>
      <c r="F202" s="1" t="s">
        <v>1108</v>
      </c>
      <c r="G202" s="1" t="s">
        <v>118</v>
      </c>
      <c r="H202" s="2">
        <v>1</v>
      </c>
      <c r="I202" s="2">
        <v>1</v>
      </c>
      <c r="J202" s="2">
        <v>1</v>
      </c>
      <c r="K202" s="2">
        <v>0</v>
      </c>
      <c r="L202" s="3" t="s">
        <v>127</v>
      </c>
      <c r="O202" s="4">
        <v>4</v>
      </c>
      <c r="P202" s="4" t="s">
        <v>1102</v>
      </c>
      <c r="Q202" s="4"/>
      <c r="R202" s="16">
        <v>95000</v>
      </c>
      <c r="S202" s="6">
        <v>95000</v>
      </c>
      <c r="T202" s="16">
        <v>95000</v>
      </c>
      <c r="U202" s="6">
        <v>95000</v>
      </c>
      <c r="V202" s="4"/>
      <c r="W202" s="4" t="s">
        <v>1102</v>
      </c>
      <c r="X202" s="4"/>
      <c r="Y202" s="7">
        <v>4</v>
      </c>
      <c r="Z202" s="8">
        <v>83122</v>
      </c>
      <c r="AA202" s="7" t="s">
        <v>1104</v>
      </c>
      <c r="AB202" s="7"/>
      <c r="AC202" s="9">
        <v>4</v>
      </c>
      <c r="AD202" s="10">
        <v>244984</v>
      </c>
      <c r="AE202" s="9" t="s">
        <v>1104</v>
      </c>
      <c r="AF202" s="9"/>
      <c r="AG202" s="11">
        <v>2</v>
      </c>
      <c r="AH202" s="11" t="s">
        <v>1105</v>
      </c>
      <c r="AI202" s="11"/>
      <c r="AJ202" s="11">
        <v>2</v>
      </c>
      <c r="AK202" s="11" t="s">
        <v>143</v>
      </c>
      <c r="AL202" s="12">
        <v>3</v>
      </c>
      <c r="AM202" s="12" t="s">
        <v>1105</v>
      </c>
      <c r="AN202" s="12"/>
      <c r="AO202" s="12">
        <v>2</v>
      </c>
      <c r="AP202" s="12" t="s">
        <v>132</v>
      </c>
      <c r="AQ202" s="4">
        <v>3</v>
      </c>
      <c r="AR202" s="4" t="s">
        <v>222</v>
      </c>
      <c r="AS202" s="4"/>
      <c r="AT202" s="13">
        <v>-4.3862247467040998</v>
      </c>
      <c r="AU202" s="13">
        <v>-9.14954319596291E-2</v>
      </c>
      <c r="AV202" s="13">
        <v>-0.63971674442291304</v>
      </c>
      <c r="AW202" s="13">
        <v>0.53537797927856401</v>
      </c>
      <c r="AX202" s="4"/>
      <c r="AY202" s="13">
        <v>-1.1980844736099201</v>
      </c>
      <c r="AZ202" s="13">
        <v>-7.0876009762287098E-2</v>
      </c>
      <c r="BA202" s="13">
        <v>-1.50676453113556</v>
      </c>
      <c r="BB202" s="13">
        <v>1.5137588977813701</v>
      </c>
      <c r="BC202" s="4"/>
      <c r="BD202" s="4">
        <v>17</v>
      </c>
      <c r="BE202" s="4"/>
      <c r="BF202" s="13">
        <v>1.1750947237014799</v>
      </c>
      <c r="BG202" s="4"/>
      <c r="BH202" s="13"/>
      <c r="BI202" s="13"/>
      <c r="BJ202" s="4"/>
      <c r="BK202" s="14">
        <v>13</v>
      </c>
      <c r="BL202" s="14">
        <v>14</v>
      </c>
      <c r="BM202" s="14">
        <v>14</v>
      </c>
      <c r="BN202" s="3" t="s">
        <v>86</v>
      </c>
      <c r="BP202" s="15"/>
      <c r="BQ202" s="15"/>
      <c r="BR202" s="2" t="s">
        <v>161</v>
      </c>
      <c r="BS202" s="2" t="s">
        <v>162</v>
      </c>
      <c r="BT202" s="7" t="s">
        <v>188</v>
      </c>
      <c r="BU202" s="7" t="s">
        <v>174</v>
      </c>
      <c r="BV202" s="9" t="s">
        <v>164</v>
      </c>
      <c r="BW202" s="9"/>
    </row>
    <row r="203" spans="1:75" ht="14.25" customHeight="1" x14ac:dyDescent="0.25">
      <c r="A203" s="1">
        <v>496</v>
      </c>
      <c r="B203" s="1" t="s">
        <v>1114</v>
      </c>
      <c r="C203" s="1" t="s">
        <v>1115</v>
      </c>
      <c r="D203" s="1" t="s">
        <v>1093</v>
      </c>
      <c r="E203" s="1" t="s">
        <v>1094</v>
      </c>
      <c r="F203" s="1" t="s">
        <v>1108</v>
      </c>
      <c r="G203" s="1"/>
      <c r="H203" s="2">
        <v>1</v>
      </c>
      <c r="I203" s="2">
        <v>1</v>
      </c>
      <c r="J203" s="2">
        <v>1</v>
      </c>
      <c r="K203" s="2">
        <v>1</v>
      </c>
      <c r="L203" s="3" t="s">
        <v>127</v>
      </c>
      <c r="O203" s="4">
        <v>3</v>
      </c>
      <c r="P203" s="4" t="s">
        <v>1102</v>
      </c>
      <c r="Q203" s="4"/>
      <c r="R203" s="16">
        <v>1000000</v>
      </c>
      <c r="S203" s="6">
        <v>1000000</v>
      </c>
      <c r="T203" s="17" t="s">
        <v>1116</v>
      </c>
      <c r="U203" s="6">
        <v>140000</v>
      </c>
      <c r="V203" s="4"/>
      <c r="W203" s="4" t="s">
        <v>1102</v>
      </c>
      <c r="X203" s="4" t="s">
        <v>1117</v>
      </c>
      <c r="Y203" s="7">
        <v>2</v>
      </c>
      <c r="Z203" s="8">
        <v>1595691</v>
      </c>
      <c r="AA203" s="7" t="s">
        <v>1104</v>
      </c>
      <c r="AB203" s="7"/>
      <c r="AC203" s="9">
        <v>1</v>
      </c>
      <c r="AD203" s="10">
        <v>4329224</v>
      </c>
      <c r="AE203" s="9" t="s">
        <v>1104</v>
      </c>
      <c r="AF203" s="9"/>
      <c r="AG203" s="11">
        <v>2</v>
      </c>
      <c r="AH203" s="11" t="s">
        <v>1102</v>
      </c>
      <c r="AI203" s="11"/>
      <c r="AJ203" s="11"/>
      <c r="AK203" s="11"/>
      <c r="AL203" s="12">
        <v>4</v>
      </c>
      <c r="AM203" s="12" t="s">
        <v>1109</v>
      </c>
      <c r="AN203" s="12" t="s">
        <v>1118</v>
      </c>
      <c r="AO203" s="12">
        <v>2</v>
      </c>
      <c r="AP203" s="12" t="s">
        <v>332</v>
      </c>
      <c r="AQ203" s="4">
        <v>5</v>
      </c>
      <c r="AR203" s="4" t="s">
        <v>1111</v>
      </c>
      <c r="AS203" s="4"/>
      <c r="AT203" s="13">
        <v>-94.054496765136705</v>
      </c>
      <c r="AU203" s="13">
        <v>-6.9771828651428196</v>
      </c>
      <c r="AV203" s="13">
        <v>-8.8347902297973597</v>
      </c>
      <c r="AW203" s="13">
        <v>-5.0535521507263201</v>
      </c>
      <c r="AX203" s="4">
        <v>1</v>
      </c>
      <c r="AY203" s="13">
        <v>-90.660339355468807</v>
      </c>
      <c r="AZ203" s="13">
        <v>-10.712683677673301</v>
      </c>
      <c r="BA203" s="13">
        <v>-13.7289628982544</v>
      </c>
      <c r="BB203" s="13">
        <v>-7.7930493354797399</v>
      </c>
      <c r="BC203" s="4">
        <v>1</v>
      </c>
      <c r="BD203" s="4">
        <v>21</v>
      </c>
      <c r="BE203" s="4"/>
      <c r="BF203" s="13">
        <v>3.7812378406524698</v>
      </c>
      <c r="BG203" s="4">
        <v>549.32500000000005</v>
      </c>
      <c r="BH203" s="13">
        <v>58.343090057372997</v>
      </c>
      <c r="BI203" s="13">
        <v>32049.318359375</v>
      </c>
      <c r="BJ203" s="4">
        <v>6</v>
      </c>
      <c r="BK203" s="14">
        <v>12</v>
      </c>
      <c r="BL203" s="14">
        <v>13</v>
      </c>
      <c r="BM203" s="14">
        <v>13</v>
      </c>
      <c r="BN203" s="3" t="s">
        <v>375</v>
      </c>
      <c r="BO203" s="3" t="s">
        <v>120</v>
      </c>
      <c r="BP203" s="15"/>
      <c r="BQ203" s="15"/>
      <c r="BR203" s="2" t="s">
        <v>161</v>
      </c>
      <c r="BS203" s="2" t="s">
        <v>247</v>
      </c>
      <c r="BT203" s="7" t="s">
        <v>174</v>
      </c>
      <c r="BU203" s="7"/>
      <c r="BV203" s="9" t="s">
        <v>357</v>
      </c>
      <c r="BW203" s="9"/>
    </row>
    <row r="204" spans="1:75" ht="14.25" customHeight="1" x14ac:dyDescent="0.25">
      <c r="A204" s="1">
        <v>497</v>
      </c>
      <c r="B204" s="1" t="s">
        <v>1119</v>
      </c>
      <c r="C204" s="1" t="s">
        <v>1120</v>
      </c>
      <c r="D204" s="1" t="s">
        <v>1093</v>
      </c>
      <c r="E204" s="1" t="s">
        <v>1094</v>
      </c>
      <c r="F204" s="1" t="s">
        <v>1108</v>
      </c>
      <c r="G204" s="1" t="s">
        <v>1121</v>
      </c>
      <c r="H204" s="2">
        <v>1</v>
      </c>
      <c r="I204" s="2">
        <v>1</v>
      </c>
      <c r="J204" s="2">
        <v>1</v>
      </c>
      <c r="K204" s="2">
        <v>1</v>
      </c>
      <c r="L204" s="3" t="s">
        <v>127</v>
      </c>
      <c r="O204" s="4">
        <v>4</v>
      </c>
      <c r="P204" s="4" t="s">
        <v>1102</v>
      </c>
      <c r="Q204" s="4"/>
      <c r="R204" s="16">
        <v>70000</v>
      </c>
      <c r="S204" s="6">
        <v>70000</v>
      </c>
      <c r="T204" s="16">
        <v>70000</v>
      </c>
      <c r="U204" s="6">
        <v>70000</v>
      </c>
      <c r="V204" s="4"/>
      <c r="W204" s="4" t="s">
        <v>1102</v>
      </c>
      <c r="X204" s="4"/>
      <c r="Y204" s="7">
        <v>3</v>
      </c>
      <c r="Z204" s="8">
        <v>660034</v>
      </c>
      <c r="AA204" s="7" t="s">
        <v>1104</v>
      </c>
      <c r="AB204" s="7"/>
      <c r="AC204" s="9">
        <v>2</v>
      </c>
      <c r="AD204" s="10">
        <v>1013748</v>
      </c>
      <c r="AE204" s="9" t="s">
        <v>1104</v>
      </c>
      <c r="AF204" s="9"/>
      <c r="AG204" s="11">
        <v>4</v>
      </c>
      <c r="AH204" s="11" t="s">
        <v>1105</v>
      </c>
      <c r="AI204" s="11"/>
      <c r="AJ204" s="11">
        <v>5</v>
      </c>
      <c r="AK204" s="11" t="s">
        <v>132</v>
      </c>
      <c r="AL204" s="12">
        <v>3</v>
      </c>
      <c r="AM204" s="12" t="s">
        <v>1109</v>
      </c>
      <c r="AN204" s="12" t="s">
        <v>1122</v>
      </c>
      <c r="AO204" s="12">
        <v>2</v>
      </c>
      <c r="AP204" s="12" t="s">
        <v>132</v>
      </c>
      <c r="AQ204" s="4">
        <v>4</v>
      </c>
      <c r="AR204" s="4" t="s">
        <v>222</v>
      </c>
      <c r="AS204" s="4"/>
      <c r="AT204" s="13">
        <v>-43.767482757568402</v>
      </c>
      <c r="AU204" s="13">
        <v>-1.1679725646972701</v>
      </c>
      <c r="AV204" s="13">
        <v>-2.2483716011047399</v>
      </c>
      <c r="AW204" s="13">
        <v>-0.30000001192092901</v>
      </c>
      <c r="AX204" s="4">
        <v>1</v>
      </c>
      <c r="AY204" s="13">
        <v>-9.5758743286132795</v>
      </c>
      <c r="AZ204" s="13">
        <v>-0.627144455909729</v>
      </c>
      <c r="BA204" s="13">
        <v>-2.7751338481903098</v>
      </c>
      <c r="BB204" s="13">
        <v>1.7787896394729601</v>
      </c>
      <c r="BC204" s="4"/>
      <c r="BD204" s="4">
        <v>16</v>
      </c>
      <c r="BE204" s="4"/>
      <c r="BF204" s="13">
        <v>1.9483716487884499</v>
      </c>
      <c r="BG204" s="4"/>
      <c r="BH204" s="13"/>
      <c r="BI204" s="13"/>
      <c r="BJ204" s="4"/>
      <c r="BK204" s="14">
        <v>15</v>
      </c>
      <c r="BL204" s="14">
        <v>13</v>
      </c>
      <c r="BM204" s="14">
        <v>15</v>
      </c>
      <c r="BN204" s="3" t="s">
        <v>86</v>
      </c>
      <c r="BP204" s="15"/>
      <c r="BQ204" s="15"/>
      <c r="BR204" s="2" t="s">
        <v>161</v>
      </c>
      <c r="BS204" s="2" t="s">
        <v>162</v>
      </c>
      <c r="BT204" s="7" t="s">
        <v>539</v>
      </c>
      <c r="BU204" s="7"/>
      <c r="BV204" s="9" t="s">
        <v>164</v>
      </c>
      <c r="BW204" s="9"/>
    </row>
    <row r="205" spans="1:75" ht="14.25" customHeight="1" x14ac:dyDescent="0.25">
      <c r="A205" s="1">
        <v>500</v>
      </c>
      <c r="B205" s="1" t="s">
        <v>1123</v>
      </c>
      <c r="C205" s="1" t="s">
        <v>1124</v>
      </c>
      <c r="D205" s="1" t="s">
        <v>1093</v>
      </c>
      <c r="E205" s="1" t="s">
        <v>1094</v>
      </c>
      <c r="F205" s="1" t="s">
        <v>1108</v>
      </c>
      <c r="G205" s="1" t="s">
        <v>118</v>
      </c>
      <c r="H205" s="2">
        <v>1</v>
      </c>
      <c r="I205" s="2">
        <v>1</v>
      </c>
      <c r="J205" s="2">
        <v>0</v>
      </c>
      <c r="K205" s="2">
        <v>0</v>
      </c>
      <c r="L205" s="3" t="s">
        <v>127</v>
      </c>
      <c r="N205" s="3">
        <v>1</v>
      </c>
      <c r="O205" s="4">
        <v>4</v>
      </c>
      <c r="P205" s="4" t="s">
        <v>1100</v>
      </c>
      <c r="Q205" s="4" t="s">
        <v>1125</v>
      </c>
      <c r="R205" s="16">
        <v>160000</v>
      </c>
      <c r="S205" s="6">
        <v>160000</v>
      </c>
      <c r="T205" s="16">
        <v>24000</v>
      </c>
      <c r="U205" s="6">
        <v>24000</v>
      </c>
      <c r="V205" s="4"/>
      <c r="W205" s="4" t="s">
        <v>1102</v>
      </c>
      <c r="X205" s="4"/>
      <c r="Y205" s="7">
        <v>3</v>
      </c>
      <c r="Z205" s="8">
        <v>0</v>
      </c>
      <c r="AA205" s="7" t="s">
        <v>82</v>
      </c>
      <c r="AB205" s="7"/>
      <c r="AC205" s="9">
        <v>1</v>
      </c>
      <c r="AD205" s="10"/>
      <c r="AE205" s="9" t="s">
        <v>272</v>
      </c>
      <c r="AF205" s="9"/>
      <c r="AG205" s="11">
        <v>2</v>
      </c>
      <c r="AH205" s="11" t="s">
        <v>1102</v>
      </c>
      <c r="AI205" s="11"/>
      <c r="AJ205" s="11"/>
      <c r="AK205" s="11"/>
      <c r="AL205" s="12">
        <v>2</v>
      </c>
      <c r="AM205" s="12" t="s">
        <v>1102</v>
      </c>
      <c r="AN205" s="12"/>
      <c r="AO205" s="12"/>
      <c r="AP205" s="12"/>
      <c r="AQ205" s="4">
        <v>4</v>
      </c>
      <c r="AR205" s="4" t="s">
        <v>1102</v>
      </c>
      <c r="AS205" s="4"/>
      <c r="AT205" s="13"/>
      <c r="AU205" s="13"/>
      <c r="AV205" s="13"/>
      <c r="AW205" s="13"/>
      <c r="AX205" s="4"/>
      <c r="AY205" s="13"/>
      <c r="AZ205" s="13"/>
      <c r="BA205" s="13"/>
      <c r="BB205" s="13"/>
      <c r="BC205" s="4"/>
      <c r="BD205" s="4"/>
      <c r="BE205" s="4"/>
      <c r="BF205" s="13"/>
      <c r="BG205" s="4"/>
      <c r="BH205" s="13"/>
      <c r="BI205" s="13"/>
      <c r="BJ205" s="4"/>
      <c r="BK205" s="14">
        <v>13</v>
      </c>
      <c r="BL205" s="14">
        <v>11</v>
      </c>
      <c r="BM205" s="14">
        <v>13</v>
      </c>
      <c r="BO205" s="3" t="s">
        <v>114</v>
      </c>
      <c r="BP205" s="15"/>
      <c r="BQ205" s="15" t="s">
        <v>136</v>
      </c>
      <c r="BR205" s="2" t="s">
        <v>161</v>
      </c>
      <c r="BS205" s="2" t="s">
        <v>1126</v>
      </c>
      <c r="BT205" s="7" t="s">
        <v>173</v>
      </c>
      <c r="BU205" s="7"/>
      <c r="BV205" s="9" t="s">
        <v>357</v>
      </c>
      <c r="BW205" s="9" t="s">
        <v>248</v>
      </c>
    </row>
    <row r="206" spans="1:75" ht="14.25" customHeight="1" x14ac:dyDescent="0.25">
      <c r="A206" s="1">
        <v>510</v>
      </c>
      <c r="B206" s="1" t="s">
        <v>1127</v>
      </c>
      <c r="C206" s="1" t="s">
        <v>1128</v>
      </c>
      <c r="D206" s="1" t="s">
        <v>1093</v>
      </c>
      <c r="E206" s="1" t="s">
        <v>1094</v>
      </c>
      <c r="F206" s="1" t="s">
        <v>1108</v>
      </c>
      <c r="G206" s="1" t="s">
        <v>1129</v>
      </c>
      <c r="H206" s="2">
        <v>1</v>
      </c>
      <c r="I206" s="2">
        <v>1</v>
      </c>
      <c r="J206" s="2">
        <v>0</v>
      </c>
      <c r="K206" s="2">
        <v>0</v>
      </c>
      <c r="L206" s="3" t="s">
        <v>127</v>
      </c>
      <c r="O206" s="4">
        <v>4</v>
      </c>
      <c r="P206" s="4" t="s">
        <v>1102</v>
      </c>
      <c r="Q206" s="4"/>
      <c r="R206" s="16">
        <v>250000</v>
      </c>
      <c r="S206" s="6">
        <v>250000</v>
      </c>
      <c r="T206" s="16">
        <v>25000</v>
      </c>
      <c r="U206" s="6">
        <v>25000</v>
      </c>
      <c r="V206" s="4"/>
      <c r="W206" s="4" t="s">
        <v>1102</v>
      </c>
      <c r="X206" s="4"/>
      <c r="Y206" s="7">
        <v>2</v>
      </c>
      <c r="Z206" s="8">
        <v>2087709</v>
      </c>
      <c r="AA206" s="7" t="s">
        <v>1104</v>
      </c>
      <c r="AB206" s="7"/>
      <c r="AC206" s="9">
        <v>3</v>
      </c>
      <c r="AD206" s="10">
        <v>578951</v>
      </c>
      <c r="AE206" s="9" t="s">
        <v>1104</v>
      </c>
      <c r="AF206" s="9"/>
      <c r="AG206" s="11">
        <v>2</v>
      </c>
      <c r="AH206" s="11" t="s">
        <v>1102</v>
      </c>
      <c r="AI206" s="11"/>
      <c r="AJ206" s="11"/>
      <c r="AK206" s="11"/>
      <c r="AL206" s="12">
        <v>3</v>
      </c>
      <c r="AM206" s="12" t="s">
        <v>1109</v>
      </c>
      <c r="AN206" s="12" t="s">
        <v>1130</v>
      </c>
      <c r="AO206" s="12">
        <v>2</v>
      </c>
      <c r="AP206" s="12" t="s">
        <v>132</v>
      </c>
      <c r="AQ206" s="4">
        <v>2</v>
      </c>
      <c r="AR206" s="4" t="s">
        <v>222</v>
      </c>
      <c r="AS206" s="4"/>
      <c r="AT206" s="13">
        <v>-19.0035800933838</v>
      </c>
      <c r="AU206" s="13">
        <v>-0.42920935153961198</v>
      </c>
      <c r="AV206" s="13">
        <v>-1.3707520961761499</v>
      </c>
      <c r="AW206" s="13">
        <v>0.46235010027885398</v>
      </c>
      <c r="AX206" s="4"/>
      <c r="AY206" s="13">
        <v>8.2654027938842791</v>
      </c>
      <c r="AZ206" s="13">
        <v>0.36163169145584101</v>
      </c>
      <c r="BA206" s="13">
        <v>-1.9741841554641699</v>
      </c>
      <c r="BB206" s="13">
        <v>3.1964802742004399</v>
      </c>
      <c r="BC206" s="4"/>
      <c r="BD206" s="4">
        <v>22</v>
      </c>
      <c r="BE206" s="4"/>
      <c r="BF206" s="13">
        <v>1.83310222625732</v>
      </c>
      <c r="BG206" s="4"/>
      <c r="BH206" s="13"/>
      <c r="BI206" s="13"/>
      <c r="BJ206" s="4"/>
      <c r="BK206" s="14">
        <v>10</v>
      </c>
      <c r="BL206" s="14">
        <v>12</v>
      </c>
      <c r="BM206" s="14">
        <v>12</v>
      </c>
      <c r="BN206" s="3" t="s">
        <v>917</v>
      </c>
      <c r="BP206" s="15"/>
      <c r="BQ206" s="15"/>
      <c r="BR206" s="2" t="s">
        <v>161</v>
      </c>
      <c r="BS206" s="2" t="s">
        <v>239</v>
      </c>
      <c r="BT206" s="7" t="s">
        <v>173</v>
      </c>
      <c r="BU206" s="7" t="s">
        <v>174</v>
      </c>
      <c r="BV206" s="9" t="s">
        <v>164</v>
      </c>
      <c r="BW206" s="9"/>
    </row>
    <row r="207" spans="1:75" ht="14.25" customHeight="1" x14ac:dyDescent="0.25">
      <c r="A207" s="1">
        <v>511</v>
      </c>
      <c r="B207" s="1" t="s">
        <v>1131</v>
      </c>
      <c r="C207" s="1" t="s">
        <v>1132</v>
      </c>
      <c r="D207" s="1" t="s">
        <v>1093</v>
      </c>
      <c r="E207" s="1" t="s">
        <v>1094</v>
      </c>
      <c r="F207" s="1" t="s">
        <v>1108</v>
      </c>
      <c r="G207" s="1" t="s">
        <v>118</v>
      </c>
      <c r="H207" s="2">
        <v>1</v>
      </c>
      <c r="I207" s="2">
        <v>1</v>
      </c>
      <c r="J207" s="2">
        <v>1</v>
      </c>
      <c r="K207" s="2">
        <v>1</v>
      </c>
      <c r="L207" s="3" t="s">
        <v>127</v>
      </c>
      <c r="O207" s="4">
        <v>4</v>
      </c>
      <c r="P207" s="4" t="s">
        <v>1102</v>
      </c>
      <c r="Q207" s="4" t="s">
        <v>1133</v>
      </c>
      <c r="R207" s="16">
        <v>300000</v>
      </c>
      <c r="S207" s="6">
        <v>300000</v>
      </c>
      <c r="T207" s="16">
        <v>280000</v>
      </c>
      <c r="U207" s="6">
        <v>280000</v>
      </c>
      <c r="V207" s="4">
        <v>2012</v>
      </c>
      <c r="W207" s="4" t="s">
        <v>1134</v>
      </c>
      <c r="X207" s="4" t="s">
        <v>1135</v>
      </c>
      <c r="Y207" s="7">
        <v>2</v>
      </c>
      <c r="Z207" s="8">
        <v>2790679</v>
      </c>
      <c r="AA207" s="7" t="s">
        <v>1104</v>
      </c>
      <c r="AB207" s="7"/>
      <c r="AC207" s="9">
        <v>2</v>
      </c>
      <c r="AD207" s="10">
        <v>2875781</v>
      </c>
      <c r="AE207" s="9" t="s">
        <v>1104</v>
      </c>
      <c r="AF207" s="9"/>
      <c r="AG207" s="11">
        <v>4</v>
      </c>
      <c r="AH207" s="11" t="s">
        <v>1105</v>
      </c>
      <c r="AI207" s="11"/>
      <c r="AJ207" s="11">
        <v>5</v>
      </c>
      <c r="AK207" s="11" t="s">
        <v>143</v>
      </c>
      <c r="AL207" s="12">
        <v>3</v>
      </c>
      <c r="AM207" s="12" t="s">
        <v>1102</v>
      </c>
      <c r="AN207" s="12"/>
      <c r="AO207" s="12"/>
      <c r="AP207" s="12"/>
      <c r="AQ207" s="4">
        <v>3</v>
      </c>
      <c r="AR207" s="4" t="s">
        <v>1111</v>
      </c>
      <c r="AS207" s="4"/>
      <c r="AT207" s="13">
        <v>-5.2861971855163601</v>
      </c>
      <c r="AU207" s="13">
        <v>-0.235391691327095</v>
      </c>
      <c r="AV207" s="13">
        <v>-1.3812117576599101</v>
      </c>
      <c r="AW207" s="13">
        <v>0.66215634346008301</v>
      </c>
      <c r="AX207" s="4"/>
      <c r="AY207" s="13">
        <v>-0.26108834147453303</v>
      </c>
      <c r="AZ207" s="13">
        <v>-5.8830689638853101E-2</v>
      </c>
      <c r="BA207" s="13">
        <v>-2.7038033008575399</v>
      </c>
      <c r="BB207" s="13">
        <v>2.6737031936645499</v>
      </c>
      <c r="BC207" s="4"/>
      <c r="BD207" s="4">
        <v>11</v>
      </c>
      <c r="BE207" s="4"/>
      <c r="BF207" s="13">
        <v>2.04336810112</v>
      </c>
      <c r="BG207" s="4">
        <v>498.65</v>
      </c>
      <c r="BH207" s="13">
        <v>0.112881042063236</v>
      </c>
      <c r="BI207" s="13">
        <v>56.288131713867202</v>
      </c>
      <c r="BJ207" s="4"/>
      <c r="BK207" s="14">
        <v>13</v>
      </c>
      <c r="BL207" s="14">
        <v>12</v>
      </c>
      <c r="BM207" s="14">
        <v>13</v>
      </c>
      <c r="BP207" s="15"/>
      <c r="BQ207" s="15"/>
      <c r="BR207" s="2" t="s">
        <v>161</v>
      </c>
      <c r="BS207" s="2" t="s">
        <v>1136</v>
      </c>
      <c r="BT207" s="7" t="s">
        <v>174</v>
      </c>
      <c r="BU207" s="7"/>
      <c r="BV207" s="9" t="s">
        <v>1137</v>
      </c>
      <c r="BW207" s="9" t="s">
        <v>212</v>
      </c>
    </row>
    <row r="208" spans="1:75" ht="14.25" customHeight="1" x14ac:dyDescent="0.25">
      <c r="A208" s="1">
        <v>513</v>
      </c>
      <c r="B208" s="1" t="s">
        <v>1138</v>
      </c>
      <c r="C208" s="1" t="s">
        <v>1139</v>
      </c>
      <c r="D208" s="1" t="s">
        <v>1093</v>
      </c>
      <c r="E208" s="1" t="s">
        <v>1094</v>
      </c>
      <c r="F208" s="1" t="s">
        <v>1108</v>
      </c>
      <c r="G208" s="1" t="s">
        <v>118</v>
      </c>
      <c r="H208" s="2">
        <v>1</v>
      </c>
      <c r="I208" s="2">
        <v>1</v>
      </c>
      <c r="J208" s="2">
        <v>1</v>
      </c>
      <c r="K208" s="2">
        <v>1</v>
      </c>
      <c r="L208" s="3" t="s">
        <v>127</v>
      </c>
      <c r="O208" s="4">
        <v>3</v>
      </c>
      <c r="P208" s="4" t="s">
        <v>1102</v>
      </c>
      <c r="Q208" s="4"/>
      <c r="R208" s="16">
        <v>700000</v>
      </c>
      <c r="S208" s="6">
        <v>700000</v>
      </c>
      <c r="T208" s="16">
        <v>700000</v>
      </c>
      <c r="U208" s="6">
        <v>700000</v>
      </c>
      <c r="V208" s="4"/>
      <c r="W208" s="4" t="s">
        <v>1102</v>
      </c>
      <c r="X208" s="4"/>
      <c r="Y208" s="7">
        <v>1</v>
      </c>
      <c r="Z208" s="8">
        <v>4956179</v>
      </c>
      <c r="AA208" s="7" t="s">
        <v>1104</v>
      </c>
      <c r="AB208" s="7"/>
      <c r="AC208" s="9">
        <v>1</v>
      </c>
      <c r="AD208" s="10">
        <v>10407211</v>
      </c>
      <c r="AE208" s="9" t="s">
        <v>1104</v>
      </c>
      <c r="AF208" s="9"/>
      <c r="AG208" s="11">
        <v>3</v>
      </c>
      <c r="AH208" s="11" t="s">
        <v>1105</v>
      </c>
      <c r="AI208" s="11"/>
      <c r="AJ208" s="11">
        <v>3</v>
      </c>
      <c r="AK208" s="11" t="s">
        <v>132</v>
      </c>
      <c r="AL208" s="12">
        <v>3</v>
      </c>
      <c r="AM208" s="12" t="s">
        <v>1105</v>
      </c>
      <c r="AN208" s="12"/>
      <c r="AO208" s="12">
        <v>2</v>
      </c>
      <c r="AP208" s="12" t="s">
        <v>132</v>
      </c>
      <c r="AQ208" s="4">
        <v>4</v>
      </c>
      <c r="AR208" s="4" t="s">
        <v>1111</v>
      </c>
      <c r="AS208" s="4"/>
      <c r="AT208" s="13">
        <v>-0.97513186931610096</v>
      </c>
      <c r="AU208" s="13">
        <v>-4.7956421971321099E-2</v>
      </c>
      <c r="AV208" s="13">
        <v>-1.34544670581818</v>
      </c>
      <c r="AW208" s="13">
        <v>1.18697738647461</v>
      </c>
      <c r="AX208" s="4"/>
      <c r="AY208" s="13">
        <v>-34.287479400634801</v>
      </c>
      <c r="AZ208" s="13">
        <v>-3.7019958496093799</v>
      </c>
      <c r="BA208" s="13">
        <v>-7.7029275894165004</v>
      </c>
      <c r="BB208" s="13">
        <v>0.121136009693146</v>
      </c>
      <c r="BC208" s="4"/>
      <c r="BD208" s="4">
        <v>11</v>
      </c>
      <c r="BE208" s="4"/>
      <c r="BF208" s="13">
        <v>2.5324239730835001</v>
      </c>
      <c r="BG208" s="4">
        <v>983.95</v>
      </c>
      <c r="BH208" s="13">
        <v>5.2308897972106898</v>
      </c>
      <c r="BI208" s="13">
        <v>5146.93408203125</v>
      </c>
      <c r="BJ208" s="4"/>
      <c r="BK208" s="14">
        <v>11</v>
      </c>
      <c r="BL208" s="14">
        <v>11</v>
      </c>
      <c r="BM208" s="14">
        <v>11</v>
      </c>
      <c r="BP208" s="15"/>
      <c r="BQ208" s="15" t="s">
        <v>136</v>
      </c>
      <c r="BR208" s="2" t="s">
        <v>161</v>
      </c>
      <c r="BS208" s="2" t="s">
        <v>247</v>
      </c>
      <c r="BT208" s="7" t="s">
        <v>173</v>
      </c>
      <c r="BU208" s="7"/>
      <c r="BV208" s="9" t="s">
        <v>357</v>
      </c>
      <c r="BW208" s="9" t="s">
        <v>137</v>
      </c>
    </row>
    <row r="209" spans="1:75" ht="14.25" customHeight="1" x14ac:dyDescent="0.25">
      <c r="A209" s="1">
        <v>514</v>
      </c>
      <c r="B209" s="1" t="s">
        <v>1140</v>
      </c>
      <c r="C209" s="1" t="s">
        <v>1141</v>
      </c>
      <c r="D209" s="1" t="s">
        <v>1093</v>
      </c>
      <c r="E209" s="1" t="s">
        <v>1094</v>
      </c>
      <c r="F209" s="1" t="s">
        <v>1108</v>
      </c>
      <c r="G209" s="1" t="s">
        <v>118</v>
      </c>
      <c r="H209" s="2">
        <v>1</v>
      </c>
      <c r="I209" s="2">
        <v>1</v>
      </c>
      <c r="J209" s="2">
        <v>1</v>
      </c>
      <c r="K209" s="2">
        <v>1</v>
      </c>
      <c r="L209" s="3" t="s">
        <v>127</v>
      </c>
      <c r="O209" s="4">
        <v>3</v>
      </c>
      <c r="P209" s="4" t="s">
        <v>1102</v>
      </c>
      <c r="Q209" s="4"/>
      <c r="R209" s="16">
        <v>1700000</v>
      </c>
      <c r="S209" s="6">
        <v>1700000</v>
      </c>
      <c r="T209" s="16">
        <v>1700000</v>
      </c>
      <c r="U209" s="6">
        <v>1700000</v>
      </c>
      <c r="V209" s="4"/>
      <c r="W209" s="4" t="s">
        <v>1102</v>
      </c>
      <c r="X209" s="4"/>
      <c r="Y209" s="7">
        <v>2</v>
      </c>
      <c r="Z209" s="8">
        <v>1356521</v>
      </c>
      <c r="AA209" s="7" t="s">
        <v>1104</v>
      </c>
      <c r="AB209" s="7"/>
      <c r="AC209" s="9">
        <v>3</v>
      </c>
      <c r="AD209" s="10">
        <v>419024</v>
      </c>
      <c r="AE209" s="9" t="s">
        <v>1104</v>
      </c>
      <c r="AF209" s="9"/>
      <c r="AG209" s="11">
        <v>3</v>
      </c>
      <c r="AH209" s="11" t="s">
        <v>1105</v>
      </c>
      <c r="AI209" s="11"/>
      <c r="AJ209" s="11">
        <v>4</v>
      </c>
      <c r="AK209" s="11" t="s">
        <v>143</v>
      </c>
      <c r="AL209" s="12">
        <v>4</v>
      </c>
      <c r="AM209" s="12" t="s">
        <v>1102</v>
      </c>
      <c r="AN209" s="12"/>
      <c r="AO209" s="12"/>
      <c r="AP209" s="12"/>
      <c r="AQ209" s="4">
        <v>4</v>
      </c>
      <c r="AR209" s="4" t="s">
        <v>1111</v>
      </c>
      <c r="AS209" s="4"/>
      <c r="AT209" s="13">
        <v>-26.57470703125</v>
      </c>
      <c r="AU209" s="13">
        <v>-0.81155496835708596</v>
      </c>
      <c r="AV209" s="13">
        <v>-2.2156291007995601</v>
      </c>
      <c r="AW209" s="13">
        <v>0.47564759850501998</v>
      </c>
      <c r="AX209" s="4"/>
      <c r="AY209" s="13">
        <v>-42.259178161621101</v>
      </c>
      <c r="AZ209" s="13">
        <v>-4.8785119056701696</v>
      </c>
      <c r="BA209" s="13">
        <v>-9.6856651306152308</v>
      </c>
      <c r="BB209" s="13">
        <v>-0.17998699843883501</v>
      </c>
      <c r="BC209" s="4">
        <v>1</v>
      </c>
      <c r="BD209" s="4">
        <v>11</v>
      </c>
      <c r="BE209" s="4"/>
      <c r="BF209" s="13">
        <v>2.6912765502929701</v>
      </c>
      <c r="BG209" s="4">
        <v>678.9</v>
      </c>
      <c r="BH209" s="13">
        <v>6.2957596778869602</v>
      </c>
      <c r="BI209" s="13">
        <v>4274.19140625</v>
      </c>
      <c r="BJ209" s="4">
        <v>14</v>
      </c>
      <c r="BK209" s="14">
        <v>12</v>
      </c>
      <c r="BL209" s="14">
        <v>14</v>
      </c>
      <c r="BM209" s="14">
        <v>14</v>
      </c>
      <c r="BN209" s="3" t="s">
        <v>86</v>
      </c>
      <c r="BP209" s="15"/>
      <c r="BQ209" s="15"/>
      <c r="BR209" s="2" t="s">
        <v>161</v>
      </c>
      <c r="BS209" s="2" t="s">
        <v>1136</v>
      </c>
      <c r="BT209" s="7" t="s">
        <v>173</v>
      </c>
      <c r="BU209" s="7"/>
      <c r="BV209" s="9" t="s">
        <v>357</v>
      </c>
      <c r="BW209" s="9" t="s">
        <v>212</v>
      </c>
    </row>
    <row r="210" spans="1:75" ht="14.25" customHeight="1" x14ac:dyDescent="0.25">
      <c r="A210" s="1">
        <v>553</v>
      </c>
      <c r="B210" s="1" t="s">
        <v>1142</v>
      </c>
      <c r="C210" s="1" t="s">
        <v>1143</v>
      </c>
      <c r="D210" s="1" t="s">
        <v>616</v>
      </c>
      <c r="E210" s="1" t="s">
        <v>1094</v>
      </c>
      <c r="F210" s="1" t="s">
        <v>1144</v>
      </c>
      <c r="G210" s="1"/>
      <c r="H210" s="2">
        <v>1</v>
      </c>
      <c r="I210" s="2">
        <v>1</v>
      </c>
      <c r="J210" s="2">
        <v>0</v>
      </c>
      <c r="K210" s="2">
        <v>0</v>
      </c>
      <c r="L210" s="3" t="s">
        <v>127</v>
      </c>
      <c r="O210" s="4">
        <v>2</v>
      </c>
      <c r="P210" s="4" t="s">
        <v>1145</v>
      </c>
      <c r="Q210" s="4" t="s">
        <v>1146</v>
      </c>
      <c r="R210" s="16">
        <v>17000000</v>
      </c>
      <c r="S210" s="6">
        <v>17000000</v>
      </c>
      <c r="T210" s="16">
        <v>1500</v>
      </c>
      <c r="U210" s="6">
        <v>1500</v>
      </c>
      <c r="V210" s="4">
        <v>2002</v>
      </c>
      <c r="W210" s="4" t="s">
        <v>1147</v>
      </c>
      <c r="X210" s="4"/>
      <c r="Y210" s="7">
        <v>3</v>
      </c>
      <c r="Z210" s="8">
        <v>376000</v>
      </c>
      <c r="AA210" s="7" t="s">
        <v>1145</v>
      </c>
      <c r="AB210" s="7"/>
      <c r="AC210" s="9">
        <v>1</v>
      </c>
      <c r="AD210" s="10">
        <v>8484364</v>
      </c>
      <c r="AE210" s="9" t="s">
        <v>1148</v>
      </c>
      <c r="AF210" s="9"/>
      <c r="AG210" s="11">
        <v>3</v>
      </c>
      <c r="AH210" s="11" t="s">
        <v>1048</v>
      </c>
      <c r="AI210" s="11"/>
      <c r="AJ210" s="11"/>
      <c r="AK210" s="11"/>
      <c r="AL210" s="12">
        <v>4</v>
      </c>
      <c r="AM210" s="12" t="s">
        <v>1149</v>
      </c>
      <c r="AN210" s="12"/>
      <c r="AO210" s="12">
        <v>4</v>
      </c>
      <c r="AP210" s="12" t="s">
        <v>132</v>
      </c>
      <c r="AQ210" s="4">
        <v>5</v>
      </c>
      <c r="AR210" s="4" t="s">
        <v>1150</v>
      </c>
      <c r="AS210" s="4" t="s">
        <v>1151</v>
      </c>
      <c r="AT210" s="13">
        <v>-62.839828491210902</v>
      </c>
      <c r="AU210" s="13">
        <v>-2</v>
      </c>
      <c r="AV210" s="13">
        <v>-3.5</v>
      </c>
      <c r="AW210" s="13">
        <v>-0.60000002384185802</v>
      </c>
      <c r="AX210" s="4">
        <v>1</v>
      </c>
      <c r="AY210" s="13">
        <v>-55.650989532470703</v>
      </c>
      <c r="AZ210" s="13">
        <v>-3.2000000476837198</v>
      </c>
      <c r="BA210" s="13">
        <v>-6</v>
      </c>
      <c r="BB210" s="13">
        <v>-1</v>
      </c>
      <c r="BC210" s="4">
        <v>1</v>
      </c>
      <c r="BD210" s="4">
        <v>24</v>
      </c>
      <c r="BE210" s="4"/>
      <c r="BF210" s="13">
        <v>2.9000000953674299</v>
      </c>
      <c r="BG210" s="4"/>
      <c r="BH210" s="13"/>
      <c r="BI210" s="13"/>
      <c r="BJ210" s="4">
        <v>21</v>
      </c>
      <c r="BK210" s="14">
        <v>13</v>
      </c>
      <c r="BL210" s="14">
        <v>12</v>
      </c>
      <c r="BM210" s="14">
        <v>13</v>
      </c>
      <c r="BN210" s="3" t="s">
        <v>375</v>
      </c>
      <c r="BP210" s="15"/>
      <c r="BQ210" s="15"/>
      <c r="BR210" s="2" t="s">
        <v>161</v>
      </c>
      <c r="BS210" s="2" t="s">
        <v>1152</v>
      </c>
      <c r="BT210" s="7" t="s">
        <v>1153</v>
      </c>
      <c r="BU210" s="7" t="s">
        <v>163</v>
      </c>
      <c r="BV210" s="9" t="s">
        <v>163</v>
      </c>
      <c r="BW210" s="9" t="s">
        <v>1154</v>
      </c>
    </row>
    <row r="211" spans="1:75" ht="14.25" customHeight="1" x14ac:dyDescent="0.25">
      <c r="A211" s="1">
        <v>554</v>
      </c>
      <c r="B211" s="1" t="s">
        <v>1155</v>
      </c>
      <c r="C211" s="1" t="s">
        <v>1156</v>
      </c>
      <c r="D211" s="1" t="s">
        <v>616</v>
      </c>
      <c r="E211" s="1" t="s">
        <v>1094</v>
      </c>
      <c r="F211" s="1" t="s">
        <v>1144</v>
      </c>
      <c r="G211" s="1"/>
      <c r="H211" s="2">
        <v>1</v>
      </c>
      <c r="I211" s="2">
        <v>1</v>
      </c>
      <c r="J211" s="2">
        <v>0</v>
      </c>
      <c r="K211" s="2">
        <v>0</v>
      </c>
      <c r="L211" s="3" t="s">
        <v>127</v>
      </c>
      <c r="O211" s="4">
        <v>2</v>
      </c>
      <c r="P211" s="4" t="s">
        <v>1145</v>
      </c>
      <c r="Q211" s="4" t="s">
        <v>1146</v>
      </c>
      <c r="R211" s="16">
        <v>12000000</v>
      </c>
      <c r="S211" s="6">
        <v>12000000</v>
      </c>
      <c r="T211" s="16">
        <v>7400000</v>
      </c>
      <c r="U211" s="6">
        <v>7400000</v>
      </c>
      <c r="V211" s="4">
        <v>2001</v>
      </c>
      <c r="W211" s="4" t="s">
        <v>1157</v>
      </c>
      <c r="X211" s="4"/>
      <c r="Y211" s="7">
        <v>2</v>
      </c>
      <c r="Z211" s="8">
        <v>1440000</v>
      </c>
      <c r="AA211" s="7" t="s">
        <v>1145</v>
      </c>
      <c r="AB211" s="7"/>
      <c r="AC211" s="9">
        <v>1</v>
      </c>
      <c r="AD211" s="10">
        <v>7749598</v>
      </c>
      <c r="AE211" s="9" t="s">
        <v>1148</v>
      </c>
      <c r="AF211" s="9"/>
      <c r="AG211" s="11">
        <v>3</v>
      </c>
      <c r="AH211" s="11" t="s">
        <v>1149</v>
      </c>
      <c r="AI211" s="11" t="s">
        <v>1158</v>
      </c>
      <c r="AJ211" s="11">
        <v>3</v>
      </c>
      <c r="AK211" s="11" t="s">
        <v>143</v>
      </c>
      <c r="AL211" s="12">
        <v>3</v>
      </c>
      <c r="AM211" s="12" t="s">
        <v>1149</v>
      </c>
      <c r="AN211" s="12"/>
      <c r="AO211" s="12">
        <v>2</v>
      </c>
      <c r="AP211" s="12" t="s">
        <v>143</v>
      </c>
      <c r="AQ211" s="4">
        <v>2</v>
      </c>
      <c r="AR211" s="4" t="s">
        <v>222</v>
      </c>
      <c r="AS211" s="4"/>
      <c r="AT211" s="13">
        <v>-26.885492324829102</v>
      </c>
      <c r="AU211" s="13">
        <v>-0.63703042268753096</v>
      </c>
      <c r="AV211" s="13">
        <v>-2.21722435951233</v>
      </c>
      <c r="AW211" s="13">
        <v>0.60000002384185802</v>
      </c>
      <c r="AX211" s="4"/>
      <c r="AY211" s="13">
        <v>28.360515594482401</v>
      </c>
      <c r="AZ211" s="13">
        <v>1.00369417667389</v>
      </c>
      <c r="BA211" s="13">
        <v>-1.9900205135345499</v>
      </c>
      <c r="BB211" s="13">
        <v>6.1280417442321804</v>
      </c>
      <c r="BC211" s="4"/>
      <c r="BD211" s="4">
        <v>25</v>
      </c>
      <c r="BE211" s="4"/>
      <c r="BF211" s="13">
        <v>2.8172242641449001</v>
      </c>
      <c r="BG211" s="4"/>
      <c r="BH211" s="13"/>
      <c r="BI211" s="13"/>
      <c r="BJ211" s="4"/>
      <c r="BK211" s="14">
        <v>9</v>
      </c>
      <c r="BL211" s="14">
        <v>8</v>
      </c>
      <c r="BM211" s="14">
        <v>9</v>
      </c>
      <c r="BP211" s="15"/>
      <c r="BQ211" s="15"/>
      <c r="BR211" s="2" t="s">
        <v>172</v>
      </c>
      <c r="BS211" s="2" t="s">
        <v>172</v>
      </c>
      <c r="BT211" s="7" t="s">
        <v>1153</v>
      </c>
      <c r="BU211" s="7" t="s">
        <v>163</v>
      </c>
      <c r="BV211" s="9" t="s">
        <v>163</v>
      </c>
      <c r="BW211" s="9"/>
    </row>
    <row r="212" spans="1:75" ht="14.25" customHeight="1" x14ac:dyDescent="0.25">
      <c r="A212" s="1">
        <v>555</v>
      </c>
      <c r="B212" s="1" t="s">
        <v>1159</v>
      </c>
      <c r="C212" s="1" t="s">
        <v>1160</v>
      </c>
      <c r="D212" s="1" t="s">
        <v>616</v>
      </c>
      <c r="E212" s="1" t="s">
        <v>1094</v>
      </c>
      <c r="F212" s="1" t="s">
        <v>1144</v>
      </c>
      <c r="G212" s="1"/>
      <c r="H212" s="2">
        <v>1</v>
      </c>
      <c r="I212" s="2">
        <v>1</v>
      </c>
      <c r="J212" s="2">
        <v>0</v>
      </c>
      <c r="K212" s="2">
        <v>0</v>
      </c>
      <c r="L212" s="3" t="s">
        <v>127</v>
      </c>
      <c r="O212" s="4">
        <v>2</v>
      </c>
      <c r="P212" s="4" t="s">
        <v>1145</v>
      </c>
      <c r="Q212" s="4" t="s">
        <v>1146</v>
      </c>
      <c r="R212" s="16">
        <v>15000000</v>
      </c>
      <c r="S212" s="6">
        <v>15000000</v>
      </c>
      <c r="T212" s="16">
        <v>8000000</v>
      </c>
      <c r="U212" s="6">
        <v>8000000</v>
      </c>
      <c r="V212" s="4">
        <v>1998</v>
      </c>
      <c r="W212" s="4" t="s">
        <v>1161</v>
      </c>
      <c r="X212" s="4"/>
      <c r="Y212" s="7">
        <v>2</v>
      </c>
      <c r="Z212" s="8">
        <v>2250000</v>
      </c>
      <c r="AA212" s="7" t="s">
        <v>1145</v>
      </c>
      <c r="AB212" s="7"/>
      <c r="AC212" s="9">
        <v>1</v>
      </c>
      <c r="AD212" s="10">
        <v>7552993</v>
      </c>
      <c r="AE212" s="9" t="s">
        <v>1148</v>
      </c>
      <c r="AF212" s="9"/>
      <c r="AG212" s="11">
        <v>3</v>
      </c>
      <c r="AH212" s="11" t="s">
        <v>1149</v>
      </c>
      <c r="AI212" s="11"/>
      <c r="AJ212" s="11">
        <v>4</v>
      </c>
      <c r="AK212" s="11" t="s">
        <v>332</v>
      </c>
      <c r="AL212" s="12">
        <v>3</v>
      </c>
      <c r="AM212" s="12" t="s">
        <v>1149</v>
      </c>
      <c r="AN212" s="12"/>
      <c r="AO212" s="12">
        <v>2</v>
      </c>
      <c r="AP212" s="12" t="s">
        <v>132</v>
      </c>
      <c r="AQ212" s="4">
        <v>2</v>
      </c>
      <c r="AR212" s="4" t="s">
        <v>387</v>
      </c>
      <c r="AS212" s="4" t="s">
        <v>1162</v>
      </c>
      <c r="AT212" s="13"/>
      <c r="AU212" s="13"/>
      <c r="AV212" s="13"/>
      <c r="AW212" s="13"/>
      <c r="AX212" s="4"/>
      <c r="AY212" s="13"/>
      <c r="AZ212" s="13"/>
      <c r="BA212" s="13"/>
      <c r="BB212" s="13"/>
      <c r="BC212" s="4"/>
      <c r="BD212" s="4"/>
      <c r="BE212" s="4"/>
      <c r="BF212" s="13"/>
      <c r="BG212" s="4"/>
      <c r="BH212" s="13"/>
      <c r="BI212" s="13"/>
      <c r="BJ212" s="4"/>
      <c r="BK212" s="14">
        <v>9</v>
      </c>
      <c r="BL212" s="14">
        <v>8</v>
      </c>
      <c r="BM212" s="14">
        <v>9</v>
      </c>
      <c r="BP212" s="15"/>
      <c r="BQ212" s="15"/>
      <c r="BR212" s="2" t="s">
        <v>161</v>
      </c>
      <c r="BS212" s="2" t="s">
        <v>1163</v>
      </c>
      <c r="BT212" s="7" t="s">
        <v>1153</v>
      </c>
      <c r="BU212" s="7" t="s">
        <v>163</v>
      </c>
      <c r="BV212" s="9" t="s">
        <v>163</v>
      </c>
      <c r="BW212" s="9"/>
    </row>
    <row r="213" spans="1:75" ht="14.25" customHeight="1" x14ac:dyDescent="0.25">
      <c r="A213" s="1">
        <v>556</v>
      </c>
      <c r="B213" s="1" t="s">
        <v>1164</v>
      </c>
      <c r="C213" s="1" t="s">
        <v>1165</v>
      </c>
      <c r="D213" s="1" t="s">
        <v>616</v>
      </c>
      <c r="E213" s="1" t="s">
        <v>1094</v>
      </c>
      <c r="F213" s="1" t="s">
        <v>1144</v>
      </c>
      <c r="G213" s="1"/>
      <c r="H213" s="2">
        <v>1</v>
      </c>
      <c r="I213" s="2">
        <v>1</v>
      </c>
      <c r="J213" s="2">
        <v>0</v>
      </c>
      <c r="K213" s="2">
        <v>0</v>
      </c>
      <c r="L213" s="3" t="s">
        <v>127</v>
      </c>
      <c r="O213" s="4">
        <v>3</v>
      </c>
      <c r="P213" s="4" t="s">
        <v>1166</v>
      </c>
      <c r="Q213" s="4" t="s">
        <v>1167</v>
      </c>
      <c r="R213" s="16">
        <v>1200000</v>
      </c>
      <c r="S213" s="6">
        <v>1200000</v>
      </c>
      <c r="T213" s="16">
        <v>76000</v>
      </c>
      <c r="U213" s="6">
        <v>76000</v>
      </c>
      <c r="V213" s="4">
        <v>2001</v>
      </c>
      <c r="W213" s="4" t="s">
        <v>1166</v>
      </c>
      <c r="X213" s="4"/>
      <c r="Y213" s="7">
        <v>2</v>
      </c>
      <c r="Z213" s="8">
        <v>1230000</v>
      </c>
      <c r="AA213" s="7" t="s">
        <v>1145</v>
      </c>
      <c r="AB213" s="7"/>
      <c r="AC213" s="9">
        <v>2</v>
      </c>
      <c r="AD213" s="10">
        <v>3226275</v>
      </c>
      <c r="AE213" s="9" t="s">
        <v>1148</v>
      </c>
      <c r="AF213" s="9"/>
      <c r="AG213" s="11">
        <v>4</v>
      </c>
      <c r="AH213" s="11" t="s">
        <v>1149</v>
      </c>
      <c r="AI213" s="11"/>
      <c r="AJ213" s="11">
        <v>5</v>
      </c>
      <c r="AK213" s="11" t="s">
        <v>143</v>
      </c>
      <c r="AL213" s="12">
        <v>4</v>
      </c>
      <c r="AM213" s="12" t="s">
        <v>1149</v>
      </c>
      <c r="AN213" s="12" t="s">
        <v>1168</v>
      </c>
      <c r="AO213" s="12">
        <v>1</v>
      </c>
      <c r="AP213" s="12" t="s">
        <v>143</v>
      </c>
      <c r="AQ213" s="4">
        <v>1</v>
      </c>
      <c r="AR213" s="4" t="s">
        <v>1150</v>
      </c>
      <c r="AS213" s="4"/>
      <c r="AT213" s="13">
        <v>18060.783203125</v>
      </c>
      <c r="AU213" s="13">
        <v>11.199999809265099</v>
      </c>
      <c r="AV213" s="13">
        <v>8.8000001907348597</v>
      </c>
      <c r="AW213" s="13">
        <v>13.6000003814697</v>
      </c>
      <c r="AX213" s="4">
        <v>1</v>
      </c>
      <c r="AY213" s="13">
        <v>1289.47729492188</v>
      </c>
      <c r="AZ213" s="13">
        <v>11.1000003814697</v>
      </c>
      <c r="BA213" s="13">
        <v>7.9000000953674299</v>
      </c>
      <c r="BB213" s="13">
        <v>13.8999996185303</v>
      </c>
      <c r="BC213" s="4">
        <v>1</v>
      </c>
      <c r="BD213" s="4">
        <v>25</v>
      </c>
      <c r="BE213" s="4"/>
      <c r="BF213" s="13">
        <v>4.8000001907348597</v>
      </c>
      <c r="BG213" s="4"/>
      <c r="BH213" s="13"/>
      <c r="BI213" s="13"/>
      <c r="BJ213" s="4"/>
      <c r="BK213" s="14">
        <v>10</v>
      </c>
      <c r="BL213" s="14">
        <v>10</v>
      </c>
      <c r="BM213" s="14">
        <v>10</v>
      </c>
      <c r="BP213" s="15"/>
      <c r="BQ213" s="15"/>
      <c r="BR213" s="2" t="s">
        <v>161</v>
      </c>
      <c r="BS213" s="2" t="s">
        <v>1152</v>
      </c>
      <c r="BT213" s="7" t="s">
        <v>1153</v>
      </c>
      <c r="BU213" s="7" t="s">
        <v>163</v>
      </c>
      <c r="BV213" s="9" t="s">
        <v>163</v>
      </c>
      <c r="BW213" s="9"/>
    </row>
    <row r="214" spans="1:75" ht="14.25" customHeight="1" x14ac:dyDescent="0.25">
      <c r="A214" s="1">
        <v>558</v>
      </c>
      <c r="B214" s="1" t="s">
        <v>1169</v>
      </c>
      <c r="C214" s="1" t="s">
        <v>1170</v>
      </c>
      <c r="D214" s="1" t="s">
        <v>616</v>
      </c>
      <c r="E214" s="1" t="s">
        <v>1094</v>
      </c>
      <c r="F214" s="1" t="s">
        <v>1144</v>
      </c>
      <c r="G214" s="1"/>
      <c r="H214" s="2">
        <v>1</v>
      </c>
      <c r="I214" s="2">
        <v>1</v>
      </c>
      <c r="J214" s="2">
        <v>0</v>
      </c>
      <c r="K214" s="2">
        <v>0</v>
      </c>
      <c r="L214" s="3" t="s">
        <v>127</v>
      </c>
      <c r="O214" s="4">
        <v>3</v>
      </c>
      <c r="P214" s="4" t="s">
        <v>1171</v>
      </c>
      <c r="Q214" s="4" t="s">
        <v>1172</v>
      </c>
      <c r="R214" s="16">
        <v>750000</v>
      </c>
      <c r="S214" s="6">
        <v>750000</v>
      </c>
      <c r="T214" s="16">
        <v>500000</v>
      </c>
      <c r="U214" s="6">
        <v>500000</v>
      </c>
      <c r="V214" s="4">
        <v>1985</v>
      </c>
      <c r="W214" s="4" t="s">
        <v>1173</v>
      </c>
      <c r="X214" s="4"/>
      <c r="Y214" s="7">
        <v>2</v>
      </c>
      <c r="Z214" s="8">
        <v>1840035</v>
      </c>
      <c r="AA214" s="7" t="s">
        <v>154</v>
      </c>
      <c r="AB214" s="7"/>
      <c r="AC214" s="9">
        <v>1</v>
      </c>
      <c r="AD214" s="10">
        <v>4154713</v>
      </c>
      <c r="AE214" s="9" t="s">
        <v>155</v>
      </c>
      <c r="AF214" s="9"/>
      <c r="AG214" s="11">
        <v>3</v>
      </c>
      <c r="AH214" s="11" t="s">
        <v>1149</v>
      </c>
      <c r="AI214" s="11"/>
      <c r="AJ214" s="11">
        <v>3</v>
      </c>
      <c r="AK214" s="11" t="s">
        <v>332</v>
      </c>
      <c r="AL214" s="12">
        <v>3</v>
      </c>
      <c r="AM214" s="12" t="s">
        <v>1149</v>
      </c>
      <c r="AN214" s="12"/>
      <c r="AO214" s="12">
        <v>3</v>
      </c>
      <c r="AP214" s="12" t="s">
        <v>143</v>
      </c>
      <c r="AQ214" s="4">
        <v>1</v>
      </c>
      <c r="AR214" s="4" t="s">
        <v>222</v>
      </c>
      <c r="AS214" s="4" t="s">
        <v>1174</v>
      </c>
      <c r="AT214" s="13">
        <v>77.201461791992202</v>
      </c>
      <c r="AU214" s="13">
        <v>1.1744288206100499</v>
      </c>
      <c r="AV214" s="13">
        <v>-0.40000000596046398</v>
      </c>
      <c r="AW214" s="13">
        <v>3.2046532630920401</v>
      </c>
      <c r="AX214" s="4"/>
      <c r="AY214" s="13">
        <v>19.634693145751999</v>
      </c>
      <c r="AZ214" s="13">
        <v>0.71966797113418601</v>
      </c>
      <c r="BA214" s="13">
        <v>-3.96720242500305</v>
      </c>
      <c r="BB214" s="13">
        <v>5.2537961006164604</v>
      </c>
      <c r="BC214" s="4"/>
      <c r="BD214" s="4">
        <v>25</v>
      </c>
      <c r="BE214" s="4"/>
      <c r="BF214" s="13">
        <v>3.60465335845947</v>
      </c>
      <c r="BG214" s="4"/>
      <c r="BH214" s="13"/>
      <c r="BI214" s="13"/>
      <c r="BJ214" s="4"/>
      <c r="BK214" s="14">
        <v>9</v>
      </c>
      <c r="BL214" s="14">
        <v>8</v>
      </c>
      <c r="BM214" s="14">
        <v>9</v>
      </c>
      <c r="BP214" s="15"/>
      <c r="BQ214" s="15"/>
      <c r="BR214" s="2" t="s">
        <v>161</v>
      </c>
      <c r="BS214" s="2" t="s">
        <v>239</v>
      </c>
      <c r="BT214" s="7" t="s">
        <v>1153</v>
      </c>
      <c r="BU214" s="7" t="s">
        <v>163</v>
      </c>
      <c r="BV214" s="9" t="s">
        <v>163</v>
      </c>
      <c r="BW214" s="9"/>
    </row>
    <row r="215" spans="1:75" ht="14.25" customHeight="1" x14ac:dyDescent="0.25">
      <c r="A215" s="1">
        <v>559</v>
      </c>
      <c r="B215" s="1" t="s">
        <v>1175</v>
      </c>
      <c r="C215" s="1" t="s">
        <v>1176</v>
      </c>
      <c r="D215" s="1" t="s">
        <v>616</v>
      </c>
      <c r="E215" s="1" t="s">
        <v>1094</v>
      </c>
      <c r="F215" s="1" t="s">
        <v>1144</v>
      </c>
      <c r="G215" s="1"/>
      <c r="H215" s="2">
        <v>1</v>
      </c>
      <c r="I215" s="2">
        <v>1</v>
      </c>
      <c r="J215" s="2">
        <v>1</v>
      </c>
      <c r="K215" s="2">
        <v>0</v>
      </c>
      <c r="L215" s="3" t="s">
        <v>127</v>
      </c>
      <c r="O215" s="4">
        <v>4</v>
      </c>
      <c r="P215" s="4" t="s">
        <v>1177</v>
      </c>
      <c r="Q215" s="4" t="s">
        <v>169</v>
      </c>
      <c r="R215" s="16">
        <v>360000</v>
      </c>
      <c r="S215" s="6">
        <v>360000</v>
      </c>
      <c r="T215" s="16">
        <v>240000</v>
      </c>
      <c r="U215" s="6">
        <v>240000</v>
      </c>
      <c r="V215" s="4">
        <v>1993</v>
      </c>
      <c r="W215" s="4" t="s">
        <v>1178</v>
      </c>
      <c r="X215" s="4"/>
      <c r="Y215" s="7">
        <v>2</v>
      </c>
      <c r="Z215" s="8">
        <v>1700000</v>
      </c>
      <c r="AA215" s="7" t="s">
        <v>1145</v>
      </c>
      <c r="AB215" s="7"/>
      <c r="AC215" s="9">
        <v>2</v>
      </c>
      <c r="AD215" s="10">
        <v>1891604</v>
      </c>
      <c r="AE215" s="9" t="s">
        <v>1148</v>
      </c>
      <c r="AF215" s="9"/>
      <c r="AG215" s="11">
        <v>3</v>
      </c>
      <c r="AH215" s="11" t="s">
        <v>1149</v>
      </c>
      <c r="AI215" s="11"/>
      <c r="AJ215" s="11">
        <v>3</v>
      </c>
      <c r="AK215" s="11" t="s">
        <v>143</v>
      </c>
      <c r="AL215" s="12">
        <v>3</v>
      </c>
      <c r="AM215" s="12" t="s">
        <v>1149</v>
      </c>
      <c r="AN215" s="12"/>
      <c r="AO215" s="12">
        <v>3</v>
      </c>
      <c r="AP215" s="12" t="s">
        <v>143</v>
      </c>
      <c r="AQ215" s="4">
        <v>1</v>
      </c>
      <c r="AR215" s="4" t="s">
        <v>222</v>
      </c>
      <c r="AS215" s="4" t="s">
        <v>1179</v>
      </c>
      <c r="AT215" s="13">
        <v>89.016433715820298</v>
      </c>
      <c r="AU215" s="13">
        <v>1.3077915906906099</v>
      </c>
      <c r="AV215" s="13">
        <v>0.16363479197025299</v>
      </c>
      <c r="AW215" s="13">
        <v>2.57995676994324</v>
      </c>
      <c r="AX215" s="4">
        <v>1</v>
      </c>
      <c r="AY215" s="13">
        <v>46.722568511962898</v>
      </c>
      <c r="AZ215" s="13">
        <v>1.6102153062820399</v>
      </c>
      <c r="BA215" s="13">
        <v>-1.2627433538436901</v>
      </c>
      <c r="BB215" s="13">
        <v>5.1179938316345197</v>
      </c>
      <c r="BC215" s="4"/>
      <c r="BD215" s="4">
        <v>24</v>
      </c>
      <c r="BE215" s="4"/>
      <c r="BF215" s="13">
        <v>2.41632175445557</v>
      </c>
      <c r="BG215" s="4"/>
      <c r="BH215" s="13"/>
      <c r="BI215" s="13"/>
      <c r="BJ215" s="4"/>
      <c r="BK215" s="14">
        <v>10</v>
      </c>
      <c r="BL215" s="14">
        <v>10</v>
      </c>
      <c r="BM215" s="14">
        <v>10</v>
      </c>
      <c r="BP215" s="15"/>
      <c r="BQ215" s="15"/>
      <c r="BR215" s="2" t="s">
        <v>162</v>
      </c>
      <c r="BS215" s="2" t="s">
        <v>162</v>
      </c>
      <c r="BT215" s="7" t="s">
        <v>1153</v>
      </c>
      <c r="BU215" s="7" t="s">
        <v>163</v>
      </c>
      <c r="BV215" s="9" t="s">
        <v>163</v>
      </c>
      <c r="BW215" s="9"/>
    </row>
    <row r="216" spans="1:75" ht="14.25" customHeight="1" x14ac:dyDescent="0.25">
      <c r="A216" s="1">
        <v>561</v>
      </c>
      <c r="B216" s="1" t="s">
        <v>1180</v>
      </c>
      <c r="C216" s="1" t="s">
        <v>1181</v>
      </c>
      <c r="D216" s="1" t="s">
        <v>616</v>
      </c>
      <c r="E216" s="1" t="s">
        <v>1094</v>
      </c>
      <c r="F216" s="1" t="s">
        <v>1144</v>
      </c>
      <c r="G216" s="1"/>
      <c r="H216" s="2">
        <v>1</v>
      </c>
      <c r="I216" s="2">
        <v>1</v>
      </c>
      <c r="J216" s="2">
        <v>0</v>
      </c>
      <c r="K216" s="2">
        <v>0</v>
      </c>
      <c r="L216" s="3" t="s">
        <v>80</v>
      </c>
      <c r="O216" s="4">
        <v>4</v>
      </c>
      <c r="P216" s="4" t="s">
        <v>1182</v>
      </c>
      <c r="Q216" s="4" t="s">
        <v>1183</v>
      </c>
      <c r="R216" s="16">
        <v>360000</v>
      </c>
      <c r="S216" s="6">
        <v>360000</v>
      </c>
      <c r="T216" s="16">
        <v>360000</v>
      </c>
      <c r="U216" s="6">
        <v>360000</v>
      </c>
      <c r="V216" s="4"/>
      <c r="W216" s="4" t="s">
        <v>1182</v>
      </c>
      <c r="X216" s="4"/>
      <c r="Y216" s="7">
        <v>2</v>
      </c>
      <c r="Z216" s="8">
        <v>1111913</v>
      </c>
      <c r="AA216" s="7" t="s">
        <v>130</v>
      </c>
      <c r="AB216" s="7"/>
      <c r="AC216" s="9">
        <v>3</v>
      </c>
      <c r="AD216" s="10">
        <v>687158</v>
      </c>
      <c r="AE216" s="9" t="s">
        <v>130</v>
      </c>
      <c r="AF216" s="9"/>
      <c r="AG216" s="11">
        <v>4</v>
      </c>
      <c r="AH216" s="11" t="s">
        <v>1149</v>
      </c>
      <c r="AI216" s="11"/>
      <c r="AJ216" s="11">
        <v>2</v>
      </c>
      <c r="AK216" s="11" t="s">
        <v>132</v>
      </c>
      <c r="AL216" s="12">
        <v>3</v>
      </c>
      <c r="AM216" s="12" t="s">
        <v>1149</v>
      </c>
      <c r="AN216" s="12"/>
      <c r="AO216" s="12">
        <v>3</v>
      </c>
      <c r="AP216" s="12" t="s">
        <v>143</v>
      </c>
      <c r="AQ216" s="4">
        <v>5</v>
      </c>
      <c r="AR216" s="4" t="s">
        <v>1184</v>
      </c>
      <c r="AS216" s="4" t="s">
        <v>1185</v>
      </c>
      <c r="AT216" s="13"/>
      <c r="AU216" s="13"/>
      <c r="AV216" s="13"/>
      <c r="AW216" s="13"/>
      <c r="AX216" s="4"/>
      <c r="AY216" s="13"/>
      <c r="AZ216" s="13"/>
      <c r="BA216" s="13"/>
      <c r="BB216" s="13"/>
      <c r="BC216" s="4"/>
      <c r="BD216" s="4"/>
      <c r="BE216" s="4"/>
      <c r="BF216" s="13"/>
      <c r="BG216" s="4"/>
      <c r="BH216" s="13"/>
      <c r="BI216" s="13"/>
      <c r="BJ216" s="4"/>
      <c r="BK216" s="14">
        <v>15</v>
      </c>
      <c r="BL216" s="14">
        <v>15</v>
      </c>
      <c r="BM216" s="14">
        <v>15</v>
      </c>
      <c r="BN216" s="3" t="s">
        <v>113</v>
      </c>
      <c r="BO216" s="3" t="s">
        <v>414</v>
      </c>
      <c r="BP216" s="15"/>
      <c r="BQ216" s="15"/>
      <c r="BR216" s="2" t="s">
        <v>162</v>
      </c>
      <c r="BS216" s="2" t="s">
        <v>162</v>
      </c>
      <c r="BT216" s="7" t="s">
        <v>428</v>
      </c>
      <c r="BU216" s="7" t="s">
        <v>163</v>
      </c>
      <c r="BV216" s="9" t="s">
        <v>163</v>
      </c>
      <c r="BW216" s="9"/>
    </row>
    <row r="217" spans="1:75" ht="14.25" customHeight="1" x14ac:dyDescent="0.25">
      <c r="A217" s="1">
        <v>562</v>
      </c>
      <c r="B217" s="1" t="s">
        <v>1186</v>
      </c>
      <c r="C217" s="1" t="s">
        <v>1187</v>
      </c>
      <c r="D217" s="1" t="s">
        <v>616</v>
      </c>
      <c r="E217" s="1" t="s">
        <v>1094</v>
      </c>
      <c r="F217" s="1" t="s">
        <v>1144</v>
      </c>
      <c r="G217" s="1" t="s">
        <v>118</v>
      </c>
      <c r="H217" s="2">
        <v>0</v>
      </c>
      <c r="I217" s="2">
        <v>1</v>
      </c>
      <c r="J217" s="2">
        <v>0</v>
      </c>
      <c r="K217" s="2">
        <v>0</v>
      </c>
      <c r="L217" s="3" t="s">
        <v>127</v>
      </c>
      <c r="O217" s="4">
        <v>5</v>
      </c>
      <c r="P217" s="4" t="s">
        <v>1145</v>
      </c>
      <c r="Q217" s="4" t="s">
        <v>1188</v>
      </c>
      <c r="R217" s="16">
        <v>44000</v>
      </c>
      <c r="S217" s="6">
        <v>44000</v>
      </c>
      <c r="T217" s="17"/>
      <c r="U217" s="6"/>
      <c r="V217" s="4"/>
      <c r="W217" s="4"/>
      <c r="X217" s="4"/>
      <c r="Y217" s="7">
        <v>3</v>
      </c>
      <c r="Z217" s="8">
        <v>682915</v>
      </c>
      <c r="AA217" s="7" t="s">
        <v>130</v>
      </c>
      <c r="AB217" s="7"/>
      <c r="AC217" s="9">
        <v>3</v>
      </c>
      <c r="AD217" s="10">
        <v>534043</v>
      </c>
      <c r="AE217" s="9" t="s">
        <v>130</v>
      </c>
      <c r="AF217" s="9"/>
      <c r="AG217" s="11">
        <v>5</v>
      </c>
      <c r="AH217" s="11" t="s">
        <v>1189</v>
      </c>
      <c r="AI217" s="11"/>
      <c r="AJ217" s="11">
        <v>5</v>
      </c>
      <c r="AK217" s="11" t="s">
        <v>143</v>
      </c>
      <c r="AL217" s="12">
        <v>4</v>
      </c>
      <c r="AM217" s="12" t="s">
        <v>1048</v>
      </c>
      <c r="AN217" s="12"/>
      <c r="AO217" s="12"/>
      <c r="AP217" s="12"/>
      <c r="AQ217" s="4">
        <v>4</v>
      </c>
      <c r="AR217" s="4" t="s">
        <v>1190</v>
      </c>
      <c r="AS217" s="4" t="s">
        <v>1191</v>
      </c>
      <c r="AT217" s="13"/>
      <c r="AU217" s="13"/>
      <c r="AV217" s="13"/>
      <c r="AW217" s="13"/>
      <c r="AX217" s="4"/>
      <c r="AY217" s="13"/>
      <c r="AZ217" s="13"/>
      <c r="BA217" s="13"/>
      <c r="BB217" s="13"/>
      <c r="BC217" s="4"/>
      <c r="BD217" s="4"/>
      <c r="BE217" s="4"/>
      <c r="BF217" s="13"/>
      <c r="BG217" s="4"/>
      <c r="BH217" s="13"/>
      <c r="BI217" s="13"/>
      <c r="BJ217" s="4"/>
      <c r="BK217" s="14">
        <v>17</v>
      </c>
      <c r="BL217" s="14">
        <v>16</v>
      </c>
      <c r="BM217" s="14">
        <v>17</v>
      </c>
      <c r="BN217" s="3" t="s">
        <v>312</v>
      </c>
      <c r="BO217" s="3" t="s">
        <v>120</v>
      </c>
      <c r="BP217" s="15"/>
      <c r="BQ217" s="15"/>
      <c r="BR217" s="2" t="s">
        <v>162</v>
      </c>
      <c r="BS217" s="2" t="s">
        <v>162</v>
      </c>
      <c r="BT217" s="7" t="s">
        <v>1153</v>
      </c>
      <c r="BU217" s="7" t="s">
        <v>163</v>
      </c>
      <c r="BV217" s="9" t="s">
        <v>163</v>
      </c>
      <c r="BW217" s="9"/>
    </row>
    <row r="218" spans="1:75" ht="14.25" customHeight="1" x14ac:dyDescent="0.25">
      <c r="A218" s="1">
        <v>563</v>
      </c>
      <c r="B218" s="1" t="s">
        <v>1192</v>
      </c>
      <c r="C218" s="1" t="s">
        <v>1193</v>
      </c>
      <c r="D218" s="1" t="s">
        <v>616</v>
      </c>
      <c r="E218" s="1" t="s">
        <v>1094</v>
      </c>
      <c r="F218" s="1" t="s">
        <v>1144</v>
      </c>
      <c r="G218" s="1" t="s">
        <v>1194</v>
      </c>
      <c r="H218" s="2">
        <v>1</v>
      </c>
      <c r="I218" s="2">
        <v>1</v>
      </c>
      <c r="J218" s="2">
        <v>1</v>
      </c>
      <c r="K218" s="2">
        <v>0</v>
      </c>
      <c r="L218" s="3" t="s">
        <v>127</v>
      </c>
      <c r="O218" s="4">
        <v>5</v>
      </c>
      <c r="P218" s="4" t="s">
        <v>1145</v>
      </c>
      <c r="Q218" s="4" t="s">
        <v>1195</v>
      </c>
      <c r="R218" s="16">
        <v>15000</v>
      </c>
      <c r="S218" s="6">
        <v>15000</v>
      </c>
      <c r="T218" s="17"/>
      <c r="U218" s="6"/>
      <c r="V218" s="4"/>
      <c r="W218" s="4"/>
      <c r="X218" s="4"/>
      <c r="Y218" s="7">
        <v>5</v>
      </c>
      <c r="Z218" s="8"/>
      <c r="AA218" s="7" t="s">
        <v>1196</v>
      </c>
      <c r="AB218" s="7"/>
      <c r="AC218" s="9">
        <v>3</v>
      </c>
      <c r="AD218" s="10"/>
      <c r="AE218" s="9" t="s">
        <v>1196</v>
      </c>
      <c r="AF218" s="9"/>
      <c r="AG218" s="11">
        <v>4</v>
      </c>
      <c r="AH218" s="11" t="s">
        <v>1196</v>
      </c>
      <c r="AI218" s="11"/>
      <c r="AJ218" s="11"/>
      <c r="AK218" s="11"/>
      <c r="AL218" s="12">
        <v>4</v>
      </c>
      <c r="AM218" s="12" t="s">
        <v>1196</v>
      </c>
      <c r="AN218" s="12"/>
      <c r="AO218" s="12"/>
      <c r="AP218" s="12"/>
      <c r="AQ218" s="4">
        <v>4</v>
      </c>
      <c r="AR218" s="4" t="s">
        <v>1197</v>
      </c>
      <c r="AS218" s="4"/>
      <c r="AT218" s="13"/>
      <c r="AU218" s="13"/>
      <c r="AV218" s="13"/>
      <c r="AW218" s="13"/>
      <c r="AX218" s="4"/>
      <c r="AY218" s="13"/>
      <c r="AZ218" s="13"/>
      <c r="BA218" s="13"/>
      <c r="BB218" s="13"/>
      <c r="BC218" s="4"/>
      <c r="BD218" s="4"/>
      <c r="BE218" s="4"/>
      <c r="BF218" s="13"/>
      <c r="BG218" s="4"/>
      <c r="BH218" s="13"/>
      <c r="BI218" s="13"/>
      <c r="BJ218" s="4"/>
      <c r="BK218" s="14">
        <v>18</v>
      </c>
      <c r="BL218" s="14">
        <v>16</v>
      </c>
      <c r="BM218" s="14">
        <v>18</v>
      </c>
      <c r="BN218" s="3" t="s">
        <v>312</v>
      </c>
      <c r="BO218" s="3" t="s">
        <v>114</v>
      </c>
      <c r="BP218" s="15"/>
      <c r="BQ218" s="15"/>
      <c r="BR218" s="2" t="s">
        <v>162</v>
      </c>
      <c r="BS218" s="2" t="s">
        <v>162</v>
      </c>
      <c r="BT218" s="7" t="s">
        <v>1153</v>
      </c>
      <c r="BU218" s="7" t="s">
        <v>163</v>
      </c>
      <c r="BV218" s="9" t="s">
        <v>163</v>
      </c>
      <c r="BW218" s="9"/>
    </row>
    <row r="219" spans="1:75" ht="14.25" customHeight="1" x14ac:dyDescent="0.25">
      <c r="A219" s="1">
        <v>564</v>
      </c>
      <c r="B219" s="1" t="s">
        <v>1198</v>
      </c>
      <c r="C219" s="1" t="s">
        <v>1199</v>
      </c>
      <c r="D219" s="1" t="s">
        <v>616</v>
      </c>
      <c r="E219" s="1" t="s">
        <v>1094</v>
      </c>
      <c r="F219" s="1" t="s">
        <v>1144</v>
      </c>
      <c r="G219" s="1" t="s">
        <v>1200</v>
      </c>
      <c r="H219" s="2">
        <v>0</v>
      </c>
      <c r="I219" s="2">
        <v>1</v>
      </c>
      <c r="J219" s="2">
        <v>1</v>
      </c>
      <c r="K219" s="2">
        <v>0</v>
      </c>
      <c r="L219" s="3" t="s">
        <v>127</v>
      </c>
      <c r="O219" s="4">
        <v>5</v>
      </c>
      <c r="P219" s="4" t="s">
        <v>1145</v>
      </c>
      <c r="Q219" s="4"/>
      <c r="R219" s="16">
        <v>5000</v>
      </c>
      <c r="S219" s="6">
        <v>5000</v>
      </c>
      <c r="T219" s="17"/>
      <c r="U219" s="6"/>
      <c r="V219" s="4"/>
      <c r="W219" s="4"/>
      <c r="X219" s="4"/>
      <c r="Y219" s="7">
        <v>5</v>
      </c>
      <c r="Z219" s="8"/>
      <c r="AA219" s="7" t="s">
        <v>1196</v>
      </c>
      <c r="AB219" s="7" t="s">
        <v>1201</v>
      </c>
      <c r="AC219" s="9">
        <v>4</v>
      </c>
      <c r="AD219" s="10"/>
      <c r="AE219" s="9" t="s">
        <v>1196</v>
      </c>
      <c r="AF219" s="9" t="s">
        <v>1202</v>
      </c>
      <c r="AG219" s="11">
        <v>4</v>
      </c>
      <c r="AH219" s="11" t="s">
        <v>1196</v>
      </c>
      <c r="AI219" s="11"/>
      <c r="AJ219" s="11"/>
      <c r="AK219" s="11"/>
      <c r="AL219" s="12">
        <v>4</v>
      </c>
      <c r="AM219" s="12" t="s">
        <v>1196</v>
      </c>
      <c r="AN219" s="12"/>
      <c r="AO219" s="12"/>
      <c r="AP219" s="12"/>
      <c r="AQ219" s="4">
        <v>5</v>
      </c>
      <c r="AR219" s="4" t="s">
        <v>1197</v>
      </c>
      <c r="AS219" s="4"/>
      <c r="AT219" s="13"/>
      <c r="AU219" s="13"/>
      <c r="AV219" s="13"/>
      <c r="AW219" s="13"/>
      <c r="AX219" s="4"/>
      <c r="AY219" s="13"/>
      <c r="AZ219" s="13"/>
      <c r="BA219" s="13"/>
      <c r="BB219" s="13"/>
      <c r="BC219" s="4"/>
      <c r="BD219" s="4"/>
      <c r="BE219" s="4"/>
      <c r="BF219" s="13"/>
      <c r="BG219" s="4"/>
      <c r="BH219" s="13"/>
      <c r="BI219" s="13"/>
      <c r="BJ219" s="4"/>
      <c r="BK219" s="14">
        <v>19</v>
      </c>
      <c r="BL219" s="14">
        <v>18</v>
      </c>
      <c r="BM219" s="14">
        <v>19</v>
      </c>
      <c r="BN219" s="3" t="s">
        <v>312</v>
      </c>
      <c r="BO219" s="3" t="s">
        <v>414</v>
      </c>
      <c r="BP219" s="15"/>
      <c r="BQ219" s="15"/>
      <c r="BR219" s="2" t="s">
        <v>162</v>
      </c>
      <c r="BS219" s="2" t="s">
        <v>162</v>
      </c>
      <c r="BT219" s="7" t="s">
        <v>1153</v>
      </c>
      <c r="BU219" s="7" t="s">
        <v>163</v>
      </c>
      <c r="BV219" s="9" t="s">
        <v>163</v>
      </c>
      <c r="BW219" s="9"/>
    </row>
    <row r="220" spans="1:75" ht="14.25" customHeight="1" x14ac:dyDescent="0.25">
      <c r="A220" s="1">
        <v>565</v>
      </c>
      <c r="B220" s="1" t="s">
        <v>1203</v>
      </c>
      <c r="C220" s="1" t="s">
        <v>1204</v>
      </c>
      <c r="D220" s="1" t="s">
        <v>616</v>
      </c>
      <c r="E220" s="1" t="s">
        <v>1094</v>
      </c>
      <c r="F220" s="1" t="s">
        <v>1144</v>
      </c>
      <c r="G220" s="1" t="s">
        <v>118</v>
      </c>
      <c r="H220" s="2">
        <v>0</v>
      </c>
      <c r="I220" s="2">
        <v>1</v>
      </c>
      <c r="J220" s="2">
        <v>1</v>
      </c>
      <c r="K220" s="2">
        <v>0</v>
      </c>
      <c r="L220" s="3" t="s">
        <v>127</v>
      </c>
      <c r="O220" s="4">
        <v>5</v>
      </c>
      <c r="P220" s="4" t="s">
        <v>1145</v>
      </c>
      <c r="Q220" s="4"/>
      <c r="R220" s="16">
        <v>8000</v>
      </c>
      <c r="S220" s="6">
        <v>8000</v>
      </c>
      <c r="T220" s="17"/>
      <c r="U220" s="6"/>
      <c r="V220" s="4"/>
      <c r="W220" s="4"/>
      <c r="X220" s="4"/>
      <c r="Y220" s="7">
        <v>4</v>
      </c>
      <c r="Z220" s="8">
        <v>154231</v>
      </c>
      <c r="AA220" s="7" t="s">
        <v>130</v>
      </c>
      <c r="AB220" s="7"/>
      <c r="AC220" s="9">
        <v>4</v>
      </c>
      <c r="AD220" s="10">
        <v>154231</v>
      </c>
      <c r="AE220" s="9" t="s">
        <v>130</v>
      </c>
      <c r="AF220" s="9"/>
      <c r="AG220" s="11">
        <v>4</v>
      </c>
      <c r="AH220" s="11" t="s">
        <v>1048</v>
      </c>
      <c r="AI220" s="11"/>
      <c r="AJ220" s="11"/>
      <c r="AK220" s="11"/>
      <c r="AL220" s="12">
        <v>4</v>
      </c>
      <c r="AM220" s="12" t="s">
        <v>1048</v>
      </c>
      <c r="AN220" s="12"/>
      <c r="AO220" s="12"/>
      <c r="AP220" s="12"/>
      <c r="AQ220" s="4">
        <v>4</v>
      </c>
      <c r="AR220" s="4" t="s">
        <v>621</v>
      </c>
      <c r="AS220" s="4" t="s">
        <v>145</v>
      </c>
      <c r="AT220" s="13"/>
      <c r="AU220" s="13"/>
      <c r="AV220" s="13"/>
      <c r="AW220" s="13"/>
      <c r="AX220" s="4"/>
      <c r="AY220" s="13"/>
      <c r="AZ220" s="13"/>
      <c r="BA220" s="13"/>
      <c r="BB220" s="13"/>
      <c r="BC220" s="4"/>
      <c r="BD220" s="4"/>
      <c r="BE220" s="4"/>
      <c r="BF220" s="13"/>
      <c r="BG220" s="4"/>
      <c r="BH220" s="13"/>
      <c r="BI220" s="13"/>
      <c r="BJ220" s="4"/>
      <c r="BK220" s="14">
        <v>17</v>
      </c>
      <c r="BL220" s="14">
        <v>17</v>
      </c>
      <c r="BM220" s="14">
        <v>17</v>
      </c>
      <c r="BN220" s="3" t="s">
        <v>312</v>
      </c>
      <c r="BO220" s="3" t="s">
        <v>114</v>
      </c>
      <c r="BP220" s="15"/>
      <c r="BQ220" s="15"/>
      <c r="BR220" s="2" t="s">
        <v>162</v>
      </c>
      <c r="BS220" s="2" t="s">
        <v>162</v>
      </c>
      <c r="BT220" s="7" t="s">
        <v>1153</v>
      </c>
      <c r="BU220" s="7" t="s">
        <v>163</v>
      </c>
      <c r="BV220" s="9" t="s">
        <v>163</v>
      </c>
      <c r="BW220" s="9"/>
    </row>
    <row r="221" spans="1:75" ht="14.25" customHeight="1" x14ac:dyDescent="0.25">
      <c r="A221" s="1">
        <v>566</v>
      </c>
      <c r="B221" s="1" t="s">
        <v>1205</v>
      </c>
      <c r="C221" s="1" t="s">
        <v>1206</v>
      </c>
      <c r="D221" s="1" t="s">
        <v>616</v>
      </c>
      <c r="E221" s="1" t="s">
        <v>1094</v>
      </c>
      <c r="F221" s="1" t="s">
        <v>1144</v>
      </c>
      <c r="G221" s="1"/>
      <c r="H221" s="2">
        <v>1</v>
      </c>
      <c r="I221" s="2">
        <v>1</v>
      </c>
      <c r="J221" s="2">
        <v>1</v>
      </c>
      <c r="K221" s="2">
        <v>0</v>
      </c>
      <c r="L221" s="3" t="s">
        <v>127</v>
      </c>
      <c r="O221" s="4">
        <v>3</v>
      </c>
      <c r="P221" s="4" t="s">
        <v>1145</v>
      </c>
      <c r="Q221" s="4" t="s">
        <v>1146</v>
      </c>
      <c r="R221" s="16">
        <v>1000000</v>
      </c>
      <c r="S221" s="6">
        <v>1000000</v>
      </c>
      <c r="T221" s="16">
        <v>1000000</v>
      </c>
      <c r="U221" s="6">
        <v>1000000</v>
      </c>
      <c r="V221" s="4">
        <v>1991</v>
      </c>
      <c r="W221" s="4" t="s">
        <v>1207</v>
      </c>
      <c r="X221" s="4"/>
      <c r="Y221" s="7">
        <v>3</v>
      </c>
      <c r="Z221" s="8">
        <v>436000</v>
      </c>
      <c r="AA221" s="7" t="s">
        <v>1145</v>
      </c>
      <c r="AB221" s="7"/>
      <c r="AC221" s="9">
        <v>2</v>
      </c>
      <c r="AD221" s="10">
        <v>1212125</v>
      </c>
      <c r="AE221" s="9" t="s">
        <v>1148</v>
      </c>
      <c r="AF221" s="9" t="s">
        <v>1208</v>
      </c>
      <c r="AG221" s="11">
        <v>4</v>
      </c>
      <c r="AH221" s="11" t="s">
        <v>1149</v>
      </c>
      <c r="AI221" s="11"/>
      <c r="AJ221" s="11">
        <v>4</v>
      </c>
      <c r="AK221" s="11" t="s">
        <v>143</v>
      </c>
      <c r="AL221" s="12">
        <v>3</v>
      </c>
      <c r="AM221" s="12" t="s">
        <v>1149</v>
      </c>
      <c r="AN221" s="12"/>
      <c r="AO221" s="12">
        <v>3</v>
      </c>
      <c r="AP221" s="12" t="s">
        <v>143</v>
      </c>
      <c r="AQ221" s="4">
        <v>3</v>
      </c>
      <c r="AR221" s="4" t="s">
        <v>1184</v>
      </c>
      <c r="AS221" s="4" t="s">
        <v>1209</v>
      </c>
      <c r="AT221" s="13"/>
      <c r="AU221" s="13"/>
      <c r="AV221" s="13"/>
      <c r="AW221" s="13"/>
      <c r="AX221" s="4"/>
      <c r="AY221" s="13"/>
      <c r="AZ221" s="13"/>
      <c r="BA221" s="13"/>
      <c r="BB221" s="13"/>
      <c r="BC221" s="4"/>
      <c r="BD221" s="4"/>
      <c r="BE221" s="4"/>
      <c r="BF221" s="13"/>
      <c r="BG221" s="4"/>
      <c r="BH221" s="13"/>
      <c r="BI221" s="13"/>
      <c r="BJ221" s="4"/>
      <c r="BK221" s="14">
        <v>13</v>
      </c>
      <c r="BL221" s="14">
        <v>11</v>
      </c>
      <c r="BM221" s="14">
        <v>13</v>
      </c>
      <c r="BP221" s="15"/>
      <c r="BQ221" s="15"/>
      <c r="BR221" s="2" t="s">
        <v>162</v>
      </c>
      <c r="BS221" s="2" t="s">
        <v>162</v>
      </c>
      <c r="BT221" s="7" t="s">
        <v>1153</v>
      </c>
      <c r="BU221" s="7" t="s">
        <v>163</v>
      </c>
      <c r="BV221" s="9" t="s">
        <v>163</v>
      </c>
      <c r="BW221" s="9"/>
    </row>
    <row r="222" spans="1:75" ht="14.25" customHeight="1" x14ac:dyDescent="0.25">
      <c r="A222" s="1">
        <v>567</v>
      </c>
      <c r="B222" s="1" t="s">
        <v>1210</v>
      </c>
      <c r="C222" s="1" t="s">
        <v>1211</v>
      </c>
      <c r="D222" s="1" t="s">
        <v>616</v>
      </c>
      <c r="E222" s="1" t="s">
        <v>1094</v>
      </c>
      <c r="F222" s="1" t="s">
        <v>1144</v>
      </c>
      <c r="G222" s="1"/>
      <c r="H222" s="2">
        <v>1</v>
      </c>
      <c r="I222" s="2">
        <v>1</v>
      </c>
      <c r="J222" s="2">
        <v>1</v>
      </c>
      <c r="K222" s="2">
        <v>0</v>
      </c>
      <c r="L222" s="3" t="s">
        <v>127</v>
      </c>
      <c r="O222" s="4">
        <v>3</v>
      </c>
      <c r="P222" s="4" t="s">
        <v>1145</v>
      </c>
      <c r="Q222" s="4"/>
      <c r="R222" s="16">
        <v>3600000</v>
      </c>
      <c r="S222" s="6">
        <v>3600000</v>
      </c>
      <c r="T222" s="16">
        <v>3200000</v>
      </c>
      <c r="U222" s="6">
        <v>3200000</v>
      </c>
      <c r="V222" s="4">
        <v>2008</v>
      </c>
      <c r="W222" s="4" t="s">
        <v>1212</v>
      </c>
      <c r="X222" s="4"/>
      <c r="Y222" s="7">
        <v>3</v>
      </c>
      <c r="Z222" s="8"/>
      <c r="AA222" s="7" t="s">
        <v>1213</v>
      </c>
      <c r="AB222" s="7" t="s">
        <v>1214</v>
      </c>
      <c r="AC222" s="9">
        <v>2</v>
      </c>
      <c r="AD222" s="10">
        <v>1307492</v>
      </c>
      <c r="AE222" s="9" t="s">
        <v>130</v>
      </c>
      <c r="AF222" s="9"/>
      <c r="AG222" s="11">
        <v>4</v>
      </c>
      <c r="AH222" s="11" t="s">
        <v>1215</v>
      </c>
      <c r="AI222" s="11" t="s">
        <v>1216</v>
      </c>
      <c r="AJ222" s="11">
        <v>3</v>
      </c>
      <c r="AK222" s="11" t="s">
        <v>143</v>
      </c>
      <c r="AL222" s="12">
        <v>4</v>
      </c>
      <c r="AM222" s="12" t="s">
        <v>1215</v>
      </c>
      <c r="AN222" s="12" t="s">
        <v>1217</v>
      </c>
      <c r="AO222" s="12">
        <v>2</v>
      </c>
      <c r="AP222" s="12" t="s">
        <v>132</v>
      </c>
      <c r="AQ222" s="4">
        <v>4</v>
      </c>
      <c r="AR222" s="4" t="s">
        <v>1218</v>
      </c>
      <c r="AS222" s="4" t="s">
        <v>1219</v>
      </c>
      <c r="AT222" s="13"/>
      <c r="AU222" s="13"/>
      <c r="AV222" s="13"/>
      <c r="AW222" s="13"/>
      <c r="AX222" s="4"/>
      <c r="AY222" s="13"/>
      <c r="AZ222" s="13"/>
      <c r="BA222" s="13"/>
      <c r="BB222" s="13"/>
      <c r="BC222" s="4"/>
      <c r="BD222" s="4"/>
      <c r="BE222" s="4"/>
      <c r="BF222" s="13"/>
      <c r="BG222" s="4"/>
      <c r="BH222" s="13"/>
      <c r="BI222" s="13"/>
      <c r="BJ222" s="4"/>
      <c r="BK222" s="14">
        <v>14</v>
      </c>
      <c r="BL222" s="14">
        <v>13</v>
      </c>
      <c r="BM222" s="14">
        <v>14</v>
      </c>
      <c r="BN222" s="3" t="s">
        <v>86</v>
      </c>
      <c r="BO222" s="3" t="s">
        <v>120</v>
      </c>
      <c r="BP222" s="15"/>
      <c r="BQ222" s="15"/>
      <c r="BR222" s="2" t="s">
        <v>162</v>
      </c>
      <c r="BS222" s="2" t="s">
        <v>162</v>
      </c>
      <c r="BT222" s="7" t="s">
        <v>1153</v>
      </c>
      <c r="BU222" s="7" t="s">
        <v>163</v>
      </c>
      <c r="BV222" s="9" t="s">
        <v>163</v>
      </c>
      <c r="BW222" s="9"/>
    </row>
    <row r="223" spans="1:75" ht="14.25" customHeight="1" x14ac:dyDescent="0.25">
      <c r="A223" s="1">
        <v>568</v>
      </c>
      <c r="B223" s="1" t="s">
        <v>1220</v>
      </c>
      <c r="C223" s="1" t="s">
        <v>1221</v>
      </c>
      <c r="D223" s="1" t="s">
        <v>616</v>
      </c>
      <c r="E223" s="1" t="s">
        <v>1094</v>
      </c>
      <c r="F223" s="1" t="s">
        <v>1144</v>
      </c>
      <c r="G223" s="1" t="s">
        <v>118</v>
      </c>
      <c r="H223" s="2">
        <v>1</v>
      </c>
      <c r="I223" s="2">
        <v>1</v>
      </c>
      <c r="J223" s="2">
        <v>0</v>
      </c>
      <c r="K223" s="2">
        <v>0</v>
      </c>
      <c r="L223" s="3" t="s">
        <v>127</v>
      </c>
      <c r="O223" s="4">
        <v>3</v>
      </c>
      <c r="P223" s="4" t="s">
        <v>1222</v>
      </c>
      <c r="Q223" s="4" t="s">
        <v>1223</v>
      </c>
      <c r="R223" s="16">
        <v>1400000</v>
      </c>
      <c r="S223" s="6">
        <v>1400000</v>
      </c>
      <c r="T223" s="17"/>
      <c r="U223" s="6"/>
      <c r="V223" s="4"/>
      <c r="W223" s="4"/>
      <c r="X223" s="4"/>
      <c r="Y223" s="7">
        <v>3</v>
      </c>
      <c r="Z223" s="8">
        <v>378000</v>
      </c>
      <c r="AA223" s="7" t="s">
        <v>1145</v>
      </c>
      <c r="AB223" s="7"/>
      <c r="AC223" s="9">
        <v>2</v>
      </c>
      <c r="AD223" s="10">
        <v>3068805</v>
      </c>
      <c r="AE223" s="9" t="s">
        <v>1148</v>
      </c>
      <c r="AF223" s="9"/>
      <c r="AG223" s="11">
        <v>3</v>
      </c>
      <c r="AH223" s="11" t="s">
        <v>1048</v>
      </c>
      <c r="AI223" s="11"/>
      <c r="AJ223" s="11"/>
      <c r="AK223" s="11"/>
      <c r="AL223" s="12">
        <v>3</v>
      </c>
      <c r="AM223" s="12" t="s">
        <v>1048</v>
      </c>
      <c r="AN223" s="12"/>
      <c r="AO223" s="12"/>
      <c r="AP223" s="12"/>
      <c r="AQ223" s="4">
        <v>3</v>
      </c>
      <c r="AR223" s="4" t="s">
        <v>621</v>
      </c>
      <c r="AS223" s="4"/>
      <c r="AT223" s="13"/>
      <c r="AU223" s="13"/>
      <c r="AV223" s="13"/>
      <c r="AW223" s="13"/>
      <c r="AX223" s="4"/>
      <c r="AY223" s="13"/>
      <c r="AZ223" s="13"/>
      <c r="BA223" s="13"/>
      <c r="BB223" s="13"/>
      <c r="BC223" s="4"/>
      <c r="BD223" s="4"/>
      <c r="BE223" s="4"/>
      <c r="BF223" s="13"/>
      <c r="BG223" s="4"/>
      <c r="BH223" s="13"/>
      <c r="BI223" s="13"/>
      <c r="BJ223" s="4"/>
      <c r="BK223" s="14">
        <v>12</v>
      </c>
      <c r="BL223" s="14">
        <v>11</v>
      </c>
      <c r="BM223" s="14">
        <v>12</v>
      </c>
      <c r="BP223" s="15"/>
      <c r="BQ223" s="15"/>
      <c r="BR223" s="2" t="s">
        <v>161</v>
      </c>
      <c r="BS223" s="2" t="s">
        <v>1224</v>
      </c>
      <c r="BT223" s="7" t="s">
        <v>1153</v>
      </c>
      <c r="BU223" s="7" t="s">
        <v>163</v>
      </c>
      <c r="BV223" s="9" t="s">
        <v>163</v>
      </c>
      <c r="BW223" s="9"/>
    </row>
    <row r="224" spans="1:75" ht="14.25" customHeight="1" x14ac:dyDescent="0.25">
      <c r="A224" s="1">
        <v>569</v>
      </c>
      <c r="B224" s="1" t="s">
        <v>1225</v>
      </c>
      <c r="C224" s="1" t="s">
        <v>1226</v>
      </c>
      <c r="D224" s="1" t="s">
        <v>616</v>
      </c>
      <c r="E224" s="1" t="s">
        <v>1094</v>
      </c>
      <c r="F224" s="1" t="s">
        <v>1144</v>
      </c>
      <c r="G224" s="1" t="s">
        <v>118</v>
      </c>
      <c r="H224" s="2">
        <v>0</v>
      </c>
      <c r="I224" s="2">
        <v>1</v>
      </c>
      <c r="J224" s="2">
        <v>0</v>
      </c>
      <c r="K224" s="2">
        <v>0</v>
      </c>
      <c r="L224" s="3" t="s">
        <v>127</v>
      </c>
      <c r="O224" s="4">
        <v>2</v>
      </c>
      <c r="P224" s="4" t="s">
        <v>1227</v>
      </c>
      <c r="Q224" s="4" t="s">
        <v>1146</v>
      </c>
      <c r="R224" s="16">
        <v>20000000</v>
      </c>
      <c r="S224" s="6">
        <v>20000000</v>
      </c>
      <c r="T224" s="17"/>
      <c r="U224" s="6"/>
      <c r="V224" s="4"/>
      <c r="W224" s="4"/>
      <c r="X224" s="4"/>
      <c r="Y224" s="7">
        <v>5</v>
      </c>
      <c r="Z224" s="8">
        <v>65200</v>
      </c>
      <c r="AA224" s="7" t="s">
        <v>1145</v>
      </c>
      <c r="AB224" s="7"/>
      <c r="AC224" s="9">
        <v>2</v>
      </c>
      <c r="AD224" s="10">
        <v>2800064</v>
      </c>
      <c r="AE224" s="9" t="s">
        <v>1148</v>
      </c>
      <c r="AF224" s="9" t="s">
        <v>1228</v>
      </c>
      <c r="AG224" s="11">
        <v>3</v>
      </c>
      <c r="AH224" s="11" t="s">
        <v>1048</v>
      </c>
      <c r="AI224" s="11"/>
      <c r="AJ224" s="11"/>
      <c r="AK224" s="11"/>
      <c r="AL224" s="12">
        <v>3</v>
      </c>
      <c r="AM224" s="12" t="s">
        <v>1048</v>
      </c>
      <c r="AN224" s="12"/>
      <c r="AO224" s="12"/>
      <c r="AP224" s="12"/>
      <c r="AQ224" s="4">
        <v>3</v>
      </c>
      <c r="AR224" s="4" t="s">
        <v>621</v>
      </c>
      <c r="AS224" s="4"/>
      <c r="AT224" s="13"/>
      <c r="AU224" s="13"/>
      <c r="AV224" s="13"/>
      <c r="AW224" s="13"/>
      <c r="AX224" s="4"/>
      <c r="AY224" s="13"/>
      <c r="AZ224" s="13"/>
      <c r="BA224" s="13"/>
      <c r="BB224" s="13"/>
      <c r="BC224" s="4"/>
      <c r="BD224" s="4"/>
      <c r="BE224" s="4"/>
      <c r="BF224" s="13"/>
      <c r="BG224" s="4"/>
      <c r="BH224" s="13"/>
      <c r="BI224" s="13"/>
      <c r="BJ224" s="4"/>
      <c r="BK224" s="14">
        <v>13</v>
      </c>
      <c r="BL224" s="14">
        <v>10</v>
      </c>
      <c r="BM224" s="14">
        <v>13</v>
      </c>
      <c r="BP224" s="15"/>
      <c r="BQ224" s="15"/>
      <c r="BR224" s="2" t="s">
        <v>161</v>
      </c>
      <c r="BS224" s="2" t="s">
        <v>1224</v>
      </c>
      <c r="BT224" s="7" t="s">
        <v>1153</v>
      </c>
      <c r="BU224" s="7" t="s">
        <v>163</v>
      </c>
      <c r="BV224" s="9" t="s">
        <v>163</v>
      </c>
      <c r="BW224" s="9"/>
    </row>
    <row r="225" spans="1:75" ht="14.25" customHeight="1" x14ac:dyDescent="0.25">
      <c r="A225" s="1">
        <v>570</v>
      </c>
      <c r="B225" s="1" t="s">
        <v>1229</v>
      </c>
      <c r="C225" s="1" t="s">
        <v>1230</v>
      </c>
      <c r="D225" s="1" t="s">
        <v>616</v>
      </c>
      <c r="E225" s="1" t="s">
        <v>1094</v>
      </c>
      <c r="F225" s="1" t="s">
        <v>1144</v>
      </c>
      <c r="G225" s="1" t="s">
        <v>118</v>
      </c>
      <c r="H225" s="2">
        <v>0</v>
      </c>
      <c r="I225" s="2">
        <v>1</v>
      </c>
      <c r="J225" s="2">
        <v>0</v>
      </c>
      <c r="K225" s="2">
        <v>0</v>
      </c>
      <c r="L225" s="3" t="s">
        <v>127</v>
      </c>
      <c r="O225" s="4">
        <v>4</v>
      </c>
      <c r="P225" s="4" t="s">
        <v>1145</v>
      </c>
      <c r="Q225" s="4" t="s">
        <v>1146</v>
      </c>
      <c r="R225" s="16">
        <v>67000</v>
      </c>
      <c r="S225" s="6">
        <v>67000</v>
      </c>
      <c r="T225" s="17"/>
      <c r="U225" s="6"/>
      <c r="V225" s="4"/>
      <c r="W225" s="4"/>
      <c r="X225" s="4"/>
      <c r="Y225" s="7">
        <v>4</v>
      </c>
      <c r="Z225" s="8">
        <v>128000</v>
      </c>
      <c r="AA225" s="7" t="s">
        <v>1145</v>
      </c>
      <c r="AB225" s="7"/>
      <c r="AC225" s="9">
        <v>2</v>
      </c>
      <c r="AD225" s="10">
        <v>1441383</v>
      </c>
      <c r="AE225" s="9" t="s">
        <v>1148</v>
      </c>
      <c r="AF225" s="9"/>
      <c r="AG225" s="11">
        <v>4</v>
      </c>
      <c r="AH225" s="11" t="s">
        <v>1048</v>
      </c>
      <c r="AI225" s="11"/>
      <c r="AJ225" s="11"/>
      <c r="AK225" s="11"/>
      <c r="AL225" s="12">
        <v>3</v>
      </c>
      <c r="AM225" s="12" t="s">
        <v>1048</v>
      </c>
      <c r="AN225" s="12"/>
      <c r="AO225" s="12"/>
      <c r="AP225" s="12"/>
      <c r="AQ225" s="4">
        <v>3</v>
      </c>
      <c r="AR225" s="4" t="s">
        <v>621</v>
      </c>
      <c r="AS225" s="4"/>
      <c r="AT225" s="13"/>
      <c r="AU225" s="13"/>
      <c r="AV225" s="13"/>
      <c r="AW225" s="13"/>
      <c r="AX225" s="4"/>
      <c r="AY225" s="13"/>
      <c r="AZ225" s="13"/>
      <c r="BA225" s="13"/>
      <c r="BB225" s="13"/>
      <c r="BC225" s="4"/>
      <c r="BD225" s="4"/>
      <c r="BE225" s="4"/>
      <c r="BF225" s="13"/>
      <c r="BG225" s="4"/>
      <c r="BH225" s="13"/>
      <c r="BI225" s="13"/>
      <c r="BJ225" s="4"/>
      <c r="BK225" s="14">
        <v>15</v>
      </c>
      <c r="BL225" s="14">
        <v>12</v>
      </c>
      <c r="BM225" s="14">
        <v>15</v>
      </c>
      <c r="BN225" s="3" t="s">
        <v>86</v>
      </c>
      <c r="BP225" s="15"/>
      <c r="BQ225" s="15"/>
      <c r="BR225" s="2" t="s">
        <v>161</v>
      </c>
      <c r="BS225" s="2" t="s">
        <v>1224</v>
      </c>
      <c r="BT225" s="7" t="s">
        <v>1153</v>
      </c>
      <c r="BU225" s="7" t="s">
        <v>163</v>
      </c>
      <c r="BV225" s="9" t="s">
        <v>163</v>
      </c>
      <c r="BW225" s="9"/>
    </row>
    <row r="226" spans="1:75" ht="14.25" customHeight="1" x14ac:dyDescent="0.25">
      <c r="A226" s="1">
        <v>571</v>
      </c>
      <c r="B226" s="1" t="s">
        <v>1231</v>
      </c>
      <c r="C226" s="1" t="s">
        <v>1232</v>
      </c>
      <c r="D226" s="1" t="s">
        <v>616</v>
      </c>
      <c r="E226" s="1" t="s">
        <v>1094</v>
      </c>
      <c r="F226" s="1" t="s">
        <v>1144</v>
      </c>
      <c r="G226" s="1" t="s">
        <v>118</v>
      </c>
      <c r="H226" s="2">
        <v>0</v>
      </c>
      <c r="I226" s="2">
        <v>1</v>
      </c>
      <c r="J226" s="2">
        <v>0</v>
      </c>
      <c r="K226" s="2">
        <v>0</v>
      </c>
      <c r="L226" s="3" t="s">
        <v>127</v>
      </c>
      <c r="O226" s="4">
        <v>2</v>
      </c>
      <c r="P226" s="4" t="s">
        <v>1145</v>
      </c>
      <c r="Q226" s="4" t="s">
        <v>1146</v>
      </c>
      <c r="R226" s="16">
        <v>5500000</v>
      </c>
      <c r="S226" s="6">
        <v>5500000</v>
      </c>
      <c r="T226" s="17"/>
      <c r="U226" s="6"/>
      <c r="V226" s="4"/>
      <c r="W226" s="4"/>
      <c r="X226" s="4"/>
      <c r="Y226" s="7">
        <v>3</v>
      </c>
      <c r="Z226" s="8">
        <v>412000</v>
      </c>
      <c r="AA226" s="7" t="s">
        <v>1145</v>
      </c>
      <c r="AB226" s="7"/>
      <c r="AC226" s="9">
        <v>2</v>
      </c>
      <c r="AD226" s="10">
        <v>2704678</v>
      </c>
      <c r="AE226" s="9" t="s">
        <v>1148</v>
      </c>
      <c r="AF226" s="9"/>
      <c r="AG226" s="11">
        <v>3</v>
      </c>
      <c r="AH226" s="11" t="s">
        <v>1048</v>
      </c>
      <c r="AI226" s="11"/>
      <c r="AJ226" s="11"/>
      <c r="AK226" s="11"/>
      <c r="AL226" s="12">
        <v>3</v>
      </c>
      <c r="AM226" s="12" t="s">
        <v>1048</v>
      </c>
      <c r="AN226" s="12"/>
      <c r="AO226" s="12"/>
      <c r="AP226" s="12"/>
      <c r="AQ226" s="4">
        <v>3</v>
      </c>
      <c r="AR226" s="4" t="s">
        <v>621</v>
      </c>
      <c r="AS226" s="4"/>
      <c r="AT226" s="13"/>
      <c r="AU226" s="13"/>
      <c r="AV226" s="13"/>
      <c r="AW226" s="13"/>
      <c r="AX226" s="4"/>
      <c r="AY226" s="13"/>
      <c r="AZ226" s="13"/>
      <c r="BA226" s="13"/>
      <c r="BB226" s="13"/>
      <c r="BC226" s="4"/>
      <c r="BD226" s="4"/>
      <c r="BE226" s="4"/>
      <c r="BF226" s="13"/>
      <c r="BG226" s="4"/>
      <c r="BH226" s="13"/>
      <c r="BI226" s="13"/>
      <c r="BJ226" s="4"/>
      <c r="BK226" s="14">
        <v>11</v>
      </c>
      <c r="BL226" s="14">
        <v>10</v>
      </c>
      <c r="BM226" s="14">
        <v>11</v>
      </c>
      <c r="BP226" s="15"/>
      <c r="BQ226" s="15"/>
      <c r="BR226" s="2" t="s">
        <v>161</v>
      </c>
      <c r="BS226" s="2" t="s">
        <v>1224</v>
      </c>
      <c r="BT226" s="7" t="s">
        <v>1153</v>
      </c>
      <c r="BU226" s="7" t="s">
        <v>163</v>
      </c>
      <c r="BV226" s="9" t="s">
        <v>163</v>
      </c>
      <c r="BW226" s="9"/>
    </row>
    <row r="227" spans="1:75" ht="14.25" customHeight="1" x14ac:dyDescent="0.25">
      <c r="A227" s="1">
        <v>572</v>
      </c>
      <c r="B227" s="1" t="s">
        <v>1233</v>
      </c>
      <c r="C227" s="1" t="s">
        <v>1234</v>
      </c>
      <c r="D227" s="1" t="s">
        <v>616</v>
      </c>
      <c r="E227" s="1" t="s">
        <v>1094</v>
      </c>
      <c r="F227" s="1" t="s">
        <v>1144</v>
      </c>
      <c r="G227" s="1" t="s">
        <v>118</v>
      </c>
      <c r="H227" s="2">
        <v>1</v>
      </c>
      <c r="I227" s="2">
        <v>1</v>
      </c>
      <c r="J227" s="2">
        <v>1</v>
      </c>
      <c r="K227" s="2">
        <v>0</v>
      </c>
      <c r="L227" s="3" t="s">
        <v>127</v>
      </c>
      <c r="O227" s="4">
        <v>3</v>
      </c>
      <c r="P227" s="4" t="s">
        <v>1235</v>
      </c>
      <c r="Q227" s="4"/>
      <c r="R227" s="16">
        <v>1500000</v>
      </c>
      <c r="S227" s="6">
        <v>1500000</v>
      </c>
      <c r="T227" s="16">
        <v>900000</v>
      </c>
      <c r="U227" s="6">
        <v>900000</v>
      </c>
      <c r="V227" s="4">
        <v>1993</v>
      </c>
      <c r="W227" s="4" t="s">
        <v>1235</v>
      </c>
      <c r="X227" s="4"/>
      <c r="Y227" s="7">
        <v>3</v>
      </c>
      <c r="Z227" s="8">
        <v>321000</v>
      </c>
      <c r="AA227" s="7" t="s">
        <v>1145</v>
      </c>
      <c r="AB227" s="7" t="s">
        <v>1236</v>
      </c>
      <c r="AC227" s="9">
        <v>2</v>
      </c>
      <c r="AD227" s="10">
        <v>1459328</v>
      </c>
      <c r="AE227" s="9" t="s">
        <v>1148</v>
      </c>
      <c r="AF227" s="9" t="s">
        <v>1237</v>
      </c>
      <c r="AG227" s="11">
        <v>4</v>
      </c>
      <c r="AH227" s="11" t="s">
        <v>1149</v>
      </c>
      <c r="AI227" s="11"/>
      <c r="AJ227" s="11">
        <v>2</v>
      </c>
      <c r="AK227" s="11" t="s">
        <v>143</v>
      </c>
      <c r="AL227" s="12">
        <v>3</v>
      </c>
      <c r="AM227" s="12" t="s">
        <v>1149</v>
      </c>
      <c r="AN227" s="12"/>
      <c r="AO227" s="12">
        <v>2</v>
      </c>
      <c r="AP227" s="12" t="s">
        <v>143</v>
      </c>
      <c r="AQ227" s="4">
        <v>3</v>
      </c>
      <c r="AR227" s="4" t="s">
        <v>1184</v>
      </c>
      <c r="AS227" s="4" t="s">
        <v>1238</v>
      </c>
      <c r="AT227" s="13"/>
      <c r="AU227" s="13"/>
      <c r="AV227" s="13"/>
      <c r="AW227" s="13"/>
      <c r="AX227" s="4"/>
      <c r="AY227" s="13"/>
      <c r="AZ227" s="13"/>
      <c r="BA227" s="13"/>
      <c r="BB227" s="13"/>
      <c r="BC227" s="4"/>
      <c r="BD227" s="4"/>
      <c r="BE227" s="4"/>
      <c r="BF227" s="13"/>
      <c r="BG227" s="4"/>
      <c r="BH227" s="13"/>
      <c r="BI227" s="13"/>
      <c r="BJ227" s="4"/>
      <c r="BK227" s="14">
        <v>13</v>
      </c>
      <c r="BL227" s="14">
        <v>11</v>
      </c>
      <c r="BM227" s="14">
        <v>13</v>
      </c>
      <c r="BP227" s="15"/>
      <c r="BQ227" s="15"/>
      <c r="BR227" s="2" t="s">
        <v>162</v>
      </c>
      <c r="BS227" s="2" t="s">
        <v>162</v>
      </c>
      <c r="BT227" s="7" t="s">
        <v>1153</v>
      </c>
      <c r="BU227" s="7" t="s">
        <v>163</v>
      </c>
      <c r="BV227" s="9" t="s">
        <v>163</v>
      </c>
      <c r="BW227" s="9"/>
    </row>
    <row r="228" spans="1:75" ht="14.25" customHeight="1" x14ac:dyDescent="0.25">
      <c r="A228" s="1">
        <v>573</v>
      </c>
      <c r="B228" s="1" t="s">
        <v>1239</v>
      </c>
      <c r="C228" s="1" t="s">
        <v>1240</v>
      </c>
      <c r="D228" s="1" t="s">
        <v>616</v>
      </c>
      <c r="E228" s="1" t="s">
        <v>1094</v>
      </c>
      <c r="F228" s="1" t="s">
        <v>1144</v>
      </c>
      <c r="G228" s="1"/>
      <c r="H228" s="2">
        <v>1</v>
      </c>
      <c r="I228" s="2">
        <v>1</v>
      </c>
      <c r="J228" s="2">
        <v>0</v>
      </c>
      <c r="K228" s="2">
        <v>0</v>
      </c>
      <c r="L228" s="3" t="s">
        <v>127</v>
      </c>
      <c r="O228" s="4">
        <v>2</v>
      </c>
      <c r="P228" s="4" t="s">
        <v>1145</v>
      </c>
      <c r="Q228" s="4" t="s">
        <v>1241</v>
      </c>
      <c r="R228" s="16">
        <v>12000000</v>
      </c>
      <c r="S228" s="6">
        <v>12000000</v>
      </c>
      <c r="T228" s="16">
        <v>380000</v>
      </c>
      <c r="U228" s="6">
        <v>380000</v>
      </c>
      <c r="V228" s="4">
        <v>1999</v>
      </c>
      <c r="W228" s="4" t="s">
        <v>1242</v>
      </c>
      <c r="X228" s="4"/>
      <c r="Y228" s="7">
        <v>2</v>
      </c>
      <c r="Z228" s="8">
        <v>1620000</v>
      </c>
      <c r="AA228" s="7" t="s">
        <v>1145</v>
      </c>
      <c r="AB228" s="7"/>
      <c r="AC228" s="9">
        <v>1</v>
      </c>
      <c r="AD228" s="10">
        <v>11149550</v>
      </c>
      <c r="AE228" s="9" t="s">
        <v>155</v>
      </c>
      <c r="AF228" s="9"/>
      <c r="AG228" s="11">
        <v>3</v>
      </c>
      <c r="AH228" s="11" t="s">
        <v>1048</v>
      </c>
      <c r="AI228" s="11"/>
      <c r="AJ228" s="11"/>
      <c r="AK228" s="11"/>
      <c r="AL228" s="12">
        <v>3</v>
      </c>
      <c r="AM228" s="12" t="s">
        <v>1048</v>
      </c>
      <c r="AN228" s="12"/>
      <c r="AO228" s="12"/>
      <c r="AP228" s="12"/>
      <c r="AQ228" s="4">
        <v>2</v>
      </c>
      <c r="AR228" s="4" t="s">
        <v>1150</v>
      </c>
      <c r="AS228" s="4"/>
      <c r="AT228" s="13">
        <v>40.748592376708999</v>
      </c>
      <c r="AU228" s="13">
        <v>0.69999998807907104</v>
      </c>
      <c r="AV228" s="13">
        <v>-1.1000000238418599</v>
      </c>
      <c r="AW228" s="13">
        <v>2.7999999523162802</v>
      </c>
      <c r="AX228" s="4"/>
      <c r="AY228" s="13">
        <v>19.052019119262699</v>
      </c>
      <c r="AZ228" s="13">
        <v>0.69999998807907104</v>
      </c>
      <c r="BA228" s="13">
        <v>-1.5</v>
      </c>
      <c r="BB228" s="13">
        <v>3.2999999523162802</v>
      </c>
      <c r="BC228" s="4"/>
      <c r="BD228" s="4">
        <v>25</v>
      </c>
      <c r="BE228" s="4"/>
      <c r="BF228" s="13">
        <v>3.9000000953674299</v>
      </c>
      <c r="BG228" s="4"/>
      <c r="BH228" s="13"/>
      <c r="BI228" s="13"/>
      <c r="BJ228" s="4"/>
      <c r="BK228" s="14">
        <v>9</v>
      </c>
      <c r="BL228" s="14">
        <v>8</v>
      </c>
      <c r="BM228" s="14">
        <v>9</v>
      </c>
      <c r="BO228" s="3" t="s">
        <v>114</v>
      </c>
      <c r="BP228" s="15"/>
      <c r="BQ228" s="15"/>
      <c r="BR228" s="2" t="s">
        <v>161</v>
      </c>
      <c r="BS228" s="2" t="s">
        <v>1152</v>
      </c>
      <c r="BT228" s="7" t="s">
        <v>1153</v>
      </c>
      <c r="BU228" s="7" t="s">
        <v>163</v>
      </c>
      <c r="BV228" s="9" t="s">
        <v>163</v>
      </c>
      <c r="BW228" s="9" t="s">
        <v>1154</v>
      </c>
    </row>
    <row r="229" spans="1:75" ht="14.25" customHeight="1" x14ac:dyDescent="0.25">
      <c r="A229" s="1">
        <v>574</v>
      </c>
      <c r="B229" s="1" t="s">
        <v>1243</v>
      </c>
      <c r="C229" s="1" t="s">
        <v>1244</v>
      </c>
      <c r="D229" s="1" t="s">
        <v>616</v>
      </c>
      <c r="E229" s="1" t="s">
        <v>1094</v>
      </c>
      <c r="F229" s="1" t="s">
        <v>1144</v>
      </c>
      <c r="G229" s="1" t="s">
        <v>118</v>
      </c>
      <c r="H229" s="2">
        <v>1</v>
      </c>
      <c r="I229" s="2">
        <v>1</v>
      </c>
      <c r="J229" s="2">
        <v>0</v>
      </c>
      <c r="K229" s="2">
        <v>0</v>
      </c>
      <c r="L229" s="3" t="s">
        <v>127</v>
      </c>
      <c r="O229" s="4">
        <v>3</v>
      </c>
      <c r="P229" s="4" t="s">
        <v>1145</v>
      </c>
      <c r="Q229" s="4" t="s">
        <v>1146</v>
      </c>
      <c r="R229" s="16">
        <v>800000</v>
      </c>
      <c r="S229" s="6">
        <v>800000</v>
      </c>
      <c r="T229" s="17"/>
      <c r="U229" s="6"/>
      <c r="V229" s="4"/>
      <c r="W229" s="4"/>
      <c r="X229" s="4"/>
      <c r="Y229" s="7">
        <v>2</v>
      </c>
      <c r="Z229" s="8">
        <v>1410000</v>
      </c>
      <c r="AA229" s="7" t="s">
        <v>1145</v>
      </c>
      <c r="AB229" s="7" t="s">
        <v>1245</v>
      </c>
      <c r="AC229" s="9">
        <v>1</v>
      </c>
      <c r="AD229" s="10"/>
      <c r="AE229" s="9" t="s">
        <v>82</v>
      </c>
      <c r="AF229" s="9" t="s">
        <v>1246</v>
      </c>
      <c r="AG229" s="11">
        <v>3</v>
      </c>
      <c r="AH229" s="11" t="s">
        <v>1048</v>
      </c>
      <c r="AI229" s="11"/>
      <c r="AJ229" s="11"/>
      <c r="AK229" s="11"/>
      <c r="AL229" s="12">
        <v>3</v>
      </c>
      <c r="AM229" s="12" t="s">
        <v>1048</v>
      </c>
      <c r="AN229" s="12"/>
      <c r="AO229" s="12"/>
      <c r="AP229" s="12"/>
      <c r="AQ229" s="4">
        <v>3</v>
      </c>
      <c r="AR229" s="4" t="s">
        <v>621</v>
      </c>
      <c r="AS229" s="4"/>
      <c r="AT229" s="13"/>
      <c r="AU229" s="13"/>
      <c r="AV229" s="13"/>
      <c r="AW229" s="13"/>
      <c r="AX229" s="4"/>
      <c r="AY229" s="13"/>
      <c r="AZ229" s="13"/>
      <c r="BA229" s="13"/>
      <c r="BB229" s="13"/>
      <c r="BC229" s="4"/>
      <c r="BD229" s="4"/>
      <c r="BE229" s="4"/>
      <c r="BF229" s="13"/>
      <c r="BG229" s="4"/>
      <c r="BH229" s="13"/>
      <c r="BI229" s="13"/>
      <c r="BJ229" s="4"/>
      <c r="BK229" s="14">
        <v>11</v>
      </c>
      <c r="BL229" s="14">
        <v>10</v>
      </c>
      <c r="BM229" s="14">
        <v>11</v>
      </c>
      <c r="BP229" s="15"/>
      <c r="BQ229" s="15"/>
      <c r="BR229" s="2" t="s">
        <v>161</v>
      </c>
      <c r="BS229" s="2" t="s">
        <v>1224</v>
      </c>
      <c r="BT229" s="7" t="s">
        <v>1153</v>
      </c>
      <c r="BU229" s="7" t="s">
        <v>163</v>
      </c>
      <c r="BV229" s="9" t="s">
        <v>163</v>
      </c>
      <c r="BW229" s="9"/>
    </row>
    <row r="230" spans="1:75" ht="14.25" customHeight="1" x14ac:dyDescent="0.25">
      <c r="A230" s="1">
        <v>580</v>
      </c>
      <c r="B230" s="1" t="s">
        <v>1247</v>
      </c>
      <c r="C230" s="1" t="s">
        <v>1248</v>
      </c>
      <c r="D230" s="1" t="s">
        <v>616</v>
      </c>
      <c r="E230" s="1" t="s">
        <v>1094</v>
      </c>
      <c r="F230" s="1" t="s">
        <v>1249</v>
      </c>
      <c r="G230" s="1"/>
      <c r="H230" s="2">
        <v>1</v>
      </c>
      <c r="I230" s="2">
        <v>1</v>
      </c>
      <c r="J230" s="2">
        <v>1</v>
      </c>
      <c r="K230" s="2">
        <v>1</v>
      </c>
      <c r="L230" s="3" t="s">
        <v>127</v>
      </c>
      <c r="O230" s="4">
        <v>4</v>
      </c>
      <c r="P230" s="4" t="s">
        <v>1039</v>
      </c>
      <c r="Q230" s="4" t="s">
        <v>1250</v>
      </c>
      <c r="R230" s="5" t="s">
        <v>1251</v>
      </c>
      <c r="S230" s="6">
        <v>340000</v>
      </c>
      <c r="T230" s="17"/>
      <c r="U230" s="6"/>
      <c r="V230" s="4"/>
      <c r="W230" s="4"/>
      <c r="X230" s="4"/>
      <c r="Y230" s="7">
        <v>3</v>
      </c>
      <c r="Z230" s="8">
        <v>948000</v>
      </c>
      <c r="AA230" s="7" t="s">
        <v>1145</v>
      </c>
      <c r="AB230" s="7" t="s">
        <v>1252</v>
      </c>
      <c r="AC230" s="9">
        <v>1</v>
      </c>
      <c r="AD230" s="10">
        <v>5326796</v>
      </c>
      <c r="AE230" s="9" t="s">
        <v>1148</v>
      </c>
      <c r="AF230" s="9" t="s">
        <v>1253</v>
      </c>
      <c r="AG230" s="11">
        <v>3</v>
      </c>
      <c r="AH230" s="11" t="s">
        <v>1149</v>
      </c>
      <c r="AI230" s="11"/>
      <c r="AJ230" s="11">
        <v>3</v>
      </c>
      <c r="AK230" s="11" t="s">
        <v>143</v>
      </c>
      <c r="AL230" s="12">
        <v>3</v>
      </c>
      <c r="AM230" s="12" t="s">
        <v>1048</v>
      </c>
      <c r="AN230" s="12" t="s">
        <v>1254</v>
      </c>
      <c r="AO230" s="12"/>
      <c r="AP230" s="12"/>
      <c r="AQ230" s="4">
        <v>2</v>
      </c>
      <c r="AR230" s="4" t="s">
        <v>621</v>
      </c>
      <c r="AS230" s="4"/>
      <c r="AT230" s="13"/>
      <c r="AU230" s="13"/>
      <c r="AV230" s="13"/>
      <c r="AW230" s="13"/>
      <c r="AX230" s="4"/>
      <c r="AY230" s="13"/>
      <c r="AZ230" s="13"/>
      <c r="BA230" s="13"/>
      <c r="BB230" s="13"/>
      <c r="BC230" s="4"/>
      <c r="BD230" s="4"/>
      <c r="BE230" s="4"/>
      <c r="BF230" s="13"/>
      <c r="BG230" s="4"/>
      <c r="BH230" s="13"/>
      <c r="BI230" s="13"/>
      <c r="BJ230" s="4"/>
      <c r="BK230" s="14">
        <v>12</v>
      </c>
      <c r="BL230" s="14">
        <v>10</v>
      </c>
      <c r="BM230" s="14">
        <v>12</v>
      </c>
      <c r="BP230" s="15"/>
      <c r="BQ230" s="15"/>
      <c r="BR230" s="2" t="s">
        <v>161</v>
      </c>
      <c r="BS230" s="2" t="s">
        <v>247</v>
      </c>
      <c r="BT230" s="7" t="s">
        <v>173</v>
      </c>
      <c r="BU230" s="7"/>
      <c r="BV230" s="9" t="s">
        <v>1154</v>
      </c>
      <c r="BW230" s="9"/>
    </row>
    <row r="231" spans="1:75" ht="14.25" customHeight="1" x14ac:dyDescent="0.25">
      <c r="A231" s="1">
        <v>581</v>
      </c>
      <c r="B231" s="1" t="s">
        <v>1255</v>
      </c>
      <c r="C231" s="1" t="s">
        <v>1256</v>
      </c>
      <c r="D231" s="1" t="s">
        <v>616</v>
      </c>
      <c r="E231" s="1" t="s">
        <v>1094</v>
      </c>
      <c r="F231" s="1" t="s">
        <v>1249</v>
      </c>
      <c r="G231" s="1" t="s">
        <v>118</v>
      </c>
      <c r="H231" s="2">
        <v>1</v>
      </c>
      <c r="I231" s="2">
        <v>1</v>
      </c>
      <c r="J231" s="2">
        <v>1</v>
      </c>
      <c r="K231" s="2">
        <v>1</v>
      </c>
      <c r="L231" s="3" t="s">
        <v>127</v>
      </c>
      <c r="O231" s="4">
        <v>3</v>
      </c>
      <c r="P231" s="4" t="s">
        <v>425</v>
      </c>
      <c r="Q231" s="4"/>
      <c r="R231" s="16">
        <v>790000</v>
      </c>
      <c r="S231" s="6">
        <v>790000</v>
      </c>
      <c r="T231" s="16">
        <v>790000</v>
      </c>
      <c r="U231" s="6">
        <v>790000</v>
      </c>
      <c r="V231" s="4">
        <v>2010.5</v>
      </c>
      <c r="W231" s="4" t="s">
        <v>425</v>
      </c>
      <c r="X231" s="4"/>
      <c r="Y231" s="7">
        <v>1</v>
      </c>
      <c r="Z231" s="8">
        <v>4392131</v>
      </c>
      <c r="AA231" s="7" t="s">
        <v>130</v>
      </c>
      <c r="AB231" s="7"/>
      <c r="AC231" s="9">
        <v>2</v>
      </c>
      <c r="AD231" s="10">
        <v>3732622</v>
      </c>
      <c r="AE231" s="9" t="s">
        <v>130</v>
      </c>
      <c r="AF231" s="9"/>
      <c r="AG231" s="11">
        <v>3</v>
      </c>
      <c r="AH231" s="11" t="s">
        <v>1149</v>
      </c>
      <c r="AI231" s="11"/>
      <c r="AJ231" s="11">
        <v>4</v>
      </c>
      <c r="AK231" s="11" t="s">
        <v>143</v>
      </c>
      <c r="AL231" s="12">
        <v>2</v>
      </c>
      <c r="AM231" s="12" t="s">
        <v>1149</v>
      </c>
      <c r="AN231" s="12"/>
      <c r="AO231" s="12">
        <v>2</v>
      </c>
      <c r="AP231" s="12" t="s">
        <v>132</v>
      </c>
      <c r="AQ231" s="4">
        <v>3</v>
      </c>
      <c r="AR231" s="4" t="s">
        <v>208</v>
      </c>
      <c r="AS231" s="4"/>
      <c r="AT231" s="13">
        <v>-30.904832839965799</v>
      </c>
      <c r="AU231" s="13">
        <v>-0.80551165342330899</v>
      </c>
      <c r="AV231" s="13">
        <v>-3.8199999332428001</v>
      </c>
      <c r="AW231" s="13">
        <v>1.6399999856948899</v>
      </c>
      <c r="AX231" s="4"/>
      <c r="AY231" s="13">
        <v>-23.907699584960898</v>
      </c>
      <c r="AZ231" s="13">
        <v>-1.3598711490631099</v>
      </c>
      <c r="BA231" s="13">
        <v>-6.3099999427795401</v>
      </c>
      <c r="BB231" s="13">
        <v>1.8491029739379901</v>
      </c>
      <c r="BC231" s="4"/>
      <c r="BD231" s="4">
        <v>20</v>
      </c>
      <c r="BE231" s="4" t="s">
        <v>210</v>
      </c>
      <c r="BF231" s="13">
        <v>5.46000003814697</v>
      </c>
      <c r="BG231" s="4">
        <v>158</v>
      </c>
      <c r="BH231" s="13">
        <v>1.71000003814697</v>
      </c>
      <c r="BI231" s="13">
        <v>270.17999267578102</v>
      </c>
      <c r="BJ231" s="4"/>
      <c r="BK231" s="14">
        <v>10</v>
      </c>
      <c r="BL231" s="14">
        <v>10</v>
      </c>
      <c r="BM231" s="14">
        <v>10</v>
      </c>
      <c r="BP231" s="15"/>
      <c r="BQ231" s="15"/>
      <c r="BR231" s="2" t="s">
        <v>211</v>
      </c>
      <c r="BS231" s="2" t="s">
        <v>172</v>
      </c>
      <c r="BT231" s="7" t="s">
        <v>303</v>
      </c>
      <c r="BU231" s="7"/>
      <c r="BV231" s="9" t="s">
        <v>163</v>
      </c>
      <c r="BW231" s="9" t="s">
        <v>212</v>
      </c>
    </row>
    <row r="232" spans="1:75" ht="14.25" customHeight="1" x14ac:dyDescent="0.25">
      <c r="A232" s="1">
        <v>583</v>
      </c>
      <c r="B232" s="1" t="s">
        <v>1257</v>
      </c>
      <c r="C232" s="1" t="s">
        <v>1258</v>
      </c>
      <c r="D232" s="1" t="s">
        <v>616</v>
      </c>
      <c r="E232" s="1" t="s">
        <v>1094</v>
      </c>
      <c r="F232" s="1" t="s">
        <v>1249</v>
      </c>
      <c r="G232" s="1" t="s">
        <v>118</v>
      </c>
      <c r="H232" s="2">
        <v>1</v>
      </c>
      <c r="I232" s="2">
        <v>1</v>
      </c>
      <c r="J232" s="2">
        <v>0</v>
      </c>
      <c r="K232" s="2">
        <v>0</v>
      </c>
      <c r="L232" s="3" t="s">
        <v>127</v>
      </c>
      <c r="O232" s="4">
        <v>3</v>
      </c>
      <c r="P232" s="4" t="s">
        <v>1039</v>
      </c>
      <c r="Q232" s="4" t="s">
        <v>1259</v>
      </c>
      <c r="R232" s="16">
        <v>4600000</v>
      </c>
      <c r="S232" s="6">
        <v>4600000</v>
      </c>
      <c r="T232" s="17"/>
      <c r="U232" s="6"/>
      <c r="V232" s="4"/>
      <c r="W232" s="4"/>
      <c r="X232" s="4"/>
      <c r="Y232" s="7">
        <v>1</v>
      </c>
      <c r="Z232" s="8">
        <v>16700000</v>
      </c>
      <c r="AA232" s="7" t="s">
        <v>1145</v>
      </c>
      <c r="AB232" s="7"/>
      <c r="AC232" s="9">
        <v>1</v>
      </c>
      <c r="AD232" s="10">
        <v>13020100</v>
      </c>
      <c r="AE232" s="9" t="s">
        <v>1148</v>
      </c>
      <c r="AF232" s="9" t="s">
        <v>1260</v>
      </c>
      <c r="AG232" s="11">
        <v>2</v>
      </c>
      <c r="AH232" s="11" t="s">
        <v>1048</v>
      </c>
      <c r="AI232" s="11"/>
      <c r="AJ232" s="11"/>
      <c r="AK232" s="11"/>
      <c r="AL232" s="12">
        <v>4</v>
      </c>
      <c r="AM232" s="12" t="s">
        <v>1149</v>
      </c>
      <c r="AN232" s="12"/>
      <c r="AO232" s="12">
        <v>5</v>
      </c>
      <c r="AP232" s="12" t="s">
        <v>143</v>
      </c>
      <c r="AQ232" s="4">
        <v>3</v>
      </c>
      <c r="AR232" s="4" t="s">
        <v>621</v>
      </c>
      <c r="AS232" s="4"/>
      <c r="AT232" s="13"/>
      <c r="AU232" s="13"/>
      <c r="AV232" s="13"/>
      <c r="AW232" s="13"/>
      <c r="AX232" s="4"/>
      <c r="AY232" s="13"/>
      <c r="AZ232" s="13"/>
      <c r="BA232" s="13"/>
      <c r="BB232" s="13"/>
      <c r="BC232" s="4"/>
      <c r="BD232" s="4"/>
      <c r="BE232" s="4"/>
      <c r="BF232" s="13"/>
      <c r="BG232" s="4"/>
      <c r="BH232" s="13"/>
      <c r="BI232" s="13"/>
      <c r="BJ232" s="4"/>
      <c r="BK232" s="14">
        <v>9</v>
      </c>
      <c r="BL232" s="14">
        <v>11</v>
      </c>
      <c r="BM232" s="14">
        <v>11</v>
      </c>
      <c r="BP232" s="15" t="s">
        <v>135</v>
      </c>
      <c r="BQ232" s="15"/>
      <c r="BR232" s="2" t="s">
        <v>273</v>
      </c>
      <c r="BS232" s="2" t="s">
        <v>273</v>
      </c>
      <c r="BT232" s="7" t="s">
        <v>137</v>
      </c>
      <c r="BU232" s="7"/>
      <c r="BV232" s="9" t="s">
        <v>163</v>
      </c>
      <c r="BW232" s="9" t="s">
        <v>212</v>
      </c>
    </row>
    <row r="233" spans="1:75" ht="14.25" customHeight="1" x14ac:dyDescent="0.25">
      <c r="A233" s="1">
        <v>584</v>
      </c>
      <c r="B233" s="1" t="s">
        <v>1261</v>
      </c>
      <c r="C233" s="1" t="s">
        <v>1262</v>
      </c>
      <c r="D233" s="1" t="s">
        <v>616</v>
      </c>
      <c r="E233" s="1" t="s">
        <v>1094</v>
      </c>
      <c r="F233" s="1" t="s">
        <v>1249</v>
      </c>
      <c r="G233" s="1" t="s">
        <v>118</v>
      </c>
      <c r="H233" s="2">
        <v>1</v>
      </c>
      <c r="I233" s="2">
        <v>1</v>
      </c>
      <c r="J233" s="2">
        <v>0</v>
      </c>
      <c r="K233" s="2">
        <v>0</v>
      </c>
      <c r="L233" s="3" t="s">
        <v>127</v>
      </c>
      <c r="O233" s="4">
        <v>4</v>
      </c>
      <c r="P233" s="4" t="s">
        <v>1039</v>
      </c>
      <c r="Q233" s="4" t="s">
        <v>1263</v>
      </c>
      <c r="R233" s="16">
        <v>120000</v>
      </c>
      <c r="S233" s="6">
        <v>120000</v>
      </c>
      <c r="T233" s="17"/>
      <c r="U233" s="6"/>
      <c r="V233" s="4"/>
      <c r="W233" s="4"/>
      <c r="X233" s="4"/>
      <c r="Y233" s="7">
        <v>1</v>
      </c>
      <c r="Z233" s="8">
        <v>8322360</v>
      </c>
      <c r="AA233" s="7" t="s">
        <v>283</v>
      </c>
      <c r="AB233" s="7"/>
      <c r="AC233" s="9">
        <v>2</v>
      </c>
      <c r="AD233" s="10">
        <v>2499041</v>
      </c>
      <c r="AE233" s="9" t="s">
        <v>1264</v>
      </c>
      <c r="AF233" s="9"/>
      <c r="AG233" s="11">
        <v>3</v>
      </c>
      <c r="AH233" s="11" t="s">
        <v>1149</v>
      </c>
      <c r="AI233" s="11"/>
      <c r="AJ233" s="11">
        <v>3</v>
      </c>
      <c r="AK233" s="11" t="s">
        <v>143</v>
      </c>
      <c r="AL233" s="12">
        <v>2</v>
      </c>
      <c r="AM233" s="12" t="s">
        <v>1149</v>
      </c>
      <c r="AN233" s="12"/>
      <c r="AO233" s="12">
        <v>1</v>
      </c>
      <c r="AP233" s="12" t="s">
        <v>132</v>
      </c>
      <c r="AQ233" s="4">
        <v>3</v>
      </c>
      <c r="AR233" s="4" t="s">
        <v>1265</v>
      </c>
      <c r="AS233" s="4" t="s">
        <v>1266</v>
      </c>
      <c r="AT233" s="13"/>
      <c r="AU233" s="13"/>
      <c r="AV233" s="13"/>
      <c r="AW233" s="13"/>
      <c r="AX233" s="4"/>
      <c r="AY233" s="13"/>
      <c r="AZ233" s="13"/>
      <c r="BA233" s="13"/>
      <c r="BB233" s="13"/>
      <c r="BC233" s="4"/>
      <c r="BD233" s="4"/>
      <c r="BE233" s="4"/>
      <c r="BF233" s="13"/>
      <c r="BG233" s="4"/>
      <c r="BH233" s="13"/>
      <c r="BI233" s="13"/>
      <c r="BJ233" s="4"/>
      <c r="BK233" s="14">
        <v>11</v>
      </c>
      <c r="BL233" s="14">
        <v>11</v>
      </c>
      <c r="BM233" s="14">
        <v>11</v>
      </c>
      <c r="BP233" s="15"/>
      <c r="BQ233" s="15"/>
      <c r="BR233" s="2" t="s">
        <v>273</v>
      </c>
      <c r="BS233" s="2" t="s">
        <v>273</v>
      </c>
      <c r="BT233" s="7" t="s">
        <v>147</v>
      </c>
      <c r="BU233" s="7"/>
      <c r="BV233" s="9" t="s">
        <v>163</v>
      </c>
      <c r="BW233" s="9" t="s">
        <v>212</v>
      </c>
    </row>
    <row r="234" spans="1:75" ht="14.25" customHeight="1" x14ac:dyDescent="0.25">
      <c r="A234" s="1">
        <v>585</v>
      </c>
      <c r="B234" s="1" t="s">
        <v>1267</v>
      </c>
      <c r="C234" s="1" t="s">
        <v>1268</v>
      </c>
      <c r="D234" s="1" t="s">
        <v>616</v>
      </c>
      <c r="E234" s="1" t="s">
        <v>1094</v>
      </c>
      <c r="F234" s="1" t="s">
        <v>1249</v>
      </c>
      <c r="G234" s="1" t="s">
        <v>118</v>
      </c>
      <c r="H234" s="2">
        <v>1</v>
      </c>
      <c r="I234" s="2">
        <v>1</v>
      </c>
      <c r="J234" s="2">
        <v>0</v>
      </c>
      <c r="K234" s="2">
        <v>0</v>
      </c>
      <c r="L234" s="3" t="s">
        <v>127</v>
      </c>
      <c r="O234" s="4">
        <v>5</v>
      </c>
      <c r="P234" s="4" t="s">
        <v>1039</v>
      </c>
      <c r="Q234" s="4" t="s">
        <v>1269</v>
      </c>
      <c r="R234" s="16">
        <v>42000</v>
      </c>
      <c r="S234" s="6">
        <v>42000</v>
      </c>
      <c r="T234" s="17"/>
      <c r="U234" s="6"/>
      <c r="V234" s="4"/>
      <c r="W234" s="4"/>
      <c r="X234" s="4"/>
      <c r="Y234" s="7">
        <v>5</v>
      </c>
      <c r="Z234" s="8">
        <v>30400</v>
      </c>
      <c r="AA234" s="7" t="s">
        <v>1145</v>
      </c>
      <c r="AB234" s="7" t="s">
        <v>1270</v>
      </c>
      <c r="AC234" s="9">
        <v>1</v>
      </c>
      <c r="AD234" s="10"/>
      <c r="AE234" s="9" t="s">
        <v>369</v>
      </c>
      <c r="AF234" s="9" t="s">
        <v>1271</v>
      </c>
      <c r="AG234" s="11">
        <v>2</v>
      </c>
      <c r="AH234" s="11" t="s">
        <v>1048</v>
      </c>
      <c r="AI234" s="11"/>
      <c r="AJ234" s="11"/>
      <c r="AK234" s="11"/>
      <c r="AL234" s="12">
        <v>3</v>
      </c>
      <c r="AM234" s="12" t="s">
        <v>1048</v>
      </c>
      <c r="AN234" s="12"/>
      <c r="AO234" s="12"/>
      <c r="AP234" s="12"/>
      <c r="AQ234" s="4">
        <v>3</v>
      </c>
      <c r="AR234" s="4" t="s">
        <v>621</v>
      </c>
      <c r="AS234" s="4"/>
      <c r="AT234" s="13"/>
      <c r="AU234" s="13"/>
      <c r="AV234" s="13"/>
      <c r="AW234" s="13"/>
      <c r="AX234" s="4"/>
      <c r="AY234" s="13"/>
      <c r="AZ234" s="13"/>
      <c r="BA234" s="13"/>
      <c r="BB234" s="13"/>
      <c r="BC234" s="4"/>
      <c r="BD234" s="4"/>
      <c r="BE234" s="4"/>
      <c r="BF234" s="13"/>
      <c r="BG234" s="4"/>
      <c r="BH234" s="13"/>
      <c r="BI234" s="13"/>
      <c r="BJ234" s="4"/>
      <c r="BK234" s="14">
        <v>15</v>
      </c>
      <c r="BL234" s="14">
        <v>12</v>
      </c>
      <c r="BM234" s="14">
        <v>15</v>
      </c>
      <c r="BN234" s="3" t="s">
        <v>86</v>
      </c>
      <c r="BP234" s="15"/>
      <c r="BQ234" s="15"/>
      <c r="BR234" s="2" t="s">
        <v>161</v>
      </c>
      <c r="BS234" s="2" t="s">
        <v>161</v>
      </c>
      <c r="BT234" s="7" t="s">
        <v>173</v>
      </c>
      <c r="BU234" s="7"/>
      <c r="BV234" s="9" t="s">
        <v>163</v>
      </c>
      <c r="BW234" s="9"/>
    </row>
    <row r="235" spans="1:75" ht="14.25" customHeight="1" x14ac:dyDescent="0.25">
      <c r="A235" s="1">
        <v>587</v>
      </c>
      <c r="B235" s="1" t="s">
        <v>1272</v>
      </c>
      <c r="C235" s="1" t="s">
        <v>1273</v>
      </c>
      <c r="D235" s="1" t="s">
        <v>616</v>
      </c>
      <c r="E235" s="1" t="s">
        <v>1094</v>
      </c>
      <c r="F235" s="1" t="s">
        <v>1249</v>
      </c>
      <c r="G235" s="1"/>
      <c r="H235" s="2">
        <v>1</v>
      </c>
      <c r="I235" s="2">
        <v>1</v>
      </c>
      <c r="J235" s="2">
        <v>1</v>
      </c>
      <c r="K235" s="2">
        <v>1</v>
      </c>
      <c r="L235" s="3" t="s">
        <v>127</v>
      </c>
      <c r="O235" s="4">
        <v>3</v>
      </c>
      <c r="P235" s="4" t="s">
        <v>635</v>
      </c>
      <c r="Q235" s="4" t="s">
        <v>169</v>
      </c>
      <c r="R235" s="16">
        <v>1600000</v>
      </c>
      <c r="S235" s="6">
        <v>1600000</v>
      </c>
      <c r="T235" s="16">
        <v>680000</v>
      </c>
      <c r="U235" s="6">
        <v>680000</v>
      </c>
      <c r="V235" s="4">
        <v>2010.5</v>
      </c>
      <c r="W235" s="4" t="s">
        <v>425</v>
      </c>
      <c r="X235" s="4"/>
      <c r="Y235" s="7">
        <v>3</v>
      </c>
      <c r="Z235" s="8">
        <v>955667</v>
      </c>
      <c r="AA235" s="7" t="s">
        <v>130</v>
      </c>
      <c r="AB235" s="7"/>
      <c r="AC235" s="9">
        <v>2</v>
      </c>
      <c r="AD235" s="10">
        <v>3386223</v>
      </c>
      <c r="AE235" s="9" t="s">
        <v>130</v>
      </c>
      <c r="AF235" s="9"/>
      <c r="AG235" s="11">
        <v>2</v>
      </c>
      <c r="AH235" s="11" t="s">
        <v>1149</v>
      </c>
      <c r="AI235" s="11"/>
      <c r="AJ235" s="11">
        <v>1</v>
      </c>
      <c r="AK235" s="11" t="s">
        <v>132</v>
      </c>
      <c r="AL235" s="12">
        <v>2</v>
      </c>
      <c r="AM235" s="12" t="s">
        <v>1149</v>
      </c>
      <c r="AN235" s="12"/>
      <c r="AO235" s="12">
        <v>2</v>
      </c>
      <c r="AP235" s="12" t="s">
        <v>132</v>
      </c>
      <c r="AQ235" s="4">
        <v>3</v>
      </c>
      <c r="AR235" s="4" t="s">
        <v>133</v>
      </c>
      <c r="AS235" s="4"/>
      <c r="AT235" s="13">
        <v>123.186279296875</v>
      </c>
      <c r="AU235" s="13">
        <v>1.58574295043945</v>
      </c>
      <c r="AV235" s="13">
        <v>-0.214498996734619</v>
      </c>
      <c r="AW235" s="13">
        <v>3.5199999809265101</v>
      </c>
      <c r="AX235" s="4"/>
      <c r="AY235" s="13">
        <v>-45.505825042724602</v>
      </c>
      <c r="AZ235" s="13">
        <v>-2.49653291702271</v>
      </c>
      <c r="BA235" s="13">
        <v>-4.4299998283386204</v>
      </c>
      <c r="BB235" s="13">
        <v>-0.53899997472763095</v>
      </c>
      <c r="BC235" s="4">
        <v>1</v>
      </c>
      <c r="BD235" s="4">
        <v>24</v>
      </c>
      <c r="BE235" s="4" t="s">
        <v>134</v>
      </c>
      <c r="BF235" s="13">
        <v>3.7344989776611301</v>
      </c>
      <c r="BG235" s="4">
        <v>214</v>
      </c>
      <c r="BH235" s="13">
        <v>270.49499511718801</v>
      </c>
      <c r="BI235" s="13">
        <v>57885.9296875</v>
      </c>
      <c r="BJ235" s="4"/>
      <c r="BK235" s="14">
        <v>11</v>
      </c>
      <c r="BL235" s="14">
        <v>10</v>
      </c>
      <c r="BM235" s="14">
        <v>11</v>
      </c>
      <c r="BP235" s="15" t="s">
        <v>135</v>
      </c>
      <c r="BQ235" s="15"/>
      <c r="BR235" s="2" t="s">
        <v>247</v>
      </c>
      <c r="BS235" s="2" t="s">
        <v>247</v>
      </c>
      <c r="BT235" s="7" t="s">
        <v>357</v>
      </c>
      <c r="BU235" s="7" t="s">
        <v>163</v>
      </c>
      <c r="BV235" s="9" t="s">
        <v>357</v>
      </c>
      <c r="BW235" s="9" t="s">
        <v>163</v>
      </c>
    </row>
    <row r="236" spans="1:75" ht="14.25" customHeight="1" x14ac:dyDescent="0.25">
      <c r="A236" s="1">
        <v>588</v>
      </c>
      <c r="B236" s="1" t="s">
        <v>1274</v>
      </c>
      <c r="C236" s="1" t="s">
        <v>1275</v>
      </c>
      <c r="D236" s="1" t="s">
        <v>616</v>
      </c>
      <c r="E236" s="1" t="s">
        <v>1094</v>
      </c>
      <c r="F236" s="1" t="s">
        <v>1249</v>
      </c>
      <c r="G236" s="1" t="s">
        <v>118</v>
      </c>
      <c r="H236" s="2">
        <v>1</v>
      </c>
      <c r="I236" s="2">
        <v>1</v>
      </c>
      <c r="J236" s="2">
        <v>1</v>
      </c>
      <c r="K236" s="2">
        <v>1</v>
      </c>
      <c r="L236" s="3" t="s">
        <v>127</v>
      </c>
      <c r="O236" s="4">
        <v>3</v>
      </c>
      <c r="P236" s="4" t="s">
        <v>425</v>
      </c>
      <c r="Q236" s="4"/>
      <c r="R236" s="16">
        <v>2300000</v>
      </c>
      <c r="S236" s="6">
        <v>2300000</v>
      </c>
      <c r="T236" s="16">
        <v>2300000</v>
      </c>
      <c r="U236" s="6">
        <v>2300000</v>
      </c>
      <c r="V236" s="4">
        <v>2010.5</v>
      </c>
      <c r="W236" s="4" t="s">
        <v>425</v>
      </c>
      <c r="X236" s="4"/>
      <c r="Y236" s="7">
        <v>2</v>
      </c>
      <c r="Z236" s="8">
        <v>1427546</v>
      </c>
      <c r="AA236" s="7" t="s">
        <v>130</v>
      </c>
      <c r="AB236" s="7"/>
      <c r="AC236" s="9">
        <v>3</v>
      </c>
      <c r="AD236" s="10">
        <v>726860</v>
      </c>
      <c r="AE236" s="9" t="s">
        <v>130</v>
      </c>
      <c r="AF236" s="9"/>
      <c r="AG236" s="11">
        <v>4</v>
      </c>
      <c r="AH236" s="11" t="s">
        <v>1149</v>
      </c>
      <c r="AI236" s="11"/>
      <c r="AJ236" s="11">
        <v>5</v>
      </c>
      <c r="AK236" s="11" t="s">
        <v>143</v>
      </c>
      <c r="AL236" s="12">
        <v>3</v>
      </c>
      <c r="AM236" s="12" t="s">
        <v>1048</v>
      </c>
      <c r="AN236" s="12"/>
      <c r="AO236" s="12"/>
      <c r="AP236" s="12"/>
      <c r="AQ236" s="4">
        <v>2</v>
      </c>
      <c r="AR236" s="4" t="s">
        <v>133</v>
      </c>
      <c r="AS236" s="4"/>
      <c r="AT236" s="13">
        <v>-9.8009471893310494</v>
      </c>
      <c r="AU236" s="13">
        <v>-0.201741278171539</v>
      </c>
      <c r="AV236" s="13">
        <v>-2.5299999713897701</v>
      </c>
      <c r="AW236" s="13">
        <v>4.0199999809265101</v>
      </c>
      <c r="AX236" s="4"/>
      <c r="AY236" s="13">
        <v>452.87567138671898</v>
      </c>
      <c r="AZ236" s="13">
        <v>8.4839258193969709</v>
      </c>
      <c r="BA236" s="13">
        <v>1.6000000238418599</v>
      </c>
      <c r="BB236" s="13">
        <v>18.600000381469702</v>
      </c>
      <c r="BC236" s="4">
        <v>1</v>
      </c>
      <c r="BD236" s="4">
        <v>21</v>
      </c>
      <c r="BE236" s="4" t="s">
        <v>134</v>
      </c>
      <c r="BF236" s="13">
        <v>6.5500001907348597</v>
      </c>
      <c r="BG236" s="4">
        <v>396</v>
      </c>
      <c r="BH236" s="13">
        <v>305.99499511718801</v>
      </c>
      <c r="BI236" s="13">
        <v>120421.6328125</v>
      </c>
      <c r="BJ236" s="4"/>
      <c r="BK236" s="14">
        <v>11</v>
      </c>
      <c r="BL236" s="14">
        <v>11</v>
      </c>
      <c r="BM236" s="14">
        <v>11</v>
      </c>
      <c r="BN236" s="3" t="s">
        <v>917</v>
      </c>
      <c r="BP236" s="15"/>
      <c r="BQ236" s="15"/>
      <c r="BR236" s="2" t="s">
        <v>457</v>
      </c>
      <c r="BS236" s="2" t="s">
        <v>1136</v>
      </c>
      <c r="BT236" s="7" t="s">
        <v>147</v>
      </c>
      <c r="BU236" s="7"/>
      <c r="BV236" s="9" t="s">
        <v>357</v>
      </c>
      <c r="BW236" s="9" t="s">
        <v>163</v>
      </c>
    </row>
    <row r="237" spans="1:75" ht="14.25" customHeight="1" x14ac:dyDescent="0.25">
      <c r="A237" s="1">
        <v>592</v>
      </c>
      <c r="B237" s="1" t="s">
        <v>1276</v>
      </c>
      <c r="C237" s="1" t="s">
        <v>1277</v>
      </c>
      <c r="D237" s="1" t="s">
        <v>616</v>
      </c>
      <c r="E237" s="1" t="s">
        <v>1094</v>
      </c>
      <c r="F237" s="1" t="s">
        <v>1249</v>
      </c>
      <c r="G237" s="1" t="s">
        <v>118</v>
      </c>
      <c r="H237" s="2">
        <v>1</v>
      </c>
      <c r="I237" s="2">
        <v>1</v>
      </c>
      <c r="J237" s="2">
        <v>1</v>
      </c>
      <c r="K237" s="2">
        <v>1</v>
      </c>
      <c r="L237" s="3" t="s">
        <v>127</v>
      </c>
      <c r="O237" s="4">
        <v>4</v>
      </c>
      <c r="P237" s="4" t="s">
        <v>812</v>
      </c>
      <c r="Q237" s="4" t="s">
        <v>1146</v>
      </c>
      <c r="R237" s="16">
        <v>350000</v>
      </c>
      <c r="S237" s="6">
        <v>350000</v>
      </c>
      <c r="T237" s="17"/>
      <c r="U237" s="6"/>
      <c r="V237" s="4"/>
      <c r="W237" s="4"/>
      <c r="X237" s="4"/>
      <c r="Y237" s="7">
        <v>5</v>
      </c>
      <c r="Z237" s="8">
        <v>3532</v>
      </c>
      <c r="AA237" s="7" t="s">
        <v>130</v>
      </c>
      <c r="AB237" s="7"/>
      <c r="AC237" s="9">
        <v>3</v>
      </c>
      <c r="AD237" s="10">
        <v>785035</v>
      </c>
      <c r="AE237" s="9" t="s">
        <v>130</v>
      </c>
      <c r="AF237" s="9"/>
      <c r="AG237" s="11">
        <v>4</v>
      </c>
      <c r="AH237" s="11" t="s">
        <v>1149</v>
      </c>
      <c r="AI237" s="11"/>
      <c r="AJ237" s="11">
        <v>1</v>
      </c>
      <c r="AK237" s="11" t="s">
        <v>132</v>
      </c>
      <c r="AL237" s="12">
        <v>2</v>
      </c>
      <c r="AM237" s="12" t="s">
        <v>1149</v>
      </c>
      <c r="AN237" s="12"/>
      <c r="AO237" s="12">
        <v>2</v>
      </c>
      <c r="AP237" s="12" t="s">
        <v>132</v>
      </c>
      <c r="AQ237" s="4">
        <v>3</v>
      </c>
      <c r="AR237" s="4" t="s">
        <v>621</v>
      </c>
      <c r="AS237" s="4" t="s">
        <v>1278</v>
      </c>
      <c r="AT237" s="13"/>
      <c r="AU237" s="13"/>
      <c r="AV237" s="13"/>
      <c r="AW237" s="13"/>
      <c r="AX237" s="4"/>
      <c r="AY237" s="13"/>
      <c r="AZ237" s="13"/>
      <c r="BA237" s="13"/>
      <c r="BB237" s="13"/>
      <c r="BC237" s="4"/>
      <c r="BD237" s="4"/>
      <c r="BE237" s="4"/>
      <c r="BF237" s="13"/>
      <c r="BG237" s="4"/>
      <c r="BH237" s="13"/>
      <c r="BI237" s="13"/>
      <c r="BJ237" s="4"/>
      <c r="BK237" s="14">
        <v>16</v>
      </c>
      <c r="BL237" s="14">
        <v>12</v>
      </c>
      <c r="BM237" s="14">
        <v>16</v>
      </c>
      <c r="BN237" s="3" t="s">
        <v>86</v>
      </c>
      <c r="BO237" s="3" t="s">
        <v>120</v>
      </c>
      <c r="BP237" s="15"/>
      <c r="BQ237" s="15"/>
      <c r="BR237" s="2" t="s">
        <v>162</v>
      </c>
      <c r="BS237" s="2" t="s">
        <v>162</v>
      </c>
      <c r="BT237" s="7" t="s">
        <v>357</v>
      </c>
      <c r="BU237" s="7" t="s">
        <v>163</v>
      </c>
      <c r="BV237" s="9" t="s">
        <v>357</v>
      </c>
      <c r="BW237" s="9" t="s">
        <v>163</v>
      </c>
    </row>
    <row r="238" spans="1:75" ht="14.25" customHeight="1" x14ac:dyDescent="0.25">
      <c r="A238" s="1">
        <v>594</v>
      </c>
      <c r="B238" s="1" t="s">
        <v>1279</v>
      </c>
      <c r="C238" s="1" t="s">
        <v>1280</v>
      </c>
      <c r="D238" s="1" t="s">
        <v>616</v>
      </c>
      <c r="E238" s="1" t="s">
        <v>1094</v>
      </c>
      <c r="F238" s="1" t="s">
        <v>1249</v>
      </c>
      <c r="G238" s="1" t="s">
        <v>1281</v>
      </c>
      <c r="H238" s="2">
        <v>1</v>
      </c>
      <c r="I238" s="2">
        <v>1</v>
      </c>
      <c r="J238" s="2">
        <v>1</v>
      </c>
      <c r="K238" s="2">
        <v>0</v>
      </c>
      <c r="L238" s="3" t="s">
        <v>127</v>
      </c>
      <c r="O238" s="4">
        <v>3</v>
      </c>
      <c r="P238" s="4" t="s">
        <v>425</v>
      </c>
      <c r="Q238" s="4"/>
      <c r="R238" s="16">
        <v>1300000</v>
      </c>
      <c r="S238" s="6">
        <v>1300000</v>
      </c>
      <c r="T238" s="16">
        <v>1300000</v>
      </c>
      <c r="U238" s="6">
        <v>1300000</v>
      </c>
      <c r="V238" s="4">
        <v>2010.5</v>
      </c>
      <c r="W238" s="4" t="s">
        <v>425</v>
      </c>
      <c r="X238" s="4" t="s">
        <v>1282</v>
      </c>
      <c r="Y238" s="7">
        <v>2</v>
      </c>
      <c r="Z238" s="8">
        <v>3456526</v>
      </c>
      <c r="AA238" s="7" t="s">
        <v>1283</v>
      </c>
      <c r="AB238" s="7" t="s">
        <v>1284</v>
      </c>
      <c r="AC238" s="9">
        <v>2</v>
      </c>
      <c r="AD238" s="10">
        <v>1464417</v>
      </c>
      <c r="AE238" s="9" t="s">
        <v>1283</v>
      </c>
      <c r="AF238" s="9" t="s">
        <v>1284</v>
      </c>
      <c r="AG238" s="11">
        <v>3</v>
      </c>
      <c r="AH238" s="11" t="s">
        <v>1149</v>
      </c>
      <c r="AI238" s="11"/>
      <c r="AJ238" s="11">
        <v>3</v>
      </c>
      <c r="AK238" s="11" t="s">
        <v>143</v>
      </c>
      <c r="AL238" s="12">
        <v>2</v>
      </c>
      <c r="AM238" s="12" t="s">
        <v>1149</v>
      </c>
      <c r="AN238" s="12"/>
      <c r="AO238" s="12">
        <v>2</v>
      </c>
      <c r="AP238" s="12" t="s">
        <v>132</v>
      </c>
      <c r="AQ238" s="4">
        <v>5</v>
      </c>
      <c r="AR238" s="4" t="s">
        <v>208</v>
      </c>
      <c r="AS238" s="4"/>
      <c r="AT238" s="13">
        <v>-59.578075408935497</v>
      </c>
      <c r="AU238" s="13">
        <v>-2.3998765945434601</v>
      </c>
      <c r="AV238" s="13">
        <v>-3.9587969779968302</v>
      </c>
      <c r="AW238" s="13">
        <v>-0.152999997138977</v>
      </c>
      <c r="AX238" s="4">
        <v>1</v>
      </c>
      <c r="AY238" s="13">
        <v>-60.400260925292997</v>
      </c>
      <c r="AZ238" s="13">
        <v>-2.8535096645355198</v>
      </c>
      <c r="BA238" s="13">
        <v>-4.4200000762939498</v>
      </c>
      <c r="BB238" s="13">
        <v>-1.3999999761581401</v>
      </c>
      <c r="BC238" s="4">
        <v>1</v>
      </c>
      <c r="BD238" s="4">
        <v>32</v>
      </c>
      <c r="BE238" s="4" t="s">
        <v>210</v>
      </c>
      <c r="BF238" s="13">
        <v>3.80579710006714</v>
      </c>
      <c r="BG238" s="4">
        <v>150</v>
      </c>
      <c r="BH238" s="13">
        <v>3.5499999523162802</v>
      </c>
      <c r="BI238" s="13">
        <v>532.5</v>
      </c>
      <c r="BJ238" s="4">
        <v>24</v>
      </c>
      <c r="BK238" s="14">
        <v>13</v>
      </c>
      <c r="BL238" s="14">
        <v>12</v>
      </c>
      <c r="BM238" s="14">
        <v>13</v>
      </c>
      <c r="BN238" s="3" t="s">
        <v>375</v>
      </c>
      <c r="BP238" s="15"/>
      <c r="BQ238" s="15"/>
      <c r="BR238" s="2" t="s">
        <v>161</v>
      </c>
      <c r="BS238" s="2" t="s">
        <v>162</v>
      </c>
      <c r="BT238" s="7" t="s">
        <v>137</v>
      </c>
      <c r="BU238" s="7"/>
      <c r="BV238" s="9" t="s">
        <v>357</v>
      </c>
      <c r="BW238" s="9" t="s">
        <v>163</v>
      </c>
    </row>
    <row r="239" spans="1:75" ht="14.25" customHeight="1" x14ac:dyDescent="0.25">
      <c r="A239" s="1">
        <v>595</v>
      </c>
      <c r="B239" s="1" t="s">
        <v>1285</v>
      </c>
      <c r="C239" s="1" t="s">
        <v>1286</v>
      </c>
      <c r="D239" s="1" t="s">
        <v>616</v>
      </c>
      <c r="E239" s="1" t="s">
        <v>1094</v>
      </c>
      <c r="F239" s="1" t="s">
        <v>1249</v>
      </c>
      <c r="G239" s="1" t="s">
        <v>118</v>
      </c>
      <c r="H239" s="2">
        <v>1</v>
      </c>
      <c r="I239" s="2">
        <v>1</v>
      </c>
      <c r="J239" s="2">
        <v>1</v>
      </c>
      <c r="K239" s="2">
        <v>1</v>
      </c>
      <c r="L239" s="3" t="s">
        <v>127</v>
      </c>
      <c r="O239" s="4">
        <v>3</v>
      </c>
      <c r="P239" s="4" t="s">
        <v>635</v>
      </c>
      <c r="Q239" s="4" t="s">
        <v>169</v>
      </c>
      <c r="R239" s="16">
        <v>3800000</v>
      </c>
      <c r="S239" s="6">
        <v>3800000</v>
      </c>
      <c r="T239" s="16">
        <v>3700000</v>
      </c>
      <c r="U239" s="6">
        <v>3700000</v>
      </c>
      <c r="V239" s="4">
        <v>2010.5</v>
      </c>
      <c r="W239" s="4" t="s">
        <v>425</v>
      </c>
      <c r="X239" s="4"/>
      <c r="Y239" s="7">
        <v>1</v>
      </c>
      <c r="Z239" s="8">
        <v>5378081</v>
      </c>
      <c r="AA239" s="7" t="s">
        <v>130</v>
      </c>
      <c r="AB239" s="7"/>
      <c r="AC239" s="9">
        <v>1</v>
      </c>
      <c r="AD239" s="10">
        <v>4298264</v>
      </c>
      <c r="AE239" s="9" t="s">
        <v>130</v>
      </c>
      <c r="AF239" s="9"/>
      <c r="AG239" s="11">
        <v>2</v>
      </c>
      <c r="AH239" s="11" t="s">
        <v>1149</v>
      </c>
      <c r="AI239" s="11"/>
      <c r="AJ239" s="11">
        <v>2</v>
      </c>
      <c r="AK239" s="11" t="s">
        <v>132</v>
      </c>
      <c r="AL239" s="12">
        <v>2</v>
      </c>
      <c r="AM239" s="12" t="s">
        <v>1149</v>
      </c>
      <c r="AN239" s="12"/>
      <c r="AO239" s="12">
        <v>2</v>
      </c>
      <c r="AP239" s="12" t="s">
        <v>132</v>
      </c>
      <c r="AQ239" s="4">
        <v>2</v>
      </c>
      <c r="AR239" s="4" t="s">
        <v>133</v>
      </c>
      <c r="AS239" s="4"/>
      <c r="AT239" s="13">
        <v>116.101448059082</v>
      </c>
      <c r="AU239" s="13">
        <v>1.5234898328781099</v>
      </c>
      <c r="AV239" s="13">
        <v>0.48680299520492598</v>
      </c>
      <c r="AW239" s="13">
        <v>2.9800000190734899</v>
      </c>
      <c r="AX239" s="4">
        <v>1</v>
      </c>
      <c r="AY239" s="13">
        <v>-37.060237884521499</v>
      </c>
      <c r="AZ239" s="13">
        <v>-1.53382480144501</v>
      </c>
      <c r="BA239" s="13">
        <v>-3.0699999332428001</v>
      </c>
      <c r="BB239" s="13">
        <v>-0.23589700460433999</v>
      </c>
      <c r="BC239" s="4">
        <v>1</v>
      </c>
      <c r="BD239" s="4">
        <v>30</v>
      </c>
      <c r="BE239" s="4" t="s">
        <v>134</v>
      </c>
      <c r="BF239" s="13">
        <v>2.49319696426392</v>
      </c>
      <c r="BG239" s="4">
        <v>1386</v>
      </c>
      <c r="BH239" s="13">
        <v>18.540000915527301</v>
      </c>
      <c r="BI239" s="13">
        <v>25661.33984375</v>
      </c>
      <c r="BJ239" s="4"/>
      <c r="BK239" s="14">
        <v>8</v>
      </c>
      <c r="BL239" s="14">
        <v>8</v>
      </c>
      <c r="BM239" s="14">
        <v>8</v>
      </c>
      <c r="BP239" s="15" t="s">
        <v>135</v>
      </c>
      <c r="BQ239" s="15" t="s">
        <v>136</v>
      </c>
      <c r="BR239" s="2" t="s">
        <v>172</v>
      </c>
      <c r="BS239" s="2" t="s">
        <v>172</v>
      </c>
      <c r="BT239" s="7" t="s">
        <v>137</v>
      </c>
      <c r="BU239" s="7"/>
      <c r="BV239" s="9" t="s">
        <v>212</v>
      </c>
      <c r="BW239" s="9" t="s">
        <v>357</v>
      </c>
    </row>
    <row r="240" spans="1:75" ht="14.25" customHeight="1" x14ac:dyDescent="0.25">
      <c r="A240" s="1">
        <v>596</v>
      </c>
      <c r="B240" s="1" t="s">
        <v>1287</v>
      </c>
      <c r="C240" s="1" t="s">
        <v>1288</v>
      </c>
      <c r="D240" s="1" t="s">
        <v>616</v>
      </c>
      <c r="E240" s="1" t="s">
        <v>1094</v>
      </c>
      <c r="F240" s="1" t="s">
        <v>1249</v>
      </c>
      <c r="G240" s="1" t="s">
        <v>118</v>
      </c>
      <c r="H240" s="2">
        <v>1</v>
      </c>
      <c r="I240" s="2">
        <v>1</v>
      </c>
      <c r="J240" s="2">
        <v>1</v>
      </c>
      <c r="K240" s="2">
        <v>0</v>
      </c>
      <c r="L240" s="3" t="s">
        <v>80</v>
      </c>
      <c r="O240" s="4">
        <v>4</v>
      </c>
      <c r="P240" s="4" t="s">
        <v>1031</v>
      </c>
      <c r="Q240" s="4" t="s">
        <v>169</v>
      </c>
      <c r="R240" s="16">
        <v>86000</v>
      </c>
      <c r="S240" s="6">
        <v>86000</v>
      </c>
      <c r="T240" s="16">
        <v>44000</v>
      </c>
      <c r="U240" s="6">
        <v>44000</v>
      </c>
      <c r="V240" s="4">
        <v>2010.5</v>
      </c>
      <c r="W240" s="4" t="s">
        <v>640</v>
      </c>
      <c r="X240" s="4"/>
      <c r="Y240" s="7">
        <v>4</v>
      </c>
      <c r="Z240" s="8">
        <v>91613</v>
      </c>
      <c r="AA240" s="7" t="s">
        <v>130</v>
      </c>
      <c r="AB240" s="7"/>
      <c r="AC240" s="9">
        <v>4</v>
      </c>
      <c r="AD240" s="10">
        <v>157367</v>
      </c>
      <c r="AE240" s="9" t="s">
        <v>130</v>
      </c>
      <c r="AF240" s="9"/>
      <c r="AG240" s="11">
        <v>2</v>
      </c>
      <c r="AH240" s="11" t="s">
        <v>1149</v>
      </c>
      <c r="AI240" s="11"/>
      <c r="AJ240" s="11">
        <v>2</v>
      </c>
      <c r="AK240" s="11" t="s">
        <v>132</v>
      </c>
      <c r="AL240" s="12">
        <v>2</v>
      </c>
      <c r="AM240" s="12" t="s">
        <v>1149</v>
      </c>
      <c r="AN240" s="12"/>
      <c r="AO240" s="12">
        <v>2</v>
      </c>
      <c r="AP240" s="12" t="s">
        <v>143</v>
      </c>
      <c r="AQ240" s="4">
        <v>5</v>
      </c>
      <c r="AR240" s="4" t="s">
        <v>133</v>
      </c>
      <c r="AS240" s="4"/>
      <c r="AT240" s="13">
        <v>-54.736343383789098</v>
      </c>
      <c r="AU240" s="13">
        <v>-1.54145884513855</v>
      </c>
      <c r="AV240" s="13">
        <v>-3.5</v>
      </c>
      <c r="AW240" s="13">
        <v>-0.289297014474869</v>
      </c>
      <c r="AX240" s="4">
        <v>1</v>
      </c>
      <c r="AY240" s="13">
        <v>-60.5237846374512</v>
      </c>
      <c r="AZ240" s="13">
        <v>-2.4822034835815399</v>
      </c>
      <c r="BA240" s="13">
        <v>-5.3000001907348597</v>
      </c>
      <c r="BB240" s="13">
        <v>-0.64979797601699796</v>
      </c>
      <c r="BC240" s="4">
        <v>1</v>
      </c>
      <c r="BD240" s="4">
        <v>37</v>
      </c>
      <c r="BE240" s="4" t="s">
        <v>134</v>
      </c>
      <c r="BF240" s="13">
        <v>3.2107028961181601</v>
      </c>
      <c r="BG240" s="4">
        <v>28</v>
      </c>
      <c r="BH240" s="13">
        <v>15.2150001525879</v>
      </c>
      <c r="BI240" s="13">
        <v>426.01998901367199</v>
      </c>
      <c r="BJ240" s="4">
        <v>28</v>
      </c>
      <c r="BK240" s="14">
        <v>15</v>
      </c>
      <c r="BL240" s="14">
        <v>15</v>
      </c>
      <c r="BM240" s="14">
        <v>15</v>
      </c>
      <c r="BN240" s="3" t="s">
        <v>375</v>
      </c>
      <c r="BP240" s="15" t="s">
        <v>135</v>
      </c>
      <c r="BQ240" s="15"/>
      <c r="BR240" s="2" t="s">
        <v>162</v>
      </c>
      <c r="BS240" s="2" t="s">
        <v>162</v>
      </c>
      <c r="BT240" s="7" t="s">
        <v>1153</v>
      </c>
      <c r="BU240" s="7" t="s">
        <v>163</v>
      </c>
      <c r="BV240" s="9" t="s">
        <v>357</v>
      </c>
      <c r="BW240" s="9" t="s">
        <v>163</v>
      </c>
    </row>
    <row r="241" spans="1:75" ht="14.25" customHeight="1" x14ac:dyDescent="0.25">
      <c r="A241" s="1">
        <v>597</v>
      </c>
      <c r="B241" s="1" t="s">
        <v>1289</v>
      </c>
      <c r="C241" s="1" t="s">
        <v>1290</v>
      </c>
      <c r="D241" s="1" t="s">
        <v>616</v>
      </c>
      <c r="E241" s="1" t="s">
        <v>1094</v>
      </c>
      <c r="F241" s="1" t="s">
        <v>1249</v>
      </c>
      <c r="G241" s="1" t="s">
        <v>118</v>
      </c>
      <c r="H241" s="2">
        <v>0</v>
      </c>
      <c r="I241" s="2">
        <v>1</v>
      </c>
      <c r="J241" s="2">
        <v>1</v>
      </c>
      <c r="K241" s="2">
        <v>0</v>
      </c>
      <c r="L241" s="3" t="s">
        <v>127</v>
      </c>
      <c r="O241" s="4">
        <v>5</v>
      </c>
      <c r="P241" s="4" t="s">
        <v>225</v>
      </c>
      <c r="Q241" s="4" t="s">
        <v>1146</v>
      </c>
      <c r="R241" s="16">
        <v>40000</v>
      </c>
      <c r="S241" s="6">
        <v>40000</v>
      </c>
      <c r="T241" s="17"/>
      <c r="U241" s="6"/>
      <c r="V241" s="4"/>
      <c r="W241" s="4"/>
      <c r="X241" s="4"/>
      <c r="Y241" s="7">
        <v>5</v>
      </c>
      <c r="Z241" s="8">
        <v>74082</v>
      </c>
      <c r="AA241" s="7" t="s">
        <v>130</v>
      </c>
      <c r="AB241" s="7"/>
      <c r="AC241" s="9">
        <v>4</v>
      </c>
      <c r="AD241" s="10">
        <v>199493</v>
      </c>
      <c r="AE241" s="9" t="s">
        <v>130</v>
      </c>
      <c r="AF241" s="9"/>
      <c r="AG241" s="11">
        <v>3</v>
      </c>
      <c r="AH241" s="11" t="s">
        <v>1149</v>
      </c>
      <c r="AI241" s="11"/>
      <c r="AJ241" s="11">
        <v>1</v>
      </c>
      <c r="AK241" s="11" t="s">
        <v>132</v>
      </c>
      <c r="AL241" s="12">
        <v>2</v>
      </c>
      <c r="AM241" s="12" t="s">
        <v>1149</v>
      </c>
      <c r="AN241" s="12"/>
      <c r="AO241" s="12">
        <v>1</v>
      </c>
      <c r="AP241" s="12" t="s">
        <v>132</v>
      </c>
      <c r="AQ241" s="4">
        <v>3</v>
      </c>
      <c r="AR241" s="4" t="s">
        <v>621</v>
      </c>
      <c r="AS241" s="4" t="s">
        <v>145</v>
      </c>
      <c r="AT241" s="13"/>
      <c r="AU241" s="13"/>
      <c r="AV241" s="13"/>
      <c r="AW241" s="13"/>
      <c r="AX241" s="4"/>
      <c r="AY241" s="13"/>
      <c r="AZ241" s="13"/>
      <c r="BA241" s="13"/>
      <c r="BB241" s="13"/>
      <c r="BC241" s="4"/>
      <c r="BD241" s="4"/>
      <c r="BE241" s="4"/>
      <c r="BF241" s="13"/>
      <c r="BG241" s="4"/>
      <c r="BH241" s="13"/>
      <c r="BI241" s="13"/>
      <c r="BJ241" s="4"/>
      <c r="BK241" s="14">
        <v>16</v>
      </c>
      <c r="BL241" s="14">
        <v>14</v>
      </c>
      <c r="BM241" s="14">
        <v>16</v>
      </c>
      <c r="BN241" s="3" t="s">
        <v>86</v>
      </c>
      <c r="BP241" s="15"/>
      <c r="BQ241" s="15"/>
      <c r="BR241" s="2" t="s">
        <v>162</v>
      </c>
      <c r="BS241" s="2" t="s">
        <v>162</v>
      </c>
      <c r="BT241" s="7" t="s">
        <v>357</v>
      </c>
      <c r="BU241" s="7" t="s">
        <v>163</v>
      </c>
      <c r="BV241" s="9" t="s">
        <v>357</v>
      </c>
      <c r="BW241" s="9" t="s">
        <v>163</v>
      </c>
    </row>
    <row r="242" spans="1:75" ht="14.25" customHeight="1" x14ac:dyDescent="0.25">
      <c r="A242" s="1">
        <v>598</v>
      </c>
      <c r="B242" s="1" t="s">
        <v>1291</v>
      </c>
      <c r="C242" s="1" t="s">
        <v>1292</v>
      </c>
      <c r="D242" s="1" t="s">
        <v>616</v>
      </c>
      <c r="E242" s="1" t="s">
        <v>1094</v>
      </c>
      <c r="F242" s="1" t="s">
        <v>1249</v>
      </c>
      <c r="G242" s="1"/>
      <c r="H242" s="2">
        <v>1</v>
      </c>
      <c r="I242" s="2">
        <v>1</v>
      </c>
      <c r="J242" s="2">
        <v>1</v>
      </c>
      <c r="K242" s="2">
        <v>1</v>
      </c>
      <c r="L242" s="3" t="s">
        <v>127</v>
      </c>
      <c r="O242" s="4">
        <v>3</v>
      </c>
      <c r="P242" s="4" t="s">
        <v>635</v>
      </c>
      <c r="Q242" s="4" t="s">
        <v>169</v>
      </c>
      <c r="R242" s="16">
        <v>1100000</v>
      </c>
      <c r="S242" s="6">
        <v>1100000</v>
      </c>
      <c r="T242" s="16">
        <v>1100000</v>
      </c>
      <c r="U242" s="6">
        <v>1100000</v>
      </c>
      <c r="V242" s="4">
        <v>2010.5</v>
      </c>
      <c r="W242" s="4" t="s">
        <v>425</v>
      </c>
      <c r="X242" s="4"/>
      <c r="Y242" s="7">
        <v>2</v>
      </c>
      <c r="Z242" s="8">
        <v>1990123</v>
      </c>
      <c r="AA242" s="7" t="s">
        <v>130</v>
      </c>
      <c r="AB242" s="7"/>
      <c r="AC242" s="9">
        <v>3</v>
      </c>
      <c r="AD242" s="10">
        <v>892569</v>
      </c>
      <c r="AE242" s="9" t="s">
        <v>130</v>
      </c>
      <c r="AF242" s="9"/>
      <c r="AG242" s="11">
        <v>3</v>
      </c>
      <c r="AH242" s="11" t="s">
        <v>1149</v>
      </c>
      <c r="AI242" s="11"/>
      <c r="AJ242" s="11">
        <v>3</v>
      </c>
      <c r="AK242" s="11" t="s">
        <v>143</v>
      </c>
      <c r="AL242" s="12">
        <v>2</v>
      </c>
      <c r="AM242" s="12" t="s">
        <v>1149</v>
      </c>
      <c r="AN242" s="12"/>
      <c r="AO242" s="12">
        <v>2</v>
      </c>
      <c r="AP242" s="12" t="s">
        <v>143</v>
      </c>
      <c r="AQ242" s="4">
        <v>4</v>
      </c>
      <c r="AR242" s="4" t="s">
        <v>133</v>
      </c>
      <c r="AS242" s="4"/>
      <c r="AT242" s="13">
        <v>-4.0897655487060502</v>
      </c>
      <c r="AU242" s="13">
        <v>-8.1666596233844799E-2</v>
      </c>
      <c r="AV242" s="13">
        <v>-1.6332980394363401</v>
      </c>
      <c r="AW242" s="13">
        <v>2.2599999904632599</v>
      </c>
      <c r="AX242" s="4"/>
      <c r="AY242" s="13">
        <v>-38.677051544189503</v>
      </c>
      <c r="AZ242" s="13">
        <v>-1.6719790697097801</v>
      </c>
      <c r="BA242" s="13">
        <v>-4.6300001144409197</v>
      </c>
      <c r="BB242" s="13">
        <v>0.63200002908706698</v>
      </c>
      <c r="BC242" s="4"/>
      <c r="BD242" s="4">
        <v>29</v>
      </c>
      <c r="BE242" s="4" t="s">
        <v>134</v>
      </c>
      <c r="BF242" s="13">
        <v>3.8932979106903098</v>
      </c>
      <c r="BG242" s="4">
        <v>434.5</v>
      </c>
      <c r="BH242" s="13">
        <v>12.2250003814697</v>
      </c>
      <c r="BI242" s="13">
        <v>5313.84521484375</v>
      </c>
      <c r="BJ242" s="4"/>
      <c r="BK242" s="14">
        <v>12</v>
      </c>
      <c r="BL242" s="14">
        <v>12</v>
      </c>
      <c r="BM242" s="14">
        <v>12</v>
      </c>
      <c r="BN242" s="3" t="s">
        <v>917</v>
      </c>
      <c r="BP242" s="15"/>
      <c r="BQ242" s="15"/>
      <c r="BR242" s="2" t="s">
        <v>256</v>
      </c>
      <c r="BS242" s="2" t="s">
        <v>256</v>
      </c>
      <c r="BT242" s="7" t="s">
        <v>357</v>
      </c>
      <c r="BU242" s="7" t="s">
        <v>212</v>
      </c>
      <c r="BV242" s="9" t="s">
        <v>357</v>
      </c>
      <c r="BW242" s="9" t="s">
        <v>163</v>
      </c>
    </row>
    <row r="243" spans="1:75" ht="14.25" customHeight="1" x14ac:dyDescent="0.25">
      <c r="A243" s="1">
        <v>599</v>
      </c>
      <c r="B243" s="1" t="s">
        <v>1293</v>
      </c>
      <c r="C243" s="1" t="s">
        <v>1294</v>
      </c>
      <c r="D243" s="1" t="s">
        <v>616</v>
      </c>
      <c r="E243" s="1" t="s">
        <v>1094</v>
      </c>
      <c r="F243" s="1" t="s">
        <v>1249</v>
      </c>
      <c r="G243" s="1"/>
      <c r="H243" s="2">
        <v>1</v>
      </c>
      <c r="I243" s="2">
        <v>1</v>
      </c>
      <c r="J243" s="2">
        <v>1</v>
      </c>
      <c r="K243" s="2">
        <v>1</v>
      </c>
      <c r="L243" s="3" t="s">
        <v>127</v>
      </c>
      <c r="O243" s="4">
        <v>3</v>
      </c>
      <c r="P243" s="4" t="s">
        <v>1295</v>
      </c>
      <c r="Q243" s="4" t="s">
        <v>169</v>
      </c>
      <c r="R243" s="16">
        <v>3900000</v>
      </c>
      <c r="S243" s="6">
        <v>3900000</v>
      </c>
      <c r="T243" s="16">
        <v>2900000</v>
      </c>
      <c r="U243" s="6">
        <v>2900000</v>
      </c>
      <c r="V243" s="4">
        <v>2010</v>
      </c>
      <c r="W243" s="4" t="s">
        <v>1296</v>
      </c>
      <c r="X243" s="4"/>
      <c r="Y243" s="7">
        <v>1</v>
      </c>
      <c r="Z243" s="8">
        <v>10356915</v>
      </c>
      <c r="AA243" s="7" t="s">
        <v>154</v>
      </c>
      <c r="AB243" s="7"/>
      <c r="AC243" s="9">
        <v>1</v>
      </c>
      <c r="AD243" s="10">
        <v>7400265</v>
      </c>
      <c r="AE243" s="9" t="s">
        <v>155</v>
      </c>
      <c r="AF243" s="9"/>
      <c r="AG243" s="11">
        <v>3</v>
      </c>
      <c r="AH243" s="11" t="s">
        <v>1149</v>
      </c>
      <c r="AI243" s="11"/>
      <c r="AJ243" s="11">
        <v>3</v>
      </c>
      <c r="AK243" s="11" t="s">
        <v>332</v>
      </c>
      <c r="AL243" s="12">
        <v>2</v>
      </c>
      <c r="AM243" s="12" t="s">
        <v>1149</v>
      </c>
      <c r="AN243" s="12"/>
      <c r="AO243" s="12">
        <v>2</v>
      </c>
      <c r="AP243" s="12" t="s">
        <v>143</v>
      </c>
      <c r="AQ243" s="4">
        <v>5</v>
      </c>
      <c r="AR243" s="4" t="s">
        <v>133</v>
      </c>
      <c r="AS243" s="4"/>
      <c r="AT243" s="13">
        <v>-79.919982910156307</v>
      </c>
      <c r="AU243" s="13">
        <v>-3.0980966091156001</v>
      </c>
      <c r="AV243" s="13">
        <v>-4.1782979965209996</v>
      </c>
      <c r="AW243" s="13">
        <v>-1.2400000095367401</v>
      </c>
      <c r="AX243" s="4">
        <v>1</v>
      </c>
      <c r="AY243" s="13">
        <v>-71.236656188964801</v>
      </c>
      <c r="AZ243" s="13">
        <v>-2.9249908924102801</v>
      </c>
      <c r="BA243" s="13">
        <v>-4.4299998283386204</v>
      </c>
      <c r="BB243" s="13">
        <v>-1.4800000190734901</v>
      </c>
      <c r="BC243" s="4">
        <v>1</v>
      </c>
      <c r="BD243" s="4">
        <v>42</v>
      </c>
      <c r="BE243" s="4" t="s">
        <v>134</v>
      </c>
      <c r="BF243" s="13">
        <v>2.9382979869842498</v>
      </c>
      <c r="BG243" s="4">
        <v>807.5</v>
      </c>
      <c r="BH243" s="13">
        <v>8.8999996185302699</v>
      </c>
      <c r="BI243" s="13">
        <v>7218</v>
      </c>
      <c r="BJ243" s="4">
        <v>23</v>
      </c>
      <c r="BK243" s="14">
        <v>12</v>
      </c>
      <c r="BL243" s="14">
        <v>11</v>
      </c>
      <c r="BM243" s="14">
        <v>12</v>
      </c>
      <c r="BN243" s="3" t="s">
        <v>302</v>
      </c>
      <c r="BP243" s="15" t="s">
        <v>135</v>
      </c>
      <c r="BQ243" s="15"/>
      <c r="BR243" s="2" t="s">
        <v>172</v>
      </c>
      <c r="BS243" s="2" t="s">
        <v>247</v>
      </c>
      <c r="BT243" s="7" t="s">
        <v>357</v>
      </c>
      <c r="BU243" s="7" t="s">
        <v>212</v>
      </c>
      <c r="BV243" s="9" t="s">
        <v>357</v>
      </c>
      <c r="BW243" s="9" t="s">
        <v>163</v>
      </c>
    </row>
    <row r="244" spans="1:75" ht="14.25" customHeight="1" x14ac:dyDescent="0.25">
      <c r="A244" s="1">
        <v>601</v>
      </c>
      <c r="B244" s="1" t="s">
        <v>1297</v>
      </c>
      <c r="C244" s="1" t="s">
        <v>1298</v>
      </c>
      <c r="D244" s="1" t="s">
        <v>616</v>
      </c>
      <c r="E244" s="1" t="s">
        <v>1094</v>
      </c>
      <c r="F244" s="1" t="s">
        <v>1249</v>
      </c>
      <c r="G244" s="1"/>
      <c r="H244" s="2">
        <v>1</v>
      </c>
      <c r="I244" s="2">
        <v>1</v>
      </c>
      <c r="J244" s="2">
        <v>0</v>
      </c>
      <c r="K244" s="2">
        <v>0</v>
      </c>
      <c r="L244" s="3" t="s">
        <v>127</v>
      </c>
      <c r="O244" s="4">
        <v>4</v>
      </c>
      <c r="P244" s="4" t="s">
        <v>1039</v>
      </c>
      <c r="Q244" s="4" t="s">
        <v>1299</v>
      </c>
      <c r="R244" s="16">
        <v>220000</v>
      </c>
      <c r="S244" s="6">
        <v>220000</v>
      </c>
      <c r="T244" s="16">
        <v>84000</v>
      </c>
      <c r="U244" s="6">
        <v>84000</v>
      </c>
      <c r="V244" s="4"/>
      <c r="W244" s="4" t="s">
        <v>225</v>
      </c>
      <c r="X244" s="4"/>
      <c r="Y244" s="7">
        <v>2</v>
      </c>
      <c r="Z244" s="8">
        <v>1717087</v>
      </c>
      <c r="AA244" s="7" t="s">
        <v>1300</v>
      </c>
      <c r="AB244" s="7"/>
      <c r="AC244" s="9">
        <v>2</v>
      </c>
      <c r="AD244" s="10">
        <v>1544961</v>
      </c>
      <c r="AE244" s="9" t="s">
        <v>1300</v>
      </c>
      <c r="AF244" s="9"/>
      <c r="AG244" s="11">
        <v>2</v>
      </c>
      <c r="AH244" s="11" t="s">
        <v>1048</v>
      </c>
      <c r="AI244" s="11"/>
      <c r="AJ244" s="11"/>
      <c r="AK244" s="11"/>
      <c r="AL244" s="12">
        <v>1</v>
      </c>
      <c r="AM244" s="12" t="s">
        <v>1149</v>
      </c>
      <c r="AN244" s="12"/>
      <c r="AO244" s="12">
        <v>1</v>
      </c>
      <c r="AP244" s="12" t="s">
        <v>132</v>
      </c>
      <c r="AQ244" s="4">
        <v>3</v>
      </c>
      <c r="AR244" s="4" t="s">
        <v>621</v>
      </c>
      <c r="AS244" s="4"/>
      <c r="AT244" s="13"/>
      <c r="AU244" s="13"/>
      <c r="AV244" s="13"/>
      <c r="AW244" s="13"/>
      <c r="AX244" s="4"/>
      <c r="AY244" s="13"/>
      <c r="AZ244" s="13"/>
      <c r="BA244" s="13"/>
      <c r="BB244" s="13"/>
      <c r="BC244" s="4"/>
      <c r="BD244" s="4"/>
      <c r="BE244" s="4"/>
      <c r="BF244" s="13"/>
      <c r="BG244" s="4"/>
      <c r="BH244" s="13"/>
      <c r="BI244" s="13"/>
      <c r="BJ244" s="4"/>
      <c r="BK244" s="14">
        <v>11</v>
      </c>
      <c r="BL244" s="14">
        <v>10</v>
      </c>
      <c r="BM244" s="14">
        <v>11</v>
      </c>
      <c r="BP244" s="15"/>
      <c r="BQ244" s="15"/>
      <c r="BR244" s="2" t="s">
        <v>161</v>
      </c>
      <c r="BS244" s="2" t="s">
        <v>172</v>
      </c>
      <c r="BT244" s="7" t="s">
        <v>1153</v>
      </c>
      <c r="BU244" s="7" t="s">
        <v>163</v>
      </c>
      <c r="BV244" s="9" t="s">
        <v>357</v>
      </c>
      <c r="BW244" s="9" t="s">
        <v>163</v>
      </c>
    </row>
    <row r="245" spans="1:75" ht="14.25" customHeight="1" x14ac:dyDescent="0.25">
      <c r="A245" s="1">
        <v>602</v>
      </c>
      <c r="B245" s="1" t="s">
        <v>1301</v>
      </c>
      <c r="C245" s="1" t="s">
        <v>1302</v>
      </c>
      <c r="D245" s="1" t="s">
        <v>616</v>
      </c>
      <c r="E245" s="1" t="s">
        <v>1094</v>
      </c>
      <c r="F245" s="1" t="s">
        <v>1249</v>
      </c>
      <c r="G245" s="1"/>
      <c r="H245" s="2">
        <v>1</v>
      </c>
      <c r="I245" s="2">
        <v>1</v>
      </c>
      <c r="J245" s="2">
        <v>1</v>
      </c>
      <c r="K245" s="2">
        <v>1</v>
      </c>
      <c r="L245" s="3" t="s">
        <v>127</v>
      </c>
      <c r="N245" s="3">
        <v>1</v>
      </c>
      <c r="O245" s="4">
        <v>3</v>
      </c>
      <c r="P245" s="4" t="s">
        <v>225</v>
      </c>
      <c r="Q245" s="4" t="s">
        <v>1303</v>
      </c>
      <c r="R245" s="5" t="s">
        <v>1074</v>
      </c>
      <c r="S245" s="6">
        <v>1000000</v>
      </c>
      <c r="T245" s="17"/>
      <c r="U245" s="6"/>
      <c r="V245" s="4"/>
      <c r="W245" s="4"/>
      <c r="X245" s="4"/>
      <c r="Y245" s="7">
        <v>1</v>
      </c>
      <c r="Z245" s="8">
        <v>4201101</v>
      </c>
      <c r="AA245" s="7" t="s">
        <v>283</v>
      </c>
      <c r="AB245" s="7"/>
      <c r="AC245" s="9">
        <v>1</v>
      </c>
      <c r="AD245" s="10">
        <v>17533244</v>
      </c>
      <c r="AE245" s="9" t="s">
        <v>283</v>
      </c>
      <c r="AF245" s="9"/>
      <c r="AG245" s="11">
        <v>2</v>
      </c>
      <c r="AH245" s="11" t="s">
        <v>1048</v>
      </c>
      <c r="AI245" s="11"/>
      <c r="AJ245" s="11"/>
      <c r="AK245" s="11"/>
      <c r="AL245" s="12">
        <v>1</v>
      </c>
      <c r="AM245" s="12" t="s">
        <v>1149</v>
      </c>
      <c r="AN245" s="12"/>
      <c r="AO245" s="12">
        <v>1</v>
      </c>
      <c r="AP245" s="12" t="s">
        <v>143</v>
      </c>
      <c r="AQ245" s="4">
        <v>1</v>
      </c>
      <c r="AR245" s="4" t="s">
        <v>1048</v>
      </c>
      <c r="AS245" s="4" t="s">
        <v>1304</v>
      </c>
      <c r="AT245" s="13"/>
      <c r="AU245" s="13"/>
      <c r="AV245" s="13"/>
      <c r="AW245" s="13"/>
      <c r="AX245" s="4"/>
      <c r="AY245" s="13"/>
      <c r="AZ245" s="13"/>
      <c r="BA245" s="13"/>
      <c r="BB245" s="13"/>
      <c r="BC245" s="4"/>
      <c r="BD245" s="4"/>
      <c r="BE245" s="4"/>
      <c r="BF245" s="13"/>
      <c r="BG245" s="4"/>
      <c r="BH245" s="13"/>
      <c r="BI245" s="13"/>
      <c r="BJ245" s="4"/>
      <c r="BK245" s="14">
        <v>7</v>
      </c>
      <c r="BL245" s="14">
        <v>6</v>
      </c>
      <c r="BM245" s="14">
        <v>7</v>
      </c>
      <c r="BP245" s="15"/>
      <c r="BQ245" s="15"/>
      <c r="BR245" s="2" t="s">
        <v>273</v>
      </c>
      <c r="BS245" s="2" t="s">
        <v>247</v>
      </c>
      <c r="BT245" s="7" t="s">
        <v>357</v>
      </c>
      <c r="BU245" s="7" t="s">
        <v>163</v>
      </c>
      <c r="BV245" s="9" t="s">
        <v>357</v>
      </c>
      <c r="BW245" s="9" t="s">
        <v>163</v>
      </c>
    </row>
    <row r="246" spans="1:75" ht="14.25" customHeight="1" x14ac:dyDescent="0.25">
      <c r="A246" s="1">
        <v>603</v>
      </c>
      <c r="B246" s="1" t="s">
        <v>1305</v>
      </c>
      <c r="C246" s="1" t="s">
        <v>1306</v>
      </c>
      <c r="D246" s="1" t="s">
        <v>616</v>
      </c>
      <c r="E246" s="1" t="s">
        <v>1094</v>
      </c>
      <c r="F246" s="1" t="s">
        <v>1249</v>
      </c>
      <c r="G246" s="1" t="s">
        <v>118</v>
      </c>
      <c r="H246" s="2">
        <v>1</v>
      </c>
      <c r="I246" s="2">
        <v>1</v>
      </c>
      <c r="J246" s="2">
        <v>0</v>
      </c>
      <c r="K246" s="2">
        <v>0</v>
      </c>
      <c r="L246" s="3" t="s">
        <v>127</v>
      </c>
      <c r="O246" s="4">
        <v>4</v>
      </c>
      <c r="P246" s="4" t="s">
        <v>1039</v>
      </c>
      <c r="Q246" s="4" t="s">
        <v>1269</v>
      </c>
      <c r="R246" s="16">
        <v>340000</v>
      </c>
      <c r="S246" s="6">
        <v>340000</v>
      </c>
      <c r="T246" s="17"/>
      <c r="U246" s="6"/>
      <c r="V246" s="4"/>
      <c r="W246" s="4"/>
      <c r="X246" s="4"/>
      <c r="Y246" s="7">
        <v>3</v>
      </c>
      <c r="Z246" s="8">
        <v>303000</v>
      </c>
      <c r="AA246" s="7" t="s">
        <v>1145</v>
      </c>
      <c r="AB246" s="7"/>
      <c r="AC246" s="9">
        <v>3</v>
      </c>
      <c r="AD246" s="10">
        <v>766833</v>
      </c>
      <c r="AE246" s="9" t="s">
        <v>1148</v>
      </c>
      <c r="AF246" s="9" t="s">
        <v>1307</v>
      </c>
      <c r="AG246" s="11">
        <v>2</v>
      </c>
      <c r="AH246" s="11" t="s">
        <v>1048</v>
      </c>
      <c r="AI246" s="11"/>
      <c r="AJ246" s="11"/>
      <c r="AK246" s="11"/>
      <c r="AL246" s="12">
        <v>2</v>
      </c>
      <c r="AM246" s="12" t="s">
        <v>1048</v>
      </c>
      <c r="AN246" s="12"/>
      <c r="AO246" s="12"/>
      <c r="AP246" s="12"/>
      <c r="AQ246" s="4">
        <v>3</v>
      </c>
      <c r="AR246" s="4" t="s">
        <v>441</v>
      </c>
      <c r="AS246" s="4" t="s">
        <v>1053</v>
      </c>
      <c r="AT246" s="13"/>
      <c r="AU246" s="13"/>
      <c r="AV246" s="13"/>
      <c r="AW246" s="13"/>
      <c r="AX246" s="4"/>
      <c r="AY246" s="13"/>
      <c r="AZ246" s="13"/>
      <c r="BA246" s="13"/>
      <c r="BB246" s="13"/>
      <c r="BC246" s="4"/>
      <c r="BD246" s="4"/>
      <c r="BE246" s="4"/>
      <c r="BF246" s="13"/>
      <c r="BG246" s="4"/>
      <c r="BH246" s="13"/>
      <c r="BI246" s="13"/>
      <c r="BJ246" s="4"/>
      <c r="BK246" s="14">
        <v>12</v>
      </c>
      <c r="BL246" s="14">
        <v>12</v>
      </c>
      <c r="BM246" s="14">
        <v>12</v>
      </c>
      <c r="BP246" s="15"/>
      <c r="BQ246" s="15"/>
      <c r="BR246" s="2" t="s">
        <v>273</v>
      </c>
      <c r="BS246" s="2" t="s">
        <v>273</v>
      </c>
      <c r="BT246" s="7" t="s">
        <v>1153</v>
      </c>
      <c r="BU246" s="7" t="s">
        <v>163</v>
      </c>
      <c r="BV246" s="9" t="s">
        <v>357</v>
      </c>
      <c r="BW246" s="9" t="s">
        <v>163</v>
      </c>
    </row>
    <row r="247" spans="1:75" ht="14.25" customHeight="1" x14ac:dyDescent="0.25">
      <c r="A247" s="1">
        <v>604</v>
      </c>
      <c r="B247" s="1" t="s">
        <v>1308</v>
      </c>
      <c r="C247" s="1" t="s">
        <v>1309</v>
      </c>
      <c r="D247" s="1" t="s">
        <v>616</v>
      </c>
      <c r="E247" s="1" t="s">
        <v>1094</v>
      </c>
      <c r="F247" s="1" t="s">
        <v>1249</v>
      </c>
      <c r="G247" s="1" t="s">
        <v>118</v>
      </c>
      <c r="H247" s="2">
        <v>1</v>
      </c>
      <c r="I247" s="2">
        <v>1</v>
      </c>
      <c r="J247" s="2">
        <v>1</v>
      </c>
      <c r="K247" s="2">
        <v>1</v>
      </c>
      <c r="L247" s="3" t="s">
        <v>127</v>
      </c>
      <c r="O247" s="4">
        <v>4</v>
      </c>
      <c r="P247" s="4" t="s">
        <v>1310</v>
      </c>
      <c r="Q247" s="4" t="s">
        <v>169</v>
      </c>
      <c r="R247" s="16">
        <v>470000</v>
      </c>
      <c r="S247" s="6">
        <v>470000</v>
      </c>
      <c r="T247" s="16">
        <v>440000</v>
      </c>
      <c r="U247" s="6">
        <v>440000</v>
      </c>
      <c r="V247" s="4">
        <v>2010.5</v>
      </c>
      <c r="W247" s="4" t="s">
        <v>640</v>
      </c>
      <c r="X247" s="4"/>
      <c r="Y247" s="7">
        <v>3</v>
      </c>
      <c r="Z247" s="8">
        <v>707000</v>
      </c>
      <c r="AA247" s="7" t="s">
        <v>1145</v>
      </c>
      <c r="AB247" s="7"/>
      <c r="AC247" s="9">
        <v>2</v>
      </c>
      <c r="AD247" s="10">
        <v>1188490</v>
      </c>
      <c r="AE247" s="9" t="s">
        <v>1148</v>
      </c>
      <c r="AF247" s="9" t="s">
        <v>1311</v>
      </c>
      <c r="AG247" s="11">
        <v>2</v>
      </c>
      <c r="AH247" s="11" t="s">
        <v>1149</v>
      </c>
      <c r="AI247" s="11"/>
      <c r="AJ247" s="11">
        <v>2</v>
      </c>
      <c r="AK247" s="11" t="s">
        <v>132</v>
      </c>
      <c r="AL247" s="12">
        <v>2</v>
      </c>
      <c r="AM247" s="12" t="s">
        <v>1149</v>
      </c>
      <c r="AN247" s="12"/>
      <c r="AO247" s="12">
        <v>3</v>
      </c>
      <c r="AP247" s="12" t="s">
        <v>332</v>
      </c>
      <c r="AQ247" s="4">
        <v>4</v>
      </c>
      <c r="AR247" s="4" t="s">
        <v>133</v>
      </c>
      <c r="AS247" s="4"/>
      <c r="AT247" s="13">
        <v>-29.5476379394531</v>
      </c>
      <c r="AU247" s="13">
        <v>-0.68278837203979503</v>
      </c>
      <c r="AV247" s="13">
        <v>-3.2000000476837198</v>
      </c>
      <c r="AW247" s="13">
        <v>0.95750099420547496</v>
      </c>
      <c r="AX247" s="4"/>
      <c r="AY247" s="13">
        <v>-46.791080474853501</v>
      </c>
      <c r="AZ247" s="13">
        <v>-1.5299723148345901</v>
      </c>
      <c r="BA247" s="13">
        <v>-3.3299999237060498</v>
      </c>
      <c r="BB247" s="13">
        <v>-0.10060100257396699</v>
      </c>
      <c r="BC247" s="4">
        <v>1</v>
      </c>
      <c r="BD247" s="4">
        <v>41</v>
      </c>
      <c r="BE247" s="4" t="s">
        <v>134</v>
      </c>
      <c r="BF247" s="13">
        <v>4.1575012207031303</v>
      </c>
      <c r="BG247" s="4">
        <v>106</v>
      </c>
      <c r="BH247" s="13">
        <v>17.655000686645501</v>
      </c>
      <c r="BI247" s="13">
        <v>1907.56994628906</v>
      </c>
      <c r="BJ247" s="4"/>
      <c r="BK247" s="14">
        <v>13</v>
      </c>
      <c r="BL247" s="14">
        <v>12</v>
      </c>
      <c r="BM247" s="14">
        <v>13</v>
      </c>
      <c r="BP247" s="15"/>
      <c r="BQ247" s="15"/>
      <c r="BR247" s="2" t="s">
        <v>162</v>
      </c>
      <c r="BS247" s="2" t="s">
        <v>162</v>
      </c>
      <c r="BT247" s="7" t="s">
        <v>1153</v>
      </c>
      <c r="BU247" s="7" t="s">
        <v>163</v>
      </c>
      <c r="BV247" s="9" t="s">
        <v>357</v>
      </c>
      <c r="BW247" s="9" t="s">
        <v>163</v>
      </c>
    </row>
    <row r="248" spans="1:75" ht="14.25" customHeight="1" x14ac:dyDescent="0.25">
      <c r="A248" s="1">
        <v>605</v>
      </c>
      <c r="B248" s="1" t="s">
        <v>1312</v>
      </c>
      <c r="C248" s="1" t="s">
        <v>1313</v>
      </c>
      <c r="D248" s="1" t="s">
        <v>616</v>
      </c>
      <c r="E248" s="1" t="s">
        <v>1094</v>
      </c>
      <c r="F248" s="1" t="s">
        <v>1249</v>
      </c>
      <c r="G248" s="1"/>
      <c r="H248" s="2">
        <v>1</v>
      </c>
      <c r="I248" s="2">
        <v>1</v>
      </c>
      <c r="J248" s="2">
        <v>1</v>
      </c>
      <c r="K248" s="2">
        <v>0</v>
      </c>
      <c r="L248" s="3" t="s">
        <v>127</v>
      </c>
      <c r="O248" s="4">
        <v>3</v>
      </c>
      <c r="P248" s="4" t="s">
        <v>1039</v>
      </c>
      <c r="Q248" s="4" t="s">
        <v>1314</v>
      </c>
      <c r="R248" s="5" t="s">
        <v>1315</v>
      </c>
      <c r="S248" s="6">
        <v>970000</v>
      </c>
      <c r="T248" s="16">
        <v>170000</v>
      </c>
      <c r="U248" s="6">
        <v>170000</v>
      </c>
      <c r="V248" s="4">
        <v>2012</v>
      </c>
      <c r="W248" s="4" t="s">
        <v>1316</v>
      </c>
      <c r="X248" s="4"/>
      <c r="Y248" s="7">
        <v>2</v>
      </c>
      <c r="Z248" s="8">
        <v>3866738</v>
      </c>
      <c r="AA248" s="7" t="s">
        <v>154</v>
      </c>
      <c r="AB248" s="7"/>
      <c r="AC248" s="9">
        <v>2</v>
      </c>
      <c r="AD248" s="10">
        <v>3087538</v>
      </c>
      <c r="AE248" s="9" t="s">
        <v>155</v>
      </c>
      <c r="AF248" s="9"/>
      <c r="AG248" s="11">
        <v>3</v>
      </c>
      <c r="AH248" s="11" t="s">
        <v>1149</v>
      </c>
      <c r="AI248" s="11"/>
      <c r="AJ248" s="11">
        <v>3</v>
      </c>
      <c r="AK248" s="11" t="s">
        <v>332</v>
      </c>
      <c r="AL248" s="12">
        <v>2</v>
      </c>
      <c r="AM248" s="12" t="s">
        <v>1149</v>
      </c>
      <c r="AN248" s="12"/>
      <c r="AO248" s="12">
        <v>2</v>
      </c>
      <c r="AP248" s="12" t="s">
        <v>132</v>
      </c>
      <c r="AQ248" s="4">
        <v>5</v>
      </c>
      <c r="AR248" s="4" t="s">
        <v>222</v>
      </c>
      <c r="AS248" s="4"/>
      <c r="AT248" s="13">
        <v>-71.398796081542997</v>
      </c>
      <c r="AU248" s="13">
        <v>-2.5221810340881299</v>
      </c>
      <c r="AV248" s="13">
        <v>-4.010009765625</v>
      </c>
      <c r="AW248" s="13">
        <v>-1.1000000238418599</v>
      </c>
      <c r="AX248" s="4">
        <v>1</v>
      </c>
      <c r="AY248" s="13">
        <v>-60.627490997314503</v>
      </c>
      <c r="AZ248" s="13">
        <v>-3.6597599983215301</v>
      </c>
      <c r="BA248" s="13">
        <v>-6.8290534019470197</v>
      </c>
      <c r="BB248" s="13">
        <v>-1.01483058929443</v>
      </c>
      <c r="BC248" s="4">
        <v>1</v>
      </c>
      <c r="BD248" s="4">
        <v>25</v>
      </c>
      <c r="BE248" s="4"/>
      <c r="BF248" s="13">
        <v>2.9100096225738499</v>
      </c>
      <c r="BG248" s="4"/>
      <c r="BH248" s="13"/>
      <c r="BI248" s="13"/>
      <c r="BJ248" s="4">
        <v>19</v>
      </c>
      <c r="BK248" s="14">
        <v>13</v>
      </c>
      <c r="BL248" s="14">
        <v>12</v>
      </c>
      <c r="BM248" s="14">
        <v>13</v>
      </c>
      <c r="BN248" s="3" t="s">
        <v>375</v>
      </c>
      <c r="BP248" s="15"/>
      <c r="BQ248" s="15"/>
      <c r="BR248" s="2" t="s">
        <v>161</v>
      </c>
      <c r="BS248" s="2" t="s">
        <v>172</v>
      </c>
      <c r="BT248" s="7" t="s">
        <v>1153</v>
      </c>
      <c r="BU248" s="7" t="s">
        <v>173</v>
      </c>
      <c r="BV248" s="9" t="s">
        <v>357</v>
      </c>
      <c r="BW248" s="9" t="s">
        <v>163</v>
      </c>
    </row>
    <row r="249" spans="1:75" ht="14.25" customHeight="1" x14ac:dyDescent="0.25">
      <c r="A249" s="1">
        <v>606</v>
      </c>
      <c r="B249" s="1" t="s">
        <v>1317</v>
      </c>
      <c r="C249" s="1" t="s">
        <v>1318</v>
      </c>
      <c r="D249" s="1" t="s">
        <v>616</v>
      </c>
      <c r="E249" s="1" t="s">
        <v>1094</v>
      </c>
      <c r="F249" s="1" t="s">
        <v>1249</v>
      </c>
      <c r="G249" s="1" t="s">
        <v>118</v>
      </c>
      <c r="H249" s="2">
        <v>1</v>
      </c>
      <c r="I249" s="2">
        <v>1</v>
      </c>
      <c r="J249" s="2">
        <v>1</v>
      </c>
      <c r="K249" s="2">
        <v>1</v>
      </c>
      <c r="L249" s="3" t="s">
        <v>80</v>
      </c>
      <c r="O249" s="4">
        <v>4</v>
      </c>
      <c r="P249" s="4" t="s">
        <v>1319</v>
      </c>
      <c r="Q249" s="4" t="s">
        <v>169</v>
      </c>
      <c r="R249" s="16">
        <v>370000</v>
      </c>
      <c r="S249" s="6">
        <v>370000</v>
      </c>
      <c r="T249" s="16">
        <v>150000</v>
      </c>
      <c r="U249" s="6">
        <v>150000</v>
      </c>
      <c r="V249" s="4">
        <v>2010.5</v>
      </c>
      <c r="W249" s="4" t="s">
        <v>425</v>
      </c>
      <c r="X249" s="4"/>
      <c r="Y249" s="7">
        <v>3</v>
      </c>
      <c r="Z249" s="8">
        <v>951238</v>
      </c>
      <c r="AA249" s="7" t="s">
        <v>154</v>
      </c>
      <c r="AB249" s="7"/>
      <c r="AC249" s="9">
        <v>2</v>
      </c>
      <c r="AD249" s="10">
        <v>2518348</v>
      </c>
      <c r="AE249" s="9" t="s">
        <v>155</v>
      </c>
      <c r="AF249" s="9"/>
      <c r="AG249" s="11">
        <v>3</v>
      </c>
      <c r="AH249" s="11" t="s">
        <v>1149</v>
      </c>
      <c r="AI249" s="11"/>
      <c r="AJ249" s="11">
        <v>3</v>
      </c>
      <c r="AK249" s="11" t="s">
        <v>143</v>
      </c>
      <c r="AL249" s="12">
        <v>2</v>
      </c>
      <c r="AM249" s="12" t="s">
        <v>1149</v>
      </c>
      <c r="AN249" s="12"/>
      <c r="AO249" s="12">
        <v>2</v>
      </c>
      <c r="AP249" s="12" t="s">
        <v>143</v>
      </c>
      <c r="AQ249" s="4">
        <v>5</v>
      </c>
      <c r="AR249" s="4" t="s">
        <v>133</v>
      </c>
      <c r="AS249" s="4"/>
      <c r="AT249" s="13">
        <v>-72.555885314941406</v>
      </c>
      <c r="AU249" s="13">
        <v>-2.5015490055084202</v>
      </c>
      <c r="AV249" s="13">
        <v>-3.9400000572204599</v>
      </c>
      <c r="AW249" s="13">
        <v>-0.94559800624847401</v>
      </c>
      <c r="AX249" s="4">
        <v>1</v>
      </c>
      <c r="AY249" s="13">
        <v>-78.710998535156307</v>
      </c>
      <c r="AZ249" s="13">
        <v>-3.98808026313782</v>
      </c>
      <c r="BA249" s="13">
        <v>-5.9200000762939498</v>
      </c>
      <c r="BB249" s="13">
        <v>-2.1506009101867698</v>
      </c>
      <c r="BC249" s="4">
        <v>1</v>
      </c>
      <c r="BD249" s="4">
        <v>38</v>
      </c>
      <c r="BE249" s="4" t="s">
        <v>134</v>
      </c>
      <c r="BF249" s="13">
        <v>2.9944019317627002</v>
      </c>
      <c r="BG249" s="4">
        <v>189.5</v>
      </c>
      <c r="BH249" s="13">
        <v>3.8250000476837198</v>
      </c>
      <c r="BI249" s="13">
        <v>725.33001708984398</v>
      </c>
      <c r="BJ249" s="4">
        <v>17</v>
      </c>
      <c r="BK249" s="14">
        <v>15</v>
      </c>
      <c r="BL249" s="14">
        <v>13</v>
      </c>
      <c r="BM249" s="14">
        <v>15</v>
      </c>
      <c r="BN249" s="3" t="s">
        <v>375</v>
      </c>
      <c r="BP249" s="15"/>
      <c r="BQ249" s="15"/>
      <c r="BR249" s="2" t="s">
        <v>211</v>
      </c>
      <c r="BS249" s="2" t="s">
        <v>239</v>
      </c>
      <c r="BT249" s="7" t="s">
        <v>357</v>
      </c>
      <c r="BU249" s="7" t="s">
        <v>212</v>
      </c>
      <c r="BV249" s="9" t="s">
        <v>357</v>
      </c>
      <c r="BW249" s="9" t="s">
        <v>163</v>
      </c>
    </row>
    <row r="250" spans="1:75" ht="14.25" customHeight="1" x14ac:dyDescent="0.25">
      <c r="A250" s="1">
        <v>608</v>
      </c>
      <c r="B250" s="1" t="s">
        <v>1320</v>
      </c>
      <c r="C250" s="1" t="s">
        <v>1321</v>
      </c>
      <c r="D250" s="1" t="s">
        <v>616</v>
      </c>
      <c r="E250" s="1" t="s">
        <v>1094</v>
      </c>
      <c r="F250" s="1" t="s">
        <v>1249</v>
      </c>
      <c r="G250" s="1"/>
      <c r="H250" s="2">
        <v>0</v>
      </c>
      <c r="I250" s="2">
        <v>1</v>
      </c>
      <c r="J250" s="2">
        <v>1</v>
      </c>
      <c r="K250" s="2">
        <v>1</v>
      </c>
      <c r="L250" s="3" t="s">
        <v>127</v>
      </c>
      <c r="O250" s="4">
        <v>3</v>
      </c>
      <c r="P250" s="4" t="s">
        <v>1322</v>
      </c>
      <c r="Q250" s="4" t="s">
        <v>1323</v>
      </c>
      <c r="R250" s="16">
        <v>1600000</v>
      </c>
      <c r="S250" s="6">
        <v>1600000</v>
      </c>
      <c r="T250" s="17"/>
      <c r="U250" s="6"/>
      <c r="V250" s="4"/>
      <c r="W250" s="4"/>
      <c r="X250" s="4"/>
      <c r="Y250" s="7">
        <v>1</v>
      </c>
      <c r="Z250" s="8">
        <v>10000000</v>
      </c>
      <c r="AA250" s="7" t="s">
        <v>1145</v>
      </c>
      <c r="AB250" s="7" t="s">
        <v>1324</v>
      </c>
      <c r="AC250" s="9">
        <v>1</v>
      </c>
      <c r="AD250" s="10"/>
      <c r="AE250" s="9" t="s">
        <v>82</v>
      </c>
      <c r="AF250" s="9" t="s">
        <v>1246</v>
      </c>
      <c r="AG250" s="11">
        <v>3</v>
      </c>
      <c r="AH250" s="11" t="s">
        <v>620</v>
      </c>
      <c r="AI250" s="11"/>
      <c r="AJ250" s="11"/>
      <c r="AK250" s="11"/>
      <c r="AL250" s="12">
        <v>2</v>
      </c>
      <c r="AM250" s="12" t="s">
        <v>620</v>
      </c>
      <c r="AN250" s="12"/>
      <c r="AO250" s="12"/>
      <c r="AP250" s="12"/>
      <c r="AQ250" s="4">
        <v>3</v>
      </c>
      <c r="AR250" s="4" t="s">
        <v>621</v>
      </c>
      <c r="AS250" s="4" t="s">
        <v>1053</v>
      </c>
      <c r="AT250" s="13"/>
      <c r="AU250" s="13"/>
      <c r="AV250" s="13"/>
      <c r="AW250" s="13"/>
      <c r="AX250" s="4"/>
      <c r="AY250" s="13"/>
      <c r="AZ250" s="13"/>
      <c r="BA250" s="13"/>
      <c r="BB250" s="13"/>
      <c r="BC250" s="4"/>
      <c r="BD250" s="4"/>
      <c r="BE250" s="4"/>
      <c r="BF250" s="13"/>
      <c r="BG250" s="4"/>
      <c r="BH250" s="13"/>
      <c r="BI250" s="13"/>
      <c r="BJ250" s="4"/>
      <c r="BK250" s="14">
        <v>10</v>
      </c>
      <c r="BL250" s="14">
        <v>9</v>
      </c>
      <c r="BM250" s="14">
        <v>10</v>
      </c>
      <c r="BP250" s="15"/>
      <c r="BQ250" s="15"/>
      <c r="BR250" s="2" t="s">
        <v>1325</v>
      </c>
      <c r="BS250" s="2" t="s">
        <v>1325</v>
      </c>
      <c r="BT250" s="7" t="s">
        <v>1326</v>
      </c>
      <c r="BU250" s="7"/>
      <c r="BV250" s="9" t="s">
        <v>1154</v>
      </c>
      <c r="BW250" s="9"/>
    </row>
    <row r="251" spans="1:75" ht="14.25" customHeight="1" x14ac:dyDescent="0.25">
      <c r="A251" s="1">
        <v>609</v>
      </c>
      <c r="B251" s="1" t="s">
        <v>1327</v>
      </c>
      <c r="C251" s="1" t="s">
        <v>1328</v>
      </c>
      <c r="D251" s="1" t="s">
        <v>616</v>
      </c>
      <c r="E251" s="1" t="s">
        <v>1094</v>
      </c>
      <c r="F251" s="1" t="s">
        <v>1249</v>
      </c>
      <c r="G251" s="1"/>
      <c r="H251" s="2">
        <v>0</v>
      </c>
      <c r="I251" s="2">
        <v>0</v>
      </c>
      <c r="J251" s="2">
        <v>1</v>
      </c>
      <c r="K251" s="2">
        <v>1</v>
      </c>
      <c r="L251" s="3" t="s">
        <v>127</v>
      </c>
      <c r="O251" s="4">
        <v>3</v>
      </c>
      <c r="P251" s="4" t="s">
        <v>1329</v>
      </c>
      <c r="Q251" s="4"/>
      <c r="R251" s="16">
        <v>1300000</v>
      </c>
      <c r="S251" s="6">
        <v>1300000</v>
      </c>
      <c r="T251" s="17"/>
      <c r="U251" s="6"/>
      <c r="V251" s="4"/>
      <c r="W251" s="4"/>
      <c r="X251" s="4"/>
      <c r="Y251" s="7">
        <v>1</v>
      </c>
      <c r="Z251" s="8"/>
      <c r="AA251" s="7" t="s">
        <v>1213</v>
      </c>
      <c r="AB251" s="7" t="s">
        <v>1330</v>
      </c>
      <c r="AC251" s="9">
        <v>2</v>
      </c>
      <c r="AD251" s="10"/>
      <c r="AE251" s="9" t="s">
        <v>1331</v>
      </c>
      <c r="AF251" s="9"/>
      <c r="AG251" s="11">
        <v>3</v>
      </c>
      <c r="AH251" s="11" t="s">
        <v>620</v>
      </c>
      <c r="AI251" s="11"/>
      <c r="AJ251" s="11"/>
      <c r="AK251" s="11"/>
      <c r="AL251" s="12">
        <v>2</v>
      </c>
      <c r="AM251" s="12" t="s">
        <v>620</v>
      </c>
      <c r="AN251" s="12"/>
      <c r="AO251" s="12"/>
      <c r="AP251" s="12"/>
      <c r="AQ251" s="4">
        <v>3</v>
      </c>
      <c r="AR251" s="4" t="s">
        <v>83</v>
      </c>
      <c r="AS251" s="4"/>
      <c r="AT251" s="13"/>
      <c r="AU251" s="13"/>
      <c r="AV251" s="13"/>
      <c r="AW251" s="13"/>
      <c r="AX251" s="4"/>
      <c r="AY251" s="13"/>
      <c r="AZ251" s="13"/>
      <c r="BA251" s="13"/>
      <c r="BB251" s="13"/>
      <c r="BC251" s="4"/>
      <c r="BD251" s="4"/>
      <c r="BE251" s="4"/>
      <c r="BF251" s="13"/>
      <c r="BG251" s="4"/>
      <c r="BH251" s="13"/>
      <c r="BI251" s="13"/>
      <c r="BJ251" s="4"/>
      <c r="BK251" s="14">
        <v>10</v>
      </c>
      <c r="BL251" s="14">
        <v>10</v>
      </c>
      <c r="BM251" s="14">
        <v>10</v>
      </c>
      <c r="BP251" s="15"/>
      <c r="BQ251" s="15"/>
      <c r="BR251" s="2" t="s">
        <v>1325</v>
      </c>
      <c r="BS251" s="2" t="s">
        <v>1325</v>
      </c>
      <c r="BT251" s="7" t="s">
        <v>1326</v>
      </c>
      <c r="BU251" s="7"/>
      <c r="BV251" s="9" t="s">
        <v>1154</v>
      </c>
      <c r="BW251" s="9"/>
    </row>
    <row r="252" spans="1:75" ht="14.25" customHeight="1" x14ac:dyDescent="0.25">
      <c r="A252" s="1">
        <v>612</v>
      </c>
      <c r="B252" s="1" t="s">
        <v>1332</v>
      </c>
      <c r="C252" s="1" t="s">
        <v>1333</v>
      </c>
      <c r="D252" s="1" t="s">
        <v>616</v>
      </c>
      <c r="E252" s="1" t="s">
        <v>1094</v>
      </c>
      <c r="F252" s="1" t="s">
        <v>1249</v>
      </c>
      <c r="G252" s="1"/>
      <c r="H252" s="2">
        <v>0</v>
      </c>
      <c r="I252" s="2">
        <v>1</v>
      </c>
      <c r="J252" s="2">
        <v>1</v>
      </c>
      <c r="K252" s="2">
        <v>1</v>
      </c>
      <c r="L252" s="3" t="s">
        <v>127</v>
      </c>
      <c r="O252" s="4">
        <v>2</v>
      </c>
      <c r="P252" s="4" t="s">
        <v>1334</v>
      </c>
      <c r="Q252" s="4" t="s">
        <v>1335</v>
      </c>
      <c r="R252" s="16">
        <v>47000000</v>
      </c>
      <c r="S252" s="6">
        <v>47000000</v>
      </c>
      <c r="T252" s="17"/>
      <c r="U252" s="6"/>
      <c r="V252" s="4"/>
      <c r="W252" s="4"/>
      <c r="X252" s="4"/>
      <c r="Y252" s="7">
        <v>1</v>
      </c>
      <c r="Z252" s="8"/>
      <c r="AA252" s="7" t="s">
        <v>1213</v>
      </c>
      <c r="AB252" s="7" t="s">
        <v>1336</v>
      </c>
      <c r="AC252" s="9">
        <v>1</v>
      </c>
      <c r="AD252" s="10"/>
      <c r="AE252" s="9" t="s">
        <v>82</v>
      </c>
      <c r="AF252" s="9" t="s">
        <v>1246</v>
      </c>
      <c r="AG252" s="11">
        <v>3</v>
      </c>
      <c r="AH252" s="11" t="s">
        <v>620</v>
      </c>
      <c r="AI252" s="11"/>
      <c r="AJ252" s="11"/>
      <c r="AK252" s="11"/>
      <c r="AL252" s="12">
        <v>2</v>
      </c>
      <c r="AM252" s="12" t="s">
        <v>620</v>
      </c>
      <c r="AN252" s="12"/>
      <c r="AO252" s="12"/>
      <c r="AP252" s="12"/>
      <c r="AQ252" s="4">
        <v>3</v>
      </c>
      <c r="AR252" s="4" t="s">
        <v>621</v>
      </c>
      <c r="AS252" s="4" t="s">
        <v>1053</v>
      </c>
      <c r="AT252" s="13"/>
      <c r="AU252" s="13"/>
      <c r="AV252" s="13"/>
      <c r="AW252" s="13"/>
      <c r="AX252" s="4"/>
      <c r="AY252" s="13"/>
      <c r="AZ252" s="13"/>
      <c r="BA252" s="13"/>
      <c r="BB252" s="13"/>
      <c r="BC252" s="4"/>
      <c r="BD252" s="4"/>
      <c r="BE252" s="4"/>
      <c r="BF252" s="13"/>
      <c r="BG252" s="4"/>
      <c r="BH252" s="13"/>
      <c r="BI252" s="13"/>
      <c r="BJ252" s="4"/>
      <c r="BK252" s="14">
        <v>9</v>
      </c>
      <c r="BL252" s="14">
        <v>8</v>
      </c>
      <c r="BM252" s="14">
        <v>9</v>
      </c>
      <c r="BP252" s="15"/>
      <c r="BQ252" s="15"/>
      <c r="BR252" s="2" t="s">
        <v>1325</v>
      </c>
      <c r="BS252" s="2" t="s">
        <v>1325</v>
      </c>
      <c r="BT252" s="7" t="s">
        <v>357</v>
      </c>
      <c r="BU252" s="7" t="s">
        <v>1326</v>
      </c>
      <c r="BV252" s="9" t="s">
        <v>1154</v>
      </c>
      <c r="BW252" s="9"/>
    </row>
    <row r="253" spans="1:75" ht="14.25" customHeight="1" x14ac:dyDescent="0.25">
      <c r="A253" s="1">
        <v>614</v>
      </c>
      <c r="B253" s="1" t="s">
        <v>1337</v>
      </c>
      <c r="C253" s="1" t="s">
        <v>1338</v>
      </c>
      <c r="D253" s="1" t="s">
        <v>616</v>
      </c>
      <c r="E253" s="1" t="s">
        <v>1094</v>
      </c>
      <c r="F253" s="1" t="s">
        <v>1249</v>
      </c>
      <c r="G253" s="1"/>
      <c r="H253" s="2">
        <v>0</v>
      </c>
      <c r="I253" s="2">
        <v>1</v>
      </c>
      <c r="J253" s="2">
        <v>1</v>
      </c>
      <c r="K253" s="2">
        <v>1</v>
      </c>
      <c r="L253" s="3" t="s">
        <v>127</v>
      </c>
      <c r="O253" s="4">
        <v>3</v>
      </c>
      <c r="P253" s="4" t="s">
        <v>1039</v>
      </c>
      <c r="Q253" s="4" t="s">
        <v>1339</v>
      </c>
      <c r="R253" s="5" t="s">
        <v>1340</v>
      </c>
      <c r="S253" s="6">
        <v>700000</v>
      </c>
      <c r="T253" s="17"/>
      <c r="U253" s="6"/>
      <c r="V253" s="4"/>
      <c r="W253" s="4"/>
      <c r="X253" s="4"/>
      <c r="Y253" s="7">
        <v>1</v>
      </c>
      <c r="Z253" s="8"/>
      <c r="AA253" s="7" t="s">
        <v>1213</v>
      </c>
      <c r="AB253" s="7" t="s">
        <v>1341</v>
      </c>
      <c r="AC253" s="9">
        <v>1</v>
      </c>
      <c r="AD253" s="10"/>
      <c r="AE253" s="9" t="s">
        <v>82</v>
      </c>
      <c r="AF253" s="9" t="s">
        <v>1246</v>
      </c>
      <c r="AG253" s="11">
        <v>3</v>
      </c>
      <c r="AH253" s="11" t="s">
        <v>620</v>
      </c>
      <c r="AI253" s="11"/>
      <c r="AJ253" s="11"/>
      <c r="AK253" s="11"/>
      <c r="AL253" s="12">
        <v>2</v>
      </c>
      <c r="AM253" s="12" t="s">
        <v>620</v>
      </c>
      <c r="AN253" s="12"/>
      <c r="AO253" s="12"/>
      <c r="AP253" s="12"/>
      <c r="AQ253" s="4">
        <v>4</v>
      </c>
      <c r="AR253" s="4" t="s">
        <v>621</v>
      </c>
      <c r="AS253" s="4" t="s">
        <v>1342</v>
      </c>
      <c r="AT253" s="13"/>
      <c r="AU253" s="13"/>
      <c r="AV253" s="13"/>
      <c r="AW253" s="13"/>
      <c r="AX253" s="4"/>
      <c r="AY253" s="13"/>
      <c r="AZ253" s="13"/>
      <c r="BA253" s="13"/>
      <c r="BB253" s="13"/>
      <c r="BC253" s="4"/>
      <c r="BD253" s="4"/>
      <c r="BE253" s="4"/>
      <c r="BF253" s="13"/>
      <c r="BG253" s="4"/>
      <c r="BH253" s="13"/>
      <c r="BI253" s="13"/>
      <c r="BJ253" s="4"/>
      <c r="BK253" s="14">
        <v>11</v>
      </c>
      <c r="BL253" s="14">
        <v>10</v>
      </c>
      <c r="BM253" s="14">
        <v>11</v>
      </c>
      <c r="BP253" s="15"/>
      <c r="BQ253" s="15"/>
      <c r="BR253" s="2" t="s">
        <v>1325</v>
      </c>
      <c r="BS253" s="2" t="s">
        <v>1325</v>
      </c>
      <c r="BT253" s="7" t="s">
        <v>1326</v>
      </c>
      <c r="BU253" s="7"/>
      <c r="BV253" s="9" t="s">
        <v>1154</v>
      </c>
      <c r="BW253" s="9"/>
    </row>
    <row r="254" spans="1:75" ht="14.25" customHeight="1" x14ac:dyDescent="0.25">
      <c r="A254" s="1">
        <v>615</v>
      </c>
      <c r="B254" s="1" t="s">
        <v>1343</v>
      </c>
      <c r="C254" s="1" t="s">
        <v>1344</v>
      </c>
      <c r="D254" s="1" t="s">
        <v>616</v>
      </c>
      <c r="E254" s="1" t="s">
        <v>1094</v>
      </c>
      <c r="F254" s="1" t="s">
        <v>1249</v>
      </c>
      <c r="G254" s="1" t="s">
        <v>118</v>
      </c>
      <c r="H254" s="2">
        <v>0</v>
      </c>
      <c r="I254" s="2">
        <v>1</v>
      </c>
      <c r="J254" s="2">
        <v>0</v>
      </c>
      <c r="K254" s="2">
        <v>0</v>
      </c>
      <c r="L254" s="3" t="s">
        <v>127</v>
      </c>
      <c r="O254" s="4">
        <v>5</v>
      </c>
      <c r="P254" s="4" t="s">
        <v>1039</v>
      </c>
      <c r="Q254" s="4" t="s">
        <v>1345</v>
      </c>
      <c r="R254" s="16">
        <v>22000</v>
      </c>
      <c r="S254" s="6">
        <v>22000</v>
      </c>
      <c r="T254" s="17"/>
      <c r="U254" s="6"/>
      <c r="V254" s="4"/>
      <c r="W254" s="4"/>
      <c r="X254" s="4"/>
      <c r="Y254" s="7">
        <v>3</v>
      </c>
      <c r="Z254" s="8">
        <v>708097</v>
      </c>
      <c r="AA254" s="7" t="s">
        <v>1346</v>
      </c>
      <c r="AB254" s="7" t="s">
        <v>1347</v>
      </c>
      <c r="AC254" s="9">
        <v>3</v>
      </c>
      <c r="AD254" s="10"/>
      <c r="AE254" s="9" t="s">
        <v>1348</v>
      </c>
      <c r="AF254" s="9" t="s">
        <v>1349</v>
      </c>
      <c r="AG254" s="11">
        <v>3</v>
      </c>
      <c r="AH254" s="11" t="s">
        <v>620</v>
      </c>
      <c r="AI254" s="11" t="s">
        <v>1350</v>
      </c>
      <c r="AJ254" s="11"/>
      <c r="AK254" s="11"/>
      <c r="AL254" s="12">
        <v>3</v>
      </c>
      <c r="AM254" s="12" t="s">
        <v>620</v>
      </c>
      <c r="AN254" s="12" t="s">
        <v>1351</v>
      </c>
      <c r="AO254" s="12"/>
      <c r="AP254" s="12"/>
      <c r="AQ254" s="4">
        <v>2</v>
      </c>
      <c r="AR254" s="4" t="s">
        <v>1352</v>
      </c>
      <c r="AS254" s="4"/>
      <c r="AT254" s="13">
        <v>0</v>
      </c>
      <c r="AU254" s="13">
        <v>0</v>
      </c>
      <c r="AV254" s="13">
        <v>-1.6143980026245099</v>
      </c>
      <c r="AW254" s="13">
        <v>4.39829778671265</v>
      </c>
      <c r="AX254" s="4"/>
      <c r="AY254" s="13">
        <v>0</v>
      </c>
      <c r="AZ254" s="13">
        <v>0</v>
      </c>
      <c r="BA254" s="13">
        <v>-1.39660203456879</v>
      </c>
      <c r="BB254" s="13">
        <v>5.0627951622009304</v>
      </c>
      <c r="BC254" s="4"/>
      <c r="BD254" s="4">
        <v>27</v>
      </c>
      <c r="BE254" s="4" t="s">
        <v>210</v>
      </c>
      <c r="BF254" s="13">
        <v>6.01269578933716</v>
      </c>
      <c r="BG254" s="4">
        <v>6</v>
      </c>
      <c r="BH254" s="13">
        <v>13.4799995422363</v>
      </c>
      <c r="BI254" s="13">
        <v>80.879997253417997</v>
      </c>
      <c r="BJ254" s="4"/>
      <c r="BK254" s="14">
        <v>13</v>
      </c>
      <c r="BL254" s="14">
        <v>13</v>
      </c>
      <c r="BM254" s="14">
        <v>13</v>
      </c>
      <c r="BN254" s="3" t="s">
        <v>917</v>
      </c>
      <c r="BO254" s="3" t="s">
        <v>114</v>
      </c>
      <c r="BP254" s="15"/>
      <c r="BQ254" s="15"/>
      <c r="BR254" s="2" t="s">
        <v>161</v>
      </c>
      <c r="BS254" s="2" t="s">
        <v>1353</v>
      </c>
      <c r="BT254" s="7" t="s">
        <v>357</v>
      </c>
      <c r="BU254" s="7" t="s">
        <v>147</v>
      </c>
      <c r="BV254" s="9" t="s">
        <v>357</v>
      </c>
      <c r="BW254" s="9" t="s">
        <v>163</v>
      </c>
    </row>
    <row r="255" spans="1:75" ht="14.25" customHeight="1" x14ac:dyDescent="0.25">
      <c r="A255" s="1">
        <v>617</v>
      </c>
      <c r="B255" s="1" t="s">
        <v>1354</v>
      </c>
      <c r="C255" s="1" t="s">
        <v>1355</v>
      </c>
      <c r="D255" s="1" t="s">
        <v>616</v>
      </c>
      <c r="E255" s="1" t="s">
        <v>1094</v>
      </c>
      <c r="F255" s="1" t="s">
        <v>1249</v>
      </c>
      <c r="G255" s="1"/>
      <c r="H255" s="2">
        <v>0</v>
      </c>
      <c r="I255" s="2">
        <v>1</v>
      </c>
      <c r="J255" s="2">
        <v>1</v>
      </c>
      <c r="K255" s="2">
        <v>1</v>
      </c>
      <c r="L255" s="3" t="s">
        <v>127</v>
      </c>
      <c r="O255" s="4">
        <v>4</v>
      </c>
      <c r="P255" s="4" t="s">
        <v>1031</v>
      </c>
      <c r="Q255" s="4" t="s">
        <v>169</v>
      </c>
      <c r="R255" s="16">
        <v>120000</v>
      </c>
      <c r="S255" s="6">
        <v>120000</v>
      </c>
      <c r="T255" s="16">
        <v>52000</v>
      </c>
      <c r="U255" s="6">
        <v>52000</v>
      </c>
      <c r="V255" s="4">
        <v>2010.5</v>
      </c>
      <c r="W255" s="4" t="s">
        <v>640</v>
      </c>
      <c r="X255" s="4"/>
      <c r="Y255" s="7">
        <v>2</v>
      </c>
      <c r="Z255" s="8">
        <v>1341037</v>
      </c>
      <c r="AA255" s="7" t="s">
        <v>130</v>
      </c>
      <c r="AB255" s="7"/>
      <c r="AC255" s="9">
        <v>2</v>
      </c>
      <c r="AD255" s="10">
        <v>2169507</v>
      </c>
      <c r="AE255" s="9" t="s">
        <v>130</v>
      </c>
      <c r="AF255" s="9"/>
      <c r="AG255" s="11">
        <v>4</v>
      </c>
      <c r="AH255" s="11" t="s">
        <v>630</v>
      </c>
      <c r="AI255" s="11"/>
      <c r="AJ255" s="11">
        <v>4</v>
      </c>
      <c r="AK255" s="11" t="s">
        <v>132</v>
      </c>
      <c r="AL255" s="12">
        <v>3</v>
      </c>
      <c r="AM255" s="12" t="s">
        <v>620</v>
      </c>
      <c r="AN255" s="12" t="s">
        <v>1356</v>
      </c>
      <c r="AO255" s="12"/>
      <c r="AP255" s="12"/>
      <c r="AQ255" s="4">
        <v>5</v>
      </c>
      <c r="AR255" s="4" t="s">
        <v>133</v>
      </c>
      <c r="AS255" s="4"/>
      <c r="AT255" s="13">
        <v>-80.258544921875</v>
      </c>
      <c r="AU255" s="13">
        <v>-3.1304461956024201</v>
      </c>
      <c r="AV255" s="13">
        <v>-5.1312980651855504</v>
      </c>
      <c r="AW255" s="13">
        <v>-1.4099999666214</v>
      </c>
      <c r="AX255" s="4">
        <v>1</v>
      </c>
      <c r="AY255" s="13">
        <v>-58.480518341064503</v>
      </c>
      <c r="AZ255" s="13">
        <v>-3.45830202102661</v>
      </c>
      <c r="BA255" s="13">
        <v>-6.5500001907348597</v>
      </c>
      <c r="BB255" s="13">
        <v>-0.19369700551033001</v>
      </c>
      <c r="BC255" s="4">
        <v>1</v>
      </c>
      <c r="BD255" s="4">
        <v>25</v>
      </c>
      <c r="BE255" s="4" t="s">
        <v>134</v>
      </c>
      <c r="BF255" s="13">
        <v>3.7212979793548602</v>
      </c>
      <c r="BG255" s="4">
        <v>136</v>
      </c>
      <c r="BH255" s="13">
        <v>1.67949998378754</v>
      </c>
      <c r="BI255" s="13">
        <v>228.41200256347699</v>
      </c>
      <c r="BJ255" s="4">
        <v>20</v>
      </c>
      <c r="BK255" s="14">
        <v>15</v>
      </c>
      <c r="BL255" s="14">
        <v>14</v>
      </c>
      <c r="BM255" s="14">
        <v>15</v>
      </c>
      <c r="BN255" s="3" t="s">
        <v>375</v>
      </c>
      <c r="BP255" s="15" t="s">
        <v>135</v>
      </c>
      <c r="BQ255" s="15"/>
      <c r="BR255" s="2" t="s">
        <v>172</v>
      </c>
      <c r="BS255" s="2" t="s">
        <v>97</v>
      </c>
      <c r="BT255" s="7" t="s">
        <v>357</v>
      </c>
      <c r="BU255" s="7" t="s">
        <v>212</v>
      </c>
      <c r="BV255" s="9" t="s">
        <v>357</v>
      </c>
      <c r="BW255" s="9"/>
    </row>
    <row r="256" spans="1:75" ht="14.25" customHeight="1" x14ac:dyDescent="0.25">
      <c r="A256" s="1">
        <v>620</v>
      </c>
      <c r="B256" s="1" t="s">
        <v>1357</v>
      </c>
      <c r="C256" s="1" t="s">
        <v>1358</v>
      </c>
      <c r="D256" s="1" t="s">
        <v>616</v>
      </c>
      <c r="E256" s="1" t="s">
        <v>1094</v>
      </c>
      <c r="F256" s="1" t="s">
        <v>1249</v>
      </c>
      <c r="G256" s="1"/>
      <c r="H256" s="2">
        <v>1</v>
      </c>
      <c r="I256" s="2">
        <v>1</v>
      </c>
      <c r="J256" s="2">
        <v>1</v>
      </c>
      <c r="K256" s="2">
        <v>1</v>
      </c>
      <c r="L256" s="3" t="s">
        <v>127</v>
      </c>
      <c r="O256" s="4">
        <v>4</v>
      </c>
      <c r="P256" s="4" t="s">
        <v>1359</v>
      </c>
      <c r="Q256" s="4" t="s">
        <v>1360</v>
      </c>
      <c r="R256" s="5" t="s">
        <v>1361</v>
      </c>
      <c r="S256" s="6">
        <v>190000</v>
      </c>
      <c r="T256" s="16">
        <v>8000</v>
      </c>
      <c r="U256" s="6">
        <v>8000</v>
      </c>
      <c r="V256" s="4">
        <v>2002</v>
      </c>
      <c r="W256" s="4" t="s">
        <v>1362</v>
      </c>
      <c r="X256" s="4"/>
      <c r="Y256" s="7">
        <v>1</v>
      </c>
      <c r="Z256" s="8">
        <v>5154972</v>
      </c>
      <c r="AA256" s="7" t="s">
        <v>130</v>
      </c>
      <c r="AB256" s="7"/>
      <c r="AC256" s="9">
        <v>1</v>
      </c>
      <c r="AD256" s="10">
        <v>6879182</v>
      </c>
      <c r="AE256" s="9" t="s">
        <v>1148</v>
      </c>
      <c r="AF256" s="9"/>
      <c r="AG256" s="11">
        <v>4</v>
      </c>
      <c r="AH256" s="11" t="s">
        <v>630</v>
      </c>
      <c r="AI256" s="11"/>
      <c r="AJ256" s="11">
        <v>1</v>
      </c>
      <c r="AK256" s="11" t="s">
        <v>132</v>
      </c>
      <c r="AL256" s="12">
        <v>2</v>
      </c>
      <c r="AM256" s="12" t="s">
        <v>630</v>
      </c>
      <c r="AN256" s="12"/>
      <c r="AO256" s="12">
        <v>1</v>
      </c>
      <c r="AP256" s="12" t="s">
        <v>132</v>
      </c>
      <c r="AQ256" s="4">
        <v>4</v>
      </c>
      <c r="AR256" s="4" t="s">
        <v>620</v>
      </c>
      <c r="AS256" s="4" t="s">
        <v>1363</v>
      </c>
      <c r="AT256" s="13"/>
      <c r="AU256" s="13"/>
      <c r="AV256" s="13"/>
      <c r="AW256" s="13"/>
      <c r="AX256" s="4"/>
      <c r="AY256" s="13"/>
      <c r="AZ256" s="13"/>
      <c r="BA256" s="13"/>
      <c r="BB256" s="13"/>
      <c r="BC256" s="4"/>
      <c r="BD256" s="4"/>
      <c r="BE256" s="4"/>
      <c r="BF256" s="13"/>
      <c r="BG256" s="4"/>
      <c r="BH256" s="13"/>
      <c r="BI256" s="13"/>
      <c r="BJ256" s="4"/>
      <c r="BK256" s="14">
        <v>13</v>
      </c>
      <c r="BL256" s="14">
        <v>11</v>
      </c>
      <c r="BM256" s="14">
        <v>13</v>
      </c>
      <c r="BP256" s="15"/>
      <c r="BQ256" s="15"/>
      <c r="BR256" s="2" t="s">
        <v>247</v>
      </c>
      <c r="BS256" s="2" t="s">
        <v>97</v>
      </c>
      <c r="BT256" s="7" t="s">
        <v>357</v>
      </c>
      <c r="BU256" s="7" t="s">
        <v>147</v>
      </c>
      <c r="BV256" s="9" t="s">
        <v>357</v>
      </c>
      <c r="BW256" s="9" t="s">
        <v>147</v>
      </c>
    </row>
    <row r="257" spans="1:75" ht="14.25" customHeight="1" x14ac:dyDescent="0.25">
      <c r="A257" s="1">
        <v>621</v>
      </c>
      <c r="B257" s="1" t="s">
        <v>1364</v>
      </c>
      <c r="C257" s="1" t="s">
        <v>1365</v>
      </c>
      <c r="D257" s="1" t="s">
        <v>616</v>
      </c>
      <c r="E257" s="1" t="s">
        <v>1094</v>
      </c>
      <c r="F257" s="1" t="s">
        <v>1249</v>
      </c>
      <c r="G257" s="1" t="s">
        <v>118</v>
      </c>
      <c r="H257" s="2">
        <v>1</v>
      </c>
      <c r="I257" s="2">
        <v>1</v>
      </c>
      <c r="J257" s="2">
        <v>1</v>
      </c>
      <c r="K257" s="2">
        <v>1</v>
      </c>
      <c r="L257" s="3" t="s">
        <v>127</v>
      </c>
      <c r="O257" s="4">
        <v>3</v>
      </c>
      <c r="P257" s="4" t="s">
        <v>639</v>
      </c>
      <c r="Q257" s="4" t="s">
        <v>169</v>
      </c>
      <c r="R257" s="16">
        <v>530000</v>
      </c>
      <c r="S257" s="6">
        <v>530000</v>
      </c>
      <c r="T257" s="16">
        <v>78000</v>
      </c>
      <c r="U257" s="6">
        <v>78000</v>
      </c>
      <c r="V257" s="4">
        <v>2010.5</v>
      </c>
      <c r="W257" s="4" t="s">
        <v>640</v>
      </c>
      <c r="X257" s="4"/>
      <c r="Y257" s="7">
        <v>2</v>
      </c>
      <c r="Z257" s="8">
        <v>2403120</v>
      </c>
      <c r="AA257" s="7" t="s">
        <v>154</v>
      </c>
      <c r="AB257" s="7"/>
      <c r="AC257" s="9">
        <v>1</v>
      </c>
      <c r="AD257" s="10">
        <v>7664735</v>
      </c>
      <c r="AE257" s="9" t="s">
        <v>155</v>
      </c>
      <c r="AF257" s="9"/>
      <c r="AG257" s="11">
        <v>3</v>
      </c>
      <c r="AH257" s="11" t="s">
        <v>630</v>
      </c>
      <c r="AI257" s="11"/>
      <c r="AJ257" s="11">
        <v>1</v>
      </c>
      <c r="AK257" s="11" t="s">
        <v>143</v>
      </c>
      <c r="AL257" s="12">
        <v>2</v>
      </c>
      <c r="AM257" s="12" t="s">
        <v>630</v>
      </c>
      <c r="AN257" s="12"/>
      <c r="AO257" s="12">
        <v>1</v>
      </c>
      <c r="AP257" s="12" t="s">
        <v>132</v>
      </c>
      <c r="AQ257" s="4">
        <v>1</v>
      </c>
      <c r="AR257" s="4" t="s">
        <v>133</v>
      </c>
      <c r="AS257" s="4"/>
      <c r="AT257" s="13">
        <v>55.466159820556598</v>
      </c>
      <c r="AU257" s="13">
        <v>0.86933583021163896</v>
      </c>
      <c r="AV257" s="13">
        <v>-0.14799800515174899</v>
      </c>
      <c r="AW257" s="13">
        <v>2.5499999523162802</v>
      </c>
      <c r="AX257" s="4"/>
      <c r="AY257" s="13">
        <v>-10.2985181808472</v>
      </c>
      <c r="AZ257" s="13">
        <v>-0.37202352285385099</v>
      </c>
      <c r="BA257" s="13">
        <v>-2.8299999237060498</v>
      </c>
      <c r="BB257" s="13">
        <v>1.6023989915847801</v>
      </c>
      <c r="BC257" s="4"/>
      <c r="BD257" s="4">
        <v>29</v>
      </c>
      <c r="BE257" s="4" t="s">
        <v>134</v>
      </c>
      <c r="BF257" s="13">
        <v>2.697998046875</v>
      </c>
      <c r="BG257" s="4">
        <v>228</v>
      </c>
      <c r="BH257" s="13">
        <v>0.113499999046326</v>
      </c>
      <c r="BI257" s="13">
        <v>25.7369995117188</v>
      </c>
      <c r="BJ257" s="4"/>
      <c r="BK257" s="14">
        <v>9</v>
      </c>
      <c r="BL257" s="14">
        <v>7</v>
      </c>
      <c r="BM257" s="14">
        <v>9</v>
      </c>
      <c r="BP257" s="15"/>
      <c r="BQ257" s="15"/>
      <c r="BR257" s="2" t="s">
        <v>172</v>
      </c>
      <c r="BS257" s="2" t="s">
        <v>247</v>
      </c>
      <c r="BT257" s="7" t="s">
        <v>212</v>
      </c>
      <c r="BU257" s="7"/>
      <c r="BV257" s="9" t="s">
        <v>357</v>
      </c>
      <c r="BW257" s="9"/>
    </row>
    <row r="258" spans="1:75" ht="14.25" customHeight="1" x14ac:dyDescent="0.25">
      <c r="A258" s="1">
        <v>623</v>
      </c>
      <c r="B258" s="1" t="s">
        <v>1366</v>
      </c>
      <c r="C258" s="1" t="s">
        <v>1367</v>
      </c>
      <c r="D258" s="1" t="s">
        <v>616</v>
      </c>
      <c r="E258" s="1" t="s">
        <v>1094</v>
      </c>
      <c r="F258" s="1" t="s">
        <v>1249</v>
      </c>
      <c r="G258" s="1"/>
      <c r="H258" s="2">
        <v>1</v>
      </c>
      <c r="I258" s="2">
        <v>1</v>
      </c>
      <c r="J258" s="2">
        <v>1</v>
      </c>
      <c r="K258" s="2">
        <v>1</v>
      </c>
      <c r="L258" s="3" t="s">
        <v>127</v>
      </c>
      <c r="O258" s="4">
        <v>2</v>
      </c>
      <c r="P258" s="4" t="s">
        <v>1319</v>
      </c>
      <c r="Q258" s="4" t="s">
        <v>169</v>
      </c>
      <c r="R258" s="16">
        <v>5100000</v>
      </c>
      <c r="S258" s="6">
        <v>5100000</v>
      </c>
      <c r="T258" s="16">
        <v>2300000</v>
      </c>
      <c r="U258" s="6">
        <v>2300000</v>
      </c>
      <c r="V258" s="4">
        <v>2010.5</v>
      </c>
      <c r="W258" s="4" t="s">
        <v>425</v>
      </c>
      <c r="X258" s="4"/>
      <c r="Y258" s="7">
        <v>1</v>
      </c>
      <c r="Z258" s="8">
        <v>10591490</v>
      </c>
      <c r="AA258" s="7" t="s">
        <v>154</v>
      </c>
      <c r="AB258" s="7"/>
      <c r="AC258" s="9">
        <v>2</v>
      </c>
      <c r="AD258" s="10">
        <v>2293814</v>
      </c>
      <c r="AE258" s="9" t="s">
        <v>155</v>
      </c>
      <c r="AF258" s="9"/>
      <c r="AG258" s="11">
        <v>4</v>
      </c>
      <c r="AH258" s="11" t="s">
        <v>518</v>
      </c>
      <c r="AI258" s="11" t="s">
        <v>519</v>
      </c>
      <c r="AJ258" s="11">
        <v>2</v>
      </c>
      <c r="AK258" s="11" t="s">
        <v>143</v>
      </c>
      <c r="AL258" s="12">
        <v>2</v>
      </c>
      <c r="AM258" s="12" t="s">
        <v>620</v>
      </c>
      <c r="AN258" s="12"/>
      <c r="AO258" s="12"/>
      <c r="AP258" s="12"/>
      <c r="AQ258" s="4">
        <v>5</v>
      </c>
      <c r="AR258" s="4" t="s">
        <v>133</v>
      </c>
      <c r="AS258" s="4"/>
      <c r="AT258" s="13">
        <v>-67.486297607421903</v>
      </c>
      <c r="AU258" s="13">
        <v>-2.17978072166443</v>
      </c>
      <c r="AV258" s="13">
        <v>-4.2600002288818404</v>
      </c>
      <c r="AW258" s="13">
        <v>-0.55779802799224898</v>
      </c>
      <c r="AX258" s="4">
        <v>1</v>
      </c>
      <c r="AY258" s="13">
        <v>-5.3954453468322798</v>
      </c>
      <c r="AZ258" s="13">
        <v>-0.32418596744537398</v>
      </c>
      <c r="BA258" s="13">
        <v>-3.8099999427795401</v>
      </c>
      <c r="BB258" s="13">
        <v>4.28299903869629</v>
      </c>
      <c r="BC258" s="4"/>
      <c r="BD258" s="4">
        <v>17</v>
      </c>
      <c r="BE258" s="4" t="s">
        <v>134</v>
      </c>
      <c r="BF258" s="13">
        <v>3.7022020816803001</v>
      </c>
      <c r="BG258" s="4">
        <v>557</v>
      </c>
      <c r="BH258" s="13">
        <v>3.6300001144409202</v>
      </c>
      <c r="BI258" s="13">
        <v>2017.60998535156</v>
      </c>
      <c r="BJ258" s="4"/>
      <c r="BK258" s="14">
        <v>12</v>
      </c>
      <c r="BL258" s="14">
        <v>11</v>
      </c>
      <c r="BM258" s="14">
        <v>12</v>
      </c>
      <c r="BN258" s="3" t="s">
        <v>302</v>
      </c>
      <c r="BP258" s="15"/>
      <c r="BQ258" s="15"/>
      <c r="BR258" s="2" t="s">
        <v>172</v>
      </c>
      <c r="BS258" s="2" t="s">
        <v>1368</v>
      </c>
      <c r="BT258" s="7" t="s">
        <v>147</v>
      </c>
      <c r="BU258" s="7"/>
      <c r="BV258" s="9" t="s">
        <v>1154</v>
      </c>
      <c r="BW258" s="9" t="s">
        <v>163</v>
      </c>
    </row>
    <row r="259" spans="1:75" ht="14.25" customHeight="1" x14ac:dyDescent="0.25">
      <c r="A259" s="1">
        <v>626</v>
      </c>
      <c r="B259" s="1" t="s">
        <v>1369</v>
      </c>
      <c r="C259" s="1" t="s">
        <v>1370</v>
      </c>
      <c r="D259" s="1" t="s">
        <v>616</v>
      </c>
      <c r="E259" s="1" t="s">
        <v>1094</v>
      </c>
      <c r="F259" s="1" t="s">
        <v>1249</v>
      </c>
      <c r="G259" s="1"/>
      <c r="H259" s="2">
        <v>1</v>
      </c>
      <c r="I259" s="2">
        <v>1</v>
      </c>
      <c r="J259" s="2">
        <v>1</v>
      </c>
      <c r="K259" s="2">
        <v>1</v>
      </c>
      <c r="L259" s="3" t="s">
        <v>127</v>
      </c>
      <c r="O259" s="4">
        <v>4</v>
      </c>
      <c r="P259" s="4" t="s">
        <v>1371</v>
      </c>
      <c r="Q259" s="4" t="s">
        <v>1372</v>
      </c>
      <c r="R259" s="16">
        <v>160000</v>
      </c>
      <c r="S259" s="6">
        <v>160000</v>
      </c>
      <c r="T259" s="17"/>
      <c r="U259" s="6"/>
      <c r="V259" s="4"/>
      <c r="W259" s="4"/>
      <c r="X259" s="4"/>
      <c r="Y259" s="7">
        <v>3</v>
      </c>
      <c r="Z259" s="8">
        <v>417565</v>
      </c>
      <c r="AA259" s="7" t="s">
        <v>154</v>
      </c>
      <c r="AB259" s="7"/>
      <c r="AC259" s="9">
        <v>1</v>
      </c>
      <c r="AD259" s="10">
        <v>7159000</v>
      </c>
      <c r="AE259" s="9" t="s">
        <v>155</v>
      </c>
      <c r="AF259" s="9"/>
      <c r="AG259" s="11">
        <v>4</v>
      </c>
      <c r="AH259" s="11" t="s">
        <v>620</v>
      </c>
      <c r="AI259" s="11"/>
      <c r="AJ259" s="11"/>
      <c r="AK259" s="11"/>
      <c r="AL259" s="12">
        <v>3</v>
      </c>
      <c r="AM259" s="12" t="s">
        <v>620</v>
      </c>
      <c r="AN259" s="12"/>
      <c r="AO259" s="12"/>
      <c r="AP259" s="12"/>
      <c r="AQ259" s="4">
        <v>4</v>
      </c>
      <c r="AR259" s="4" t="s">
        <v>621</v>
      </c>
      <c r="AS259" s="4" t="s">
        <v>1373</v>
      </c>
      <c r="AT259" s="13"/>
      <c r="AU259" s="13"/>
      <c r="AV259" s="13"/>
      <c r="AW259" s="13"/>
      <c r="AX259" s="4"/>
      <c r="AY259" s="13"/>
      <c r="AZ259" s="13"/>
      <c r="BA259" s="13"/>
      <c r="BB259" s="13"/>
      <c r="BC259" s="4"/>
      <c r="BD259" s="4"/>
      <c r="BE259" s="4"/>
      <c r="BF259" s="13"/>
      <c r="BG259" s="4"/>
      <c r="BH259" s="13"/>
      <c r="BI259" s="13"/>
      <c r="BJ259" s="4"/>
      <c r="BK259" s="14">
        <v>15</v>
      </c>
      <c r="BL259" s="14">
        <v>12</v>
      </c>
      <c r="BM259" s="14">
        <v>15</v>
      </c>
      <c r="BN259" s="3" t="s">
        <v>86</v>
      </c>
      <c r="BP259" s="15"/>
      <c r="BQ259" s="15"/>
      <c r="BR259" s="2" t="s">
        <v>247</v>
      </c>
      <c r="BS259" s="2" t="s">
        <v>247</v>
      </c>
      <c r="BT259" s="7" t="s">
        <v>357</v>
      </c>
      <c r="BU259" s="7" t="s">
        <v>163</v>
      </c>
      <c r="BV259" s="9" t="s">
        <v>1154</v>
      </c>
      <c r="BW259" s="9" t="s">
        <v>163</v>
      </c>
    </row>
    <row r="260" spans="1:75" ht="14.25" customHeight="1" x14ac:dyDescent="0.25">
      <c r="A260" s="1">
        <v>627</v>
      </c>
      <c r="B260" s="1" t="s">
        <v>1374</v>
      </c>
      <c r="C260" s="1" t="s">
        <v>1375</v>
      </c>
      <c r="D260" s="1" t="s">
        <v>616</v>
      </c>
      <c r="E260" s="1" t="s">
        <v>1094</v>
      </c>
      <c r="F260" s="1" t="s">
        <v>1249</v>
      </c>
      <c r="G260" s="1"/>
      <c r="H260" s="2">
        <v>1</v>
      </c>
      <c r="I260" s="2">
        <v>1</v>
      </c>
      <c r="J260" s="2">
        <v>1</v>
      </c>
      <c r="K260" s="2">
        <v>1</v>
      </c>
      <c r="L260" s="3" t="s">
        <v>127</v>
      </c>
      <c r="O260" s="4">
        <v>3</v>
      </c>
      <c r="P260" s="4" t="s">
        <v>1319</v>
      </c>
      <c r="Q260" s="4" t="s">
        <v>169</v>
      </c>
      <c r="R260" s="16">
        <v>2800000</v>
      </c>
      <c r="S260" s="6">
        <v>2800000</v>
      </c>
      <c r="T260" s="16">
        <v>470000</v>
      </c>
      <c r="U260" s="6">
        <v>470000</v>
      </c>
      <c r="V260" s="4">
        <v>2010.5</v>
      </c>
      <c r="W260" s="4" t="s">
        <v>425</v>
      </c>
      <c r="X260" s="4"/>
      <c r="Y260" s="7">
        <v>1</v>
      </c>
      <c r="Z260" s="8">
        <v>16000000</v>
      </c>
      <c r="AA260" s="7" t="s">
        <v>1145</v>
      </c>
      <c r="AB260" s="7"/>
      <c r="AC260" s="9">
        <v>1</v>
      </c>
      <c r="AD260" s="10">
        <v>23728090</v>
      </c>
      <c r="AE260" s="9" t="s">
        <v>155</v>
      </c>
      <c r="AF260" s="9"/>
      <c r="AG260" s="11">
        <v>3</v>
      </c>
      <c r="AH260" s="11" t="s">
        <v>630</v>
      </c>
      <c r="AI260" s="11" t="s">
        <v>1376</v>
      </c>
      <c r="AJ260" s="11">
        <v>3</v>
      </c>
      <c r="AK260" s="11" t="s">
        <v>332</v>
      </c>
      <c r="AL260" s="12">
        <v>2</v>
      </c>
      <c r="AM260" s="12" t="s">
        <v>620</v>
      </c>
      <c r="AN260" s="12"/>
      <c r="AO260" s="12"/>
      <c r="AP260" s="12"/>
      <c r="AQ260" s="4">
        <v>3</v>
      </c>
      <c r="AR260" s="4" t="s">
        <v>133</v>
      </c>
      <c r="AS260" s="4"/>
      <c r="AT260" s="13">
        <v>-48.955108642578097</v>
      </c>
      <c r="AU260" s="13">
        <v>-1.3110363483428999</v>
      </c>
      <c r="AV260" s="13">
        <v>-3.0499999523162802</v>
      </c>
      <c r="AW260" s="13">
        <v>0.38600000739097601</v>
      </c>
      <c r="AX260" s="4"/>
      <c r="AY260" s="13">
        <v>-23.2093830108643</v>
      </c>
      <c r="AZ260" s="13">
        <v>-0.84596902132034302</v>
      </c>
      <c r="BA260" s="13">
        <v>-3.0499999523162802</v>
      </c>
      <c r="BB260" s="13">
        <v>1.06650602817535</v>
      </c>
      <c r="BC260" s="4"/>
      <c r="BD260" s="4">
        <v>31</v>
      </c>
      <c r="BE260" s="4" t="s">
        <v>134</v>
      </c>
      <c r="BF260" s="13">
        <v>3.4360001087188698</v>
      </c>
      <c r="BG260" s="4">
        <v>302</v>
      </c>
      <c r="BH260" s="13">
        <v>0.64450001716613803</v>
      </c>
      <c r="BI260" s="13">
        <v>194.85699462890599</v>
      </c>
      <c r="BJ260" s="4"/>
      <c r="BK260" s="14">
        <v>10</v>
      </c>
      <c r="BL260" s="14">
        <v>9</v>
      </c>
      <c r="BM260" s="14">
        <v>10</v>
      </c>
      <c r="BP260" s="15"/>
      <c r="BQ260" s="15"/>
      <c r="BR260" s="2" t="s">
        <v>172</v>
      </c>
      <c r="BS260" s="2" t="s">
        <v>97</v>
      </c>
      <c r="BT260" s="7" t="s">
        <v>357</v>
      </c>
      <c r="BU260" s="7" t="s">
        <v>212</v>
      </c>
      <c r="BV260" s="9" t="s">
        <v>357</v>
      </c>
      <c r="BW260" s="9" t="s">
        <v>163</v>
      </c>
    </row>
    <row r="261" spans="1:75" ht="14.25" customHeight="1" x14ac:dyDescent="0.25">
      <c r="A261" s="1">
        <v>628</v>
      </c>
      <c r="B261" s="1" t="s">
        <v>1377</v>
      </c>
      <c r="C261" s="1" t="s">
        <v>1378</v>
      </c>
      <c r="D261" s="1" t="s">
        <v>616</v>
      </c>
      <c r="E261" s="1" t="s">
        <v>1094</v>
      </c>
      <c r="F261" s="1" t="s">
        <v>1249</v>
      </c>
      <c r="G261" s="1" t="s">
        <v>118</v>
      </c>
      <c r="H261" s="2">
        <v>1</v>
      </c>
      <c r="I261" s="2">
        <v>1</v>
      </c>
      <c r="J261" s="2">
        <v>1</v>
      </c>
      <c r="K261" s="2">
        <v>1</v>
      </c>
      <c r="L261" s="3" t="s">
        <v>127</v>
      </c>
      <c r="O261" s="4">
        <v>3</v>
      </c>
      <c r="P261" s="4" t="s">
        <v>1379</v>
      </c>
      <c r="Q261" s="4"/>
      <c r="R261" s="16">
        <v>3000000</v>
      </c>
      <c r="S261" s="6">
        <v>3000000</v>
      </c>
      <c r="T261" s="16">
        <v>1500000</v>
      </c>
      <c r="U261" s="6">
        <v>1500000</v>
      </c>
      <c r="V261" s="4">
        <v>2005</v>
      </c>
      <c r="W261" s="4" t="s">
        <v>1380</v>
      </c>
      <c r="X261" s="4" t="s">
        <v>1381</v>
      </c>
      <c r="Y261" s="7">
        <v>1</v>
      </c>
      <c r="Z261" s="8">
        <v>12686524</v>
      </c>
      <c r="AA261" s="7" t="s">
        <v>154</v>
      </c>
      <c r="AB261" s="7"/>
      <c r="AC261" s="9">
        <v>1</v>
      </c>
      <c r="AD261" s="10"/>
      <c r="AE261" s="9" t="s">
        <v>82</v>
      </c>
      <c r="AF261" s="9" t="s">
        <v>1246</v>
      </c>
      <c r="AG261" s="11">
        <v>4</v>
      </c>
      <c r="AH261" s="11" t="s">
        <v>630</v>
      </c>
      <c r="AI261" s="11" t="s">
        <v>1382</v>
      </c>
      <c r="AJ261" s="11">
        <v>4</v>
      </c>
      <c r="AK261" s="11" t="s">
        <v>143</v>
      </c>
      <c r="AL261" s="12">
        <v>2</v>
      </c>
      <c r="AM261" s="12" t="s">
        <v>620</v>
      </c>
      <c r="AN261" s="12"/>
      <c r="AO261" s="12"/>
      <c r="AP261" s="12"/>
      <c r="AQ261" s="4">
        <v>4</v>
      </c>
      <c r="AR261" s="4" t="s">
        <v>208</v>
      </c>
      <c r="AS261" s="4"/>
      <c r="AT261" s="13">
        <v>-42.102684020996101</v>
      </c>
      <c r="AU261" s="13">
        <v>-1.3144630193710301</v>
      </c>
      <c r="AV261" s="13">
        <v>-4.3899998664856001</v>
      </c>
      <c r="AW261" s="13">
        <v>1.04999995231628</v>
      </c>
      <c r="AX261" s="4"/>
      <c r="AY261" s="13">
        <v>-30.177684783935501</v>
      </c>
      <c r="AZ261" s="13">
        <v>-1.0516517162323</v>
      </c>
      <c r="BA261" s="13">
        <v>-3.4300000667571999</v>
      </c>
      <c r="BB261" s="13">
        <v>1.3200000524520901</v>
      </c>
      <c r="BC261" s="4"/>
      <c r="BD261" s="4">
        <v>34</v>
      </c>
      <c r="BE261" s="4" t="s">
        <v>210</v>
      </c>
      <c r="BF261" s="13">
        <v>5.4400000572204599</v>
      </c>
      <c r="BG261" s="4">
        <v>97.5</v>
      </c>
      <c r="BH261" s="13">
        <v>4.8699998855590803</v>
      </c>
      <c r="BI261" s="13">
        <v>474.82501220703102</v>
      </c>
      <c r="BJ261" s="4"/>
      <c r="BK261" s="14">
        <v>12</v>
      </c>
      <c r="BL261" s="14">
        <v>10</v>
      </c>
      <c r="BM261" s="14">
        <v>12</v>
      </c>
      <c r="BP261" s="15"/>
      <c r="BQ261" s="15"/>
      <c r="BR261" s="2" t="s">
        <v>161</v>
      </c>
      <c r="BS261" s="2" t="s">
        <v>1383</v>
      </c>
      <c r="BT261" s="7" t="s">
        <v>173</v>
      </c>
      <c r="BU261" s="7" t="s">
        <v>527</v>
      </c>
      <c r="BV261" s="9" t="s">
        <v>163</v>
      </c>
      <c r="BW261" s="9" t="s">
        <v>1154</v>
      </c>
    </row>
    <row r="262" spans="1:75" ht="14.25" customHeight="1" x14ac:dyDescent="0.25">
      <c r="A262" s="1">
        <v>629</v>
      </c>
      <c r="B262" s="1" t="s">
        <v>1384</v>
      </c>
      <c r="C262" s="1" t="s">
        <v>1385</v>
      </c>
      <c r="D262" s="1" t="s">
        <v>616</v>
      </c>
      <c r="E262" s="1" t="s">
        <v>1094</v>
      </c>
      <c r="F262" s="1" t="s">
        <v>1249</v>
      </c>
      <c r="G262" s="1" t="s">
        <v>118</v>
      </c>
      <c r="H262" s="2">
        <v>1</v>
      </c>
      <c r="I262" s="2">
        <v>1</v>
      </c>
      <c r="J262" s="2">
        <v>1</v>
      </c>
      <c r="K262" s="2">
        <v>1</v>
      </c>
      <c r="L262" s="3" t="s">
        <v>127</v>
      </c>
      <c r="O262" s="4">
        <v>4</v>
      </c>
      <c r="P262" s="4" t="s">
        <v>1386</v>
      </c>
      <c r="Q262" s="4" t="s">
        <v>169</v>
      </c>
      <c r="R262" s="16">
        <v>150000</v>
      </c>
      <c r="S262" s="6">
        <v>150000</v>
      </c>
      <c r="T262" s="16">
        <v>130000</v>
      </c>
      <c r="U262" s="6">
        <v>130000</v>
      </c>
      <c r="V262" s="4">
        <v>2010.5</v>
      </c>
      <c r="W262" s="4" t="s">
        <v>425</v>
      </c>
      <c r="X262" s="4"/>
      <c r="Y262" s="7">
        <v>2</v>
      </c>
      <c r="Z262" s="8">
        <v>1758211</v>
      </c>
      <c r="AA262" s="7" t="s">
        <v>130</v>
      </c>
      <c r="AB262" s="7"/>
      <c r="AC262" s="9">
        <v>2</v>
      </c>
      <c r="AD262" s="10">
        <v>3173354</v>
      </c>
      <c r="AE262" s="9" t="s">
        <v>130</v>
      </c>
      <c r="AF262" s="9"/>
      <c r="AG262" s="11">
        <v>3</v>
      </c>
      <c r="AH262" s="11" t="s">
        <v>630</v>
      </c>
      <c r="AI262" s="11"/>
      <c r="AJ262" s="11">
        <v>2</v>
      </c>
      <c r="AK262" s="11" t="s">
        <v>132</v>
      </c>
      <c r="AL262" s="12">
        <v>2</v>
      </c>
      <c r="AM262" s="12" t="s">
        <v>630</v>
      </c>
      <c r="AN262" s="12"/>
      <c r="AO262" s="12">
        <v>2</v>
      </c>
      <c r="AP262" s="12" t="s">
        <v>143</v>
      </c>
      <c r="AQ262" s="4">
        <v>4</v>
      </c>
      <c r="AR262" s="4" t="s">
        <v>133</v>
      </c>
      <c r="AS262" s="4"/>
      <c r="AT262" s="13">
        <v>-38.528415679931598</v>
      </c>
      <c r="AU262" s="13">
        <v>-0.95021498203277599</v>
      </c>
      <c r="AV262" s="13">
        <v>-2.10369801521301</v>
      </c>
      <c r="AW262" s="13">
        <v>0.46799999475479098</v>
      </c>
      <c r="AX262" s="4"/>
      <c r="AY262" s="13">
        <v>-36.591434478759801</v>
      </c>
      <c r="AZ262" s="13">
        <v>-1.9616560935974101</v>
      </c>
      <c r="BA262" s="13">
        <v>-4.3299999237060502</v>
      </c>
      <c r="BB262" s="13">
        <v>2.9396999627351799E-2</v>
      </c>
      <c r="BC262" s="4"/>
      <c r="BD262" s="4">
        <v>23</v>
      </c>
      <c r="BE262" s="4" t="s">
        <v>134</v>
      </c>
      <c r="BF262" s="13">
        <v>2.5716979503631601</v>
      </c>
      <c r="BG262" s="4">
        <v>297.5</v>
      </c>
      <c r="BH262" s="13">
        <v>0.27200001478195202</v>
      </c>
      <c r="BI262" s="13">
        <v>80.946998596191406</v>
      </c>
      <c r="BJ262" s="4"/>
      <c r="BK262" s="14">
        <v>13</v>
      </c>
      <c r="BL262" s="14">
        <v>12</v>
      </c>
      <c r="BM262" s="14">
        <v>13</v>
      </c>
      <c r="BP262" s="15"/>
      <c r="BQ262" s="15"/>
      <c r="BR262" s="2" t="s">
        <v>457</v>
      </c>
      <c r="BS262" s="2" t="s">
        <v>172</v>
      </c>
      <c r="BT262" s="7" t="s">
        <v>147</v>
      </c>
      <c r="BU262" s="7"/>
      <c r="BV262" s="9" t="s">
        <v>357</v>
      </c>
      <c r="BW262" s="9" t="s">
        <v>147</v>
      </c>
    </row>
    <row r="263" spans="1:75" ht="14.25" customHeight="1" x14ac:dyDescent="0.25">
      <c r="A263" s="1">
        <v>630</v>
      </c>
      <c r="B263" s="1" t="s">
        <v>1387</v>
      </c>
      <c r="C263" s="1" t="s">
        <v>1388</v>
      </c>
      <c r="D263" s="1" t="s">
        <v>616</v>
      </c>
      <c r="E263" s="1" t="s">
        <v>1094</v>
      </c>
      <c r="F263" s="1" t="s">
        <v>1249</v>
      </c>
      <c r="G263" s="1"/>
      <c r="H263" s="2">
        <v>1</v>
      </c>
      <c r="I263" s="2">
        <v>1</v>
      </c>
      <c r="J263" s="2">
        <v>1</v>
      </c>
      <c r="K263" s="2">
        <v>1</v>
      </c>
      <c r="L263" s="3" t="s">
        <v>127</v>
      </c>
      <c r="O263" s="4">
        <v>4</v>
      </c>
      <c r="P263" s="4" t="s">
        <v>1389</v>
      </c>
      <c r="Q263" s="4" t="s">
        <v>1390</v>
      </c>
      <c r="R263" s="16">
        <v>55000</v>
      </c>
      <c r="S263" s="6">
        <v>55000</v>
      </c>
      <c r="T263" s="16">
        <v>35000</v>
      </c>
      <c r="U263" s="6">
        <v>35000</v>
      </c>
      <c r="V263" s="4">
        <v>2010.5</v>
      </c>
      <c r="W263" s="4" t="s">
        <v>640</v>
      </c>
      <c r="X263" s="4" t="s">
        <v>1391</v>
      </c>
      <c r="Y263" s="7">
        <v>2</v>
      </c>
      <c r="Z263" s="8">
        <v>2478033</v>
      </c>
      <c r="AA263" s="7" t="s">
        <v>1283</v>
      </c>
      <c r="AB263" s="7" t="s">
        <v>1392</v>
      </c>
      <c r="AC263" s="9">
        <v>2</v>
      </c>
      <c r="AD263" s="10">
        <v>3776517</v>
      </c>
      <c r="AE263" s="9" t="s">
        <v>1283</v>
      </c>
      <c r="AF263" s="9" t="s">
        <v>1392</v>
      </c>
      <c r="AG263" s="11">
        <v>3</v>
      </c>
      <c r="AH263" s="11" t="s">
        <v>630</v>
      </c>
      <c r="AI263" s="11" t="s">
        <v>1393</v>
      </c>
      <c r="AJ263" s="11">
        <v>2</v>
      </c>
      <c r="AK263" s="11" t="s">
        <v>143</v>
      </c>
      <c r="AL263" s="12">
        <v>2</v>
      </c>
      <c r="AM263" s="12" t="s">
        <v>630</v>
      </c>
      <c r="AN263" s="12"/>
      <c r="AO263" s="12">
        <v>1</v>
      </c>
      <c r="AP263" s="12" t="s">
        <v>132</v>
      </c>
      <c r="AQ263" s="4">
        <v>2</v>
      </c>
      <c r="AR263" s="4" t="s">
        <v>133</v>
      </c>
      <c r="AS263" s="4" t="s">
        <v>1394</v>
      </c>
      <c r="AT263" s="13">
        <v>8.5346794128418004</v>
      </c>
      <c r="AU263" s="13">
        <v>0.160621628165245</v>
      </c>
      <c r="AV263" s="13">
        <v>-1.34879899024963</v>
      </c>
      <c r="AW263" s="13">
        <v>1.9000049829482999</v>
      </c>
      <c r="AX263" s="4"/>
      <c r="AY263" s="13">
        <v>1.1587518453598</v>
      </c>
      <c r="AZ263" s="13">
        <v>3.6001957952976199E-2</v>
      </c>
      <c r="BA263" s="13">
        <v>-2.4100000858306898</v>
      </c>
      <c r="BB263" s="13">
        <v>2.7052040100097701</v>
      </c>
      <c r="BC263" s="4"/>
      <c r="BD263" s="4">
        <v>32</v>
      </c>
      <c r="BE263" s="4" t="s">
        <v>134</v>
      </c>
      <c r="BF263" s="13">
        <v>3.2488040924072301</v>
      </c>
      <c r="BG263" s="4">
        <v>58.5</v>
      </c>
      <c r="BH263" s="13">
        <v>1.37000000476837</v>
      </c>
      <c r="BI263" s="13">
        <v>81.019996643066406</v>
      </c>
      <c r="BJ263" s="4"/>
      <c r="BK263" s="14">
        <v>11</v>
      </c>
      <c r="BL263" s="14">
        <v>10</v>
      </c>
      <c r="BM263" s="14">
        <v>11</v>
      </c>
      <c r="BP263" s="15"/>
      <c r="BQ263" s="15"/>
      <c r="BR263" s="2" t="s">
        <v>247</v>
      </c>
      <c r="BS263" s="2" t="s">
        <v>247</v>
      </c>
      <c r="BT263" s="7" t="s">
        <v>357</v>
      </c>
      <c r="BU263" s="7" t="s">
        <v>163</v>
      </c>
      <c r="BV263" s="9" t="s">
        <v>357</v>
      </c>
      <c r="BW263" s="9" t="s">
        <v>163</v>
      </c>
    </row>
    <row r="264" spans="1:75" ht="14.25" customHeight="1" x14ac:dyDescent="0.25">
      <c r="A264" s="1">
        <v>632</v>
      </c>
      <c r="B264" s="1" t="s">
        <v>1395</v>
      </c>
      <c r="C264" s="1" t="s">
        <v>1396</v>
      </c>
      <c r="D264" s="1" t="s">
        <v>616</v>
      </c>
      <c r="E264" s="1" t="s">
        <v>1094</v>
      </c>
      <c r="F264" s="1" t="s">
        <v>1249</v>
      </c>
      <c r="G264" s="1"/>
      <c r="H264" s="2">
        <v>1</v>
      </c>
      <c r="I264" s="2">
        <v>1</v>
      </c>
      <c r="J264" s="2">
        <v>1</v>
      </c>
      <c r="K264" s="2">
        <v>1</v>
      </c>
      <c r="L264" s="3" t="s">
        <v>127</v>
      </c>
      <c r="O264" s="4">
        <v>3</v>
      </c>
      <c r="P264" s="4" t="s">
        <v>1397</v>
      </c>
      <c r="Q264" s="4" t="s">
        <v>169</v>
      </c>
      <c r="R264" s="16">
        <v>1000000</v>
      </c>
      <c r="S264" s="6">
        <v>1000000</v>
      </c>
      <c r="T264" s="16">
        <v>94000</v>
      </c>
      <c r="U264" s="6">
        <v>94000</v>
      </c>
      <c r="V264" s="4">
        <v>1985</v>
      </c>
      <c r="W264" s="4" t="s">
        <v>1398</v>
      </c>
      <c r="X264" s="4"/>
      <c r="Y264" s="7">
        <v>2</v>
      </c>
      <c r="Z264" s="8">
        <v>2801597</v>
      </c>
      <c r="AA264" s="7" t="s">
        <v>283</v>
      </c>
      <c r="AB264" s="7"/>
      <c r="AC264" s="9">
        <v>1</v>
      </c>
      <c r="AD264" s="10">
        <v>7531456</v>
      </c>
      <c r="AE264" s="9" t="s">
        <v>283</v>
      </c>
      <c r="AF264" s="9"/>
      <c r="AG264" s="11">
        <v>3</v>
      </c>
      <c r="AH264" s="11" t="s">
        <v>630</v>
      </c>
      <c r="AI264" s="11" t="s">
        <v>1393</v>
      </c>
      <c r="AJ264" s="11">
        <v>2</v>
      </c>
      <c r="AK264" s="11" t="s">
        <v>143</v>
      </c>
      <c r="AL264" s="12">
        <v>2</v>
      </c>
      <c r="AM264" s="12" t="s">
        <v>630</v>
      </c>
      <c r="AN264" s="12"/>
      <c r="AO264" s="12">
        <v>1</v>
      </c>
      <c r="AP264" s="12" t="s">
        <v>132</v>
      </c>
      <c r="AQ264" s="4">
        <v>2</v>
      </c>
      <c r="AR264" s="4" t="s">
        <v>1399</v>
      </c>
      <c r="AS264" s="4" t="s">
        <v>1400</v>
      </c>
      <c r="AT264" s="13"/>
      <c r="AU264" s="13"/>
      <c r="AV264" s="13"/>
      <c r="AW264" s="13"/>
      <c r="AX264" s="4"/>
      <c r="AY264" s="13"/>
      <c r="AZ264" s="13"/>
      <c r="BA264" s="13"/>
      <c r="BB264" s="13"/>
      <c r="BC264" s="4"/>
      <c r="BD264" s="4"/>
      <c r="BE264" s="4"/>
      <c r="BF264" s="13"/>
      <c r="BG264" s="4"/>
      <c r="BH264" s="13"/>
      <c r="BI264" s="13"/>
      <c r="BJ264" s="4"/>
      <c r="BK264" s="14">
        <v>10</v>
      </c>
      <c r="BL264" s="14">
        <v>8</v>
      </c>
      <c r="BM264" s="14">
        <v>10</v>
      </c>
      <c r="BP264" s="15"/>
      <c r="BQ264" s="15"/>
      <c r="BR264" s="2" t="s">
        <v>247</v>
      </c>
      <c r="BS264" s="2" t="s">
        <v>247</v>
      </c>
      <c r="BT264" s="7" t="s">
        <v>357</v>
      </c>
      <c r="BU264" s="7" t="s">
        <v>163</v>
      </c>
      <c r="BV264" s="9" t="s">
        <v>357</v>
      </c>
      <c r="BW264" s="9" t="s">
        <v>163</v>
      </c>
    </row>
    <row r="265" spans="1:75" ht="14.25" customHeight="1" x14ac:dyDescent="0.25">
      <c r="A265" s="1">
        <v>633</v>
      </c>
      <c r="B265" s="1" t="s">
        <v>1401</v>
      </c>
      <c r="C265" s="1" t="s">
        <v>1402</v>
      </c>
      <c r="D265" s="1" t="s">
        <v>616</v>
      </c>
      <c r="E265" s="1" t="s">
        <v>1094</v>
      </c>
      <c r="F265" s="1" t="s">
        <v>1249</v>
      </c>
      <c r="G265" s="1" t="s">
        <v>118</v>
      </c>
      <c r="H265" s="2">
        <v>0</v>
      </c>
      <c r="I265" s="2">
        <v>1</v>
      </c>
      <c r="J265" s="2">
        <v>1</v>
      </c>
      <c r="K265" s="2">
        <v>1</v>
      </c>
      <c r="L265" s="3" t="s">
        <v>127</v>
      </c>
      <c r="O265" s="4">
        <v>4</v>
      </c>
      <c r="P265" s="4" t="s">
        <v>225</v>
      </c>
      <c r="Q265" s="4" t="s">
        <v>1403</v>
      </c>
      <c r="R265" s="16">
        <v>180000</v>
      </c>
      <c r="S265" s="6">
        <v>180000</v>
      </c>
      <c r="T265" s="17"/>
      <c r="U265" s="6"/>
      <c r="V265" s="4"/>
      <c r="W265" s="4"/>
      <c r="X265" s="4"/>
      <c r="Y265" s="7">
        <v>5</v>
      </c>
      <c r="Z265" s="8">
        <v>50024</v>
      </c>
      <c r="AA265" s="7" t="s">
        <v>130</v>
      </c>
      <c r="AB265" s="7"/>
      <c r="AC265" s="9">
        <v>3</v>
      </c>
      <c r="AD265" s="10">
        <v>861309</v>
      </c>
      <c r="AE265" s="9" t="s">
        <v>130</v>
      </c>
      <c r="AF265" s="9"/>
      <c r="AG265" s="11">
        <v>4</v>
      </c>
      <c r="AH265" s="11" t="s">
        <v>620</v>
      </c>
      <c r="AI265" s="11"/>
      <c r="AJ265" s="11"/>
      <c r="AK265" s="11"/>
      <c r="AL265" s="12">
        <v>3</v>
      </c>
      <c r="AM265" s="12" t="s">
        <v>620</v>
      </c>
      <c r="AN265" s="12"/>
      <c r="AO265" s="12"/>
      <c r="AP265" s="12"/>
      <c r="AQ265" s="4">
        <v>3</v>
      </c>
      <c r="AR265" s="4" t="s">
        <v>93</v>
      </c>
      <c r="AS265" s="4" t="s">
        <v>1053</v>
      </c>
      <c r="AT265" s="13"/>
      <c r="AU265" s="13"/>
      <c r="AV265" s="13"/>
      <c r="AW265" s="13"/>
      <c r="AX265" s="4"/>
      <c r="AY265" s="13"/>
      <c r="AZ265" s="13"/>
      <c r="BA265" s="13"/>
      <c r="BB265" s="13"/>
      <c r="BC265" s="4"/>
      <c r="BD265" s="4"/>
      <c r="BE265" s="4"/>
      <c r="BF265" s="13"/>
      <c r="BG265" s="4"/>
      <c r="BH265" s="13"/>
      <c r="BI265" s="13"/>
      <c r="BJ265" s="4"/>
      <c r="BK265" s="14">
        <v>16</v>
      </c>
      <c r="BL265" s="14">
        <v>13</v>
      </c>
      <c r="BM265" s="14">
        <v>16</v>
      </c>
      <c r="BN265" s="3" t="s">
        <v>86</v>
      </c>
      <c r="BO265" s="3" t="s">
        <v>120</v>
      </c>
      <c r="BP265" s="15"/>
      <c r="BQ265" s="15"/>
      <c r="BR265" s="2" t="s">
        <v>162</v>
      </c>
      <c r="BS265" s="2" t="s">
        <v>162</v>
      </c>
      <c r="BT265" s="7" t="s">
        <v>357</v>
      </c>
      <c r="BU265" s="7" t="s">
        <v>163</v>
      </c>
      <c r="BV265" s="9" t="s">
        <v>357</v>
      </c>
      <c r="BW265" s="9" t="s">
        <v>163</v>
      </c>
    </row>
    <row r="266" spans="1:75" ht="14.25" customHeight="1" x14ac:dyDescent="0.25">
      <c r="A266" s="1">
        <v>634</v>
      </c>
      <c r="B266" s="1" t="s">
        <v>1404</v>
      </c>
      <c r="C266" s="1" t="s">
        <v>1405</v>
      </c>
      <c r="D266" s="1" t="s">
        <v>616</v>
      </c>
      <c r="E266" s="1" t="s">
        <v>1094</v>
      </c>
      <c r="F266" s="1" t="s">
        <v>1249</v>
      </c>
      <c r="G266" s="1"/>
      <c r="H266" s="2">
        <v>1</v>
      </c>
      <c r="I266" s="2">
        <v>1</v>
      </c>
      <c r="J266" s="2">
        <v>1</v>
      </c>
      <c r="K266" s="2">
        <v>1</v>
      </c>
      <c r="L266" s="3" t="s">
        <v>127</v>
      </c>
      <c r="O266" s="4">
        <v>3</v>
      </c>
      <c r="P266" s="4" t="s">
        <v>1406</v>
      </c>
      <c r="Q266" s="4" t="s">
        <v>169</v>
      </c>
      <c r="R266" s="16">
        <v>800000</v>
      </c>
      <c r="S266" s="6">
        <v>800000</v>
      </c>
      <c r="T266" s="16">
        <v>60000</v>
      </c>
      <c r="U266" s="6">
        <v>60000</v>
      </c>
      <c r="V266" s="4">
        <v>1976</v>
      </c>
      <c r="W266" s="4" t="s">
        <v>1407</v>
      </c>
      <c r="X266" s="4"/>
      <c r="Y266" s="7">
        <v>1</v>
      </c>
      <c r="Z266" s="8">
        <v>14296527</v>
      </c>
      <c r="AA266" s="7" t="s">
        <v>130</v>
      </c>
      <c r="AB266" s="7"/>
      <c r="AC266" s="9">
        <v>1</v>
      </c>
      <c r="AD266" s="10">
        <v>14304416</v>
      </c>
      <c r="AE266" s="9" t="s">
        <v>130</v>
      </c>
      <c r="AF266" s="9"/>
      <c r="AG266" s="11">
        <v>4</v>
      </c>
      <c r="AH266" s="11" t="s">
        <v>630</v>
      </c>
      <c r="AI266" s="11"/>
      <c r="AJ266" s="11">
        <v>2</v>
      </c>
      <c r="AK266" s="11" t="s">
        <v>132</v>
      </c>
      <c r="AL266" s="12">
        <v>3</v>
      </c>
      <c r="AM266" s="12" t="s">
        <v>630</v>
      </c>
      <c r="AN266" s="12"/>
      <c r="AO266" s="12">
        <v>1</v>
      </c>
      <c r="AP266" s="12" t="s">
        <v>132</v>
      </c>
      <c r="AQ266" s="4">
        <v>4</v>
      </c>
      <c r="AR266" s="4" t="s">
        <v>133</v>
      </c>
      <c r="AS266" s="4" t="s">
        <v>1408</v>
      </c>
      <c r="AT266" s="13">
        <v>-66.185241699218807</v>
      </c>
      <c r="AU266" s="13">
        <v>-2.1030261516571001</v>
      </c>
      <c r="AV266" s="13">
        <v>-4.9699997901916504</v>
      </c>
      <c r="AW266" s="13">
        <v>2.8009999077767099E-3</v>
      </c>
      <c r="AX266" s="4"/>
      <c r="AY266" s="13">
        <v>-16.478012084960898</v>
      </c>
      <c r="AZ266" s="13">
        <v>-0.85276496410369895</v>
      </c>
      <c r="BA266" s="13">
        <v>-3.7799999713897701</v>
      </c>
      <c r="BB266" s="13">
        <v>1.9546990394592301</v>
      </c>
      <c r="BC266" s="4"/>
      <c r="BD266" s="4">
        <v>21</v>
      </c>
      <c r="BE266" s="4" t="s">
        <v>134</v>
      </c>
      <c r="BF266" s="13">
        <v>4.9728012084960902</v>
      </c>
      <c r="BG266" s="4">
        <v>60.5</v>
      </c>
      <c r="BH266" s="13">
        <v>0.69950002431869496</v>
      </c>
      <c r="BI266" s="13">
        <v>42.209499359130902</v>
      </c>
      <c r="BJ266" s="4"/>
      <c r="BK266" s="14">
        <v>12</v>
      </c>
      <c r="BL266" s="14">
        <v>11</v>
      </c>
      <c r="BM266" s="14">
        <v>12</v>
      </c>
      <c r="BN266" s="3" t="s">
        <v>255</v>
      </c>
      <c r="BP266" s="15"/>
      <c r="BQ266" s="15"/>
      <c r="BR266" s="2" t="s">
        <v>247</v>
      </c>
      <c r="BS266" s="2" t="s">
        <v>247</v>
      </c>
      <c r="BT266" s="7" t="s">
        <v>357</v>
      </c>
      <c r="BU266" s="7" t="s">
        <v>148</v>
      </c>
      <c r="BV266" s="9" t="s">
        <v>357</v>
      </c>
      <c r="BW266" s="9" t="s">
        <v>148</v>
      </c>
    </row>
    <row r="267" spans="1:75" ht="14.25" customHeight="1" x14ac:dyDescent="0.25">
      <c r="A267" s="1">
        <v>635</v>
      </c>
      <c r="B267" s="1" t="s">
        <v>1409</v>
      </c>
      <c r="C267" s="1" t="s">
        <v>1410</v>
      </c>
      <c r="D267" s="1" t="s">
        <v>616</v>
      </c>
      <c r="E267" s="1" t="s">
        <v>1411</v>
      </c>
      <c r="F267" s="1" t="s">
        <v>1412</v>
      </c>
      <c r="G267" s="1"/>
      <c r="H267" s="2">
        <v>0</v>
      </c>
      <c r="I267" s="2">
        <v>0</v>
      </c>
      <c r="J267" s="2">
        <v>0</v>
      </c>
      <c r="K267" s="2">
        <v>1</v>
      </c>
      <c r="L267" s="3" t="s">
        <v>80</v>
      </c>
      <c r="O267" s="4">
        <v>3</v>
      </c>
      <c r="P267" s="4" t="s">
        <v>81</v>
      </c>
      <c r="Q267" s="4"/>
      <c r="R267" s="5"/>
      <c r="S267" s="6"/>
      <c r="T267" s="17"/>
      <c r="U267" s="6"/>
      <c r="V267" s="4"/>
      <c r="W267" s="4"/>
      <c r="X267" s="4"/>
      <c r="Y267" s="7">
        <v>1</v>
      </c>
      <c r="Z267" s="8">
        <v>8455048</v>
      </c>
      <c r="AA267" s="7" t="s">
        <v>130</v>
      </c>
      <c r="AB267" s="7"/>
      <c r="AC267" s="9">
        <v>1</v>
      </c>
      <c r="AD267" s="10">
        <v>8455048</v>
      </c>
      <c r="AE267" s="9" t="s">
        <v>130</v>
      </c>
      <c r="AF267" s="9"/>
      <c r="AG267" s="11">
        <v>4</v>
      </c>
      <c r="AH267" s="11" t="s">
        <v>93</v>
      </c>
      <c r="AI267" s="11"/>
      <c r="AJ267" s="11"/>
      <c r="AK267" s="11"/>
      <c r="AL267" s="12">
        <v>4</v>
      </c>
      <c r="AM267" s="12" t="s">
        <v>93</v>
      </c>
      <c r="AN267" s="12"/>
      <c r="AO267" s="12"/>
      <c r="AP267" s="12"/>
      <c r="AQ267" s="4">
        <v>4</v>
      </c>
      <c r="AR267" s="4" t="s">
        <v>93</v>
      </c>
      <c r="AS267" s="4" t="s">
        <v>1050</v>
      </c>
      <c r="AT267" s="13"/>
      <c r="AU267" s="13"/>
      <c r="AV267" s="13"/>
      <c r="AW267" s="13"/>
      <c r="AX267" s="4"/>
      <c r="AY267" s="13"/>
      <c r="AZ267" s="13"/>
      <c r="BA267" s="13"/>
      <c r="BB267" s="13"/>
      <c r="BC267" s="4"/>
      <c r="BD267" s="4"/>
      <c r="BE267" s="4"/>
      <c r="BF267" s="13"/>
      <c r="BG267" s="4"/>
      <c r="BH267" s="13"/>
      <c r="BI267" s="13"/>
      <c r="BJ267" s="4"/>
      <c r="BK267" s="14">
        <v>12</v>
      </c>
      <c r="BL267" s="14">
        <v>12</v>
      </c>
      <c r="BM267" s="14">
        <v>12</v>
      </c>
      <c r="BP267" s="15"/>
      <c r="BQ267" s="15"/>
      <c r="BR267" s="2" t="s">
        <v>97</v>
      </c>
      <c r="BS267" s="2" t="s">
        <v>97</v>
      </c>
      <c r="BT267" s="7" t="s">
        <v>240</v>
      </c>
      <c r="BU267" s="7" t="s">
        <v>98</v>
      </c>
      <c r="BV267" s="9" t="s">
        <v>240</v>
      </c>
      <c r="BW267" s="9" t="s">
        <v>98</v>
      </c>
    </row>
    <row r="268" spans="1:75" ht="14.25" customHeight="1" x14ac:dyDescent="0.25">
      <c r="A268" s="1">
        <v>636</v>
      </c>
      <c r="B268" s="1" t="s">
        <v>1413</v>
      </c>
      <c r="C268" s="1" t="s">
        <v>1414</v>
      </c>
      <c r="D268" s="1" t="s">
        <v>616</v>
      </c>
      <c r="E268" s="1" t="s">
        <v>1415</v>
      </c>
      <c r="F268" s="1" t="s">
        <v>1416</v>
      </c>
      <c r="G268" s="1"/>
      <c r="H268" s="2">
        <v>0</v>
      </c>
      <c r="I268" s="2">
        <v>0</v>
      </c>
      <c r="J268" s="2">
        <v>1</v>
      </c>
      <c r="K268" s="2">
        <v>1</v>
      </c>
      <c r="L268" s="3" t="s">
        <v>127</v>
      </c>
      <c r="O268" s="4">
        <v>4</v>
      </c>
      <c r="P268" s="4" t="s">
        <v>1417</v>
      </c>
      <c r="Q268" s="4" t="s">
        <v>1418</v>
      </c>
      <c r="R268" s="5" t="s">
        <v>1419</v>
      </c>
      <c r="S268" s="6">
        <v>400000</v>
      </c>
      <c r="T268" s="17"/>
      <c r="U268" s="6"/>
      <c r="V268" s="4"/>
      <c r="W268" s="4"/>
      <c r="X268" s="4"/>
      <c r="Y268" s="7">
        <v>3</v>
      </c>
      <c r="Z268" s="8"/>
      <c r="AA268" s="7" t="s">
        <v>1331</v>
      </c>
      <c r="AB268" s="7"/>
      <c r="AC268" s="9">
        <v>2</v>
      </c>
      <c r="AD268" s="10"/>
      <c r="AE268" s="9" t="s">
        <v>1331</v>
      </c>
      <c r="AF268" s="9"/>
      <c r="AG268" s="11">
        <v>4</v>
      </c>
      <c r="AH268" s="11" t="s">
        <v>83</v>
      </c>
      <c r="AI268" s="11"/>
      <c r="AJ268" s="11"/>
      <c r="AK268" s="11"/>
      <c r="AL268" s="12">
        <v>3</v>
      </c>
      <c r="AM268" s="12" t="s">
        <v>83</v>
      </c>
      <c r="AN268" s="12"/>
      <c r="AO268" s="12"/>
      <c r="AP268" s="12"/>
      <c r="AQ268" s="4">
        <v>4</v>
      </c>
      <c r="AR268" s="4" t="s">
        <v>83</v>
      </c>
      <c r="AS268" s="4"/>
      <c r="AT268" s="13"/>
      <c r="AU268" s="13"/>
      <c r="AV268" s="13"/>
      <c r="AW268" s="13"/>
      <c r="AX268" s="4"/>
      <c r="AY268" s="13"/>
      <c r="AZ268" s="13"/>
      <c r="BA268" s="13"/>
      <c r="BB268" s="13"/>
      <c r="BC268" s="4"/>
      <c r="BD268" s="4"/>
      <c r="BE268" s="4"/>
      <c r="BF268" s="13"/>
      <c r="BG268" s="4"/>
      <c r="BH268" s="13"/>
      <c r="BI268" s="13"/>
      <c r="BJ268" s="4"/>
      <c r="BK268" s="14">
        <v>15</v>
      </c>
      <c r="BL268" s="14">
        <v>13</v>
      </c>
      <c r="BM268" s="14">
        <v>15</v>
      </c>
      <c r="BN268" s="3" t="s">
        <v>86</v>
      </c>
      <c r="BP268" s="15"/>
      <c r="BQ268" s="15"/>
      <c r="BR268" s="2" t="s">
        <v>1325</v>
      </c>
      <c r="BS268" s="2" t="s">
        <v>1325</v>
      </c>
      <c r="BT268" s="7" t="s">
        <v>1326</v>
      </c>
      <c r="BU268" s="7"/>
      <c r="BV268" s="9" t="s">
        <v>1154</v>
      </c>
      <c r="BW268" s="9"/>
    </row>
    <row r="269" spans="1:75" ht="14.25" customHeight="1" x14ac:dyDescent="0.25">
      <c r="A269" s="1">
        <v>637</v>
      </c>
      <c r="B269" s="1" t="s">
        <v>1420</v>
      </c>
      <c r="C269" s="1" t="s">
        <v>1421</v>
      </c>
      <c r="D269" s="1" t="s">
        <v>616</v>
      </c>
      <c r="E269" s="1" t="s">
        <v>1415</v>
      </c>
      <c r="F269" s="1" t="s">
        <v>1416</v>
      </c>
      <c r="G269" s="1"/>
      <c r="H269" s="2">
        <v>0</v>
      </c>
      <c r="I269" s="2">
        <v>0</v>
      </c>
      <c r="J269" s="2">
        <v>1</v>
      </c>
      <c r="K269" s="2">
        <v>1</v>
      </c>
      <c r="L269" s="3" t="s">
        <v>127</v>
      </c>
      <c r="O269" s="4">
        <v>5</v>
      </c>
      <c r="P269" s="4" t="s">
        <v>1145</v>
      </c>
      <c r="Q269" s="4"/>
      <c r="R269" s="16">
        <v>8200</v>
      </c>
      <c r="S269" s="6">
        <v>8200</v>
      </c>
      <c r="T269" s="17"/>
      <c r="U269" s="6"/>
      <c r="V269" s="4"/>
      <c r="W269" s="4"/>
      <c r="X269" s="4"/>
      <c r="Y269" s="7">
        <v>5</v>
      </c>
      <c r="Z269" s="8">
        <v>24500</v>
      </c>
      <c r="AA269" s="7" t="s">
        <v>1145</v>
      </c>
      <c r="AB269" s="7" t="s">
        <v>1422</v>
      </c>
      <c r="AC269" s="9">
        <v>1</v>
      </c>
      <c r="AD269" s="10"/>
      <c r="AE269" s="9" t="s">
        <v>82</v>
      </c>
      <c r="AF269" s="9" t="s">
        <v>1246</v>
      </c>
      <c r="AG269" s="11">
        <v>4</v>
      </c>
      <c r="AH269" s="11" t="s">
        <v>1048</v>
      </c>
      <c r="AI269" s="11"/>
      <c r="AJ269" s="11"/>
      <c r="AK269" s="11"/>
      <c r="AL269" s="12">
        <v>3</v>
      </c>
      <c r="AM269" s="12" t="s">
        <v>1423</v>
      </c>
      <c r="AN269" s="12" t="s">
        <v>1424</v>
      </c>
      <c r="AO269" s="12"/>
      <c r="AP269" s="12"/>
      <c r="AQ269" s="4">
        <v>3</v>
      </c>
      <c r="AR269" s="4" t="s">
        <v>621</v>
      </c>
      <c r="AS269" s="4"/>
      <c r="AT269" s="13"/>
      <c r="AU269" s="13"/>
      <c r="AV269" s="13"/>
      <c r="AW269" s="13"/>
      <c r="AX269" s="4"/>
      <c r="AY269" s="13"/>
      <c r="AZ269" s="13"/>
      <c r="BA269" s="13"/>
      <c r="BB269" s="13"/>
      <c r="BC269" s="4"/>
      <c r="BD269" s="4"/>
      <c r="BE269" s="4"/>
      <c r="BF269" s="13"/>
      <c r="BG269" s="4"/>
      <c r="BH269" s="13"/>
      <c r="BI269" s="13"/>
      <c r="BJ269" s="4"/>
      <c r="BK269" s="14">
        <v>17</v>
      </c>
      <c r="BL269" s="14">
        <v>12</v>
      </c>
      <c r="BM269" s="14">
        <v>17</v>
      </c>
      <c r="BN269" s="3" t="s">
        <v>312</v>
      </c>
      <c r="BP269" s="15"/>
      <c r="BQ269" s="15"/>
      <c r="BR269" s="2" t="s">
        <v>1325</v>
      </c>
      <c r="BS269" s="2" t="s">
        <v>1325</v>
      </c>
      <c r="BT269" s="7" t="s">
        <v>1326</v>
      </c>
      <c r="BU269" s="7"/>
      <c r="BV269" s="9" t="s">
        <v>1154</v>
      </c>
      <c r="BW269" s="9" t="s">
        <v>163</v>
      </c>
    </row>
    <row r="270" spans="1:75" ht="14.25" customHeight="1" x14ac:dyDescent="0.25">
      <c r="A270" s="1">
        <v>638</v>
      </c>
      <c r="B270" s="1" t="s">
        <v>1425</v>
      </c>
      <c r="C270" s="1" t="s">
        <v>1426</v>
      </c>
      <c r="D270" s="1" t="s">
        <v>616</v>
      </c>
      <c r="E270" s="1" t="s">
        <v>1415</v>
      </c>
      <c r="F270" s="1" t="s">
        <v>1416</v>
      </c>
      <c r="G270" s="1"/>
      <c r="H270" s="2">
        <v>0</v>
      </c>
      <c r="I270" s="2">
        <v>0</v>
      </c>
      <c r="J270" s="2">
        <v>1</v>
      </c>
      <c r="K270" s="2">
        <v>1</v>
      </c>
      <c r="L270" s="3" t="s">
        <v>127</v>
      </c>
      <c r="O270" s="4">
        <v>4</v>
      </c>
      <c r="P270" s="4" t="s">
        <v>1427</v>
      </c>
      <c r="Q270" s="4" t="s">
        <v>1428</v>
      </c>
      <c r="R270" s="16">
        <v>70000</v>
      </c>
      <c r="S270" s="6">
        <v>70000</v>
      </c>
      <c r="T270" s="17"/>
      <c r="U270" s="6"/>
      <c r="V270" s="4"/>
      <c r="W270" s="4"/>
      <c r="X270" s="4"/>
      <c r="Y270" s="7">
        <v>3</v>
      </c>
      <c r="Z270" s="8"/>
      <c r="AA270" s="7" t="s">
        <v>1331</v>
      </c>
      <c r="AB270" s="7"/>
      <c r="AC270" s="9">
        <v>3</v>
      </c>
      <c r="AD270" s="10"/>
      <c r="AE270" s="9" t="s">
        <v>1331</v>
      </c>
      <c r="AF270" s="9"/>
      <c r="AG270" s="11">
        <v>3</v>
      </c>
      <c r="AH270" s="11" t="s">
        <v>1048</v>
      </c>
      <c r="AI270" s="11"/>
      <c r="AJ270" s="11"/>
      <c r="AK270" s="11"/>
      <c r="AL270" s="12">
        <v>3</v>
      </c>
      <c r="AM270" s="12" t="s">
        <v>1048</v>
      </c>
      <c r="AN270" s="12"/>
      <c r="AO270" s="12"/>
      <c r="AP270" s="12"/>
      <c r="AQ270" s="4">
        <v>3</v>
      </c>
      <c r="AR270" s="4" t="s">
        <v>621</v>
      </c>
      <c r="AS270" s="4"/>
      <c r="AT270" s="13"/>
      <c r="AU270" s="13"/>
      <c r="AV270" s="13"/>
      <c r="AW270" s="13"/>
      <c r="AX270" s="4"/>
      <c r="AY270" s="13"/>
      <c r="AZ270" s="13"/>
      <c r="BA270" s="13"/>
      <c r="BB270" s="13"/>
      <c r="BC270" s="4"/>
      <c r="BD270" s="4"/>
      <c r="BE270" s="4"/>
      <c r="BF270" s="13"/>
      <c r="BG270" s="4"/>
      <c r="BH270" s="13"/>
      <c r="BI270" s="13"/>
      <c r="BJ270" s="4"/>
      <c r="BK270" s="14">
        <v>13</v>
      </c>
      <c r="BL270" s="14">
        <v>13</v>
      </c>
      <c r="BM270" s="14">
        <v>13</v>
      </c>
      <c r="BP270" s="15"/>
      <c r="BQ270" s="15"/>
      <c r="BR270" s="2" t="s">
        <v>1353</v>
      </c>
      <c r="BS270" s="2" t="s">
        <v>1353</v>
      </c>
      <c r="BT270" s="7" t="s">
        <v>1326</v>
      </c>
      <c r="BU270" s="7"/>
      <c r="BV270" s="9" t="s">
        <v>1154</v>
      </c>
      <c r="BW270" s="9"/>
    </row>
    <row r="271" spans="1:75" ht="14.25" customHeight="1" x14ac:dyDescent="0.25">
      <c r="A271" s="1">
        <v>639</v>
      </c>
      <c r="B271" s="1" t="s">
        <v>1429</v>
      </c>
      <c r="C271" s="1" t="s">
        <v>1430</v>
      </c>
      <c r="D271" s="1" t="s">
        <v>616</v>
      </c>
      <c r="E271" s="1" t="s">
        <v>1431</v>
      </c>
      <c r="F271" s="1" t="s">
        <v>1432</v>
      </c>
      <c r="G271" s="1" t="s">
        <v>118</v>
      </c>
      <c r="H271" s="2">
        <v>1</v>
      </c>
      <c r="I271" s="2">
        <v>1</v>
      </c>
      <c r="J271" s="2">
        <v>1</v>
      </c>
      <c r="K271" s="2">
        <v>0</v>
      </c>
      <c r="L271" s="3" t="s">
        <v>127</v>
      </c>
      <c r="O271" s="4">
        <v>3</v>
      </c>
      <c r="P271" s="4" t="s">
        <v>639</v>
      </c>
      <c r="Q271" s="4" t="s">
        <v>169</v>
      </c>
      <c r="R271" s="16">
        <v>1400000</v>
      </c>
      <c r="S271" s="6">
        <v>1400000</v>
      </c>
      <c r="T271" s="16">
        <v>360000</v>
      </c>
      <c r="U271" s="6">
        <v>360000</v>
      </c>
      <c r="V271" s="4">
        <v>2010.5</v>
      </c>
      <c r="W271" s="4" t="s">
        <v>640</v>
      </c>
      <c r="X271" s="4"/>
      <c r="Y271" s="7">
        <v>1</v>
      </c>
      <c r="Z271" s="8">
        <v>19470400</v>
      </c>
      <c r="AA271" s="7" t="s">
        <v>154</v>
      </c>
      <c r="AB271" s="7"/>
      <c r="AC271" s="9">
        <v>2</v>
      </c>
      <c r="AD271" s="10">
        <v>3304828</v>
      </c>
      <c r="AE271" s="9" t="s">
        <v>155</v>
      </c>
      <c r="AF271" s="9"/>
      <c r="AG271" s="11">
        <v>3</v>
      </c>
      <c r="AH271" s="11" t="s">
        <v>518</v>
      </c>
      <c r="AI271" s="11" t="s">
        <v>519</v>
      </c>
      <c r="AJ271" s="11">
        <v>3</v>
      </c>
      <c r="AK271" s="11" t="s">
        <v>132</v>
      </c>
      <c r="AL271" s="12">
        <v>3</v>
      </c>
      <c r="AM271" s="12" t="s">
        <v>630</v>
      </c>
      <c r="AN271" s="12" t="s">
        <v>1433</v>
      </c>
      <c r="AO271" s="12">
        <v>2</v>
      </c>
      <c r="AP271" s="12" t="s">
        <v>143</v>
      </c>
      <c r="AQ271" s="4">
        <v>1</v>
      </c>
      <c r="AR271" s="4" t="s">
        <v>187</v>
      </c>
      <c r="AS271" s="4"/>
      <c r="AT271" s="13">
        <v>139.22912597656301</v>
      </c>
      <c r="AU271" s="13">
        <v>1.79604351520538</v>
      </c>
      <c r="AV271" s="13">
        <v>1.3354187011718801</v>
      </c>
      <c r="AW271" s="13">
        <v>2.2078161239624001</v>
      </c>
      <c r="AX271" s="4">
        <v>1</v>
      </c>
      <c r="AY271" s="13">
        <v>79.6688232421875</v>
      </c>
      <c r="AZ271" s="13">
        <v>2.9730641841888401</v>
      </c>
      <c r="BA271" s="13">
        <v>1.8130620718002299</v>
      </c>
      <c r="BB271" s="13">
        <v>4.1695261001586896</v>
      </c>
      <c r="BC271" s="4">
        <v>1</v>
      </c>
      <c r="BD271" s="4">
        <v>25</v>
      </c>
      <c r="BE271" s="4"/>
      <c r="BF271" s="13">
        <v>0.87239742279052701</v>
      </c>
      <c r="BG271" s="4"/>
      <c r="BH271" s="13"/>
      <c r="BI271" s="13"/>
      <c r="BJ271" s="4"/>
      <c r="BK271" s="14">
        <v>8</v>
      </c>
      <c r="BL271" s="14">
        <v>9</v>
      </c>
      <c r="BM271" s="14">
        <v>9</v>
      </c>
      <c r="BP271" s="15"/>
      <c r="BQ271" s="15"/>
      <c r="BR271" s="2" t="s">
        <v>161</v>
      </c>
      <c r="BS271" s="2" t="s">
        <v>172</v>
      </c>
      <c r="BT271" s="7" t="s">
        <v>173</v>
      </c>
      <c r="BU271" s="7" t="s">
        <v>303</v>
      </c>
      <c r="BV271" s="9" t="s">
        <v>163</v>
      </c>
      <c r="BW271" s="9"/>
    </row>
    <row r="272" spans="1:75" ht="14.25" customHeight="1" x14ac:dyDescent="0.25">
      <c r="A272" s="1">
        <v>640</v>
      </c>
      <c r="B272" s="1" t="s">
        <v>1434</v>
      </c>
      <c r="C272" s="1" t="s">
        <v>1435</v>
      </c>
      <c r="D272" s="1" t="s">
        <v>616</v>
      </c>
      <c r="E272" s="1" t="s">
        <v>1431</v>
      </c>
      <c r="F272" s="1" t="s">
        <v>1432</v>
      </c>
      <c r="G272" s="1"/>
      <c r="H272" s="2">
        <v>1</v>
      </c>
      <c r="I272" s="2">
        <v>1</v>
      </c>
      <c r="J272" s="2">
        <v>0</v>
      </c>
      <c r="K272" s="2">
        <v>0</v>
      </c>
      <c r="L272" s="3" t="s">
        <v>127</v>
      </c>
      <c r="O272" s="4">
        <v>3</v>
      </c>
      <c r="P272" s="4" t="s">
        <v>1039</v>
      </c>
      <c r="Q272" s="4" t="s">
        <v>1436</v>
      </c>
      <c r="R272" s="5" t="s">
        <v>1437</v>
      </c>
      <c r="S272" s="6">
        <v>590000</v>
      </c>
      <c r="T272" s="17"/>
      <c r="U272" s="6"/>
      <c r="V272" s="4"/>
      <c r="W272" s="4"/>
      <c r="X272" s="4"/>
      <c r="Y272" s="7">
        <v>1</v>
      </c>
      <c r="Z272" s="8">
        <v>18924618</v>
      </c>
      <c r="AA272" s="7" t="s">
        <v>283</v>
      </c>
      <c r="AB272" s="7"/>
      <c r="AC272" s="9">
        <v>2</v>
      </c>
      <c r="AD272" s="10">
        <v>3912157</v>
      </c>
      <c r="AE272" s="9" t="s">
        <v>283</v>
      </c>
      <c r="AF272" s="9" t="s">
        <v>1438</v>
      </c>
      <c r="AG272" s="11">
        <v>3</v>
      </c>
      <c r="AH272" s="11" t="s">
        <v>620</v>
      </c>
      <c r="AI272" s="11"/>
      <c r="AJ272" s="11"/>
      <c r="AK272" s="11"/>
      <c r="AL272" s="12">
        <v>3</v>
      </c>
      <c r="AM272" s="12" t="s">
        <v>620</v>
      </c>
      <c r="AN272" s="12"/>
      <c r="AO272" s="12"/>
      <c r="AP272" s="12"/>
      <c r="AQ272" s="4">
        <v>3</v>
      </c>
      <c r="AR272" s="4" t="s">
        <v>620</v>
      </c>
      <c r="AS272" s="4"/>
      <c r="AT272" s="13"/>
      <c r="AU272" s="13"/>
      <c r="AV272" s="13"/>
      <c r="AW272" s="13"/>
      <c r="AX272" s="4"/>
      <c r="AY272" s="13"/>
      <c r="AZ272" s="13"/>
      <c r="BA272" s="13"/>
      <c r="BB272" s="13"/>
      <c r="BC272" s="4"/>
      <c r="BD272" s="4"/>
      <c r="BE272" s="4"/>
      <c r="BF272" s="13"/>
      <c r="BG272" s="4"/>
      <c r="BH272" s="13"/>
      <c r="BI272" s="13"/>
      <c r="BJ272" s="4"/>
      <c r="BK272" s="14">
        <v>10</v>
      </c>
      <c r="BL272" s="14">
        <v>11</v>
      </c>
      <c r="BM272" s="14">
        <v>11</v>
      </c>
      <c r="BP272" s="15"/>
      <c r="BQ272" s="15"/>
      <c r="BR272" s="2" t="s">
        <v>273</v>
      </c>
      <c r="BS272" s="2" t="s">
        <v>273</v>
      </c>
      <c r="BT272" s="7" t="s">
        <v>212</v>
      </c>
      <c r="BU272" s="7" t="s">
        <v>173</v>
      </c>
      <c r="BV272" s="9" t="s">
        <v>163</v>
      </c>
      <c r="BW272" s="9"/>
    </row>
    <row r="273" spans="1:75" ht="14.25" customHeight="1" x14ac:dyDescent="0.25">
      <c r="A273" s="1">
        <v>652</v>
      </c>
      <c r="B273" s="1" t="s">
        <v>1439</v>
      </c>
      <c r="C273" s="1" t="s">
        <v>1440</v>
      </c>
      <c r="D273" s="1" t="s">
        <v>616</v>
      </c>
      <c r="E273" s="1" t="s">
        <v>1441</v>
      </c>
      <c r="F273" s="1" t="s">
        <v>1442</v>
      </c>
      <c r="G273" s="1" t="s">
        <v>118</v>
      </c>
      <c r="H273" s="2">
        <v>1</v>
      </c>
      <c r="I273" s="2">
        <v>1</v>
      </c>
      <c r="J273" s="2">
        <v>1</v>
      </c>
      <c r="K273" s="2">
        <v>0</v>
      </c>
      <c r="L273" s="3" t="s">
        <v>127</v>
      </c>
      <c r="O273" s="4">
        <v>4</v>
      </c>
      <c r="P273" s="4" t="s">
        <v>1145</v>
      </c>
      <c r="Q273" s="4" t="s">
        <v>1443</v>
      </c>
      <c r="R273" s="16">
        <v>130000</v>
      </c>
      <c r="S273" s="6">
        <v>130000</v>
      </c>
      <c r="T273" s="17"/>
      <c r="U273" s="6"/>
      <c r="V273" s="4"/>
      <c r="W273" s="4"/>
      <c r="X273" s="4"/>
      <c r="Y273" s="7">
        <v>4</v>
      </c>
      <c r="Z273" s="8"/>
      <c r="AA273" s="7" t="s">
        <v>1331</v>
      </c>
      <c r="AB273" s="7" t="s">
        <v>1444</v>
      </c>
      <c r="AC273" s="9">
        <v>1</v>
      </c>
      <c r="AD273" s="10"/>
      <c r="AE273" s="9" t="s">
        <v>82</v>
      </c>
      <c r="AF273" s="9" t="s">
        <v>1246</v>
      </c>
      <c r="AG273" s="11">
        <v>4</v>
      </c>
      <c r="AH273" s="11" t="s">
        <v>1048</v>
      </c>
      <c r="AI273" s="11"/>
      <c r="AJ273" s="11"/>
      <c r="AK273" s="11"/>
      <c r="AL273" s="12">
        <v>4</v>
      </c>
      <c r="AM273" s="12" t="s">
        <v>620</v>
      </c>
      <c r="AN273" s="12" t="s">
        <v>1445</v>
      </c>
      <c r="AO273" s="12"/>
      <c r="AP273" s="12"/>
      <c r="AQ273" s="4">
        <v>3</v>
      </c>
      <c r="AR273" s="4" t="s">
        <v>621</v>
      </c>
      <c r="AS273" s="4" t="s">
        <v>1446</v>
      </c>
      <c r="AT273" s="13"/>
      <c r="AU273" s="13"/>
      <c r="AV273" s="13"/>
      <c r="AW273" s="13"/>
      <c r="AX273" s="4"/>
      <c r="AY273" s="13"/>
      <c r="AZ273" s="13"/>
      <c r="BA273" s="13"/>
      <c r="BB273" s="13"/>
      <c r="BC273" s="4"/>
      <c r="BD273" s="4"/>
      <c r="BE273" s="4"/>
      <c r="BF273" s="13"/>
      <c r="BG273" s="4"/>
      <c r="BH273" s="13"/>
      <c r="BI273" s="13"/>
      <c r="BJ273" s="4"/>
      <c r="BK273" s="14">
        <v>15</v>
      </c>
      <c r="BL273" s="14">
        <v>12</v>
      </c>
      <c r="BM273" s="14">
        <v>15</v>
      </c>
      <c r="BN273" s="3" t="s">
        <v>86</v>
      </c>
      <c r="BO273" s="3" t="s">
        <v>120</v>
      </c>
      <c r="BP273" s="15"/>
      <c r="BQ273" s="15"/>
      <c r="BR273" s="2" t="s">
        <v>1224</v>
      </c>
      <c r="BS273" s="2" t="s">
        <v>1224</v>
      </c>
      <c r="BT273" s="7" t="s">
        <v>1326</v>
      </c>
      <c r="BU273" s="7"/>
      <c r="BV273" s="9" t="s">
        <v>1154</v>
      </c>
      <c r="BW273" s="9"/>
    </row>
    <row r="274" spans="1:75" ht="14.25" customHeight="1" x14ac:dyDescent="0.25">
      <c r="A274" s="1">
        <v>654</v>
      </c>
      <c r="B274" s="1" t="s">
        <v>1447</v>
      </c>
      <c r="C274" s="1" t="s">
        <v>1448</v>
      </c>
      <c r="D274" s="1" t="s">
        <v>616</v>
      </c>
      <c r="E274" s="1" t="s">
        <v>1441</v>
      </c>
      <c r="F274" s="1" t="s">
        <v>1442</v>
      </c>
      <c r="G274" s="1" t="s">
        <v>118</v>
      </c>
      <c r="H274" s="2">
        <v>1</v>
      </c>
      <c r="I274" s="2">
        <v>1</v>
      </c>
      <c r="J274" s="2">
        <v>1</v>
      </c>
      <c r="K274" s="2">
        <v>0</v>
      </c>
      <c r="L274" s="3" t="s">
        <v>127</v>
      </c>
      <c r="N274" s="3">
        <v>1</v>
      </c>
      <c r="O274" s="4">
        <v>5</v>
      </c>
      <c r="P274" s="4" t="s">
        <v>1145</v>
      </c>
      <c r="Q274" s="4" t="s">
        <v>1443</v>
      </c>
      <c r="R274" s="16">
        <v>1600</v>
      </c>
      <c r="S274" s="6">
        <v>1600</v>
      </c>
      <c r="T274" s="17"/>
      <c r="U274" s="6"/>
      <c r="V274" s="4"/>
      <c r="W274" s="4"/>
      <c r="X274" s="4"/>
      <c r="Y274" s="7">
        <v>5</v>
      </c>
      <c r="Z274" s="8"/>
      <c r="AA274" s="7" t="s">
        <v>1331</v>
      </c>
      <c r="AB274" s="7" t="s">
        <v>1449</v>
      </c>
      <c r="AC274" s="9">
        <v>1</v>
      </c>
      <c r="AD274" s="10"/>
      <c r="AE274" s="9" t="s">
        <v>82</v>
      </c>
      <c r="AF274" s="9" t="s">
        <v>1246</v>
      </c>
      <c r="AG274" s="11">
        <v>3</v>
      </c>
      <c r="AH274" s="11" t="s">
        <v>1048</v>
      </c>
      <c r="AI274" s="11"/>
      <c r="AJ274" s="11"/>
      <c r="AK274" s="11"/>
      <c r="AL274" s="12">
        <v>4</v>
      </c>
      <c r="AM274" s="12" t="s">
        <v>1048</v>
      </c>
      <c r="AN274" s="12"/>
      <c r="AO274" s="12"/>
      <c r="AP274" s="12"/>
      <c r="AQ274" s="4">
        <v>3</v>
      </c>
      <c r="AR274" s="4" t="s">
        <v>387</v>
      </c>
      <c r="AS274" s="4" t="s">
        <v>1450</v>
      </c>
      <c r="AT274" s="13"/>
      <c r="AU274" s="13"/>
      <c r="AV274" s="13"/>
      <c r="AW274" s="13"/>
      <c r="AX274" s="4"/>
      <c r="AY274" s="13"/>
      <c r="AZ274" s="13"/>
      <c r="BA274" s="13"/>
      <c r="BB274" s="13"/>
      <c r="BC274" s="4"/>
      <c r="BD274" s="4"/>
      <c r="BE274" s="4"/>
      <c r="BF274" s="13"/>
      <c r="BG274" s="4"/>
      <c r="BH274" s="13"/>
      <c r="BI274" s="13"/>
      <c r="BJ274" s="4"/>
      <c r="BK274" s="14">
        <v>16</v>
      </c>
      <c r="BL274" s="14">
        <v>13</v>
      </c>
      <c r="BM274" s="14">
        <v>16</v>
      </c>
      <c r="BN274" s="3" t="s">
        <v>113</v>
      </c>
      <c r="BO274" s="3" t="s">
        <v>114</v>
      </c>
      <c r="BP274" s="15"/>
      <c r="BQ274" s="15"/>
      <c r="BR274" s="2" t="s">
        <v>1224</v>
      </c>
      <c r="BS274" s="2" t="s">
        <v>1224</v>
      </c>
      <c r="BT274" s="7" t="s">
        <v>1326</v>
      </c>
      <c r="BU274" s="7"/>
      <c r="BV274" s="9" t="s">
        <v>1154</v>
      </c>
      <c r="BW274" s="9"/>
    </row>
    <row r="275" spans="1:75" ht="14.25" customHeight="1" x14ac:dyDescent="0.25">
      <c r="A275" s="1">
        <v>655</v>
      </c>
      <c r="B275" s="1" t="s">
        <v>1451</v>
      </c>
      <c r="C275" s="1" t="s">
        <v>1452</v>
      </c>
      <c r="D275" s="1" t="s">
        <v>616</v>
      </c>
      <c r="E275" s="1" t="s">
        <v>1441</v>
      </c>
      <c r="F275" s="1" t="s">
        <v>1453</v>
      </c>
      <c r="G275" s="1"/>
      <c r="H275" s="2">
        <v>1</v>
      </c>
      <c r="I275" s="2">
        <v>1</v>
      </c>
      <c r="J275" s="2">
        <v>1</v>
      </c>
      <c r="K275" s="2">
        <v>1</v>
      </c>
      <c r="L275" s="3" t="s">
        <v>127</v>
      </c>
      <c r="N275" s="3">
        <v>1</v>
      </c>
      <c r="O275" s="4">
        <v>2</v>
      </c>
      <c r="P275" s="4" t="s">
        <v>1145</v>
      </c>
      <c r="Q275" s="4" t="s">
        <v>1146</v>
      </c>
      <c r="R275" s="16">
        <v>14000000</v>
      </c>
      <c r="S275" s="6">
        <v>14000000</v>
      </c>
      <c r="T275" s="17"/>
      <c r="U275" s="6"/>
      <c r="V275" s="4"/>
      <c r="W275" s="4"/>
      <c r="X275" s="4"/>
      <c r="Y275" s="7">
        <v>2</v>
      </c>
      <c r="Z275" s="8">
        <v>28500</v>
      </c>
      <c r="AA275" s="7" t="s">
        <v>1145</v>
      </c>
      <c r="AB275" s="7" t="s">
        <v>1454</v>
      </c>
      <c r="AC275" s="9">
        <v>1</v>
      </c>
      <c r="AD275" s="10"/>
      <c r="AE275" s="9" t="s">
        <v>82</v>
      </c>
      <c r="AF275" s="9" t="s">
        <v>1246</v>
      </c>
      <c r="AG275" s="11">
        <v>2</v>
      </c>
      <c r="AH275" s="11" t="s">
        <v>1048</v>
      </c>
      <c r="AI275" s="11"/>
      <c r="AJ275" s="11"/>
      <c r="AK275" s="11"/>
      <c r="AL275" s="12">
        <v>2</v>
      </c>
      <c r="AM275" s="12" t="s">
        <v>1048</v>
      </c>
      <c r="AN275" s="12" t="s">
        <v>1455</v>
      </c>
      <c r="AO275" s="12"/>
      <c r="AP275" s="12"/>
      <c r="AQ275" s="4">
        <v>3</v>
      </c>
      <c r="AR275" s="4" t="s">
        <v>621</v>
      </c>
      <c r="AS275" s="4"/>
      <c r="AT275" s="13"/>
      <c r="AU275" s="13"/>
      <c r="AV275" s="13"/>
      <c r="AW275" s="13"/>
      <c r="AX275" s="4"/>
      <c r="AY275" s="13"/>
      <c r="AZ275" s="13"/>
      <c r="BA275" s="13"/>
      <c r="BB275" s="13"/>
      <c r="BC275" s="4"/>
      <c r="BD275" s="4"/>
      <c r="BE275" s="4"/>
      <c r="BF275" s="13"/>
      <c r="BG275" s="4"/>
      <c r="BH275" s="13"/>
      <c r="BI275" s="13"/>
      <c r="BJ275" s="4"/>
      <c r="BK275" s="14">
        <v>9</v>
      </c>
      <c r="BL275" s="14">
        <v>8</v>
      </c>
      <c r="BM275" s="14">
        <v>9</v>
      </c>
      <c r="BP275" s="15"/>
      <c r="BQ275" s="15"/>
      <c r="BR275" s="2" t="s">
        <v>1383</v>
      </c>
      <c r="BS275" s="2" t="s">
        <v>247</v>
      </c>
      <c r="BT275" s="7" t="s">
        <v>1326</v>
      </c>
      <c r="BU275" s="7"/>
      <c r="BV275" s="9" t="s">
        <v>1154</v>
      </c>
      <c r="BW275" s="9"/>
    </row>
    <row r="276" spans="1:75" ht="14.25" customHeight="1" x14ac:dyDescent="0.25">
      <c r="A276" s="1">
        <v>656</v>
      </c>
      <c r="B276" s="1" t="s">
        <v>1456</v>
      </c>
      <c r="C276" s="1" t="s">
        <v>1457</v>
      </c>
      <c r="D276" s="1" t="s">
        <v>616</v>
      </c>
      <c r="E276" s="1" t="s">
        <v>1441</v>
      </c>
      <c r="F276" s="1" t="s">
        <v>1453</v>
      </c>
      <c r="G276" s="1"/>
      <c r="H276" s="2">
        <v>0</v>
      </c>
      <c r="I276" s="2">
        <v>1</v>
      </c>
      <c r="J276" s="2">
        <v>0</v>
      </c>
      <c r="K276" s="2">
        <v>1</v>
      </c>
      <c r="L276" s="3" t="s">
        <v>127</v>
      </c>
      <c r="O276" s="4">
        <v>3</v>
      </c>
      <c r="P276" s="4" t="s">
        <v>1145</v>
      </c>
      <c r="Q276" s="4" t="s">
        <v>1146</v>
      </c>
      <c r="R276" s="16">
        <v>2700000</v>
      </c>
      <c r="S276" s="6">
        <v>2700000</v>
      </c>
      <c r="T276" s="17"/>
      <c r="U276" s="6"/>
      <c r="V276" s="4"/>
      <c r="W276" s="4"/>
      <c r="X276" s="4"/>
      <c r="Y276" s="7">
        <v>3</v>
      </c>
      <c r="Z276" s="8"/>
      <c r="AA276" s="7" t="s">
        <v>1213</v>
      </c>
      <c r="AB276" s="7" t="s">
        <v>1458</v>
      </c>
      <c r="AC276" s="9">
        <v>1</v>
      </c>
      <c r="AD276" s="10"/>
      <c r="AE276" s="9" t="s">
        <v>1213</v>
      </c>
      <c r="AF276" s="9" t="s">
        <v>1459</v>
      </c>
      <c r="AG276" s="11">
        <v>4</v>
      </c>
      <c r="AH276" s="11" t="s">
        <v>1213</v>
      </c>
      <c r="AI276" s="11" t="s">
        <v>1460</v>
      </c>
      <c r="AJ276" s="11"/>
      <c r="AK276" s="11"/>
      <c r="AL276" s="12">
        <v>3</v>
      </c>
      <c r="AM276" s="12" t="s">
        <v>1213</v>
      </c>
      <c r="AN276" s="12"/>
      <c r="AO276" s="12"/>
      <c r="AP276" s="12"/>
      <c r="AQ276" s="4">
        <v>4</v>
      </c>
      <c r="AR276" s="4" t="s">
        <v>1461</v>
      </c>
      <c r="AS276" s="4" t="s">
        <v>1462</v>
      </c>
      <c r="AT276" s="13"/>
      <c r="AU276" s="13"/>
      <c r="AV276" s="13"/>
      <c r="AW276" s="13"/>
      <c r="AX276" s="4"/>
      <c r="AY276" s="13"/>
      <c r="AZ276" s="13"/>
      <c r="BA276" s="13"/>
      <c r="BB276" s="13"/>
      <c r="BC276" s="4"/>
      <c r="BD276" s="4"/>
      <c r="BE276" s="4"/>
      <c r="BF276" s="13"/>
      <c r="BG276" s="4"/>
      <c r="BH276" s="13"/>
      <c r="BI276" s="13"/>
      <c r="BJ276" s="4"/>
      <c r="BK276" s="14">
        <v>14</v>
      </c>
      <c r="BL276" s="14">
        <v>11</v>
      </c>
      <c r="BM276" s="14">
        <v>14</v>
      </c>
      <c r="BN276" s="3" t="s">
        <v>86</v>
      </c>
      <c r="BP276" s="15"/>
      <c r="BQ276" s="15"/>
      <c r="BR276" s="2" t="s">
        <v>1152</v>
      </c>
      <c r="BS276" s="2" t="s">
        <v>1152</v>
      </c>
      <c r="BT276" s="7" t="s">
        <v>1326</v>
      </c>
      <c r="BU276" s="7"/>
      <c r="BV276" s="9" t="s">
        <v>1154</v>
      </c>
      <c r="BW276" s="9"/>
    </row>
    <row r="277" spans="1:75" ht="14.25" customHeight="1" x14ac:dyDescent="0.25">
      <c r="A277" s="1">
        <v>659</v>
      </c>
      <c r="B277" s="1" t="s">
        <v>1463</v>
      </c>
      <c r="C277" s="1" t="s">
        <v>1464</v>
      </c>
      <c r="D277" s="1" t="s">
        <v>616</v>
      </c>
      <c r="E277" s="1" t="s">
        <v>1441</v>
      </c>
      <c r="F277" s="1" t="s">
        <v>1465</v>
      </c>
      <c r="G277" s="1" t="s">
        <v>1466</v>
      </c>
      <c r="H277" s="2">
        <v>1</v>
      </c>
      <c r="I277" s="2">
        <v>1</v>
      </c>
      <c r="J277" s="2">
        <v>0</v>
      </c>
      <c r="K277" s="2">
        <v>0</v>
      </c>
      <c r="L277" s="3" t="s">
        <v>127</v>
      </c>
      <c r="O277" s="4">
        <v>3</v>
      </c>
      <c r="P277" s="4" t="s">
        <v>1145</v>
      </c>
      <c r="Q277" s="4" t="s">
        <v>1146</v>
      </c>
      <c r="R277" s="16">
        <v>4000000</v>
      </c>
      <c r="S277" s="6">
        <v>4000000</v>
      </c>
      <c r="T277" s="17"/>
      <c r="U277" s="6"/>
      <c r="V277" s="4"/>
      <c r="W277" s="4"/>
      <c r="X277" s="4"/>
      <c r="Y277" s="7">
        <v>2</v>
      </c>
      <c r="Z277" s="8">
        <v>1300000</v>
      </c>
      <c r="AA277" s="7" t="s">
        <v>1145</v>
      </c>
      <c r="AB277" s="7" t="s">
        <v>1467</v>
      </c>
      <c r="AC277" s="9">
        <v>1</v>
      </c>
      <c r="AD277" s="10">
        <v>4543823</v>
      </c>
      <c r="AE277" s="9" t="s">
        <v>1148</v>
      </c>
      <c r="AF277" s="9"/>
      <c r="AG277" s="11">
        <v>3</v>
      </c>
      <c r="AH277" s="11" t="s">
        <v>1048</v>
      </c>
      <c r="AI277" s="11"/>
      <c r="AJ277" s="11"/>
      <c r="AK277" s="11"/>
      <c r="AL277" s="12">
        <v>2</v>
      </c>
      <c r="AM277" s="12" t="s">
        <v>1048</v>
      </c>
      <c r="AN277" s="12"/>
      <c r="AO277" s="12"/>
      <c r="AP277" s="12"/>
      <c r="AQ277" s="4">
        <v>1</v>
      </c>
      <c r="AR277" s="4" t="s">
        <v>621</v>
      </c>
      <c r="AS277" s="4" t="s">
        <v>1468</v>
      </c>
      <c r="AT277" s="13"/>
      <c r="AU277" s="13"/>
      <c r="AV277" s="13"/>
      <c r="AW277" s="13"/>
      <c r="AX277" s="4"/>
      <c r="AY277" s="13"/>
      <c r="AZ277" s="13"/>
      <c r="BA277" s="13"/>
      <c r="BB277" s="13"/>
      <c r="BC277" s="4"/>
      <c r="BD277" s="4"/>
      <c r="BE277" s="4"/>
      <c r="BF277" s="13"/>
      <c r="BG277" s="4"/>
      <c r="BH277" s="13"/>
      <c r="BI277" s="13"/>
      <c r="BJ277" s="4"/>
      <c r="BK277" s="14">
        <v>9</v>
      </c>
      <c r="BL277" s="14">
        <v>7</v>
      </c>
      <c r="BM277" s="14">
        <v>9</v>
      </c>
      <c r="BP277" s="15"/>
      <c r="BQ277" s="15"/>
      <c r="BR277" s="2" t="s">
        <v>1224</v>
      </c>
      <c r="BS277" s="2" t="s">
        <v>1224</v>
      </c>
      <c r="BT277" s="7" t="s">
        <v>1153</v>
      </c>
      <c r="BU277" s="7" t="s">
        <v>163</v>
      </c>
      <c r="BV277" s="9" t="s">
        <v>1154</v>
      </c>
      <c r="BW277" s="9" t="s">
        <v>163</v>
      </c>
    </row>
    <row r="278" spans="1:75" ht="14.25" customHeight="1" x14ac:dyDescent="0.25">
      <c r="A278" s="1">
        <v>662</v>
      </c>
      <c r="B278" s="1" t="s">
        <v>1469</v>
      </c>
      <c r="C278" s="1" t="s">
        <v>1470</v>
      </c>
      <c r="D278" s="1" t="s">
        <v>616</v>
      </c>
      <c r="E278" s="1" t="s">
        <v>1441</v>
      </c>
      <c r="F278" s="1" t="s">
        <v>1465</v>
      </c>
      <c r="G278" s="1" t="s">
        <v>1466</v>
      </c>
      <c r="H278" s="2">
        <v>1</v>
      </c>
      <c r="I278" s="2">
        <v>1</v>
      </c>
      <c r="J278" s="2">
        <v>1</v>
      </c>
      <c r="K278" s="2">
        <v>1</v>
      </c>
      <c r="L278" s="3" t="s">
        <v>127</v>
      </c>
      <c r="O278" s="4">
        <v>2</v>
      </c>
      <c r="P278" s="4" t="s">
        <v>1145</v>
      </c>
      <c r="Q278" s="4" t="s">
        <v>1146</v>
      </c>
      <c r="R278" s="16">
        <v>13000000</v>
      </c>
      <c r="S278" s="6">
        <v>13000000</v>
      </c>
      <c r="T278" s="17"/>
      <c r="U278" s="6"/>
      <c r="V278" s="4"/>
      <c r="W278" s="4"/>
      <c r="X278" s="4"/>
      <c r="Y278" s="7">
        <v>2</v>
      </c>
      <c r="Z278" s="8">
        <v>1340000</v>
      </c>
      <c r="AA278" s="7" t="s">
        <v>1145</v>
      </c>
      <c r="AB278" s="7" t="s">
        <v>1471</v>
      </c>
      <c r="AC278" s="9">
        <v>1</v>
      </c>
      <c r="AD278" s="10"/>
      <c r="AE278" s="9" t="s">
        <v>82</v>
      </c>
      <c r="AF278" s="9" t="s">
        <v>1246</v>
      </c>
      <c r="AG278" s="11">
        <v>3</v>
      </c>
      <c r="AH278" s="11" t="s">
        <v>1048</v>
      </c>
      <c r="AI278" s="11"/>
      <c r="AJ278" s="11"/>
      <c r="AK278" s="11"/>
      <c r="AL278" s="12">
        <v>2</v>
      </c>
      <c r="AM278" s="12" t="s">
        <v>1048</v>
      </c>
      <c r="AN278" s="12"/>
      <c r="AO278" s="12"/>
      <c r="AP278" s="12"/>
      <c r="AQ278" s="4">
        <v>2</v>
      </c>
      <c r="AR278" s="4" t="s">
        <v>621</v>
      </c>
      <c r="AS278" s="4"/>
      <c r="AT278" s="13"/>
      <c r="AU278" s="13"/>
      <c r="AV278" s="13"/>
      <c r="AW278" s="13"/>
      <c r="AX278" s="4"/>
      <c r="AY278" s="13"/>
      <c r="AZ278" s="13"/>
      <c r="BA278" s="13"/>
      <c r="BB278" s="13"/>
      <c r="BC278" s="4"/>
      <c r="BD278" s="4"/>
      <c r="BE278" s="4"/>
      <c r="BF278" s="13"/>
      <c r="BG278" s="4"/>
      <c r="BH278" s="13"/>
      <c r="BI278" s="13"/>
      <c r="BJ278" s="4"/>
      <c r="BK278" s="14">
        <v>9</v>
      </c>
      <c r="BL278" s="14">
        <v>7</v>
      </c>
      <c r="BM278" s="14">
        <v>9</v>
      </c>
      <c r="BO278" s="3" t="s">
        <v>114</v>
      </c>
      <c r="BP278" s="15"/>
      <c r="BQ278" s="15"/>
      <c r="BR278" s="2" t="s">
        <v>172</v>
      </c>
      <c r="BS278" s="2" t="s">
        <v>247</v>
      </c>
      <c r="BT278" s="7" t="s">
        <v>1153</v>
      </c>
      <c r="BU278" s="7" t="s">
        <v>163</v>
      </c>
      <c r="BV278" s="9" t="s">
        <v>1154</v>
      </c>
      <c r="BW278" s="9"/>
    </row>
    <row r="279" spans="1:75" ht="14.25" customHeight="1" x14ac:dyDescent="0.25">
      <c r="A279" s="1">
        <v>663</v>
      </c>
      <c r="B279" s="1" t="s">
        <v>1472</v>
      </c>
      <c r="C279" s="1" t="s">
        <v>1473</v>
      </c>
      <c r="D279" s="1" t="s">
        <v>616</v>
      </c>
      <c r="E279" s="1" t="s">
        <v>1441</v>
      </c>
      <c r="F279" s="1" t="s">
        <v>1465</v>
      </c>
      <c r="G279" s="1" t="s">
        <v>1474</v>
      </c>
      <c r="H279" s="2">
        <v>0</v>
      </c>
      <c r="I279" s="2">
        <v>1</v>
      </c>
      <c r="J279" s="2">
        <v>1</v>
      </c>
      <c r="K279" s="2">
        <v>0</v>
      </c>
      <c r="L279" s="3" t="s">
        <v>127</v>
      </c>
      <c r="O279" s="4">
        <v>5</v>
      </c>
      <c r="P279" s="4" t="s">
        <v>1475</v>
      </c>
      <c r="Q279" s="4" t="s">
        <v>1476</v>
      </c>
      <c r="R279" s="16">
        <v>7000</v>
      </c>
      <c r="S279" s="6">
        <v>7000</v>
      </c>
      <c r="T279" s="17"/>
      <c r="U279" s="6"/>
      <c r="V279" s="4"/>
      <c r="W279" s="4"/>
      <c r="X279" s="4"/>
      <c r="Y279" s="7">
        <v>5</v>
      </c>
      <c r="Z279" s="8"/>
      <c r="AA279" s="7" t="s">
        <v>1477</v>
      </c>
      <c r="AB279" s="7" t="s">
        <v>1478</v>
      </c>
      <c r="AC279" s="9">
        <v>3</v>
      </c>
      <c r="AD279" s="10"/>
      <c r="AE279" s="9" t="s">
        <v>1213</v>
      </c>
      <c r="AF279" s="9" t="s">
        <v>1479</v>
      </c>
      <c r="AG279" s="11">
        <v>4</v>
      </c>
      <c r="AH279" s="11" t="s">
        <v>1480</v>
      </c>
      <c r="AI279" s="11" t="s">
        <v>1481</v>
      </c>
      <c r="AJ279" s="11"/>
      <c r="AK279" s="11"/>
      <c r="AL279" s="12">
        <v>3</v>
      </c>
      <c r="AM279" s="12" t="s">
        <v>1213</v>
      </c>
      <c r="AN279" s="12" t="s">
        <v>1482</v>
      </c>
      <c r="AO279" s="12"/>
      <c r="AP279" s="12"/>
      <c r="AQ279" s="4">
        <v>3</v>
      </c>
      <c r="AR279" s="4" t="s">
        <v>1480</v>
      </c>
      <c r="AS279" s="4" t="s">
        <v>1481</v>
      </c>
      <c r="AT279" s="13"/>
      <c r="AU279" s="13"/>
      <c r="AV279" s="13"/>
      <c r="AW279" s="13"/>
      <c r="AX279" s="4"/>
      <c r="AY279" s="13"/>
      <c r="AZ279" s="13"/>
      <c r="BA279" s="13"/>
      <c r="BB279" s="13"/>
      <c r="BC279" s="4"/>
      <c r="BD279" s="4"/>
      <c r="BE279" s="4"/>
      <c r="BF279" s="13"/>
      <c r="BG279" s="4"/>
      <c r="BH279" s="13"/>
      <c r="BI279" s="13"/>
      <c r="BJ279" s="4"/>
      <c r="BK279" s="14">
        <v>17</v>
      </c>
      <c r="BL279" s="14">
        <v>14</v>
      </c>
      <c r="BM279" s="14">
        <v>17</v>
      </c>
      <c r="BN279" s="3" t="s">
        <v>312</v>
      </c>
      <c r="BO279" s="3" t="s">
        <v>414</v>
      </c>
      <c r="BP279" s="15"/>
      <c r="BQ279" s="15"/>
      <c r="BR279" s="2" t="s">
        <v>1368</v>
      </c>
      <c r="BS279" s="2" t="s">
        <v>1368</v>
      </c>
      <c r="BT279" s="7" t="s">
        <v>1326</v>
      </c>
      <c r="BU279" s="7" t="s">
        <v>163</v>
      </c>
      <c r="BV279" s="9" t="s">
        <v>1154</v>
      </c>
      <c r="BW279" s="9"/>
    </row>
    <row r="280" spans="1:75" ht="14.25" customHeight="1" x14ac:dyDescent="0.25">
      <c r="A280" s="1">
        <v>664</v>
      </c>
      <c r="B280" s="1" t="s">
        <v>1483</v>
      </c>
      <c r="C280" s="1" t="s">
        <v>1484</v>
      </c>
      <c r="D280" s="1" t="s">
        <v>616</v>
      </c>
      <c r="E280" s="1" t="s">
        <v>1441</v>
      </c>
      <c r="F280" s="1" t="s">
        <v>1465</v>
      </c>
      <c r="G280" s="1" t="s">
        <v>1485</v>
      </c>
      <c r="H280" s="2">
        <v>0</v>
      </c>
      <c r="I280" s="2">
        <v>0</v>
      </c>
      <c r="J280" s="2">
        <v>1</v>
      </c>
      <c r="K280" s="2">
        <v>0</v>
      </c>
      <c r="L280" s="3" t="s">
        <v>127</v>
      </c>
      <c r="O280" s="4">
        <v>5</v>
      </c>
      <c r="P280" s="4" t="s">
        <v>1475</v>
      </c>
      <c r="Q280" s="4" t="s">
        <v>1486</v>
      </c>
      <c r="R280" s="5"/>
      <c r="S280" s="6"/>
      <c r="T280" s="17"/>
      <c r="U280" s="6"/>
      <c r="V280" s="4"/>
      <c r="W280" s="4"/>
      <c r="X280" s="4"/>
      <c r="Y280" s="7">
        <v>5</v>
      </c>
      <c r="Z280" s="8"/>
      <c r="AA280" s="7" t="s">
        <v>1477</v>
      </c>
      <c r="AB280" s="7" t="s">
        <v>1487</v>
      </c>
      <c r="AC280" s="9">
        <v>4</v>
      </c>
      <c r="AD280" s="10"/>
      <c r="AE280" s="9" t="s">
        <v>1213</v>
      </c>
      <c r="AF280" s="9" t="s">
        <v>1488</v>
      </c>
      <c r="AG280" s="11">
        <v>4</v>
      </c>
      <c r="AH280" s="11" t="s">
        <v>1480</v>
      </c>
      <c r="AI280" s="11" t="s">
        <v>1481</v>
      </c>
      <c r="AJ280" s="11"/>
      <c r="AK280" s="11"/>
      <c r="AL280" s="12">
        <v>3</v>
      </c>
      <c r="AM280" s="12" t="s">
        <v>1213</v>
      </c>
      <c r="AN280" s="12" t="s">
        <v>1482</v>
      </c>
      <c r="AO280" s="12"/>
      <c r="AP280" s="12"/>
      <c r="AQ280" s="4">
        <v>3</v>
      </c>
      <c r="AR280" s="4" t="s">
        <v>1480</v>
      </c>
      <c r="AS280" s="4" t="s">
        <v>1481</v>
      </c>
      <c r="AT280" s="13"/>
      <c r="AU280" s="13"/>
      <c r="AV280" s="13"/>
      <c r="AW280" s="13"/>
      <c r="AX280" s="4"/>
      <c r="AY280" s="13"/>
      <c r="AZ280" s="13"/>
      <c r="BA280" s="13"/>
      <c r="BB280" s="13"/>
      <c r="BC280" s="4"/>
      <c r="BD280" s="4"/>
      <c r="BE280" s="4"/>
      <c r="BF280" s="13"/>
      <c r="BG280" s="4"/>
      <c r="BH280" s="13"/>
      <c r="BI280" s="13"/>
      <c r="BJ280" s="4"/>
      <c r="BK280" s="14">
        <v>17</v>
      </c>
      <c r="BL280" s="14">
        <v>15</v>
      </c>
      <c r="BM280" s="14">
        <v>17</v>
      </c>
      <c r="BN280" s="3" t="s">
        <v>312</v>
      </c>
      <c r="BO280" s="3" t="s">
        <v>114</v>
      </c>
      <c r="BP280" s="15"/>
      <c r="BQ280" s="15"/>
      <c r="BR280" s="2" t="s">
        <v>1368</v>
      </c>
      <c r="BS280" s="2" t="s">
        <v>1368</v>
      </c>
      <c r="BT280" s="7" t="s">
        <v>1326</v>
      </c>
      <c r="BU280" s="7" t="s">
        <v>163</v>
      </c>
      <c r="BV280" s="9" t="s">
        <v>1154</v>
      </c>
      <c r="BW280" s="9"/>
    </row>
    <row r="281" spans="1:75" ht="14.25" customHeight="1" x14ac:dyDescent="0.25">
      <c r="A281" s="1">
        <v>665</v>
      </c>
      <c r="B281" s="1" t="s">
        <v>1489</v>
      </c>
      <c r="C281" s="1" t="s">
        <v>1490</v>
      </c>
      <c r="D281" s="1" t="s">
        <v>616</v>
      </c>
      <c r="E281" s="1" t="s">
        <v>1441</v>
      </c>
      <c r="F281" s="1" t="s">
        <v>1465</v>
      </c>
      <c r="G281" s="1" t="s">
        <v>1491</v>
      </c>
      <c r="H281" s="2">
        <v>0</v>
      </c>
      <c r="I281" s="2">
        <v>1</v>
      </c>
      <c r="J281" s="2">
        <v>1</v>
      </c>
      <c r="K281" s="2">
        <v>1</v>
      </c>
      <c r="L281" s="3" t="s">
        <v>127</v>
      </c>
      <c r="O281" s="4">
        <v>5</v>
      </c>
      <c r="P281" s="4" t="s">
        <v>1145</v>
      </c>
      <c r="Q281" s="4"/>
      <c r="R281" s="16">
        <v>5100</v>
      </c>
      <c r="S281" s="6">
        <v>5100</v>
      </c>
      <c r="T281" s="17"/>
      <c r="U281" s="6"/>
      <c r="V281" s="4"/>
      <c r="W281" s="4"/>
      <c r="X281" s="4"/>
      <c r="Y281" s="7">
        <v>4</v>
      </c>
      <c r="Z281" s="8">
        <v>205000</v>
      </c>
      <c r="AA281" s="7" t="s">
        <v>1145</v>
      </c>
      <c r="AB281" s="7"/>
      <c r="AC281" s="9">
        <v>4</v>
      </c>
      <c r="AD281" s="10">
        <v>204773</v>
      </c>
      <c r="AE281" s="9" t="s">
        <v>130</v>
      </c>
      <c r="AF281" s="9"/>
      <c r="AG281" s="11">
        <v>4</v>
      </c>
      <c r="AH281" s="11" t="s">
        <v>1048</v>
      </c>
      <c r="AI281" s="11"/>
      <c r="AJ281" s="11"/>
      <c r="AK281" s="11"/>
      <c r="AL281" s="12">
        <v>2</v>
      </c>
      <c r="AM281" s="12" t="s">
        <v>1048</v>
      </c>
      <c r="AN281" s="12"/>
      <c r="AO281" s="12"/>
      <c r="AP281" s="12"/>
      <c r="AQ281" s="4">
        <v>4</v>
      </c>
      <c r="AR281" s="4" t="s">
        <v>621</v>
      </c>
      <c r="AS281" s="4" t="s">
        <v>1492</v>
      </c>
      <c r="AT281" s="13"/>
      <c r="AU281" s="13"/>
      <c r="AV281" s="13"/>
      <c r="AW281" s="13"/>
      <c r="AX281" s="4"/>
      <c r="AY281" s="13"/>
      <c r="AZ281" s="13"/>
      <c r="BA281" s="13"/>
      <c r="BB281" s="13"/>
      <c r="BC281" s="4"/>
      <c r="BD281" s="4"/>
      <c r="BE281" s="4"/>
      <c r="BF281" s="13"/>
      <c r="BG281" s="4"/>
      <c r="BH281" s="13"/>
      <c r="BI281" s="13"/>
      <c r="BJ281" s="4"/>
      <c r="BK281" s="14">
        <v>17</v>
      </c>
      <c r="BL281" s="14">
        <v>15</v>
      </c>
      <c r="BM281" s="14">
        <v>17</v>
      </c>
      <c r="BN281" s="3" t="s">
        <v>312</v>
      </c>
      <c r="BO281" s="3" t="s">
        <v>414</v>
      </c>
      <c r="BP281" s="15"/>
      <c r="BQ281" s="15"/>
      <c r="BR281" s="2" t="s">
        <v>162</v>
      </c>
      <c r="BS281" s="2" t="s">
        <v>1224</v>
      </c>
      <c r="BT281" s="7" t="s">
        <v>1153</v>
      </c>
      <c r="BU281" s="7" t="s">
        <v>163</v>
      </c>
      <c r="BV281" s="9" t="s">
        <v>163</v>
      </c>
      <c r="BW281" s="9"/>
    </row>
    <row r="282" spans="1:75" ht="14.25" customHeight="1" x14ac:dyDescent="0.25">
      <c r="A282" s="1">
        <v>666</v>
      </c>
      <c r="B282" s="1" t="s">
        <v>1493</v>
      </c>
      <c r="C282" s="1" t="s">
        <v>1494</v>
      </c>
      <c r="D282" s="1" t="s">
        <v>616</v>
      </c>
      <c r="E282" s="1" t="s">
        <v>1441</v>
      </c>
      <c r="F282" s="1" t="s">
        <v>1465</v>
      </c>
      <c r="G282" s="1" t="s">
        <v>1491</v>
      </c>
      <c r="H282" s="2">
        <v>0</v>
      </c>
      <c r="I282" s="2">
        <v>1</v>
      </c>
      <c r="J282" s="2">
        <v>1</v>
      </c>
      <c r="K282" s="2">
        <v>1</v>
      </c>
      <c r="L282" s="3" t="s">
        <v>127</v>
      </c>
      <c r="N282" s="3">
        <v>1</v>
      </c>
      <c r="O282" s="4">
        <v>4</v>
      </c>
      <c r="P282" s="4" t="s">
        <v>1495</v>
      </c>
      <c r="Q282" s="4" t="s">
        <v>1496</v>
      </c>
      <c r="R282" s="16">
        <v>110000</v>
      </c>
      <c r="S282" s="6">
        <v>110000</v>
      </c>
      <c r="T282" s="17"/>
      <c r="U282" s="6"/>
      <c r="V282" s="4"/>
      <c r="W282" s="4"/>
      <c r="X282" s="4"/>
      <c r="Y282" s="7">
        <v>5</v>
      </c>
      <c r="Z282" s="8"/>
      <c r="AA282" s="7" t="s">
        <v>1348</v>
      </c>
      <c r="AB282" s="7" t="s">
        <v>1497</v>
      </c>
      <c r="AC282" s="9">
        <v>1</v>
      </c>
      <c r="AD282" s="10"/>
      <c r="AE282" s="9" t="s">
        <v>82</v>
      </c>
      <c r="AF282" s="9" t="s">
        <v>1498</v>
      </c>
      <c r="AG282" s="11">
        <v>4</v>
      </c>
      <c r="AH282" s="11" t="s">
        <v>1048</v>
      </c>
      <c r="AI282" s="11"/>
      <c r="AJ282" s="11"/>
      <c r="AK282" s="11"/>
      <c r="AL282" s="12">
        <v>2</v>
      </c>
      <c r="AM282" s="12" t="s">
        <v>1048</v>
      </c>
      <c r="AN282" s="12"/>
      <c r="AO282" s="12"/>
      <c r="AP282" s="12"/>
      <c r="AQ282" s="4">
        <v>4</v>
      </c>
      <c r="AR282" s="4" t="s">
        <v>621</v>
      </c>
      <c r="AS282" s="4"/>
      <c r="AT282" s="13"/>
      <c r="AU282" s="13"/>
      <c r="AV282" s="13"/>
      <c r="AW282" s="13"/>
      <c r="AX282" s="4"/>
      <c r="AY282" s="13"/>
      <c r="AZ282" s="13"/>
      <c r="BA282" s="13"/>
      <c r="BB282" s="13"/>
      <c r="BC282" s="4"/>
      <c r="BD282" s="4"/>
      <c r="BE282" s="4"/>
      <c r="BF282" s="13"/>
      <c r="BG282" s="4"/>
      <c r="BH282" s="13"/>
      <c r="BI282" s="13"/>
      <c r="BJ282" s="4"/>
      <c r="BK282" s="14">
        <v>17</v>
      </c>
      <c r="BL282" s="14">
        <v>11</v>
      </c>
      <c r="BM282" s="14">
        <v>17</v>
      </c>
      <c r="BN282" s="3" t="s">
        <v>312</v>
      </c>
      <c r="BP282" s="15"/>
      <c r="BQ282" s="15"/>
      <c r="BR282" s="2" t="s">
        <v>1325</v>
      </c>
      <c r="BS282" s="2" t="s">
        <v>1325</v>
      </c>
      <c r="BT282" s="7" t="s">
        <v>1326</v>
      </c>
      <c r="BU282" s="7"/>
      <c r="BV282" s="9" t="s">
        <v>1154</v>
      </c>
      <c r="BW282" s="9"/>
    </row>
    <row r="283" spans="1:75" ht="14.25" customHeight="1" x14ac:dyDescent="0.25">
      <c r="A283" s="1">
        <v>667</v>
      </c>
      <c r="B283" s="1" t="s">
        <v>1499</v>
      </c>
      <c r="C283" s="1" t="s">
        <v>1500</v>
      </c>
      <c r="D283" s="1" t="s">
        <v>616</v>
      </c>
      <c r="E283" s="1" t="s">
        <v>1441</v>
      </c>
      <c r="F283" s="1" t="s">
        <v>1465</v>
      </c>
      <c r="G283" s="1" t="s">
        <v>1466</v>
      </c>
      <c r="H283" s="2">
        <v>0</v>
      </c>
      <c r="I283" s="2">
        <v>1</v>
      </c>
      <c r="J283" s="2">
        <v>1</v>
      </c>
      <c r="K283" s="2">
        <v>1</v>
      </c>
      <c r="L283" s="3" t="s">
        <v>127</v>
      </c>
      <c r="N283" s="3">
        <v>1</v>
      </c>
      <c r="O283" s="4">
        <v>2</v>
      </c>
      <c r="P283" s="4" t="s">
        <v>81</v>
      </c>
      <c r="Q283" s="4"/>
      <c r="R283" s="5"/>
      <c r="S283" s="6"/>
      <c r="T283" s="17"/>
      <c r="U283" s="6"/>
      <c r="V283" s="4"/>
      <c r="W283" s="4"/>
      <c r="X283" s="4"/>
      <c r="Y283" s="7">
        <v>5</v>
      </c>
      <c r="Z283" s="8"/>
      <c r="AA283" s="7" t="s">
        <v>1348</v>
      </c>
      <c r="AB283" s="7" t="s">
        <v>1501</v>
      </c>
      <c r="AC283" s="9">
        <v>1</v>
      </c>
      <c r="AD283" s="10"/>
      <c r="AE283" s="9" t="s">
        <v>82</v>
      </c>
      <c r="AF283" s="9" t="s">
        <v>1246</v>
      </c>
      <c r="AG283" s="11">
        <v>4</v>
      </c>
      <c r="AH283" s="11" t="s">
        <v>1048</v>
      </c>
      <c r="AI283" s="11"/>
      <c r="AJ283" s="11"/>
      <c r="AK283" s="11"/>
      <c r="AL283" s="12">
        <v>3</v>
      </c>
      <c r="AM283" s="12" t="s">
        <v>1048</v>
      </c>
      <c r="AN283" s="12"/>
      <c r="AO283" s="12"/>
      <c r="AP283" s="12"/>
      <c r="AQ283" s="4">
        <v>3</v>
      </c>
      <c r="AR283" s="4" t="s">
        <v>621</v>
      </c>
      <c r="AS283" s="4"/>
      <c r="AT283" s="13"/>
      <c r="AU283" s="13"/>
      <c r="AV283" s="13"/>
      <c r="AW283" s="13"/>
      <c r="AX283" s="4"/>
      <c r="AY283" s="13"/>
      <c r="AZ283" s="13"/>
      <c r="BA283" s="13"/>
      <c r="BB283" s="13"/>
      <c r="BC283" s="4"/>
      <c r="BD283" s="4"/>
      <c r="BE283" s="4"/>
      <c r="BF283" s="13"/>
      <c r="BG283" s="4"/>
      <c r="BH283" s="13"/>
      <c r="BI283" s="13"/>
      <c r="BJ283" s="4"/>
      <c r="BK283" s="14">
        <v>14</v>
      </c>
      <c r="BL283" s="14">
        <v>9</v>
      </c>
      <c r="BM283" s="14">
        <v>14</v>
      </c>
      <c r="BN283" s="3" t="s">
        <v>86</v>
      </c>
      <c r="BP283" s="15"/>
      <c r="BQ283" s="15"/>
      <c r="BR283" s="2" t="s">
        <v>1368</v>
      </c>
      <c r="BS283" s="2" t="s">
        <v>1368</v>
      </c>
      <c r="BT283" s="7" t="s">
        <v>1326</v>
      </c>
      <c r="BU283" s="7"/>
      <c r="BV283" s="9" t="s">
        <v>1154</v>
      </c>
      <c r="BW283" s="9"/>
    </row>
    <row r="284" spans="1:75" ht="14.25" customHeight="1" x14ac:dyDescent="0.25">
      <c r="A284" s="1">
        <v>668</v>
      </c>
      <c r="B284" s="1" t="s">
        <v>1502</v>
      </c>
      <c r="C284" s="1" t="s">
        <v>1503</v>
      </c>
      <c r="D284" s="1" t="s">
        <v>616</v>
      </c>
      <c r="E284" s="1" t="s">
        <v>1441</v>
      </c>
      <c r="F284" s="1" t="s">
        <v>1465</v>
      </c>
      <c r="G284" s="1" t="s">
        <v>1491</v>
      </c>
      <c r="H284" s="2">
        <v>0</v>
      </c>
      <c r="I284" s="2">
        <v>1</v>
      </c>
      <c r="J284" s="2">
        <v>1</v>
      </c>
      <c r="K284" s="2">
        <v>1</v>
      </c>
      <c r="L284" s="3" t="s">
        <v>127</v>
      </c>
      <c r="O284" s="4">
        <v>3</v>
      </c>
      <c r="P284" s="4" t="s">
        <v>1196</v>
      </c>
      <c r="Q284" s="4" t="s">
        <v>1146</v>
      </c>
      <c r="R284" s="16">
        <v>600000</v>
      </c>
      <c r="S284" s="6">
        <v>600000</v>
      </c>
      <c r="T284" s="17"/>
      <c r="U284" s="6"/>
      <c r="V284" s="4"/>
      <c r="W284" s="4"/>
      <c r="X284" s="4"/>
      <c r="Y284" s="7">
        <v>5</v>
      </c>
      <c r="Z284" s="8"/>
      <c r="AA284" s="7" t="s">
        <v>1348</v>
      </c>
      <c r="AB284" s="7" t="s">
        <v>1504</v>
      </c>
      <c r="AC284" s="9">
        <v>1</v>
      </c>
      <c r="AD284" s="10"/>
      <c r="AE284" s="9" t="s">
        <v>82</v>
      </c>
      <c r="AF284" s="9" t="s">
        <v>1246</v>
      </c>
      <c r="AG284" s="11">
        <v>4</v>
      </c>
      <c r="AH284" s="11" t="s">
        <v>1048</v>
      </c>
      <c r="AI284" s="11"/>
      <c r="AJ284" s="11"/>
      <c r="AK284" s="11"/>
      <c r="AL284" s="12">
        <v>3</v>
      </c>
      <c r="AM284" s="12" t="s">
        <v>1048</v>
      </c>
      <c r="AN284" s="12"/>
      <c r="AO284" s="12"/>
      <c r="AP284" s="12"/>
      <c r="AQ284" s="4">
        <v>4</v>
      </c>
      <c r="AR284" s="4" t="s">
        <v>621</v>
      </c>
      <c r="AS284" s="4" t="s">
        <v>1492</v>
      </c>
      <c r="AT284" s="13"/>
      <c r="AU284" s="13"/>
      <c r="AV284" s="13"/>
      <c r="AW284" s="13"/>
      <c r="AX284" s="4"/>
      <c r="AY284" s="13"/>
      <c r="AZ284" s="13"/>
      <c r="BA284" s="13"/>
      <c r="BB284" s="13"/>
      <c r="BC284" s="4"/>
      <c r="BD284" s="4"/>
      <c r="BE284" s="4"/>
      <c r="BF284" s="13"/>
      <c r="BG284" s="4"/>
      <c r="BH284" s="13"/>
      <c r="BI284" s="13"/>
      <c r="BJ284" s="4"/>
      <c r="BK284" s="14">
        <v>16</v>
      </c>
      <c r="BL284" s="14">
        <v>11</v>
      </c>
      <c r="BM284" s="14">
        <v>16</v>
      </c>
      <c r="BN284" s="3" t="s">
        <v>86</v>
      </c>
      <c r="BP284" s="15"/>
      <c r="BQ284" s="15"/>
      <c r="BR284" s="2" t="s">
        <v>1224</v>
      </c>
      <c r="BS284" s="2" t="s">
        <v>1224</v>
      </c>
      <c r="BT284" s="7" t="s">
        <v>1153</v>
      </c>
      <c r="BU284" s="7" t="s">
        <v>163</v>
      </c>
      <c r="BV284" s="9" t="s">
        <v>1154</v>
      </c>
      <c r="BW284" s="9" t="s">
        <v>163</v>
      </c>
    </row>
    <row r="285" spans="1:75" ht="14.25" customHeight="1" x14ac:dyDescent="0.25">
      <c r="A285" s="1">
        <v>672</v>
      </c>
      <c r="B285" s="1" t="s">
        <v>1505</v>
      </c>
      <c r="C285" s="1" t="s">
        <v>1506</v>
      </c>
      <c r="D285" s="1" t="s">
        <v>616</v>
      </c>
      <c r="E285" s="1" t="s">
        <v>1441</v>
      </c>
      <c r="F285" s="1" t="s">
        <v>1465</v>
      </c>
      <c r="G285" s="1" t="s">
        <v>1491</v>
      </c>
      <c r="H285" s="2">
        <v>0</v>
      </c>
      <c r="I285" s="2">
        <v>1</v>
      </c>
      <c r="J285" s="2">
        <v>1</v>
      </c>
      <c r="K285" s="2">
        <v>1</v>
      </c>
      <c r="L285" s="3" t="s">
        <v>127</v>
      </c>
      <c r="O285" s="4">
        <v>3</v>
      </c>
      <c r="P285" s="4" t="s">
        <v>1145</v>
      </c>
      <c r="Q285" s="4" t="s">
        <v>1507</v>
      </c>
      <c r="R285" s="5"/>
      <c r="S285" s="6"/>
      <c r="T285" s="17"/>
      <c r="U285" s="6"/>
      <c r="V285" s="4"/>
      <c r="W285" s="4"/>
      <c r="X285" s="4"/>
      <c r="Y285" s="7">
        <v>4</v>
      </c>
      <c r="Z285" s="8">
        <v>111214</v>
      </c>
      <c r="AA285" s="7" t="s">
        <v>130</v>
      </c>
      <c r="AB285" s="7" t="s">
        <v>1508</v>
      </c>
      <c r="AC285" s="9">
        <v>2</v>
      </c>
      <c r="AD285" s="10">
        <v>2565465</v>
      </c>
      <c r="AE285" s="9" t="s">
        <v>130</v>
      </c>
      <c r="AF285" s="9"/>
      <c r="AG285" s="11">
        <v>4</v>
      </c>
      <c r="AH285" s="11" t="s">
        <v>1048</v>
      </c>
      <c r="AI285" s="11"/>
      <c r="AJ285" s="11"/>
      <c r="AK285" s="11"/>
      <c r="AL285" s="12">
        <v>2</v>
      </c>
      <c r="AM285" s="12" t="s">
        <v>1048</v>
      </c>
      <c r="AN285" s="12"/>
      <c r="AO285" s="12"/>
      <c r="AP285" s="12"/>
      <c r="AQ285" s="4">
        <v>4</v>
      </c>
      <c r="AR285" s="4" t="s">
        <v>621</v>
      </c>
      <c r="AS285" s="4" t="s">
        <v>1492</v>
      </c>
      <c r="AT285" s="13"/>
      <c r="AU285" s="13"/>
      <c r="AV285" s="13"/>
      <c r="AW285" s="13"/>
      <c r="AX285" s="4"/>
      <c r="AY285" s="13"/>
      <c r="AZ285" s="13"/>
      <c r="BA285" s="13"/>
      <c r="BB285" s="13"/>
      <c r="BC285" s="4"/>
      <c r="BD285" s="4"/>
      <c r="BE285" s="4"/>
      <c r="BF285" s="13"/>
      <c r="BG285" s="4"/>
      <c r="BH285" s="13"/>
      <c r="BI285" s="13"/>
      <c r="BJ285" s="4"/>
      <c r="BK285" s="14">
        <v>15</v>
      </c>
      <c r="BL285" s="14">
        <v>11</v>
      </c>
      <c r="BM285" s="14">
        <v>15</v>
      </c>
      <c r="BN285" s="3" t="s">
        <v>86</v>
      </c>
      <c r="BP285" s="15"/>
      <c r="BQ285" s="15"/>
      <c r="BR285" s="2" t="s">
        <v>1224</v>
      </c>
      <c r="BS285" s="2" t="s">
        <v>1224</v>
      </c>
      <c r="BT285" s="7" t="s">
        <v>1153</v>
      </c>
      <c r="BU285" s="7" t="s">
        <v>163</v>
      </c>
      <c r="BV285" s="9" t="s">
        <v>1154</v>
      </c>
      <c r="BW285" s="9" t="s">
        <v>163</v>
      </c>
    </row>
    <row r="286" spans="1:75" ht="14.25" customHeight="1" x14ac:dyDescent="0.25">
      <c r="A286" s="1">
        <v>674</v>
      </c>
      <c r="B286" s="1" t="s">
        <v>1509</v>
      </c>
      <c r="C286" s="1" t="s">
        <v>1510</v>
      </c>
      <c r="D286" s="1" t="s">
        <v>616</v>
      </c>
      <c r="E286" s="1" t="s">
        <v>1441</v>
      </c>
      <c r="F286" s="1" t="s">
        <v>1511</v>
      </c>
      <c r="G286" s="1"/>
      <c r="H286" s="2">
        <v>1</v>
      </c>
      <c r="I286" s="2">
        <v>1</v>
      </c>
      <c r="J286" s="2">
        <v>1</v>
      </c>
      <c r="K286" s="2">
        <v>0</v>
      </c>
      <c r="L286" s="3" t="s">
        <v>127</v>
      </c>
      <c r="O286" s="4">
        <v>2</v>
      </c>
      <c r="P286" s="4" t="s">
        <v>812</v>
      </c>
      <c r="Q286" s="4" t="s">
        <v>1512</v>
      </c>
      <c r="R286" s="16">
        <v>14000000</v>
      </c>
      <c r="S286" s="6">
        <v>14000000</v>
      </c>
      <c r="T286" s="16">
        <v>2200000</v>
      </c>
      <c r="U286" s="6">
        <v>2200000</v>
      </c>
      <c r="V286" s="4">
        <v>2010</v>
      </c>
      <c r="W286" s="4" t="s">
        <v>1513</v>
      </c>
      <c r="X286" s="4"/>
      <c r="Y286" s="7">
        <v>1</v>
      </c>
      <c r="Z286" s="8">
        <v>28800000</v>
      </c>
      <c r="AA286" s="7" t="s">
        <v>1145</v>
      </c>
      <c r="AB286" s="7"/>
      <c r="AC286" s="9">
        <v>1</v>
      </c>
      <c r="AD286" s="10"/>
      <c r="AE286" s="9" t="s">
        <v>82</v>
      </c>
      <c r="AF286" s="9" t="s">
        <v>1246</v>
      </c>
      <c r="AG286" s="11">
        <v>3</v>
      </c>
      <c r="AH286" s="11" t="s">
        <v>1149</v>
      </c>
      <c r="AI286" s="11"/>
      <c r="AJ286" s="11">
        <v>3</v>
      </c>
      <c r="AK286" s="11" t="s">
        <v>143</v>
      </c>
      <c r="AL286" s="12">
        <v>3</v>
      </c>
      <c r="AM286" s="12" t="s">
        <v>1149</v>
      </c>
      <c r="AN286" s="12"/>
      <c r="AO286" s="12">
        <v>2</v>
      </c>
      <c r="AP286" s="12" t="s">
        <v>143</v>
      </c>
      <c r="AQ286" s="4">
        <v>3</v>
      </c>
      <c r="AR286" s="4" t="s">
        <v>222</v>
      </c>
      <c r="AS286" s="4" t="s">
        <v>1514</v>
      </c>
      <c r="AT286" s="13">
        <v>-42.120365142822301</v>
      </c>
      <c r="AU286" s="13">
        <v>-1.10972428321838</v>
      </c>
      <c r="AV286" s="13">
        <v>-3.0999999046325701</v>
      </c>
      <c r="AW286" s="13">
        <v>0.80000001192092896</v>
      </c>
      <c r="AX286" s="4"/>
      <c r="AY286" s="13">
        <v>-28.8786525726318</v>
      </c>
      <c r="AZ286" s="13">
        <v>-1.35388207435608</v>
      </c>
      <c r="BA286" s="13">
        <v>-5.9374585151672399</v>
      </c>
      <c r="BB286" s="13">
        <v>2.91335892677307</v>
      </c>
      <c r="BC286" s="4"/>
      <c r="BD286" s="4">
        <v>25</v>
      </c>
      <c r="BE286" s="4"/>
      <c r="BF286" s="13">
        <v>3.9000000953674299</v>
      </c>
      <c r="BG286" s="4"/>
      <c r="BH286" s="13"/>
      <c r="BI286" s="13"/>
      <c r="BJ286" s="4"/>
      <c r="BK286" s="14">
        <v>9</v>
      </c>
      <c r="BL286" s="14">
        <v>9</v>
      </c>
      <c r="BM286" s="14">
        <v>9</v>
      </c>
      <c r="BP286" s="15"/>
      <c r="BQ286" s="15"/>
      <c r="BR286" s="2" t="s">
        <v>161</v>
      </c>
      <c r="BS286" s="2" t="s">
        <v>1163</v>
      </c>
      <c r="BT286" s="7" t="s">
        <v>1153</v>
      </c>
      <c r="BU286" s="7" t="s">
        <v>163</v>
      </c>
      <c r="BV286" s="9" t="s">
        <v>1154</v>
      </c>
      <c r="BW286" s="9"/>
    </row>
    <row r="287" spans="1:75" ht="14.25" customHeight="1" x14ac:dyDescent="0.25">
      <c r="A287" s="1">
        <v>678</v>
      </c>
      <c r="B287" s="1" t="s">
        <v>1515</v>
      </c>
      <c r="C287" s="1" t="s">
        <v>1516</v>
      </c>
      <c r="D287" s="1" t="s">
        <v>616</v>
      </c>
      <c r="E287" s="1" t="s">
        <v>1441</v>
      </c>
      <c r="F287" s="1" t="s">
        <v>1511</v>
      </c>
      <c r="G287" s="1"/>
      <c r="H287" s="2">
        <v>0</v>
      </c>
      <c r="I287" s="2">
        <v>1</v>
      </c>
      <c r="J287" s="2">
        <v>0</v>
      </c>
      <c r="K287" s="2">
        <v>0</v>
      </c>
      <c r="L287" s="3" t="s">
        <v>127</v>
      </c>
      <c r="N287" s="3">
        <v>1</v>
      </c>
      <c r="O287" s="4">
        <v>5</v>
      </c>
      <c r="P287" s="4" t="s">
        <v>1517</v>
      </c>
      <c r="Q287" s="4" t="s">
        <v>1518</v>
      </c>
      <c r="R287" s="16">
        <v>2250</v>
      </c>
      <c r="S287" s="6">
        <v>2250</v>
      </c>
      <c r="T287" s="17"/>
      <c r="U287" s="6"/>
      <c r="V287" s="4"/>
      <c r="W287" s="4"/>
      <c r="X287" s="4"/>
      <c r="Y287" s="7">
        <v>5</v>
      </c>
      <c r="Z287" s="8"/>
      <c r="AA287" s="7" t="s">
        <v>1331</v>
      </c>
      <c r="AB287" s="7" t="s">
        <v>1519</v>
      </c>
      <c r="AC287" s="9">
        <v>1</v>
      </c>
      <c r="AD287" s="10"/>
      <c r="AE287" s="9" t="s">
        <v>1517</v>
      </c>
      <c r="AF287" s="9"/>
      <c r="AG287" s="11">
        <v>3</v>
      </c>
      <c r="AH287" s="11" t="s">
        <v>1517</v>
      </c>
      <c r="AI287" s="11" t="s">
        <v>1520</v>
      </c>
      <c r="AJ287" s="11"/>
      <c r="AK287" s="11"/>
      <c r="AL287" s="12">
        <v>3</v>
      </c>
      <c r="AM287" s="12" t="s">
        <v>1517</v>
      </c>
      <c r="AN287" s="12" t="s">
        <v>1521</v>
      </c>
      <c r="AO287" s="12"/>
      <c r="AP287" s="12"/>
      <c r="AQ287" s="4">
        <v>3</v>
      </c>
      <c r="AR287" s="4" t="s">
        <v>1461</v>
      </c>
      <c r="AS287" s="4" t="s">
        <v>1522</v>
      </c>
      <c r="AT287" s="13"/>
      <c r="AU287" s="13"/>
      <c r="AV287" s="13"/>
      <c r="AW287" s="13"/>
      <c r="AX287" s="4"/>
      <c r="AY287" s="13"/>
      <c r="AZ287" s="13"/>
      <c r="BA287" s="13"/>
      <c r="BB287" s="13"/>
      <c r="BC287" s="4"/>
      <c r="BD287" s="4"/>
      <c r="BE287" s="4"/>
      <c r="BF287" s="13"/>
      <c r="BG287" s="4"/>
      <c r="BH287" s="13"/>
      <c r="BI287" s="13"/>
      <c r="BJ287" s="4"/>
      <c r="BK287" s="14">
        <v>16</v>
      </c>
      <c r="BL287" s="14">
        <v>12</v>
      </c>
      <c r="BM287" s="14">
        <v>16</v>
      </c>
      <c r="BN287" s="3" t="s">
        <v>86</v>
      </c>
      <c r="BP287" s="15"/>
      <c r="BQ287" s="15"/>
      <c r="BR287" s="2" t="s">
        <v>1152</v>
      </c>
      <c r="BS287" s="2" t="s">
        <v>1152</v>
      </c>
      <c r="BT287" s="7" t="s">
        <v>1326</v>
      </c>
      <c r="BU287" s="7"/>
      <c r="BV287" s="9" t="s">
        <v>1154</v>
      </c>
      <c r="BW287" s="9"/>
    </row>
    <row r="288" spans="1:75" ht="14.25" customHeight="1" x14ac:dyDescent="0.25">
      <c r="A288" s="1">
        <v>680</v>
      </c>
      <c r="B288" s="1" t="s">
        <v>1523</v>
      </c>
      <c r="C288" s="1" t="s">
        <v>1524</v>
      </c>
      <c r="D288" s="1" t="s">
        <v>616</v>
      </c>
      <c r="E288" s="1" t="s">
        <v>1441</v>
      </c>
      <c r="F288" s="1" t="s">
        <v>1511</v>
      </c>
      <c r="G288" s="1" t="s">
        <v>118</v>
      </c>
      <c r="H288" s="2">
        <v>1</v>
      </c>
      <c r="I288" s="2">
        <v>1</v>
      </c>
      <c r="J288" s="2">
        <v>0</v>
      </c>
      <c r="K288" s="2">
        <v>0</v>
      </c>
      <c r="L288" s="3" t="s">
        <v>127</v>
      </c>
      <c r="N288" s="3">
        <v>1</v>
      </c>
      <c r="O288" s="4">
        <v>4</v>
      </c>
      <c r="P288" s="4" t="s">
        <v>1517</v>
      </c>
      <c r="Q288" s="4" t="s">
        <v>1525</v>
      </c>
      <c r="R288" s="16">
        <v>270000</v>
      </c>
      <c r="S288" s="6">
        <v>270000</v>
      </c>
      <c r="T288" s="17"/>
      <c r="U288" s="6"/>
      <c r="V288" s="4"/>
      <c r="W288" s="4"/>
      <c r="X288" s="4"/>
      <c r="Y288" s="7">
        <v>4</v>
      </c>
      <c r="Z288" s="8"/>
      <c r="AA288" s="7" t="s">
        <v>1331</v>
      </c>
      <c r="AB288" s="7" t="s">
        <v>1526</v>
      </c>
      <c r="AC288" s="9">
        <v>1</v>
      </c>
      <c r="AD288" s="10"/>
      <c r="AE288" s="9" t="s">
        <v>1517</v>
      </c>
      <c r="AF288" s="9"/>
      <c r="AG288" s="11">
        <v>4</v>
      </c>
      <c r="AH288" s="11" t="s">
        <v>1517</v>
      </c>
      <c r="AI288" s="11" t="s">
        <v>1527</v>
      </c>
      <c r="AJ288" s="11"/>
      <c r="AK288" s="11"/>
      <c r="AL288" s="12">
        <v>3</v>
      </c>
      <c r="AM288" s="12" t="s">
        <v>1517</v>
      </c>
      <c r="AN288" s="12" t="s">
        <v>1521</v>
      </c>
      <c r="AO288" s="12"/>
      <c r="AP288" s="12"/>
      <c r="AQ288" s="4">
        <v>4</v>
      </c>
      <c r="AR288" s="4" t="s">
        <v>1461</v>
      </c>
      <c r="AS288" s="4" t="s">
        <v>1528</v>
      </c>
      <c r="AT288" s="13"/>
      <c r="AU288" s="13"/>
      <c r="AV288" s="13"/>
      <c r="AW288" s="13"/>
      <c r="AX288" s="4"/>
      <c r="AY288" s="13"/>
      <c r="AZ288" s="13"/>
      <c r="BA288" s="13"/>
      <c r="BB288" s="13"/>
      <c r="BC288" s="4"/>
      <c r="BD288" s="4"/>
      <c r="BE288" s="4"/>
      <c r="BF288" s="13"/>
      <c r="BG288" s="4"/>
      <c r="BH288" s="13"/>
      <c r="BI288" s="13"/>
      <c r="BJ288" s="4"/>
      <c r="BK288" s="14">
        <v>16</v>
      </c>
      <c r="BL288" s="14">
        <v>12</v>
      </c>
      <c r="BM288" s="14">
        <v>16</v>
      </c>
      <c r="BN288" s="3" t="s">
        <v>86</v>
      </c>
      <c r="BP288" s="15"/>
      <c r="BQ288" s="15"/>
      <c r="BR288" s="2" t="s">
        <v>1353</v>
      </c>
      <c r="BS288" s="2" t="s">
        <v>1368</v>
      </c>
      <c r="BT288" s="7" t="s">
        <v>1326</v>
      </c>
      <c r="BU288" s="7"/>
      <c r="BV288" s="9" t="s">
        <v>1154</v>
      </c>
      <c r="BW288" s="9"/>
    </row>
    <row r="289" spans="1:75" ht="14.25" customHeight="1" x14ac:dyDescent="0.25">
      <c r="A289" s="1">
        <v>681</v>
      </c>
      <c r="B289" s="1" t="s">
        <v>1529</v>
      </c>
      <c r="C289" s="1" t="s">
        <v>1530</v>
      </c>
      <c r="D289" s="1" t="s">
        <v>616</v>
      </c>
      <c r="E289" s="1" t="s">
        <v>1441</v>
      </c>
      <c r="F289" s="1" t="s">
        <v>1511</v>
      </c>
      <c r="G289" s="1" t="s">
        <v>118</v>
      </c>
      <c r="H289" s="2">
        <v>1</v>
      </c>
      <c r="I289" s="2">
        <v>1</v>
      </c>
      <c r="J289" s="2">
        <v>0</v>
      </c>
      <c r="K289" s="2">
        <v>0</v>
      </c>
      <c r="L289" s="3" t="s">
        <v>127</v>
      </c>
      <c r="N289" s="3">
        <v>1</v>
      </c>
      <c r="O289" s="4">
        <v>3</v>
      </c>
      <c r="P289" s="4" t="s">
        <v>1517</v>
      </c>
      <c r="Q289" s="4" t="s">
        <v>1531</v>
      </c>
      <c r="R289" s="16">
        <v>780000</v>
      </c>
      <c r="S289" s="6">
        <v>780000</v>
      </c>
      <c r="T289" s="17"/>
      <c r="U289" s="6"/>
      <c r="V289" s="4"/>
      <c r="W289" s="4"/>
      <c r="X289" s="4"/>
      <c r="Y289" s="7">
        <v>5</v>
      </c>
      <c r="Z289" s="8"/>
      <c r="AA289" s="7" t="s">
        <v>1331</v>
      </c>
      <c r="AB289" s="7" t="s">
        <v>1532</v>
      </c>
      <c r="AC289" s="9">
        <v>1</v>
      </c>
      <c r="AD289" s="10"/>
      <c r="AE289" s="9" t="s">
        <v>1331</v>
      </c>
      <c r="AF289" s="9"/>
      <c r="AG289" s="11">
        <v>4</v>
      </c>
      <c r="AH289" s="11" t="s">
        <v>1517</v>
      </c>
      <c r="AI289" s="11" t="s">
        <v>1533</v>
      </c>
      <c r="AJ289" s="11"/>
      <c r="AK289" s="11"/>
      <c r="AL289" s="12">
        <v>3</v>
      </c>
      <c r="AM289" s="12" t="s">
        <v>1517</v>
      </c>
      <c r="AN289" s="12" t="s">
        <v>1521</v>
      </c>
      <c r="AO289" s="12"/>
      <c r="AP289" s="12"/>
      <c r="AQ289" s="4">
        <v>4</v>
      </c>
      <c r="AR289" s="4" t="s">
        <v>1461</v>
      </c>
      <c r="AS289" s="4" t="s">
        <v>1534</v>
      </c>
      <c r="AT289" s="13"/>
      <c r="AU289" s="13"/>
      <c r="AV289" s="13"/>
      <c r="AW289" s="13"/>
      <c r="AX289" s="4"/>
      <c r="AY289" s="13"/>
      <c r="AZ289" s="13"/>
      <c r="BA289" s="13"/>
      <c r="BB289" s="13"/>
      <c r="BC289" s="4"/>
      <c r="BD289" s="4"/>
      <c r="BE289" s="4"/>
      <c r="BF289" s="13"/>
      <c r="BG289" s="4"/>
      <c r="BH289" s="13"/>
      <c r="BI289" s="13"/>
      <c r="BJ289" s="4"/>
      <c r="BK289" s="14">
        <v>16</v>
      </c>
      <c r="BL289" s="14">
        <v>11</v>
      </c>
      <c r="BM289" s="14">
        <v>16</v>
      </c>
      <c r="BN289" s="3" t="s">
        <v>86</v>
      </c>
      <c r="BO289" s="3" t="s">
        <v>120</v>
      </c>
      <c r="BP289" s="15"/>
      <c r="BQ289" s="15"/>
      <c r="BR289" s="2" t="s">
        <v>1126</v>
      </c>
      <c r="BS289" s="2" t="s">
        <v>1353</v>
      </c>
      <c r="BT289" s="7" t="s">
        <v>1326</v>
      </c>
      <c r="BU289" s="7"/>
      <c r="BV289" s="9" t="s">
        <v>1154</v>
      </c>
      <c r="BW289" s="9"/>
    </row>
    <row r="290" spans="1:75" ht="14.25" customHeight="1" x14ac:dyDescent="0.25">
      <c r="A290" s="1">
        <v>682</v>
      </c>
      <c r="B290" s="1" t="s">
        <v>1535</v>
      </c>
      <c r="C290" s="1" t="s">
        <v>1536</v>
      </c>
      <c r="D290" s="1" t="s">
        <v>616</v>
      </c>
      <c r="E290" s="1" t="s">
        <v>1441</v>
      </c>
      <c r="F290" s="1" t="s">
        <v>1511</v>
      </c>
      <c r="G290" s="1" t="s">
        <v>118</v>
      </c>
      <c r="H290" s="2">
        <v>0</v>
      </c>
      <c r="I290" s="2">
        <v>1</v>
      </c>
      <c r="J290" s="2">
        <v>0</v>
      </c>
      <c r="K290" s="2">
        <v>0</v>
      </c>
      <c r="L290" s="3" t="s">
        <v>127</v>
      </c>
      <c r="O290" s="4">
        <v>5</v>
      </c>
      <c r="P290" s="4" t="s">
        <v>1145</v>
      </c>
      <c r="Q290" s="4"/>
      <c r="R290" s="5">
        <v>140</v>
      </c>
      <c r="S290" s="6">
        <v>140</v>
      </c>
      <c r="T290" s="17"/>
      <c r="U290" s="6"/>
      <c r="V290" s="4"/>
      <c r="W290" s="4"/>
      <c r="X290" s="4"/>
      <c r="Y290" s="7">
        <v>5</v>
      </c>
      <c r="Z290" s="8"/>
      <c r="AA290" s="7" t="s">
        <v>1331</v>
      </c>
      <c r="AB290" s="7"/>
      <c r="AC290" s="9">
        <v>3</v>
      </c>
      <c r="AD290" s="10"/>
      <c r="AE290" s="9" t="s">
        <v>1331</v>
      </c>
      <c r="AF290" s="9"/>
      <c r="AG290" s="11">
        <v>5</v>
      </c>
      <c r="AH290" s="11" t="s">
        <v>620</v>
      </c>
      <c r="AI290" s="11" t="s">
        <v>1537</v>
      </c>
      <c r="AJ290" s="11"/>
      <c r="AK290" s="11"/>
      <c r="AL290" s="12">
        <v>3</v>
      </c>
      <c r="AM290" s="12" t="s">
        <v>620</v>
      </c>
      <c r="AN290" s="12"/>
      <c r="AO290" s="12"/>
      <c r="AP290" s="12"/>
      <c r="AQ290" s="4">
        <v>3</v>
      </c>
      <c r="AR290" s="4" t="s">
        <v>1048</v>
      </c>
      <c r="AS290" s="4" t="s">
        <v>1538</v>
      </c>
      <c r="AT290" s="13"/>
      <c r="AU290" s="13"/>
      <c r="AV290" s="13"/>
      <c r="AW290" s="13"/>
      <c r="AX290" s="4"/>
      <c r="AY290" s="13"/>
      <c r="AZ290" s="13"/>
      <c r="BA290" s="13"/>
      <c r="BB290" s="13"/>
      <c r="BC290" s="4"/>
      <c r="BD290" s="4"/>
      <c r="BE290" s="4"/>
      <c r="BF290" s="13"/>
      <c r="BG290" s="4"/>
      <c r="BH290" s="13"/>
      <c r="BI290" s="13"/>
      <c r="BJ290" s="4"/>
      <c r="BK290" s="14">
        <v>18</v>
      </c>
      <c r="BL290" s="14">
        <v>14</v>
      </c>
      <c r="BM290" s="14">
        <v>18</v>
      </c>
      <c r="BN290" s="3" t="s">
        <v>312</v>
      </c>
      <c r="BO290" s="3" t="s">
        <v>414</v>
      </c>
      <c r="BP290" s="15"/>
      <c r="BQ290" s="15"/>
      <c r="BR290" s="2" t="s">
        <v>791</v>
      </c>
      <c r="BS290" s="2" t="s">
        <v>1152</v>
      </c>
      <c r="BT290" s="7" t="s">
        <v>1326</v>
      </c>
      <c r="BU290" s="7"/>
      <c r="BV290" s="9" t="s">
        <v>1154</v>
      </c>
      <c r="BW290" s="9"/>
    </row>
    <row r="291" spans="1:75" ht="14.25" customHeight="1" x14ac:dyDescent="0.25">
      <c r="A291" s="1">
        <v>683</v>
      </c>
      <c r="B291" s="1" t="s">
        <v>1539</v>
      </c>
      <c r="C291" s="1" t="s">
        <v>1540</v>
      </c>
      <c r="D291" s="1" t="s">
        <v>616</v>
      </c>
      <c r="E291" s="1" t="s">
        <v>1441</v>
      </c>
      <c r="F291" s="1" t="s">
        <v>1511</v>
      </c>
      <c r="G291" s="1"/>
      <c r="H291" s="2">
        <v>0</v>
      </c>
      <c r="I291" s="2">
        <v>1</v>
      </c>
      <c r="J291" s="2">
        <v>0</v>
      </c>
      <c r="K291" s="2">
        <v>1</v>
      </c>
      <c r="L291" s="3" t="s">
        <v>127</v>
      </c>
      <c r="O291" s="4">
        <v>5</v>
      </c>
      <c r="P291" s="4" t="s">
        <v>1541</v>
      </c>
      <c r="Q291" s="4" t="s">
        <v>1542</v>
      </c>
      <c r="R291" s="16">
        <v>1500</v>
      </c>
      <c r="S291" s="6">
        <v>1500</v>
      </c>
      <c r="T291" s="17"/>
      <c r="U291" s="6"/>
      <c r="V291" s="4"/>
      <c r="W291" s="4"/>
      <c r="X291" s="4"/>
      <c r="Y291" s="7">
        <v>5</v>
      </c>
      <c r="Z291" s="8"/>
      <c r="AA291" s="7" t="s">
        <v>1348</v>
      </c>
      <c r="AB291" s="7" t="s">
        <v>1543</v>
      </c>
      <c r="AC291" s="9">
        <v>2</v>
      </c>
      <c r="AD291" s="10"/>
      <c r="AE291" s="9" t="s">
        <v>130</v>
      </c>
      <c r="AF291" s="9"/>
      <c r="AG291" s="11">
        <v>5</v>
      </c>
      <c r="AH291" s="11" t="s">
        <v>1048</v>
      </c>
      <c r="AI291" s="11"/>
      <c r="AJ291" s="11"/>
      <c r="AK291" s="11"/>
      <c r="AL291" s="12">
        <v>3</v>
      </c>
      <c r="AM291" s="12" t="s">
        <v>1048</v>
      </c>
      <c r="AN291" s="12"/>
      <c r="AO291" s="12"/>
      <c r="AP291" s="12"/>
      <c r="AQ291" s="4">
        <v>5</v>
      </c>
      <c r="AR291" s="4" t="s">
        <v>621</v>
      </c>
      <c r="AS291" s="4"/>
      <c r="AT291" s="13"/>
      <c r="AU291" s="13"/>
      <c r="AV291" s="13"/>
      <c r="AW291" s="13"/>
      <c r="AX291" s="4"/>
      <c r="AY291" s="13"/>
      <c r="AZ291" s="13"/>
      <c r="BA291" s="13"/>
      <c r="BB291" s="13"/>
      <c r="BC291" s="4"/>
      <c r="BD291" s="4"/>
      <c r="BE291" s="4"/>
      <c r="BF291" s="13"/>
      <c r="BG291" s="4"/>
      <c r="BH291" s="13"/>
      <c r="BI291" s="13"/>
      <c r="BJ291" s="4"/>
      <c r="BK291" s="14">
        <v>20</v>
      </c>
      <c r="BL291" s="14">
        <v>15</v>
      </c>
      <c r="BM291" s="14">
        <v>20</v>
      </c>
      <c r="BN291" s="3" t="s">
        <v>312</v>
      </c>
      <c r="BO291" s="3" t="s">
        <v>414</v>
      </c>
      <c r="BP291" s="15"/>
      <c r="BQ291" s="15"/>
      <c r="BR291" s="2" t="s">
        <v>791</v>
      </c>
      <c r="BS291" s="2" t="s">
        <v>1152</v>
      </c>
      <c r="BT291" s="7" t="s">
        <v>1326</v>
      </c>
      <c r="BU291" s="7"/>
      <c r="BV291" s="9" t="s">
        <v>1154</v>
      </c>
      <c r="BW291" s="9"/>
    </row>
    <row r="292" spans="1:75" ht="14.25" customHeight="1" x14ac:dyDescent="0.25">
      <c r="A292" s="1">
        <v>684</v>
      </c>
      <c r="B292" s="1" t="s">
        <v>1544</v>
      </c>
      <c r="C292" s="1" t="s">
        <v>1545</v>
      </c>
      <c r="D292" s="1" t="s">
        <v>616</v>
      </c>
      <c r="E292" s="1" t="s">
        <v>1441</v>
      </c>
      <c r="F292" s="1" t="s">
        <v>1511</v>
      </c>
      <c r="G292" s="1" t="s">
        <v>118</v>
      </c>
      <c r="H292" s="2">
        <v>0</v>
      </c>
      <c r="I292" s="2">
        <v>0</v>
      </c>
      <c r="J292" s="2">
        <v>1</v>
      </c>
      <c r="K292" s="2">
        <v>0</v>
      </c>
      <c r="L292" s="3" t="s">
        <v>127</v>
      </c>
      <c r="N292" s="3">
        <v>1</v>
      </c>
      <c r="O292" s="4">
        <v>3</v>
      </c>
      <c r="P292" s="4" t="s">
        <v>1461</v>
      </c>
      <c r="Q292" s="4"/>
      <c r="R292" s="16">
        <v>2000000</v>
      </c>
      <c r="S292" s="6">
        <v>2000000</v>
      </c>
      <c r="T292" s="17"/>
      <c r="U292" s="6"/>
      <c r="V292" s="4"/>
      <c r="W292" s="4"/>
      <c r="X292" s="4"/>
      <c r="Y292" s="7">
        <v>5</v>
      </c>
      <c r="Z292" s="8"/>
      <c r="AA292" s="7" t="s">
        <v>1546</v>
      </c>
      <c r="AB292" s="7"/>
      <c r="AC292" s="9">
        <v>1</v>
      </c>
      <c r="AD292" s="10"/>
      <c r="AE292" s="9" t="s">
        <v>369</v>
      </c>
      <c r="AF292" s="9"/>
      <c r="AG292" s="11">
        <v>4</v>
      </c>
      <c r="AH292" s="11" t="s">
        <v>1547</v>
      </c>
      <c r="AI292" s="11"/>
      <c r="AJ292" s="11"/>
      <c r="AK292" s="11"/>
      <c r="AL292" s="12">
        <v>3</v>
      </c>
      <c r="AM292" s="12" t="s">
        <v>1547</v>
      </c>
      <c r="AN292" s="12"/>
      <c r="AO292" s="12"/>
      <c r="AP292" s="12"/>
      <c r="AQ292" s="4">
        <v>4</v>
      </c>
      <c r="AR292" s="4" t="s">
        <v>1348</v>
      </c>
      <c r="AS292" s="4" t="s">
        <v>1548</v>
      </c>
      <c r="AT292" s="13"/>
      <c r="AU292" s="13"/>
      <c r="AV292" s="13"/>
      <c r="AW292" s="13"/>
      <c r="AX292" s="4"/>
      <c r="AY292" s="13"/>
      <c r="AZ292" s="13"/>
      <c r="BA292" s="13"/>
      <c r="BB292" s="13"/>
      <c r="BC292" s="4"/>
      <c r="BD292" s="4"/>
      <c r="BE292" s="4"/>
      <c r="BF292" s="13"/>
      <c r="BG292" s="4"/>
      <c r="BH292" s="13"/>
      <c r="BI292" s="13"/>
      <c r="BJ292" s="4"/>
      <c r="BK292" s="14">
        <v>16</v>
      </c>
      <c r="BL292" s="14">
        <v>11</v>
      </c>
      <c r="BM292" s="14">
        <v>16</v>
      </c>
      <c r="BN292" s="3" t="s">
        <v>86</v>
      </c>
      <c r="BO292" s="3" t="s">
        <v>114</v>
      </c>
      <c r="BP292" s="15"/>
      <c r="BQ292" s="15"/>
      <c r="BR292" s="2" t="s">
        <v>1136</v>
      </c>
      <c r="BS292" s="2" t="s">
        <v>1368</v>
      </c>
      <c r="BT292" s="7" t="s">
        <v>1326</v>
      </c>
      <c r="BU292" s="7"/>
      <c r="BV292" s="9" t="s">
        <v>1154</v>
      </c>
      <c r="BW292" s="9"/>
    </row>
    <row r="293" spans="1:75" ht="14.25" customHeight="1" x14ac:dyDescent="0.25">
      <c r="A293" s="1">
        <v>686</v>
      </c>
      <c r="B293" s="1" t="s">
        <v>1549</v>
      </c>
      <c r="C293" s="1" t="s">
        <v>1550</v>
      </c>
      <c r="D293" s="1" t="s">
        <v>616</v>
      </c>
      <c r="E293" s="1" t="s">
        <v>1441</v>
      </c>
      <c r="F293" s="1" t="s">
        <v>1511</v>
      </c>
      <c r="G293" s="1"/>
      <c r="H293" s="2">
        <v>1</v>
      </c>
      <c r="I293" s="2">
        <v>1</v>
      </c>
      <c r="J293" s="2">
        <v>0</v>
      </c>
      <c r="K293" s="2">
        <v>0</v>
      </c>
      <c r="L293" s="3" t="s">
        <v>127</v>
      </c>
      <c r="O293" s="4">
        <v>5</v>
      </c>
      <c r="P293" s="4" t="s">
        <v>1461</v>
      </c>
      <c r="Q293" s="4" t="s">
        <v>1551</v>
      </c>
      <c r="R293" s="16">
        <v>8500</v>
      </c>
      <c r="S293" s="6">
        <v>8500</v>
      </c>
      <c r="T293" s="17"/>
      <c r="U293" s="6"/>
      <c r="V293" s="4"/>
      <c r="W293" s="4"/>
      <c r="X293" s="4"/>
      <c r="Y293" s="7">
        <v>5</v>
      </c>
      <c r="Z293" s="8"/>
      <c r="AA293" s="7" t="s">
        <v>1331</v>
      </c>
      <c r="AB293" s="7" t="s">
        <v>1552</v>
      </c>
      <c r="AC293" s="9">
        <v>1</v>
      </c>
      <c r="AD293" s="10"/>
      <c r="AE293" s="9" t="s">
        <v>1517</v>
      </c>
      <c r="AF293" s="9"/>
      <c r="AG293" s="11">
        <v>4</v>
      </c>
      <c r="AH293" s="11" t="s">
        <v>1517</v>
      </c>
      <c r="AI293" s="11" t="s">
        <v>1553</v>
      </c>
      <c r="AJ293" s="11"/>
      <c r="AK293" s="11"/>
      <c r="AL293" s="12">
        <v>3</v>
      </c>
      <c r="AM293" s="12" t="s">
        <v>1517</v>
      </c>
      <c r="AN293" s="12" t="s">
        <v>1554</v>
      </c>
      <c r="AO293" s="12"/>
      <c r="AP293" s="12"/>
      <c r="AQ293" s="4">
        <v>4</v>
      </c>
      <c r="AR293" s="4" t="s">
        <v>1461</v>
      </c>
      <c r="AS293" s="4" t="s">
        <v>1555</v>
      </c>
      <c r="AT293" s="13"/>
      <c r="AU293" s="13"/>
      <c r="AV293" s="13"/>
      <c r="AW293" s="13"/>
      <c r="AX293" s="4"/>
      <c r="AY293" s="13"/>
      <c r="AZ293" s="13"/>
      <c r="BA293" s="13"/>
      <c r="BB293" s="13"/>
      <c r="BC293" s="4"/>
      <c r="BD293" s="4"/>
      <c r="BE293" s="4"/>
      <c r="BF293" s="13"/>
      <c r="BG293" s="4"/>
      <c r="BH293" s="13"/>
      <c r="BI293" s="13"/>
      <c r="BJ293" s="4"/>
      <c r="BK293" s="14">
        <v>18</v>
      </c>
      <c r="BL293" s="14">
        <v>13</v>
      </c>
      <c r="BM293" s="14">
        <v>18</v>
      </c>
      <c r="BN293" s="3" t="s">
        <v>312</v>
      </c>
      <c r="BO293" s="3" t="s">
        <v>414</v>
      </c>
      <c r="BP293" s="15"/>
      <c r="BQ293" s="15"/>
      <c r="BR293" s="2" t="s">
        <v>1353</v>
      </c>
      <c r="BS293" s="2" t="s">
        <v>1224</v>
      </c>
      <c r="BT293" s="7" t="s">
        <v>1326</v>
      </c>
      <c r="BU293" s="7"/>
      <c r="BV293" s="9" t="s">
        <v>1154</v>
      </c>
      <c r="BW293" s="9"/>
    </row>
    <row r="294" spans="1:75" ht="14.25" customHeight="1" x14ac:dyDescent="0.25">
      <c r="A294" s="1">
        <v>690</v>
      </c>
      <c r="B294" s="1" t="s">
        <v>1556</v>
      </c>
      <c r="C294" s="1" t="s">
        <v>1557</v>
      </c>
      <c r="D294" s="1" t="s">
        <v>616</v>
      </c>
      <c r="E294" s="1" t="s">
        <v>1441</v>
      </c>
      <c r="F294" s="1" t="s">
        <v>1511</v>
      </c>
      <c r="G294" s="1" t="s">
        <v>1558</v>
      </c>
      <c r="H294" s="2">
        <v>0</v>
      </c>
      <c r="I294" s="2">
        <v>1</v>
      </c>
      <c r="J294" s="2">
        <v>0</v>
      </c>
      <c r="K294" s="2">
        <v>0</v>
      </c>
      <c r="L294" s="3" t="s">
        <v>127</v>
      </c>
      <c r="N294" s="3">
        <v>1</v>
      </c>
      <c r="O294" s="4">
        <v>5</v>
      </c>
      <c r="P294" s="4" t="s">
        <v>1559</v>
      </c>
      <c r="Q294" s="4" t="s">
        <v>1560</v>
      </c>
      <c r="R294" s="5" t="s">
        <v>1561</v>
      </c>
      <c r="S294" s="6">
        <v>1500</v>
      </c>
      <c r="T294" s="17"/>
      <c r="U294" s="6"/>
      <c r="V294" s="4"/>
      <c r="W294" s="4"/>
      <c r="X294" s="4"/>
      <c r="Y294" s="7">
        <v>5</v>
      </c>
      <c r="Z294" s="8"/>
      <c r="AA294" s="7" t="s">
        <v>1331</v>
      </c>
      <c r="AB294" s="7"/>
      <c r="AC294" s="9">
        <v>3</v>
      </c>
      <c r="AD294" s="10"/>
      <c r="AE294" s="9" t="s">
        <v>1331</v>
      </c>
      <c r="AF294" s="9"/>
      <c r="AG294" s="11">
        <v>4</v>
      </c>
      <c r="AH294" s="11" t="s">
        <v>1562</v>
      </c>
      <c r="AI294" s="11"/>
      <c r="AJ294" s="11"/>
      <c r="AK294" s="11"/>
      <c r="AL294" s="12">
        <v>3</v>
      </c>
      <c r="AM294" s="12" t="s">
        <v>1563</v>
      </c>
      <c r="AN294" s="12" t="s">
        <v>1521</v>
      </c>
      <c r="AO294" s="12"/>
      <c r="AP294" s="12"/>
      <c r="AQ294" s="4">
        <v>4</v>
      </c>
      <c r="AR294" s="4" t="s">
        <v>93</v>
      </c>
      <c r="AS294" s="4"/>
      <c r="AT294" s="13"/>
      <c r="AU294" s="13"/>
      <c r="AV294" s="13"/>
      <c r="AW294" s="13"/>
      <c r="AX294" s="4"/>
      <c r="AY294" s="13"/>
      <c r="AZ294" s="13"/>
      <c r="BA294" s="13"/>
      <c r="BB294" s="13"/>
      <c r="BC294" s="4"/>
      <c r="BD294" s="4"/>
      <c r="BE294" s="4"/>
      <c r="BF294" s="13"/>
      <c r="BG294" s="4"/>
      <c r="BH294" s="13"/>
      <c r="BI294" s="13"/>
      <c r="BJ294" s="4"/>
      <c r="BK294" s="14">
        <v>18</v>
      </c>
      <c r="BL294" s="14">
        <v>15</v>
      </c>
      <c r="BM294" s="14">
        <v>18</v>
      </c>
      <c r="BN294" s="3" t="s">
        <v>312</v>
      </c>
      <c r="BP294" s="15"/>
      <c r="BQ294" s="15"/>
      <c r="BR294" s="2" t="s">
        <v>1152</v>
      </c>
      <c r="BS294" s="2" t="s">
        <v>1152</v>
      </c>
      <c r="BT294" s="7" t="s">
        <v>1326</v>
      </c>
      <c r="BU294" s="7"/>
      <c r="BV294" s="9" t="s">
        <v>1154</v>
      </c>
      <c r="BW294" s="9"/>
    </row>
    <row r="295" spans="1:75" ht="14.25" customHeight="1" x14ac:dyDescent="0.25">
      <c r="A295" s="1">
        <v>692</v>
      </c>
      <c r="B295" s="1" t="s">
        <v>1564</v>
      </c>
      <c r="C295" s="1" t="s">
        <v>1565</v>
      </c>
      <c r="D295" s="1" t="s">
        <v>616</v>
      </c>
      <c r="E295" s="1" t="s">
        <v>1441</v>
      </c>
      <c r="F295" s="1" t="s">
        <v>1511</v>
      </c>
      <c r="G295" s="1" t="s">
        <v>118</v>
      </c>
      <c r="H295" s="2">
        <v>0</v>
      </c>
      <c r="I295" s="2">
        <v>1</v>
      </c>
      <c r="J295" s="2">
        <v>1</v>
      </c>
      <c r="K295" s="2">
        <v>0</v>
      </c>
      <c r="L295" s="3" t="s">
        <v>127</v>
      </c>
      <c r="N295" s="3">
        <v>1</v>
      </c>
      <c r="O295" s="4">
        <v>3</v>
      </c>
      <c r="P295" s="4" t="s">
        <v>1517</v>
      </c>
      <c r="Q295" s="4"/>
      <c r="R295" s="16">
        <v>670000</v>
      </c>
      <c r="S295" s="6">
        <v>670000</v>
      </c>
      <c r="T295" s="17"/>
      <c r="U295" s="6"/>
      <c r="V295" s="4"/>
      <c r="W295" s="4"/>
      <c r="X295" s="4"/>
      <c r="Y295" s="7">
        <v>5</v>
      </c>
      <c r="Z295" s="8"/>
      <c r="AA295" s="7" t="s">
        <v>1331</v>
      </c>
      <c r="AB295" s="7" t="s">
        <v>1566</v>
      </c>
      <c r="AC295" s="9">
        <v>1</v>
      </c>
      <c r="AD295" s="10"/>
      <c r="AE295" s="9" t="s">
        <v>1331</v>
      </c>
      <c r="AF295" s="9"/>
      <c r="AG295" s="11">
        <v>4</v>
      </c>
      <c r="AH295" s="11" t="s">
        <v>1517</v>
      </c>
      <c r="AI295" s="11" t="s">
        <v>1567</v>
      </c>
      <c r="AJ295" s="11"/>
      <c r="AK295" s="11"/>
      <c r="AL295" s="12">
        <v>3</v>
      </c>
      <c r="AM295" s="12" t="s">
        <v>1563</v>
      </c>
      <c r="AN295" s="12" t="s">
        <v>1568</v>
      </c>
      <c r="AO295" s="12"/>
      <c r="AP295" s="12"/>
      <c r="AQ295" s="4">
        <v>2</v>
      </c>
      <c r="AR295" s="4" t="s">
        <v>1461</v>
      </c>
      <c r="AS295" s="4" t="s">
        <v>1569</v>
      </c>
      <c r="AT295" s="13"/>
      <c r="AU295" s="13"/>
      <c r="AV295" s="13"/>
      <c r="AW295" s="13"/>
      <c r="AX295" s="4"/>
      <c r="AY295" s="13"/>
      <c r="AZ295" s="13"/>
      <c r="BA295" s="13"/>
      <c r="BB295" s="13"/>
      <c r="BC295" s="4"/>
      <c r="BD295" s="4"/>
      <c r="BE295" s="4"/>
      <c r="BF295" s="13"/>
      <c r="BG295" s="4"/>
      <c r="BH295" s="13"/>
      <c r="BI295" s="13"/>
      <c r="BJ295" s="4"/>
      <c r="BK295" s="14">
        <v>14</v>
      </c>
      <c r="BL295" s="14">
        <v>9</v>
      </c>
      <c r="BM295" s="14">
        <v>14</v>
      </c>
      <c r="BN295" s="3" t="s">
        <v>86</v>
      </c>
      <c r="BO295" s="3" t="s">
        <v>114</v>
      </c>
      <c r="BP295" s="15"/>
      <c r="BQ295" s="15"/>
      <c r="BR295" s="2" t="s">
        <v>1126</v>
      </c>
      <c r="BS295" s="2" t="s">
        <v>1570</v>
      </c>
      <c r="BT295" s="7" t="s">
        <v>1326</v>
      </c>
      <c r="BU295" s="7"/>
      <c r="BV295" s="9" t="s">
        <v>1154</v>
      </c>
      <c r="BW295" s="9"/>
    </row>
    <row r="296" spans="1:75" ht="14.25" customHeight="1" x14ac:dyDescent="0.25">
      <c r="A296" s="1">
        <v>694</v>
      </c>
      <c r="B296" s="1" t="s">
        <v>1571</v>
      </c>
      <c r="C296" s="1" t="s">
        <v>1572</v>
      </c>
      <c r="D296" s="1" t="s">
        <v>616</v>
      </c>
      <c r="E296" s="1" t="s">
        <v>1441</v>
      </c>
      <c r="F296" s="1" t="s">
        <v>1511</v>
      </c>
      <c r="G296" s="1" t="s">
        <v>1573</v>
      </c>
      <c r="H296" s="2">
        <v>0</v>
      </c>
      <c r="I296" s="2">
        <v>0</v>
      </c>
      <c r="J296" s="2">
        <v>1</v>
      </c>
      <c r="K296" s="2">
        <v>1</v>
      </c>
      <c r="L296" s="3" t="s">
        <v>127</v>
      </c>
      <c r="O296" s="4">
        <v>5</v>
      </c>
      <c r="P296" s="4" t="s">
        <v>1145</v>
      </c>
      <c r="Q296" s="4"/>
      <c r="R296" s="16">
        <v>15000</v>
      </c>
      <c r="S296" s="6">
        <v>15000</v>
      </c>
      <c r="T296" s="17"/>
      <c r="U296" s="6"/>
      <c r="V296" s="4"/>
      <c r="W296" s="4"/>
      <c r="X296" s="4"/>
      <c r="Y296" s="7">
        <v>4</v>
      </c>
      <c r="Z296" s="8">
        <v>32600000</v>
      </c>
      <c r="AA296" s="7" t="s">
        <v>1213</v>
      </c>
      <c r="AB296" s="7" t="s">
        <v>1574</v>
      </c>
      <c r="AC296" s="9">
        <v>1</v>
      </c>
      <c r="AD296" s="10">
        <v>32600000</v>
      </c>
      <c r="AE296" s="9" t="s">
        <v>1461</v>
      </c>
      <c r="AF296" s="9"/>
      <c r="AG296" s="11">
        <v>4</v>
      </c>
      <c r="AH296" s="11" t="s">
        <v>1213</v>
      </c>
      <c r="AI296" s="11"/>
      <c r="AJ296" s="11"/>
      <c r="AK296" s="11"/>
      <c r="AL296" s="12">
        <v>3</v>
      </c>
      <c r="AM296" s="12" t="s">
        <v>1213</v>
      </c>
      <c r="AN296" s="12"/>
      <c r="AO296" s="12"/>
      <c r="AP296" s="12"/>
      <c r="AQ296" s="4">
        <v>4</v>
      </c>
      <c r="AR296" s="4" t="s">
        <v>1461</v>
      </c>
      <c r="AS296" s="4" t="s">
        <v>1575</v>
      </c>
      <c r="AT296" s="13"/>
      <c r="AU296" s="13"/>
      <c r="AV296" s="13"/>
      <c r="AW296" s="13"/>
      <c r="AX296" s="4"/>
      <c r="AY296" s="13"/>
      <c r="AZ296" s="13"/>
      <c r="BA296" s="13"/>
      <c r="BB296" s="13"/>
      <c r="BC296" s="4"/>
      <c r="BD296" s="4"/>
      <c r="BE296" s="4"/>
      <c r="BF296" s="13"/>
      <c r="BG296" s="4"/>
      <c r="BH296" s="13"/>
      <c r="BI296" s="13"/>
      <c r="BJ296" s="4"/>
      <c r="BK296" s="14">
        <v>17</v>
      </c>
      <c r="BL296" s="14">
        <v>13</v>
      </c>
      <c r="BM296" s="14">
        <v>17</v>
      </c>
      <c r="BN296" s="3" t="s">
        <v>312</v>
      </c>
      <c r="BO296" s="3" t="s">
        <v>120</v>
      </c>
      <c r="BP296" s="15"/>
      <c r="BQ296" s="15"/>
      <c r="BR296" s="2" t="s">
        <v>1353</v>
      </c>
      <c r="BS296" s="2" t="s">
        <v>1353</v>
      </c>
      <c r="BT296" s="7" t="s">
        <v>1326</v>
      </c>
      <c r="BU296" s="7"/>
      <c r="BV296" s="9" t="s">
        <v>1154</v>
      </c>
      <c r="BW296" s="9"/>
    </row>
    <row r="297" spans="1:75" ht="14.25" customHeight="1" x14ac:dyDescent="0.25">
      <c r="A297" s="1">
        <v>695</v>
      </c>
      <c r="B297" s="1" t="s">
        <v>1576</v>
      </c>
      <c r="C297" s="1" t="s">
        <v>1577</v>
      </c>
      <c r="D297" s="1" t="s">
        <v>616</v>
      </c>
      <c r="E297" s="1" t="s">
        <v>1441</v>
      </c>
      <c r="F297" s="1" t="s">
        <v>1511</v>
      </c>
      <c r="G297" s="1" t="s">
        <v>118</v>
      </c>
      <c r="H297" s="2">
        <v>0</v>
      </c>
      <c r="I297" s="2">
        <v>1</v>
      </c>
      <c r="J297" s="2">
        <v>1</v>
      </c>
      <c r="K297" s="2">
        <v>0</v>
      </c>
      <c r="L297" s="3" t="s">
        <v>127</v>
      </c>
      <c r="O297" s="4">
        <v>3</v>
      </c>
      <c r="P297" s="4" t="s">
        <v>1461</v>
      </c>
      <c r="Q297" s="4" t="s">
        <v>1578</v>
      </c>
      <c r="R297" s="16">
        <v>750000</v>
      </c>
      <c r="S297" s="6">
        <v>750000</v>
      </c>
      <c r="T297" s="17"/>
      <c r="U297" s="6"/>
      <c r="V297" s="4"/>
      <c r="W297" s="4"/>
      <c r="X297" s="4"/>
      <c r="Y297" s="7">
        <v>4</v>
      </c>
      <c r="Z297" s="8"/>
      <c r="AA297" s="7" t="s">
        <v>1546</v>
      </c>
      <c r="AB297" s="7"/>
      <c r="AC297" s="9">
        <v>2</v>
      </c>
      <c r="AD297" s="10"/>
      <c r="AE297" s="9" t="s">
        <v>1546</v>
      </c>
      <c r="AF297" s="9"/>
      <c r="AG297" s="11">
        <v>4</v>
      </c>
      <c r="AH297" s="11" t="s">
        <v>1048</v>
      </c>
      <c r="AI297" s="11"/>
      <c r="AJ297" s="11"/>
      <c r="AK297" s="11"/>
      <c r="AL297" s="12">
        <v>3</v>
      </c>
      <c r="AM297" s="12" t="s">
        <v>1048</v>
      </c>
      <c r="AN297" s="12"/>
      <c r="AO297" s="12"/>
      <c r="AP297" s="12"/>
      <c r="AQ297" s="4">
        <v>3</v>
      </c>
      <c r="AR297" s="4" t="s">
        <v>621</v>
      </c>
      <c r="AS297" s="4"/>
      <c r="AT297" s="13"/>
      <c r="AU297" s="13"/>
      <c r="AV297" s="13"/>
      <c r="AW297" s="13"/>
      <c r="AX297" s="4"/>
      <c r="AY297" s="13"/>
      <c r="AZ297" s="13"/>
      <c r="BA297" s="13"/>
      <c r="BB297" s="13"/>
      <c r="BC297" s="4"/>
      <c r="BD297" s="4"/>
      <c r="BE297" s="4"/>
      <c r="BF297" s="13"/>
      <c r="BG297" s="4"/>
      <c r="BH297" s="13"/>
      <c r="BI297" s="13"/>
      <c r="BJ297" s="4"/>
      <c r="BK297" s="14">
        <v>14</v>
      </c>
      <c r="BL297" s="14">
        <v>11</v>
      </c>
      <c r="BM297" s="14">
        <v>14</v>
      </c>
      <c r="BN297" s="3" t="s">
        <v>86</v>
      </c>
      <c r="BP297" s="15"/>
      <c r="BQ297" s="15"/>
      <c r="BR297" s="2" t="s">
        <v>247</v>
      </c>
      <c r="BS297" s="2" t="s">
        <v>247</v>
      </c>
      <c r="BT297" s="7" t="s">
        <v>1326</v>
      </c>
      <c r="BU297" s="7"/>
      <c r="BV297" s="9" t="s">
        <v>1154</v>
      </c>
      <c r="BW297" s="9"/>
    </row>
    <row r="298" spans="1:75" ht="14.25" customHeight="1" x14ac:dyDescent="0.25">
      <c r="A298" s="1">
        <v>698</v>
      </c>
      <c r="B298" s="1" t="s">
        <v>1579</v>
      </c>
      <c r="C298" s="1" t="s">
        <v>1580</v>
      </c>
      <c r="D298" s="1" t="s">
        <v>616</v>
      </c>
      <c r="E298" s="1" t="s">
        <v>1441</v>
      </c>
      <c r="F298" s="1" t="s">
        <v>1511</v>
      </c>
      <c r="G298" s="1" t="s">
        <v>118</v>
      </c>
      <c r="H298" s="2">
        <v>0</v>
      </c>
      <c r="I298" s="2">
        <v>0</v>
      </c>
      <c r="J298" s="2">
        <v>1</v>
      </c>
      <c r="K298" s="2">
        <v>1</v>
      </c>
      <c r="L298" s="3" t="s">
        <v>127</v>
      </c>
      <c r="N298" s="3">
        <v>1</v>
      </c>
      <c r="O298" s="4">
        <v>5</v>
      </c>
      <c r="P298" s="4" t="s">
        <v>812</v>
      </c>
      <c r="Q298" s="4" t="s">
        <v>1581</v>
      </c>
      <c r="R298" s="16">
        <v>3300</v>
      </c>
      <c r="S298" s="6">
        <v>3300</v>
      </c>
      <c r="T298" s="17"/>
      <c r="U298" s="6"/>
      <c r="V298" s="4"/>
      <c r="W298" s="4"/>
      <c r="X298" s="4"/>
      <c r="Y298" s="7">
        <v>5</v>
      </c>
      <c r="Z298" s="8"/>
      <c r="AA298" s="7" t="s">
        <v>1348</v>
      </c>
      <c r="AB298" s="7" t="s">
        <v>1581</v>
      </c>
      <c r="AC298" s="9">
        <v>1</v>
      </c>
      <c r="AD298" s="10">
        <v>39451574</v>
      </c>
      <c r="AE298" s="9" t="s">
        <v>283</v>
      </c>
      <c r="AF298" s="9"/>
      <c r="AG298" s="11">
        <v>4</v>
      </c>
      <c r="AH298" s="11" t="s">
        <v>1461</v>
      </c>
      <c r="AI298" s="11" t="s">
        <v>1582</v>
      </c>
      <c r="AJ298" s="11"/>
      <c r="AK298" s="11"/>
      <c r="AL298" s="12">
        <v>4</v>
      </c>
      <c r="AM298" s="12" t="s">
        <v>1461</v>
      </c>
      <c r="AN298" s="12" t="s">
        <v>1582</v>
      </c>
      <c r="AO298" s="12"/>
      <c r="AP298" s="12"/>
      <c r="AQ298" s="4">
        <v>5</v>
      </c>
      <c r="AR298" s="4" t="s">
        <v>1583</v>
      </c>
      <c r="AS298" s="4" t="s">
        <v>1584</v>
      </c>
      <c r="AT298" s="13"/>
      <c r="AU298" s="13"/>
      <c r="AV298" s="13"/>
      <c r="AW298" s="13"/>
      <c r="AX298" s="4"/>
      <c r="AY298" s="13"/>
      <c r="AZ298" s="13"/>
      <c r="BA298" s="13"/>
      <c r="BB298" s="13"/>
      <c r="BC298" s="4"/>
      <c r="BD298" s="4"/>
      <c r="BE298" s="4"/>
      <c r="BF298" s="13"/>
      <c r="BG298" s="4"/>
      <c r="BH298" s="13"/>
      <c r="BI298" s="13"/>
      <c r="BJ298" s="4"/>
      <c r="BK298" s="14">
        <v>19</v>
      </c>
      <c r="BL298" s="14">
        <v>15</v>
      </c>
      <c r="BM298" s="14">
        <v>19</v>
      </c>
      <c r="BN298" s="3" t="s">
        <v>312</v>
      </c>
      <c r="BP298" s="15"/>
      <c r="BQ298" s="15"/>
      <c r="BR298" s="2" t="s">
        <v>1126</v>
      </c>
      <c r="BS298" s="2" t="s">
        <v>1368</v>
      </c>
      <c r="BT298" s="7" t="s">
        <v>1326</v>
      </c>
      <c r="BU298" s="7"/>
      <c r="BV298" s="9" t="s">
        <v>1154</v>
      </c>
      <c r="BW298" s="9"/>
    </row>
    <row r="299" spans="1:75" ht="14.25" customHeight="1" x14ac:dyDescent="0.25">
      <c r="A299" s="1">
        <v>700</v>
      </c>
      <c r="B299" s="1" t="s">
        <v>1585</v>
      </c>
      <c r="C299" s="1" t="s">
        <v>1586</v>
      </c>
      <c r="D299" s="1" t="s">
        <v>616</v>
      </c>
      <c r="E299" s="1" t="s">
        <v>1441</v>
      </c>
      <c r="F299" s="1" t="s">
        <v>1511</v>
      </c>
      <c r="G299" s="1"/>
      <c r="H299" s="2">
        <v>1</v>
      </c>
      <c r="I299" s="2">
        <v>1</v>
      </c>
      <c r="J299" s="2">
        <v>1</v>
      </c>
      <c r="K299" s="2">
        <v>1</v>
      </c>
      <c r="L299" s="3" t="s">
        <v>127</v>
      </c>
      <c r="N299" s="3">
        <v>1</v>
      </c>
      <c r="O299" s="4">
        <v>3</v>
      </c>
      <c r="P299" s="4" t="s">
        <v>1145</v>
      </c>
      <c r="Q299" s="4"/>
      <c r="R299" s="16">
        <v>510000</v>
      </c>
      <c r="S299" s="6">
        <v>510000</v>
      </c>
      <c r="T299" s="17"/>
      <c r="U299" s="6"/>
      <c r="V299" s="4"/>
      <c r="W299" s="4"/>
      <c r="X299" s="4"/>
      <c r="Y299" s="7">
        <v>4</v>
      </c>
      <c r="Z299" s="8"/>
      <c r="AA299" s="7" t="s">
        <v>1348</v>
      </c>
      <c r="AB299" s="7" t="s">
        <v>1587</v>
      </c>
      <c r="AC299" s="9">
        <v>1</v>
      </c>
      <c r="AD299" s="10">
        <v>65000000</v>
      </c>
      <c r="AE299" s="9" t="s">
        <v>369</v>
      </c>
      <c r="AF299" s="9" t="s">
        <v>1588</v>
      </c>
      <c r="AG299" s="11">
        <v>3</v>
      </c>
      <c r="AH299" s="11" t="s">
        <v>1048</v>
      </c>
      <c r="AI299" s="11"/>
      <c r="AJ299" s="11"/>
      <c r="AK299" s="11"/>
      <c r="AL299" s="12">
        <v>3</v>
      </c>
      <c r="AM299" s="12" t="s">
        <v>1423</v>
      </c>
      <c r="AN299" s="12" t="s">
        <v>1589</v>
      </c>
      <c r="AO299" s="12"/>
      <c r="AP299" s="12"/>
      <c r="AQ299" s="4">
        <v>4</v>
      </c>
      <c r="AR299" s="4" t="s">
        <v>621</v>
      </c>
      <c r="AS299" s="4"/>
      <c r="AT299" s="13"/>
      <c r="AU299" s="13"/>
      <c r="AV299" s="13"/>
      <c r="AW299" s="13"/>
      <c r="AX299" s="4"/>
      <c r="AY299" s="13"/>
      <c r="AZ299" s="13"/>
      <c r="BA299" s="13"/>
      <c r="BB299" s="13"/>
      <c r="BC299" s="4"/>
      <c r="BD299" s="4"/>
      <c r="BE299" s="4"/>
      <c r="BF299" s="13"/>
      <c r="BG299" s="4"/>
      <c r="BH299" s="13"/>
      <c r="BI299" s="13"/>
      <c r="BJ299" s="4"/>
      <c r="BK299" s="14">
        <v>14</v>
      </c>
      <c r="BL299" s="14">
        <v>11</v>
      </c>
      <c r="BM299" s="14">
        <v>14</v>
      </c>
      <c r="BN299" s="3" t="s">
        <v>86</v>
      </c>
      <c r="BP299" s="15"/>
      <c r="BQ299" s="15"/>
      <c r="BR299" s="2" t="s">
        <v>1152</v>
      </c>
      <c r="BS299" s="2" t="s">
        <v>1152</v>
      </c>
      <c r="BT299" s="7" t="s">
        <v>1326</v>
      </c>
      <c r="BU299" s="7"/>
      <c r="BV299" s="9" t="s">
        <v>1154</v>
      </c>
      <c r="BW299" s="9"/>
    </row>
    <row r="300" spans="1:75" ht="14.25" customHeight="1" x14ac:dyDescent="0.25">
      <c r="A300" s="1">
        <v>702</v>
      </c>
      <c r="B300" s="1" t="s">
        <v>1590</v>
      </c>
      <c r="C300" s="1" t="s">
        <v>1591</v>
      </c>
      <c r="D300" s="1" t="s">
        <v>616</v>
      </c>
      <c r="E300" s="1" t="s">
        <v>1441</v>
      </c>
      <c r="F300" s="1" t="s">
        <v>1511</v>
      </c>
      <c r="G300" s="1" t="s">
        <v>118</v>
      </c>
      <c r="H300" s="2">
        <v>0</v>
      </c>
      <c r="I300" s="2">
        <v>1</v>
      </c>
      <c r="J300" s="2">
        <v>1</v>
      </c>
      <c r="K300" s="2">
        <v>1</v>
      </c>
      <c r="L300" s="3" t="s">
        <v>127</v>
      </c>
      <c r="O300" s="4">
        <v>3</v>
      </c>
      <c r="P300" s="4" t="s">
        <v>1145</v>
      </c>
      <c r="Q300" s="4" t="s">
        <v>1146</v>
      </c>
      <c r="R300" s="16">
        <v>3500000</v>
      </c>
      <c r="S300" s="6">
        <v>3500000</v>
      </c>
      <c r="T300" s="17"/>
      <c r="U300" s="6"/>
      <c r="V300" s="4"/>
      <c r="W300" s="4"/>
      <c r="X300" s="4"/>
      <c r="Y300" s="7">
        <v>3</v>
      </c>
      <c r="Z300" s="8"/>
      <c r="AA300" s="7" t="s">
        <v>1348</v>
      </c>
      <c r="AB300" s="7" t="s">
        <v>1592</v>
      </c>
      <c r="AC300" s="9">
        <v>1</v>
      </c>
      <c r="AD300" s="10"/>
      <c r="AE300" s="9" t="s">
        <v>82</v>
      </c>
      <c r="AF300" s="9" t="s">
        <v>1246</v>
      </c>
      <c r="AG300" s="11">
        <v>3</v>
      </c>
      <c r="AH300" s="11" t="s">
        <v>1048</v>
      </c>
      <c r="AI300" s="11"/>
      <c r="AJ300" s="11"/>
      <c r="AK300" s="11"/>
      <c r="AL300" s="12">
        <v>2</v>
      </c>
      <c r="AM300" s="12" t="s">
        <v>1048</v>
      </c>
      <c r="AN300" s="12"/>
      <c r="AO300" s="12"/>
      <c r="AP300" s="12"/>
      <c r="AQ300" s="4">
        <v>3</v>
      </c>
      <c r="AR300" s="4" t="s">
        <v>621</v>
      </c>
      <c r="AS300" s="4"/>
      <c r="AT300" s="13"/>
      <c r="AU300" s="13"/>
      <c r="AV300" s="13"/>
      <c r="AW300" s="13"/>
      <c r="AX300" s="4"/>
      <c r="AY300" s="13"/>
      <c r="AZ300" s="13"/>
      <c r="BA300" s="13"/>
      <c r="BB300" s="13"/>
      <c r="BC300" s="4"/>
      <c r="BD300" s="4"/>
      <c r="BE300" s="4"/>
      <c r="BF300" s="13"/>
      <c r="BG300" s="4"/>
      <c r="BH300" s="13"/>
      <c r="BI300" s="13"/>
      <c r="BJ300" s="4"/>
      <c r="BK300" s="14">
        <v>12</v>
      </c>
      <c r="BL300" s="14">
        <v>9</v>
      </c>
      <c r="BM300" s="14">
        <v>12</v>
      </c>
      <c r="BP300" s="15"/>
      <c r="BQ300" s="15"/>
      <c r="BR300" s="2" t="s">
        <v>1353</v>
      </c>
      <c r="BS300" s="2" t="s">
        <v>1353</v>
      </c>
      <c r="BT300" s="7" t="s">
        <v>1326</v>
      </c>
      <c r="BU300" s="7"/>
      <c r="BV300" s="9" t="s">
        <v>1154</v>
      </c>
      <c r="BW300" s="9"/>
    </row>
    <row r="301" spans="1:75" ht="14.25" customHeight="1" x14ac:dyDescent="0.25">
      <c r="A301" s="1">
        <v>703</v>
      </c>
      <c r="B301" s="1" t="s">
        <v>1593</v>
      </c>
      <c r="C301" s="1" t="s">
        <v>1594</v>
      </c>
      <c r="D301" s="1" t="s">
        <v>616</v>
      </c>
      <c r="E301" s="1" t="s">
        <v>1441</v>
      </c>
      <c r="F301" s="1" t="s">
        <v>1511</v>
      </c>
      <c r="G301" s="1" t="s">
        <v>118</v>
      </c>
      <c r="H301" s="2">
        <v>1</v>
      </c>
      <c r="I301" s="2">
        <v>1</v>
      </c>
      <c r="J301" s="2">
        <v>1</v>
      </c>
      <c r="K301" s="2">
        <v>0</v>
      </c>
      <c r="L301" s="3" t="s">
        <v>127</v>
      </c>
      <c r="N301" s="3">
        <v>1</v>
      </c>
      <c r="O301" s="4">
        <v>3</v>
      </c>
      <c r="P301" s="4" t="s">
        <v>1145</v>
      </c>
      <c r="Q301" s="4" t="s">
        <v>1146</v>
      </c>
      <c r="R301" s="16">
        <v>1700000</v>
      </c>
      <c r="S301" s="6">
        <v>1700000</v>
      </c>
      <c r="T301" s="17"/>
      <c r="U301" s="6"/>
      <c r="V301" s="4"/>
      <c r="W301" s="4"/>
      <c r="X301" s="4"/>
      <c r="Y301" s="7">
        <v>5</v>
      </c>
      <c r="Z301" s="8"/>
      <c r="AA301" s="7" t="s">
        <v>1348</v>
      </c>
      <c r="AB301" s="7" t="s">
        <v>1595</v>
      </c>
      <c r="AC301" s="9">
        <v>1</v>
      </c>
      <c r="AD301" s="10"/>
      <c r="AE301" s="9" t="s">
        <v>82</v>
      </c>
      <c r="AF301" s="9" t="s">
        <v>1246</v>
      </c>
      <c r="AG301" s="11">
        <v>4</v>
      </c>
      <c r="AH301" s="11" t="s">
        <v>1048</v>
      </c>
      <c r="AI301" s="11"/>
      <c r="AJ301" s="11"/>
      <c r="AK301" s="11"/>
      <c r="AL301" s="12">
        <v>2</v>
      </c>
      <c r="AM301" s="12" t="s">
        <v>1048</v>
      </c>
      <c r="AN301" s="12"/>
      <c r="AO301" s="12"/>
      <c r="AP301" s="12"/>
      <c r="AQ301" s="4">
        <v>3</v>
      </c>
      <c r="AR301" s="4" t="s">
        <v>621</v>
      </c>
      <c r="AS301" s="4"/>
      <c r="AT301" s="13"/>
      <c r="AU301" s="13"/>
      <c r="AV301" s="13"/>
      <c r="AW301" s="13"/>
      <c r="AX301" s="4"/>
      <c r="AY301" s="13"/>
      <c r="AZ301" s="13"/>
      <c r="BA301" s="13"/>
      <c r="BB301" s="13"/>
      <c r="BC301" s="4"/>
      <c r="BD301" s="4"/>
      <c r="BE301" s="4"/>
      <c r="BF301" s="13"/>
      <c r="BG301" s="4"/>
      <c r="BH301" s="13"/>
      <c r="BI301" s="13"/>
      <c r="BJ301" s="4"/>
      <c r="BK301" s="14">
        <v>15</v>
      </c>
      <c r="BL301" s="14">
        <v>9</v>
      </c>
      <c r="BM301" s="14">
        <v>15</v>
      </c>
      <c r="BN301" s="3" t="s">
        <v>86</v>
      </c>
      <c r="BO301" s="3" t="s">
        <v>114</v>
      </c>
      <c r="BP301" s="15"/>
      <c r="BQ301" s="15"/>
      <c r="BR301" s="2" t="s">
        <v>1353</v>
      </c>
      <c r="BS301" s="2" t="s">
        <v>1570</v>
      </c>
      <c r="BT301" s="7" t="s">
        <v>1326</v>
      </c>
      <c r="BU301" s="7"/>
      <c r="BV301" s="9" t="s">
        <v>1154</v>
      </c>
      <c r="BW301" s="9"/>
    </row>
    <row r="302" spans="1:75" ht="14.25" customHeight="1" x14ac:dyDescent="0.25">
      <c r="A302" s="1">
        <v>710</v>
      </c>
      <c r="B302" s="1" t="s">
        <v>1596</v>
      </c>
      <c r="C302" s="1" t="s">
        <v>1597</v>
      </c>
      <c r="D302" s="1" t="s">
        <v>616</v>
      </c>
      <c r="E302" s="1" t="s">
        <v>1441</v>
      </c>
      <c r="F302" s="1" t="s">
        <v>1511</v>
      </c>
      <c r="G302" s="1"/>
      <c r="H302" s="2">
        <v>0</v>
      </c>
      <c r="I302" s="2">
        <v>0</v>
      </c>
      <c r="J302" s="2">
        <v>1</v>
      </c>
      <c r="K302" s="2">
        <v>1</v>
      </c>
      <c r="L302" s="3" t="s">
        <v>127</v>
      </c>
      <c r="N302" s="3">
        <v>1</v>
      </c>
      <c r="O302" s="4">
        <v>5</v>
      </c>
      <c r="P302" s="4" t="s">
        <v>1598</v>
      </c>
      <c r="Q302" s="4" t="s">
        <v>1599</v>
      </c>
      <c r="R302" s="16">
        <v>35000</v>
      </c>
      <c r="S302" s="6">
        <v>35000</v>
      </c>
      <c r="T302" s="17"/>
      <c r="U302" s="6"/>
      <c r="V302" s="4"/>
      <c r="W302" s="4"/>
      <c r="X302" s="4"/>
      <c r="Y302" s="7">
        <v>5</v>
      </c>
      <c r="Z302" s="8"/>
      <c r="AA302" s="7" t="s">
        <v>1331</v>
      </c>
      <c r="AB302" s="7"/>
      <c r="AC302" s="9">
        <v>1</v>
      </c>
      <c r="AD302" s="10">
        <v>5680000</v>
      </c>
      <c r="AE302" s="9" t="s">
        <v>812</v>
      </c>
      <c r="AF302" s="9"/>
      <c r="AG302" s="11">
        <v>3</v>
      </c>
      <c r="AH302" s="11" t="s">
        <v>83</v>
      </c>
      <c r="AI302" s="11"/>
      <c r="AJ302" s="11"/>
      <c r="AK302" s="11"/>
      <c r="AL302" s="12">
        <v>3</v>
      </c>
      <c r="AM302" s="12" t="s">
        <v>83</v>
      </c>
      <c r="AN302" s="12"/>
      <c r="AO302" s="12"/>
      <c r="AP302" s="12"/>
      <c r="AQ302" s="4">
        <v>3</v>
      </c>
      <c r="AR302" s="4" t="s">
        <v>83</v>
      </c>
      <c r="AS302" s="4"/>
      <c r="AT302" s="13"/>
      <c r="AU302" s="13"/>
      <c r="AV302" s="13"/>
      <c r="AW302" s="13"/>
      <c r="AX302" s="4"/>
      <c r="AY302" s="13"/>
      <c r="AZ302" s="13"/>
      <c r="BA302" s="13"/>
      <c r="BB302" s="13"/>
      <c r="BC302" s="4"/>
      <c r="BD302" s="4"/>
      <c r="BE302" s="4"/>
      <c r="BF302" s="13"/>
      <c r="BG302" s="4"/>
      <c r="BH302" s="13"/>
      <c r="BI302" s="13"/>
      <c r="BJ302" s="4"/>
      <c r="BK302" s="14">
        <v>16</v>
      </c>
      <c r="BL302" s="14">
        <v>12</v>
      </c>
      <c r="BM302" s="14">
        <v>16</v>
      </c>
      <c r="BN302" s="3" t="s">
        <v>86</v>
      </c>
      <c r="BP302" s="15"/>
      <c r="BQ302" s="15"/>
      <c r="BR302" s="2" t="s">
        <v>1368</v>
      </c>
      <c r="BS302" s="2" t="s">
        <v>1368</v>
      </c>
      <c r="BT302" s="7" t="s">
        <v>1326</v>
      </c>
      <c r="BU302" s="7"/>
      <c r="BV302" s="9" t="s">
        <v>1154</v>
      </c>
      <c r="BW302" s="9"/>
    </row>
    <row r="303" spans="1:75" ht="14.25" customHeight="1" x14ac:dyDescent="0.25">
      <c r="A303" s="1">
        <v>711</v>
      </c>
      <c r="B303" s="1" t="s">
        <v>1600</v>
      </c>
      <c r="C303" s="1" t="s">
        <v>1601</v>
      </c>
      <c r="D303" s="1" t="s">
        <v>616</v>
      </c>
      <c r="E303" s="1" t="s">
        <v>1441</v>
      </c>
      <c r="F303" s="1" t="s">
        <v>1511</v>
      </c>
      <c r="G303" s="1" t="s">
        <v>118</v>
      </c>
      <c r="H303" s="2">
        <v>1</v>
      </c>
      <c r="I303" s="2">
        <v>1</v>
      </c>
      <c r="J303" s="2">
        <v>1</v>
      </c>
      <c r="K303" s="2">
        <v>1</v>
      </c>
      <c r="L303" s="3" t="s">
        <v>127</v>
      </c>
      <c r="O303" s="4">
        <v>3</v>
      </c>
      <c r="P303" s="4" t="s">
        <v>1145</v>
      </c>
      <c r="Q303" s="4" t="s">
        <v>1602</v>
      </c>
      <c r="R303" s="16">
        <v>740000</v>
      </c>
      <c r="S303" s="6">
        <v>740000</v>
      </c>
      <c r="T303" s="17"/>
      <c r="U303" s="6"/>
      <c r="V303" s="4"/>
      <c r="W303" s="4"/>
      <c r="X303" s="4"/>
      <c r="Y303" s="7">
        <v>4</v>
      </c>
      <c r="Z303" s="8"/>
      <c r="AA303" s="7" t="s">
        <v>1348</v>
      </c>
      <c r="AB303" s="7" t="s">
        <v>1603</v>
      </c>
      <c r="AC303" s="9">
        <v>1</v>
      </c>
      <c r="AD303" s="10"/>
      <c r="AE303" s="9" t="s">
        <v>82</v>
      </c>
      <c r="AF303" s="9" t="s">
        <v>1246</v>
      </c>
      <c r="AG303" s="11">
        <v>3</v>
      </c>
      <c r="AH303" s="11" t="s">
        <v>1048</v>
      </c>
      <c r="AI303" s="11"/>
      <c r="AJ303" s="11"/>
      <c r="AK303" s="11"/>
      <c r="AL303" s="12">
        <v>3</v>
      </c>
      <c r="AM303" s="12" t="s">
        <v>1423</v>
      </c>
      <c r="AN303" s="12" t="s">
        <v>1604</v>
      </c>
      <c r="AO303" s="12"/>
      <c r="AP303" s="12"/>
      <c r="AQ303" s="4">
        <v>5</v>
      </c>
      <c r="AR303" s="4" t="s">
        <v>1605</v>
      </c>
      <c r="AS303" s="4" t="s">
        <v>1606</v>
      </c>
      <c r="AT303" s="13"/>
      <c r="AU303" s="13"/>
      <c r="AV303" s="13"/>
      <c r="AW303" s="13"/>
      <c r="AX303" s="4"/>
      <c r="AY303" s="13"/>
      <c r="AZ303" s="13"/>
      <c r="BA303" s="13"/>
      <c r="BB303" s="13"/>
      <c r="BC303" s="4"/>
      <c r="BD303" s="4"/>
      <c r="BE303" s="4"/>
      <c r="BF303" s="13"/>
      <c r="BG303" s="4"/>
      <c r="BH303" s="13"/>
      <c r="BI303" s="13"/>
      <c r="BJ303" s="4"/>
      <c r="BK303" s="14">
        <v>15</v>
      </c>
      <c r="BL303" s="14">
        <v>12</v>
      </c>
      <c r="BM303" s="14">
        <v>15</v>
      </c>
      <c r="BN303" s="3" t="s">
        <v>113</v>
      </c>
      <c r="BP303" s="15"/>
      <c r="BQ303" s="15"/>
      <c r="BR303" s="2" t="s">
        <v>1152</v>
      </c>
      <c r="BS303" s="2" t="s">
        <v>1152</v>
      </c>
      <c r="BT303" s="7" t="s">
        <v>1326</v>
      </c>
      <c r="BU303" s="7"/>
      <c r="BV303" s="9" t="s">
        <v>1154</v>
      </c>
      <c r="BW303" s="9"/>
    </row>
    <row r="304" spans="1:75" ht="14.25" customHeight="1" x14ac:dyDescent="0.25">
      <c r="A304" s="1">
        <v>712</v>
      </c>
      <c r="B304" s="1" t="s">
        <v>1607</v>
      </c>
      <c r="C304" s="1" t="s">
        <v>1608</v>
      </c>
      <c r="D304" s="1" t="s">
        <v>616</v>
      </c>
      <c r="E304" s="1" t="s">
        <v>1441</v>
      </c>
      <c r="F304" s="1" t="s">
        <v>1511</v>
      </c>
      <c r="G304" s="1"/>
      <c r="H304" s="2">
        <v>0</v>
      </c>
      <c r="I304" s="2">
        <v>0</v>
      </c>
      <c r="J304" s="2">
        <v>1</v>
      </c>
      <c r="K304" s="2">
        <v>1</v>
      </c>
      <c r="L304" s="3" t="s">
        <v>127</v>
      </c>
      <c r="O304" s="4">
        <v>5</v>
      </c>
      <c r="P304" s="4" t="s">
        <v>812</v>
      </c>
      <c r="Q304" s="4" t="s">
        <v>1609</v>
      </c>
      <c r="R304" s="5">
        <v>620</v>
      </c>
      <c r="S304" s="6">
        <v>620</v>
      </c>
      <c r="T304" s="17"/>
      <c r="U304" s="6"/>
      <c r="V304" s="4"/>
      <c r="W304" s="4"/>
      <c r="X304" s="4"/>
      <c r="Y304" s="7">
        <v>5</v>
      </c>
      <c r="Z304" s="8"/>
      <c r="AA304" s="7" t="s">
        <v>1348</v>
      </c>
      <c r="AB304" s="7" t="s">
        <v>1610</v>
      </c>
      <c r="AC304" s="9">
        <v>2</v>
      </c>
      <c r="AD304" s="10"/>
      <c r="AE304" s="9" t="s">
        <v>130</v>
      </c>
      <c r="AF304" s="9"/>
      <c r="AG304" s="11">
        <v>4</v>
      </c>
      <c r="AH304" s="11" t="s">
        <v>1048</v>
      </c>
      <c r="AI304" s="11"/>
      <c r="AJ304" s="11"/>
      <c r="AK304" s="11"/>
      <c r="AL304" s="12">
        <v>2</v>
      </c>
      <c r="AM304" s="12" t="s">
        <v>1048</v>
      </c>
      <c r="AN304" s="12"/>
      <c r="AO304" s="12"/>
      <c r="AP304" s="12"/>
      <c r="AQ304" s="4">
        <v>5</v>
      </c>
      <c r="AR304" s="4" t="s">
        <v>621</v>
      </c>
      <c r="AS304" s="4" t="s">
        <v>1611</v>
      </c>
      <c r="AT304" s="13"/>
      <c r="AU304" s="13"/>
      <c r="AV304" s="13"/>
      <c r="AW304" s="13"/>
      <c r="AX304" s="4"/>
      <c r="AY304" s="13"/>
      <c r="AZ304" s="13"/>
      <c r="BA304" s="13"/>
      <c r="BB304" s="13"/>
      <c r="BC304" s="4"/>
      <c r="BD304" s="4"/>
      <c r="BE304" s="4"/>
      <c r="BF304" s="13"/>
      <c r="BG304" s="4"/>
      <c r="BH304" s="13"/>
      <c r="BI304" s="13"/>
      <c r="BJ304" s="4"/>
      <c r="BK304" s="14">
        <v>19</v>
      </c>
      <c r="BL304" s="14">
        <v>14</v>
      </c>
      <c r="BM304" s="14">
        <v>19</v>
      </c>
      <c r="BN304" s="3" t="s">
        <v>312</v>
      </c>
      <c r="BO304" s="3" t="s">
        <v>899</v>
      </c>
      <c r="BP304" s="15"/>
      <c r="BQ304" s="15"/>
      <c r="BR304" s="2" t="s">
        <v>1368</v>
      </c>
      <c r="BS304" s="2" t="s">
        <v>1368</v>
      </c>
      <c r="BT304" s="7" t="s">
        <v>1326</v>
      </c>
      <c r="BU304" s="7"/>
      <c r="BV304" s="9" t="s">
        <v>163</v>
      </c>
      <c r="BW304" s="9" t="s">
        <v>1154</v>
      </c>
    </row>
    <row r="305" spans="1:75" ht="14.25" customHeight="1" x14ac:dyDescent="0.25">
      <c r="A305" s="1">
        <v>715</v>
      </c>
      <c r="B305" s="1" t="s">
        <v>1612</v>
      </c>
      <c r="C305" s="1" t="s">
        <v>1613</v>
      </c>
      <c r="D305" s="1" t="s">
        <v>616</v>
      </c>
      <c r="E305" s="1" t="s">
        <v>1441</v>
      </c>
      <c r="F305" s="1" t="s">
        <v>1511</v>
      </c>
      <c r="G305" s="1" t="s">
        <v>118</v>
      </c>
      <c r="H305" s="2">
        <v>0</v>
      </c>
      <c r="I305" s="2">
        <v>1</v>
      </c>
      <c r="J305" s="2">
        <v>1</v>
      </c>
      <c r="K305" s="2">
        <v>1</v>
      </c>
      <c r="L305" s="3" t="s">
        <v>127</v>
      </c>
      <c r="O305" s="4">
        <v>4</v>
      </c>
      <c r="P305" s="4" t="s">
        <v>1145</v>
      </c>
      <c r="Q305" s="4"/>
      <c r="R305" s="16">
        <v>160000</v>
      </c>
      <c r="S305" s="6">
        <v>160000</v>
      </c>
      <c r="T305" s="17"/>
      <c r="U305" s="6"/>
      <c r="V305" s="4"/>
      <c r="W305" s="4"/>
      <c r="X305" s="4"/>
      <c r="Y305" s="7">
        <v>5</v>
      </c>
      <c r="Z305" s="8">
        <v>39892</v>
      </c>
      <c r="AA305" s="7" t="s">
        <v>130</v>
      </c>
      <c r="AB305" s="7" t="s">
        <v>1614</v>
      </c>
      <c r="AC305" s="9">
        <v>3</v>
      </c>
      <c r="AD305" s="10">
        <v>546428</v>
      </c>
      <c r="AE305" s="9" t="s">
        <v>130</v>
      </c>
      <c r="AF305" s="9"/>
      <c r="AG305" s="11">
        <v>4</v>
      </c>
      <c r="AH305" s="11" t="s">
        <v>1149</v>
      </c>
      <c r="AI305" s="11"/>
      <c r="AJ305" s="11">
        <v>3</v>
      </c>
      <c r="AK305" s="11" t="s">
        <v>132</v>
      </c>
      <c r="AL305" s="12">
        <v>3</v>
      </c>
      <c r="AM305" s="12" t="s">
        <v>1149</v>
      </c>
      <c r="AN305" s="12" t="s">
        <v>1615</v>
      </c>
      <c r="AO305" s="12">
        <v>3</v>
      </c>
      <c r="AP305" s="12" t="s">
        <v>332</v>
      </c>
      <c r="AQ305" s="4">
        <v>3</v>
      </c>
      <c r="AR305" s="4" t="s">
        <v>621</v>
      </c>
      <c r="AS305" s="4" t="s">
        <v>145</v>
      </c>
      <c r="AT305" s="13"/>
      <c r="AU305" s="13"/>
      <c r="AV305" s="13"/>
      <c r="AW305" s="13"/>
      <c r="AX305" s="4"/>
      <c r="AY305" s="13"/>
      <c r="AZ305" s="13"/>
      <c r="BA305" s="13"/>
      <c r="BB305" s="13"/>
      <c r="BC305" s="4"/>
      <c r="BD305" s="4"/>
      <c r="BE305" s="4"/>
      <c r="BF305" s="13"/>
      <c r="BG305" s="4"/>
      <c r="BH305" s="13"/>
      <c r="BI305" s="13"/>
      <c r="BJ305" s="4"/>
      <c r="BK305" s="14">
        <v>16</v>
      </c>
      <c r="BL305" s="14">
        <v>13</v>
      </c>
      <c r="BM305" s="14">
        <v>16</v>
      </c>
      <c r="BN305" s="3" t="s">
        <v>86</v>
      </c>
      <c r="BO305" s="3" t="s">
        <v>120</v>
      </c>
      <c r="BP305" s="15"/>
      <c r="BQ305" s="15"/>
      <c r="BR305" s="2" t="s">
        <v>162</v>
      </c>
      <c r="BS305" s="2" t="s">
        <v>1224</v>
      </c>
      <c r="BT305" s="7" t="s">
        <v>1153</v>
      </c>
      <c r="BU305" s="7" t="s">
        <v>163</v>
      </c>
      <c r="BV305" s="9" t="s">
        <v>163</v>
      </c>
      <c r="BW305" s="9" t="s">
        <v>1154</v>
      </c>
    </row>
    <row r="306" spans="1:75" ht="14.25" customHeight="1" x14ac:dyDescent="0.25">
      <c r="A306" s="1">
        <v>716</v>
      </c>
      <c r="B306" s="1" t="s">
        <v>1616</v>
      </c>
      <c r="C306" s="1" t="s">
        <v>1617</v>
      </c>
      <c r="D306" s="1" t="s">
        <v>616</v>
      </c>
      <c r="E306" s="1" t="s">
        <v>1441</v>
      </c>
      <c r="F306" s="1" t="s">
        <v>1511</v>
      </c>
      <c r="G306" s="1"/>
      <c r="H306" s="2">
        <v>0</v>
      </c>
      <c r="I306" s="2">
        <v>1</v>
      </c>
      <c r="J306" s="2">
        <v>1</v>
      </c>
      <c r="K306" s="2">
        <v>1</v>
      </c>
      <c r="L306" s="3" t="s">
        <v>127</v>
      </c>
      <c r="O306" s="4">
        <v>5</v>
      </c>
      <c r="P306" s="4" t="s">
        <v>1145</v>
      </c>
      <c r="Q306" s="4"/>
      <c r="R306" s="16">
        <v>35000</v>
      </c>
      <c r="S306" s="6">
        <v>35000</v>
      </c>
      <c r="T306" s="17"/>
      <c r="U306" s="6"/>
      <c r="V306" s="4"/>
      <c r="W306" s="4"/>
      <c r="X306" s="4"/>
      <c r="Y306" s="7">
        <v>1</v>
      </c>
      <c r="Z306" s="8">
        <v>8570000</v>
      </c>
      <c r="AA306" s="7" t="s">
        <v>1145</v>
      </c>
      <c r="AB306" s="7" t="s">
        <v>1618</v>
      </c>
      <c r="AC306" s="9">
        <v>1</v>
      </c>
      <c r="AD306" s="10">
        <v>4864848</v>
      </c>
      <c r="AE306" s="9" t="s">
        <v>82</v>
      </c>
      <c r="AF306" s="9" t="s">
        <v>1619</v>
      </c>
      <c r="AG306" s="11">
        <v>4</v>
      </c>
      <c r="AH306" s="11" t="s">
        <v>1048</v>
      </c>
      <c r="AI306" s="11"/>
      <c r="AJ306" s="11"/>
      <c r="AK306" s="11"/>
      <c r="AL306" s="12">
        <v>3</v>
      </c>
      <c r="AM306" s="12" t="s">
        <v>1048</v>
      </c>
      <c r="AN306" s="12"/>
      <c r="AO306" s="12"/>
      <c r="AP306" s="12"/>
      <c r="AQ306" s="4">
        <v>4</v>
      </c>
      <c r="AR306" s="4" t="s">
        <v>621</v>
      </c>
      <c r="AS306" s="4"/>
      <c r="AT306" s="13"/>
      <c r="AU306" s="13"/>
      <c r="AV306" s="13"/>
      <c r="AW306" s="13"/>
      <c r="AX306" s="4"/>
      <c r="AY306" s="13"/>
      <c r="AZ306" s="13"/>
      <c r="BA306" s="13"/>
      <c r="BB306" s="13"/>
      <c r="BC306" s="4"/>
      <c r="BD306" s="4"/>
      <c r="BE306" s="4"/>
      <c r="BF306" s="13"/>
      <c r="BG306" s="4"/>
      <c r="BH306" s="13"/>
      <c r="BI306" s="13"/>
      <c r="BJ306" s="4"/>
      <c r="BK306" s="14">
        <v>14</v>
      </c>
      <c r="BL306" s="14">
        <v>13</v>
      </c>
      <c r="BM306" s="14">
        <v>14</v>
      </c>
      <c r="BN306" s="3" t="s">
        <v>113</v>
      </c>
      <c r="BP306" s="15"/>
      <c r="BQ306" s="15"/>
      <c r="BR306" s="2" t="s">
        <v>791</v>
      </c>
      <c r="BS306" s="2" t="s">
        <v>1152</v>
      </c>
      <c r="BT306" s="7" t="s">
        <v>1326</v>
      </c>
      <c r="BU306" s="7"/>
      <c r="BV306" s="9" t="s">
        <v>1154</v>
      </c>
      <c r="BW306" s="9"/>
    </row>
    <row r="307" spans="1:75" ht="14.25" customHeight="1" x14ac:dyDescent="0.25">
      <c r="A307" s="1">
        <v>719</v>
      </c>
      <c r="B307" s="1" t="s">
        <v>1620</v>
      </c>
      <c r="C307" s="1" t="s">
        <v>1621</v>
      </c>
      <c r="D307" s="1" t="s">
        <v>616</v>
      </c>
      <c r="E307" s="1" t="s">
        <v>1622</v>
      </c>
      <c r="F307" s="1" t="s">
        <v>1623</v>
      </c>
      <c r="G307" s="1" t="s">
        <v>118</v>
      </c>
      <c r="H307" s="2">
        <v>0</v>
      </c>
      <c r="I307" s="2">
        <v>0</v>
      </c>
      <c r="J307" s="2">
        <v>1</v>
      </c>
      <c r="K307" s="2">
        <v>1</v>
      </c>
      <c r="L307" s="3" t="s">
        <v>80</v>
      </c>
      <c r="O307" s="4">
        <v>5</v>
      </c>
      <c r="P307" s="4" t="s">
        <v>81</v>
      </c>
      <c r="Q307" s="4"/>
      <c r="R307" s="5"/>
      <c r="S307" s="6"/>
      <c r="T307" s="17"/>
      <c r="U307" s="6"/>
      <c r="V307" s="4"/>
      <c r="W307" s="4"/>
      <c r="X307" s="4"/>
      <c r="Y307" s="7">
        <v>1</v>
      </c>
      <c r="Z307" s="8">
        <v>6932824</v>
      </c>
      <c r="AA307" s="7" t="s">
        <v>130</v>
      </c>
      <c r="AB307" s="7"/>
      <c r="AC307" s="9">
        <v>1</v>
      </c>
      <c r="AD307" s="10">
        <v>6932180</v>
      </c>
      <c r="AE307" s="9" t="s">
        <v>130</v>
      </c>
      <c r="AF307" s="9"/>
      <c r="AG307" s="11">
        <v>3</v>
      </c>
      <c r="AH307" s="11" t="s">
        <v>93</v>
      </c>
      <c r="AI307" s="11"/>
      <c r="AJ307" s="11"/>
      <c r="AK307" s="11"/>
      <c r="AL307" s="12">
        <v>3</v>
      </c>
      <c r="AM307" s="12" t="s">
        <v>93</v>
      </c>
      <c r="AN307" s="12"/>
      <c r="AO307" s="12"/>
      <c r="AP307" s="12"/>
      <c r="AQ307" s="4">
        <v>3</v>
      </c>
      <c r="AR307" s="4" t="s">
        <v>93</v>
      </c>
      <c r="AS307" s="4" t="s">
        <v>1624</v>
      </c>
      <c r="AT307" s="13"/>
      <c r="AU307" s="13"/>
      <c r="AV307" s="13"/>
      <c r="AW307" s="13"/>
      <c r="AX307" s="4"/>
      <c r="AY307" s="13"/>
      <c r="AZ307" s="13"/>
      <c r="BA307" s="13"/>
      <c r="BB307" s="13"/>
      <c r="BC307" s="4"/>
      <c r="BD307" s="4"/>
      <c r="BE307" s="4"/>
      <c r="BF307" s="13"/>
      <c r="BG307" s="4"/>
      <c r="BH307" s="13"/>
      <c r="BI307" s="13"/>
      <c r="BJ307" s="4"/>
      <c r="BK307" s="14">
        <v>12</v>
      </c>
      <c r="BL307" s="14">
        <v>12</v>
      </c>
      <c r="BM307" s="14">
        <v>12</v>
      </c>
      <c r="BP307" s="15"/>
      <c r="BQ307" s="15"/>
      <c r="BR307" s="2" t="s">
        <v>97</v>
      </c>
      <c r="BS307" s="2" t="s">
        <v>97</v>
      </c>
      <c r="BT307" s="7" t="s">
        <v>147</v>
      </c>
      <c r="BU307" s="7"/>
      <c r="BV307" s="9" t="s">
        <v>147</v>
      </c>
      <c r="BW307" s="9"/>
    </row>
    <row r="308" spans="1:75" ht="14.25" customHeight="1" x14ac:dyDescent="0.25">
      <c r="A308" s="1">
        <v>720</v>
      </c>
      <c r="B308" s="1" t="s">
        <v>1625</v>
      </c>
      <c r="C308" s="1" t="s">
        <v>1626</v>
      </c>
      <c r="D308" s="1" t="s">
        <v>616</v>
      </c>
      <c r="E308" s="1" t="s">
        <v>1622</v>
      </c>
      <c r="F308" s="1" t="s">
        <v>1623</v>
      </c>
      <c r="G308" s="1" t="s">
        <v>118</v>
      </c>
      <c r="H308" s="2">
        <v>0</v>
      </c>
      <c r="I308" s="2">
        <v>1</v>
      </c>
      <c r="J308" s="2">
        <v>1</v>
      </c>
      <c r="K308" s="2">
        <v>1</v>
      </c>
      <c r="L308" s="3" t="s">
        <v>127</v>
      </c>
      <c r="O308" s="4">
        <v>4</v>
      </c>
      <c r="P308" s="4" t="s">
        <v>225</v>
      </c>
      <c r="Q308" s="4" t="s">
        <v>1627</v>
      </c>
      <c r="R308" s="16">
        <v>450000</v>
      </c>
      <c r="S308" s="6">
        <v>450000</v>
      </c>
      <c r="T308" s="16">
        <v>16000</v>
      </c>
      <c r="U308" s="6">
        <v>16000</v>
      </c>
      <c r="V308" s="4">
        <v>1995</v>
      </c>
      <c r="W308" s="4" t="s">
        <v>1628</v>
      </c>
      <c r="X308" s="4"/>
      <c r="Y308" s="7">
        <v>1</v>
      </c>
      <c r="Z308" s="8">
        <v>13984258</v>
      </c>
      <c r="AA308" s="7" t="s">
        <v>130</v>
      </c>
      <c r="AB308" s="7"/>
      <c r="AC308" s="9">
        <v>1</v>
      </c>
      <c r="AD308" s="10">
        <v>14872309</v>
      </c>
      <c r="AE308" s="9" t="s">
        <v>130</v>
      </c>
      <c r="AF308" s="9"/>
      <c r="AG308" s="11">
        <v>4</v>
      </c>
      <c r="AH308" s="11" t="s">
        <v>1149</v>
      </c>
      <c r="AI308" s="11"/>
      <c r="AJ308" s="11">
        <v>2</v>
      </c>
      <c r="AK308" s="11" t="s">
        <v>143</v>
      </c>
      <c r="AL308" s="12">
        <v>3</v>
      </c>
      <c r="AM308" s="12" t="s">
        <v>1149</v>
      </c>
      <c r="AN308" s="12"/>
      <c r="AO308" s="12">
        <v>1</v>
      </c>
      <c r="AP308" s="12" t="s">
        <v>132</v>
      </c>
      <c r="AQ308" s="4">
        <v>1</v>
      </c>
      <c r="AR308" s="4" t="s">
        <v>133</v>
      </c>
      <c r="AS308" s="4" t="s">
        <v>1629</v>
      </c>
      <c r="AT308" s="13">
        <v>132.62710571289099</v>
      </c>
      <c r="AU308" s="13">
        <v>1.66618847846985</v>
      </c>
      <c r="AV308" s="13">
        <v>-3.2499998807907098E-2</v>
      </c>
      <c r="AW308" s="13">
        <v>5.0599999427795401</v>
      </c>
      <c r="AX308" s="4"/>
      <c r="AY308" s="13">
        <v>97.113113403320298</v>
      </c>
      <c r="AZ308" s="13">
        <v>2.54702949523926</v>
      </c>
      <c r="BA308" s="13">
        <v>-4.5598000288009602E-2</v>
      </c>
      <c r="BB308" s="13">
        <v>8.9300003051757795</v>
      </c>
      <c r="BC308" s="4"/>
      <c r="BD308" s="4">
        <v>27</v>
      </c>
      <c r="BE308" s="4" t="s">
        <v>134</v>
      </c>
      <c r="BF308" s="13">
        <v>5.0925002098083496</v>
      </c>
      <c r="BG308" s="4">
        <v>174</v>
      </c>
      <c r="BH308" s="13">
        <v>0.77499997615814198</v>
      </c>
      <c r="BI308" s="13">
        <v>134.85000610351599</v>
      </c>
      <c r="BJ308" s="4"/>
      <c r="BK308" s="14">
        <v>10</v>
      </c>
      <c r="BL308" s="14">
        <v>9</v>
      </c>
      <c r="BM308" s="14">
        <v>10</v>
      </c>
      <c r="BP308" s="15"/>
      <c r="BQ308" s="15" t="s">
        <v>136</v>
      </c>
      <c r="BR308" s="2" t="s">
        <v>97</v>
      </c>
      <c r="BS308" s="2" t="s">
        <v>97</v>
      </c>
      <c r="BT308" s="7" t="s">
        <v>240</v>
      </c>
      <c r="BU308" s="7" t="s">
        <v>147</v>
      </c>
      <c r="BV308" s="9" t="s">
        <v>137</v>
      </c>
      <c r="BW308" s="9"/>
    </row>
    <row r="309" spans="1:75" ht="14.25" customHeight="1" x14ac:dyDescent="0.25">
      <c r="A309" s="1">
        <v>722</v>
      </c>
      <c r="B309" s="1" t="s">
        <v>1630</v>
      </c>
      <c r="C309" s="1" t="s">
        <v>1631</v>
      </c>
      <c r="D309" s="1" t="s">
        <v>616</v>
      </c>
      <c r="E309" s="1" t="s">
        <v>1632</v>
      </c>
      <c r="F309" s="1" t="s">
        <v>1633</v>
      </c>
      <c r="G309" s="1" t="s">
        <v>118</v>
      </c>
      <c r="H309" s="2">
        <v>0</v>
      </c>
      <c r="I309" s="2">
        <v>1</v>
      </c>
      <c r="J309" s="2">
        <v>1</v>
      </c>
      <c r="K309" s="2">
        <v>1</v>
      </c>
      <c r="L309" s="3" t="s">
        <v>127</v>
      </c>
      <c r="O309" s="4">
        <v>4</v>
      </c>
      <c r="P309" s="4" t="s">
        <v>1634</v>
      </c>
      <c r="Q309" s="4" t="s">
        <v>1635</v>
      </c>
      <c r="R309" s="16">
        <v>130000</v>
      </c>
      <c r="S309" s="6">
        <v>130000</v>
      </c>
      <c r="T309" s="17"/>
      <c r="U309" s="6"/>
      <c r="V309" s="4"/>
      <c r="W309" s="4"/>
      <c r="X309" s="4"/>
      <c r="Y309" s="7">
        <v>4</v>
      </c>
      <c r="Z309" s="8">
        <v>280000</v>
      </c>
      <c r="AA309" s="7" t="s">
        <v>130</v>
      </c>
      <c r="AB309" s="7" t="s">
        <v>1636</v>
      </c>
      <c r="AC309" s="9">
        <v>1</v>
      </c>
      <c r="AD309" s="10">
        <v>8251621</v>
      </c>
      <c r="AE309" s="9" t="s">
        <v>130</v>
      </c>
      <c r="AF309" s="9"/>
      <c r="AG309" s="11">
        <v>4</v>
      </c>
      <c r="AH309" s="11" t="s">
        <v>1149</v>
      </c>
      <c r="AI309" s="11"/>
      <c r="AJ309" s="11">
        <v>2</v>
      </c>
      <c r="AK309" s="11" t="s">
        <v>132</v>
      </c>
      <c r="AL309" s="12">
        <v>2</v>
      </c>
      <c r="AM309" s="12" t="s">
        <v>1149</v>
      </c>
      <c r="AN309" s="12"/>
      <c r="AO309" s="12">
        <v>2</v>
      </c>
      <c r="AP309" s="12" t="s">
        <v>132</v>
      </c>
      <c r="AQ309" s="4">
        <v>4</v>
      </c>
      <c r="AR309" s="4" t="s">
        <v>83</v>
      </c>
      <c r="AS309" s="4" t="s">
        <v>1637</v>
      </c>
      <c r="AT309" s="13"/>
      <c r="AU309" s="13"/>
      <c r="AV309" s="13"/>
      <c r="AW309" s="13"/>
      <c r="AX309" s="4"/>
      <c r="AY309" s="13"/>
      <c r="AZ309" s="13"/>
      <c r="BA309" s="13"/>
      <c r="BB309" s="13"/>
      <c r="BC309" s="4"/>
      <c r="BD309" s="4"/>
      <c r="BE309" s="4"/>
      <c r="BF309" s="13"/>
      <c r="BG309" s="4"/>
      <c r="BH309" s="13"/>
      <c r="BI309" s="13"/>
      <c r="BJ309" s="4"/>
      <c r="BK309" s="14">
        <v>16</v>
      </c>
      <c r="BL309" s="14">
        <v>11</v>
      </c>
      <c r="BM309" s="14">
        <v>16</v>
      </c>
      <c r="BN309" s="3" t="s">
        <v>86</v>
      </c>
      <c r="BP309" s="15"/>
      <c r="BQ309" s="15"/>
      <c r="BR309" s="2" t="s">
        <v>97</v>
      </c>
      <c r="BS309" s="2" t="s">
        <v>97</v>
      </c>
      <c r="BT309" s="7" t="s">
        <v>623</v>
      </c>
      <c r="BU309" s="7" t="s">
        <v>163</v>
      </c>
      <c r="BV309" s="9" t="s">
        <v>163</v>
      </c>
      <c r="BW309" s="9" t="s">
        <v>1154</v>
      </c>
    </row>
    <row r="310" spans="1:75" ht="14.25" customHeight="1" x14ac:dyDescent="0.25">
      <c r="A310" s="1">
        <v>723</v>
      </c>
      <c r="B310" s="1" t="s">
        <v>1638</v>
      </c>
      <c r="C310" s="1" t="s">
        <v>1639</v>
      </c>
      <c r="D310" s="1" t="s">
        <v>616</v>
      </c>
      <c r="E310" s="1" t="s">
        <v>1632</v>
      </c>
      <c r="F310" s="1" t="s">
        <v>1633</v>
      </c>
      <c r="G310" s="1"/>
      <c r="H310" s="2">
        <v>0</v>
      </c>
      <c r="I310" s="2">
        <v>0</v>
      </c>
      <c r="J310" s="2">
        <v>1</v>
      </c>
      <c r="K310" s="2">
        <v>1</v>
      </c>
      <c r="L310" s="3" t="s">
        <v>127</v>
      </c>
      <c r="O310" s="4">
        <v>4</v>
      </c>
      <c r="P310" s="4" t="s">
        <v>621</v>
      </c>
      <c r="Q310" s="4" t="s">
        <v>1640</v>
      </c>
      <c r="R310" s="16">
        <v>120000</v>
      </c>
      <c r="S310" s="6">
        <v>120000</v>
      </c>
      <c r="T310" s="17"/>
      <c r="U310" s="6"/>
      <c r="V310" s="4"/>
      <c r="W310" s="4"/>
      <c r="X310" s="4"/>
      <c r="Y310" s="7">
        <v>1</v>
      </c>
      <c r="Z310" s="8">
        <v>5537250</v>
      </c>
      <c r="AA310" s="7" t="s">
        <v>130</v>
      </c>
      <c r="AB310" s="7" t="s">
        <v>1641</v>
      </c>
      <c r="AC310" s="9">
        <v>1</v>
      </c>
      <c r="AD310" s="10">
        <v>5537250</v>
      </c>
      <c r="AE310" s="9" t="s">
        <v>1148</v>
      </c>
      <c r="AF310" s="9"/>
      <c r="AG310" s="11">
        <v>2</v>
      </c>
      <c r="AH310" s="11" t="s">
        <v>1048</v>
      </c>
      <c r="AI310" s="11"/>
      <c r="AJ310" s="11"/>
      <c r="AK310" s="11"/>
      <c r="AL310" s="12">
        <v>2</v>
      </c>
      <c r="AM310" s="12" t="s">
        <v>1048</v>
      </c>
      <c r="AN310" s="12"/>
      <c r="AO310" s="12"/>
      <c r="AP310" s="12"/>
      <c r="AQ310" s="4">
        <v>3</v>
      </c>
      <c r="AR310" s="4" t="s">
        <v>621</v>
      </c>
      <c r="AS310" s="4" t="s">
        <v>1053</v>
      </c>
      <c r="AT310" s="13"/>
      <c r="AU310" s="13"/>
      <c r="AV310" s="13"/>
      <c r="AW310" s="13"/>
      <c r="AX310" s="4"/>
      <c r="AY310" s="13"/>
      <c r="AZ310" s="13"/>
      <c r="BA310" s="13"/>
      <c r="BB310" s="13"/>
      <c r="BC310" s="4"/>
      <c r="BD310" s="4"/>
      <c r="BE310" s="4"/>
      <c r="BF310" s="13"/>
      <c r="BG310" s="4"/>
      <c r="BH310" s="13"/>
      <c r="BI310" s="13"/>
      <c r="BJ310" s="4"/>
      <c r="BK310" s="14">
        <v>10</v>
      </c>
      <c r="BL310" s="14">
        <v>10</v>
      </c>
      <c r="BM310" s="14">
        <v>10</v>
      </c>
      <c r="BP310" s="15"/>
      <c r="BQ310" s="15"/>
      <c r="BR310" s="2" t="s">
        <v>1368</v>
      </c>
      <c r="BS310" s="2" t="s">
        <v>1368</v>
      </c>
      <c r="BT310" s="7" t="s">
        <v>1326</v>
      </c>
      <c r="BU310" s="7"/>
      <c r="BV310" s="9" t="s">
        <v>1154</v>
      </c>
      <c r="BW310" s="9"/>
    </row>
    <row r="311" spans="1:75" ht="14.25" customHeight="1" x14ac:dyDescent="0.25">
      <c r="A311" s="1">
        <v>724</v>
      </c>
      <c r="B311" s="1" t="s">
        <v>1642</v>
      </c>
      <c r="C311" s="1" t="s">
        <v>1643</v>
      </c>
      <c r="D311" s="1" t="s">
        <v>616</v>
      </c>
      <c r="E311" s="1" t="s">
        <v>1632</v>
      </c>
      <c r="F311" s="1" t="s">
        <v>1644</v>
      </c>
      <c r="G311" s="1"/>
      <c r="H311" s="2">
        <v>1</v>
      </c>
      <c r="I311" s="2">
        <v>1</v>
      </c>
      <c r="J311" s="2">
        <v>1</v>
      </c>
      <c r="K311" s="2">
        <v>1</v>
      </c>
      <c r="L311" s="3" t="s">
        <v>127</v>
      </c>
      <c r="O311" s="4">
        <v>4</v>
      </c>
      <c r="P311" s="4" t="s">
        <v>621</v>
      </c>
      <c r="Q311" s="4"/>
      <c r="R311" s="16">
        <v>100000</v>
      </c>
      <c r="S311" s="6">
        <v>100000</v>
      </c>
      <c r="T311" s="17"/>
      <c r="U311" s="6"/>
      <c r="V311" s="4"/>
      <c r="W311" s="4"/>
      <c r="X311" s="4"/>
      <c r="Y311" s="7">
        <v>1</v>
      </c>
      <c r="Z311" s="8"/>
      <c r="AA311" s="7" t="s">
        <v>1213</v>
      </c>
      <c r="AB311" s="7" t="s">
        <v>1645</v>
      </c>
      <c r="AC311" s="9">
        <v>1</v>
      </c>
      <c r="AD311" s="10"/>
      <c r="AE311" s="9" t="s">
        <v>82</v>
      </c>
      <c r="AF311" s="9" t="s">
        <v>1246</v>
      </c>
      <c r="AG311" s="11">
        <v>4</v>
      </c>
      <c r="AH311" s="11" t="s">
        <v>620</v>
      </c>
      <c r="AI311" s="11" t="s">
        <v>1646</v>
      </c>
      <c r="AJ311" s="11"/>
      <c r="AK311" s="11"/>
      <c r="AL311" s="12">
        <v>4</v>
      </c>
      <c r="AM311" s="12" t="s">
        <v>620</v>
      </c>
      <c r="AN311" s="12" t="s">
        <v>1424</v>
      </c>
      <c r="AO311" s="12"/>
      <c r="AP311" s="12"/>
      <c r="AQ311" s="4">
        <v>3</v>
      </c>
      <c r="AR311" s="4" t="s">
        <v>621</v>
      </c>
      <c r="AS311" s="4" t="s">
        <v>1647</v>
      </c>
      <c r="AT311" s="13"/>
      <c r="AU311" s="13"/>
      <c r="AV311" s="13"/>
      <c r="AW311" s="13"/>
      <c r="AX311" s="4"/>
      <c r="AY311" s="13"/>
      <c r="AZ311" s="13"/>
      <c r="BA311" s="13"/>
      <c r="BB311" s="13"/>
      <c r="BC311" s="4"/>
      <c r="BD311" s="4"/>
      <c r="BE311" s="4"/>
      <c r="BF311" s="13"/>
      <c r="BG311" s="4"/>
      <c r="BH311" s="13"/>
      <c r="BI311" s="13"/>
      <c r="BJ311" s="4"/>
      <c r="BK311" s="14">
        <v>12</v>
      </c>
      <c r="BL311" s="14">
        <v>12</v>
      </c>
      <c r="BM311" s="14">
        <v>12</v>
      </c>
      <c r="BP311" s="15"/>
      <c r="BQ311" s="15"/>
      <c r="BR311" s="2" t="s">
        <v>1325</v>
      </c>
      <c r="BS311" s="2" t="s">
        <v>1325</v>
      </c>
      <c r="BT311" s="7" t="s">
        <v>1326</v>
      </c>
      <c r="BU311" s="7"/>
      <c r="BV311" s="9" t="s">
        <v>163</v>
      </c>
      <c r="BW311" s="9" t="s">
        <v>1154</v>
      </c>
    </row>
    <row r="312" spans="1:75" ht="14.25" customHeight="1" x14ac:dyDescent="0.25">
      <c r="A312" s="1">
        <v>735</v>
      </c>
      <c r="B312" s="1" t="s">
        <v>1648</v>
      </c>
      <c r="C312" s="1" t="s">
        <v>1649</v>
      </c>
      <c r="D312" s="1" t="s">
        <v>616</v>
      </c>
      <c r="E312" s="1" t="s">
        <v>1632</v>
      </c>
      <c r="F312" s="1" t="s">
        <v>1650</v>
      </c>
      <c r="G312" s="1"/>
      <c r="H312" s="2">
        <v>1</v>
      </c>
      <c r="I312" s="2">
        <v>1</v>
      </c>
      <c r="J312" s="2">
        <v>0</v>
      </c>
      <c r="K312" s="2">
        <v>0</v>
      </c>
      <c r="L312" s="3" t="s">
        <v>127</v>
      </c>
      <c r="O312" s="4">
        <v>3</v>
      </c>
      <c r="P312" s="4" t="s">
        <v>1039</v>
      </c>
      <c r="Q312" s="4" t="s">
        <v>1651</v>
      </c>
      <c r="R312" s="16">
        <v>1400000</v>
      </c>
      <c r="S312" s="6">
        <v>1400000</v>
      </c>
      <c r="T312" s="17"/>
      <c r="U312" s="6"/>
      <c r="V312" s="4"/>
      <c r="W312" s="4"/>
      <c r="X312" s="4"/>
      <c r="Y312" s="7">
        <v>1</v>
      </c>
      <c r="Z312" s="8">
        <v>24600000</v>
      </c>
      <c r="AA312" s="7" t="s">
        <v>1145</v>
      </c>
      <c r="AB312" s="7"/>
      <c r="AC312" s="9">
        <v>1</v>
      </c>
      <c r="AD312" s="10">
        <v>22559000</v>
      </c>
      <c r="AE312" s="9" t="s">
        <v>1148</v>
      </c>
      <c r="AF312" s="9"/>
      <c r="AG312" s="11">
        <v>3</v>
      </c>
      <c r="AH312" s="11" t="s">
        <v>630</v>
      </c>
      <c r="AI312" s="11"/>
      <c r="AJ312" s="11">
        <v>4</v>
      </c>
      <c r="AK312" s="11" t="s">
        <v>132</v>
      </c>
      <c r="AL312" s="12">
        <v>2</v>
      </c>
      <c r="AM312" s="12" t="s">
        <v>630</v>
      </c>
      <c r="AN312" s="12"/>
      <c r="AO312" s="12">
        <v>2</v>
      </c>
      <c r="AP312" s="12" t="s">
        <v>143</v>
      </c>
      <c r="AQ312" s="4">
        <v>3</v>
      </c>
      <c r="AR312" s="4" t="s">
        <v>621</v>
      </c>
      <c r="AS312" s="4"/>
      <c r="AT312" s="13"/>
      <c r="AU312" s="13"/>
      <c r="AV312" s="13"/>
      <c r="AW312" s="13"/>
      <c r="AX312" s="4"/>
      <c r="AY312" s="13"/>
      <c r="AZ312" s="13"/>
      <c r="BA312" s="13"/>
      <c r="BB312" s="13"/>
      <c r="BC312" s="4"/>
      <c r="BD312" s="4"/>
      <c r="BE312" s="4"/>
      <c r="BF312" s="13"/>
      <c r="BG312" s="4"/>
      <c r="BH312" s="13"/>
      <c r="BI312" s="13"/>
      <c r="BJ312" s="4"/>
      <c r="BK312" s="14">
        <v>10</v>
      </c>
      <c r="BL312" s="14">
        <v>9</v>
      </c>
      <c r="BM312" s="14">
        <v>10</v>
      </c>
      <c r="BP312" s="15"/>
      <c r="BQ312" s="15"/>
      <c r="BR312" s="2" t="s">
        <v>161</v>
      </c>
      <c r="BS312" s="2" t="s">
        <v>239</v>
      </c>
      <c r="BT312" s="7" t="s">
        <v>1153</v>
      </c>
      <c r="BU312" s="7" t="s">
        <v>163</v>
      </c>
      <c r="BV312" s="9" t="s">
        <v>163</v>
      </c>
      <c r="BW312" s="9" t="s">
        <v>164</v>
      </c>
    </row>
    <row r="313" spans="1:75" ht="14.25" customHeight="1" x14ac:dyDescent="0.25">
      <c r="A313" s="1">
        <v>736</v>
      </c>
      <c r="B313" s="1" t="s">
        <v>1652</v>
      </c>
      <c r="C313" s="1" t="s">
        <v>1653</v>
      </c>
      <c r="D313" s="1" t="s">
        <v>616</v>
      </c>
      <c r="E313" s="1" t="s">
        <v>1632</v>
      </c>
      <c r="F313" s="1" t="s">
        <v>1650</v>
      </c>
      <c r="G313" s="1" t="s">
        <v>1654</v>
      </c>
      <c r="H313" s="2">
        <v>1</v>
      </c>
      <c r="I313" s="2">
        <v>1</v>
      </c>
      <c r="J313" s="2">
        <v>1</v>
      </c>
      <c r="K313" s="2">
        <v>1</v>
      </c>
      <c r="L313" s="3" t="s">
        <v>127</v>
      </c>
      <c r="O313" s="4">
        <v>3</v>
      </c>
      <c r="P313" s="4" t="s">
        <v>635</v>
      </c>
      <c r="Q313" s="4" t="s">
        <v>169</v>
      </c>
      <c r="R313" s="16">
        <v>630000</v>
      </c>
      <c r="S313" s="6">
        <v>630000</v>
      </c>
      <c r="T313" s="16">
        <v>560000</v>
      </c>
      <c r="U313" s="6">
        <v>560000</v>
      </c>
      <c r="V313" s="4">
        <v>2010.5</v>
      </c>
      <c r="W313" s="4" t="s">
        <v>425</v>
      </c>
      <c r="X313" s="4"/>
      <c r="Y313" s="7">
        <v>2</v>
      </c>
      <c r="Z313" s="8">
        <v>3836041</v>
      </c>
      <c r="AA313" s="7" t="s">
        <v>130</v>
      </c>
      <c r="AB313" s="7"/>
      <c r="AC313" s="9">
        <v>2</v>
      </c>
      <c r="AD313" s="10">
        <v>3427786</v>
      </c>
      <c r="AE313" s="9" t="s">
        <v>130</v>
      </c>
      <c r="AF313" s="9"/>
      <c r="AG313" s="11">
        <v>2</v>
      </c>
      <c r="AH313" s="11" t="s">
        <v>630</v>
      </c>
      <c r="AI313" s="11"/>
      <c r="AJ313" s="11">
        <v>1</v>
      </c>
      <c r="AK313" s="11" t="s">
        <v>132</v>
      </c>
      <c r="AL313" s="12">
        <v>2</v>
      </c>
      <c r="AM313" s="12" t="s">
        <v>630</v>
      </c>
      <c r="AN313" s="12"/>
      <c r="AO313" s="12">
        <v>2</v>
      </c>
      <c r="AP313" s="12" t="s">
        <v>132</v>
      </c>
      <c r="AQ313" s="4">
        <v>1</v>
      </c>
      <c r="AR313" s="4" t="s">
        <v>133</v>
      </c>
      <c r="AS313" s="4"/>
      <c r="AT313" s="13">
        <v>425.52294921875</v>
      </c>
      <c r="AU313" s="13">
        <v>3.3098180294036901</v>
      </c>
      <c r="AV313" s="13">
        <v>2.1792049407959002</v>
      </c>
      <c r="AW313" s="13">
        <v>4.5900001525878897</v>
      </c>
      <c r="AX313" s="4">
        <v>1</v>
      </c>
      <c r="AY313" s="13">
        <v>5.9504332542419398</v>
      </c>
      <c r="AZ313" s="13">
        <v>0.262581557035446</v>
      </c>
      <c r="BA313" s="13">
        <v>-2.1500000953674299</v>
      </c>
      <c r="BB313" s="13">
        <v>2.6690011024475102</v>
      </c>
      <c r="BC313" s="4"/>
      <c r="BD313" s="4">
        <v>22</v>
      </c>
      <c r="BE313" s="4" t="s">
        <v>134</v>
      </c>
      <c r="BF313" s="13">
        <v>2.41079497337341</v>
      </c>
      <c r="BG313" s="4">
        <v>1360</v>
      </c>
      <c r="BH313" s="13">
        <v>0.78949999809265103</v>
      </c>
      <c r="BI313" s="13">
        <v>1072.72497558594</v>
      </c>
      <c r="BJ313" s="4"/>
      <c r="BK313" s="14">
        <v>8</v>
      </c>
      <c r="BL313" s="14">
        <v>8</v>
      </c>
      <c r="BM313" s="14">
        <v>8</v>
      </c>
      <c r="BP313" s="15" t="s">
        <v>135</v>
      </c>
      <c r="BQ313" s="15"/>
      <c r="BR313" s="2" t="s">
        <v>172</v>
      </c>
      <c r="BS313" s="2" t="s">
        <v>172</v>
      </c>
      <c r="BT313" s="7" t="s">
        <v>137</v>
      </c>
      <c r="BU313" s="7" t="s">
        <v>357</v>
      </c>
      <c r="BV313" s="9" t="s">
        <v>163</v>
      </c>
      <c r="BW313" s="9" t="s">
        <v>212</v>
      </c>
    </row>
    <row r="314" spans="1:75" ht="14.25" customHeight="1" x14ac:dyDescent="0.25">
      <c r="A314" s="1">
        <v>737</v>
      </c>
      <c r="B314" s="1" t="s">
        <v>1655</v>
      </c>
      <c r="C314" s="1" t="s">
        <v>1656</v>
      </c>
      <c r="D314" s="1" t="s">
        <v>616</v>
      </c>
      <c r="E314" s="1" t="s">
        <v>1632</v>
      </c>
      <c r="F314" s="1" t="s">
        <v>1650</v>
      </c>
      <c r="G314" s="1" t="s">
        <v>1654</v>
      </c>
      <c r="H314" s="2">
        <v>0</v>
      </c>
      <c r="I314" s="2">
        <v>1</v>
      </c>
      <c r="J314" s="2">
        <v>1</v>
      </c>
      <c r="K314" s="2">
        <v>1</v>
      </c>
      <c r="L314" s="3" t="s">
        <v>80</v>
      </c>
      <c r="O314" s="4">
        <v>2</v>
      </c>
      <c r="P314" s="4" t="s">
        <v>81</v>
      </c>
      <c r="Q314" s="4" t="s">
        <v>1657</v>
      </c>
      <c r="R314" s="5"/>
      <c r="S314" s="6"/>
      <c r="T314" s="17"/>
      <c r="U314" s="6"/>
      <c r="V314" s="4"/>
      <c r="W314" s="4"/>
      <c r="X314" s="4"/>
      <c r="Y314" s="7">
        <v>1</v>
      </c>
      <c r="Z314" s="8">
        <v>17999927</v>
      </c>
      <c r="AA314" s="7" t="s">
        <v>130</v>
      </c>
      <c r="AB314" s="7"/>
      <c r="AC314" s="9">
        <v>1</v>
      </c>
      <c r="AD314" s="10">
        <v>18009940</v>
      </c>
      <c r="AE314" s="9" t="s">
        <v>130</v>
      </c>
      <c r="AF314" s="9"/>
      <c r="AG314" s="11">
        <v>2</v>
      </c>
      <c r="AH314" s="11" t="s">
        <v>630</v>
      </c>
      <c r="AI314" s="11" t="s">
        <v>1658</v>
      </c>
      <c r="AJ314" s="11">
        <v>1</v>
      </c>
      <c r="AK314" s="11" t="s">
        <v>132</v>
      </c>
      <c r="AL314" s="12">
        <v>2</v>
      </c>
      <c r="AM314" s="12" t="s">
        <v>630</v>
      </c>
      <c r="AN314" s="12"/>
      <c r="AO314" s="12">
        <v>2</v>
      </c>
      <c r="AP314" s="12" t="s">
        <v>132</v>
      </c>
      <c r="AQ314" s="4">
        <v>1</v>
      </c>
      <c r="AR314" s="4" t="s">
        <v>208</v>
      </c>
      <c r="AS314" s="4"/>
      <c r="AT314" s="13">
        <v>687.87750244140602</v>
      </c>
      <c r="AU314" s="13">
        <v>5.6302466392517099</v>
      </c>
      <c r="AV314" s="13">
        <v>1.8899999856948899</v>
      </c>
      <c r="AW314" s="13">
        <v>9.2705011367797905</v>
      </c>
      <c r="AX314" s="4">
        <v>1</v>
      </c>
      <c r="AY314" s="13">
        <v>188.197998046875</v>
      </c>
      <c r="AZ314" s="13">
        <v>6.8380193710327104</v>
      </c>
      <c r="BA314" s="13">
        <v>2.4800000190734899</v>
      </c>
      <c r="BB314" s="13">
        <v>13</v>
      </c>
      <c r="BC314" s="4">
        <v>1</v>
      </c>
      <c r="BD314" s="4">
        <v>16</v>
      </c>
      <c r="BE314" s="4" t="s">
        <v>210</v>
      </c>
      <c r="BF314" s="13">
        <v>7.3805007934570304</v>
      </c>
      <c r="BG314" s="4">
        <v>56.5</v>
      </c>
      <c r="BH314" s="13">
        <v>3.4700000286102299</v>
      </c>
      <c r="BI314" s="13">
        <v>196.05499267578099</v>
      </c>
      <c r="BJ314" s="4"/>
      <c r="BK314" s="14">
        <v>6</v>
      </c>
      <c r="BL314" s="14">
        <v>6</v>
      </c>
      <c r="BM314" s="14">
        <v>6</v>
      </c>
      <c r="BP314" s="15" t="s">
        <v>135</v>
      </c>
      <c r="BQ314" s="15"/>
      <c r="BR314" s="2" t="s">
        <v>97</v>
      </c>
      <c r="BS314" s="2" t="s">
        <v>97</v>
      </c>
      <c r="BT314" s="7" t="s">
        <v>137</v>
      </c>
      <c r="BU314" s="7"/>
      <c r="BV314" s="9" t="s">
        <v>137</v>
      </c>
      <c r="BW314" s="9" t="s">
        <v>357</v>
      </c>
    </row>
    <row r="315" spans="1:75" ht="14.25" customHeight="1" x14ac:dyDescent="0.25">
      <c r="A315" s="1">
        <v>738</v>
      </c>
      <c r="B315" s="1" t="s">
        <v>1659</v>
      </c>
      <c r="C315" s="1" t="s">
        <v>1660</v>
      </c>
      <c r="D315" s="1" t="s">
        <v>616</v>
      </c>
      <c r="E315" s="1" t="s">
        <v>1661</v>
      </c>
      <c r="F315" s="1" t="s">
        <v>1662</v>
      </c>
      <c r="G315" s="1" t="s">
        <v>118</v>
      </c>
      <c r="H315" s="2">
        <v>1</v>
      </c>
      <c r="I315" s="2">
        <v>1</v>
      </c>
      <c r="J315" s="2">
        <v>1</v>
      </c>
      <c r="K315" s="2">
        <v>1</v>
      </c>
      <c r="L315" s="3" t="s">
        <v>127</v>
      </c>
      <c r="O315" s="4">
        <v>4</v>
      </c>
      <c r="P315" s="4" t="s">
        <v>635</v>
      </c>
      <c r="Q315" s="4" t="s">
        <v>169</v>
      </c>
      <c r="R315" s="16">
        <v>450000</v>
      </c>
      <c r="S315" s="6">
        <v>450000</v>
      </c>
      <c r="T315" s="16">
        <v>410000</v>
      </c>
      <c r="U315" s="6">
        <v>410000</v>
      </c>
      <c r="V315" s="4">
        <v>2010.5</v>
      </c>
      <c r="W315" s="4" t="s">
        <v>425</v>
      </c>
      <c r="X315" s="4"/>
      <c r="Y315" s="7">
        <v>2</v>
      </c>
      <c r="Z315" s="8">
        <v>1202753</v>
      </c>
      <c r="AA315" s="7" t="s">
        <v>130</v>
      </c>
      <c r="AB315" s="7"/>
      <c r="AC315" s="9">
        <v>2</v>
      </c>
      <c r="AD315" s="10">
        <v>2163377</v>
      </c>
      <c r="AE315" s="9" t="s">
        <v>130</v>
      </c>
      <c r="AF315" s="9"/>
      <c r="AG315" s="11">
        <v>3</v>
      </c>
      <c r="AH315" s="11" t="s">
        <v>518</v>
      </c>
      <c r="AI315" s="11" t="s">
        <v>519</v>
      </c>
      <c r="AJ315" s="11">
        <v>2</v>
      </c>
      <c r="AK315" s="11" t="s">
        <v>143</v>
      </c>
      <c r="AL315" s="12">
        <v>2</v>
      </c>
      <c r="AM315" s="12" t="s">
        <v>630</v>
      </c>
      <c r="AN315" s="12" t="s">
        <v>1663</v>
      </c>
      <c r="AO315" s="12">
        <v>2</v>
      </c>
      <c r="AP315" s="12" t="s">
        <v>132</v>
      </c>
      <c r="AQ315" s="4">
        <v>1</v>
      </c>
      <c r="AR315" s="4" t="s">
        <v>133</v>
      </c>
      <c r="AS315" s="4"/>
      <c r="AT315" s="13">
        <v>1139.99890136719</v>
      </c>
      <c r="AU315" s="13">
        <v>5.0604891777038601</v>
      </c>
      <c r="AV315" s="13">
        <v>3.6700000762939502</v>
      </c>
      <c r="AW315" s="13">
        <v>6.46000003814697</v>
      </c>
      <c r="AX315" s="4">
        <v>1</v>
      </c>
      <c r="AY315" s="13">
        <v>896.02825927734398</v>
      </c>
      <c r="AZ315" s="13">
        <v>5.2404942512512198</v>
      </c>
      <c r="BA315" s="13">
        <v>3.7799999713897701</v>
      </c>
      <c r="BB315" s="13">
        <v>6.4800000190734899</v>
      </c>
      <c r="BC315" s="4">
        <v>1</v>
      </c>
      <c r="BD315" s="4">
        <v>45</v>
      </c>
      <c r="BE315" s="4" t="s">
        <v>134</v>
      </c>
      <c r="BF315" s="13">
        <v>2.78999996185303</v>
      </c>
      <c r="BG315" s="4">
        <v>471.5</v>
      </c>
      <c r="BH315" s="13">
        <v>4.2350001335143999</v>
      </c>
      <c r="BI315" s="13">
        <v>1996.27001953125</v>
      </c>
      <c r="BJ315" s="4"/>
      <c r="BK315" s="14">
        <v>10</v>
      </c>
      <c r="BL315" s="14">
        <v>9</v>
      </c>
      <c r="BM315" s="14">
        <v>10</v>
      </c>
      <c r="BP315" s="15"/>
      <c r="BQ315" s="15"/>
      <c r="BR315" s="2" t="s">
        <v>256</v>
      </c>
      <c r="BS315" s="2" t="s">
        <v>247</v>
      </c>
      <c r="BT315" s="7" t="s">
        <v>212</v>
      </c>
      <c r="BU315" s="7"/>
      <c r="BV315" s="9" t="s">
        <v>148</v>
      </c>
      <c r="BW315" s="9" t="s">
        <v>212</v>
      </c>
    </row>
    <row r="316" spans="1:75" ht="14.25" customHeight="1" x14ac:dyDescent="0.25">
      <c r="A316" s="1">
        <v>739</v>
      </c>
      <c r="B316" s="1" t="s">
        <v>1664</v>
      </c>
      <c r="C316" s="1" t="s">
        <v>1665</v>
      </c>
      <c r="D316" s="1" t="s">
        <v>616</v>
      </c>
      <c r="E316" s="1" t="s">
        <v>1661</v>
      </c>
      <c r="F316" s="1" t="s">
        <v>1662</v>
      </c>
      <c r="G316" s="1"/>
      <c r="H316" s="2">
        <v>1</v>
      </c>
      <c r="I316" s="2">
        <v>1</v>
      </c>
      <c r="J316" s="2">
        <v>1</v>
      </c>
      <c r="K316" s="2">
        <v>1</v>
      </c>
      <c r="L316" s="3" t="s">
        <v>127</v>
      </c>
      <c r="O316" s="4">
        <v>4</v>
      </c>
      <c r="P316" s="4" t="s">
        <v>1666</v>
      </c>
      <c r="Q316" s="4"/>
      <c r="R316" s="16">
        <v>370000</v>
      </c>
      <c r="S316" s="6">
        <v>370000</v>
      </c>
      <c r="T316" s="16">
        <v>100000</v>
      </c>
      <c r="U316" s="6">
        <v>100000</v>
      </c>
      <c r="V316" s="4">
        <v>1999</v>
      </c>
      <c r="W316" s="4" t="s">
        <v>1666</v>
      </c>
      <c r="X316" s="4"/>
      <c r="Y316" s="7">
        <v>2</v>
      </c>
      <c r="Z316" s="8">
        <v>1460614</v>
      </c>
      <c r="AA316" s="7" t="s">
        <v>130</v>
      </c>
      <c r="AB316" s="7"/>
      <c r="AC316" s="9">
        <v>2</v>
      </c>
      <c r="AD316" s="10">
        <v>2376191</v>
      </c>
      <c r="AE316" s="9" t="s">
        <v>130</v>
      </c>
      <c r="AF316" s="9"/>
      <c r="AG316" s="11">
        <v>3</v>
      </c>
      <c r="AH316" s="11" t="s">
        <v>630</v>
      </c>
      <c r="AI316" s="11"/>
      <c r="AJ316" s="11">
        <v>1</v>
      </c>
      <c r="AK316" s="11" t="s">
        <v>132</v>
      </c>
      <c r="AL316" s="12">
        <v>2</v>
      </c>
      <c r="AM316" s="12" t="s">
        <v>630</v>
      </c>
      <c r="AN316" s="12"/>
      <c r="AO316" s="12">
        <v>2</v>
      </c>
      <c r="AP316" s="12" t="s">
        <v>143</v>
      </c>
      <c r="AQ316" s="4">
        <v>2</v>
      </c>
      <c r="AR316" s="4" t="s">
        <v>133</v>
      </c>
      <c r="AS316" s="4"/>
      <c r="AT316" s="13">
        <v>309.361572265625</v>
      </c>
      <c r="AU316" s="13">
        <v>2.8020713329315199</v>
      </c>
      <c r="AV316" s="13">
        <v>0.10379599779844299</v>
      </c>
      <c r="AW316" s="13">
        <v>5.1500000953674299</v>
      </c>
      <c r="AX316" s="4">
        <v>1</v>
      </c>
      <c r="AY316" s="13">
        <v>-38.307575225830099</v>
      </c>
      <c r="AZ316" s="13">
        <v>-1.5981295108795199</v>
      </c>
      <c r="BA316" s="13">
        <v>-4.7111988067626998</v>
      </c>
      <c r="BB316" s="13">
        <v>1.28999996185303</v>
      </c>
      <c r="BC316" s="4"/>
      <c r="BD316" s="4">
        <v>30</v>
      </c>
      <c r="BE316" s="4" t="s">
        <v>134</v>
      </c>
      <c r="BF316" s="13">
        <v>5.04620409011841</v>
      </c>
      <c r="BG316" s="4">
        <v>60</v>
      </c>
      <c r="BH316" s="13">
        <v>4.4749999046325701</v>
      </c>
      <c r="BI316" s="13">
        <v>268.5</v>
      </c>
      <c r="BJ316" s="4"/>
      <c r="BK316" s="14">
        <v>11</v>
      </c>
      <c r="BL316" s="14">
        <v>10</v>
      </c>
      <c r="BM316" s="14">
        <v>11</v>
      </c>
      <c r="BP316" s="15" t="s">
        <v>135</v>
      </c>
      <c r="BQ316" s="15"/>
      <c r="BR316" s="2" t="s">
        <v>247</v>
      </c>
      <c r="BS316" s="2" t="s">
        <v>247</v>
      </c>
      <c r="BT316" s="7" t="s">
        <v>357</v>
      </c>
      <c r="BU316" s="7" t="s">
        <v>163</v>
      </c>
      <c r="BV316" s="9" t="s">
        <v>357</v>
      </c>
      <c r="BW316" s="9" t="s">
        <v>163</v>
      </c>
    </row>
    <row r="317" spans="1:75" ht="14.25" customHeight="1" x14ac:dyDescent="0.25">
      <c r="A317" s="1">
        <v>740</v>
      </c>
      <c r="B317" s="1" t="s">
        <v>1667</v>
      </c>
      <c r="C317" s="1" t="s">
        <v>1668</v>
      </c>
      <c r="D317" s="1" t="s">
        <v>616</v>
      </c>
      <c r="E317" s="1" t="s">
        <v>1661</v>
      </c>
      <c r="F317" s="1" t="s">
        <v>1669</v>
      </c>
      <c r="G317" s="1"/>
      <c r="H317" s="2">
        <v>0</v>
      </c>
      <c r="I317" s="2">
        <v>0</v>
      </c>
      <c r="J317" s="2">
        <v>1</v>
      </c>
      <c r="K317" s="2">
        <v>1</v>
      </c>
      <c r="L317" s="3" t="s">
        <v>80</v>
      </c>
      <c r="O317" s="4">
        <v>4</v>
      </c>
      <c r="P317" s="4" t="s">
        <v>81</v>
      </c>
      <c r="Q317" s="4"/>
      <c r="R317" s="5"/>
      <c r="S317" s="6"/>
      <c r="T317" s="17"/>
      <c r="U317" s="6"/>
      <c r="V317" s="4"/>
      <c r="W317" s="4"/>
      <c r="X317" s="4"/>
      <c r="Y317" s="7">
        <v>2</v>
      </c>
      <c r="Z317" s="8">
        <v>2187788</v>
      </c>
      <c r="AA317" s="7" t="s">
        <v>130</v>
      </c>
      <c r="AB317" s="7"/>
      <c r="AC317" s="9">
        <v>2</v>
      </c>
      <c r="AD317" s="10">
        <v>2187788</v>
      </c>
      <c r="AE317" s="9" t="s">
        <v>130</v>
      </c>
      <c r="AF317" s="9"/>
      <c r="AG317" s="11">
        <v>2</v>
      </c>
      <c r="AH317" s="11" t="s">
        <v>620</v>
      </c>
      <c r="AI317" s="11"/>
      <c r="AJ317" s="11"/>
      <c r="AK317" s="11"/>
      <c r="AL317" s="12">
        <v>2</v>
      </c>
      <c r="AM317" s="12" t="s">
        <v>620</v>
      </c>
      <c r="AN317" s="12"/>
      <c r="AO317" s="12"/>
      <c r="AP317" s="12"/>
      <c r="AQ317" s="4">
        <v>2</v>
      </c>
      <c r="AR317" s="4" t="s">
        <v>93</v>
      </c>
      <c r="AS317" s="4" t="s">
        <v>1637</v>
      </c>
      <c r="AT317" s="13"/>
      <c r="AU317" s="13"/>
      <c r="AV317" s="13"/>
      <c r="AW317" s="13"/>
      <c r="AX317" s="4"/>
      <c r="AY317" s="13"/>
      <c r="AZ317" s="13"/>
      <c r="BA317" s="13"/>
      <c r="BB317" s="13"/>
      <c r="BC317" s="4"/>
      <c r="BD317" s="4"/>
      <c r="BE317" s="4"/>
      <c r="BF317" s="13"/>
      <c r="BG317" s="4"/>
      <c r="BH317" s="13"/>
      <c r="BI317" s="13"/>
      <c r="BJ317" s="4"/>
      <c r="BK317" s="14">
        <v>10</v>
      </c>
      <c r="BL317" s="14">
        <v>10</v>
      </c>
      <c r="BM317" s="14">
        <v>10</v>
      </c>
      <c r="BP317" s="15"/>
      <c r="BQ317" s="15"/>
      <c r="BR317" s="2" t="s">
        <v>97</v>
      </c>
      <c r="BS317" s="2" t="s">
        <v>97</v>
      </c>
      <c r="BT317" s="7" t="s">
        <v>147</v>
      </c>
      <c r="BU317" s="7"/>
      <c r="BV317" s="9" t="s">
        <v>147</v>
      </c>
      <c r="BW317" s="9"/>
    </row>
    <row r="318" spans="1:75" ht="14.25" customHeight="1" x14ac:dyDescent="0.25">
      <c r="A318" s="1">
        <v>741</v>
      </c>
      <c r="B318" s="1" t="s">
        <v>1670</v>
      </c>
      <c r="C318" s="1" t="s">
        <v>1671</v>
      </c>
      <c r="D318" s="1" t="s">
        <v>616</v>
      </c>
      <c r="E318" s="1" t="s">
        <v>1661</v>
      </c>
      <c r="F318" s="1" t="s">
        <v>1669</v>
      </c>
      <c r="G318" s="1" t="s">
        <v>118</v>
      </c>
      <c r="H318" s="2">
        <v>1</v>
      </c>
      <c r="I318" s="2">
        <v>1</v>
      </c>
      <c r="J318" s="2">
        <v>1</v>
      </c>
      <c r="K318" s="2">
        <v>1</v>
      </c>
      <c r="L318" s="3" t="s">
        <v>127</v>
      </c>
      <c r="O318" s="4">
        <v>3</v>
      </c>
      <c r="P318" s="4" t="s">
        <v>635</v>
      </c>
      <c r="Q318" s="4" t="s">
        <v>169</v>
      </c>
      <c r="R318" s="16">
        <v>2500000</v>
      </c>
      <c r="S318" s="6">
        <v>2500000</v>
      </c>
      <c r="T318" s="16">
        <v>2500000</v>
      </c>
      <c r="U318" s="6">
        <v>2500000</v>
      </c>
      <c r="V318" s="4">
        <v>2010.5</v>
      </c>
      <c r="W318" s="4" t="s">
        <v>425</v>
      </c>
      <c r="X318" s="4"/>
      <c r="Y318" s="7">
        <v>1</v>
      </c>
      <c r="Z318" s="8">
        <v>8751339</v>
      </c>
      <c r="AA318" s="7" t="s">
        <v>130</v>
      </c>
      <c r="AB318" s="7"/>
      <c r="AC318" s="9">
        <v>2</v>
      </c>
      <c r="AD318" s="10">
        <v>3481635</v>
      </c>
      <c r="AE318" s="9" t="s">
        <v>130</v>
      </c>
      <c r="AF318" s="9"/>
      <c r="AG318" s="11">
        <v>3</v>
      </c>
      <c r="AH318" s="11" t="s">
        <v>630</v>
      </c>
      <c r="AI318" s="11"/>
      <c r="AJ318" s="11">
        <v>2</v>
      </c>
      <c r="AK318" s="11" t="s">
        <v>132</v>
      </c>
      <c r="AL318" s="12">
        <v>3</v>
      </c>
      <c r="AM318" s="12" t="s">
        <v>630</v>
      </c>
      <c r="AN318" s="12"/>
      <c r="AO318" s="12">
        <v>2</v>
      </c>
      <c r="AP318" s="12" t="s">
        <v>132</v>
      </c>
      <c r="AQ318" s="4">
        <v>4</v>
      </c>
      <c r="AR318" s="4" t="s">
        <v>133</v>
      </c>
      <c r="AS318" s="4"/>
      <c r="AT318" s="13">
        <v>-42.803287506103501</v>
      </c>
      <c r="AU318" s="13">
        <v>-1.08884418010712</v>
      </c>
      <c r="AV318" s="13">
        <v>-2.3099999427795401</v>
      </c>
      <c r="AW318" s="13">
        <v>-0.20549899339675901</v>
      </c>
      <c r="AX318" s="4">
        <v>1</v>
      </c>
      <c r="AY318" s="13">
        <v>-21.724882125854499</v>
      </c>
      <c r="AZ318" s="13">
        <v>-2.2016623020172101</v>
      </c>
      <c r="BA318" s="13">
        <v>-4.5100979804992702</v>
      </c>
      <c r="BB318" s="13">
        <v>0.88499999046325695</v>
      </c>
      <c r="BC318" s="4"/>
      <c r="BD318" s="4">
        <v>11</v>
      </c>
      <c r="BE318" s="4" t="s">
        <v>134</v>
      </c>
      <c r="BF318" s="13">
        <v>2.1045010089874299</v>
      </c>
      <c r="BG318" s="4">
        <v>1227</v>
      </c>
      <c r="BH318" s="13">
        <v>0.384999990463257</v>
      </c>
      <c r="BI318" s="13">
        <v>472.49499511718801</v>
      </c>
      <c r="BJ318" s="4"/>
      <c r="BK318" s="14">
        <v>11</v>
      </c>
      <c r="BL318" s="14">
        <v>12</v>
      </c>
      <c r="BM318" s="14">
        <v>12</v>
      </c>
      <c r="BP318" s="15"/>
      <c r="BQ318" s="15"/>
      <c r="BR318" s="2" t="s">
        <v>172</v>
      </c>
      <c r="BS318" s="2" t="s">
        <v>172</v>
      </c>
      <c r="BT318" s="7" t="s">
        <v>147</v>
      </c>
      <c r="BU318" s="7"/>
      <c r="BV318" s="9" t="s">
        <v>147</v>
      </c>
      <c r="BW318" s="9" t="s">
        <v>148</v>
      </c>
    </row>
    <row r="319" spans="1:75" ht="14.25" customHeight="1" x14ac:dyDescent="0.25">
      <c r="A319" s="1">
        <v>743</v>
      </c>
      <c r="B319" s="1" t="s">
        <v>1672</v>
      </c>
      <c r="C319" s="1" t="s">
        <v>1673</v>
      </c>
      <c r="D319" s="1" t="s">
        <v>616</v>
      </c>
      <c r="E319" s="1" t="s">
        <v>1661</v>
      </c>
      <c r="F319" s="1" t="s">
        <v>1669</v>
      </c>
      <c r="G319" s="1"/>
      <c r="H319" s="2">
        <v>1</v>
      </c>
      <c r="I319" s="2">
        <v>1</v>
      </c>
      <c r="J319" s="2">
        <v>1</v>
      </c>
      <c r="K319" s="2">
        <v>1</v>
      </c>
      <c r="L319" s="3" t="s">
        <v>127</v>
      </c>
      <c r="O319" s="4">
        <v>4</v>
      </c>
      <c r="P319" s="4" t="s">
        <v>1031</v>
      </c>
      <c r="Q319" s="4" t="s">
        <v>169</v>
      </c>
      <c r="R319" s="16">
        <v>310000</v>
      </c>
      <c r="S319" s="6">
        <v>310000</v>
      </c>
      <c r="T319" s="16">
        <v>130000</v>
      </c>
      <c r="U319" s="6">
        <v>130000</v>
      </c>
      <c r="V319" s="4">
        <v>2010.5</v>
      </c>
      <c r="W319" s="4" t="s">
        <v>640</v>
      </c>
      <c r="X319" s="4"/>
      <c r="Y319" s="7">
        <v>1</v>
      </c>
      <c r="Z319" s="8">
        <v>6229176</v>
      </c>
      <c r="AA319" s="7" t="s">
        <v>130</v>
      </c>
      <c r="AB319" s="7"/>
      <c r="AC319" s="9">
        <v>1</v>
      </c>
      <c r="AD319" s="10">
        <v>4225069</v>
      </c>
      <c r="AE319" s="9" t="s">
        <v>130</v>
      </c>
      <c r="AF319" s="9"/>
      <c r="AG319" s="11">
        <v>3</v>
      </c>
      <c r="AH319" s="11" t="s">
        <v>630</v>
      </c>
      <c r="AI319" s="11"/>
      <c r="AJ319" s="11">
        <v>1</v>
      </c>
      <c r="AK319" s="11" t="s">
        <v>132</v>
      </c>
      <c r="AL319" s="12">
        <v>3</v>
      </c>
      <c r="AM319" s="12" t="s">
        <v>630</v>
      </c>
      <c r="AN319" s="12"/>
      <c r="AO319" s="12">
        <v>2</v>
      </c>
      <c r="AP319" s="12" t="s">
        <v>132</v>
      </c>
      <c r="AQ319" s="4">
        <v>2</v>
      </c>
      <c r="AR319" s="4" t="s">
        <v>133</v>
      </c>
      <c r="AS319" s="4"/>
      <c r="AT319" s="13">
        <v>13.825451850891101</v>
      </c>
      <c r="AU319" s="13">
        <v>0.25421100854873702</v>
      </c>
      <c r="AV319" s="13">
        <v>-0.82400000095367398</v>
      </c>
      <c r="AW319" s="13">
        <v>1.6399999856948899</v>
      </c>
      <c r="AX319" s="4"/>
      <c r="AY319" s="13">
        <v>10.059308052063001</v>
      </c>
      <c r="AZ319" s="13">
        <v>0.96691966056823697</v>
      </c>
      <c r="BA319" s="13">
        <v>-2.6955010890960698</v>
      </c>
      <c r="BB319" s="13">
        <v>6.6900000572204599</v>
      </c>
      <c r="BC319" s="4"/>
      <c r="BD319" s="4">
        <v>10</v>
      </c>
      <c r="BE319" s="4" t="s">
        <v>134</v>
      </c>
      <c r="BF319" s="13">
        <v>2.46399998664856</v>
      </c>
      <c r="BG319" s="4">
        <v>130.5</v>
      </c>
      <c r="BH319" s="13">
        <v>5.6650001555681201E-2</v>
      </c>
      <c r="BI319" s="13">
        <v>7.3562498092651403</v>
      </c>
      <c r="BJ319" s="4"/>
      <c r="BK319" s="14">
        <v>10</v>
      </c>
      <c r="BL319" s="14">
        <v>10</v>
      </c>
      <c r="BM319" s="14">
        <v>10</v>
      </c>
      <c r="BP319" s="15"/>
      <c r="BQ319" s="15"/>
      <c r="BR319" s="2" t="s">
        <v>247</v>
      </c>
      <c r="BS319" s="2" t="s">
        <v>247</v>
      </c>
      <c r="BT319" s="7" t="s">
        <v>147</v>
      </c>
      <c r="BU319" s="7"/>
      <c r="BV319" s="9" t="s">
        <v>147</v>
      </c>
      <c r="BW319" s="9"/>
    </row>
    <row r="320" spans="1:75" ht="14.25" customHeight="1" x14ac:dyDescent="0.25">
      <c r="A320" s="1">
        <v>745</v>
      </c>
      <c r="B320" s="1" t="s">
        <v>1674</v>
      </c>
      <c r="C320" s="1" t="s">
        <v>1675</v>
      </c>
      <c r="D320" s="1" t="s">
        <v>616</v>
      </c>
      <c r="E320" s="1" t="s">
        <v>1661</v>
      </c>
      <c r="F320" s="1" t="s">
        <v>1669</v>
      </c>
      <c r="G320" s="1"/>
      <c r="H320" s="2">
        <v>0</v>
      </c>
      <c r="I320" s="2">
        <v>0</v>
      </c>
      <c r="J320" s="2">
        <v>1</v>
      </c>
      <c r="K320" s="2">
        <v>1</v>
      </c>
      <c r="L320" s="3" t="s">
        <v>80</v>
      </c>
      <c r="O320" s="4">
        <v>4</v>
      </c>
      <c r="P320" s="4" t="s">
        <v>81</v>
      </c>
      <c r="Q320" s="4"/>
      <c r="R320" s="5"/>
      <c r="S320" s="6"/>
      <c r="T320" s="17"/>
      <c r="U320" s="6"/>
      <c r="V320" s="4"/>
      <c r="W320" s="4"/>
      <c r="X320" s="4"/>
      <c r="Y320" s="7">
        <v>1</v>
      </c>
      <c r="Z320" s="8"/>
      <c r="AA320" s="7" t="s">
        <v>130</v>
      </c>
      <c r="AB320" s="7"/>
      <c r="AC320" s="9">
        <v>1</v>
      </c>
      <c r="AD320" s="10"/>
      <c r="AE320" s="9" t="s">
        <v>130</v>
      </c>
      <c r="AF320" s="9"/>
      <c r="AG320" s="11">
        <v>3</v>
      </c>
      <c r="AH320" s="11" t="s">
        <v>93</v>
      </c>
      <c r="AI320" s="11"/>
      <c r="AJ320" s="11"/>
      <c r="AK320" s="11"/>
      <c r="AL320" s="12">
        <v>3</v>
      </c>
      <c r="AM320" s="12" t="s">
        <v>93</v>
      </c>
      <c r="AN320" s="12"/>
      <c r="AO320" s="12"/>
      <c r="AP320" s="12"/>
      <c r="AQ320" s="4">
        <v>3</v>
      </c>
      <c r="AR320" s="4" t="s">
        <v>93</v>
      </c>
      <c r="AS320" s="4" t="s">
        <v>1053</v>
      </c>
      <c r="AT320" s="13"/>
      <c r="AU320" s="13"/>
      <c r="AV320" s="13"/>
      <c r="AW320" s="13"/>
      <c r="AX320" s="4"/>
      <c r="AY320" s="13"/>
      <c r="AZ320" s="13"/>
      <c r="BA320" s="13"/>
      <c r="BB320" s="13"/>
      <c r="BC320" s="4"/>
      <c r="BD320" s="4"/>
      <c r="BE320" s="4"/>
      <c r="BF320" s="13"/>
      <c r="BG320" s="4"/>
      <c r="BH320" s="13"/>
      <c r="BI320" s="13"/>
      <c r="BJ320" s="4"/>
      <c r="BK320" s="14">
        <v>11</v>
      </c>
      <c r="BL320" s="14">
        <v>11</v>
      </c>
      <c r="BM320" s="14">
        <v>11</v>
      </c>
      <c r="BP320" s="15"/>
      <c r="BQ320" s="15"/>
      <c r="BR320" s="2" t="s">
        <v>97</v>
      </c>
      <c r="BS320" s="2" t="s">
        <v>97</v>
      </c>
      <c r="BT320" s="7" t="s">
        <v>147</v>
      </c>
      <c r="BU320" s="7"/>
      <c r="BV320" s="9" t="s">
        <v>147</v>
      </c>
      <c r="BW320" s="9"/>
    </row>
    <row r="321" spans="1:75" ht="14.25" customHeight="1" x14ac:dyDescent="0.25">
      <c r="A321" s="1">
        <v>746</v>
      </c>
      <c r="B321" s="1" t="s">
        <v>1676</v>
      </c>
      <c r="C321" s="1" t="s">
        <v>1677</v>
      </c>
      <c r="D321" s="1" t="s">
        <v>616</v>
      </c>
      <c r="E321" s="1" t="s">
        <v>1661</v>
      </c>
      <c r="F321" s="1" t="s">
        <v>1669</v>
      </c>
      <c r="G321" s="1"/>
      <c r="H321" s="2">
        <v>0</v>
      </c>
      <c r="I321" s="2">
        <v>0</v>
      </c>
      <c r="J321" s="2">
        <v>0</v>
      </c>
      <c r="K321" s="2">
        <v>1</v>
      </c>
      <c r="L321" s="3" t="s">
        <v>80</v>
      </c>
      <c r="O321" s="4">
        <v>5</v>
      </c>
      <c r="P321" s="4" t="s">
        <v>812</v>
      </c>
      <c r="Q321" s="4" t="s">
        <v>1678</v>
      </c>
      <c r="R321" s="16">
        <v>3700</v>
      </c>
      <c r="S321" s="6">
        <v>3700</v>
      </c>
      <c r="T321" s="17"/>
      <c r="U321" s="6"/>
      <c r="V321" s="4"/>
      <c r="W321" s="4"/>
      <c r="X321" s="4"/>
      <c r="Y321" s="7">
        <v>2</v>
      </c>
      <c r="Z321" s="8">
        <v>1360000</v>
      </c>
      <c r="AA321" s="7" t="s">
        <v>812</v>
      </c>
      <c r="AB321" s="7"/>
      <c r="AC321" s="9">
        <v>2</v>
      </c>
      <c r="AD321" s="10">
        <v>1360000</v>
      </c>
      <c r="AE321" s="9" t="s">
        <v>812</v>
      </c>
      <c r="AF321" s="9"/>
      <c r="AG321" s="11">
        <v>4</v>
      </c>
      <c r="AH321" s="11" t="s">
        <v>83</v>
      </c>
      <c r="AI321" s="11" t="s">
        <v>1679</v>
      </c>
      <c r="AJ321" s="11"/>
      <c r="AK321" s="11"/>
      <c r="AL321" s="12">
        <v>4</v>
      </c>
      <c r="AM321" s="12" t="s">
        <v>83</v>
      </c>
      <c r="AN321" s="12"/>
      <c r="AO321" s="12"/>
      <c r="AP321" s="12"/>
      <c r="AQ321" s="4">
        <v>3</v>
      </c>
      <c r="AR321" s="4" t="s">
        <v>83</v>
      </c>
      <c r="AS321" s="4" t="s">
        <v>1680</v>
      </c>
      <c r="AT321" s="13"/>
      <c r="AU321" s="13"/>
      <c r="AV321" s="13"/>
      <c r="AW321" s="13"/>
      <c r="AX321" s="4"/>
      <c r="AY321" s="13"/>
      <c r="AZ321" s="13"/>
      <c r="BA321" s="13"/>
      <c r="BB321" s="13"/>
      <c r="BC321" s="4"/>
      <c r="BD321" s="4"/>
      <c r="BE321" s="4"/>
      <c r="BF321" s="13"/>
      <c r="BG321" s="4"/>
      <c r="BH321" s="13"/>
      <c r="BI321" s="13"/>
      <c r="BJ321" s="4"/>
      <c r="BK321" s="14">
        <v>14</v>
      </c>
      <c r="BL321" s="14">
        <v>14</v>
      </c>
      <c r="BM321" s="14">
        <v>14</v>
      </c>
      <c r="BN321" s="3" t="s">
        <v>113</v>
      </c>
      <c r="BP321" s="15"/>
      <c r="BQ321" s="15"/>
      <c r="BR321" s="2" t="s">
        <v>97</v>
      </c>
      <c r="BS321" s="2" t="s">
        <v>97</v>
      </c>
      <c r="BT321" s="7" t="s">
        <v>212</v>
      </c>
      <c r="BU321" s="7" t="s">
        <v>98</v>
      </c>
      <c r="BV321" s="9" t="s">
        <v>212</v>
      </c>
      <c r="BW321" s="9" t="s">
        <v>98</v>
      </c>
    </row>
    <row r="322" spans="1:75" ht="14.25" customHeight="1" x14ac:dyDescent="0.25">
      <c r="A322" s="1">
        <v>747</v>
      </c>
      <c r="B322" s="1" t="s">
        <v>1681</v>
      </c>
      <c r="C322" s="1" t="s">
        <v>1682</v>
      </c>
      <c r="D322" s="1" t="s">
        <v>616</v>
      </c>
      <c r="E322" s="1" t="s">
        <v>1661</v>
      </c>
      <c r="F322" s="1" t="s">
        <v>1669</v>
      </c>
      <c r="G322" s="1" t="s">
        <v>118</v>
      </c>
      <c r="H322" s="2">
        <v>0</v>
      </c>
      <c r="I322" s="2">
        <v>0</v>
      </c>
      <c r="J322" s="2">
        <v>1</v>
      </c>
      <c r="K322" s="2">
        <v>1</v>
      </c>
      <c r="L322" s="3" t="s">
        <v>80</v>
      </c>
      <c r="O322" s="4">
        <v>4</v>
      </c>
      <c r="P322" s="4" t="s">
        <v>81</v>
      </c>
      <c r="Q322" s="4"/>
      <c r="R322" s="5"/>
      <c r="S322" s="6"/>
      <c r="T322" s="17"/>
      <c r="U322" s="6"/>
      <c r="V322" s="4"/>
      <c r="W322" s="4"/>
      <c r="X322" s="4"/>
      <c r="Y322" s="7">
        <v>3</v>
      </c>
      <c r="Z322" s="8">
        <v>931184</v>
      </c>
      <c r="AA322" s="7" t="s">
        <v>130</v>
      </c>
      <c r="AB322" s="7"/>
      <c r="AC322" s="9">
        <v>3</v>
      </c>
      <c r="AD322" s="10">
        <v>931184</v>
      </c>
      <c r="AE322" s="9" t="s">
        <v>130</v>
      </c>
      <c r="AF322" s="9"/>
      <c r="AG322" s="11">
        <v>2</v>
      </c>
      <c r="AH322" s="11" t="s">
        <v>93</v>
      </c>
      <c r="AI322" s="11"/>
      <c r="AJ322" s="11"/>
      <c r="AK322" s="11"/>
      <c r="AL322" s="12">
        <v>2</v>
      </c>
      <c r="AM322" s="12" t="s">
        <v>93</v>
      </c>
      <c r="AN322" s="12"/>
      <c r="AO322" s="12"/>
      <c r="AP322" s="12"/>
      <c r="AQ322" s="4">
        <v>3</v>
      </c>
      <c r="AR322" s="4" t="s">
        <v>93</v>
      </c>
      <c r="AS322" s="4" t="s">
        <v>1637</v>
      </c>
      <c r="AT322" s="13"/>
      <c r="AU322" s="13"/>
      <c r="AV322" s="13"/>
      <c r="AW322" s="13"/>
      <c r="AX322" s="4"/>
      <c r="AY322" s="13"/>
      <c r="AZ322" s="13"/>
      <c r="BA322" s="13"/>
      <c r="BB322" s="13"/>
      <c r="BC322" s="4"/>
      <c r="BD322" s="4"/>
      <c r="BE322" s="4"/>
      <c r="BF322" s="13"/>
      <c r="BG322" s="4"/>
      <c r="BH322" s="13"/>
      <c r="BI322" s="13"/>
      <c r="BJ322" s="4"/>
      <c r="BK322" s="14">
        <v>12</v>
      </c>
      <c r="BL322" s="14">
        <v>12</v>
      </c>
      <c r="BM322" s="14">
        <v>12</v>
      </c>
      <c r="BP322" s="15"/>
      <c r="BQ322" s="15"/>
      <c r="BR322" s="2" t="s">
        <v>400</v>
      </c>
      <c r="BS322" s="2" t="s">
        <v>400</v>
      </c>
      <c r="BT322" s="7" t="s">
        <v>147</v>
      </c>
      <c r="BU322" s="7"/>
      <c r="BV322" s="9" t="s">
        <v>147</v>
      </c>
      <c r="BW322" s="9"/>
    </row>
    <row r="323" spans="1:75" ht="14.25" customHeight="1" x14ac:dyDescent="0.25">
      <c r="A323" s="1">
        <v>748</v>
      </c>
      <c r="B323" s="1" t="s">
        <v>1683</v>
      </c>
      <c r="C323" s="1" t="s">
        <v>1684</v>
      </c>
      <c r="D323" s="1" t="s">
        <v>616</v>
      </c>
      <c r="E323" s="1" t="s">
        <v>1661</v>
      </c>
      <c r="F323" s="1" t="s">
        <v>1669</v>
      </c>
      <c r="G323" s="1"/>
      <c r="H323" s="2">
        <v>1</v>
      </c>
      <c r="I323" s="2">
        <v>1</v>
      </c>
      <c r="J323" s="2">
        <v>1</v>
      </c>
      <c r="K323" s="2">
        <v>1</v>
      </c>
      <c r="L323" s="3" t="s">
        <v>127</v>
      </c>
      <c r="O323" s="4">
        <v>3</v>
      </c>
      <c r="P323" s="4" t="s">
        <v>635</v>
      </c>
      <c r="Q323" s="4" t="s">
        <v>169</v>
      </c>
      <c r="R323" s="16">
        <v>700000</v>
      </c>
      <c r="S323" s="6">
        <v>700000</v>
      </c>
      <c r="T323" s="16">
        <v>620000</v>
      </c>
      <c r="U323" s="6">
        <v>620000</v>
      </c>
      <c r="V323" s="4">
        <v>2010.5</v>
      </c>
      <c r="W323" s="4" t="s">
        <v>425</v>
      </c>
      <c r="X323" s="4"/>
      <c r="Y323" s="7">
        <v>1</v>
      </c>
      <c r="Z323" s="8">
        <v>9840556</v>
      </c>
      <c r="AA323" s="7" t="s">
        <v>130</v>
      </c>
      <c r="AB323" s="7"/>
      <c r="AC323" s="9">
        <v>1</v>
      </c>
      <c r="AD323" s="10">
        <v>9496882</v>
      </c>
      <c r="AE323" s="9" t="s">
        <v>130</v>
      </c>
      <c r="AF323" s="9"/>
      <c r="AG323" s="11">
        <v>2</v>
      </c>
      <c r="AH323" s="11" t="s">
        <v>630</v>
      </c>
      <c r="AI323" s="11"/>
      <c r="AJ323" s="11">
        <v>2</v>
      </c>
      <c r="AK323" s="11" t="s">
        <v>132</v>
      </c>
      <c r="AL323" s="12">
        <v>2</v>
      </c>
      <c r="AM323" s="12" t="s">
        <v>630</v>
      </c>
      <c r="AN323" s="12"/>
      <c r="AO323" s="12">
        <v>2</v>
      </c>
      <c r="AP323" s="12" t="s">
        <v>132</v>
      </c>
      <c r="AQ323" s="4">
        <v>2</v>
      </c>
      <c r="AR323" s="4" t="s">
        <v>133</v>
      </c>
      <c r="AS323" s="4"/>
      <c r="AT323" s="13">
        <v>30.5941162109375</v>
      </c>
      <c r="AU323" s="13">
        <v>0.52487409114837602</v>
      </c>
      <c r="AV323" s="13">
        <v>0.26810199022293102</v>
      </c>
      <c r="AW323" s="13">
        <v>0.88400000333786</v>
      </c>
      <c r="AX323" s="4">
        <v>1</v>
      </c>
      <c r="AY323" s="13">
        <v>-21.0087566375732</v>
      </c>
      <c r="AZ323" s="13">
        <v>-1.0681848526001001</v>
      </c>
      <c r="BA323" s="13">
        <v>-1.46000003814697</v>
      </c>
      <c r="BB323" s="13">
        <v>-0.79730200767517101</v>
      </c>
      <c r="BC323" s="4">
        <v>1</v>
      </c>
      <c r="BD323" s="4">
        <v>22</v>
      </c>
      <c r="BE323" s="4" t="s">
        <v>134</v>
      </c>
      <c r="BF323" s="13">
        <v>0.61589801311492898</v>
      </c>
      <c r="BG323" s="4">
        <v>3807</v>
      </c>
      <c r="BH323" s="13">
        <v>0.73350000381469704</v>
      </c>
      <c r="BI323" s="13">
        <v>2792.39794921875</v>
      </c>
      <c r="BJ323" s="4"/>
      <c r="BK323" s="14">
        <v>8</v>
      </c>
      <c r="BL323" s="14">
        <v>8</v>
      </c>
      <c r="BM323" s="14">
        <v>8</v>
      </c>
      <c r="BP323" s="15"/>
      <c r="BQ323" s="15" t="s">
        <v>136</v>
      </c>
      <c r="BR323" s="2" t="s">
        <v>247</v>
      </c>
      <c r="BS323" s="2" t="s">
        <v>247</v>
      </c>
      <c r="BT323" s="7" t="s">
        <v>137</v>
      </c>
      <c r="BU323" s="7" t="s">
        <v>148</v>
      </c>
      <c r="BV323" s="9" t="s">
        <v>137</v>
      </c>
      <c r="BW323" s="9" t="s">
        <v>148</v>
      </c>
    </row>
    <row r="324" spans="1:75" ht="14.25" customHeight="1" x14ac:dyDescent="0.25">
      <c r="A324" s="1">
        <v>750</v>
      </c>
      <c r="B324" s="1" t="s">
        <v>1685</v>
      </c>
      <c r="C324" s="1" t="s">
        <v>1686</v>
      </c>
      <c r="D324" s="1" t="s">
        <v>616</v>
      </c>
      <c r="E324" s="1" t="s">
        <v>1661</v>
      </c>
      <c r="F324" s="1" t="s">
        <v>1669</v>
      </c>
      <c r="G324" s="1" t="s">
        <v>118</v>
      </c>
      <c r="H324" s="2">
        <v>0</v>
      </c>
      <c r="I324" s="2">
        <v>0</v>
      </c>
      <c r="J324" s="2">
        <v>0</v>
      </c>
      <c r="K324" s="2">
        <v>1</v>
      </c>
      <c r="L324" s="3" t="s">
        <v>80</v>
      </c>
      <c r="O324" s="4">
        <v>2</v>
      </c>
      <c r="P324" s="4" t="s">
        <v>81</v>
      </c>
      <c r="Q324" s="4"/>
      <c r="R324" s="5"/>
      <c r="S324" s="6"/>
      <c r="T324" s="17"/>
      <c r="U324" s="6"/>
      <c r="V324" s="4"/>
      <c r="W324" s="4"/>
      <c r="X324" s="4"/>
      <c r="Y324" s="7">
        <v>1</v>
      </c>
      <c r="Z324" s="8">
        <v>14700000</v>
      </c>
      <c r="AA324" s="7" t="s">
        <v>812</v>
      </c>
      <c r="AB324" s="7"/>
      <c r="AC324" s="9">
        <v>1</v>
      </c>
      <c r="AD324" s="10">
        <v>14700000</v>
      </c>
      <c r="AE324" s="9" t="s">
        <v>812</v>
      </c>
      <c r="AF324" s="9"/>
      <c r="AG324" s="11">
        <v>3</v>
      </c>
      <c r="AH324" s="11" t="s">
        <v>83</v>
      </c>
      <c r="AI324" s="11"/>
      <c r="AJ324" s="11"/>
      <c r="AK324" s="11"/>
      <c r="AL324" s="12">
        <v>3</v>
      </c>
      <c r="AM324" s="12" t="s">
        <v>83</v>
      </c>
      <c r="AN324" s="12"/>
      <c r="AO324" s="12"/>
      <c r="AP324" s="12"/>
      <c r="AQ324" s="4">
        <v>2</v>
      </c>
      <c r="AR324" s="4" t="s">
        <v>83</v>
      </c>
      <c r="AS324" s="4"/>
      <c r="AT324" s="13"/>
      <c r="AU324" s="13"/>
      <c r="AV324" s="13"/>
      <c r="AW324" s="13"/>
      <c r="AX324" s="4"/>
      <c r="AY324" s="13"/>
      <c r="AZ324" s="13"/>
      <c r="BA324" s="13"/>
      <c r="BB324" s="13"/>
      <c r="BC324" s="4"/>
      <c r="BD324" s="4"/>
      <c r="BE324" s="4"/>
      <c r="BF324" s="13"/>
      <c r="BG324" s="4"/>
      <c r="BH324" s="13"/>
      <c r="BI324" s="13"/>
      <c r="BJ324" s="4"/>
      <c r="BK324" s="14">
        <v>8</v>
      </c>
      <c r="BL324" s="14">
        <v>8</v>
      </c>
      <c r="BM324" s="14">
        <v>8</v>
      </c>
      <c r="BP324" s="15"/>
      <c r="BQ324" s="15"/>
      <c r="BR324" s="2" t="s">
        <v>740</v>
      </c>
      <c r="BS324" s="2" t="s">
        <v>740</v>
      </c>
      <c r="BT324" s="7" t="s">
        <v>137</v>
      </c>
      <c r="BU324" s="7"/>
      <c r="BV324" s="9" t="s">
        <v>137</v>
      </c>
      <c r="BW324" s="9"/>
    </row>
    <row r="325" spans="1:75" ht="14.25" customHeight="1" x14ac:dyDescent="0.25">
      <c r="A325" s="1">
        <v>752</v>
      </c>
      <c r="B325" s="1" t="s">
        <v>1687</v>
      </c>
      <c r="C325" s="1" t="s">
        <v>1688</v>
      </c>
      <c r="D325" s="1" t="s">
        <v>616</v>
      </c>
      <c r="E325" s="1" t="s">
        <v>1661</v>
      </c>
      <c r="F325" s="1" t="s">
        <v>1669</v>
      </c>
      <c r="G325" s="1"/>
      <c r="H325" s="2">
        <v>1</v>
      </c>
      <c r="I325" s="2">
        <v>1</v>
      </c>
      <c r="J325" s="2">
        <v>1</v>
      </c>
      <c r="K325" s="2">
        <v>1</v>
      </c>
      <c r="L325" s="3" t="s">
        <v>127</v>
      </c>
      <c r="O325" s="4">
        <v>2</v>
      </c>
      <c r="P325" s="4" t="s">
        <v>1319</v>
      </c>
      <c r="Q325" s="4" t="s">
        <v>169</v>
      </c>
      <c r="R325" s="16">
        <v>9500000</v>
      </c>
      <c r="S325" s="6">
        <v>9500000</v>
      </c>
      <c r="T325" s="16">
        <v>710000</v>
      </c>
      <c r="U325" s="6">
        <v>710000</v>
      </c>
      <c r="V325" s="4">
        <v>2010.5</v>
      </c>
      <c r="W325" s="4" t="s">
        <v>425</v>
      </c>
      <c r="X325" s="4"/>
      <c r="Y325" s="7">
        <v>1</v>
      </c>
      <c r="Z325" s="8">
        <v>37202224</v>
      </c>
      <c r="AA325" s="7" t="s">
        <v>154</v>
      </c>
      <c r="AB325" s="7"/>
      <c r="AC325" s="9">
        <v>1</v>
      </c>
      <c r="AD325" s="10">
        <v>38068606</v>
      </c>
      <c r="AE325" s="9" t="s">
        <v>155</v>
      </c>
      <c r="AF325" s="9"/>
      <c r="AG325" s="11">
        <v>2</v>
      </c>
      <c r="AH325" s="11" t="s">
        <v>630</v>
      </c>
      <c r="AI325" s="11"/>
      <c r="AJ325" s="11">
        <v>2</v>
      </c>
      <c r="AK325" s="11" t="s">
        <v>132</v>
      </c>
      <c r="AL325" s="12">
        <v>2</v>
      </c>
      <c r="AM325" s="12" t="s">
        <v>630</v>
      </c>
      <c r="AN325" s="12"/>
      <c r="AO325" s="12">
        <v>2</v>
      </c>
      <c r="AP325" s="12" t="s">
        <v>132</v>
      </c>
      <c r="AQ325" s="4">
        <v>1</v>
      </c>
      <c r="AR325" s="4" t="s">
        <v>133</v>
      </c>
      <c r="AS325" s="4"/>
      <c r="AT325" s="13">
        <v>170.66549682617199</v>
      </c>
      <c r="AU325" s="13">
        <v>1.97195184230804</v>
      </c>
      <c r="AV325" s="13">
        <v>1.3200000524520901</v>
      </c>
      <c r="AW325" s="13">
        <v>2.5899999141693102</v>
      </c>
      <c r="AX325" s="4">
        <v>1</v>
      </c>
      <c r="AY325" s="13">
        <v>-7.8637375831604004</v>
      </c>
      <c r="AZ325" s="13">
        <v>-0.45401120185852101</v>
      </c>
      <c r="BA325" s="13">
        <v>-1.7699999809265099</v>
      </c>
      <c r="BB325" s="13">
        <v>0.80629599094390902</v>
      </c>
      <c r="BC325" s="4"/>
      <c r="BD325" s="4">
        <v>18</v>
      </c>
      <c r="BE325" s="4" t="s">
        <v>134</v>
      </c>
      <c r="BF325" s="13">
        <v>1.2699999809265099</v>
      </c>
      <c r="BG325" s="4">
        <v>1110.5</v>
      </c>
      <c r="BH325" s="13">
        <v>2.1449999809265101</v>
      </c>
      <c r="BI325" s="13">
        <v>2382.2099609375</v>
      </c>
      <c r="BJ325" s="4"/>
      <c r="BK325" s="14">
        <v>6</v>
      </c>
      <c r="BL325" s="14">
        <v>6</v>
      </c>
      <c r="BM325" s="14">
        <v>6</v>
      </c>
      <c r="BP325" s="15"/>
      <c r="BQ325" s="15" t="s">
        <v>136</v>
      </c>
      <c r="BR325" s="2" t="s">
        <v>247</v>
      </c>
      <c r="BS325" s="2" t="s">
        <v>247</v>
      </c>
      <c r="BT325" s="7" t="s">
        <v>137</v>
      </c>
      <c r="BU325" s="7" t="s">
        <v>148</v>
      </c>
      <c r="BV325" s="9" t="s">
        <v>137</v>
      </c>
      <c r="BW325" s="9" t="s">
        <v>148</v>
      </c>
    </row>
    <row r="326" spans="1:75" ht="14.25" customHeight="1" x14ac:dyDescent="0.25">
      <c r="A326" s="1">
        <v>762</v>
      </c>
      <c r="B326" s="1" t="s">
        <v>1689</v>
      </c>
      <c r="C326" s="1" t="s">
        <v>1690</v>
      </c>
      <c r="D326" s="1" t="s">
        <v>616</v>
      </c>
      <c r="E326" s="1" t="s">
        <v>1661</v>
      </c>
      <c r="F326" s="1" t="s">
        <v>1669</v>
      </c>
      <c r="G326" s="1" t="s">
        <v>1691</v>
      </c>
      <c r="H326" s="2">
        <v>1</v>
      </c>
      <c r="I326" s="2">
        <v>1</v>
      </c>
      <c r="J326" s="2">
        <v>1</v>
      </c>
      <c r="K326" s="2">
        <v>1</v>
      </c>
      <c r="L326" s="3" t="s">
        <v>127</v>
      </c>
      <c r="O326" s="4">
        <v>2</v>
      </c>
      <c r="P326" s="4" t="s">
        <v>1386</v>
      </c>
      <c r="Q326" s="4" t="s">
        <v>169</v>
      </c>
      <c r="R326" s="16">
        <v>48000000</v>
      </c>
      <c r="S326" s="6">
        <v>48000000</v>
      </c>
      <c r="T326" s="16">
        <v>2800000</v>
      </c>
      <c r="U326" s="6">
        <v>2800000</v>
      </c>
      <c r="V326" s="4">
        <v>2010.5</v>
      </c>
      <c r="W326" s="4" t="s">
        <v>425</v>
      </c>
      <c r="X326" s="4"/>
      <c r="Y326" s="7">
        <v>1</v>
      </c>
      <c r="Z326" s="8">
        <v>35923738</v>
      </c>
      <c r="AA326" s="7" t="s">
        <v>154</v>
      </c>
      <c r="AB326" s="7"/>
      <c r="AC326" s="9">
        <v>1</v>
      </c>
      <c r="AD326" s="10">
        <v>50625860</v>
      </c>
      <c r="AE326" s="9" t="s">
        <v>155</v>
      </c>
      <c r="AF326" s="9"/>
      <c r="AG326" s="11">
        <v>2</v>
      </c>
      <c r="AH326" s="11" t="s">
        <v>630</v>
      </c>
      <c r="AI326" s="11" t="s">
        <v>1692</v>
      </c>
      <c r="AJ326" s="11">
        <v>2</v>
      </c>
      <c r="AK326" s="11" t="s">
        <v>132</v>
      </c>
      <c r="AL326" s="12">
        <v>2</v>
      </c>
      <c r="AM326" s="12" t="s">
        <v>630</v>
      </c>
      <c r="AN326" s="12"/>
      <c r="AO326" s="12">
        <v>2</v>
      </c>
      <c r="AP326" s="12" t="s">
        <v>143</v>
      </c>
      <c r="AQ326" s="4">
        <v>4</v>
      </c>
      <c r="AR326" s="4" t="s">
        <v>133</v>
      </c>
      <c r="AS326" s="4"/>
      <c r="AT326" s="13">
        <v>-40.550346374511697</v>
      </c>
      <c r="AU326" s="13">
        <v>-1.0145056247711199</v>
      </c>
      <c r="AV326" s="13">
        <v>-2.38400101661682</v>
      </c>
      <c r="AW326" s="13">
        <v>0.63499999046325695</v>
      </c>
      <c r="AX326" s="4"/>
      <c r="AY326" s="13">
        <v>-48.079986572265597</v>
      </c>
      <c r="AZ326" s="13">
        <v>-3.5776233673095699</v>
      </c>
      <c r="BA326" s="13">
        <v>-5.4099998474121103</v>
      </c>
      <c r="BB326" s="13">
        <v>-2.4056019783020002</v>
      </c>
      <c r="BC326" s="4">
        <v>1</v>
      </c>
      <c r="BD326" s="4">
        <v>18</v>
      </c>
      <c r="BE326" s="4" t="s">
        <v>134</v>
      </c>
      <c r="BF326" s="13">
        <v>3.0190010070800799</v>
      </c>
      <c r="BG326" s="4">
        <v>872.5</v>
      </c>
      <c r="BH326" s="13">
        <v>39.724998474121101</v>
      </c>
      <c r="BI326" s="13">
        <v>34717.875</v>
      </c>
      <c r="BJ326" s="4"/>
      <c r="BK326" s="14">
        <v>9</v>
      </c>
      <c r="BL326" s="14">
        <v>9</v>
      </c>
      <c r="BM326" s="14">
        <v>9</v>
      </c>
      <c r="BP326" s="15" t="s">
        <v>135</v>
      </c>
      <c r="BQ326" s="15" t="s">
        <v>146</v>
      </c>
      <c r="BR326" s="2" t="s">
        <v>247</v>
      </c>
      <c r="BS326" s="2" t="s">
        <v>247</v>
      </c>
      <c r="BT326" s="7" t="s">
        <v>137</v>
      </c>
      <c r="BU326" s="7"/>
      <c r="BV326" s="9" t="s">
        <v>603</v>
      </c>
      <c r="BW326" s="9" t="s">
        <v>248</v>
      </c>
    </row>
    <row r="327" spans="1:75" ht="14.25" customHeight="1" x14ac:dyDescent="0.25">
      <c r="A327" s="1">
        <v>764</v>
      </c>
      <c r="B327" s="1" t="s">
        <v>1693</v>
      </c>
      <c r="C327" s="1" t="s">
        <v>1694</v>
      </c>
      <c r="D327" s="1" t="s">
        <v>616</v>
      </c>
      <c r="E327" s="1" t="s">
        <v>1661</v>
      </c>
      <c r="F327" s="1" t="s">
        <v>1669</v>
      </c>
      <c r="G327" s="1"/>
      <c r="H327" s="2">
        <v>1</v>
      </c>
      <c r="I327" s="2">
        <v>1</v>
      </c>
      <c r="J327" s="2">
        <v>1</v>
      </c>
      <c r="K327" s="2">
        <v>1</v>
      </c>
      <c r="L327" s="3" t="s">
        <v>127</v>
      </c>
      <c r="O327" s="4">
        <v>3</v>
      </c>
      <c r="P327" s="4" t="s">
        <v>635</v>
      </c>
      <c r="Q327" s="4" t="s">
        <v>169</v>
      </c>
      <c r="R327" s="16">
        <v>1200000</v>
      </c>
      <c r="S327" s="6">
        <v>1200000</v>
      </c>
      <c r="T327" s="16">
        <v>770000</v>
      </c>
      <c r="U327" s="6">
        <v>770000</v>
      </c>
      <c r="V327" s="4">
        <v>2010.5</v>
      </c>
      <c r="W327" s="4" t="s">
        <v>425</v>
      </c>
      <c r="X327" s="4"/>
      <c r="Y327" s="7">
        <v>1</v>
      </c>
      <c r="Z327" s="8">
        <v>7930158</v>
      </c>
      <c r="AA327" s="7" t="s">
        <v>283</v>
      </c>
      <c r="AB327" s="7"/>
      <c r="AC327" s="9">
        <v>1</v>
      </c>
      <c r="AD327" s="10">
        <v>4747660</v>
      </c>
      <c r="AE327" s="9" t="s">
        <v>283</v>
      </c>
      <c r="AF327" s="9"/>
      <c r="AG327" s="11">
        <v>3</v>
      </c>
      <c r="AH327" s="11" t="s">
        <v>630</v>
      </c>
      <c r="AI327" s="11"/>
      <c r="AJ327" s="11">
        <v>2</v>
      </c>
      <c r="AK327" s="11" t="s">
        <v>132</v>
      </c>
      <c r="AL327" s="12">
        <v>3</v>
      </c>
      <c r="AM327" s="12" t="s">
        <v>630</v>
      </c>
      <c r="AN327" s="12"/>
      <c r="AO327" s="12">
        <v>2</v>
      </c>
      <c r="AP327" s="12" t="s">
        <v>132</v>
      </c>
      <c r="AQ327" s="4">
        <v>5</v>
      </c>
      <c r="AR327" s="4" t="s">
        <v>133</v>
      </c>
      <c r="AS327" s="4"/>
      <c r="AT327" s="13">
        <v>-57.117713928222699</v>
      </c>
      <c r="AU327" s="13">
        <v>-1.64595806598663</v>
      </c>
      <c r="AV327" s="13">
        <v>-2.0168011188507098</v>
      </c>
      <c r="AW327" s="13">
        <v>-1.16999995708466</v>
      </c>
      <c r="AX327" s="4">
        <v>1</v>
      </c>
      <c r="AY327" s="13">
        <v>-16.739665985107401</v>
      </c>
      <c r="AZ327" s="13">
        <v>-1.39906418323517</v>
      </c>
      <c r="BA327" s="13">
        <v>-2.1800000667571999</v>
      </c>
      <c r="BB327" s="13">
        <v>-0.72899997234344505</v>
      </c>
      <c r="BC327" s="4">
        <v>1</v>
      </c>
      <c r="BD327" s="4">
        <v>13</v>
      </c>
      <c r="BE327" s="4" t="s">
        <v>134</v>
      </c>
      <c r="BF327" s="13">
        <v>0.84680098295211803</v>
      </c>
      <c r="BG327" s="4">
        <v>2366.5</v>
      </c>
      <c r="BH327" s="13">
        <v>0.55949997901916504</v>
      </c>
      <c r="BI327" s="13">
        <v>1324.05151367188</v>
      </c>
      <c r="BJ327" s="4"/>
      <c r="BK327" s="14">
        <v>12</v>
      </c>
      <c r="BL327" s="14">
        <v>12</v>
      </c>
      <c r="BM327" s="14">
        <v>12</v>
      </c>
      <c r="BN327" s="3" t="s">
        <v>302</v>
      </c>
      <c r="BP327" s="15"/>
      <c r="BQ327" s="15"/>
      <c r="BR327" s="2" t="s">
        <v>247</v>
      </c>
      <c r="BS327" s="2" t="s">
        <v>247</v>
      </c>
      <c r="BT327" s="7" t="s">
        <v>147</v>
      </c>
      <c r="BU327" s="7"/>
      <c r="BV327" s="9" t="s">
        <v>137</v>
      </c>
      <c r="BW327" s="9" t="s">
        <v>148</v>
      </c>
    </row>
    <row r="328" spans="1:75" ht="14.25" customHeight="1" x14ac:dyDescent="0.25">
      <c r="A328" s="1">
        <v>765</v>
      </c>
      <c r="B328" s="1" t="s">
        <v>1695</v>
      </c>
      <c r="C328" s="1" t="s">
        <v>1696</v>
      </c>
      <c r="D328" s="1" t="s">
        <v>616</v>
      </c>
      <c r="E328" s="1" t="s">
        <v>1661</v>
      </c>
      <c r="F328" s="1" t="s">
        <v>1669</v>
      </c>
      <c r="G328" s="1"/>
      <c r="H328" s="2">
        <v>0</v>
      </c>
      <c r="I328" s="2">
        <v>0</v>
      </c>
      <c r="J328" s="2">
        <v>0</v>
      </c>
      <c r="K328" s="2">
        <v>1</v>
      </c>
      <c r="L328" s="3" t="s">
        <v>127</v>
      </c>
      <c r="O328" s="4">
        <v>2</v>
      </c>
      <c r="P328" s="4" t="s">
        <v>81</v>
      </c>
      <c r="Q328" s="4"/>
      <c r="R328" s="5"/>
      <c r="S328" s="6"/>
      <c r="T328" s="17"/>
      <c r="U328" s="6"/>
      <c r="V328" s="4"/>
      <c r="W328" s="4"/>
      <c r="X328" s="4"/>
      <c r="Y328" s="7">
        <v>1</v>
      </c>
      <c r="Z328" s="8">
        <v>41974925</v>
      </c>
      <c r="AA328" s="7" t="s">
        <v>1697</v>
      </c>
      <c r="AB328" s="7" t="s">
        <v>1698</v>
      </c>
      <c r="AC328" s="9">
        <v>1</v>
      </c>
      <c r="AD328" s="10">
        <v>41974925</v>
      </c>
      <c r="AE328" s="9" t="s">
        <v>1697</v>
      </c>
      <c r="AF328" s="9" t="s">
        <v>1698</v>
      </c>
      <c r="AG328" s="11">
        <v>3</v>
      </c>
      <c r="AH328" s="11" t="s">
        <v>83</v>
      </c>
      <c r="AI328" s="11"/>
      <c r="AJ328" s="11"/>
      <c r="AK328" s="11"/>
      <c r="AL328" s="12">
        <v>3</v>
      </c>
      <c r="AM328" s="12" t="s">
        <v>83</v>
      </c>
      <c r="AN328" s="12"/>
      <c r="AO328" s="12"/>
      <c r="AP328" s="12"/>
      <c r="AQ328" s="4">
        <v>2</v>
      </c>
      <c r="AR328" s="4" t="s">
        <v>83</v>
      </c>
      <c r="AS328" s="4"/>
      <c r="AT328" s="13"/>
      <c r="AU328" s="13"/>
      <c r="AV328" s="13"/>
      <c r="AW328" s="13"/>
      <c r="AX328" s="4"/>
      <c r="AY328" s="13"/>
      <c r="AZ328" s="13"/>
      <c r="BA328" s="13"/>
      <c r="BB328" s="13"/>
      <c r="BC328" s="4"/>
      <c r="BD328" s="4"/>
      <c r="BE328" s="4"/>
      <c r="BF328" s="13"/>
      <c r="BG328" s="4"/>
      <c r="BH328" s="13"/>
      <c r="BI328" s="13"/>
      <c r="BJ328" s="4"/>
      <c r="BK328" s="14">
        <v>8</v>
      </c>
      <c r="BL328" s="14">
        <v>8</v>
      </c>
      <c r="BM328" s="14">
        <v>8</v>
      </c>
      <c r="BP328" s="15"/>
      <c r="BQ328" s="15"/>
      <c r="BR328" s="2" t="s">
        <v>97</v>
      </c>
      <c r="BS328" s="2" t="s">
        <v>97</v>
      </c>
      <c r="BT328" s="7" t="s">
        <v>147</v>
      </c>
      <c r="BU328" s="7"/>
      <c r="BV328" s="9" t="s">
        <v>147</v>
      </c>
      <c r="BW328" s="9"/>
    </row>
    <row r="329" spans="1:75" ht="14.25" customHeight="1" x14ac:dyDescent="0.25">
      <c r="A329" s="1">
        <v>766</v>
      </c>
      <c r="B329" s="1" t="s">
        <v>1699</v>
      </c>
      <c r="C329" s="1" t="s">
        <v>1700</v>
      </c>
      <c r="D329" s="1" t="s">
        <v>616</v>
      </c>
      <c r="E329" s="1" t="s">
        <v>1661</v>
      </c>
      <c r="F329" s="1" t="s">
        <v>1669</v>
      </c>
      <c r="G329" s="1" t="s">
        <v>118</v>
      </c>
      <c r="H329" s="2">
        <v>0</v>
      </c>
      <c r="I329" s="2">
        <v>0</v>
      </c>
      <c r="J329" s="2">
        <v>0</v>
      </c>
      <c r="K329" s="2">
        <v>1</v>
      </c>
      <c r="L329" s="3" t="s">
        <v>80</v>
      </c>
      <c r="O329" s="4">
        <v>4</v>
      </c>
      <c r="P329" s="4" t="s">
        <v>81</v>
      </c>
      <c r="Q329" s="4"/>
      <c r="R329" s="5"/>
      <c r="S329" s="6"/>
      <c r="T329" s="17"/>
      <c r="U329" s="6"/>
      <c r="V329" s="4"/>
      <c r="W329" s="4"/>
      <c r="X329" s="4"/>
      <c r="Y329" s="7">
        <v>1</v>
      </c>
      <c r="Z329" s="8">
        <v>7868582</v>
      </c>
      <c r="AA329" s="7" t="s">
        <v>130</v>
      </c>
      <c r="AB329" s="7"/>
      <c r="AC329" s="9">
        <v>1</v>
      </c>
      <c r="AD329" s="10">
        <v>7868582</v>
      </c>
      <c r="AE329" s="9" t="s">
        <v>130</v>
      </c>
      <c r="AF329" s="9"/>
      <c r="AG329" s="11">
        <v>4</v>
      </c>
      <c r="AH329" s="11" t="s">
        <v>93</v>
      </c>
      <c r="AI329" s="11"/>
      <c r="AJ329" s="11"/>
      <c r="AK329" s="11"/>
      <c r="AL329" s="12">
        <v>4</v>
      </c>
      <c r="AM329" s="12" t="s">
        <v>93</v>
      </c>
      <c r="AN329" s="12"/>
      <c r="AO329" s="12"/>
      <c r="AP329" s="12"/>
      <c r="AQ329" s="4">
        <v>3</v>
      </c>
      <c r="AR329" s="4" t="s">
        <v>93</v>
      </c>
      <c r="AS329" s="4" t="s">
        <v>1053</v>
      </c>
      <c r="AT329" s="13"/>
      <c r="AU329" s="13"/>
      <c r="AV329" s="13"/>
      <c r="AW329" s="13"/>
      <c r="AX329" s="4"/>
      <c r="AY329" s="13"/>
      <c r="AZ329" s="13"/>
      <c r="BA329" s="13"/>
      <c r="BB329" s="13"/>
      <c r="BC329" s="4"/>
      <c r="BD329" s="4"/>
      <c r="BE329" s="4"/>
      <c r="BF329" s="13"/>
      <c r="BG329" s="4"/>
      <c r="BH329" s="13"/>
      <c r="BI329" s="13"/>
      <c r="BJ329" s="4"/>
      <c r="BK329" s="14">
        <v>12</v>
      </c>
      <c r="BL329" s="14">
        <v>12</v>
      </c>
      <c r="BM329" s="14">
        <v>12</v>
      </c>
      <c r="BO329" s="3" t="s">
        <v>120</v>
      </c>
      <c r="BP329" s="15"/>
      <c r="BQ329" s="15"/>
      <c r="BR329" s="2" t="s">
        <v>97</v>
      </c>
      <c r="BS329" s="2" t="s">
        <v>97</v>
      </c>
      <c r="BT329" s="7" t="s">
        <v>240</v>
      </c>
      <c r="BU329" s="7" t="s">
        <v>98</v>
      </c>
      <c r="BV329" s="9" t="s">
        <v>240</v>
      </c>
      <c r="BW329" s="9" t="s">
        <v>98</v>
      </c>
    </row>
    <row r="330" spans="1:75" ht="14.25" customHeight="1" x14ac:dyDescent="0.25">
      <c r="A330" s="1">
        <v>767</v>
      </c>
      <c r="B330" s="1" t="s">
        <v>1701</v>
      </c>
      <c r="C330" s="1" t="s">
        <v>1702</v>
      </c>
      <c r="D330" s="1" t="s">
        <v>616</v>
      </c>
      <c r="E330" s="1" t="s">
        <v>1661</v>
      </c>
      <c r="F330" s="1" t="s">
        <v>1669</v>
      </c>
      <c r="G330" s="1" t="s">
        <v>118</v>
      </c>
      <c r="H330" s="2">
        <v>0</v>
      </c>
      <c r="I330" s="2">
        <v>0</v>
      </c>
      <c r="J330" s="2">
        <v>0</v>
      </c>
      <c r="K330" s="2">
        <v>1</v>
      </c>
      <c r="L330" s="3" t="s">
        <v>80</v>
      </c>
      <c r="O330" s="4">
        <v>4</v>
      </c>
      <c r="P330" s="4" t="s">
        <v>81</v>
      </c>
      <c r="Q330" s="4"/>
      <c r="R330" s="5"/>
      <c r="S330" s="6"/>
      <c r="T330" s="17"/>
      <c r="U330" s="6"/>
      <c r="V330" s="4"/>
      <c r="W330" s="4"/>
      <c r="X330" s="4"/>
      <c r="Y330" s="7">
        <v>1</v>
      </c>
      <c r="Z330" s="8">
        <v>10300000</v>
      </c>
      <c r="AA330" s="7" t="s">
        <v>812</v>
      </c>
      <c r="AB330" s="7"/>
      <c r="AC330" s="9">
        <v>1</v>
      </c>
      <c r="AD330" s="10">
        <v>10300000</v>
      </c>
      <c r="AE330" s="9" t="s">
        <v>812</v>
      </c>
      <c r="AF330" s="9"/>
      <c r="AG330" s="11">
        <v>3</v>
      </c>
      <c r="AH330" s="11" t="s">
        <v>83</v>
      </c>
      <c r="AI330" s="11"/>
      <c r="AJ330" s="11"/>
      <c r="AK330" s="11"/>
      <c r="AL330" s="12">
        <v>3</v>
      </c>
      <c r="AM330" s="12" t="s">
        <v>83</v>
      </c>
      <c r="AN330" s="12"/>
      <c r="AO330" s="12"/>
      <c r="AP330" s="12"/>
      <c r="AQ330" s="4">
        <v>4</v>
      </c>
      <c r="AR330" s="4" t="s">
        <v>83</v>
      </c>
      <c r="AS330" s="4"/>
      <c r="AT330" s="13"/>
      <c r="AU330" s="13"/>
      <c r="AV330" s="13"/>
      <c r="AW330" s="13"/>
      <c r="AX330" s="4"/>
      <c r="AY330" s="13"/>
      <c r="AZ330" s="13"/>
      <c r="BA330" s="13"/>
      <c r="BB330" s="13"/>
      <c r="BC330" s="4"/>
      <c r="BD330" s="4"/>
      <c r="BE330" s="4"/>
      <c r="BF330" s="13"/>
      <c r="BG330" s="4"/>
      <c r="BH330" s="13"/>
      <c r="BI330" s="13"/>
      <c r="BJ330" s="4"/>
      <c r="BK330" s="14">
        <v>12</v>
      </c>
      <c r="BL330" s="14">
        <v>12</v>
      </c>
      <c r="BM330" s="14">
        <v>12</v>
      </c>
      <c r="BP330" s="15"/>
      <c r="BQ330" s="15"/>
      <c r="BR330" s="2" t="s">
        <v>740</v>
      </c>
      <c r="BS330" s="2" t="s">
        <v>740</v>
      </c>
      <c r="BT330" s="7" t="s">
        <v>147</v>
      </c>
      <c r="BU330" s="7"/>
      <c r="BV330" s="9" t="s">
        <v>147</v>
      </c>
      <c r="BW330" s="9"/>
    </row>
    <row r="331" spans="1:75" ht="14.25" customHeight="1" x14ac:dyDescent="0.25">
      <c r="A331" s="1">
        <v>768</v>
      </c>
      <c r="B331" s="1" t="s">
        <v>1703</v>
      </c>
      <c r="C331" s="1" t="s">
        <v>1704</v>
      </c>
      <c r="D331" s="1" t="s">
        <v>616</v>
      </c>
      <c r="E331" s="1" t="s">
        <v>1661</v>
      </c>
      <c r="F331" s="1" t="s">
        <v>1669</v>
      </c>
      <c r="G331" s="1"/>
      <c r="H331" s="2">
        <v>1</v>
      </c>
      <c r="I331" s="2">
        <v>1</v>
      </c>
      <c r="J331" s="2">
        <v>1</v>
      </c>
      <c r="K331" s="2">
        <v>1</v>
      </c>
      <c r="L331" s="3" t="s">
        <v>127</v>
      </c>
      <c r="O331" s="4">
        <v>3</v>
      </c>
      <c r="P331" s="4" t="s">
        <v>1319</v>
      </c>
      <c r="Q331" s="4" t="s">
        <v>169</v>
      </c>
      <c r="R331" s="16">
        <v>3000000</v>
      </c>
      <c r="S331" s="6">
        <v>3000000</v>
      </c>
      <c r="T331" s="16">
        <v>420000</v>
      </c>
      <c r="U331" s="6">
        <v>420000</v>
      </c>
      <c r="V331" s="4">
        <v>2010.5</v>
      </c>
      <c r="W331" s="4" t="s">
        <v>425</v>
      </c>
      <c r="X331" s="4"/>
      <c r="Y331" s="7">
        <v>1</v>
      </c>
      <c r="Z331" s="8">
        <v>28424753</v>
      </c>
      <c r="AA331" s="7" t="s">
        <v>154</v>
      </c>
      <c r="AB331" s="7"/>
      <c r="AC331" s="9">
        <v>1</v>
      </c>
      <c r="AD331" s="10">
        <v>24281740</v>
      </c>
      <c r="AE331" s="9" t="s">
        <v>155</v>
      </c>
      <c r="AF331" s="9"/>
      <c r="AG331" s="11">
        <v>3</v>
      </c>
      <c r="AH331" s="11" t="s">
        <v>630</v>
      </c>
      <c r="AI331" s="11"/>
      <c r="AJ331" s="11">
        <v>2</v>
      </c>
      <c r="AK331" s="11" t="s">
        <v>132</v>
      </c>
      <c r="AL331" s="12">
        <v>2</v>
      </c>
      <c r="AM331" s="12" t="s">
        <v>630</v>
      </c>
      <c r="AN331" s="12"/>
      <c r="AO331" s="12">
        <v>1</v>
      </c>
      <c r="AP331" s="12" t="s">
        <v>132</v>
      </c>
      <c r="AQ331" s="4">
        <v>3</v>
      </c>
      <c r="AR331" s="4" t="s">
        <v>133</v>
      </c>
      <c r="AS331" s="4"/>
      <c r="AT331" s="13">
        <v>-23.640195846557599</v>
      </c>
      <c r="AU331" s="13">
        <v>-0.52741420269012496</v>
      </c>
      <c r="AV331" s="13">
        <v>-1.4099999666214</v>
      </c>
      <c r="AW331" s="13">
        <v>0.105094999074936</v>
      </c>
      <c r="AX331" s="4"/>
      <c r="AY331" s="13">
        <v>-22.442417144775401</v>
      </c>
      <c r="AZ331" s="13">
        <v>-1.4019646644592301</v>
      </c>
      <c r="BA331" s="13">
        <v>-3.3599998950958301</v>
      </c>
      <c r="BB331" s="13">
        <v>0.20149900019168901</v>
      </c>
      <c r="BC331" s="4"/>
      <c r="BD331" s="4">
        <v>18</v>
      </c>
      <c r="BE331" s="4" t="s">
        <v>134</v>
      </c>
      <c r="BF331" s="13">
        <v>1.5150949954986599</v>
      </c>
      <c r="BG331" s="4">
        <v>777</v>
      </c>
      <c r="BH331" s="13">
        <v>0.17649999260902399</v>
      </c>
      <c r="BI331" s="13">
        <v>136.82249450683599</v>
      </c>
      <c r="BJ331" s="4"/>
      <c r="BK331" s="14">
        <v>10</v>
      </c>
      <c r="BL331" s="14">
        <v>9</v>
      </c>
      <c r="BM331" s="14">
        <v>10</v>
      </c>
      <c r="BP331" s="15" t="s">
        <v>135</v>
      </c>
      <c r="BQ331" s="15"/>
      <c r="BR331" s="2" t="s">
        <v>247</v>
      </c>
      <c r="BS331" s="2" t="s">
        <v>247</v>
      </c>
      <c r="BT331" s="7" t="s">
        <v>137</v>
      </c>
      <c r="BU331" s="7" t="s">
        <v>148</v>
      </c>
      <c r="BV331" s="9" t="s">
        <v>137</v>
      </c>
      <c r="BW331" s="9" t="s">
        <v>148</v>
      </c>
    </row>
    <row r="332" spans="1:75" ht="14.25" customHeight="1" x14ac:dyDescent="0.25">
      <c r="A332" s="1">
        <v>769</v>
      </c>
      <c r="B332" s="1" t="s">
        <v>1705</v>
      </c>
      <c r="C332" s="1" t="s">
        <v>1706</v>
      </c>
      <c r="D332" s="1" t="s">
        <v>616</v>
      </c>
      <c r="E332" s="1" t="s">
        <v>1661</v>
      </c>
      <c r="F332" s="1" t="s">
        <v>1669</v>
      </c>
      <c r="G332" s="1"/>
      <c r="H332" s="2">
        <v>1</v>
      </c>
      <c r="I332" s="2">
        <v>1</v>
      </c>
      <c r="J332" s="2">
        <v>1</v>
      </c>
      <c r="K332" s="2">
        <v>1</v>
      </c>
      <c r="L332" s="3" t="s">
        <v>127</v>
      </c>
      <c r="O332" s="4">
        <v>4</v>
      </c>
      <c r="P332" s="4" t="s">
        <v>635</v>
      </c>
      <c r="Q332" s="4" t="s">
        <v>169</v>
      </c>
      <c r="R332" s="16">
        <v>400000</v>
      </c>
      <c r="S332" s="6">
        <v>400000</v>
      </c>
      <c r="T332" s="16">
        <v>130000</v>
      </c>
      <c r="U332" s="6">
        <v>130000</v>
      </c>
      <c r="V332" s="4">
        <v>2010.5</v>
      </c>
      <c r="W332" s="4" t="s">
        <v>425</v>
      </c>
      <c r="X332" s="4"/>
      <c r="Y332" s="7">
        <v>1</v>
      </c>
      <c r="Z332" s="8">
        <v>4205444</v>
      </c>
      <c r="AA332" s="7" t="s">
        <v>130</v>
      </c>
      <c r="AB332" s="7"/>
      <c r="AC332" s="9">
        <v>2</v>
      </c>
      <c r="AD332" s="10">
        <v>2556643</v>
      </c>
      <c r="AE332" s="9" t="s">
        <v>130</v>
      </c>
      <c r="AF332" s="9"/>
      <c r="AG332" s="11">
        <v>3</v>
      </c>
      <c r="AH332" s="11" t="s">
        <v>630</v>
      </c>
      <c r="AI332" s="11"/>
      <c r="AJ332" s="11">
        <v>1</v>
      </c>
      <c r="AK332" s="11" t="s">
        <v>132</v>
      </c>
      <c r="AL332" s="12">
        <v>3</v>
      </c>
      <c r="AM332" s="12" t="s">
        <v>630</v>
      </c>
      <c r="AN332" s="12"/>
      <c r="AO332" s="12">
        <v>1</v>
      </c>
      <c r="AP332" s="12" t="s">
        <v>132</v>
      </c>
      <c r="AQ332" s="4">
        <v>3</v>
      </c>
      <c r="AR332" s="4" t="s">
        <v>133</v>
      </c>
      <c r="AS332" s="4"/>
      <c r="AT332" s="13">
        <v>-31.041542053222699</v>
      </c>
      <c r="AU332" s="13">
        <v>-0.72617918252944902</v>
      </c>
      <c r="AV332" s="13">
        <v>-1.9099999666214</v>
      </c>
      <c r="AW332" s="13">
        <v>2.3103000596165699E-2</v>
      </c>
      <c r="AX332" s="4"/>
      <c r="AY332" s="13">
        <v>-1.62689709663391</v>
      </c>
      <c r="AZ332" s="13">
        <v>-0.117127507925034</v>
      </c>
      <c r="BA332" s="13">
        <v>-2.5899999141693102</v>
      </c>
      <c r="BB332" s="13">
        <v>2.24360203742981</v>
      </c>
      <c r="BC332" s="4"/>
      <c r="BD332" s="4">
        <v>14</v>
      </c>
      <c r="BE332" s="4" t="s">
        <v>134</v>
      </c>
      <c r="BF332" s="13">
        <v>1.9331029653549201</v>
      </c>
      <c r="BG332" s="4">
        <v>411</v>
      </c>
      <c r="BH332" s="13">
        <v>0.28099998831749001</v>
      </c>
      <c r="BI332" s="13">
        <v>115.449996948242</v>
      </c>
      <c r="BJ332" s="4"/>
      <c r="BK332" s="14">
        <v>11</v>
      </c>
      <c r="BL332" s="14">
        <v>12</v>
      </c>
      <c r="BM332" s="14">
        <v>12</v>
      </c>
      <c r="BP332" s="15"/>
      <c r="BQ332" s="15"/>
      <c r="BR332" s="2" t="s">
        <v>247</v>
      </c>
      <c r="BS332" s="2" t="s">
        <v>247</v>
      </c>
      <c r="BT332" s="7" t="s">
        <v>137</v>
      </c>
      <c r="BU332" s="7" t="s">
        <v>623</v>
      </c>
      <c r="BV332" s="9" t="s">
        <v>148</v>
      </c>
      <c r="BW332" s="9" t="s">
        <v>623</v>
      </c>
    </row>
    <row r="333" spans="1:75" ht="14.25" customHeight="1" x14ac:dyDescent="0.25">
      <c r="A333" s="1">
        <v>770</v>
      </c>
      <c r="B333" s="1" t="s">
        <v>1707</v>
      </c>
      <c r="C333" s="1" t="s">
        <v>1708</v>
      </c>
      <c r="D333" s="1" t="s">
        <v>616</v>
      </c>
      <c r="E333" s="1" t="s">
        <v>1661</v>
      </c>
      <c r="F333" s="1" t="s">
        <v>1669</v>
      </c>
      <c r="G333" s="1"/>
      <c r="H333" s="2">
        <v>0</v>
      </c>
      <c r="I333" s="2">
        <v>0</v>
      </c>
      <c r="J333" s="2">
        <v>1</v>
      </c>
      <c r="K333" s="2">
        <v>1</v>
      </c>
      <c r="L333" s="3" t="s">
        <v>80</v>
      </c>
      <c r="O333" s="4">
        <v>3</v>
      </c>
      <c r="P333" s="4" t="s">
        <v>81</v>
      </c>
      <c r="Q333" s="4"/>
      <c r="R333" s="5"/>
      <c r="S333" s="6"/>
      <c r="T333" s="17"/>
      <c r="U333" s="6"/>
      <c r="V333" s="4"/>
      <c r="W333" s="4"/>
      <c r="X333" s="4"/>
      <c r="Y333" s="7">
        <v>1</v>
      </c>
      <c r="Z333" s="8">
        <v>11684922</v>
      </c>
      <c r="AA333" s="7" t="s">
        <v>130</v>
      </c>
      <c r="AB333" s="7"/>
      <c r="AC333" s="9">
        <v>1</v>
      </c>
      <c r="AD333" s="10">
        <v>11684922</v>
      </c>
      <c r="AE333" s="9" t="s">
        <v>130</v>
      </c>
      <c r="AF333" s="9"/>
      <c r="AG333" s="11">
        <v>3</v>
      </c>
      <c r="AH333" s="11" t="s">
        <v>93</v>
      </c>
      <c r="AI333" s="11"/>
      <c r="AJ333" s="11"/>
      <c r="AK333" s="11"/>
      <c r="AL333" s="12">
        <v>3</v>
      </c>
      <c r="AM333" s="12" t="s">
        <v>93</v>
      </c>
      <c r="AN333" s="12"/>
      <c r="AO333" s="12"/>
      <c r="AP333" s="12"/>
      <c r="AQ333" s="4">
        <v>3</v>
      </c>
      <c r="AR333" s="4" t="s">
        <v>272</v>
      </c>
      <c r="AS333" s="4" t="s">
        <v>1053</v>
      </c>
      <c r="AT333" s="13"/>
      <c r="AU333" s="13"/>
      <c r="AV333" s="13"/>
      <c r="AW333" s="13"/>
      <c r="AX333" s="4"/>
      <c r="AY333" s="13"/>
      <c r="AZ333" s="13"/>
      <c r="BA333" s="13"/>
      <c r="BB333" s="13"/>
      <c r="BC333" s="4"/>
      <c r="BD333" s="4"/>
      <c r="BE333" s="4"/>
      <c r="BF333" s="13"/>
      <c r="BG333" s="4"/>
      <c r="BH333" s="13"/>
      <c r="BI333" s="13"/>
      <c r="BJ333" s="4"/>
      <c r="BK333" s="14">
        <v>10</v>
      </c>
      <c r="BL333" s="14">
        <v>10</v>
      </c>
      <c r="BM333" s="14">
        <v>10</v>
      </c>
      <c r="BP333" s="15"/>
      <c r="BQ333" s="15"/>
      <c r="BR333" s="2" t="s">
        <v>97</v>
      </c>
      <c r="BS333" s="2" t="s">
        <v>97</v>
      </c>
      <c r="BT333" s="7" t="s">
        <v>137</v>
      </c>
      <c r="BU333" s="7" t="s">
        <v>623</v>
      </c>
      <c r="BV333" s="9" t="s">
        <v>137</v>
      </c>
      <c r="BW333" s="9" t="s">
        <v>623</v>
      </c>
    </row>
    <row r="334" spans="1:75" ht="14.25" customHeight="1" x14ac:dyDescent="0.25">
      <c r="A334" s="1">
        <v>771</v>
      </c>
      <c r="B334" s="1" t="s">
        <v>1709</v>
      </c>
      <c r="C334" s="1" t="s">
        <v>1710</v>
      </c>
      <c r="D334" s="1" t="s">
        <v>616</v>
      </c>
      <c r="E334" s="1" t="s">
        <v>1661</v>
      </c>
      <c r="F334" s="1" t="s">
        <v>1711</v>
      </c>
      <c r="G334" s="1" t="s">
        <v>118</v>
      </c>
      <c r="H334" s="2">
        <v>1</v>
      </c>
      <c r="I334" s="2">
        <v>1</v>
      </c>
      <c r="J334" s="2">
        <v>1</v>
      </c>
      <c r="K334" s="2">
        <v>1</v>
      </c>
      <c r="L334" s="3" t="s">
        <v>127</v>
      </c>
      <c r="O334" s="4">
        <v>3</v>
      </c>
      <c r="P334" s="4" t="s">
        <v>635</v>
      </c>
      <c r="Q334" s="4" t="s">
        <v>169</v>
      </c>
      <c r="R334" s="16">
        <v>2400000</v>
      </c>
      <c r="S334" s="6">
        <v>2400000</v>
      </c>
      <c r="T334" s="16">
        <v>1200000</v>
      </c>
      <c r="U334" s="6">
        <v>1200000</v>
      </c>
      <c r="V334" s="4">
        <v>2010.5</v>
      </c>
      <c r="W334" s="4" t="s">
        <v>425</v>
      </c>
      <c r="X334" s="4"/>
      <c r="Y334" s="7">
        <v>2</v>
      </c>
      <c r="Z334" s="8">
        <v>1054096</v>
      </c>
      <c r="AA334" s="7" t="s">
        <v>130</v>
      </c>
      <c r="AB334" s="7"/>
      <c r="AC334" s="9">
        <v>2</v>
      </c>
      <c r="AD334" s="10">
        <v>1262325</v>
      </c>
      <c r="AE334" s="9" t="s">
        <v>130</v>
      </c>
      <c r="AF334" s="9"/>
      <c r="AG334" s="11">
        <v>3</v>
      </c>
      <c r="AH334" s="11" t="s">
        <v>630</v>
      </c>
      <c r="AI334" s="11"/>
      <c r="AJ334" s="11">
        <v>2</v>
      </c>
      <c r="AK334" s="11" t="s">
        <v>132</v>
      </c>
      <c r="AL334" s="12">
        <v>3</v>
      </c>
      <c r="AM334" s="12" t="s">
        <v>630</v>
      </c>
      <c r="AN334" s="12"/>
      <c r="AO334" s="12">
        <v>2</v>
      </c>
      <c r="AP334" s="12" t="s">
        <v>143</v>
      </c>
      <c r="AQ334" s="4">
        <v>1</v>
      </c>
      <c r="AR334" s="4" t="s">
        <v>133</v>
      </c>
      <c r="AS334" s="4" t="s">
        <v>1712</v>
      </c>
      <c r="AT334" s="13">
        <v>303.52780151367199</v>
      </c>
      <c r="AU334" s="13">
        <v>2.7719745635986301</v>
      </c>
      <c r="AV334" s="13">
        <v>0.82999998331069902</v>
      </c>
      <c r="AW334" s="13">
        <v>4.7376990318298304</v>
      </c>
      <c r="AX334" s="4">
        <v>1</v>
      </c>
      <c r="AY334" s="13">
        <v>4.5490369796752903</v>
      </c>
      <c r="AZ334" s="13">
        <v>0.22245825827121701</v>
      </c>
      <c r="BA334" s="13">
        <v>-2.2200000286102299</v>
      </c>
      <c r="BB334" s="13">
        <v>3.22849798202515</v>
      </c>
      <c r="BC334" s="4"/>
      <c r="BD334" s="4">
        <v>20</v>
      </c>
      <c r="BE334" s="4" t="s">
        <v>134</v>
      </c>
      <c r="BF334" s="13">
        <v>3.9076991081237802</v>
      </c>
      <c r="BG334" s="4">
        <v>345</v>
      </c>
      <c r="BH334" s="13">
        <v>22.090000152587901</v>
      </c>
      <c r="BI334" s="13">
        <v>7621.0498046875</v>
      </c>
      <c r="BJ334" s="4"/>
      <c r="BK334" s="14">
        <v>9</v>
      </c>
      <c r="BL334" s="14">
        <v>9</v>
      </c>
      <c r="BM334" s="14">
        <v>9</v>
      </c>
      <c r="BP334" s="15" t="s">
        <v>135</v>
      </c>
      <c r="BQ334" s="15" t="s">
        <v>136</v>
      </c>
      <c r="BR334" s="2" t="s">
        <v>247</v>
      </c>
      <c r="BS334" s="2" t="s">
        <v>247</v>
      </c>
      <c r="BT334" s="7" t="s">
        <v>137</v>
      </c>
      <c r="BU334" s="7" t="s">
        <v>623</v>
      </c>
      <c r="BV334" s="9" t="s">
        <v>137</v>
      </c>
      <c r="BW334" s="9" t="s">
        <v>148</v>
      </c>
    </row>
    <row r="335" spans="1:75" ht="14.25" customHeight="1" x14ac:dyDescent="0.25">
      <c r="A335" s="1">
        <v>790</v>
      </c>
      <c r="B335" s="1" t="s">
        <v>1713</v>
      </c>
      <c r="C335" s="1" t="s">
        <v>1714</v>
      </c>
      <c r="D335" s="1" t="s">
        <v>77</v>
      </c>
      <c r="E335" s="1" t="s">
        <v>1715</v>
      </c>
      <c r="F335" s="1" t="s">
        <v>1716</v>
      </c>
      <c r="G335" s="1"/>
      <c r="H335" s="2">
        <v>0</v>
      </c>
      <c r="I335" s="2">
        <v>1</v>
      </c>
      <c r="J335" s="2">
        <v>1</v>
      </c>
      <c r="K335" s="2">
        <v>1</v>
      </c>
      <c r="L335" s="3" t="s">
        <v>127</v>
      </c>
      <c r="O335" s="4">
        <v>4</v>
      </c>
      <c r="P335" s="4" t="s">
        <v>1717</v>
      </c>
      <c r="Q335" s="4" t="s">
        <v>1718</v>
      </c>
      <c r="R335" s="16">
        <v>260000</v>
      </c>
      <c r="S335" s="6">
        <v>260000</v>
      </c>
      <c r="T335" s="16">
        <v>12000</v>
      </c>
      <c r="U335" s="6">
        <v>12000</v>
      </c>
      <c r="V335" s="4"/>
      <c r="W335" s="4" t="s">
        <v>1719</v>
      </c>
      <c r="X335" s="4" t="s">
        <v>1720</v>
      </c>
      <c r="Y335" s="7">
        <v>1</v>
      </c>
      <c r="Z335" s="8">
        <v>12014973</v>
      </c>
      <c r="AA335" s="7" t="s">
        <v>92</v>
      </c>
      <c r="AB335" s="7"/>
      <c r="AC335" s="9">
        <v>1</v>
      </c>
      <c r="AD335" s="10">
        <v>11320710</v>
      </c>
      <c r="AE335" s="9" t="s">
        <v>92</v>
      </c>
      <c r="AF335" s="9"/>
      <c r="AG335" s="11">
        <v>4</v>
      </c>
      <c r="AH335" s="11" t="s">
        <v>471</v>
      </c>
      <c r="AI335" s="11" t="s">
        <v>1721</v>
      </c>
      <c r="AJ335" s="11">
        <v>2</v>
      </c>
      <c r="AK335" s="11" t="s">
        <v>332</v>
      </c>
      <c r="AL335" s="12">
        <v>3</v>
      </c>
      <c r="AM335" s="12" t="s">
        <v>271</v>
      </c>
      <c r="AN335" s="12" t="s">
        <v>1722</v>
      </c>
      <c r="AO335" s="12"/>
      <c r="AP335" s="12"/>
      <c r="AQ335" s="4">
        <v>1</v>
      </c>
      <c r="AR335" s="4" t="s">
        <v>133</v>
      </c>
      <c r="AS335" s="4" t="s">
        <v>1723</v>
      </c>
      <c r="AT335" s="13">
        <v>1549.45471191406</v>
      </c>
      <c r="AU335" s="13">
        <v>5.65110206604004</v>
      </c>
      <c r="AV335" s="13">
        <v>4.5199999809265101</v>
      </c>
      <c r="AW335" s="13">
        <v>6.4699997901916504</v>
      </c>
      <c r="AX335" s="4">
        <v>1</v>
      </c>
      <c r="AY335" s="13">
        <v>182.40472412109401</v>
      </c>
      <c r="AZ335" s="13">
        <v>5.3223400115966797</v>
      </c>
      <c r="BA335" s="13">
        <v>3.1300001144409202</v>
      </c>
      <c r="BB335" s="13">
        <v>6.5175061225891104</v>
      </c>
      <c r="BC335" s="4">
        <v>1</v>
      </c>
      <c r="BD335" s="4">
        <v>20</v>
      </c>
      <c r="BE335" s="4" t="s">
        <v>134</v>
      </c>
      <c r="BF335" s="13">
        <v>1.95000004768372</v>
      </c>
      <c r="BG335" s="4">
        <v>153</v>
      </c>
      <c r="BH335" s="13">
        <v>0.15000000596046401</v>
      </c>
      <c r="BI335" s="13">
        <v>22.799999237060501</v>
      </c>
      <c r="BJ335" s="4"/>
      <c r="BK335" s="14">
        <v>10</v>
      </c>
      <c r="BL335" s="14">
        <v>9</v>
      </c>
      <c r="BM335" s="14">
        <v>10</v>
      </c>
      <c r="BP335" s="15"/>
      <c r="BQ335" s="15"/>
      <c r="BR335" s="2" t="s">
        <v>247</v>
      </c>
      <c r="BS335" s="2" t="s">
        <v>740</v>
      </c>
      <c r="BT335" s="7" t="s">
        <v>241</v>
      </c>
      <c r="BU335" s="7" t="s">
        <v>88</v>
      </c>
      <c r="BV335" s="9" t="s">
        <v>98</v>
      </c>
      <c r="BW335" s="9"/>
    </row>
    <row r="336" spans="1:75" ht="14.25" customHeight="1" x14ac:dyDescent="0.25">
      <c r="A336" s="1">
        <v>791</v>
      </c>
      <c r="B336" s="1" t="s">
        <v>1724</v>
      </c>
      <c r="C336" s="1" t="s">
        <v>1725</v>
      </c>
      <c r="D336" s="1" t="s">
        <v>77</v>
      </c>
      <c r="E336" s="1" t="s">
        <v>1715</v>
      </c>
      <c r="F336" s="1" t="s">
        <v>1716</v>
      </c>
      <c r="G336" s="1" t="s">
        <v>118</v>
      </c>
      <c r="H336" s="2">
        <v>0</v>
      </c>
      <c r="I336" s="2">
        <v>0</v>
      </c>
      <c r="J336" s="2">
        <v>1</v>
      </c>
      <c r="K336" s="2">
        <v>1</v>
      </c>
      <c r="L336" s="3" t="s">
        <v>80</v>
      </c>
      <c r="O336" s="4">
        <v>5</v>
      </c>
      <c r="P336" s="4" t="s">
        <v>112</v>
      </c>
      <c r="Q336" s="4"/>
      <c r="R336" s="5"/>
      <c r="S336" s="6"/>
      <c r="T336" s="17"/>
      <c r="U336" s="6"/>
      <c r="V336" s="4"/>
      <c r="W336" s="4"/>
      <c r="X336" s="4"/>
      <c r="Y336" s="7">
        <v>1</v>
      </c>
      <c r="Z336" s="8">
        <v>4793958</v>
      </c>
      <c r="AA336" s="7" t="s">
        <v>92</v>
      </c>
      <c r="AB336" s="7"/>
      <c r="AC336" s="9">
        <v>1</v>
      </c>
      <c r="AD336" s="10">
        <v>4793958</v>
      </c>
      <c r="AE336" s="9" t="s">
        <v>92</v>
      </c>
      <c r="AF336" s="9"/>
      <c r="AG336" s="11">
        <v>5</v>
      </c>
      <c r="AH336" s="11" t="s">
        <v>93</v>
      </c>
      <c r="AI336" s="11"/>
      <c r="AJ336" s="11"/>
      <c r="AK336" s="11"/>
      <c r="AL336" s="12">
        <v>5</v>
      </c>
      <c r="AM336" s="12" t="s">
        <v>93</v>
      </c>
      <c r="AN336" s="12" t="s">
        <v>1726</v>
      </c>
      <c r="AO336" s="12"/>
      <c r="AP336" s="12"/>
      <c r="AQ336" s="4">
        <v>5</v>
      </c>
      <c r="AR336" s="4" t="s">
        <v>83</v>
      </c>
      <c r="AS336" s="4" t="s">
        <v>1727</v>
      </c>
      <c r="AT336" s="13"/>
      <c r="AU336" s="13"/>
      <c r="AV336" s="13"/>
      <c r="AW336" s="13"/>
      <c r="AX336" s="4"/>
      <c r="AY336" s="13"/>
      <c r="AZ336" s="13"/>
      <c r="BA336" s="13"/>
      <c r="BB336" s="13"/>
      <c r="BC336" s="4"/>
      <c r="BD336" s="4"/>
      <c r="BE336" s="4"/>
      <c r="BF336" s="13"/>
      <c r="BG336" s="4"/>
      <c r="BH336" s="13"/>
      <c r="BI336" s="13"/>
      <c r="BJ336" s="4"/>
      <c r="BK336" s="14">
        <v>16</v>
      </c>
      <c r="BL336" s="14">
        <v>16</v>
      </c>
      <c r="BM336" s="14">
        <v>16</v>
      </c>
      <c r="BN336" s="3" t="s">
        <v>312</v>
      </c>
      <c r="BO336" s="3" t="s">
        <v>120</v>
      </c>
      <c r="BP336" s="15"/>
      <c r="BQ336" s="15"/>
      <c r="BR336" s="2" t="s">
        <v>97</v>
      </c>
      <c r="BS336" s="2" t="s">
        <v>97</v>
      </c>
      <c r="BT336" s="7" t="s">
        <v>98</v>
      </c>
      <c r="BU336" s="7"/>
      <c r="BV336" s="9" t="s">
        <v>98</v>
      </c>
      <c r="BW336" s="9"/>
    </row>
    <row r="337" spans="1:75" ht="14.25" customHeight="1" x14ac:dyDescent="0.25">
      <c r="A337" s="1">
        <v>792</v>
      </c>
      <c r="B337" s="1" t="s">
        <v>1728</v>
      </c>
      <c r="C337" s="1" t="s">
        <v>1729</v>
      </c>
      <c r="D337" s="1" t="s">
        <v>77</v>
      </c>
      <c r="E337" s="1" t="s">
        <v>1715</v>
      </c>
      <c r="F337" s="1" t="s">
        <v>1716</v>
      </c>
      <c r="G337" s="1" t="s">
        <v>118</v>
      </c>
      <c r="H337" s="2">
        <v>0</v>
      </c>
      <c r="I337" s="2">
        <v>0</v>
      </c>
      <c r="J337" s="2">
        <v>1</v>
      </c>
      <c r="K337" s="2">
        <v>1</v>
      </c>
      <c r="L337" s="3" t="s">
        <v>80</v>
      </c>
      <c r="O337" s="4">
        <v>5</v>
      </c>
      <c r="P337" s="4" t="s">
        <v>112</v>
      </c>
      <c r="Q337" s="4"/>
      <c r="R337" s="5"/>
      <c r="S337" s="6"/>
      <c r="T337" s="17"/>
      <c r="U337" s="6"/>
      <c r="V337" s="4"/>
      <c r="W337" s="4"/>
      <c r="X337" s="4"/>
      <c r="Y337" s="7">
        <v>1</v>
      </c>
      <c r="Z337" s="8">
        <v>6933688</v>
      </c>
      <c r="AA337" s="7" t="s">
        <v>92</v>
      </c>
      <c r="AB337" s="7"/>
      <c r="AC337" s="9">
        <v>1</v>
      </c>
      <c r="AD337" s="10">
        <v>6933688</v>
      </c>
      <c r="AE337" s="9" t="s">
        <v>92</v>
      </c>
      <c r="AF337" s="9"/>
      <c r="AG337" s="11">
        <v>5</v>
      </c>
      <c r="AH337" s="11" t="s">
        <v>93</v>
      </c>
      <c r="AI337" s="11"/>
      <c r="AJ337" s="11"/>
      <c r="AK337" s="11"/>
      <c r="AL337" s="12">
        <v>5</v>
      </c>
      <c r="AM337" s="12" t="s">
        <v>93</v>
      </c>
      <c r="AN337" s="12" t="s">
        <v>1726</v>
      </c>
      <c r="AO337" s="12"/>
      <c r="AP337" s="12"/>
      <c r="AQ337" s="4">
        <v>5</v>
      </c>
      <c r="AR337" s="4" t="s">
        <v>83</v>
      </c>
      <c r="AS337" s="4"/>
      <c r="AT337" s="13"/>
      <c r="AU337" s="13"/>
      <c r="AV337" s="13"/>
      <c r="AW337" s="13"/>
      <c r="AX337" s="4"/>
      <c r="AY337" s="13"/>
      <c r="AZ337" s="13"/>
      <c r="BA337" s="13"/>
      <c r="BB337" s="13"/>
      <c r="BC337" s="4"/>
      <c r="BD337" s="4"/>
      <c r="BE337" s="4"/>
      <c r="BF337" s="13"/>
      <c r="BG337" s="4"/>
      <c r="BH337" s="13"/>
      <c r="BI337" s="13"/>
      <c r="BJ337" s="4"/>
      <c r="BK337" s="14">
        <v>16</v>
      </c>
      <c r="BL337" s="14">
        <v>16</v>
      </c>
      <c r="BM337" s="14">
        <v>16</v>
      </c>
      <c r="BN337" s="3" t="s">
        <v>312</v>
      </c>
      <c r="BO337" s="3" t="s">
        <v>114</v>
      </c>
      <c r="BP337" s="15"/>
      <c r="BQ337" s="15"/>
      <c r="BR337" s="2" t="s">
        <v>97</v>
      </c>
      <c r="BS337" s="2" t="s">
        <v>97</v>
      </c>
      <c r="BT337" s="7" t="s">
        <v>98</v>
      </c>
      <c r="BU337" s="7"/>
      <c r="BV337" s="9" t="s">
        <v>98</v>
      </c>
      <c r="BW337" s="9"/>
    </row>
    <row r="338" spans="1:75" ht="14.25" customHeight="1" x14ac:dyDescent="0.25">
      <c r="A338" s="1">
        <v>793</v>
      </c>
      <c r="B338" s="1" t="s">
        <v>1730</v>
      </c>
      <c r="C338" s="1" t="s">
        <v>1731</v>
      </c>
      <c r="D338" s="1" t="s">
        <v>77</v>
      </c>
      <c r="E338" s="1" t="s">
        <v>1715</v>
      </c>
      <c r="F338" s="1" t="s">
        <v>1716</v>
      </c>
      <c r="G338" s="1"/>
      <c r="H338" s="2">
        <v>1</v>
      </c>
      <c r="I338" s="2">
        <v>1</v>
      </c>
      <c r="J338" s="2">
        <v>1</v>
      </c>
      <c r="K338" s="2">
        <v>0</v>
      </c>
      <c r="L338" s="3" t="s">
        <v>127</v>
      </c>
      <c r="O338" s="4">
        <v>4</v>
      </c>
      <c r="P338" s="4" t="s">
        <v>1717</v>
      </c>
      <c r="Q338" s="4" t="s">
        <v>1732</v>
      </c>
      <c r="R338" s="16">
        <v>130000</v>
      </c>
      <c r="S338" s="6">
        <v>130000</v>
      </c>
      <c r="T338" s="16">
        <v>63000</v>
      </c>
      <c r="U338" s="6">
        <v>63000</v>
      </c>
      <c r="V338" s="4"/>
      <c r="W338" s="4" t="s">
        <v>1733</v>
      </c>
      <c r="X338" s="4"/>
      <c r="Y338" s="7">
        <v>1</v>
      </c>
      <c r="Z338" s="8">
        <v>23242678</v>
      </c>
      <c r="AA338" s="7" t="s">
        <v>92</v>
      </c>
      <c r="AB338" s="7"/>
      <c r="AC338" s="9">
        <v>1</v>
      </c>
      <c r="AD338" s="10">
        <v>20108304</v>
      </c>
      <c r="AE338" s="9" t="s">
        <v>92</v>
      </c>
      <c r="AF338" s="9"/>
      <c r="AG338" s="11">
        <v>3</v>
      </c>
      <c r="AH338" s="11" t="s">
        <v>131</v>
      </c>
      <c r="AI338" s="11" t="s">
        <v>1734</v>
      </c>
      <c r="AJ338" s="11">
        <v>3</v>
      </c>
      <c r="AK338" s="11" t="s">
        <v>143</v>
      </c>
      <c r="AL338" s="12">
        <v>3</v>
      </c>
      <c r="AM338" s="12" t="s">
        <v>131</v>
      </c>
      <c r="AN338" s="12" t="s">
        <v>1735</v>
      </c>
      <c r="AO338" s="12">
        <v>2</v>
      </c>
      <c r="AP338" s="12" t="s">
        <v>143</v>
      </c>
      <c r="AQ338" s="4">
        <v>2</v>
      </c>
      <c r="AR338" s="4" t="s">
        <v>133</v>
      </c>
      <c r="AS338" s="4"/>
      <c r="AT338" s="13">
        <v>6.0804910659790004</v>
      </c>
      <c r="AU338" s="13">
        <v>0.11579773575067499</v>
      </c>
      <c r="AV338" s="13">
        <v>-0.29499998688697798</v>
      </c>
      <c r="AW338" s="13">
        <v>0.50700002908706698</v>
      </c>
      <c r="AX338" s="4"/>
      <c r="AY338" s="13">
        <v>4.9033946990966797</v>
      </c>
      <c r="AZ338" s="13">
        <v>9.7696624696254702E-2</v>
      </c>
      <c r="BA338" s="13">
        <v>-0.29699999094009399</v>
      </c>
      <c r="BB338" s="13">
        <v>0.49500000476837203</v>
      </c>
      <c r="BC338" s="4"/>
      <c r="BD338" s="4">
        <v>49</v>
      </c>
      <c r="BE338" s="4" t="s">
        <v>134</v>
      </c>
      <c r="BF338" s="13">
        <v>0.80199998617172197</v>
      </c>
      <c r="BG338" s="4">
        <v>770</v>
      </c>
      <c r="BH338" s="13">
        <v>0.15199999511241899</v>
      </c>
      <c r="BI338" s="13">
        <v>117.040000915527</v>
      </c>
      <c r="BJ338" s="4"/>
      <c r="BK338" s="14">
        <v>10</v>
      </c>
      <c r="BL338" s="14">
        <v>10</v>
      </c>
      <c r="BM338" s="14">
        <v>10</v>
      </c>
      <c r="BP338" s="15"/>
      <c r="BQ338" s="15" t="s">
        <v>136</v>
      </c>
      <c r="BR338" s="2" t="s">
        <v>172</v>
      </c>
      <c r="BS338" s="2" t="s">
        <v>172</v>
      </c>
      <c r="BT338" s="7" t="s">
        <v>458</v>
      </c>
      <c r="BU338" s="7"/>
      <c r="BV338" s="9" t="s">
        <v>458</v>
      </c>
      <c r="BW338" s="9"/>
    </row>
    <row r="339" spans="1:75" ht="14.25" customHeight="1" x14ac:dyDescent="0.25">
      <c r="A339" s="1">
        <v>794</v>
      </c>
      <c r="B339" s="1" t="s">
        <v>1736</v>
      </c>
      <c r="C339" s="1" t="s">
        <v>1737</v>
      </c>
      <c r="D339" s="1" t="s">
        <v>77</v>
      </c>
      <c r="E339" s="1" t="s">
        <v>1715</v>
      </c>
      <c r="F339" s="1" t="s">
        <v>1716</v>
      </c>
      <c r="G339" s="1"/>
      <c r="H339" s="2">
        <v>0</v>
      </c>
      <c r="I339" s="2">
        <v>0</v>
      </c>
      <c r="J339" s="2">
        <v>1</v>
      </c>
      <c r="K339" s="2">
        <v>1</v>
      </c>
      <c r="L339" s="3" t="s">
        <v>80</v>
      </c>
      <c r="O339" s="4">
        <v>4</v>
      </c>
      <c r="P339" s="4" t="s">
        <v>81</v>
      </c>
      <c r="Q339" s="4" t="s">
        <v>1012</v>
      </c>
      <c r="R339" s="5"/>
      <c r="S339" s="6"/>
      <c r="T339" s="17"/>
      <c r="U339" s="6"/>
      <c r="V339" s="4"/>
      <c r="W339" s="4"/>
      <c r="X339" s="4"/>
      <c r="Y339" s="7">
        <v>1</v>
      </c>
      <c r="Z339" s="8">
        <v>8333206</v>
      </c>
      <c r="AA339" s="7" t="s">
        <v>92</v>
      </c>
      <c r="AB339" s="7"/>
      <c r="AC339" s="9">
        <v>1</v>
      </c>
      <c r="AD339" s="10">
        <v>8333206</v>
      </c>
      <c r="AE339" s="9" t="s">
        <v>92</v>
      </c>
      <c r="AF339" s="9"/>
      <c r="AG339" s="11">
        <v>4</v>
      </c>
      <c r="AH339" s="11" t="s">
        <v>93</v>
      </c>
      <c r="AI339" s="11"/>
      <c r="AJ339" s="11"/>
      <c r="AK339" s="11"/>
      <c r="AL339" s="12">
        <v>4</v>
      </c>
      <c r="AM339" s="12" t="s">
        <v>93</v>
      </c>
      <c r="AN339" s="12" t="s">
        <v>1738</v>
      </c>
      <c r="AO339" s="12"/>
      <c r="AP339" s="12"/>
      <c r="AQ339" s="4">
        <v>4</v>
      </c>
      <c r="AR339" s="4" t="s">
        <v>83</v>
      </c>
      <c r="AS339" s="4"/>
      <c r="AT339" s="13"/>
      <c r="AU339" s="13"/>
      <c r="AV339" s="13"/>
      <c r="AW339" s="13"/>
      <c r="AX339" s="4"/>
      <c r="AY339" s="13"/>
      <c r="AZ339" s="13"/>
      <c r="BA339" s="13"/>
      <c r="BB339" s="13"/>
      <c r="BC339" s="4"/>
      <c r="BD339" s="4"/>
      <c r="BE339" s="4"/>
      <c r="BF339" s="13"/>
      <c r="BG339" s="4"/>
      <c r="BH339" s="13"/>
      <c r="BI339" s="13"/>
      <c r="BJ339" s="4"/>
      <c r="BK339" s="14">
        <v>13</v>
      </c>
      <c r="BL339" s="14">
        <v>13</v>
      </c>
      <c r="BM339" s="14">
        <v>13</v>
      </c>
      <c r="BP339" s="15"/>
      <c r="BQ339" s="15"/>
      <c r="BR339" s="2" t="s">
        <v>97</v>
      </c>
      <c r="BS339" s="2" t="s">
        <v>97</v>
      </c>
      <c r="BT339" s="7" t="s">
        <v>98</v>
      </c>
      <c r="BU339" s="7"/>
      <c r="BV339" s="9" t="s">
        <v>98</v>
      </c>
      <c r="BW339" s="9"/>
    </row>
    <row r="340" spans="1:75" ht="14.25" customHeight="1" x14ac:dyDescent="0.25">
      <c r="A340" s="1">
        <v>813</v>
      </c>
      <c r="B340" s="1" t="s">
        <v>1739</v>
      </c>
      <c r="C340" s="1" t="s">
        <v>1740</v>
      </c>
      <c r="D340" s="1" t="s">
        <v>77</v>
      </c>
      <c r="E340" s="1" t="s">
        <v>1715</v>
      </c>
      <c r="F340" s="1" t="s">
        <v>1716</v>
      </c>
      <c r="G340" s="1" t="s">
        <v>118</v>
      </c>
      <c r="H340" s="2">
        <v>0</v>
      </c>
      <c r="I340" s="2">
        <v>1</v>
      </c>
      <c r="J340" s="2">
        <v>1</v>
      </c>
      <c r="K340" s="2">
        <v>1</v>
      </c>
      <c r="L340" s="3" t="s">
        <v>127</v>
      </c>
      <c r="O340" s="4">
        <v>3</v>
      </c>
      <c r="P340" s="4" t="s">
        <v>424</v>
      </c>
      <c r="Q340" s="4" t="s">
        <v>1741</v>
      </c>
      <c r="R340" s="16">
        <v>700000</v>
      </c>
      <c r="S340" s="6">
        <v>700000</v>
      </c>
      <c r="T340" s="16">
        <v>700000</v>
      </c>
      <c r="U340" s="6">
        <v>700000</v>
      </c>
      <c r="V340" s="4">
        <v>2010.5</v>
      </c>
      <c r="W340" s="4" t="s">
        <v>425</v>
      </c>
      <c r="X340" s="4"/>
      <c r="Y340" s="7">
        <v>2</v>
      </c>
      <c r="Z340" s="8">
        <v>1031235</v>
      </c>
      <c r="AA340" s="7" t="s">
        <v>537</v>
      </c>
      <c r="AB340" s="7" t="s">
        <v>1742</v>
      </c>
      <c r="AC340" s="9">
        <v>2</v>
      </c>
      <c r="AD340" s="10">
        <v>1027361</v>
      </c>
      <c r="AE340" s="9" t="s">
        <v>92</v>
      </c>
      <c r="AF340" s="9" t="s">
        <v>1743</v>
      </c>
      <c r="AG340" s="11">
        <v>2</v>
      </c>
      <c r="AH340" s="11" t="s">
        <v>131</v>
      </c>
      <c r="AI340" s="11" t="s">
        <v>1744</v>
      </c>
      <c r="AJ340" s="11">
        <v>2</v>
      </c>
      <c r="AK340" s="11" t="s">
        <v>132</v>
      </c>
      <c r="AL340" s="12">
        <v>3</v>
      </c>
      <c r="AM340" s="12" t="s">
        <v>271</v>
      </c>
      <c r="AN340" s="12" t="s">
        <v>1745</v>
      </c>
      <c r="AO340" s="12"/>
      <c r="AP340" s="12"/>
      <c r="AQ340" s="4">
        <v>1</v>
      </c>
      <c r="AR340" s="4" t="s">
        <v>133</v>
      </c>
      <c r="AS340" s="4"/>
      <c r="AT340" s="13">
        <v>100.640907287598</v>
      </c>
      <c r="AU340" s="13">
        <v>1.37331295013428</v>
      </c>
      <c r="AV340" s="13">
        <v>0.38460499048232999</v>
      </c>
      <c r="AW340" s="13">
        <v>2.3699998855590798</v>
      </c>
      <c r="AX340" s="4">
        <v>1</v>
      </c>
      <c r="AY340" s="13">
        <v>54.207649230957003</v>
      </c>
      <c r="AZ340" s="13">
        <v>2.9293301105499299</v>
      </c>
      <c r="BA340" s="13">
        <v>0.87629598379135099</v>
      </c>
      <c r="BB340" s="13">
        <v>5.1399998664856001</v>
      </c>
      <c r="BC340" s="4">
        <v>1</v>
      </c>
      <c r="BD340" s="4">
        <v>15</v>
      </c>
      <c r="BE340" s="4" t="s">
        <v>134</v>
      </c>
      <c r="BF340" s="13">
        <v>1.9853949546814</v>
      </c>
      <c r="BG340" s="4">
        <v>540.5</v>
      </c>
      <c r="BH340" s="13">
        <v>0.66649997234344505</v>
      </c>
      <c r="BI340" s="13">
        <v>360.010498046875</v>
      </c>
      <c r="BJ340" s="4"/>
      <c r="BK340" s="14">
        <v>8</v>
      </c>
      <c r="BL340" s="14">
        <v>9</v>
      </c>
      <c r="BM340" s="14">
        <v>9</v>
      </c>
      <c r="BP340" s="15" t="s">
        <v>135</v>
      </c>
      <c r="BQ340" s="15"/>
      <c r="BR340" s="2" t="s">
        <v>239</v>
      </c>
      <c r="BS340" s="2" t="s">
        <v>740</v>
      </c>
      <c r="BT340" s="7" t="s">
        <v>241</v>
      </c>
      <c r="BU340" s="7"/>
      <c r="BV340" s="9" t="s">
        <v>109</v>
      </c>
      <c r="BW340" s="9" t="s">
        <v>603</v>
      </c>
    </row>
    <row r="341" spans="1:75" ht="14.25" customHeight="1" x14ac:dyDescent="0.25">
      <c r="A341" s="1">
        <v>814</v>
      </c>
      <c r="B341" s="1" t="s">
        <v>1746</v>
      </c>
      <c r="C341" s="1" t="s">
        <v>1747</v>
      </c>
      <c r="D341" s="1" t="s">
        <v>77</v>
      </c>
      <c r="E341" s="1" t="s">
        <v>1715</v>
      </c>
      <c r="F341" s="1" t="s">
        <v>1716</v>
      </c>
      <c r="G341" s="1" t="s">
        <v>118</v>
      </c>
      <c r="H341" s="2">
        <v>0</v>
      </c>
      <c r="I341" s="2">
        <v>0</v>
      </c>
      <c r="J341" s="2">
        <v>1</v>
      </c>
      <c r="K341" s="2">
        <v>1</v>
      </c>
      <c r="L341" s="3" t="s">
        <v>127</v>
      </c>
      <c r="O341" s="4">
        <v>3</v>
      </c>
      <c r="P341" s="4" t="s">
        <v>101</v>
      </c>
      <c r="Q341" s="4" t="s">
        <v>1748</v>
      </c>
      <c r="R341" s="5"/>
      <c r="S341" s="6"/>
      <c r="T341" s="17"/>
      <c r="U341" s="6"/>
      <c r="V341" s="4"/>
      <c r="W341" s="4"/>
      <c r="X341" s="4"/>
      <c r="Y341" s="7">
        <v>1</v>
      </c>
      <c r="Z341" s="8">
        <v>13116434</v>
      </c>
      <c r="AA341" s="7" t="s">
        <v>92</v>
      </c>
      <c r="AB341" s="7"/>
      <c r="AC341" s="9">
        <v>1</v>
      </c>
      <c r="AD341" s="10">
        <v>12507120</v>
      </c>
      <c r="AE341" s="9" t="s">
        <v>92</v>
      </c>
      <c r="AF341" s="9"/>
      <c r="AG341" s="11">
        <v>3</v>
      </c>
      <c r="AH341" s="11" t="s">
        <v>93</v>
      </c>
      <c r="AI341" s="11" t="s">
        <v>1749</v>
      </c>
      <c r="AJ341" s="11"/>
      <c r="AK341" s="11"/>
      <c r="AL341" s="12">
        <v>2</v>
      </c>
      <c r="AM341" s="12" t="s">
        <v>93</v>
      </c>
      <c r="AN341" s="12" t="s">
        <v>1750</v>
      </c>
      <c r="AO341" s="12"/>
      <c r="AP341" s="12"/>
      <c r="AQ341" s="4">
        <v>3</v>
      </c>
      <c r="AR341" s="4" t="s">
        <v>83</v>
      </c>
      <c r="AS341" s="4"/>
      <c r="AT341" s="13"/>
      <c r="AU341" s="13"/>
      <c r="AV341" s="13"/>
      <c r="AW341" s="13"/>
      <c r="AX341" s="4"/>
      <c r="AY341" s="13"/>
      <c r="AZ341" s="13"/>
      <c r="BA341" s="13"/>
      <c r="BB341" s="13"/>
      <c r="BC341" s="4"/>
      <c r="BD341" s="4"/>
      <c r="BE341" s="4"/>
      <c r="BF341" s="13"/>
      <c r="BG341" s="4"/>
      <c r="BH341" s="13"/>
      <c r="BI341" s="13"/>
      <c r="BJ341" s="4"/>
      <c r="BK341" s="14">
        <v>10</v>
      </c>
      <c r="BL341" s="14">
        <v>9</v>
      </c>
      <c r="BM341" s="14">
        <v>10</v>
      </c>
      <c r="BP341" s="15"/>
      <c r="BQ341" s="15"/>
      <c r="BR341" s="2" t="s">
        <v>97</v>
      </c>
      <c r="BS341" s="2" t="s">
        <v>97</v>
      </c>
      <c r="BT341" s="7" t="s">
        <v>98</v>
      </c>
      <c r="BU341" s="7"/>
      <c r="BV341" s="9" t="s">
        <v>98</v>
      </c>
      <c r="BW341" s="9"/>
    </row>
    <row r="342" spans="1:75" ht="14.25" customHeight="1" x14ac:dyDescent="0.25">
      <c r="A342" s="1">
        <v>815</v>
      </c>
      <c r="B342" s="1" t="s">
        <v>1751</v>
      </c>
      <c r="C342" s="1" t="s">
        <v>1752</v>
      </c>
      <c r="D342" s="1" t="s">
        <v>77</v>
      </c>
      <c r="E342" s="1" t="s">
        <v>1715</v>
      </c>
      <c r="F342" s="1" t="s">
        <v>1716</v>
      </c>
      <c r="G342" s="1"/>
      <c r="H342" s="2">
        <v>0</v>
      </c>
      <c r="I342" s="2">
        <v>0</v>
      </c>
      <c r="J342" s="2">
        <v>1</v>
      </c>
      <c r="K342" s="2">
        <v>1</v>
      </c>
      <c r="L342" s="3" t="s">
        <v>80</v>
      </c>
      <c r="O342" s="4">
        <v>4</v>
      </c>
      <c r="P342" s="4" t="s">
        <v>81</v>
      </c>
      <c r="Q342" s="4" t="s">
        <v>1753</v>
      </c>
      <c r="R342" s="5"/>
      <c r="S342" s="6"/>
      <c r="T342" s="17"/>
      <c r="U342" s="6"/>
      <c r="V342" s="4"/>
      <c r="W342" s="4"/>
      <c r="X342" s="4"/>
      <c r="Y342" s="7">
        <v>1</v>
      </c>
      <c r="Z342" s="8">
        <v>8580165</v>
      </c>
      <c r="AA342" s="7" t="s">
        <v>92</v>
      </c>
      <c r="AB342" s="7"/>
      <c r="AC342" s="9">
        <v>1</v>
      </c>
      <c r="AD342" s="10">
        <v>8580165</v>
      </c>
      <c r="AE342" s="9" t="s">
        <v>92</v>
      </c>
      <c r="AF342" s="9"/>
      <c r="AG342" s="11">
        <v>3</v>
      </c>
      <c r="AH342" s="11" t="s">
        <v>93</v>
      </c>
      <c r="AI342" s="11"/>
      <c r="AJ342" s="11"/>
      <c r="AK342" s="11"/>
      <c r="AL342" s="12">
        <v>3</v>
      </c>
      <c r="AM342" s="12" t="s">
        <v>93</v>
      </c>
      <c r="AN342" s="12" t="s">
        <v>1754</v>
      </c>
      <c r="AO342" s="12"/>
      <c r="AP342" s="12"/>
      <c r="AQ342" s="4">
        <v>4</v>
      </c>
      <c r="AR342" s="4" t="s">
        <v>83</v>
      </c>
      <c r="AS342" s="4"/>
      <c r="AT342" s="13"/>
      <c r="AU342" s="13"/>
      <c r="AV342" s="13"/>
      <c r="AW342" s="13"/>
      <c r="AX342" s="4"/>
      <c r="AY342" s="13"/>
      <c r="AZ342" s="13"/>
      <c r="BA342" s="13"/>
      <c r="BB342" s="13"/>
      <c r="BC342" s="4"/>
      <c r="BD342" s="4"/>
      <c r="BE342" s="4"/>
      <c r="BF342" s="13"/>
      <c r="BG342" s="4"/>
      <c r="BH342" s="13"/>
      <c r="BI342" s="13"/>
      <c r="BJ342" s="4"/>
      <c r="BK342" s="14">
        <v>12</v>
      </c>
      <c r="BL342" s="14">
        <v>12</v>
      </c>
      <c r="BM342" s="14">
        <v>12</v>
      </c>
      <c r="BP342" s="15"/>
      <c r="BQ342" s="15"/>
      <c r="BR342" s="2" t="s">
        <v>97</v>
      </c>
      <c r="BS342" s="2" t="s">
        <v>97</v>
      </c>
      <c r="BT342" s="7" t="s">
        <v>147</v>
      </c>
      <c r="BU342" s="7"/>
      <c r="BV342" s="9" t="s">
        <v>147</v>
      </c>
      <c r="BW342" s="9"/>
    </row>
    <row r="343" spans="1:75" ht="14.25" customHeight="1" x14ac:dyDescent="0.25">
      <c r="A343" s="1">
        <v>816</v>
      </c>
      <c r="B343" s="1" t="s">
        <v>1755</v>
      </c>
      <c r="C343" s="1" t="s">
        <v>1756</v>
      </c>
      <c r="D343" s="1" t="s">
        <v>77</v>
      </c>
      <c r="E343" s="1" t="s">
        <v>1715</v>
      </c>
      <c r="F343" s="1" t="s">
        <v>1716</v>
      </c>
      <c r="G343" s="1"/>
      <c r="H343" s="2">
        <v>0</v>
      </c>
      <c r="I343" s="2">
        <v>0</v>
      </c>
      <c r="J343" s="2">
        <v>1</v>
      </c>
      <c r="K343" s="2">
        <v>1</v>
      </c>
      <c r="L343" s="3" t="s">
        <v>80</v>
      </c>
      <c r="O343" s="4">
        <v>3</v>
      </c>
      <c r="P343" s="4" t="s">
        <v>1757</v>
      </c>
      <c r="Q343" s="4" t="s">
        <v>1758</v>
      </c>
      <c r="R343" s="5"/>
      <c r="S343" s="6"/>
      <c r="T343" s="17"/>
      <c r="U343" s="6"/>
      <c r="V343" s="4"/>
      <c r="W343" s="4"/>
      <c r="X343" s="4"/>
      <c r="Y343" s="7">
        <v>1</v>
      </c>
      <c r="Z343" s="8">
        <v>14588779</v>
      </c>
      <c r="AA343" s="7" t="s">
        <v>92</v>
      </c>
      <c r="AB343" s="7"/>
      <c r="AC343" s="9">
        <v>1</v>
      </c>
      <c r="AD343" s="10">
        <v>14588779</v>
      </c>
      <c r="AE343" s="9" t="s">
        <v>92</v>
      </c>
      <c r="AF343" s="9"/>
      <c r="AG343" s="11">
        <v>3</v>
      </c>
      <c r="AH343" s="11" t="s">
        <v>537</v>
      </c>
      <c r="AI343" s="11" t="s">
        <v>1759</v>
      </c>
      <c r="AJ343" s="11"/>
      <c r="AK343" s="11"/>
      <c r="AL343" s="12">
        <v>3</v>
      </c>
      <c r="AM343" s="12" t="s">
        <v>537</v>
      </c>
      <c r="AN343" s="12" t="s">
        <v>1760</v>
      </c>
      <c r="AO343" s="12"/>
      <c r="AP343" s="12"/>
      <c r="AQ343" s="4">
        <v>4</v>
      </c>
      <c r="AR343" s="4" t="s">
        <v>83</v>
      </c>
      <c r="AS343" s="4" t="s">
        <v>1761</v>
      </c>
      <c r="AT343" s="13"/>
      <c r="AU343" s="13"/>
      <c r="AV343" s="13"/>
      <c r="AW343" s="13"/>
      <c r="AX343" s="4"/>
      <c r="AY343" s="13"/>
      <c r="AZ343" s="13"/>
      <c r="BA343" s="13"/>
      <c r="BB343" s="13"/>
      <c r="BC343" s="4"/>
      <c r="BD343" s="4"/>
      <c r="BE343" s="4"/>
      <c r="BF343" s="13"/>
      <c r="BG343" s="4"/>
      <c r="BH343" s="13"/>
      <c r="BI343" s="13"/>
      <c r="BJ343" s="4"/>
      <c r="BK343" s="14">
        <v>11</v>
      </c>
      <c r="BL343" s="14">
        <v>11</v>
      </c>
      <c r="BM343" s="14">
        <v>11</v>
      </c>
      <c r="BP343" s="15"/>
      <c r="BQ343" s="15"/>
      <c r="BR343" s="2" t="s">
        <v>97</v>
      </c>
      <c r="BS343" s="2" t="s">
        <v>97</v>
      </c>
      <c r="BT343" s="7" t="s">
        <v>797</v>
      </c>
      <c r="BU343" s="7"/>
      <c r="BV343" s="9" t="s">
        <v>797</v>
      </c>
      <c r="BW343" s="9"/>
    </row>
    <row r="344" spans="1:75" ht="14.25" customHeight="1" x14ac:dyDescent="0.25">
      <c r="A344" s="1">
        <v>817</v>
      </c>
      <c r="B344" s="1" t="s">
        <v>1762</v>
      </c>
      <c r="C344" s="1" t="s">
        <v>1763</v>
      </c>
      <c r="D344" s="1" t="s">
        <v>77</v>
      </c>
      <c r="E344" s="1" t="s">
        <v>1715</v>
      </c>
      <c r="F344" s="1" t="s">
        <v>1716</v>
      </c>
      <c r="G344" s="1"/>
      <c r="H344" s="2">
        <v>0</v>
      </c>
      <c r="I344" s="2">
        <v>1</v>
      </c>
      <c r="J344" s="2">
        <v>1</v>
      </c>
      <c r="K344" s="2">
        <v>1</v>
      </c>
      <c r="L344" s="3" t="s">
        <v>80</v>
      </c>
      <c r="O344" s="4">
        <v>3</v>
      </c>
      <c r="P344" s="4" t="s">
        <v>1764</v>
      </c>
      <c r="Q344" s="4" t="s">
        <v>1765</v>
      </c>
      <c r="R344" s="16">
        <v>2000000</v>
      </c>
      <c r="S344" s="6">
        <v>2000000</v>
      </c>
      <c r="T344" s="16">
        <v>2100</v>
      </c>
      <c r="U344" s="6">
        <v>2100</v>
      </c>
      <c r="V344" s="4"/>
      <c r="W344" s="4" t="s">
        <v>1766</v>
      </c>
      <c r="X344" s="4"/>
      <c r="Y344" s="7">
        <v>1</v>
      </c>
      <c r="Z344" s="8">
        <v>11510869</v>
      </c>
      <c r="AA344" s="7" t="s">
        <v>92</v>
      </c>
      <c r="AB344" s="7"/>
      <c r="AC344" s="9">
        <v>1</v>
      </c>
      <c r="AD344" s="10">
        <v>11510869</v>
      </c>
      <c r="AE344" s="9" t="s">
        <v>92</v>
      </c>
      <c r="AF344" s="9"/>
      <c r="AG344" s="11">
        <v>4</v>
      </c>
      <c r="AH344" s="11" t="s">
        <v>131</v>
      </c>
      <c r="AI344" s="11" t="s">
        <v>1767</v>
      </c>
      <c r="AJ344" s="11">
        <v>5</v>
      </c>
      <c r="AK344" s="11" t="s">
        <v>132</v>
      </c>
      <c r="AL344" s="12">
        <v>3</v>
      </c>
      <c r="AM344" s="12" t="s">
        <v>131</v>
      </c>
      <c r="AN344" s="12" t="s">
        <v>1768</v>
      </c>
      <c r="AO344" s="12">
        <v>2</v>
      </c>
      <c r="AP344" s="12" t="s">
        <v>332</v>
      </c>
      <c r="AQ344" s="4">
        <v>2</v>
      </c>
      <c r="AR344" s="4" t="s">
        <v>93</v>
      </c>
      <c r="AS344" s="4" t="s">
        <v>1769</v>
      </c>
      <c r="AT344" s="13"/>
      <c r="AU344" s="13"/>
      <c r="AV344" s="13"/>
      <c r="AW344" s="13"/>
      <c r="AX344" s="4"/>
      <c r="AY344" s="13"/>
      <c r="AZ344" s="13"/>
      <c r="BA344" s="13"/>
      <c r="BB344" s="13"/>
      <c r="BC344" s="4"/>
      <c r="BD344" s="4"/>
      <c r="BE344" s="4"/>
      <c r="BF344" s="13"/>
      <c r="BG344" s="4"/>
      <c r="BH344" s="13"/>
      <c r="BI344" s="13"/>
      <c r="BJ344" s="4"/>
      <c r="BK344" s="14">
        <v>10</v>
      </c>
      <c r="BL344" s="14">
        <v>9</v>
      </c>
      <c r="BM344" s="14">
        <v>10</v>
      </c>
      <c r="BP344" s="15"/>
      <c r="BQ344" s="15"/>
      <c r="BR344" s="2" t="s">
        <v>97</v>
      </c>
      <c r="BS344" s="2" t="s">
        <v>97</v>
      </c>
      <c r="BT344" s="7" t="s">
        <v>147</v>
      </c>
      <c r="BU344" s="7"/>
      <c r="BV344" s="9" t="s">
        <v>147</v>
      </c>
      <c r="BW344" s="9"/>
    </row>
    <row r="345" spans="1:75" ht="14.25" customHeight="1" x14ac:dyDescent="0.25">
      <c r="A345" s="1">
        <v>818</v>
      </c>
      <c r="B345" s="1" t="s">
        <v>1770</v>
      </c>
      <c r="C345" s="1" t="s">
        <v>1771</v>
      </c>
      <c r="D345" s="1" t="s">
        <v>77</v>
      </c>
      <c r="E345" s="1" t="s">
        <v>1715</v>
      </c>
      <c r="F345" s="1" t="s">
        <v>1716</v>
      </c>
      <c r="G345" s="1" t="s">
        <v>118</v>
      </c>
      <c r="H345" s="2">
        <v>0</v>
      </c>
      <c r="I345" s="2">
        <v>0</v>
      </c>
      <c r="J345" s="2">
        <v>0</v>
      </c>
      <c r="K345" s="2">
        <v>1</v>
      </c>
      <c r="L345" s="3" t="s">
        <v>80</v>
      </c>
      <c r="O345" s="4">
        <v>3</v>
      </c>
      <c r="P345" s="4" t="s">
        <v>81</v>
      </c>
      <c r="Q345" s="4" t="s">
        <v>1772</v>
      </c>
      <c r="R345" s="5"/>
      <c r="S345" s="6"/>
      <c r="T345" s="17"/>
      <c r="U345" s="6"/>
      <c r="V345" s="4"/>
      <c r="W345" s="4"/>
      <c r="X345" s="4"/>
      <c r="Y345" s="7">
        <v>2</v>
      </c>
      <c r="Z345" s="8">
        <v>2230595</v>
      </c>
      <c r="AA345" s="7" t="s">
        <v>82</v>
      </c>
      <c r="AB345" s="7"/>
      <c r="AC345" s="9">
        <v>2</v>
      </c>
      <c r="AD345" s="10">
        <v>2230595</v>
      </c>
      <c r="AE345" s="9" t="s">
        <v>82</v>
      </c>
      <c r="AF345" s="9"/>
      <c r="AG345" s="11">
        <v>3</v>
      </c>
      <c r="AH345" s="11" t="s">
        <v>1213</v>
      </c>
      <c r="AI345" s="11" t="s">
        <v>1773</v>
      </c>
      <c r="AJ345" s="11"/>
      <c r="AK345" s="11"/>
      <c r="AL345" s="12">
        <v>3</v>
      </c>
      <c r="AM345" s="12" t="s">
        <v>1213</v>
      </c>
      <c r="AN345" s="12" t="s">
        <v>1773</v>
      </c>
      <c r="AO345" s="12"/>
      <c r="AP345" s="12"/>
      <c r="AQ345" s="4">
        <v>3</v>
      </c>
      <c r="AR345" s="4" t="s">
        <v>1213</v>
      </c>
      <c r="AS345" s="4" t="s">
        <v>1774</v>
      </c>
      <c r="AT345" s="13"/>
      <c r="AU345" s="13"/>
      <c r="AV345" s="13"/>
      <c r="AW345" s="13"/>
      <c r="AX345" s="4"/>
      <c r="AY345" s="13"/>
      <c r="AZ345" s="13"/>
      <c r="BA345" s="13"/>
      <c r="BB345" s="13"/>
      <c r="BC345" s="4"/>
      <c r="BD345" s="4"/>
      <c r="BE345" s="4"/>
      <c r="BF345" s="13"/>
      <c r="BG345" s="4"/>
      <c r="BH345" s="13"/>
      <c r="BI345" s="13"/>
      <c r="BJ345" s="4"/>
      <c r="BK345" s="14">
        <v>11</v>
      </c>
      <c r="BL345" s="14">
        <v>11</v>
      </c>
      <c r="BM345" s="14">
        <v>11</v>
      </c>
      <c r="BP345" s="15"/>
      <c r="BQ345" s="15"/>
      <c r="BR345" s="2" t="s">
        <v>97</v>
      </c>
      <c r="BS345" s="2" t="s">
        <v>97</v>
      </c>
      <c r="BT345" s="7" t="s">
        <v>98</v>
      </c>
      <c r="BU345" s="7"/>
      <c r="BV345" s="9" t="s">
        <v>98</v>
      </c>
      <c r="BW345" s="9"/>
    </row>
    <row r="346" spans="1:75" ht="14.25" customHeight="1" x14ac:dyDescent="0.25">
      <c r="A346" s="1">
        <v>819</v>
      </c>
      <c r="B346" s="1" t="s">
        <v>1775</v>
      </c>
      <c r="C346" s="1" t="s">
        <v>1776</v>
      </c>
      <c r="D346" s="1" t="s">
        <v>77</v>
      </c>
      <c r="E346" s="1" t="s">
        <v>1715</v>
      </c>
      <c r="F346" s="1" t="s">
        <v>1716</v>
      </c>
      <c r="G346" s="1" t="s">
        <v>118</v>
      </c>
      <c r="H346" s="2">
        <v>0</v>
      </c>
      <c r="I346" s="2">
        <v>0</v>
      </c>
      <c r="J346" s="2">
        <v>0</v>
      </c>
      <c r="K346" s="2">
        <v>1</v>
      </c>
      <c r="L346" s="3" t="s">
        <v>80</v>
      </c>
      <c r="O346" s="4">
        <v>5</v>
      </c>
      <c r="P346" s="4" t="s">
        <v>81</v>
      </c>
      <c r="Q346" s="4"/>
      <c r="R346" s="5"/>
      <c r="S346" s="6"/>
      <c r="T346" s="17"/>
      <c r="U346" s="6"/>
      <c r="V346" s="4"/>
      <c r="W346" s="4"/>
      <c r="X346" s="4"/>
      <c r="Y346" s="7">
        <v>4</v>
      </c>
      <c r="Z346" s="8">
        <v>118571</v>
      </c>
      <c r="AA346" s="7" t="s">
        <v>82</v>
      </c>
      <c r="AB346" s="7"/>
      <c r="AC346" s="9">
        <v>4</v>
      </c>
      <c r="AD346" s="10">
        <v>118571</v>
      </c>
      <c r="AE346" s="9" t="s">
        <v>82</v>
      </c>
      <c r="AF346" s="9"/>
      <c r="AG346" s="11">
        <v>3</v>
      </c>
      <c r="AH346" s="11" t="s">
        <v>83</v>
      </c>
      <c r="AI346" s="11"/>
      <c r="AJ346" s="11"/>
      <c r="AK346" s="11"/>
      <c r="AL346" s="12">
        <v>3</v>
      </c>
      <c r="AM346" s="12" t="s">
        <v>83</v>
      </c>
      <c r="AN346" s="12"/>
      <c r="AO346" s="12"/>
      <c r="AP346" s="12"/>
      <c r="AQ346" s="4">
        <v>4</v>
      </c>
      <c r="AR346" s="4" t="s">
        <v>83</v>
      </c>
      <c r="AS346" s="4"/>
      <c r="AT346" s="13"/>
      <c r="AU346" s="13"/>
      <c r="AV346" s="13"/>
      <c r="AW346" s="13"/>
      <c r="AX346" s="4"/>
      <c r="AY346" s="13"/>
      <c r="AZ346" s="13"/>
      <c r="BA346" s="13"/>
      <c r="BB346" s="13"/>
      <c r="BC346" s="4"/>
      <c r="BD346" s="4"/>
      <c r="BE346" s="4"/>
      <c r="BF346" s="13"/>
      <c r="BG346" s="4"/>
      <c r="BH346" s="13"/>
      <c r="BI346" s="13"/>
      <c r="BJ346" s="4"/>
      <c r="BK346" s="14">
        <v>16</v>
      </c>
      <c r="BL346" s="14">
        <v>16</v>
      </c>
      <c r="BM346" s="14">
        <v>16</v>
      </c>
      <c r="BN346" s="3" t="s">
        <v>86</v>
      </c>
      <c r="BO346" s="3" t="s">
        <v>120</v>
      </c>
      <c r="BP346" s="15"/>
      <c r="BQ346" s="15"/>
      <c r="BR346" s="2" t="s">
        <v>121</v>
      </c>
      <c r="BS346" s="2" t="s">
        <v>121</v>
      </c>
      <c r="BT346" s="7" t="s">
        <v>98</v>
      </c>
      <c r="BU346" s="7"/>
      <c r="BV346" s="9" t="s">
        <v>98</v>
      </c>
      <c r="BW346" s="9"/>
    </row>
    <row r="347" spans="1:75" ht="14.25" customHeight="1" x14ac:dyDescent="0.25">
      <c r="A347" s="1">
        <v>820</v>
      </c>
      <c r="B347" s="1" t="s">
        <v>1777</v>
      </c>
      <c r="C347" s="1" t="s">
        <v>1778</v>
      </c>
      <c r="D347" s="1" t="s">
        <v>77</v>
      </c>
      <c r="E347" s="1" t="s">
        <v>1715</v>
      </c>
      <c r="F347" s="1" t="s">
        <v>1716</v>
      </c>
      <c r="G347" s="1"/>
      <c r="H347" s="2">
        <v>0</v>
      </c>
      <c r="I347" s="2">
        <v>1</v>
      </c>
      <c r="J347" s="2">
        <v>1</v>
      </c>
      <c r="K347" s="2">
        <v>1</v>
      </c>
      <c r="L347" s="3" t="s">
        <v>127</v>
      </c>
      <c r="O347" s="4">
        <v>3</v>
      </c>
      <c r="P347" s="4" t="s">
        <v>706</v>
      </c>
      <c r="Q347" s="4" t="s">
        <v>1779</v>
      </c>
      <c r="R347" s="16">
        <v>2000000</v>
      </c>
      <c r="S347" s="6">
        <v>2000000</v>
      </c>
      <c r="T347" s="17" t="s">
        <v>1780</v>
      </c>
      <c r="U347" s="6">
        <v>2000</v>
      </c>
      <c r="V347" s="4"/>
      <c r="W347" s="4" t="s">
        <v>543</v>
      </c>
      <c r="X347" s="4" t="s">
        <v>1781</v>
      </c>
      <c r="Y347" s="7">
        <v>2</v>
      </c>
      <c r="Z347" s="8">
        <v>1383932</v>
      </c>
      <c r="AA347" s="7" t="s">
        <v>92</v>
      </c>
      <c r="AB347" s="7"/>
      <c r="AC347" s="9">
        <v>2</v>
      </c>
      <c r="AD347" s="10">
        <v>1090987</v>
      </c>
      <c r="AE347" s="9" t="s">
        <v>92</v>
      </c>
      <c r="AF347" s="9"/>
      <c r="AG347" s="11">
        <v>3</v>
      </c>
      <c r="AH347" s="11" t="s">
        <v>537</v>
      </c>
      <c r="AI347" s="11" t="s">
        <v>1782</v>
      </c>
      <c r="AJ347" s="11"/>
      <c r="AK347" s="11"/>
      <c r="AL347" s="12">
        <v>3</v>
      </c>
      <c r="AM347" s="12" t="s">
        <v>537</v>
      </c>
      <c r="AN347" s="12" t="s">
        <v>1783</v>
      </c>
      <c r="AO347" s="12"/>
      <c r="AP347" s="12"/>
      <c r="AQ347" s="4">
        <v>3</v>
      </c>
      <c r="AR347" s="4" t="s">
        <v>673</v>
      </c>
      <c r="AS347" s="4"/>
      <c r="AT347" s="13"/>
      <c r="AU347" s="13"/>
      <c r="AV347" s="13"/>
      <c r="AW347" s="13"/>
      <c r="AX347" s="4"/>
      <c r="AY347" s="13"/>
      <c r="AZ347" s="13"/>
      <c r="BA347" s="13"/>
      <c r="BB347" s="13"/>
      <c r="BC347" s="4"/>
      <c r="BD347" s="4"/>
      <c r="BE347" s="4"/>
      <c r="BF347" s="13"/>
      <c r="BG347" s="4"/>
      <c r="BH347" s="13"/>
      <c r="BI347" s="13"/>
      <c r="BJ347" s="4"/>
      <c r="BK347" s="14">
        <v>11</v>
      </c>
      <c r="BL347" s="14">
        <v>11</v>
      </c>
      <c r="BM347" s="14">
        <v>11</v>
      </c>
      <c r="BP347" s="15"/>
      <c r="BQ347" s="15"/>
      <c r="BR347" s="2" t="s">
        <v>97</v>
      </c>
      <c r="BS347" s="2" t="s">
        <v>97</v>
      </c>
      <c r="BT347" s="7" t="s">
        <v>240</v>
      </c>
      <c r="BU347" s="7" t="s">
        <v>623</v>
      </c>
      <c r="BV347" s="9" t="s">
        <v>240</v>
      </c>
      <c r="BW347" s="9" t="s">
        <v>623</v>
      </c>
    </row>
    <row r="348" spans="1:75" ht="14.25" customHeight="1" x14ac:dyDescent="0.25">
      <c r="A348" s="1">
        <v>822</v>
      </c>
      <c r="B348" s="1" t="s">
        <v>1784</v>
      </c>
      <c r="C348" s="1" t="s">
        <v>1785</v>
      </c>
      <c r="D348" s="1" t="s">
        <v>77</v>
      </c>
      <c r="E348" s="1" t="s">
        <v>1715</v>
      </c>
      <c r="F348" s="1" t="s">
        <v>1716</v>
      </c>
      <c r="G348" s="1" t="s">
        <v>118</v>
      </c>
      <c r="H348" s="2">
        <v>0</v>
      </c>
      <c r="I348" s="2">
        <v>0</v>
      </c>
      <c r="J348" s="2">
        <v>0</v>
      </c>
      <c r="K348" s="2">
        <v>1</v>
      </c>
      <c r="L348" s="3" t="s">
        <v>80</v>
      </c>
      <c r="O348" s="4">
        <v>2</v>
      </c>
      <c r="P348" s="4" t="s">
        <v>81</v>
      </c>
      <c r="Q348" s="4"/>
      <c r="R348" s="5"/>
      <c r="S348" s="6"/>
      <c r="T348" s="17"/>
      <c r="U348" s="6"/>
      <c r="V348" s="4"/>
      <c r="W348" s="4"/>
      <c r="X348" s="4"/>
      <c r="Y348" s="7">
        <v>1</v>
      </c>
      <c r="Z348" s="8">
        <v>10481169</v>
      </c>
      <c r="AA348" s="7" t="s">
        <v>82</v>
      </c>
      <c r="AB348" s="7"/>
      <c r="AC348" s="9">
        <v>1</v>
      </c>
      <c r="AD348" s="10">
        <v>10481169</v>
      </c>
      <c r="AE348" s="9" t="s">
        <v>82</v>
      </c>
      <c r="AF348" s="9"/>
      <c r="AG348" s="11">
        <v>2</v>
      </c>
      <c r="AH348" s="11" t="s">
        <v>83</v>
      </c>
      <c r="AI348" s="11"/>
      <c r="AJ348" s="11"/>
      <c r="AK348" s="11"/>
      <c r="AL348" s="12">
        <v>2</v>
      </c>
      <c r="AM348" s="12" t="s">
        <v>83</v>
      </c>
      <c r="AN348" s="12"/>
      <c r="AO348" s="12"/>
      <c r="AP348" s="12"/>
      <c r="AQ348" s="4">
        <v>2</v>
      </c>
      <c r="AR348" s="4" t="s">
        <v>83</v>
      </c>
      <c r="AS348" s="4" t="s">
        <v>1786</v>
      </c>
      <c r="AT348" s="13"/>
      <c r="AU348" s="13"/>
      <c r="AV348" s="13"/>
      <c r="AW348" s="13"/>
      <c r="AX348" s="4"/>
      <c r="AY348" s="13"/>
      <c r="AZ348" s="13"/>
      <c r="BA348" s="13"/>
      <c r="BB348" s="13"/>
      <c r="BC348" s="4"/>
      <c r="BD348" s="4"/>
      <c r="BE348" s="4"/>
      <c r="BF348" s="13"/>
      <c r="BG348" s="4"/>
      <c r="BH348" s="13"/>
      <c r="BI348" s="13"/>
      <c r="BJ348" s="4"/>
      <c r="BK348" s="14">
        <v>7</v>
      </c>
      <c r="BL348" s="14">
        <v>7</v>
      </c>
      <c r="BM348" s="14">
        <v>7</v>
      </c>
      <c r="BP348" s="15"/>
      <c r="BQ348" s="15"/>
      <c r="BR348" s="2" t="s">
        <v>740</v>
      </c>
      <c r="BS348" s="2" t="s">
        <v>740</v>
      </c>
      <c r="BT348" s="7" t="s">
        <v>463</v>
      </c>
      <c r="BU348" s="7"/>
      <c r="BV348" s="9" t="s">
        <v>463</v>
      </c>
      <c r="BW348" s="9"/>
    </row>
    <row r="349" spans="1:75" ht="14.25" customHeight="1" x14ac:dyDescent="0.25">
      <c r="A349" s="1">
        <v>823</v>
      </c>
      <c r="B349" s="1" t="s">
        <v>1787</v>
      </c>
      <c r="C349" s="1" t="s">
        <v>1788</v>
      </c>
      <c r="D349" s="1" t="s">
        <v>77</v>
      </c>
      <c r="E349" s="1" t="s">
        <v>1715</v>
      </c>
      <c r="F349" s="1" t="s">
        <v>1716</v>
      </c>
      <c r="G349" s="1"/>
      <c r="H349" s="2">
        <v>0</v>
      </c>
      <c r="I349" s="2">
        <v>0</v>
      </c>
      <c r="J349" s="2">
        <v>1</v>
      </c>
      <c r="K349" s="2">
        <v>1</v>
      </c>
      <c r="L349" s="3" t="s">
        <v>80</v>
      </c>
      <c r="O349" s="4">
        <v>3</v>
      </c>
      <c r="P349" s="4" t="s">
        <v>81</v>
      </c>
      <c r="Q349" s="4" t="s">
        <v>1789</v>
      </c>
      <c r="R349" s="5"/>
      <c r="S349" s="6"/>
      <c r="T349" s="17"/>
      <c r="U349" s="6"/>
      <c r="V349" s="4"/>
      <c r="W349" s="4"/>
      <c r="X349" s="4"/>
      <c r="Y349" s="7">
        <v>1</v>
      </c>
      <c r="Z349" s="8">
        <v>13171448</v>
      </c>
      <c r="AA349" s="7" t="s">
        <v>92</v>
      </c>
      <c r="AB349" s="7"/>
      <c r="AC349" s="9">
        <v>1</v>
      </c>
      <c r="AD349" s="10">
        <v>13171448</v>
      </c>
      <c r="AE349" s="9" t="s">
        <v>92</v>
      </c>
      <c r="AF349" s="9"/>
      <c r="AG349" s="11">
        <v>3</v>
      </c>
      <c r="AH349" s="11" t="s">
        <v>271</v>
      </c>
      <c r="AI349" s="11"/>
      <c r="AJ349" s="11"/>
      <c r="AK349" s="11"/>
      <c r="AL349" s="12">
        <v>3</v>
      </c>
      <c r="AM349" s="12" t="s">
        <v>537</v>
      </c>
      <c r="AN349" s="12" t="s">
        <v>1790</v>
      </c>
      <c r="AO349" s="12"/>
      <c r="AP349" s="12"/>
      <c r="AQ349" s="4">
        <v>4</v>
      </c>
      <c r="AR349" s="4" t="s">
        <v>83</v>
      </c>
      <c r="AS349" s="4" t="s">
        <v>1791</v>
      </c>
      <c r="AT349" s="13"/>
      <c r="AU349" s="13"/>
      <c r="AV349" s="13"/>
      <c r="AW349" s="13"/>
      <c r="AX349" s="4"/>
      <c r="AY349" s="13"/>
      <c r="AZ349" s="13"/>
      <c r="BA349" s="13"/>
      <c r="BB349" s="13"/>
      <c r="BC349" s="4"/>
      <c r="BD349" s="4"/>
      <c r="BE349" s="4"/>
      <c r="BF349" s="13"/>
      <c r="BG349" s="4"/>
      <c r="BH349" s="13"/>
      <c r="BI349" s="13"/>
      <c r="BJ349" s="4"/>
      <c r="BK349" s="14">
        <v>11</v>
      </c>
      <c r="BL349" s="14">
        <v>11</v>
      </c>
      <c r="BM349" s="14">
        <v>11</v>
      </c>
      <c r="BP349" s="15"/>
      <c r="BQ349" s="15"/>
      <c r="BR349" s="2" t="s">
        <v>97</v>
      </c>
      <c r="BS349" s="2" t="s">
        <v>97</v>
      </c>
      <c r="BT349" s="7" t="s">
        <v>240</v>
      </c>
      <c r="BU349" s="7" t="s">
        <v>98</v>
      </c>
      <c r="BV349" s="9" t="s">
        <v>240</v>
      </c>
      <c r="BW349" s="9" t="s">
        <v>98</v>
      </c>
    </row>
    <row r="350" spans="1:75" ht="14.25" customHeight="1" x14ac:dyDescent="0.25">
      <c r="A350" s="1">
        <v>824</v>
      </c>
      <c r="B350" s="1" t="s">
        <v>1792</v>
      </c>
      <c r="C350" s="1" t="s">
        <v>1793</v>
      </c>
      <c r="D350" s="1" t="s">
        <v>77</v>
      </c>
      <c r="E350" s="1" t="s">
        <v>1715</v>
      </c>
      <c r="F350" s="1" t="s">
        <v>1716</v>
      </c>
      <c r="G350" s="1"/>
      <c r="H350" s="2">
        <v>0</v>
      </c>
      <c r="I350" s="2">
        <v>0</v>
      </c>
      <c r="J350" s="2">
        <v>1</v>
      </c>
      <c r="K350" s="2">
        <v>1</v>
      </c>
      <c r="L350" s="3" t="s">
        <v>80</v>
      </c>
      <c r="O350" s="4">
        <v>5</v>
      </c>
      <c r="P350" s="4" t="s">
        <v>1757</v>
      </c>
      <c r="Q350" s="4" t="s">
        <v>1794</v>
      </c>
      <c r="R350" s="5"/>
      <c r="S350" s="6"/>
      <c r="T350" s="17"/>
      <c r="U350" s="6"/>
      <c r="V350" s="4"/>
      <c r="W350" s="4"/>
      <c r="X350" s="4"/>
      <c r="Y350" s="7">
        <v>3</v>
      </c>
      <c r="Z350" s="8">
        <v>452066</v>
      </c>
      <c r="AA350" s="7" t="s">
        <v>92</v>
      </c>
      <c r="AB350" s="7"/>
      <c r="AC350" s="9">
        <v>3</v>
      </c>
      <c r="AD350" s="10">
        <v>452066</v>
      </c>
      <c r="AE350" s="9" t="s">
        <v>92</v>
      </c>
      <c r="AF350" s="9"/>
      <c r="AG350" s="11">
        <v>4</v>
      </c>
      <c r="AH350" s="11" t="s">
        <v>271</v>
      </c>
      <c r="AI350" s="11" t="s">
        <v>1795</v>
      </c>
      <c r="AJ350" s="11"/>
      <c r="AK350" s="11"/>
      <c r="AL350" s="12">
        <v>4</v>
      </c>
      <c r="AM350" s="12" t="s">
        <v>271</v>
      </c>
      <c r="AN350" s="12" t="s">
        <v>1796</v>
      </c>
      <c r="AO350" s="12"/>
      <c r="AP350" s="12"/>
      <c r="AQ350" s="4">
        <v>5</v>
      </c>
      <c r="AR350" s="4" t="s">
        <v>83</v>
      </c>
      <c r="AS350" s="4" t="s">
        <v>1797</v>
      </c>
      <c r="AT350" s="13"/>
      <c r="AU350" s="13"/>
      <c r="AV350" s="13"/>
      <c r="AW350" s="13"/>
      <c r="AX350" s="4"/>
      <c r="AY350" s="13"/>
      <c r="AZ350" s="13"/>
      <c r="BA350" s="13"/>
      <c r="BB350" s="13"/>
      <c r="BC350" s="4"/>
      <c r="BD350" s="4"/>
      <c r="BE350" s="4"/>
      <c r="BF350" s="13"/>
      <c r="BG350" s="4"/>
      <c r="BH350" s="13"/>
      <c r="BI350" s="13"/>
      <c r="BJ350" s="4"/>
      <c r="BK350" s="14">
        <v>17</v>
      </c>
      <c r="BL350" s="14">
        <v>17</v>
      </c>
      <c r="BM350" s="14">
        <v>17</v>
      </c>
      <c r="BN350" s="3" t="s">
        <v>312</v>
      </c>
      <c r="BP350" s="15"/>
      <c r="BQ350" s="15"/>
      <c r="BR350" s="2" t="s">
        <v>97</v>
      </c>
      <c r="BS350" s="2" t="s">
        <v>97</v>
      </c>
      <c r="BT350" s="7" t="s">
        <v>88</v>
      </c>
      <c r="BU350" s="7" t="s">
        <v>437</v>
      </c>
      <c r="BV350" s="9" t="s">
        <v>88</v>
      </c>
      <c r="BW350" s="9" t="s">
        <v>437</v>
      </c>
    </row>
    <row r="351" spans="1:75" ht="14.25" customHeight="1" x14ac:dyDescent="0.25">
      <c r="A351" s="1">
        <v>825</v>
      </c>
      <c r="B351" s="1" t="s">
        <v>1798</v>
      </c>
      <c r="C351" s="1" t="s">
        <v>1799</v>
      </c>
      <c r="D351" s="1" t="s">
        <v>77</v>
      </c>
      <c r="E351" s="1" t="s">
        <v>1715</v>
      </c>
      <c r="F351" s="1" t="s">
        <v>1716</v>
      </c>
      <c r="G351" s="1" t="s">
        <v>118</v>
      </c>
      <c r="H351" s="2">
        <v>0</v>
      </c>
      <c r="I351" s="2">
        <v>0</v>
      </c>
      <c r="J351" s="2">
        <v>0</v>
      </c>
      <c r="K351" s="2">
        <v>1</v>
      </c>
      <c r="L351" s="3" t="s">
        <v>80</v>
      </c>
      <c r="O351" s="4">
        <v>5</v>
      </c>
      <c r="P351" s="4" t="s">
        <v>81</v>
      </c>
      <c r="Q351" s="4"/>
      <c r="R351" s="5"/>
      <c r="S351" s="6"/>
      <c r="T351" s="17"/>
      <c r="U351" s="6"/>
      <c r="V351" s="4"/>
      <c r="W351" s="4"/>
      <c r="X351" s="4"/>
      <c r="Y351" s="7">
        <v>4</v>
      </c>
      <c r="Z351" s="8">
        <v>113911</v>
      </c>
      <c r="AA351" s="7" t="s">
        <v>82</v>
      </c>
      <c r="AB351" s="7"/>
      <c r="AC351" s="9">
        <v>4</v>
      </c>
      <c r="AD351" s="10">
        <v>113911</v>
      </c>
      <c r="AE351" s="9" t="s">
        <v>82</v>
      </c>
      <c r="AF351" s="9"/>
      <c r="AG351" s="11">
        <v>4</v>
      </c>
      <c r="AH351" s="11" t="s">
        <v>83</v>
      </c>
      <c r="AI351" s="11" t="s">
        <v>1800</v>
      </c>
      <c r="AJ351" s="11"/>
      <c r="AK351" s="11"/>
      <c r="AL351" s="12">
        <v>4</v>
      </c>
      <c r="AM351" s="12" t="s">
        <v>83</v>
      </c>
      <c r="AN351" s="12"/>
      <c r="AO351" s="12"/>
      <c r="AP351" s="12"/>
      <c r="AQ351" s="4">
        <v>4</v>
      </c>
      <c r="AR351" s="4" t="s">
        <v>83</v>
      </c>
      <c r="AS351" s="4"/>
      <c r="AT351" s="13"/>
      <c r="AU351" s="13"/>
      <c r="AV351" s="13"/>
      <c r="AW351" s="13"/>
      <c r="AX351" s="4"/>
      <c r="AY351" s="13"/>
      <c r="AZ351" s="13"/>
      <c r="BA351" s="13"/>
      <c r="BB351" s="13"/>
      <c r="BC351" s="4"/>
      <c r="BD351" s="4"/>
      <c r="BE351" s="4"/>
      <c r="BF351" s="13"/>
      <c r="BG351" s="4"/>
      <c r="BH351" s="13"/>
      <c r="BI351" s="13"/>
      <c r="BJ351" s="4"/>
      <c r="BK351" s="14">
        <v>17</v>
      </c>
      <c r="BL351" s="14">
        <v>17</v>
      </c>
      <c r="BM351" s="14">
        <v>17</v>
      </c>
      <c r="BN351" s="3" t="s">
        <v>312</v>
      </c>
      <c r="BP351" s="15"/>
      <c r="BQ351" s="15"/>
      <c r="BR351" s="2" t="s">
        <v>87</v>
      </c>
      <c r="BS351" s="2" t="s">
        <v>87</v>
      </c>
      <c r="BT351" s="7" t="s">
        <v>88</v>
      </c>
      <c r="BU351" s="7"/>
      <c r="BV351" s="9" t="s">
        <v>88</v>
      </c>
      <c r="BW351" s="9"/>
    </row>
    <row r="352" spans="1:75" ht="14.25" customHeight="1" x14ac:dyDescent="0.25">
      <c r="A352" s="1">
        <v>826</v>
      </c>
      <c r="B352" s="1" t="s">
        <v>1801</v>
      </c>
      <c r="C352" s="1" t="s">
        <v>1802</v>
      </c>
      <c r="D352" s="1" t="s">
        <v>77</v>
      </c>
      <c r="E352" s="1" t="s">
        <v>1715</v>
      </c>
      <c r="F352" s="1" t="s">
        <v>1716</v>
      </c>
      <c r="G352" s="1" t="s">
        <v>1803</v>
      </c>
      <c r="H352" s="2">
        <v>0</v>
      </c>
      <c r="I352" s="2">
        <v>0</v>
      </c>
      <c r="J352" s="2">
        <v>1</v>
      </c>
      <c r="K352" s="2">
        <v>1</v>
      </c>
      <c r="L352" s="3" t="s">
        <v>80</v>
      </c>
      <c r="O352" s="4">
        <v>2</v>
      </c>
      <c r="P352" s="4" t="s">
        <v>81</v>
      </c>
      <c r="Q352" s="4" t="s">
        <v>1804</v>
      </c>
      <c r="R352" s="5"/>
      <c r="S352" s="6"/>
      <c r="T352" s="17"/>
      <c r="U352" s="6"/>
      <c r="V352" s="4"/>
      <c r="W352" s="4"/>
      <c r="X352" s="4"/>
      <c r="Y352" s="7">
        <v>1</v>
      </c>
      <c r="Z352" s="8">
        <v>15092328</v>
      </c>
      <c r="AA352" s="7" t="s">
        <v>92</v>
      </c>
      <c r="AB352" s="7"/>
      <c r="AC352" s="9">
        <v>1</v>
      </c>
      <c r="AD352" s="10">
        <v>15092328</v>
      </c>
      <c r="AE352" s="9" t="s">
        <v>92</v>
      </c>
      <c r="AF352" s="9"/>
      <c r="AG352" s="11">
        <v>2</v>
      </c>
      <c r="AH352" s="11" t="s">
        <v>537</v>
      </c>
      <c r="AI352" s="11" t="s">
        <v>1805</v>
      </c>
      <c r="AJ352" s="11"/>
      <c r="AK352" s="11"/>
      <c r="AL352" s="12">
        <v>2</v>
      </c>
      <c r="AM352" s="12" t="s">
        <v>537</v>
      </c>
      <c r="AN352" s="12" t="s">
        <v>1806</v>
      </c>
      <c r="AO352" s="12"/>
      <c r="AP352" s="12"/>
      <c r="AQ352" s="4">
        <v>1</v>
      </c>
      <c r="AR352" s="4" t="s">
        <v>83</v>
      </c>
      <c r="AS352" s="4"/>
      <c r="AT352" s="13"/>
      <c r="AU352" s="13"/>
      <c r="AV352" s="13"/>
      <c r="AW352" s="13"/>
      <c r="AX352" s="4"/>
      <c r="AY352" s="13"/>
      <c r="AZ352" s="13"/>
      <c r="BA352" s="13"/>
      <c r="BB352" s="13"/>
      <c r="BC352" s="4"/>
      <c r="BD352" s="4"/>
      <c r="BE352" s="4"/>
      <c r="BF352" s="13"/>
      <c r="BG352" s="4"/>
      <c r="BH352" s="13"/>
      <c r="BI352" s="13"/>
      <c r="BJ352" s="4"/>
      <c r="BK352" s="14">
        <v>6</v>
      </c>
      <c r="BL352" s="14">
        <v>6</v>
      </c>
      <c r="BM352" s="14">
        <v>6</v>
      </c>
      <c r="BP352" s="15" t="s">
        <v>135</v>
      </c>
      <c r="BQ352" s="15"/>
      <c r="BR352" s="2" t="s">
        <v>97</v>
      </c>
      <c r="BS352" s="2" t="s">
        <v>97</v>
      </c>
      <c r="BT352" s="7" t="s">
        <v>458</v>
      </c>
      <c r="BU352" s="7" t="s">
        <v>603</v>
      </c>
      <c r="BV352" s="9" t="s">
        <v>458</v>
      </c>
      <c r="BW352" s="9" t="s">
        <v>603</v>
      </c>
    </row>
    <row r="353" spans="1:75" ht="14.25" customHeight="1" x14ac:dyDescent="0.25">
      <c r="A353" s="1">
        <v>827</v>
      </c>
      <c r="B353" s="1" t="s">
        <v>1807</v>
      </c>
      <c r="C353" s="1" t="s">
        <v>1808</v>
      </c>
      <c r="D353" s="1" t="s">
        <v>77</v>
      </c>
      <c r="E353" s="1" t="s">
        <v>1715</v>
      </c>
      <c r="F353" s="1" t="s">
        <v>1716</v>
      </c>
      <c r="G353" s="1"/>
      <c r="H353" s="2">
        <v>0</v>
      </c>
      <c r="I353" s="2">
        <v>1</v>
      </c>
      <c r="J353" s="2">
        <v>1</v>
      </c>
      <c r="K353" s="2">
        <v>1</v>
      </c>
      <c r="L353" s="3" t="s">
        <v>80</v>
      </c>
      <c r="O353" s="4">
        <v>3</v>
      </c>
      <c r="P353" s="4" t="s">
        <v>470</v>
      </c>
      <c r="Q353" s="4"/>
      <c r="R353" s="16">
        <v>920000</v>
      </c>
      <c r="S353" s="6">
        <v>920000</v>
      </c>
      <c r="T353" s="16">
        <v>52000</v>
      </c>
      <c r="U353" s="6">
        <v>52000</v>
      </c>
      <c r="V353" s="4">
        <v>2010.5</v>
      </c>
      <c r="W353" s="4" t="s">
        <v>425</v>
      </c>
      <c r="X353" s="4"/>
      <c r="Y353" s="7">
        <v>1</v>
      </c>
      <c r="Z353" s="8">
        <v>5987801</v>
      </c>
      <c r="AA353" s="7" t="s">
        <v>92</v>
      </c>
      <c r="AB353" s="7"/>
      <c r="AC353" s="9">
        <v>1</v>
      </c>
      <c r="AD353" s="10">
        <v>5987801</v>
      </c>
      <c r="AE353" s="9" t="s">
        <v>92</v>
      </c>
      <c r="AF353" s="9"/>
      <c r="AG353" s="11">
        <v>3</v>
      </c>
      <c r="AH353" s="11" t="s">
        <v>131</v>
      </c>
      <c r="AI353" s="11" t="s">
        <v>1809</v>
      </c>
      <c r="AJ353" s="11">
        <v>2</v>
      </c>
      <c r="AK353" s="11" t="s">
        <v>143</v>
      </c>
      <c r="AL353" s="12">
        <v>3</v>
      </c>
      <c r="AM353" s="12" t="s">
        <v>131</v>
      </c>
      <c r="AN353" s="12" t="s">
        <v>1810</v>
      </c>
      <c r="AO353" s="12">
        <v>2</v>
      </c>
      <c r="AP353" s="12" t="s">
        <v>132</v>
      </c>
      <c r="AQ353" s="4">
        <v>4</v>
      </c>
      <c r="AR353" s="4" t="s">
        <v>93</v>
      </c>
      <c r="AS353" s="4"/>
      <c r="AT353" s="13"/>
      <c r="AU353" s="13"/>
      <c r="AV353" s="13"/>
      <c r="AW353" s="13"/>
      <c r="AX353" s="4"/>
      <c r="AY353" s="13"/>
      <c r="AZ353" s="13"/>
      <c r="BA353" s="13"/>
      <c r="BB353" s="13"/>
      <c r="BC353" s="4"/>
      <c r="BD353" s="4"/>
      <c r="BE353" s="4"/>
      <c r="BF353" s="13"/>
      <c r="BG353" s="4"/>
      <c r="BH353" s="13"/>
      <c r="BI353" s="13"/>
      <c r="BJ353" s="4"/>
      <c r="BK353" s="14">
        <v>11</v>
      </c>
      <c r="BL353" s="14">
        <v>11</v>
      </c>
      <c r="BM353" s="14">
        <v>11</v>
      </c>
      <c r="BP353" s="15" t="s">
        <v>135</v>
      </c>
      <c r="BQ353" s="15"/>
      <c r="BR353" s="2" t="s">
        <v>247</v>
      </c>
      <c r="BS353" s="2" t="s">
        <v>247</v>
      </c>
      <c r="BT353" s="7" t="s">
        <v>475</v>
      </c>
      <c r="BU353" s="7"/>
      <c r="BV353" s="9" t="s">
        <v>475</v>
      </c>
      <c r="BW353" s="9"/>
    </row>
    <row r="354" spans="1:75" ht="14.25" customHeight="1" x14ac:dyDescent="0.25">
      <c r="A354" s="1">
        <v>828</v>
      </c>
      <c r="B354" s="1" t="s">
        <v>1811</v>
      </c>
      <c r="C354" s="1" t="s">
        <v>1812</v>
      </c>
      <c r="D354" s="1" t="s">
        <v>77</v>
      </c>
      <c r="E354" s="1" t="s">
        <v>1715</v>
      </c>
      <c r="F354" s="1" t="s">
        <v>1716</v>
      </c>
      <c r="G354" s="1" t="s">
        <v>1803</v>
      </c>
      <c r="H354" s="2">
        <v>0</v>
      </c>
      <c r="I354" s="2">
        <v>1</v>
      </c>
      <c r="J354" s="2">
        <v>1</v>
      </c>
      <c r="K354" s="2">
        <v>1</v>
      </c>
      <c r="L354" s="3" t="s">
        <v>80</v>
      </c>
      <c r="O354" s="4">
        <v>3</v>
      </c>
      <c r="P354" s="4" t="s">
        <v>1813</v>
      </c>
      <c r="Q354" s="4" t="s">
        <v>1814</v>
      </c>
      <c r="R354" s="16">
        <v>2000000</v>
      </c>
      <c r="S354" s="6">
        <v>2000000</v>
      </c>
      <c r="T354" s="17" t="s">
        <v>707</v>
      </c>
      <c r="U354" s="6">
        <v>10000</v>
      </c>
      <c r="V354" s="4"/>
      <c r="W354" s="4" t="s">
        <v>543</v>
      </c>
      <c r="X354" s="4" t="s">
        <v>872</v>
      </c>
      <c r="Y354" s="7">
        <v>1</v>
      </c>
      <c r="Z354" s="8">
        <v>9492773</v>
      </c>
      <c r="AA354" s="7" t="s">
        <v>92</v>
      </c>
      <c r="AB354" s="7"/>
      <c r="AC354" s="9">
        <v>1</v>
      </c>
      <c r="AD354" s="10">
        <v>9492773</v>
      </c>
      <c r="AE354" s="9" t="s">
        <v>92</v>
      </c>
      <c r="AF354" s="9"/>
      <c r="AG354" s="11">
        <v>3</v>
      </c>
      <c r="AH354" s="11" t="s">
        <v>131</v>
      </c>
      <c r="AI354" s="11" t="s">
        <v>1815</v>
      </c>
      <c r="AJ354" s="11">
        <v>3</v>
      </c>
      <c r="AK354" s="11" t="s">
        <v>143</v>
      </c>
      <c r="AL354" s="12">
        <v>3</v>
      </c>
      <c r="AM354" s="12" t="s">
        <v>131</v>
      </c>
      <c r="AN354" s="12" t="s">
        <v>1816</v>
      </c>
      <c r="AO354" s="12">
        <v>2</v>
      </c>
      <c r="AP354" s="12" t="s">
        <v>132</v>
      </c>
      <c r="AQ354" s="4">
        <v>3</v>
      </c>
      <c r="AR354" s="4" t="s">
        <v>93</v>
      </c>
      <c r="AS354" s="4"/>
      <c r="AT354" s="13"/>
      <c r="AU354" s="13"/>
      <c r="AV354" s="13"/>
      <c r="AW354" s="13"/>
      <c r="AX354" s="4"/>
      <c r="AY354" s="13"/>
      <c r="AZ354" s="13"/>
      <c r="BA354" s="13"/>
      <c r="BB354" s="13"/>
      <c r="BC354" s="4"/>
      <c r="BD354" s="4"/>
      <c r="BE354" s="4"/>
      <c r="BF354" s="13"/>
      <c r="BG354" s="4"/>
      <c r="BH354" s="13"/>
      <c r="BI354" s="13"/>
      <c r="BJ354" s="4"/>
      <c r="BK354" s="14">
        <v>10</v>
      </c>
      <c r="BL354" s="14">
        <v>10</v>
      </c>
      <c r="BM354" s="14">
        <v>10</v>
      </c>
      <c r="BP354" s="15"/>
      <c r="BQ354" s="15" t="s">
        <v>146</v>
      </c>
      <c r="BR354" s="2" t="s">
        <v>247</v>
      </c>
      <c r="BS354" s="2" t="s">
        <v>247</v>
      </c>
      <c r="BT354" s="7" t="s">
        <v>109</v>
      </c>
      <c r="BU354" s="7" t="s">
        <v>463</v>
      </c>
      <c r="BV354" s="9" t="s">
        <v>109</v>
      </c>
      <c r="BW354" s="9" t="s">
        <v>463</v>
      </c>
    </row>
    <row r="355" spans="1:75" ht="14.25" customHeight="1" x14ac:dyDescent="0.25">
      <c r="A355" s="1">
        <v>835</v>
      </c>
      <c r="B355" s="1" t="s">
        <v>1817</v>
      </c>
      <c r="C355" s="1" t="s">
        <v>1818</v>
      </c>
      <c r="D355" s="1" t="s">
        <v>77</v>
      </c>
      <c r="E355" s="1" t="s">
        <v>1715</v>
      </c>
      <c r="F355" s="1" t="s">
        <v>1716</v>
      </c>
      <c r="G355" s="1"/>
      <c r="H355" s="2">
        <v>1</v>
      </c>
      <c r="I355" s="2">
        <v>1</v>
      </c>
      <c r="J355" s="2">
        <v>1</v>
      </c>
      <c r="K355" s="2">
        <v>1</v>
      </c>
      <c r="L355" s="3" t="s">
        <v>127</v>
      </c>
      <c r="O355" s="4">
        <v>3</v>
      </c>
      <c r="P355" s="4" t="s">
        <v>424</v>
      </c>
      <c r="Q355" s="4" t="s">
        <v>1819</v>
      </c>
      <c r="R355" s="16">
        <v>1900000</v>
      </c>
      <c r="S355" s="6">
        <v>1900000</v>
      </c>
      <c r="T355" s="16">
        <v>1800000</v>
      </c>
      <c r="U355" s="6">
        <v>1800000</v>
      </c>
      <c r="V355" s="4">
        <v>2010.5</v>
      </c>
      <c r="W355" s="4" t="s">
        <v>425</v>
      </c>
      <c r="X355" s="4"/>
      <c r="Y355" s="7">
        <v>1</v>
      </c>
      <c r="Z355" s="8">
        <v>4854521</v>
      </c>
      <c r="AA355" s="7" t="s">
        <v>92</v>
      </c>
      <c r="AB355" s="7"/>
      <c r="AC355" s="9">
        <v>1</v>
      </c>
      <c r="AD355" s="10">
        <v>6540874</v>
      </c>
      <c r="AE355" s="9" t="s">
        <v>92</v>
      </c>
      <c r="AF355" s="9"/>
      <c r="AG355" s="11">
        <v>3</v>
      </c>
      <c r="AH355" s="11" t="s">
        <v>131</v>
      </c>
      <c r="AI355" s="11" t="s">
        <v>1820</v>
      </c>
      <c r="AJ355" s="11">
        <v>2</v>
      </c>
      <c r="AK355" s="11" t="s">
        <v>132</v>
      </c>
      <c r="AL355" s="12">
        <v>3</v>
      </c>
      <c r="AM355" s="12" t="s">
        <v>131</v>
      </c>
      <c r="AN355" s="12" t="s">
        <v>1821</v>
      </c>
      <c r="AO355" s="12">
        <v>2</v>
      </c>
      <c r="AP355" s="12" t="s">
        <v>332</v>
      </c>
      <c r="AQ355" s="4">
        <v>1</v>
      </c>
      <c r="AR355" s="4" t="s">
        <v>133</v>
      </c>
      <c r="AS355" s="4"/>
      <c r="AT355" s="13">
        <v>55.306877136230497</v>
      </c>
      <c r="AU355" s="13">
        <v>0.86552393436431896</v>
      </c>
      <c r="AV355" s="13">
        <v>0.46529799699783297</v>
      </c>
      <c r="AW355" s="13">
        <v>1.4099999666214</v>
      </c>
      <c r="AX355" s="4">
        <v>1</v>
      </c>
      <c r="AY355" s="13">
        <v>21.356216430664102</v>
      </c>
      <c r="AZ355" s="13">
        <v>1.1451003551483201</v>
      </c>
      <c r="BA355" s="13">
        <v>0.37079998850822399</v>
      </c>
      <c r="BB355" s="13">
        <v>2.2699999809265101</v>
      </c>
      <c r="BC355" s="4">
        <v>1</v>
      </c>
      <c r="BD355" s="4">
        <v>17</v>
      </c>
      <c r="BE355" s="4" t="s">
        <v>134</v>
      </c>
      <c r="BF355" s="13">
        <v>0.94470202922821001</v>
      </c>
      <c r="BG355" s="4">
        <v>1630</v>
      </c>
      <c r="BH355" s="13">
        <v>0.119999997317791</v>
      </c>
      <c r="BI355" s="13">
        <v>195.669998168945</v>
      </c>
      <c r="BJ355" s="4"/>
      <c r="BK355" s="14">
        <v>8</v>
      </c>
      <c r="BL355" s="14">
        <v>8</v>
      </c>
      <c r="BM355" s="14">
        <v>8</v>
      </c>
      <c r="BP355" s="15"/>
      <c r="BQ355" s="15"/>
      <c r="BR355" s="2" t="s">
        <v>211</v>
      </c>
      <c r="BS355" s="2" t="s">
        <v>97</v>
      </c>
      <c r="BT355" s="7" t="s">
        <v>527</v>
      </c>
      <c r="BU355" s="7" t="s">
        <v>241</v>
      </c>
      <c r="BV355" s="9" t="s">
        <v>797</v>
      </c>
      <c r="BW355" s="9"/>
    </row>
    <row r="356" spans="1:75" ht="14.25" customHeight="1" x14ac:dyDescent="0.25">
      <c r="A356" s="1">
        <v>837</v>
      </c>
      <c r="B356" s="1" t="s">
        <v>1822</v>
      </c>
      <c r="C356" s="1" t="s">
        <v>1823</v>
      </c>
      <c r="D356" s="1" t="s">
        <v>77</v>
      </c>
      <c r="E356" s="1" t="s">
        <v>1715</v>
      </c>
      <c r="F356" s="1" t="s">
        <v>1716</v>
      </c>
      <c r="G356" s="1"/>
      <c r="H356" s="2">
        <v>0</v>
      </c>
      <c r="I356" s="2">
        <v>1</v>
      </c>
      <c r="J356" s="2">
        <v>1</v>
      </c>
      <c r="K356" s="2">
        <v>1</v>
      </c>
      <c r="L356" s="3" t="s">
        <v>80</v>
      </c>
      <c r="O356" s="4">
        <v>2</v>
      </c>
      <c r="P356" s="4" t="s">
        <v>81</v>
      </c>
      <c r="Q356" s="4" t="s">
        <v>1824</v>
      </c>
      <c r="R356" s="5"/>
      <c r="S356" s="6"/>
      <c r="T356" s="17" t="s">
        <v>682</v>
      </c>
      <c r="U356" s="6">
        <v>50</v>
      </c>
      <c r="V356" s="4"/>
      <c r="W356" s="4" t="s">
        <v>543</v>
      </c>
      <c r="X356" s="4" t="s">
        <v>872</v>
      </c>
      <c r="Y356" s="7">
        <v>1</v>
      </c>
      <c r="Z356" s="8">
        <v>14422131</v>
      </c>
      <c r="AA356" s="7" t="s">
        <v>92</v>
      </c>
      <c r="AB356" s="7"/>
      <c r="AC356" s="9">
        <v>1</v>
      </c>
      <c r="AD356" s="10">
        <v>14395761</v>
      </c>
      <c r="AE356" s="9" t="s">
        <v>92</v>
      </c>
      <c r="AF356" s="9"/>
      <c r="AG356" s="11">
        <v>3</v>
      </c>
      <c r="AH356" s="11" t="s">
        <v>131</v>
      </c>
      <c r="AI356" s="11" t="s">
        <v>1825</v>
      </c>
      <c r="AJ356" s="11">
        <v>2</v>
      </c>
      <c r="AK356" s="11" t="s">
        <v>132</v>
      </c>
      <c r="AL356" s="12">
        <v>3</v>
      </c>
      <c r="AM356" s="12" t="s">
        <v>131</v>
      </c>
      <c r="AN356" s="12" t="s">
        <v>1826</v>
      </c>
      <c r="AO356" s="12">
        <v>2</v>
      </c>
      <c r="AP356" s="12" t="s">
        <v>143</v>
      </c>
      <c r="AQ356" s="4">
        <v>3</v>
      </c>
      <c r="AR356" s="4" t="s">
        <v>93</v>
      </c>
      <c r="AS356" s="4"/>
      <c r="AT356" s="13"/>
      <c r="AU356" s="13"/>
      <c r="AV356" s="13"/>
      <c r="AW356" s="13"/>
      <c r="AX356" s="4"/>
      <c r="AY356" s="13"/>
      <c r="AZ356" s="13"/>
      <c r="BA356" s="13"/>
      <c r="BB356" s="13"/>
      <c r="BC356" s="4"/>
      <c r="BD356" s="4"/>
      <c r="BE356" s="4"/>
      <c r="BF356" s="13"/>
      <c r="BG356" s="4"/>
      <c r="BH356" s="13"/>
      <c r="BI356" s="13"/>
      <c r="BJ356" s="4"/>
      <c r="BK356" s="14">
        <v>9</v>
      </c>
      <c r="BL356" s="14">
        <v>9</v>
      </c>
      <c r="BM356" s="14">
        <v>9</v>
      </c>
      <c r="BP356" s="15"/>
      <c r="BQ356" s="15"/>
      <c r="BR356" s="2" t="s">
        <v>97</v>
      </c>
      <c r="BS356" s="2" t="s">
        <v>97</v>
      </c>
      <c r="BT356" s="7" t="s">
        <v>458</v>
      </c>
      <c r="BU356" s="7" t="s">
        <v>1827</v>
      </c>
      <c r="BV356" s="9" t="s">
        <v>458</v>
      </c>
      <c r="BW356" s="9" t="s">
        <v>1827</v>
      </c>
    </row>
    <row r="357" spans="1:75" ht="14.25" customHeight="1" x14ac:dyDescent="0.25">
      <c r="A357" s="1">
        <v>838</v>
      </c>
      <c r="B357" s="1" t="s">
        <v>1828</v>
      </c>
      <c r="C357" s="1" t="s">
        <v>1829</v>
      </c>
      <c r="D357" s="1" t="s">
        <v>77</v>
      </c>
      <c r="E357" s="1" t="s">
        <v>1715</v>
      </c>
      <c r="F357" s="1" t="s">
        <v>1716</v>
      </c>
      <c r="G357" s="1" t="s">
        <v>118</v>
      </c>
      <c r="H357" s="2">
        <v>1</v>
      </c>
      <c r="I357" s="2">
        <v>1</v>
      </c>
      <c r="J357" s="2">
        <v>1</v>
      </c>
      <c r="K357" s="2">
        <v>1</v>
      </c>
      <c r="L357" s="3" t="s">
        <v>127</v>
      </c>
      <c r="O357" s="4">
        <v>3</v>
      </c>
      <c r="P357" s="4" t="s">
        <v>424</v>
      </c>
      <c r="Q357" s="4"/>
      <c r="R357" s="16">
        <v>900000</v>
      </c>
      <c r="S357" s="6">
        <v>900000</v>
      </c>
      <c r="T357" s="16">
        <v>820000</v>
      </c>
      <c r="U357" s="6">
        <v>820000</v>
      </c>
      <c r="V357" s="4">
        <v>2010.5</v>
      </c>
      <c r="W357" s="4" t="s">
        <v>425</v>
      </c>
      <c r="X357" s="4"/>
      <c r="Y357" s="7">
        <v>1</v>
      </c>
      <c r="Z357" s="8">
        <v>5226232</v>
      </c>
      <c r="AA357" s="7" t="s">
        <v>580</v>
      </c>
      <c r="AB357" s="7" t="s">
        <v>1830</v>
      </c>
      <c r="AC357" s="9">
        <v>3</v>
      </c>
      <c r="AD357" s="10">
        <v>664576</v>
      </c>
      <c r="AE357" s="9" t="s">
        <v>92</v>
      </c>
      <c r="AF357" s="9"/>
      <c r="AG357" s="11">
        <v>3</v>
      </c>
      <c r="AH357" s="11" t="s">
        <v>131</v>
      </c>
      <c r="AI357" s="11"/>
      <c r="AJ357" s="11">
        <v>2</v>
      </c>
      <c r="AK357" s="11" t="s">
        <v>143</v>
      </c>
      <c r="AL357" s="12">
        <v>4</v>
      </c>
      <c r="AM357" s="12" t="s">
        <v>271</v>
      </c>
      <c r="AN357" s="12" t="s">
        <v>1831</v>
      </c>
      <c r="AO357" s="12"/>
      <c r="AP357" s="12"/>
      <c r="AQ357" s="4">
        <v>1</v>
      </c>
      <c r="AR357" s="4" t="s">
        <v>133</v>
      </c>
      <c r="AS357" s="4"/>
      <c r="AT357" s="13">
        <v>72.533317565917997</v>
      </c>
      <c r="AU357" s="13">
        <v>1.0775783061981199</v>
      </c>
      <c r="AV357" s="13">
        <v>0.68670499324798595</v>
      </c>
      <c r="AW357" s="13">
        <v>1.5599999427795399</v>
      </c>
      <c r="AX357" s="4">
        <v>1</v>
      </c>
      <c r="AY357" s="13">
        <v>54.337024688720703</v>
      </c>
      <c r="AZ357" s="13">
        <v>1.7534886598587001</v>
      </c>
      <c r="BA357" s="13">
        <v>1.2400000095367401</v>
      </c>
      <c r="BB357" s="13">
        <v>2.12049508094788</v>
      </c>
      <c r="BC357" s="4">
        <v>1</v>
      </c>
      <c r="BD357" s="4">
        <v>25</v>
      </c>
      <c r="BE357" s="4" t="s">
        <v>134</v>
      </c>
      <c r="BF357" s="13">
        <v>0.87329500913619995</v>
      </c>
      <c r="BG357" s="4">
        <v>1233.5</v>
      </c>
      <c r="BH357" s="13">
        <v>0.90149998664856001</v>
      </c>
      <c r="BI357" s="13">
        <v>1111.80395507813</v>
      </c>
      <c r="BJ357" s="4"/>
      <c r="BK357" s="14">
        <v>8</v>
      </c>
      <c r="BL357" s="14">
        <v>11</v>
      </c>
      <c r="BM357" s="14">
        <v>11</v>
      </c>
      <c r="BP357" s="15"/>
      <c r="BQ357" s="15" t="s">
        <v>146</v>
      </c>
      <c r="BR357" s="2" t="s">
        <v>256</v>
      </c>
      <c r="BS357" s="2" t="s">
        <v>1136</v>
      </c>
      <c r="BT357" s="7" t="s">
        <v>585</v>
      </c>
      <c r="BU357" s="7"/>
      <c r="BV357" s="9" t="s">
        <v>1137</v>
      </c>
      <c r="BW357" s="9"/>
    </row>
    <row r="358" spans="1:75" ht="14.25" customHeight="1" x14ac:dyDescent="0.25">
      <c r="A358" s="1">
        <v>839</v>
      </c>
      <c r="B358" s="1" t="s">
        <v>1832</v>
      </c>
      <c r="C358" s="1" t="s">
        <v>1833</v>
      </c>
      <c r="D358" s="1" t="s">
        <v>77</v>
      </c>
      <c r="E358" s="1" t="s">
        <v>1715</v>
      </c>
      <c r="F358" s="1" t="s">
        <v>1716</v>
      </c>
      <c r="G358" s="1" t="s">
        <v>118</v>
      </c>
      <c r="H358" s="2">
        <v>0</v>
      </c>
      <c r="I358" s="2">
        <v>1</v>
      </c>
      <c r="J358" s="2">
        <v>1</v>
      </c>
      <c r="K358" s="2">
        <v>1</v>
      </c>
      <c r="L358" s="3" t="s">
        <v>127</v>
      </c>
      <c r="O358" s="4">
        <v>3</v>
      </c>
      <c r="P358" s="4" t="s">
        <v>706</v>
      </c>
      <c r="Q358" s="4" t="s">
        <v>1834</v>
      </c>
      <c r="R358" s="16">
        <v>2000000</v>
      </c>
      <c r="S358" s="6">
        <v>2000000</v>
      </c>
      <c r="T358" s="17" t="s">
        <v>1835</v>
      </c>
      <c r="U358" s="6">
        <v>6200</v>
      </c>
      <c r="V358" s="4">
        <v>2010.5</v>
      </c>
      <c r="W358" s="4" t="s">
        <v>425</v>
      </c>
      <c r="X358" s="4"/>
      <c r="Y358" s="7">
        <v>1</v>
      </c>
      <c r="Z358" s="8">
        <v>5811544</v>
      </c>
      <c r="AA358" s="7" t="s">
        <v>92</v>
      </c>
      <c r="AB358" s="7"/>
      <c r="AC358" s="9">
        <v>1</v>
      </c>
      <c r="AD358" s="10">
        <v>5734622</v>
      </c>
      <c r="AE358" s="9" t="s">
        <v>92</v>
      </c>
      <c r="AF358" s="9"/>
      <c r="AG358" s="11">
        <v>3</v>
      </c>
      <c r="AH358" s="11" t="s">
        <v>131</v>
      </c>
      <c r="AI358" s="11" t="s">
        <v>1836</v>
      </c>
      <c r="AJ358" s="11">
        <v>2</v>
      </c>
      <c r="AK358" s="11" t="s">
        <v>143</v>
      </c>
      <c r="AL358" s="12">
        <v>3</v>
      </c>
      <c r="AM358" s="12" t="s">
        <v>131</v>
      </c>
      <c r="AN358" s="12" t="s">
        <v>1837</v>
      </c>
      <c r="AO358" s="12">
        <v>1</v>
      </c>
      <c r="AP358" s="12" t="s">
        <v>132</v>
      </c>
      <c r="AQ358" s="4">
        <v>3</v>
      </c>
      <c r="AR358" s="4" t="s">
        <v>93</v>
      </c>
      <c r="AS358" s="4"/>
      <c r="AT358" s="13"/>
      <c r="AU358" s="13"/>
      <c r="AV358" s="13"/>
      <c r="AW358" s="13"/>
      <c r="AX358" s="4"/>
      <c r="AY358" s="13"/>
      <c r="AZ358" s="13"/>
      <c r="BA358" s="13"/>
      <c r="BB358" s="13"/>
      <c r="BC358" s="4"/>
      <c r="BD358" s="4"/>
      <c r="BE358" s="4"/>
      <c r="BF358" s="13"/>
      <c r="BG358" s="4"/>
      <c r="BH358" s="13"/>
      <c r="BI358" s="13"/>
      <c r="BJ358" s="4"/>
      <c r="BK358" s="14">
        <v>10</v>
      </c>
      <c r="BL358" s="14">
        <v>10</v>
      </c>
      <c r="BM358" s="14">
        <v>10</v>
      </c>
      <c r="BP358" s="15"/>
      <c r="BQ358" s="15"/>
      <c r="BR358" s="2" t="s">
        <v>97</v>
      </c>
      <c r="BS358" s="2" t="s">
        <v>97</v>
      </c>
      <c r="BT358" s="7" t="s">
        <v>797</v>
      </c>
      <c r="BU358" s="7"/>
      <c r="BV358" s="9" t="s">
        <v>797</v>
      </c>
      <c r="BW358" s="9"/>
    </row>
    <row r="359" spans="1:75" ht="14.25" customHeight="1" x14ac:dyDescent="0.25">
      <c r="A359" s="1">
        <v>840</v>
      </c>
      <c r="B359" s="1" t="s">
        <v>1838</v>
      </c>
      <c r="C359" s="1" t="s">
        <v>1839</v>
      </c>
      <c r="D359" s="1" t="s">
        <v>77</v>
      </c>
      <c r="E359" s="1" t="s">
        <v>1715</v>
      </c>
      <c r="F359" s="1" t="s">
        <v>1716</v>
      </c>
      <c r="G359" s="1"/>
      <c r="H359" s="2">
        <v>1</v>
      </c>
      <c r="I359" s="2">
        <v>1</v>
      </c>
      <c r="J359" s="2">
        <v>1</v>
      </c>
      <c r="K359" s="2">
        <v>1</v>
      </c>
      <c r="L359" s="3" t="s">
        <v>127</v>
      </c>
      <c r="O359" s="4">
        <v>3</v>
      </c>
      <c r="P359" s="4" t="s">
        <v>1840</v>
      </c>
      <c r="Q359" s="4" t="s">
        <v>1841</v>
      </c>
      <c r="R359" s="16">
        <v>3100000</v>
      </c>
      <c r="S359" s="6">
        <v>3100000</v>
      </c>
      <c r="T359" s="16">
        <v>2800000</v>
      </c>
      <c r="U359" s="6">
        <v>2800000</v>
      </c>
      <c r="V359" s="4">
        <v>2010.5</v>
      </c>
      <c r="W359" s="4" t="s">
        <v>579</v>
      </c>
      <c r="X359" s="4"/>
      <c r="Y359" s="7">
        <v>1</v>
      </c>
      <c r="Z359" s="8">
        <v>15098308</v>
      </c>
      <c r="AA359" s="7" t="s">
        <v>92</v>
      </c>
      <c r="AB359" s="7"/>
      <c r="AC359" s="9">
        <v>1</v>
      </c>
      <c r="AD359" s="10">
        <v>8810052</v>
      </c>
      <c r="AE359" s="9" t="s">
        <v>92</v>
      </c>
      <c r="AF359" s="9"/>
      <c r="AG359" s="11">
        <v>2</v>
      </c>
      <c r="AH359" s="11" t="s">
        <v>131</v>
      </c>
      <c r="AI359" s="11" t="s">
        <v>1842</v>
      </c>
      <c r="AJ359" s="11">
        <v>2</v>
      </c>
      <c r="AK359" s="11" t="s">
        <v>132</v>
      </c>
      <c r="AL359" s="12">
        <v>2</v>
      </c>
      <c r="AM359" s="12" t="s">
        <v>131</v>
      </c>
      <c r="AN359" s="12" t="s">
        <v>1843</v>
      </c>
      <c r="AO359" s="12">
        <v>2</v>
      </c>
      <c r="AP359" s="12" t="s">
        <v>143</v>
      </c>
      <c r="AQ359" s="4">
        <v>1</v>
      </c>
      <c r="AR359" s="4" t="s">
        <v>133</v>
      </c>
      <c r="AS359" s="4"/>
      <c r="AT359" s="13">
        <v>127.302001953125</v>
      </c>
      <c r="AU359" s="13">
        <v>1.62649786472321</v>
      </c>
      <c r="AV359" s="13">
        <v>1.4435050487518299</v>
      </c>
      <c r="AW359" s="13">
        <v>1.9099999666214</v>
      </c>
      <c r="AX359" s="4">
        <v>1</v>
      </c>
      <c r="AY359" s="13">
        <v>19.035049438476602</v>
      </c>
      <c r="AZ359" s="13">
        <v>0.62379539012908902</v>
      </c>
      <c r="BA359" s="13">
        <v>0.40099999308586098</v>
      </c>
      <c r="BB359" s="13">
        <v>0.79500001668930098</v>
      </c>
      <c r="BC359" s="4">
        <v>1</v>
      </c>
      <c r="BD359" s="4">
        <v>28</v>
      </c>
      <c r="BE359" s="4" t="s">
        <v>134</v>
      </c>
      <c r="BF359" s="13">
        <v>0.46649500727653498</v>
      </c>
      <c r="BG359" s="4">
        <v>4467</v>
      </c>
      <c r="BH359" s="13">
        <v>0.98250001668930098</v>
      </c>
      <c r="BI359" s="13">
        <v>4387.21484375</v>
      </c>
      <c r="BJ359" s="4"/>
      <c r="BK359" s="14">
        <v>7</v>
      </c>
      <c r="BL359" s="14">
        <v>7</v>
      </c>
      <c r="BM359" s="14">
        <v>7</v>
      </c>
      <c r="BP359" s="15" t="s">
        <v>135</v>
      </c>
      <c r="BQ359" s="15" t="s">
        <v>136</v>
      </c>
      <c r="BR359" s="2" t="s">
        <v>172</v>
      </c>
      <c r="BS359" s="2" t="s">
        <v>247</v>
      </c>
      <c r="BT359" s="7" t="s">
        <v>458</v>
      </c>
      <c r="BU359" s="7"/>
      <c r="BV359" s="9" t="s">
        <v>458</v>
      </c>
      <c r="BW359" s="9" t="s">
        <v>603</v>
      </c>
    </row>
    <row r="360" spans="1:75" ht="14.25" customHeight="1" x14ac:dyDescent="0.25">
      <c r="A360" s="1">
        <v>841</v>
      </c>
      <c r="B360" s="1" t="s">
        <v>1844</v>
      </c>
      <c r="C360" s="1" t="s">
        <v>1845</v>
      </c>
      <c r="D360" s="1" t="s">
        <v>77</v>
      </c>
      <c r="E360" s="1" t="s">
        <v>1715</v>
      </c>
      <c r="F360" s="1" t="s">
        <v>1716</v>
      </c>
      <c r="G360" s="1"/>
      <c r="H360" s="2">
        <v>1</v>
      </c>
      <c r="I360" s="2">
        <v>1</v>
      </c>
      <c r="J360" s="2">
        <v>1</v>
      </c>
      <c r="K360" s="2">
        <v>0</v>
      </c>
      <c r="L360" s="3" t="s">
        <v>127</v>
      </c>
      <c r="O360" s="4">
        <v>3</v>
      </c>
      <c r="P360" s="4" t="s">
        <v>535</v>
      </c>
      <c r="Q360" s="4"/>
      <c r="R360" s="16">
        <v>590000</v>
      </c>
      <c r="S360" s="6">
        <v>590000</v>
      </c>
      <c r="T360" s="16">
        <v>300000</v>
      </c>
      <c r="U360" s="6">
        <v>300000</v>
      </c>
      <c r="V360" s="4">
        <v>2010.5</v>
      </c>
      <c r="W360" s="4" t="s">
        <v>536</v>
      </c>
      <c r="X360" s="4"/>
      <c r="Y360" s="7">
        <v>1</v>
      </c>
      <c r="Z360" s="8">
        <v>8284174</v>
      </c>
      <c r="AA360" s="7" t="s">
        <v>92</v>
      </c>
      <c r="AB360" s="7"/>
      <c r="AC360" s="9">
        <v>1</v>
      </c>
      <c r="AD360" s="10">
        <v>13958052</v>
      </c>
      <c r="AE360" s="9" t="s">
        <v>92</v>
      </c>
      <c r="AF360" s="9"/>
      <c r="AG360" s="11">
        <v>3</v>
      </c>
      <c r="AH360" s="11" t="s">
        <v>131</v>
      </c>
      <c r="AI360" s="11" t="s">
        <v>1846</v>
      </c>
      <c r="AJ360" s="11">
        <v>4</v>
      </c>
      <c r="AK360" s="11" t="s">
        <v>332</v>
      </c>
      <c r="AL360" s="12">
        <v>2</v>
      </c>
      <c r="AM360" s="12" t="s">
        <v>131</v>
      </c>
      <c r="AN360" s="12"/>
      <c r="AO360" s="12">
        <v>2</v>
      </c>
      <c r="AP360" s="12" t="s">
        <v>143</v>
      </c>
      <c r="AQ360" s="4">
        <v>2</v>
      </c>
      <c r="AR360" s="4" t="s">
        <v>222</v>
      </c>
      <c r="AS360" s="4"/>
      <c r="AT360" s="13">
        <v>-0.89065438508987405</v>
      </c>
      <c r="AU360" s="13">
        <v>-1.8256383016705499E-2</v>
      </c>
      <c r="AV360" s="13">
        <v>-0.21648441255092599</v>
      </c>
      <c r="AW360" s="13">
        <v>0.20000000298023199</v>
      </c>
      <c r="AX360" s="4"/>
      <c r="AY360" s="13">
        <v>25.279356002807599</v>
      </c>
      <c r="AZ360" s="13">
        <v>0.98471194505691495</v>
      </c>
      <c r="BA360" s="13">
        <v>0.5</v>
      </c>
      <c r="BB360" s="13">
        <v>1.57047963142395</v>
      </c>
      <c r="BC360" s="4">
        <v>1</v>
      </c>
      <c r="BD360" s="4">
        <v>23</v>
      </c>
      <c r="BE360" s="4"/>
      <c r="BF360" s="13">
        <v>0.416484415531158</v>
      </c>
      <c r="BG360" s="4"/>
      <c r="BH360" s="13"/>
      <c r="BI360" s="13"/>
      <c r="BJ360" s="4"/>
      <c r="BK360" s="14">
        <v>9</v>
      </c>
      <c r="BL360" s="14">
        <v>8</v>
      </c>
      <c r="BM360" s="14">
        <v>9</v>
      </c>
      <c r="BP360" s="15"/>
      <c r="BQ360" s="15" t="s">
        <v>136</v>
      </c>
      <c r="BR360" s="2" t="s">
        <v>161</v>
      </c>
      <c r="BS360" s="2" t="s">
        <v>172</v>
      </c>
      <c r="BT360" s="7" t="s">
        <v>174</v>
      </c>
      <c r="BU360" s="7"/>
      <c r="BV360" s="9" t="s">
        <v>458</v>
      </c>
      <c r="BW360" s="9"/>
    </row>
    <row r="361" spans="1:75" ht="14.25" customHeight="1" x14ac:dyDescent="0.25">
      <c r="A361" s="1">
        <v>842</v>
      </c>
      <c r="B361" s="1" t="s">
        <v>1847</v>
      </c>
      <c r="C361" s="1" t="s">
        <v>1848</v>
      </c>
      <c r="D361" s="1" t="s">
        <v>77</v>
      </c>
      <c r="E361" s="1" t="s">
        <v>1715</v>
      </c>
      <c r="F361" s="1" t="s">
        <v>1716</v>
      </c>
      <c r="G361" s="1" t="s">
        <v>118</v>
      </c>
      <c r="H361" s="2">
        <v>1</v>
      </c>
      <c r="I361" s="2">
        <v>1</v>
      </c>
      <c r="J361" s="2">
        <v>1</v>
      </c>
      <c r="K361" s="2">
        <v>0</v>
      </c>
      <c r="L361" s="3" t="s">
        <v>127</v>
      </c>
      <c r="O361" s="4">
        <v>4</v>
      </c>
      <c r="P361" s="4" t="s">
        <v>425</v>
      </c>
      <c r="Q361" s="4"/>
      <c r="R361" s="16">
        <v>110000</v>
      </c>
      <c r="S361" s="6">
        <v>110000</v>
      </c>
      <c r="T361" s="16">
        <v>110000</v>
      </c>
      <c r="U361" s="6">
        <v>110000</v>
      </c>
      <c r="V361" s="4">
        <v>2010.5</v>
      </c>
      <c r="W361" s="4" t="s">
        <v>425</v>
      </c>
      <c r="X361" s="4"/>
      <c r="Y361" s="7">
        <v>2</v>
      </c>
      <c r="Z361" s="8">
        <v>2435600</v>
      </c>
      <c r="AA361" s="7" t="s">
        <v>92</v>
      </c>
      <c r="AB361" s="7"/>
      <c r="AC361" s="9">
        <v>2</v>
      </c>
      <c r="AD361" s="10">
        <v>2859435</v>
      </c>
      <c r="AE361" s="9" t="s">
        <v>582</v>
      </c>
      <c r="AF361" s="9" t="s">
        <v>1849</v>
      </c>
      <c r="AG361" s="11">
        <v>3</v>
      </c>
      <c r="AH361" s="11" t="s">
        <v>454</v>
      </c>
      <c r="AI361" s="11" t="s">
        <v>1850</v>
      </c>
      <c r="AJ361" s="11">
        <v>3</v>
      </c>
      <c r="AK361" s="11" t="s">
        <v>332</v>
      </c>
      <c r="AL361" s="12">
        <v>3</v>
      </c>
      <c r="AM361" s="12" t="s">
        <v>131</v>
      </c>
      <c r="AN361" s="12" t="s">
        <v>1851</v>
      </c>
      <c r="AO361" s="12">
        <v>3</v>
      </c>
      <c r="AP361" s="12" t="s">
        <v>143</v>
      </c>
      <c r="AQ361" s="4">
        <v>1</v>
      </c>
      <c r="AR361" s="4" t="s">
        <v>133</v>
      </c>
      <c r="AS361" s="4"/>
      <c r="AT361" s="13">
        <v>84.327072143554702</v>
      </c>
      <c r="AU361" s="13">
        <v>1.2072327136993399</v>
      </c>
      <c r="AV361" s="13">
        <v>0.71500498056411699</v>
      </c>
      <c r="AW361" s="13">
        <v>1.9900000095367401</v>
      </c>
      <c r="AX361" s="4">
        <v>1</v>
      </c>
      <c r="AY361" s="13">
        <v>8.0465135574340803</v>
      </c>
      <c r="AZ361" s="13">
        <v>0.36938539147376998</v>
      </c>
      <c r="BA361" s="13">
        <v>-0.76300001144409202</v>
      </c>
      <c r="BB361" s="13">
        <v>1.24469995498657</v>
      </c>
      <c r="BC361" s="4"/>
      <c r="BD361" s="4">
        <v>21</v>
      </c>
      <c r="BE361" s="4" t="s">
        <v>134</v>
      </c>
      <c r="BF361" s="13">
        <v>1.2749949693679801</v>
      </c>
      <c r="BG361" s="4">
        <v>543</v>
      </c>
      <c r="BH361" s="13">
        <v>0.22249999642372101</v>
      </c>
      <c r="BI361" s="13">
        <v>120.817497253418</v>
      </c>
      <c r="BJ361" s="4"/>
      <c r="BK361" s="14">
        <v>10</v>
      </c>
      <c r="BL361" s="14">
        <v>10</v>
      </c>
      <c r="BM361" s="14">
        <v>10</v>
      </c>
      <c r="BP361" s="15"/>
      <c r="BQ361" s="15" t="s">
        <v>146</v>
      </c>
      <c r="BR361" s="2" t="s">
        <v>457</v>
      </c>
      <c r="BS361" s="2" t="s">
        <v>457</v>
      </c>
      <c r="BT361" s="7" t="s">
        <v>585</v>
      </c>
      <c r="BU361" s="7"/>
      <c r="BV361" s="9" t="s">
        <v>458</v>
      </c>
      <c r="BW361" s="9" t="s">
        <v>474</v>
      </c>
    </row>
    <row r="362" spans="1:75" ht="14.25" customHeight="1" x14ac:dyDescent="0.25">
      <c r="A362" s="1">
        <v>844</v>
      </c>
      <c r="B362" s="1" t="s">
        <v>1852</v>
      </c>
      <c r="C362" s="1" t="s">
        <v>1853</v>
      </c>
      <c r="D362" s="1" t="s">
        <v>77</v>
      </c>
      <c r="E362" s="1" t="s">
        <v>1854</v>
      </c>
      <c r="F362" s="1" t="s">
        <v>1855</v>
      </c>
      <c r="G362" s="1"/>
      <c r="H362" s="2">
        <v>1</v>
      </c>
      <c r="I362" s="2">
        <v>1</v>
      </c>
      <c r="J362" s="2">
        <v>1</v>
      </c>
      <c r="K362" s="2">
        <v>1</v>
      </c>
      <c r="L362" s="3" t="s">
        <v>80</v>
      </c>
      <c r="O362" s="4">
        <v>3</v>
      </c>
      <c r="P362" s="4" t="s">
        <v>1856</v>
      </c>
      <c r="Q362" s="4" t="s">
        <v>1857</v>
      </c>
      <c r="R362" s="16">
        <v>3600000</v>
      </c>
      <c r="S362" s="6">
        <v>3600000</v>
      </c>
      <c r="T362" s="16">
        <v>130000</v>
      </c>
      <c r="U362" s="6">
        <v>130000</v>
      </c>
      <c r="V362" s="4">
        <v>2010.5</v>
      </c>
      <c r="W362" s="4" t="s">
        <v>425</v>
      </c>
      <c r="X362" s="4"/>
      <c r="Y362" s="7">
        <v>1</v>
      </c>
      <c r="Z362" s="8">
        <v>87764707</v>
      </c>
      <c r="AA362" s="7" t="s">
        <v>92</v>
      </c>
      <c r="AB362" s="7"/>
      <c r="AC362" s="9">
        <v>1</v>
      </c>
      <c r="AD362" s="10">
        <v>87764707</v>
      </c>
      <c r="AE362" s="9" t="s">
        <v>92</v>
      </c>
      <c r="AF362" s="9"/>
      <c r="AG362" s="11">
        <v>3</v>
      </c>
      <c r="AH362" s="11" t="s">
        <v>454</v>
      </c>
      <c r="AI362" s="11" t="s">
        <v>1858</v>
      </c>
      <c r="AJ362" s="11">
        <v>2</v>
      </c>
      <c r="AK362" s="11" t="s">
        <v>132</v>
      </c>
      <c r="AL362" s="12">
        <v>3</v>
      </c>
      <c r="AM362" s="12" t="s">
        <v>131</v>
      </c>
      <c r="AN362" s="12" t="s">
        <v>1859</v>
      </c>
      <c r="AO362" s="12">
        <v>2</v>
      </c>
      <c r="AP362" s="12" t="s">
        <v>132</v>
      </c>
      <c r="AQ362" s="4">
        <v>1</v>
      </c>
      <c r="AR362" s="4" t="s">
        <v>133</v>
      </c>
      <c r="AS362" s="4"/>
      <c r="AT362" s="13">
        <v>176.17910766601599</v>
      </c>
      <c r="AU362" s="13">
        <v>2.0115399360656698</v>
      </c>
      <c r="AV362" s="13">
        <v>0.86199998855590798</v>
      </c>
      <c r="AW362" s="13">
        <v>3.1400001049041699</v>
      </c>
      <c r="AX362" s="4">
        <v>1</v>
      </c>
      <c r="AY362" s="13">
        <v>32.0308647155762</v>
      </c>
      <c r="AZ362" s="13">
        <v>1.6481351852417001</v>
      </c>
      <c r="BA362" s="13">
        <v>-2.3199999332428001</v>
      </c>
      <c r="BB362" s="13">
        <v>4.1085958480834996</v>
      </c>
      <c r="BC362" s="4"/>
      <c r="BD362" s="4">
        <v>17</v>
      </c>
      <c r="BE362" s="4" t="s">
        <v>134</v>
      </c>
      <c r="BF362" s="13">
        <v>2.2780001163482702</v>
      </c>
      <c r="BG362" s="4">
        <v>159.5</v>
      </c>
      <c r="BH362" s="13">
        <v>1.53000000864267E-2</v>
      </c>
      <c r="BI362" s="13">
        <v>2.4270999431610099</v>
      </c>
      <c r="BJ362" s="4"/>
      <c r="BK362" s="14">
        <v>8</v>
      </c>
      <c r="BL362" s="14">
        <v>8</v>
      </c>
      <c r="BM362" s="14">
        <v>8</v>
      </c>
      <c r="BP362" s="15" t="s">
        <v>135</v>
      </c>
      <c r="BQ362" s="15" t="s">
        <v>146</v>
      </c>
      <c r="BR362" s="2" t="s">
        <v>247</v>
      </c>
      <c r="BS362" s="2" t="s">
        <v>247</v>
      </c>
      <c r="BT362" s="7" t="s">
        <v>458</v>
      </c>
      <c r="BU362" s="7" t="s">
        <v>603</v>
      </c>
      <c r="BV362" s="9" t="s">
        <v>458</v>
      </c>
      <c r="BW362" s="9" t="s">
        <v>603</v>
      </c>
    </row>
    <row r="363" spans="1:75" ht="14.25" customHeight="1" x14ac:dyDescent="0.25">
      <c r="A363" s="1">
        <v>847</v>
      </c>
      <c r="B363" s="1" t="s">
        <v>1860</v>
      </c>
      <c r="C363" s="1" t="s">
        <v>1861</v>
      </c>
      <c r="D363" s="1" t="s">
        <v>77</v>
      </c>
      <c r="E363" s="1" t="s">
        <v>1854</v>
      </c>
      <c r="F363" s="1" t="s">
        <v>1862</v>
      </c>
      <c r="G363" s="1" t="s">
        <v>1863</v>
      </c>
      <c r="H363" s="2">
        <v>1</v>
      </c>
      <c r="I363" s="2">
        <v>1</v>
      </c>
      <c r="J363" s="2">
        <v>1</v>
      </c>
      <c r="K363" s="2">
        <v>1</v>
      </c>
      <c r="L363" s="3" t="s">
        <v>127</v>
      </c>
      <c r="O363" s="4">
        <v>5</v>
      </c>
      <c r="P363" s="4" t="s">
        <v>424</v>
      </c>
      <c r="Q363" s="4"/>
      <c r="R363" s="5">
        <v>12000</v>
      </c>
      <c r="S363" s="6">
        <v>12000</v>
      </c>
      <c r="T363" s="5">
        <v>11000</v>
      </c>
      <c r="U363" s="6">
        <v>11000</v>
      </c>
      <c r="V363" s="4">
        <v>2010.5</v>
      </c>
      <c r="W363" s="4" t="s">
        <v>425</v>
      </c>
      <c r="X363" s="4"/>
      <c r="Y363" s="7">
        <v>2</v>
      </c>
      <c r="Z363" s="8">
        <v>1041863</v>
      </c>
      <c r="AA363" s="7" t="s">
        <v>92</v>
      </c>
      <c r="AB363" s="7" t="s">
        <v>1864</v>
      </c>
      <c r="AC363" s="9">
        <v>4</v>
      </c>
      <c r="AD363" s="10">
        <v>233352</v>
      </c>
      <c r="AE363" s="9" t="s">
        <v>92</v>
      </c>
      <c r="AF363" s="9"/>
      <c r="AG363" s="11">
        <v>3</v>
      </c>
      <c r="AH363" s="11" t="s">
        <v>271</v>
      </c>
      <c r="AI363" s="11" t="s">
        <v>1865</v>
      </c>
      <c r="AJ363" s="11"/>
      <c r="AK363" s="11"/>
      <c r="AL363" s="12">
        <v>3</v>
      </c>
      <c r="AM363" s="12" t="s">
        <v>271</v>
      </c>
      <c r="AN363" s="12" t="s">
        <v>1866</v>
      </c>
      <c r="AO363" s="12"/>
      <c r="AP363" s="12"/>
      <c r="AQ363" s="4">
        <v>3</v>
      </c>
      <c r="AR363" s="4" t="s">
        <v>271</v>
      </c>
      <c r="AS363" s="4"/>
      <c r="AT363" s="13"/>
      <c r="AU363" s="13"/>
      <c r="AV363" s="13"/>
      <c r="AW363" s="13"/>
      <c r="AX363" s="4"/>
      <c r="AY363" s="13"/>
      <c r="AZ363" s="13"/>
      <c r="BA363" s="13"/>
      <c r="BB363" s="13"/>
      <c r="BC363" s="4"/>
      <c r="BD363" s="4"/>
      <c r="BE363" s="4"/>
      <c r="BF363" s="13"/>
      <c r="BG363" s="4"/>
      <c r="BH363" s="13"/>
      <c r="BI363" s="13"/>
      <c r="BJ363" s="4"/>
      <c r="BK363" s="14">
        <v>13</v>
      </c>
      <c r="BL363" s="14">
        <v>15</v>
      </c>
      <c r="BM363" s="14">
        <v>15</v>
      </c>
      <c r="BN363" s="3" t="s">
        <v>86</v>
      </c>
      <c r="BP363" s="15"/>
      <c r="BQ363" s="15"/>
      <c r="BR363" s="2" t="s">
        <v>555</v>
      </c>
      <c r="BS363" s="2" t="s">
        <v>409</v>
      </c>
      <c r="BT363" s="7" t="s">
        <v>428</v>
      </c>
      <c r="BU363" s="7" t="s">
        <v>438</v>
      </c>
      <c r="BV363" s="9" t="s">
        <v>438</v>
      </c>
      <c r="BW363" s="9"/>
    </row>
    <row r="364" spans="1:75" ht="14.25" customHeight="1" x14ac:dyDescent="0.25">
      <c r="A364" s="1">
        <v>849</v>
      </c>
      <c r="B364" s="1" t="s">
        <v>1867</v>
      </c>
      <c r="C364" s="1" t="s">
        <v>1868</v>
      </c>
      <c r="D364" s="1" t="s">
        <v>77</v>
      </c>
      <c r="E364" s="1" t="s">
        <v>1854</v>
      </c>
      <c r="F364" s="1" t="s">
        <v>1862</v>
      </c>
      <c r="G364" s="1"/>
      <c r="H364" s="2">
        <v>0</v>
      </c>
      <c r="I364" s="2">
        <v>1</v>
      </c>
      <c r="J364" s="2">
        <v>1</v>
      </c>
      <c r="K364" s="2">
        <v>1</v>
      </c>
      <c r="L364" s="3" t="s">
        <v>80</v>
      </c>
      <c r="O364" s="4">
        <v>4</v>
      </c>
      <c r="P364" s="4" t="s">
        <v>706</v>
      </c>
      <c r="Q364" s="4"/>
      <c r="R364" s="16">
        <v>200000</v>
      </c>
      <c r="S364" s="6">
        <v>200000</v>
      </c>
      <c r="T364" s="17" t="s">
        <v>1869</v>
      </c>
      <c r="U364" s="6">
        <v>500</v>
      </c>
      <c r="V364" s="4"/>
      <c r="W364" s="4" t="s">
        <v>543</v>
      </c>
      <c r="X364" s="4" t="s">
        <v>1870</v>
      </c>
      <c r="Y364" s="7">
        <v>3</v>
      </c>
      <c r="Z364" s="8">
        <v>662825</v>
      </c>
      <c r="AA364" s="7" t="s">
        <v>92</v>
      </c>
      <c r="AB364" s="7"/>
      <c r="AC364" s="9">
        <v>3</v>
      </c>
      <c r="AD364" s="10">
        <v>662825</v>
      </c>
      <c r="AE364" s="9" t="s">
        <v>92</v>
      </c>
      <c r="AF364" s="9"/>
      <c r="AG364" s="11">
        <v>3</v>
      </c>
      <c r="AH364" s="11" t="s">
        <v>131</v>
      </c>
      <c r="AI364" s="11" t="s">
        <v>1871</v>
      </c>
      <c r="AJ364" s="11">
        <v>2</v>
      </c>
      <c r="AK364" s="11" t="s">
        <v>143</v>
      </c>
      <c r="AL364" s="12">
        <v>4</v>
      </c>
      <c r="AM364" s="12" t="s">
        <v>131</v>
      </c>
      <c r="AN364" s="12" t="s">
        <v>1872</v>
      </c>
      <c r="AO364" s="12">
        <v>5</v>
      </c>
      <c r="AP364" s="12" t="s">
        <v>143</v>
      </c>
      <c r="AQ364" s="4">
        <v>4</v>
      </c>
      <c r="AR364" s="4" t="s">
        <v>673</v>
      </c>
      <c r="AS364" s="4" t="s">
        <v>1873</v>
      </c>
      <c r="AT364" s="13"/>
      <c r="AU364" s="13"/>
      <c r="AV364" s="13"/>
      <c r="AW364" s="13"/>
      <c r="AX364" s="4"/>
      <c r="AY364" s="13"/>
      <c r="AZ364" s="13"/>
      <c r="BA364" s="13"/>
      <c r="BB364" s="13"/>
      <c r="BC364" s="4"/>
      <c r="BD364" s="4"/>
      <c r="BE364" s="4"/>
      <c r="BF364" s="13"/>
      <c r="BG364" s="4"/>
      <c r="BH364" s="13"/>
      <c r="BI364" s="13"/>
      <c r="BJ364" s="4"/>
      <c r="BK364" s="14">
        <v>14</v>
      </c>
      <c r="BL364" s="14">
        <v>15</v>
      </c>
      <c r="BM364" s="14">
        <v>15</v>
      </c>
      <c r="BN364" s="3" t="s">
        <v>86</v>
      </c>
      <c r="BP364" s="15"/>
      <c r="BQ364" s="15"/>
      <c r="BR364" s="2" t="s">
        <v>409</v>
      </c>
      <c r="BS364" s="2" t="s">
        <v>409</v>
      </c>
      <c r="BT364" s="7" t="s">
        <v>438</v>
      </c>
      <c r="BU364" s="7"/>
      <c r="BV364" s="9" t="s">
        <v>438</v>
      </c>
      <c r="BW364" s="9"/>
    </row>
    <row r="365" spans="1:75" ht="14.25" customHeight="1" x14ac:dyDescent="0.25">
      <c r="A365" s="1">
        <v>855</v>
      </c>
      <c r="B365" s="1" t="s">
        <v>1874</v>
      </c>
      <c r="C365" s="1" t="s">
        <v>1875</v>
      </c>
      <c r="D365" s="1" t="s">
        <v>77</v>
      </c>
      <c r="E365" s="1" t="s">
        <v>1854</v>
      </c>
      <c r="F365" s="1" t="s">
        <v>1862</v>
      </c>
      <c r="G365" s="1"/>
      <c r="H365" s="2">
        <v>1</v>
      </c>
      <c r="I365" s="2">
        <v>1</v>
      </c>
      <c r="J365" s="2">
        <v>1</v>
      </c>
      <c r="K365" s="2">
        <v>0</v>
      </c>
      <c r="L365" s="3" t="s">
        <v>80</v>
      </c>
      <c r="O365" s="4">
        <v>3</v>
      </c>
      <c r="P365" s="4" t="s">
        <v>424</v>
      </c>
      <c r="Q365" s="4"/>
      <c r="R365" s="16">
        <v>560000</v>
      </c>
      <c r="S365" s="6">
        <v>560000</v>
      </c>
      <c r="T365" s="16">
        <v>500000</v>
      </c>
      <c r="U365" s="6">
        <v>500000</v>
      </c>
      <c r="V365" s="4">
        <v>2010.5</v>
      </c>
      <c r="W365" s="4" t="s">
        <v>425</v>
      </c>
      <c r="X365" s="4"/>
      <c r="Y365" s="7">
        <v>1</v>
      </c>
      <c r="Z365" s="8">
        <v>4927760</v>
      </c>
      <c r="AA365" s="7" t="s">
        <v>92</v>
      </c>
      <c r="AB365" s="7"/>
      <c r="AC365" s="9">
        <v>1</v>
      </c>
      <c r="AD365" s="10">
        <v>4927760</v>
      </c>
      <c r="AE365" s="9" t="s">
        <v>92</v>
      </c>
      <c r="AF365" s="9"/>
      <c r="AG365" s="11">
        <v>2</v>
      </c>
      <c r="AH365" s="11" t="s">
        <v>131</v>
      </c>
      <c r="AI365" s="11" t="s">
        <v>1876</v>
      </c>
      <c r="AJ365" s="11">
        <v>2</v>
      </c>
      <c r="AK365" s="11" t="s">
        <v>132</v>
      </c>
      <c r="AL365" s="12">
        <v>2</v>
      </c>
      <c r="AM365" s="12" t="s">
        <v>131</v>
      </c>
      <c r="AN365" s="12"/>
      <c r="AO365" s="12">
        <v>2</v>
      </c>
      <c r="AP365" s="12" t="s">
        <v>132</v>
      </c>
      <c r="AQ365" s="4">
        <v>3</v>
      </c>
      <c r="AR365" s="4" t="s">
        <v>133</v>
      </c>
      <c r="AS365" s="4"/>
      <c r="AT365" s="13">
        <v>-32.602630615234403</v>
      </c>
      <c r="AU365" s="13">
        <v>-0.77063864469528198</v>
      </c>
      <c r="AV365" s="13">
        <v>-1.29999995231628</v>
      </c>
      <c r="AW365" s="13">
        <v>-0.103000000119209</v>
      </c>
      <c r="AX365" s="4">
        <v>1</v>
      </c>
      <c r="AY365" s="13">
        <v>0.68933892250061002</v>
      </c>
      <c r="AZ365" s="13">
        <v>5.7040542364120497E-2</v>
      </c>
      <c r="BA365" s="13">
        <v>-1.4299999475479099</v>
      </c>
      <c r="BB365" s="13">
        <v>1.91999995708466</v>
      </c>
      <c r="BC365" s="4"/>
      <c r="BD365" s="4">
        <v>12</v>
      </c>
      <c r="BE365" s="4" t="s">
        <v>134</v>
      </c>
      <c r="BF365" s="13">
        <v>1.19700002670288</v>
      </c>
      <c r="BG365" s="4">
        <v>632</v>
      </c>
      <c r="BH365" s="13">
        <v>1.9850000739097599E-2</v>
      </c>
      <c r="BI365" s="13">
        <v>12.5453500747681</v>
      </c>
      <c r="BJ365" s="4"/>
      <c r="BK365" s="14">
        <v>9</v>
      </c>
      <c r="BL365" s="14">
        <v>9</v>
      </c>
      <c r="BM365" s="14">
        <v>9</v>
      </c>
      <c r="BP365" s="15" t="s">
        <v>135</v>
      </c>
      <c r="BQ365" s="15"/>
      <c r="BR365" s="2" t="s">
        <v>239</v>
      </c>
      <c r="BS365" s="2" t="s">
        <v>239</v>
      </c>
      <c r="BT365" s="7" t="s">
        <v>241</v>
      </c>
      <c r="BU365" s="7"/>
      <c r="BV365" s="9" t="s">
        <v>241</v>
      </c>
      <c r="BW365" s="9"/>
    </row>
    <row r="366" spans="1:75" ht="14.25" customHeight="1" x14ac:dyDescent="0.25">
      <c r="A366" s="1">
        <v>856</v>
      </c>
      <c r="B366" s="1" t="s">
        <v>1877</v>
      </c>
      <c r="C366" s="1" t="s">
        <v>1878</v>
      </c>
      <c r="D366" s="1" t="s">
        <v>77</v>
      </c>
      <c r="E366" s="1" t="s">
        <v>1854</v>
      </c>
      <c r="F366" s="1" t="s">
        <v>1862</v>
      </c>
      <c r="G366" s="1" t="s">
        <v>118</v>
      </c>
      <c r="H366" s="2">
        <v>0</v>
      </c>
      <c r="I366" s="2">
        <v>0</v>
      </c>
      <c r="J366" s="2">
        <v>1</v>
      </c>
      <c r="K366" s="2">
        <v>0</v>
      </c>
      <c r="L366" s="3" t="s">
        <v>80</v>
      </c>
      <c r="O366" s="4">
        <v>5</v>
      </c>
      <c r="P366" s="4" t="s">
        <v>112</v>
      </c>
      <c r="Q366" s="4"/>
      <c r="R366" s="5"/>
      <c r="S366" s="6"/>
      <c r="T366" s="17"/>
      <c r="U366" s="6"/>
      <c r="V366" s="4"/>
      <c r="W366" s="4"/>
      <c r="X366" s="4"/>
      <c r="Y366" s="7">
        <v>4</v>
      </c>
      <c r="Z366" s="8">
        <v>80442</v>
      </c>
      <c r="AA366" s="7" t="s">
        <v>92</v>
      </c>
      <c r="AB366" s="7"/>
      <c r="AC366" s="9">
        <v>4</v>
      </c>
      <c r="AD366" s="10">
        <v>80442</v>
      </c>
      <c r="AE366" s="9" t="s">
        <v>92</v>
      </c>
      <c r="AF366" s="9"/>
      <c r="AG366" s="11">
        <v>4</v>
      </c>
      <c r="AH366" s="11" t="s">
        <v>93</v>
      </c>
      <c r="AI366" s="11" t="s">
        <v>393</v>
      </c>
      <c r="AJ366" s="11"/>
      <c r="AK366" s="11"/>
      <c r="AL366" s="12">
        <v>3</v>
      </c>
      <c r="AM366" s="12" t="s">
        <v>93</v>
      </c>
      <c r="AN366" s="12" t="s">
        <v>1879</v>
      </c>
      <c r="AO366" s="12"/>
      <c r="AP366" s="12"/>
      <c r="AQ366" s="4">
        <v>4</v>
      </c>
      <c r="AR366" s="4" t="s">
        <v>93</v>
      </c>
      <c r="AS366" s="4"/>
      <c r="AT366" s="13"/>
      <c r="AU366" s="13"/>
      <c r="AV366" s="13"/>
      <c r="AW366" s="13"/>
      <c r="AX366" s="4"/>
      <c r="AY366" s="13"/>
      <c r="AZ366" s="13"/>
      <c r="BA366" s="13"/>
      <c r="BB366" s="13"/>
      <c r="BC366" s="4"/>
      <c r="BD366" s="4"/>
      <c r="BE366" s="4"/>
      <c r="BF366" s="13"/>
      <c r="BG366" s="4"/>
      <c r="BH366" s="13"/>
      <c r="BI366" s="13"/>
      <c r="BJ366" s="4"/>
      <c r="BK366" s="14">
        <v>17</v>
      </c>
      <c r="BL366" s="14">
        <v>16</v>
      </c>
      <c r="BM366" s="14">
        <v>17</v>
      </c>
      <c r="BN366" s="3" t="s">
        <v>312</v>
      </c>
      <c r="BP366" s="15"/>
      <c r="BQ366" s="15"/>
      <c r="BR366" s="2" t="s">
        <v>108</v>
      </c>
      <c r="BS366" s="2" t="s">
        <v>108</v>
      </c>
      <c r="BT366" s="7" t="s">
        <v>109</v>
      </c>
      <c r="BU366" s="7"/>
      <c r="BV366" s="9" t="s">
        <v>109</v>
      </c>
      <c r="BW366" s="9"/>
    </row>
    <row r="367" spans="1:75" ht="14.25" customHeight="1" x14ac:dyDescent="0.25">
      <c r="A367" s="1">
        <v>857</v>
      </c>
      <c r="B367" s="1" t="s">
        <v>1880</v>
      </c>
      <c r="C367" s="1" t="s">
        <v>1881</v>
      </c>
      <c r="D367" s="1" t="s">
        <v>77</v>
      </c>
      <c r="E367" s="1" t="s">
        <v>1854</v>
      </c>
      <c r="F367" s="1" t="s">
        <v>1862</v>
      </c>
      <c r="G367" s="1" t="s">
        <v>1882</v>
      </c>
      <c r="H367" s="2">
        <v>0</v>
      </c>
      <c r="I367" s="2">
        <v>0</v>
      </c>
      <c r="J367" s="2">
        <v>1</v>
      </c>
      <c r="K367" s="2">
        <v>1</v>
      </c>
      <c r="L367" s="3" t="s">
        <v>80</v>
      </c>
      <c r="O367" s="4">
        <v>4</v>
      </c>
      <c r="P367" s="4" t="s">
        <v>1883</v>
      </c>
      <c r="Q367" s="4" t="s">
        <v>1884</v>
      </c>
      <c r="R367" s="5"/>
      <c r="S367" s="6"/>
      <c r="T367" s="17"/>
      <c r="U367" s="6"/>
      <c r="V367" s="4"/>
      <c r="W367" s="4"/>
      <c r="X367" s="4"/>
      <c r="Y367" s="7">
        <v>3</v>
      </c>
      <c r="Z367" s="8">
        <v>690000</v>
      </c>
      <c r="AA367" s="7" t="s">
        <v>1885</v>
      </c>
      <c r="AB367" s="7" t="s">
        <v>1886</v>
      </c>
      <c r="AC367" s="9">
        <v>3</v>
      </c>
      <c r="AD367" s="10">
        <v>690000</v>
      </c>
      <c r="AE367" s="9" t="s">
        <v>1885</v>
      </c>
      <c r="AF367" s="9" t="s">
        <v>1886</v>
      </c>
      <c r="AG367" s="11">
        <v>3</v>
      </c>
      <c r="AH367" s="11" t="s">
        <v>93</v>
      </c>
      <c r="AI367" s="11"/>
      <c r="AJ367" s="11"/>
      <c r="AK367" s="11"/>
      <c r="AL367" s="12">
        <v>3</v>
      </c>
      <c r="AM367" s="12" t="s">
        <v>93</v>
      </c>
      <c r="AN367" s="12" t="s">
        <v>1879</v>
      </c>
      <c r="AO367" s="12"/>
      <c r="AP367" s="12"/>
      <c r="AQ367" s="4">
        <v>4</v>
      </c>
      <c r="AR367" s="4" t="s">
        <v>83</v>
      </c>
      <c r="AS367" s="4"/>
      <c r="AT367" s="13"/>
      <c r="AU367" s="13"/>
      <c r="AV367" s="13"/>
      <c r="AW367" s="13"/>
      <c r="AX367" s="4"/>
      <c r="AY367" s="13"/>
      <c r="AZ367" s="13"/>
      <c r="BA367" s="13"/>
      <c r="BB367" s="13"/>
      <c r="BC367" s="4"/>
      <c r="BD367" s="4"/>
      <c r="BE367" s="4"/>
      <c r="BF367" s="13"/>
      <c r="BG367" s="4"/>
      <c r="BH367" s="13"/>
      <c r="BI367" s="13"/>
      <c r="BJ367" s="4"/>
      <c r="BK367" s="14">
        <v>14</v>
      </c>
      <c r="BL367" s="14">
        <v>14</v>
      </c>
      <c r="BM367" s="14">
        <v>14</v>
      </c>
      <c r="BN367" s="3" t="s">
        <v>86</v>
      </c>
      <c r="BP367" s="15"/>
      <c r="BQ367" s="15"/>
      <c r="BR367" s="2" t="s">
        <v>400</v>
      </c>
      <c r="BS367" s="2" t="s">
        <v>400</v>
      </c>
      <c r="BT367" s="7" t="s">
        <v>98</v>
      </c>
      <c r="BU367" s="7"/>
      <c r="BV367" s="9" t="s">
        <v>98</v>
      </c>
      <c r="BW367" s="9"/>
    </row>
    <row r="368" spans="1:75" ht="14.25" customHeight="1" x14ac:dyDescent="0.25">
      <c r="A368" s="1">
        <v>858</v>
      </c>
      <c r="B368" s="1" t="s">
        <v>1887</v>
      </c>
      <c r="C368" s="1" t="s">
        <v>1888</v>
      </c>
      <c r="D368" s="1" t="s">
        <v>77</v>
      </c>
      <c r="E368" s="1" t="s">
        <v>1854</v>
      </c>
      <c r="F368" s="1" t="s">
        <v>1862</v>
      </c>
      <c r="G368" s="1" t="s">
        <v>1889</v>
      </c>
      <c r="H368" s="2">
        <v>0</v>
      </c>
      <c r="I368" s="2">
        <v>0</v>
      </c>
      <c r="J368" s="2">
        <v>0</v>
      </c>
      <c r="K368" s="2">
        <v>1</v>
      </c>
      <c r="L368" s="3" t="s">
        <v>80</v>
      </c>
      <c r="O368" s="4">
        <v>4</v>
      </c>
      <c r="P368" s="4" t="s">
        <v>1890</v>
      </c>
      <c r="Q368" s="4" t="s">
        <v>1891</v>
      </c>
      <c r="R368" s="5"/>
      <c r="S368" s="6"/>
      <c r="T368" s="17"/>
      <c r="U368" s="6"/>
      <c r="V368" s="4"/>
      <c r="W368" s="4"/>
      <c r="X368" s="4"/>
      <c r="Y368" s="7">
        <v>3</v>
      </c>
      <c r="Z368" s="8">
        <v>450000</v>
      </c>
      <c r="AA368" s="7" t="s">
        <v>1885</v>
      </c>
      <c r="AB368" s="7" t="s">
        <v>1892</v>
      </c>
      <c r="AC368" s="9">
        <v>3</v>
      </c>
      <c r="AD368" s="10">
        <v>450000</v>
      </c>
      <c r="AE368" s="9" t="s">
        <v>1885</v>
      </c>
      <c r="AF368" s="9" t="s">
        <v>1892</v>
      </c>
      <c r="AG368" s="11">
        <v>3</v>
      </c>
      <c r="AH368" s="11" t="s">
        <v>876</v>
      </c>
      <c r="AI368" s="11" t="s">
        <v>1893</v>
      </c>
      <c r="AJ368" s="11"/>
      <c r="AK368" s="11"/>
      <c r="AL368" s="12">
        <v>3</v>
      </c>
      <c r="AM368" s="12" t="s">
        <v>876</v>
      </c>
      <c r="AN368" s="12" t="s">
        <v>1893</v>
      </c>
      <c r="AO368" s="12"/>
      <c r="AP368" s="12"/>
      <c r="AQ368" s="4">
        <v>4</v>
      </c>
      <c r="AR368" s="4" t="s">
        <v>876</v>
      </c>
      <c r="AS368" s="4" t="s">
        <v>1894</v>
      </c>
      <c r="AT368" s="13"/>
      <c r="AU368" s="13"/>
      <c r="AV368" s="13"/>
      <c r="AW368" s="13"/>
      <c r="AX368" s="4"/>
      <c r="AY368" s="13"/>
      <c r="AZ368" s="13"/>
      <c r="BA368" s="13"/>
      <c r="BB368" s="13"/>
      <c r="BC368" s="4"/>
      <c r="BD368" s="4"/>
      <c r="BE368" s="4"/>
      <c r="BF368" s="13"/>
      <c r="BG368" s="4"/>
      <c r="BH368" s="13"/>
      <c r="BI368" s="13"/>
      <c r="BJ368" s="4"/>
      <c r="BK368" s="14">
        <v>14</v>
      </c>
      <c r="BL368" s="14">
        <v>14</v>
      </c>
      <c r="BM368" s="14">
        <v>14</v>
      </c>
      <c r="BN368" s="3" t="s">
        <v>86</v>
      </c>
      <c r="BP368" s="15"/>
      <c r="BQ368" s="15"/>
      <c r="BR368" s="2" t="s">
        <v>121</v>
      </c>
      <c r="BS368" s="2" t="s">
        <v>121</v>
      </c>
      <c r="BT368" s="7" t="s">
        <v>98</v>
      </c>
      <c r="BU368" s="7"/>
      <c r="BV368" s="9" t="s">
        <v>98</v>
      </c>
      <c r="BW368" s="9"/>
    </row>
    <row r="369" spans="1:75" ht="14.25" customHeight="1" x14ac:dyDescent="0.25">
      <c r="A369" s="1">
        <v>860</v>
      </c>
      <c r="B369" s="1" t="s">
        <v>1895</v>
      </c>
      <c r="C369" s="1" t="s">
        <v>1896</v>
      </c>
      <c r="D369" s="1" t="s">
        <v>77</v>
      </c>
      <c r="E369" s="1" t="s">
        <v>1854</v>
      </c>
      <c r="F369" s="1" t="s">
        <v>1862</v>
      </c>
      <c r="G369" s="1"/>
      <c r="H369" s="2">
        <v>0</v>
      </c>
      <c r="I369" s="2">
        <v>0</v>
      </c>
      <c r="J369" s="2">
        <v>1</v>
      </c>
      <c r="K369" s="2">
        <v>1</v>
      </c>
      <c r="L369" s="3" t="s">
        <v>80</v>
      </c>
      <c r="O369" s="4">
        <v>4</v>
      </c>
      <c r="P369" s="4" t="s">
        <v>112</v>
      </c>
      <c r="Q369" s="4"/>
      <c r="R369" s="5"/>
      <c r="S369" s="6"/>
      <c r="T369" s="17"/>
      <c r="U369" s="6"/>
      <c r="V369" s="4"/>
      <c r="W369" s="4"/>
      <c r="X369" s="4"/>
      <c r="Y369" s="7">
        <v>1</v>
      </c>
      <c r="Z369" s="8">
        <v>4953906</v>
      </c>
      <c r="AA369" s="7" t="s">
        <v>92</v>
      </c>
      <c r="AB369" s="7"/>
      <c r="AC369" s="9">
        <v>1</v>
      </c>
      <c r="AD369" s="10">
        <v>4953906</v>
      </c>
      <c r="AE369" s="9" t="s">
        <v>92</v>
      </c>
      <c r="AF369" s="9" t="s">
        <v>1897</v>
      </c>
      <c r="AG369" s="11">
        <v>3</v>
      </c>
      <c r="AH369" s="11" t="s">
        <v>93</v>
      </c>
      <c r="AI369" s="11"/>
      <c r="AJ369" s="11"/>
      <c r="AK369" s="11"/>
      <c r="AL369" s="12">
        <v>3</v>
      </c>
      <c r="AM369" s="12" t="s">
        <v>93</v>
      </c>
      <c r="AN369" s="12" t="s">
        <v>1898</v>
      </c>
      <c r="AO369" s="12"/>
      <c r="AP369" s="12"/>
      <c r="AQ369" s="4">
        <v>4</v>
      </c>
      <c r="AR369" s="4" t="s">
        <v>83</v>
      </c>
      <c r="AS369" s="4"/>
      <c r="AT369" s="13"/>
      <c r="AU369" s="13"/>
      <c r="AV369" s="13"/>
      <c r="AW369" s="13"/>
      <c r="AX369" s="4"/>
      <c r="AY369" s="13"/>
      <c r="AZ369" s="13"/>
      <c r="BA369" s="13"/>
      <c r="BB369" s="13"/>
      <c r="BC369" s="4"/>
      <c r="BD369" s="4"/>
      <c r="BE369" s="4"/>
      <c r="BF369" s="13"/>
      <c r="BG369" s="4"/>
      <c r="BH369" s="13"/>
      <c r="BI369" s="13"/>
      <c r="BJ369" s="4"/>
      <c r="BK369" s="14">
        <v>12</v>
      </c>
      <c r="BL369" s="14">
        <v>12</v>
      </c>
      <c r="BM369" s="14">
        <v>12</v>
      </c>
      <c r="BP369" s="15"/>
      <c r="BQ369" s="15"/>
      <c r="BR369" s="2" t="s">
        <v>97</v>
      </c>
      <c r="BS369" s="2" t="s">
        <v>97</v>
      </c>
      <c r="BT369" s="7" t="s">
        <v>98</v>
      </c>
      <c r="BU369" s="7"/>
      <c r="BV369" s="9" t="s">
        <v>98</v>
      </c>
      <c r="BW369" s="9"/>
    </row>
    <row r="370" spans="1:75" ht="14.25" customHeight="1" x14ac:dyDescent="0.25">
      <c r="A370" s="1">
        <v>861</v>
      </c>
      <c r="B370" s="1" t="s">
        <v>1899</v>
      </c>
      <c r="C370" s="1" t="s">
        <v>1900</v>
      </c>
      <c r="D370" s="1" t="s">
        <v>77</v>
      </c>
      <c r="E370" s="1" t="s">
        <v>1854</v>
      </c>
      <c r="F370" s="1" t="s">
        <v>1862</v>
      </c>
      <c r="G370" s="1"/>
      <c r="H370" s="2">
        <v>0</v>
      </c>
      <c r="I370" s="2">
        <v>0</v>
      </c>
      <c r="J370" s="2">
        <v>1</v>
      </c>
      <c r="K370" s="2">
        <v>1</v>
      </c>
      <c r="L370" s="3" t="s">
        <v>80</v>
      </c>
      <c r="O370" s="4">
        <v>3</v>
      </c>
      <c r="P370" s="4" t="s">
        <v>112</v>
      </c>
      <c r="Q370" s="4"/>
      <c r="R370" s="5"/>
      <c r="S370" s="6"/>
      <c r="T370" s="17"/>
      <c r="U370" s="6"/>
      <c r="V370" s="4"/>
      <c r="W370" s="4"/>
      <c r="X370" s="4"/>
      <c r="Y370" s="7">
        <v>1</v>
      </c>
      <c r="Z370" s="8">
        <v>12713949</v>
      </c>
      <c r="AA370" s="7" t="s">
        <v>92</v>
      </c>
      <c r="AB370" s="7"/>
      <c r="AC370" s="9">
        <v>1</v>
      </c>
      <c r="AD370" s="10">
        <v>12713949</v>
      </c>
      <c r="AE370" s="9" t="s">
        <v>92</v>
      </c>
      <c r="AF370" s="9"/>
      <c r="AG370" s="11">
        <v>4</v>
      </c>
      <c r="AH370" s="11" t="s">
        <v>93</v>
      </c>
      <c r="AI370" s="11" t="s">
        <v>1901</v>
      </c>
      <c r="AJ370" s="11"/>
      <c r="AK370" s="11"/>
      <c r="AL370" s="12">
        <v>4</v>
      </c>
      <c r="AM370" s="12" t="s">
        <v>93</v>
      </c>
      <c r="AN370" s="12" t="s">
        <v>1898</v>
      </c>
      <c r="AO370" s="12"/>
      <c r="AP370" s="12"/>
      <c r="AQ370" s="4">
        <v>4</v>
      </c>
      <c r="AR370" s="4" t="s">
        <v>83</v>
      </c>
      <c r="AS370" s="4" t="s">
        <v>1902</v>
      </c>
      <c r="AT370" s="13"/>
      <c r="AU370" s="13"/>
      <c r="AV370" s="13"/>
      <c r="AW370" s="13"/>
      <c r="AX370" s="4"/>
      <c r="AY370" s="13"/>
      <c r="AZ370" s="13"/>
      <c r="BA370" s="13"/>
      <c r="BB370" s="13"/>
      <c r="BC370" s="4"/>
      <c r="BD370" s="4"/>
      <c r="BE370" s="4"/>
      <c r="BF370" s="13"/>
      <c r="BG370" s="4"/>
      <c r="BH370" s="13"/>
      <c r="BI370" s="13"/>
      <c r="BJ370" s="4"/>
      <c r="BK370" s="14">
        <v>12</v>
      </c>
      <c r="BL370" s="14">
        <v>12</v>
      </c>
      <c r="BM370" s="14">
        <v>12</v>
      </c>
      <c r="BP370" s="15"/>
      <c r="BQ370" s="15"/>
      <c r="BR370" s="2" t="s">
        <v>97</v>
      </c>
      <c r="BS370" s="2" t="s">
        <v>97</v>
      </c>
      <c r="BT370" s="7" t="s">
        <v>98</v>
      </c>
      <c r="BU370" s="7"/>
      <c r="BV370" s="9" t="s">
        <v>98</v>
      </c>
      <c r="BW370" s="9"/>
    </row>
    <row r="371" spans="1:75" ht="14.25" customHeight="1" x14ac:dyDescent="0.25">
      <c r="A371" s="1">
        <v>862</v>
      </c>
      <c r="B371" s="1" t="s">
        <v>1903</v>
      </c>
      <c r="C371" s="1" t="s">
        <v>1904</v>
      </c>
      <c r="D371" s="1" t="s">
        <v>77</v>
      </c>
      <c r="E371" s="1" t="s">
        <v>1854</v>
      </c>
      <c r="F371" s="1" t="s">
        <v>1862</v>
      </c>
      <c r="G371" s="1"/>
      <c r="H371" s="2">
        <v>1</v>
      </c>
      <c r="I371" s="2">
        <v>1</v>
      </c>
      <c r="J371" s="2">
        <v>1</v>
      </c>
      <c r="K371" s="2">
        <v>1</v>
      </c>
      <c r="L371" s="3" t="s">
        <v>80</v>
      </c>
      <c r="O371" s="4">
        <v>2</v>
      </c>
      <c r="P371" s="4" t="s">
        <v>1905</v>
      </c>
      <c r="Q371" s="4"/>
      <c r="R371" s="16">
        <v>5700000</v>
      </c>
      <c r="S371" s="6">
        <v>5700000</v>
      </c>
      <c r="T371" s="16">
        <v>3800000</v>
      </c>
      <c r="U371" s="6">
        <v>3800000</v>
      </c>
      <c r="V371" s="4">
        <v>2010.5</v>
      </c>
      <c r="W371" s="4" t="s">
        <v>1906</v>
      </c>
      <c r="X371" s="4"/>
      <c r="Y371" s="7">
        <v>1</v>
      </c>
      <c r="Z371" s="8">
        <v>26145035</v>
      </c>
      <c r="AA371" s="7" t="s">
        <v>92</v>
      </c>
      <c r="AB371" s="7"/>
      <c r="AC371" s="9">
        <v>1</v>
      </c>
      <c r="AD371" s="10">
        <v>26145035</v>
      </c>
      <c r="AE371" s="9" t="s">
        <v>92</v>
      </c>
      <c r="AF371" s="9"/>
      <c r="AG371" s="11">
        <v>2</v>
      </c>
      <c r="AH371" s="11" t="s">
        <v>518</v>
      </c>
      <c r="AI371" s="11" t="s">
        <v>1907</v>
      </c>
      <c r="AJ371" s="11">
        <v>2</v>
      </c>
      <c r="AK371" s="11" t="s">
        <v>132</v>
      </c>
      <c r="AL371" s="12">
        <v>2</v>
      </c>
      <c r="AM371" s="12" t="s">
        <v>131</v>
      </c>
      <c r="AN371" s="12" t="s">
        <v>1908</v>
      </c>
      <c r="AO371" s="12">
        <v>2</v>
      </c>
      <c r="AP371" s="12" t="s">
        <v>132</v>
      </c>
      <c r="AQ371" s="4">
        <v>3</v>
      </c>
      <c r="AR371" s="4" t="s">
        <v>133</v>
      </c>
      <c r="AS371" s="4"/>
      <c r="AT371" s="13">
        <v>-10.249602317810099</v>
      </c>
      <c r="AU371" s="13">
        <v>-0.21186837553978</v>
      </c>
      <c r="AV371" s="13">
        <v>-0.54050099849700906</v>
      </c>
      <c r="AW371" s="13">
        <v>0.365000009536743</v>
      </c>
      <c r="AX371" s="4"/>
      <c r="AY371" s="13">
        <v>-1.1042681932449301</v>
      </c>
      <c r="AZ371" s="13">
        <v>-4.8080082982778501E-2</v>
      </c>
      <c r="BA371" s="13">
        <v>-0.92699998617172197</v>
      </c>
      <c r="BB371" s="13">
        <v>0.51009702682495095</v>
      </c>
      <c r="BC371" s="4"/>
      <c r="BD371" s="4">
        <v>23</v>
      </c>
      <c r="BE371" s="4" t="s">
        <v>134</v>
      </c>
      <c r="BF371" s="13">
        <v>0.905501008033752</v>
      </c>
      <c r="BG371" s="4">
        <v>2854</v>
      </c>
      <c r="BH371" s="13">
        <v>0.17550000548362699</v>
      </c>
      <c r="BI371" s="13">
        <v>500.79000854492199</v>
      </c>
      <c r="BJ371" s="4"/>
      <c r="BK371" s="14">
        <v>8</v>
      </c>
      <c r="BL371" s="14">
        <v>8</v>
      </c>
      <c r="BM371" s="14">
        <v>8</v>
      </c>
      <c r="BP371" s="15" t="s">
        <v>135</v>
      </c>
      <c r="BQ371" s="15"/>
      <c r="BR371" s="2" t="s">
        <v>247</v>
      </c>
      <c r="BS371" s="2" t="s">
        <v>247</v>
      </c>
      <c r="BT371" s="7" t="s">
        <v>458</v>
      </c>
      <c r="BU371" s="7"/>
      <c r="BV371" s="9" t="s">
        <v>458</v>
      </c>
      <c r="BW371" s="9"/>
    </row>
    <row r="372" spans="1:75" ht="14.25" customHeight="1" x14ac:dyDescent="0.25">
      <c r="A372" s="1">
        <v>863</v>
      </c>
      <c r="B372" s="1" t="s">
        <v>1909</v>
      </c>
      <c r="C372" s="1" t="s">
        <v>1910</v>
      </c>
      <c r="D372" s="1" t="s">
        <v>77</v>
      </c>
      <c r="E372" s="1" t="s">
        <v>1854</v>
      </c>
      <c r="F372" s="1" t="s">
        <v>1862</v>
      </c>
      <c r="G372" s="1" t="s">
        <v>118</v>
      </c>
      <c r="H372" s="2">
        <v>1</v>
      </c>
      <c r="I372" s="2">
        <v>1</v>
      </c>
      <c r="J372" s="2">
        <v>0</v>
      </c>
      <c r="K372" s="2">
        <v>0</v>
      </c>
      <c r="L372" s="3" t="s">
        <v>127</v>
      </c>
      <c r="O372" s="4">
        <v>5</v>
      </c>
      <c r="P372" s="4" t="s">
        <v>1911</v>
      </c>
      <c r="Q372" s="4" t="s">
        <v>1912</v>
      </c>
      <c r="R372" s="5" t="s">
        <v>1913</v>
      </c>
      <c r="S372" s="6">
        <v>29000</v>
      </c>
      <c r="T372" s="16">
        <v>15000</v>
      </c>
      <c r="U372" s="6">
        <v>15000</v>
      </c>
      <c r="V372" s="4"/>
      <c r="W372" s="4" t="s">
        <v>1914</v>
      </c>
      <c r="X372" s="4"/>
      <c r="Y372" s="7">
        <v>1</v>
      </c>
      <c r="Z372" s="8">
        <v>5915656</v>
      </c>
      <c r="AA372" s="7" t="s">
        <v>92</v>
      </c>
      <c r="AB372" s="7"/>
      <c r="AC372" s="9">
        <v>1</v>
      </c>
      <c r="AD372" s="10">
        <v>17599232</v>
      </c>
      <c r="AE372" s="9" t="s">
        <v>92</v>
      </c>
      <c r="AF372" s="9"/>
      <c r="AG372" s="11">
        <v>4</v>
      </c>
      <c r="AH372" s="11" t="s">
        <v>454</v>
      </c>
      <c r="AI372" s="11" t="s">
        <v>1915</v>
      </c>
      <c r="AJ372" s="11">
        <v>5</v>
      </c>
      <c r="AK372" s="11" t="s">
        <v>143</v>
      </c>
      <c r="AL372" s="12">
        <v>2</v>
      </c>
      <c r="AM372" s="12" t="s">
        <v>131</v>
      </c>
      <c r="AN372" s="12"/>
      <c r="AO372" s="12">
        <v>2</v>
      </c>
      <c r="AP372" s="12" t="s">
        <v>132</v>
      </c>
      <c r="AQ372" s="4">
        <v>3</v>
      </c>
      <c r="AR372" s="4" t="s">
        <v>222</v>
      </c>
      <c r="AS372" s="4"/>
      <c r="AT372" s="13">
        <v>-46.821762084960902</v>
      </c>
      <c r="AU372" s="13">
        <v>-1.2805485725402801</v>
      </c>
      <c r="AV372" s="13">
        <v>-1.9096873998642001</v>
      </c>
      <c r="AW372" s="13">
        <v>-0.60000002384185802</v>
      </c>
      <c r="AX372" s="4">
        <v>1</v>
      </c>
      <c r="AY372" s="13">
        <v>1.09474301338196</v>
      </c>
      <c r="AZ372" s="13">
        <v>4.3561249971389798E-2</v>
      </c>
      <c r="BA372" s="13">
        <v>-1</v>
      </c>
      <c r="BB372" s="13">
        <v>1.3472970724105799</v>
      </c>
      <c r="BC372" s="4"/>
      <c r="BD372" s="4">
        <v>25</v>
      </c>
      <c r="BE372" s="4"/>
      <c r="BF372" s="13">
        <v>1.30968737602234</v>
      </c>
      <c r="BG372" s="4"/>
      <c r="BH372" s="13"/>
      <c r="BI372" s="13"/>
      <c r="BJ372" s="4"/>
      <c r="BK372" s="14">
        <v>13</v>
      </c>
      <c r="BL372" s="14">
        <v>11</v>
      </c>
      <c r="BM372" s="14">
        <v>13</v>
      </c>
      <c r="BN372" s="3" t="s">
        <v>917</v>
      </c>
      <c r="BO372" s="3" t="s">
        <v>114</v>
      </c>
      <c r="BP372" s="15"/>
      <c r="BQ372" s="15" t="s">
        <v>136</v>
      </c>
      <c r="BR372" s="2" t="s">
        <v>161</v>
      </c>
      <c r="BS372" s="2" t="s">
        <v>172</v>
      </c>
      <c r="BT372" s="7" t="s">
        <v>174</v>
      </c>
      <c r="BU372" s="7"/>
      <c r="BV372" s="9" t="s">
        <v>458</v>
      </c>
      <c r="BW372" s="9"/>
    </row>
    <row r="373" spans="1:75" ht="14.25" customHeight="1" x14ac:dyDescent="0.25">
      <c r="A373" s="1">
        <v>864</v>
      </c>
      <c r="B373" s="1" t="s">
        <v>1916</v>
      </c>
      <c r="C373" s="1" t="s">
        <v>1917</v>
      </c>
      <c r="D373" s="1" t="s">
        <v>77</v>
      </c>
      <c r="E373" s="1" t="s">
        <v>1854</v>
      </c>
      <c r="F373" s="1" t="s">
        <v>1862</v>
      </c>
      <c r="G373" s="1"/>
      <c r="H373" s="2">
        <v>1</v>
      </c>
      <c r="I373" s="2">
        <v>1</v>
      </c>
      <c r="J373" s="2">
        <v>0</v>
      </c>
      <c r="K373" s="2">
        <v>0</v>
      </c>
      <c r="L373" s="3" t="s">
        <v>127</v>
      </c>
      <c r="O373" s="4">
        <v>4</v>
      </c>
      <c r="P373" s="4" t="s">
        <v>1918</v>
      </c>
      <c r="Q373" s="4"/>
      <c r="R373" s="5">
        <v>250000</v>
      </c>
      <c r="S373" s="6">
        <v>250000</v>
      </c>
      <c r="T373" s="5">
        <v>130000</v>
      </c>
      <c r="U373" s="6">
        <v>130000</v>
      </c>
      <c r="V373" s="4">
        <v>2010.5</v>
      </c>
      <c r="W373" s="4" t="s">
        <v>1919</v>
      </c>
      <c r="X373" s="4"/>
      <c r="Y373" s="7">
        <v>1</v>
      </c>
      <c r="Z373" s="8">
        <v>14212852</v>
      </c>
      <c r="AA373" s="7" t="s">
        <v>92</v>
      </c>
      <c r="AB373" s="7"/>
      <c r="AC373" s="9">
        <v>1</v>
      </c>
      <c r="AD373" s="10">
        <v>14212852</v>
      </c>
      <c r="AE373" s="9" t="s">
        <v>92</v>
      </c>
      <c r="AF373" s="9"/>
      <c r="AG373" s="11">
        <v>3</v>
      </c>
      <c r="AH373" s="11" t="s">
        <v>454</v>
      </c>
      <c r="AI373" s="11" t="s">
        <v>1920</v>
      </c>
      <c r="AJ373" s="11">
        <v>2</v>
      </c>
      <c r="AK373" s="11" t="s">
        <v>143</v>
      </c>
      <c r="AL373" s="12">
        <v>3</v>
      </c>
      <c r="AM373" s="12" t="s">
        <v>131</v>
      </c>
      <c r="AN373" s="12"/>
      <c r="AO373" s="12">
        <v>3</v>
      </c>
      <c r="AP373" s="12" t="s">
        <v>332</v>
      </c>
      <c r="AQ373" s="4">
        <v>2</v>
      </c>
      <c r="AR373" s="4" t="s">
        <v>1921</v>
      </c>
      <c r="AS373" s="4" t="s">
        <v>1922</v>
      </c>
      <c r="AT373" s="13">
        <v>42.5</v>
      </c>
      <c r="AU373" s="13"/>
      <c r="AV373" s="13"/>
      <c r="AW373" s="13"/>
      <c r="AX373" s="4"/>
      <c r="AY373" s="13">
        <v>-19.600000381469702</v>
      </c>
      <c r="AZ373" s="13"/>
      <c r="BA373" s="13"/>
      <c r="BB373" s="13"/>
      <c r="BC373" s="4"/>
      <c r="BD373" s="4">
        <v>9</v>
      </c>
      <c r="BE373" s="4"/>
      <c r="BF373" s="13"/>
      <c r="BG373" s="4"/>
      <c r="BH373" s="13"/>
      <c r="BI373" s="13"/>
      <c r="BJ373" s="4"/>
      <c r="BK373" s="14">
        <v>10</v>
      </c>
      <c r="BL373" s="14">
        <v>10</v>
      </c>
      <c r="BM373" s="14">
        <v>10</v>
      </c>
      <c r="BP373" s="15"/>
      <c r="BQ373" s="15"/>
      <c r="BR373" s="2" t="s">
        <v>211</v>
      </c>
      <c r="BS373" s="2" t="s">
        <v>211</v>
      </c>
      <c r="BT373" s="7" t="s">
        <v>527</v>
      </c>
      <c r="BU373" s="7"/>
      <c r="BV373" s="9" t="s">
        <v>527</v>
      </c>
      <c r="BW373" s="9"/>
    </row>
    <row r="374" spans="1:75" ht="14.25" customHeight="1" x14ac:dyDescent="0.25">
      <c r="A374" s="1">
        <v>865</v>
      </c>
      <c r="B374" s="1" t="s">
        <v>1923</v>
      </c>
      <c r="C374" s="1" t="s">
        <v>1924</v>
      </c>
      <c r="D374" s="1" t="s">
        <v>77</v>
      </c>
      <c r="E374" s="1" t="s">
        <v>1854</v>
      </c>
      <c r="F374" s="1" t="s">
        <v>1862</v>
      </c>
      <c r="G374" s="1"/>
      <c r="H374" s="2">
        <v>1</v>
      </c>
      <c r="I374" s="2">
        <v>1</v>
      </c>
      <c r="J374" s="2">
        <v>1</v>
      </c>
      <c r="K374" s="2">
        <v>1</v>
      </c>
      <c r="L374" s="3" t="s">
        <v>80</v>
      </c>
      <c r="O374" s="4">
        <v>4</v>
      </c>
      <c r="P374" s="4" t="s">
        <v>424</v>
      </c>
      <c r="Q374" s="4"/>
      <c r="R374" s="16">
        <v>180000</v>
      </c>
      <c r="S374" s="6">
        <v>180000</v>
      </c>
      <c r="T374" s="16">
        <v>130000</v>
      </c>
      <c r="U374" s="6">
        <v>130000</v>
      </c>
      <c r="V374" s="4">
        <v>2010.5</v>
      </c>
      <c r="W374" s="4" t="s">
        <v>425</v>
      </c>
      <c r="X374" s="4"/>
      <c r="Y374" s="7">
        <v>2</v>
      </c>
      <c r="Z374" s="8">
        <v>2760861</v>
      </c>
      <c r="AA374" s="7" t="s">
        <v>92</v>
      </c>
      <c r="AB374" s="7"/>
      <c r="AC374" s="9">
        <v>2</v>
      </c>
      <c r="AD374" s="10">
        <v>2760861</v>
      </c>
      <c r="AE374" s="9" t="s">
        <v>92</v>
      </c>
      <c r="AF374" s="9"/>
      <c r="AG374" s="11">
        <v>3</v>
      </c>
      <c r="AH374" s="11" t="s">
        <v>131</v>
      </c>
      <c r="AI374" s="11" t="s">
        <v>1925</v>
      </c>
      <c r="AJ374" s="11">
        <v>3</v>
      </c>
      <c r="AK374" s="11" t="s">
        <v>332</v>
      </c>
      <c r="AL374" s="12">
        <v>3</v>
      </c>
      <c r="AM374" s="12" t="s">
        <v>131</v>
      </c>
      <c r="AN374" s="12" t="s">
        <v>1926</v>
      </c>
      <c r="AO374" s="12">
        <v>4</v>
      </c>
      <c r="AP374" s="12" t="s">
        <v>332</v>
      </c>
      <c r="AQ374" s="4">
        <v>2</v>
      </c>
      <c r="AR374" s="4" t="s">
        <v>133</v>
      </c>
      <c r="AS374" s="4"/>
      <c r="AT374" s="13">
        <v>9.9300003051757795</v>
      </c>
      <c r="AU374" s="13">
        <v>0.18000000715255701</v>
      </c>
      <c r="AV374" s="13">
        <v>-0.44200000166893</v>
      </c>
      <c r="AW374" s="13">
        <v>0.97000002861022905</v>
      </c>
      <c r="AX374" s="4"/>
      <c r="AY374" s="13">
        <v>-0.56000000238418601</v>
      </c>
      <c r="AZ374" s="13">
        <v>-5.9999998658895499E-2</v>
      </c>
      <c r="BA374" s="13">
        <v>-1.75</v>
      </c>
      <c r="BB374" s="13">
        <v>1.58000004291534</v>
      </c>
      <c r="BC374" s="4"/>
      <c r="BD374" s="4">
        <v>10</v>
      </c>
      <c r="BE374" s="4" t="s">
        <v>134</v>
      </c>
      <c r="BF374" s="13">
        <v>1.4119999408721899</v>
      </c>
      <c r="BG374" s="4">
        <v>259</v>
      </c>
      <c r="BH374" s="13">
        <v>2.6650000363588298E-2</v>
      </c>
      <c r="BI374" s="13">
        <v>6.9023499488830602</v>
      </c>
      <c r="BJ374" s="4"/>
      <c r="BK374" s="14">
        <v>11</v>
      </c>
      <c r="BL374" s="14">
        <v>11</v>
      </c>
      <c r="BM374" s="14">
        <v>11</v>
      </c>
      <c r="BP374" s="15"/>
      <c r="BQ374" s="15"/>
      <c r="BR374" s="2" t="s">
        <v>256</v>
      </c>
      <c r="BS374" s="2" t="s">
        <v>256</v>
      </c>
      <c r="BT374" s="7" t="s">
        <v>428</v>
      </c>
      <c r="BU374" s="7" t="s">
        <v>438</v>
      </c>
      <c r="BV374" s="9" t="s">
        <v>428</v>
      </c>
      <c r="BW374" s="9" t="s">
        <v>438</v>
      </c>
    </row>
    <row r="375" spans="1:75" ht="14.25" customHeight="1" x14ac:dyDescent="0.25">
      <c r="A375" s="1">
        <v>866</v>
      </c>
      <c r="B375" s="1" t="s">
        <v>1927</v>
      </c>
      <c r="C375" s="1" t="s">
        <v>1928</v>
      </c>
      <c r="D375" s="1" t="s">
        <v>77</v>
      </c>
      <c r="E375" s="1" t="s">
        <v>1854</v>
      </c>
      <c r="F375" s="1" t="s">
        <v>1862</v>
      </c>
      <c r="G375" s="1" t="s">
        <v>118</v>
      </c>
      <c r="H375" s="2">
        <v>0</v>
      </c>
      <c r="I375" s="2">
        <v>0</v>
      </c>
      <c r="J375" s="2">
        <v>0</v>
      </c>
      <c r="K375" s="2">
        <v>1</v>
      </c>
      <c r="L375" s="3" t="s">
        <v>80</v>
      </c>
      <c r="O375" s="4">
        <v>5</v>
      </c>
      <c r="P375" s="4" t="s">
        <v>81</v>
      </c>
      <c r="Q375" s="4"/>
      <c r="R375" s="5"/>
      <c r="S375" s="6"/>
      <c r="T375" s="17"/>
      <c r="U375" s="6"/>
      <c r="V375" s="4"/>
      <c r="W375" s="4"/>
      <c r="X375" s="4"/>
      <c r="Y375" s="7">
        <v>5</v>
      </c>
      <c r="Z375" s="8">
        <v>10664</v>
      </c>
      <c r="AA375" s="7" t="s">
        <v>82</v>
      </c>
      <c r="AB375" s="7"/>
      <c r="AC375" s="9">
        <v>5</v>
      </c>
      <c r="AD375" s="10">
        <v>10664</v>
      </c>
      <c r="AE375" s="9" t="s">
        <v>82</v>
      </c>
      <c r="AF375" s="9"/>
      <c r="AG375" s="11">
        <v>4</v>
      </c>
      <c r="AH375" s="11" t="s">
        <v>83</v>
      </c>
      <c r="AI375" s="11" t="s">
        <v>1929</v>
      </c>
      <c r="AJ375" s="11"/>
      <c r="AK375" s="11"/>
      <c r="AL375" s="12">
        <v>3</v>
      </c>
      <c r="AM375" s="12" t="s">
        <v>83</v>
      </c>
      <c r="AN375" s="12"/>
      <c r="AO375" s="12"/>
      <c r="AP375" s="12"/>
      <c r="AQ375" s="4">
        <v>3</v>
      </c>
      <c r="AR375" s="4" t="s">
        <v>83</v>
      </c>
      <c r="AS375" s="4"/>
      <c r="AT375" s="13"/>
      <c r="AU375" s="13"/>
      <c r="AV375" s="13"/>
      <c r="AW375" s="13"/>
      <c r="AX375" s="4"/>
      <c r="AY375" s="13"/>
      <c r="AZ375" s="13"/>
      <c r="BA375" s="13"/>
      <c r="BB375" s="13"/>
      <c r="BC375" s="4"/>
      <c r="BD375" s="4"/>
      <c r="BE375" s="4"/>
      <c r="BF375" s="13"/>
      <c r="BG375" s="4"/>
      <c r="BH375" s="13"/>
      <c r="BI375" s="13"/>
      <c r="BJ375" s="4"/>
      <c r="BK375" s="14">
        <v>17</v>
      </c>
      <c r="BL375" s="14">
        <v>16</v>
      </c>
      <c r="BM375" s="14">
        <v>17</v>
      </c>
      <c r="BN375" s="3" t="s">
        <v>312</v>
      </c>
      <c r="BP375" s="15"/>
      <c r="BQ375" s="15"/>
      <c r="BR375" s="2" t="s">
        <v>87</v>
      </c>
      <c r="BS375" s="2" t="s">
        <v>87</v>
      </c>
      <c r="BT375" s="7" t="s">
        <v>88</v>
      </c>
      <c r="BU375" s="7"/>
      <c r="BV375" s="9" t="s">
        <v>88</v>
      </c>
      <c r="BW375" s="9"/>
    </row>
    <row r="376" spans="1:75" ht="14.25" customHeight="1" x14ac:dyDescent="0.25">
      <c r="A376" s="1">
        <v>867</v>
      </c>
      <c r="B376" s="1" t="s">
        <v>1930</v>
      </c>
      <c r="C376" s="1" t="s">
        <v>1931</v>
      </c>
      <c r="D376" s="1" t="s">
        <v>77</v>
      </c>
      <c r="E376" s="1" t="s">
        <v>1854</v>
      </c>
      <c r="F376" s="1" t="s">
        <v>1862</v>
      </c>
      <c r="G376" s="1"/>
      <c r="H376" s="2">
        <v>0</v>
      </c>
      <c r="I376" s="2">
        <v>0</v>
      </c>
      <c r="J376" s="2">
        <v>1</v>
      </c>
      <c r="K376" s="2">
        <v>1</v>
      </c>
      <c r="L376" s="3" t="s">
        <v>80</v>
      </c>
      <c r="O376" s="4">
        <v>4</v>
      </c>
      <c r="P376" s="4" t="s">
        <v>81</v>
      </c>
      <c r="Q376" s="4" t="s">
        <v>1012</v>
      </c>
      <c r="R376" s="5"/>
      <c r="S376" s="6"/>
      <c r="T376" s="17"/>
      <c r="U376" s="6"/>
      <c r="V376" s="4"/>
      <c r="W376" s="4"/>
      <c r="X376" s="4"/>
      <c r="Y376" s="7">
        <v>4</v>
      </c>
      <c r="Z376" s="8">
        <v>270978</v>
      </c>
      <c r="AA376" s="7" t="s">
        <v>92</v>
      </c>
      <c r="AB376" s="7"/>
      <c r="AC376" s="9">
        <v>4</v>
      </c>
      <c r="AD376" s="10">
        <v>270978</v>
      </c>
      <c r="AE376" s="9" t="s">
        <v>92</v>
      </c>
      <c r="AF376" s="9"/>
      <c r="AG376" s="11">
        <v>4</v>
      </c>
      <c r="AH376" s="11" t="s">
        <v>93</v>
      </c>
      <c r="AI376" s="11"/>
      <c r="AJ376" s="11"/>
      <c r="AK376" s="11"/>
      <c r="AL376" s="12">
        <v>4</v>
      </c>
      <c r="AM376" s="12" t="s">
        <v>93</v>
      </c>
      <c r="AN376" s="12" t="s">
        <v>1932</v>
      </c>
      <c r="AO376" s="12"/>
      <c r="AP376" s="12"/>
      <c r="AQ376" s="4">
        <v>4</v>
      </c>
      <c r="AR376" s="4" t="s">
        <v>83</v>
      </c>
      <c r="AS376" s="4"/>
      <c r="AT376" s="13"/>
      <c r="AU376" s="13"/>
      <c r="AV376" s="13"/>
      <c r="AW376" s="13"/>
      <c r="AX376" s="4"/>
      <c r="AY376" s="13"/>
      <c r="AZ376" s="13"/>
      <c r="BA376" s="13"/>
      <c r="BB376" s="13"/>
      <c r="BC376" s="4"/>
      <c r="BD376" s="4"/>
      <c r="BE376" s="4"/>
      <c r="BF376" s="13"/>
      <c r="BG376" s="4"/>
      <c r="BH376" s="13"/>
      <c r="BI376" s="13"/>
      <c r="BJ376" s="4"/>
      <c r="BK376" s="14">
        <v>16</v>
      </c>
      <c r="BL376" s="14">
        <v>16</v>
      </c>
      <c r="BM376" s="14">
        <v>16</v>
      </c>
      <c r="BN376" s="3" t="s">
        <v>86</v>
      </c>
      <c r="BP376" s="15"/>
      <c r="BQ376" s="15"/>
      <c r="BR376" s="2" t="s">
        <v>115</v>
      </c>
      <c r="BS376" s="2" t="s">
        <v>115</v>
      </c>
      <c r="BT376" s="7" t="s">
        <v>98</v>
      </c>
      <c r="BU376" s="7"/>
      <c r="BV376" s="9" t="s">
        <v>98</v>
      </c>
      <c r="BW376" s="9"/>
    </row>
    <row r="377" spans="1:75" ht="14.25" customHeight="1" x14ac:dyDescent="0.25">
      <c r="A377" s="1">
        <v>868</v>
      </c>
      <c r="B377" s="1" t="s">
        <v>1933</v>
      </c>
      <c r="C377" s="1" t="s">
        <v>1934</v>
      </c>
      <c r="D377" s="1" t="s">
        <v>77</v>
      </c>
      <c r="E377" s="1" t="s">
        <v>1854</v>
      </c>
      <c r="F377" s="1" t="s">
        <v>1862</v>
      </c>
      <c r="G377" s="1" t="s">
        <v>118</v>
      </c>
      <c r="H377" s="2">
        <v>0</v>
      </c>
      <c r="I377" s="2">
        <v>0</v>
      </c>
      <c r="J377" s="2">
        <v>1</v>
      </c>
      <c r="K377" s="2">
        <v>0</v>
      </c>
      <c r="L377" s="3" t="s">
        <v>80</v>
      </c>
      <c r="O377" s="4">
        <v>5</v>
      </c>
      <c r="P377" s="4" t="s">
        <v>112</v>
      </c>
      <c r="Q377" s="4"/>
      <c r="R377" s="5"/>
      <c r="S377" s="6"/>
      <c r="T377" s="17"/>
      <c r="U377" s="6"/>
      <c r="V377" s="4"/>
      <c r="W377" s="4"/>
      <c r="X377" s="4"/>
      <c r="Y377" s="7">
        <v>5</v>
      </c>
      <c r="Z377" s="8">
        <v>27239</v>
      </c>
      <c r="AA377" s="7" t="s">
        <v>92</v>
      </c>
      <c r="AB377" s="7"/>
      <c r="AC377" s="9">
        <v>5</v>
      </c>
      <c r="AD377" s="10">
        <v>27239</v>
      </c>
      <c r="AE377" s="9" t="s">
        <v>92</v>
      </c>
      <c r="AF377" s="9"/>
      <c r="AG377" s="11">
        <v>4</v>
      </c>
      <c r="AH377" s="11" t="s">
        <v>93</v>
      </c>
      <c r="AI377" s="11"/>
      <c r="AJ377" s="11"/>
      <c r="AK377" s="11"/>
      <c r="AL377" s="12">
        <v>4</v>
      </c>
      <c r="AM377" s="12" t="s">
        <v>93</v>
      </c>
      <c r="AN377" s="12" t="s">
        <v>923</v>
      </c>
      <c r="AO377" s="12"/>
      <c r="AP377" s="12"/>
      <c r="AQ377" s="4">
        <v>4</v>
      </c>
      <c r="AR377" s="4" t="s">
        <v>93</v>
      </c>
      <c r="AS377" s="4"/>
      <c r="AT377" s="13"/>
      <c r="AU377" s="13"/>
      <c r="AV377" s="13"/>
      <c r="AW377" s="13"/>
      <c r="AX377" s="4"/>
      <c r="AY377" s="13"/>
      <c r="AZ377" s="13"/>
      <c r="BA377" s="13"/>
      <c r="BB377" s="13"/>
      <c r="BC377" s="4"/>
      <c r="BD377" s="4"/>
      <c r="BE377" s="4"/>
      <c r="BF377" s="13"/>
      <c r="BG377" s="4"/>
      <c r="BH377" s="13"/>
      <c r="BI377" s="13"/>
      <c r="BJ377" s="4"/>
      <c r="BK377" s="14">
        <v>18</v>
      </c>
      <c r="BL377" s="14">
        <v>18</v>
      </c>
      <c r="BM377" s="14">
        <v>18</v>
      </c>
      <c r="BN377" s="3" t="s">
        <v>312</v>
      </c>
      <c r="BO377" s="3" t="s">
        <v>120</v>
      </c>
      <c r="BP377" s="15"/>
      <c r="BQ377" s="15"/>
      <c r="BR377" s="2" t="s">
        <v>409</v>
      </c>
      <c r="BS377" s="2" t="s">
        <v>409</v>
      </c>
      <c r="BT377" s="7" t="s">
        <v>88</v>
      </c>
      <c r="BU377" s="7"/>
      <c r="BV377" s="9" t="s">
        <v>88</v>
      </c>
      <c r="BW377" s="9"/>
    </row>
    <row r="378" spans="1:75" ht="14.25" customHeight="1" x14ac:dyDescent="0.25">
      <c r="A378" s="1">
        <v>869</v>
      </c>
      <c r="B378" s="1" t="s">
        <v>1935</v>
      </c>
      <c r="C378" s="1" t="s">
        <v>1936</v>
      </c>
      <c r="D378" s="1" t="s">
        <v>77</v>
      </c>
      <c r="E378" s="1" t="s">
        <v>1854</v>
      </c>
      <c r="F378" s="1" t="s">
        <v>1862</v>
      </c>
      <c r="G378" s="1"/>
      <c r="H378" s="2">
        <v>0</v>
      </c>
      <c r="I378" s="2">
        <v>0</v>
      </c>
      <c r="J378" s="2">
        <v>1</v>
      </c>
      <c r="K378" s="2">
        <v>0</v>
      </c>
      <c r="L378" s="3" t="s">
        <v>80</v>
      </c>
      <c r="O378" s="4">
        <v>5</v>
      </c>
      <c r="P378" s="4" t="s">
        <v>112</v>
      </c>
      <c r="Q378" s="4"/>
      <c r="R378" s="5"/>
      <c r="S378" s="6"/>
      <c r="T378" s="17"/>
      <c r="U378" s="6"/>
      <c r="V378" s="4"/>
      <c r="W378" s="4"/>
      <c r="X378" s="4"/>
      <c r="Y378" s="7">
        <v>4</v>
      </c>
      <c r="Z378" s="8">
        <v>227056</v>
      </c>
      <c r="AA378" s="7" t="s">
        <v>92</v>
      </c>
      <c r="AB378" s="7"/>
      <c r="AC378" s="9">
        <v>4</v>
      </c>
      <c r="AD378" s="10">
        <v>227056</v>
      </c>
      <c r="AE378" s="9" t="s">
        <v>92</v>
      </c>
      <c r="AF378" s="9"/>
      <c r="AG378" s="11">
        <v>3</v>
      </c>
      <c r="AH378" s="11" t="s">
        <v>93</v>
      </c>
      <c r="AI378" s="11"/>
      <c r="AJ378" s="11"/>
      <c r="AK378" s="11"/>
      <c r="AL378" s="12">
        <v>3</v>
      </c>
      <c r="AM378" s="12" t="s">
        <v>93</v>
      </c>
      <c r="AN378" s="12" t="s">
        <v>1879</v>
      </c>
      <c r="AO378" s="12"/>
      <c r="AP378" s="12"/>
      <c r="AQ378" s="4">
        <v>4</v>
      </c>
      <c r="AR378" s="4" t="s">
        <v>93</v>
      </c>
      <c r="AS378" s="4"/>
      <c r="AT378" s="13"/>
      <c r="AU378" s="13"/>
      <c r="AV378" s="13"/>
      <c r="AW378" s="13"/>
      <c r="AX378" s="4"/>
      <c r="AY378" s="13"/>
      <c r="AZ378" s="13"/>
      <c r="BA378" s="13"/>
      <c r="BB378" s="13"/>
      <c r="BC378" s="4"/>
      <c r="BD378" s="4"/>
      <c r="BE378" s="4"/>
      <c r="BF378" s="13"/>
      <c r="BG378" s="4"/>
      <c r="BH378" s="13"/>
      <c r="BI378" s="13"/>
      <c r="BJ378" s="4"/>
      <c r="BK378" s="14">
        <v>16</v>
      </c>
      <c r="BL378" s="14">
        <v>16</v>
      </c>
      <c r="BM378" s="14">
        <v>16</v>
      </c>
      <c r="BN378" s="3" t="s">
        <v>86</v>
      </c>
      <c r="BP378" s="15"/>
      <c r="BQ378" s="15"/>
      <c r="BR378" s="2" t="s">
        <v>108</v>
      </c>
      <c r="BS378" s="2" t="s">
        <v>108</v>
      </c>
      <c r="BT378" s="7" t="s">
        <v>109</v>
      </c>
      <c r="BU378" s="7"/>
      <c r="BV378" s="9" t="s">
        <v>109</v>
      </c>
      <c r="BW378" s="9"/>
    </row>
    <row r="379" spans="1:75" ht="14.25" customHeight="1" x14ac:dyDescent="0.25">
      <c r="A379" s="1">
        <v>870</v>
      </c>
      <c r="B379" s="1" t="s">
        <v>1937</v>
      </c>
      <c r="C379" s="1" t="s">
        <v>1938</v>
      </c>
      <c r="D379" s="1" t="s">
        <v>77</v>
      </c>
      <c r="E379" s="1" t="s">
        <v>1854</v>
      </c>
      <c r="F379" s="1" t="s">
        <v>1862</v>
      </c>
      <c r="G379" s="1"/>
      <c r="H379" s="2">
        <v>0</v>
      </c>
      <c r="I379" s="2">
        <v>1</v>
      </c>
      <c r="J379" s="2">
        <v>1</v>
      </c>
      <c r="K379" s="2">
        <v>1</v>
      </c>
      <c r="L379" s="3" t="s">
        <v>80</v>
      </c>
      <c r="O379" s="4">
        <v>2</v>
      </c>
      <c r="P379" s="4" t="s">
        <v>706</v>
      </c>
      <c r="Q379" s="4"/>
      <c r="R379" s="16">
        <v>20000000</v>
      </c>
      <c r="S379" s="6">
        <v>20000000</v>
      </c>
      <c r="T379" s="17" t="s">
        <v>1939</v>
      </c>
      <c r="U379" s="6">
        <v>1000</v>
      </c>
      <c r="V379" s="4"/>
      <c r="W379" s="4" t="s">
        <v>543</v>
      </c>
      <c r="X379" s="4" t="s">
        <v>1940</v>
      </c>
      <c r="Y379" s="7">
        <v>1</v>
      </c>
      <c r="Z379" s="8">
        <v>12630617</v>
      </c>
      <c r="AA379" s="7" t="s">
        <v>92</v>
      </c>
      <c r="AB379" s="7"/>
      <c r="AC379" s="9">
        <v>1</v>
      </c>
      <c r="AD379" s="10">
        <v>12630617</v>
      </c>
      <c r="AE379" s="9" t="s">
        <v>92</v>
      </c>
      <c r="AF379" s="9"/>
      <c r="AG379" s="11">
        <v>2</v>
      </c>
      <c r="AH379" s="11" t="s">
        <v>131</v>
      </c>
      <c r="AI379" s="11" t="s">
        <v>1941</v>
      </c>
      <c r="AJ379" s="11">
        <v>2</v>
      </c>
      <c r="AK379" s="11" t="s">
        <v>143</v>
      </c>
      <c r="AL379" s="12">
        <v>2</v>
      </c>
      <c r="AM379" s="12" t="s">
        <v>131</v>
      </c>
      <c r="AN379" s="12" t="s">
        <v>1942</v>
      </c>
      <c r="AO379" s="12">
        <v>2</v>
      </c>
      <c r="AP379" s="12" t="s">
        <v>132</v>
      </c>
      <c r="AQ379" s="4">
        <v>3</v>
      </c>
      <c r="AR379" s="4" t="s">
        <v>673</v>
      </c>
      <c r="AS379" s="4" t="s">
        <v>1943</v>
      </c>
      <c r="AT379" s="13"/>
      <c r="AU379" s="13"/>
      <c r="AV379" s="13"/>
      <c r="AW379" s="13"/>
      <c r="AX379" s="4"/>
      <c r="AY379" s="13"/>
      <c r="AZ379" s="13"/>
      <c r="BA379" s="13"/>
      <c r="BB379" s="13"/>
      <c r="BC379" s="4"/>
      <c r="BD379" s="4"/>
      <c r="BE379" s="4"/>
      <c r="BF379" s="13"/>
      <c r="BG379" s="4"/>
      <c r="BH379" s="13"/>
      <c r="BI379" s="13"/>
      <c r="BJ379" s="4"/>
      <c r="BK379" s="14">
        <v>8</v>
      </c>
      <c r="BL379" s="14">
        <v>8</v>
      </c>
      <c r="BM379" s="14">
        <v>8</v>
      </c>
      <c r="BP379" s="15" t="s">
        <v>135</v>
      </c>
      <c r="BQ379" s="15"/>
      <c r="BR379" s="2" t="s">
        <v>97</v>
      </c>
      <c r="BS379" s="2" t="s">
        <v>97</v>
      </c>
      <c r="BT379" s="7" t="s">
        <v>109</v>
      </c>
      <c r="BU379" s="7" t="s">
        <v>98</v>
      </c>
      <c r="BV379" s="9" t="s">
        <v>109</v>
      </c>
      <c r="BW379" s="9" t="s">
        <v>98</v>
      </c>
    </row>
    <row r="380" spans="1:75" ht="14.25" customHeight="1" x14ac:dyDescent="0.25">
      <c r="A380" s="1">
        <v>872</v>
      </c>
      <c r="B380" s="1" t="s">
        <v>1944</v>
      </c>
      <c r="C380" s="1" t="s">
        <v>1945</v>
      </c>
      <c r="D380" s="1" t="s">
        <v>77</v>
      </c>
      <c r="E380" s="1" t="s">
        <v>1854</v>
      </c>
      <c r="F380" s="1" t="s">
        <v>1862</v>
      </c>
      <c r="G380" s="1"/>
      <c r="H380" s="2">
        <v>0</v>
      </c>
      <c r="I380" s="2">
        <v>1</v>
      </c>
      <c r="J380" s="2">
        <v>1</v>
      </c>
      <c r="K380" s="2">
        <v>0</v>
      </c>
      <c r="L380" s="3" t="s">
        <v>127</v>
      </c>
      <c r="O380" s="4">
        <v>5</v>
      </c>
      <c r="P380" s="4" t="s">
        <v>424</v>
      </c>
      <c r="Q380" s="4"/>
      <c r="R380" s="5">
        <v>46000</v>
      </c>
      <c r="S380" s="6">
        <v>46000</v>
      </c>
      <c r="T380" s="5">
        <v>29000</v>
      </c>
      <c r="U380" s="6">
        <v>29000</v>
      </c>
      <c r="V380" s="4">
        <v>2010.5</v>
      </c>
      <c r="W380" s="4" t="s">
        <v>425</v>
      </c>
      <c r="X380" s="4"/>
      <c r="Y380" s="7">
        <v>3</v>
      </c>
      <c r="Z380" s="8">
        <v>590648</v>
      </c>
      <c r="AA380" s="7" t="s">
        <v>92</v>
      </c>
      <c r="AB380" s="7"/>
      <c r="AC380" s="9">
        <v>3</v>
      </c>
      <c r="AD380" s="10">
        <v>304234</v>
      </c>
      <c r="AE380" s="9" t="s">
        <v>92</v>
      </c>
      <c r="AF380" s="9"/>
      <c r="AG380" s="11">
        <v>3</v>
      </c>
      <c r="AH380" s="11" t="s">
        <v>271</v>
      </c>
      <c r="AI380" s="11" t="s">
        <v>1946</v>
      </c>
      <c r="AJ380" s="11"/>
      <c r="AK380" s="11"/>
      <c r="AL380" s="12">
        <v>3</v>
      </c>
      <c r="AM380" s="12" t="s">
        <v>271</v>
      </c>
      <c r="AN380" s="12" t="s">
        <v>1947</v>
      </c>
      <c r="AO380" s="12"/>
      <c r="AP380" s="12"/>
      <c r="AQ380" s="4">
        <v>3</v>
      </c>
      <c r="AR380" s="4" t="s">
        <v>93</v>
      </c>
      <c r="AS380" s="4" t="s">
        <v>1948</v>
      </c>
      <c r="AT380" s="13"/>
      <c r="AU380" s="13"/>
      <c r="AV380" s="13"/>
      <c r="AW380" s="13"/>
      <c r="AX380" s="4"/>
      <c r="AY380" s="13"/>
      <c r="AZ380" s="13"/>
      <c r="BA380" s="13"/>
      <c r="BB380" s="13"/>
      <c r="BC380" s="4"/>
      <c r="BD380" s="4"/>
      <c r="BE380" s="4"/>
      <c r="BF380" s="13"/>
      <c r="BG380" s="4"/>
      <c r="BH380" s="13"/>
      <c r="BI380" s="13"/>
      <c r="BJ380" s="4"/>
      <c r="BK380" s="14">
        <v>14</v>
      </c>
      <c r="BL380" s="14">
        <v>14</v>
      </c>
      <c r="BM380" s="14">
        <v>14</v>
      </c>
      <c r="BN380" s="3" t="s">
        <v>86</v>
      </c>
      <c r="BP380" s="15"/>
      <c r="BQ380" s="15"/>
      <c r="BR380" s="2" t="s">
        <v>297</v>
      </c>
      <c r="BS380" s="2" t="s">
        <v>108</v>
      </c>
      <c r="BT380" s="7" t="s">
        <v>475</v>
      </c>
      <c r="BU380" s="7"/>
      <c r="BV380" s="9" t="s">
        <v>109</v>
      </c>
      <c r="BW380" s="9"/>
    </row>
    <row r="381" spans="1:75" ht="14.25" customHeight="1" x14ac:dyDescent="0.25">
      <c r="A381" s="1">
        <v>873</v>
      </c>
      <c r="B381" s="1" t="s">
        <v>1949</v>
      </c>
      <c r="C381" s="1" t="s">
        <v>1950</v>
      </c>
      <c r="D381" s="1" t="s">
        <v>77</v>
      </c>
      <c r="E381" s="1" t="s">
        <v>1854</v>
      </c>
      <c r="F381" s="1" t="s">
        <v>1862</v>
      </c>
      <c r="G381" s="1"/>
      <c r="H381" s="2">
        <v>1</v>
      </c>
      <c r="I381" s="2">
        <v>1</v>
      </c>
      <c r="J381" s="2">
        <v>1</v>
      </c>
      <c r="K381" s="2">
        <v>1</v>
      </c>
      <c r="L381" s="3" t="s">
        <v>127</v>
      </c>
      <c r="O381" s="4">
        <v>2</v>
      </c>
      <c r="P381" s="4" t="s">
        <v>470</v>
      </c>
      <c r="Q381" s="4"/>
      <c r="R381" s="16">
        <v>18000000</v>
      </c>
      <c r="S381" s="6">
        <v>18000000</v>
      </c>
      <c r="T381" s="16">
        <v>990000</v>
      </c>
      <c r="U381" s="6">
        <v>990000</v>
      </c>
      <c r="V381" s="4">
        <v>2010.5</v>
      </c>
      <c r="W381" s="4" t="s">
        <v>425</v>
      </c>
      <c r="X381" s="4"/>
      <c r="Y381" s="7">
        <v>1</v>
      </c>
      <c r="Z381" s="8">
        <v>14203527</v>
      </c>
      <c r="AA381" s="7" t="s">
        <v>92</v>
      </c>
      <c r="AB381" s="7" t="s">
        <v>1951</v>
      </c>
      <c r="AC381" s="9">
        <v>1</v>
      </c>
      <c r="AD381" s="10">
        <v>11753425</v>
      </c>
      <c r="AE381" s="9" t="s">
        <v>92</v>
      </c>
      <c r="AF381" s="9" t="s">
        <v>1952</v>
      </c>
      <c r="AG381" s="11">
        <v>4</v>
      </c>
      <c r="AH381" s="11" t="s">
        <v>471</v>
      </c>
      <c r="AI381" s="11" t="s">
        <v>1953</v>
      </c>
      <c r="AJ381" s="11">
        <v>2</v>
      </c>
      <c r="AK381" s="11" t="s">
        <v>143</v>
      </c>
      <c r="AL381" s="12">
        <v>3</v>
      </c>
      <c r="AM381" s="12" t="s">
        <v>131</v>
      </c>
      <c r="AN381" s="12" t="s">
        <v>1954</v>
      </c>
      <c r="AO381" s="12">
        <v>2</v>
      </c>
      <c r="AP381" s="12" t="s">
        <v>132</v>
      </c>
      <c r="AQ381" s="4">
        <v>4</v>
      </c>
      <c r="AR381" s="4" t="s">
        <v>133</v>
      </c>
      <c r="AS381" s="4"/>
      <c r="AT381" s="13">
        <v>-42.754348754882798</v>
      </c>
      <c r="AU381" s="13">
        <v>-1.08940434455872</v>
      </c>
      <c r="AV381" s="13">
        <v>-2.0299999713897701</v>
      </c>
      <c r="AW381" s="13">
        <v>-0.351696997880936</v>
      </c>
      <c r="AX381" s="4">
        <v>1</v>
      </c>
      <c r="AY381" s="13">
        <v>-4.9835205078125</v>
      </c>
      <c r="AZ381" s="13">
        <v>-0.50902062654495195</v>
      </c>
      <c r="BA381" s="13">
        <v>-3.78999996185303</v>
      </c>
      <c r="BB381" s="13">
        <v>2.3128030300140399</v>
      </c>
      <c r="BC381" s="4"/>
      <c r="BD381" s="4">
        <v>10</v>
      </c>
      <c r="BE381" s="4" t="s">
        <v>134</v>
      </c>
      <c r="BF381" s="13">
        <v>1.6783030033111599</v>
      </c>
      <c r="BG381" s="4">
        <v>616.5</v>
      </c>
      <c r="BH381" s="13">
        <v>0.48699998855590798</v>
      </c>
      <c r="BI381" s="13">
        <v>300.33599853515602</v>
      </c>
      <c r="BJ381" s="4"/>
      <c r="BK381" s="14">
        <v>11</v>
      </c>
      <c r="BL381" s="14">
        <v>10</v>
      </c>
      <c r="BM381" s="14">
        <v>11</v>
      </c>
      <c r="BP381" s="15" t="s">
        <v>135</v>
      </c>
      <c r="BQ381" s="15" t="s">
        <v>146</v>
      </c>
      <c r="BR381" s="2" t="s">
        <v>247</v>
      </c>
      <c r="BS381" s="2" t="s">
        <v>247</v>
      </c>
      <c r="BT381" s="7" t="s">
        <v>585</v>
      </c>
      <c r="BU381" s="7" t="s">
        <v>475</v>
      </c>
      <c r="BV381" s="9" t="s">
        <v>585</v>
      </c>
      <c r="BW381" s="9" t="s">
        <v>475</v>
      </c>
    </row>
    <row r="382" spans="1:75" ht="14.25" customHeight="1" x14ac:dyDescent="0.25">
      <c r="A382" s="1">
        <v>874</v>
      </c>
      <c r="B382" s="1" t="s">
        <v>1955</v>
      </c>
      <c r="C382" s="1" t="s">
        <v>1956</v>
      </c>
      <c r="D382" s="1" t="s">
        <v>77</v>
      </c>
      <c r="E382" s="1" t="s">
        <v>1854</v>
      </c>
      <c r="F382" s="1" t="s">
        <v>1862</v>
      </c>
      <c r="G382" s="1"/>
      <c r="H382" s="2">
        <v>1</v>
      </c>
      <c r="I382" s="2">
        <v>1</v>
      </c>
      <c r="J382" s="2">
        <v>1</v>
      </c>
      <c r="K382" s="2">
        <v>0</v>
      </c>
      <c r="L382" s="3" t="s">
        <v>80</v>
      </c>
      <c r="O382" s="4">
        <v>5</v>
      </c>
      <c r="P382" s="4" t="s">
        <v>1957</v>
      </c>
      <c r="Q382" s="4" t="s">
        <v>1958</v>
      </c>
      <c r="R382" s="16">
        <v>15000</v>
      </c>
      <c r="S382" s="6">
        <v>15000</v>
      </c>
      <c r="T382" s="16">
        <v>10000</v>
      </c>
      <c r="U382" s="6">
        <v>10000</v>
      </c>
      <c r="V382" s="4"/>
      <c r="W382" s="4" t="s">
        <v>1959</v>
      </c>
      <c r="X382" s="4" t="s">
        <v>1958</v>
      </c>
      <c r="Y382" s="7">
        <v>2</v>
      </c>
      <c r="Z382" s="8">
        <v>1204856</v>
      </c>
      <c r="AA382" s="7" t="s">
        <v>92</v>
      </c>
      <c r="AB382" s="7" t="s">
        <v>1951</v>
      </c>
      <c r="AC382" s="9">
        <v>2</v>
      </c>
      <c r="AD382" s="10">
        <v>1204856</v>
      </c>
      <c r="AE382" s="9" t="s">
        <v>92</v>
      </c>
      <c r="AF382" s="9" t="s">
        <v>1951</v>
      </c>
      <c r="AG382" s="11">
        <v>4</v>
      </c>
      <c r="AH382" s="11" t="s">
        <v>471</v>
      </c>
      <c r="AI382" s="11" t="s">
        <v>1960</v>
      </c>
      <c r="AJ382" s="11">
        <v>3</v>
      </c>
      <c r="AK382" s="11" t="s">
        <v>143</v>
      </c>
      <c r="AL382" s="12">
        <v>4</v>
      </c>
      <c r="AM382" s="12" t="s">
        <v>471</v>
      </c>
      <c r="AN382" s="12" t="s">
        <v>1961</v>
      </c>
      <c r="AO382" s="12">
        <v>4</v>
      </c>
      <c r="AP382" s="12" t="s">
        <v>143</v>
      </c>
      <c r="AQ382" s="4">
        <v>4</v>
      </c>
      <c r="AR382" s="4" t="s">
        <v>673</v>
      </c>
      <c r="AS382" s="4"/>
      <c r="AT382" s="13"/>
      <c r="AU382" s="13"/>
      <c r="AV382" s="13"/>
      <c r="AW382" s="13"/>
      <c r="AX382" s="4"/>
      <c r="AY382" s="13"/>
      <c r="AZ382" s="13"/>
      <c r="BA382" s="13"/>
      <c r="BB382" s="13"/>
      <c r="BC382" s="4"/>
      <c r="BD382" s="4"/>
      <c r="BE382" s="4"/>
      <c r="BF382" s="13"/>
      <c r="BG382" s="4"/>
      <c r="BH382" s="13"/>
      <c r="BI382" s="13"/>
      <c r="BJ382" s="4"/>
      <c r="BK382" s="14">
        <v>15</v>
      </c>
      <c r="BL382" s="14">
        <v>15</v>
      </c>
      <c r="BM382" s="14">
        <v>15</v>
      </c>
      <c r="BN382" s="3" t="s">
        <v>113</v>
      </c>
      <c r="BO382" s="3" t="s">
        <v>120</v>
      </c>
      <c r="BP382" s="15"/>
      <c r="BQ382" s="15"/>
      <c r="BR382" s="2" t="s">
        <v>256</v>
      </c>
      <c r="BS382" s="2" t="s">
        <v>256</v>
      </c>
      <c r="BT382" s="7" t="s">
        <v>428</v>
      </c>
      <c r="BU382" s="7" t="s">
        <v>437</v>
      </c>
      <c r="BV382" s="9" t="s">
        <v>428</v>
      </c>
      <c r="BW382" s="9" t="s">
        <v>437</v>
      </c>
    </row>
    <row r="383" spans="1:75" ht="14.25" customHeight="1" x14ac:dyDescent="0.25">
      <c r="A383" s="1">
        <v>875</v>
      </c>
      <c r="B383" s="1" t="s">
        <v>1962</v>
      </c>
      <c r="C383" s="1" t="s">
        <v>1963</v>
      </c>
      <c r="D383" s="1" t="s">
        <v>77</v>
      </c>
      <c r="E383" s="1" t="s">
        <v>1854</v>
      </c>
      <c r="F383" s="1" t="s">
        <v>1862</v>
      </c>
      <c r="G383" s="1"/>
      <c r="H383" s="2">
        <v>1</v>
      </c>
      <c r="I383" s="2">
        <v>1</v>
      </c>
      <c r="J383" s="2">
        <v>0</v>
      </c>
      <c r="K383" s="2">
        <v>0</v>
      </c>
      <c r="L383" s="3" t="s">
        <v>80</v>
      </c>
      <c r="O383" s="4">
        <v>3</v>
      </c>
      <c r="P383" s="4" t="s">
        <v>424</v>
      </c>
      <c r="Q383" s="4" t="s">
        <v>1964</v>
      </c>
      <c r="R383" s="16">
        <v>3500000</v>
      </c>
      <c r="S383" s="6">
        <v>3500000</v>
      </c>
      <c r="T383" s="16">
        <v>3500000</v>
      </c>
      <c r="U383" s="6">
        <v>3500000</v>
      </c>
      <c r="V383" s="4">
        <v>2010.5</v>
      </c>
      <c r="W383" s="4" t="s">
        <v>425</v>
      </c>
      <c r="X383" s="4" t="s">
        <v>1965</v>
      </c>
      <c r="Y383" s="7">
        <v>1</v>
      </c>
      <c r="Z383" s="8">
        <v>6464549</v>
      </c>
      <c r="AA383" s="7" t="s">
        <v>1283</v>
      </c>
      <c r="AB383" s="7" t="s">
        <v>1966</v>
      </c>
      <c r="AC383" s="9">
        <v>1</v>
      </c>
      <c r="AD383" s="10">
        <v>6464549</v>
      </c>
      <c r="AE383" s="9" t="s">
        <v>1283</v>
      </c>
      <c r="AF383" s="9" t="s">
        <v>1966</v>
      </c>
      <c r="AG383" s="11">
        <v>2</v>
      </c>
      <c r="AH383" s="11" t="s">
        <v>131</v>
      </c>
      <c r="AI383" s="11"/>
      <c r="AJ383" s="11">
        <v>2</v>
      </c>
      <c r="AK383" s="11" t="s">
        <v>132</v>
      </c>
      <c r="AL383" s="12">
        <v>2</v>
      </c>
      <c r="AM383" s="12" t="s">
        <v>131</v>
      </c>
      <c r="AN383" s="12"/>
      <c r="AO383" s="12">
        <v>2</v>
      </c>
      <c r="AP383" s="12" t="s">
        <v>132</v>
      </c>
      <c r="AQ383" s="4">
        <v>1</v>
      </c>
      <c r="AR383" s="4" t="s">
        <v>133</v>
      </c>
      <c r="AS383" s="4"/>
      <c r="AT383" s="13">
        <v>116.399948120117</v>
      </c>
      <c r="AU383" s="13">
        <v>1.52571356296539</v>
      </c>
      <c r="AV383" s="13">
        <v>0.99400299787521396</v>
      </c>
      <c r="AW383" s="13">
        <v>2.2200000286102299</v>
      </c>
      <c r="AX383" s="4">
        <v>1</v>
      </c>
      <c r="AY383" s="13">
        <v>36.643447875976598</v>
      </c>
      <c r="AZ383" s="13">
        <v>1.65510213375092</v>
      </c>
      <c r="BA383" s="13">
        <v>0.95779901742935203</v>
      </c>
      <c r="BB383" s="13">
        <v>2.6400001049041699</v>
      </c>
      <c r="BC383" s="4">
        <v>1</v>
      </c>
      <c r="BD383" s="4">
        <v>19</v>
      </c>
      <c r="BE383" s="4" t="s">
        <v>134</v>
      </c>
      <c r="BF383" s="13">
        <v>1.22599697113037</v>
      </c>
      <c r="BG383" s="4">
        <v>1677.5</v>
      </c>
      <c r="BH383" s="13">
        <v>0.12349999696016301</v>
      </c>
      <c r="BI383" s="13">
        <v>207.12399291992199</v>
      </c>
      <c r="BJ383" s="4"/>
      <c r="BK383" s="14">
        <v>7</v>
      </c>
      <c r="BL383" s="14">
        <v>7</v>
      </c>
      <c r="BM383" s="14">
        <v>7</v>
      </c>
      <c r="BP383" s="15" t="s">
        <v>135</v>
      </c>
      <c r="BQ383" s="15"/>
      <c r="BR383" s="2" t="s">
        <v>172</v>
      </c>
      <c r="BS383" s="2" t="s">
        <v>172</v>
      </c>
      <c r="BT383" s="7" t="s">
        <v>241</v>
      </c>
      <c r="BU383" s="7" t="s">
        <v>428</v>
      </c>
      <c r="BV383" s="9" t="s">
        <v>241</v>
      </c>
      <c r="BW383" s="9" t="s">
        <v>428</v>
      </c>
    </row>
    <row r="384" spans="1:75" ht="14.25" customHeight="1" x14ac:dyDescent="0.25">
      <c r="A384" s="1">
        <v>876</v>
      </c>
      <c r="B384" s="1" t="s">
        <v>1967</v>
      </c>
      <c r="C384" s="1" t="s">
        <v>1968</v>
      </c>
      <c r="D384" s="1" t="s">
        <v>77</v>
      </c>
      <c r="E384" s="1" t="s">
        <v>1854</v>
      </c>
      <c r="F384" s="1" t="s">
        <v>1862</v>
      </c>
      <c r="G384" s="1" t="s">
        <v>1969</v>
      </c>
      <c r="H384" s="2">
        <v>0</v>
      </c>
      <c r="I384" s="2">
        <v>0</v>
      </c>
      <c r="J384" s="2">
        <v>1</v>
      </c>
      <c r="K384" s="2">
        <v>0</v>
      </c>
      <c r="L384" s="3" t="s">
        <v>80</v>
      </c>
      <c r="O384" s="4">
        <v>5</v>
      </c>
      <c r="P384" s="4" t="s">
        <v>1970</v>
      </c>
      <c r="Q384" s="4" t="s">
        <v>1971</v>
      </c>
      <c r="R384" s="5"/>
      <c r="S384" s="6"/>
      <c r="T384" s="17"/>
      <c r="U384" s="6"/>
      <c r="V384" s="4"/>
      <c r="W384" s="4"/>
      <c r="X384" s="4"/>
      <c r="Y384" s="7">
        <v>4</v>
      </c>
      <c r="Z384" s="8">
        <v>164094</v>
      </c>
      <c r="AA384" s="7" t="s">
        <v>1283</v>
      </c>
      <c r="AB384" s="7" t="s">
        <v>1972</v>
      </c>
      <c r="AC384" s="9">
        <v>4</v>
      </c>
      <c r="AD384" s="10">
        <v>164094</v>
      </c>
      <c r="AE384" s="9" t="s">
        <v>1283</v>
      </c>
      <c r="AF384" s="9" t="s">
        <v>1972</v>
      </c>
      <c r="AG384" s="11">
        <v>4</v>
      </c>
      <c r="AH384" s="11" t="s">
        <v>1973</v>
      </c>
      <c r="AI384" s="11" t="s">
        <v>1974</v>
      </c>
      <c r="AJ384" s="11"/>
      <c r="AK384" s="11"/>
      <c r="AL384" s="12">
        <v>4</v>
      </c>
      <c r="AM384" s="12" t="s">
        <v>1973</v>
      </c>
      <c r="AN384" s="12" t="s">
        <v>1974</v>
      </c>
      <c r="AO384" s="12"/>
      <c r="AP384" s="12"/>
      <c r="AQ384" s="4">
        <v>4</v>
      </c>
      <c r="AR384" s="4" t="s">
        <v>1973</v>
      </c>
      <c r="AS384" s="4" t="s">
        <v>1974</v>
      </c>
      <c r="AT384" s="13"/>
      <c r="AU384" s="13"/>
      <c r="AV384" s="13"/>
      <c r="AW384" s="13"/>
      <c r="AX384" s="4"/>
      <c r="AY384" s="13"/>
      <c r="AZ384" s="13"/>
      <c r="BA384" s="13"/>
      <c r="BB384" s="13"/>
      <c r="BC384" s="4"/>
      <c r="BD384" s="4"/>
      <c r="BE384" s="4"/>
      <c r="BF384" s="13"/>
      <c r="BG384" s="4"/>
      <c r="BH384" s="13"/>
      <c r="BI384" s="13"/>
      <c r="BJ384" s="4"/>
      <c r="BK384" s="14">
        <v>17</v>
      </c>
      <c r="BL384" s="14">
        <v>17</v>
      </c>
      <c r="BM384" s="14">
        <v>17</v>
      </c>
      <c r="BN384" s="3" t="s">
        <v>312</v>
      </c>
      <c r="BP384" s="15"/>
      <c r="BQ384" s="15"/>
      <c r="BR384" s="2" t="s">
        <v>409</v>
      </c>
      <c r="BS384" s="2" t="s">
        <v>409</v>
      </c>
      <c r="BT384" s="7" t="s">
        <v>438</v>
      </c>
      <c r="BU384" s="7"/>
      <c r="BV384" s="9" t="s">
        <v>438</v>
      </c>
      <c r="BW384" s="9"/>
    </row>
    <row r="385" spans="1:75" ht="14.25" customHeight="1" x14ac:dyDescent="0.25">
      <c r="A385" s="1">
        <v>877</v>
      </c>
      <c r="B385" s="1" t="s">
        <v>1975</v>
      </c>
      <c r="C385" s="1" t="s">
        <v>1976</v>
      </c>
      <c r="D385" s="1" t="s">
        <v>77</v>
      </c>
      <c r="E385" s="1" t="s">
        <v>1854</v>
      </c>
      <c r="F385" s="1" t="s">
        <v>1862</v>
      </c>
      <c r="G385" s="1" t="s">
        <v>118</v>
      </c>
      <c r="H385" s="2">
        <v>0</v>
      </c>
      <c r="I385" s="2">
        <v>0</v>
      </c>
      <c r="J385" s="2">
        <v>1</v>
      </c>
      <c r="K385" s="2">
        <v>1</v>
      </c>
      <c r="L385" s="3" t="s">
        <v>80</v>
      </c>
      <c r="O385" s="4">
        <v>5</v>
      </c>
      <c r="P385" s="4" t="s">
        <v>112</v>
      </c>
      <c r="Q385" s="4"/>
      <c r="R385" s="5"/>
      <c r="S385" s="6"/>
      <c r="T385" s="17"/>
      <c r="U385" s="6"/>
      <c r="V385" s="4"/>
      <c r="W385" s="4"/>
      <c r="X385" s="4"/>
      <c r="Y385" s="7">
        <v>4</v>
      </c>
      <c r="Z385" s="8">
        <v>116269</v>
      </c>
      <c r="AA385" s="7" t="s">
        <v>92</v>
      </c>
      <c r="AB385" s="7"/>
      <c r="AC385" s="9">
        <v>4</v>
      </c>
      <c r="AD385" s="10">
        <v>116269</v>
      </c>
      <c r="AE385" s="9" t="s">
        <v>92</v>
      </c>
      <c r="AF385" s="9"/>
      <c r="AG385" s="11">
        <v>4</v>
      </c>
      <c r="AH385" s="11" t="s">
        <v>93</v>
      </c>
      <c r="AI385" s="11" t="s">
        <v>393</v>
      </c>
      <c r="AJ385" s="11"/>
      <c r="AK385" s="11"/>
      <c r="AL385" s="12">
        <v>4</v>
      </c>
      <c r="AM385" s="12" t="s">
        <v>93</v>
      </c>
      <c r="AN385" s="12" t="s">
        <v>1977</v>
      </c>
      <c r="AO385" s="12"/>
      <c r="AP385" s="12"/>
      <c r="AQ385" s="4">
        <v>4</v>
      </c>
      <c r="AR385" s="4" t="s">
        <v>83</v>
      </c>
      <c r="AS385" s="4"/>
      <c r="AT385" s="13"/>
      <c r="AU385" s="13"/>
      <c r="AV385" s="13"/>
      <c r="AW385" s="13"/>
      <c r="AX385" s="4"/>
      <c r="AY385" s="13"/>
      <c r="AZ385" s="13"/>
      <c r="BA385" s="13"/>
      <c r="BB385" s="13"/>
      <c r="BC385" s="4"/>
      <c r="BD385" s="4"/>
      <c r="BE385" s="4"/>
      <c r="BF385" s="13"/>
      <c r="BG385" s="4"/>
      <c r="BH385" s="13"/>
      <c r="BI385" s="13"/>
      <c r="BJ385" s="4"/>
      <c r="BK385" s="14">
        <v>17</v>
      </c>
      <c r="BL385" s="14">
        <v>17</v>
      </c>
      <c r="BM385" s="14">
        <v>17</v>
      </c>
      <c r="BN385" s="3" t="s">
        <v>312</v>
      </c>
      <c r="BP385" s="15"/>
      <c r="BQ385" s="15"/>
      <c r="BR385" s="2" t="s">
        <v>409</v>
      </c>
      <c r="BS385" s="2" t="s">
        <v>409</v>
      </c>
      <c r="BT385" s="7" t="s">
        <v>88</v>
      </c>
      <c r="BU385" s="7"/>
      <c r="BV385" s="9" t="s">
        <v>88</v>
      </c>
      <c r="BW385" s="9"/>
    </row>
    <row r="386" spans="1:75" ht="14.25" customHeight="1" x14ac:dyDescent="0.25">
      <c r="A386" s="1">
        <v>878</v>
      </c>
      <c r="B386" s="1" t="s">
        <v>1978</v>
      </c>
      <c r="C386" s="1" t="s">
        <v>1979</v>
      </c>
      <c r="D386" s="1" t="s">
        <v>77</v>
      </c>
      <c r="E386" s="1" t="s">
        <v>1854</v>
      </c>
      <c r="F386" s="1" t="s">
        <v>1862</v>
      </c>
      <c r="G386" s="1" t="s">
        <v>1980</v>
      </c>
      <c r="H386" s="2">
        <v>0</v>
      </c>
      <c r="I386" s="2">
        <v>0</v>
      </c>
      <c r="J386" s="2">
        <v>1</v>
      </c>
      <c r="K386" s="2">
        <v>1</v>
      </c>
      <c r="L386" s="3" t="s">
        <v>80</v>
      </c>
      <c r="O386" s="4">
        <v>3</v>
      </c>
      <c r="P386" s="4" t="s">
        <v>112</v>
      </c>
      <c r="Q386" s="4"/>
      <c r="R386" s="5"/>
      <c r="S386" s="6"/>
      <c r="T386" s="17"/>
      <c r="U386" s="6"/>
      <c r="V386" s="4"/>
      <c r="W386" s="4"/>
      <c r="X386" s="4"/>
      <c r="Y386" s="7">
        <v>1</v>
      </c>
      <c r="Z386" s="8">
        <v>10161021</v>
      </c>
      <c r="AA386" s="7" t="s">
        <v>92</v>
      </c>
      <c r="AB386" s="7"/>
      <c r="AC386" s="9">
        <v>1</v>
      </c>
      <c r="AD386" s="10">
        <v>10161021</v>
      </c>
      <c r="AE386" s="9" t="s">
        <v>92</v>
      </c>
      <c r="AF386" s="9"/>
      <c r="AG386" s="11">
        <v>3</v>
      </c>
      <c r="AH386" s="11" t="s">
        <v>93</v>
      </c>
      <c r="AI386" s="11" t="s">
        <v>1981</v>
      </c>
      <c r="AJ386" s="11"/>
      <c r="AK386" s="11"/>
      <c r="AL386" s="12">
        <v>3</v>
      </c>
      <c r="AM386" s="12" t="s">
        <v>93</v>
      </c>
      <c r="AN386" s="12" t="s">
        <v>1982</v>
      </c>
      <c r="AO386" s="12"/>
      <c r="AP386" s="12"/>
      <c r="AQ386" s="4">
        <v>4</v>
      </c>
      <c r="AR386" s="4" t="s">
        <v>83</v>
      </c>
      <c r="AS386" s="4" t="s">
        <v>1983</v>
      </c>
      <c r="AT386" s="13"/>
      <c r="AU386" s="13"/>
      <c r="AV386" s="13"/>
      <c r="AW386" s="13"/>
      <c r="AX386" s="4"/>
      <c r="AY386" s="13"/>
      <c r="AZ386" s="13"/>
      <c r="BA386" s="13"/>
      <c r="BB386" s="13"/>
      <c r="BC386" s="4"/>
      <c r="BD386" s="4"/>
      <c r="BE386" s="4"/>
      <c r="BF386" s="13"/>
      <c r="BG386" s="4"/>
      <c r="BH386" s="13"/>
      <c r="BI386" s="13"/>
      <c r="BJ386" s="4"/>
      <c r="BK386" s="14">
        <v>11</v>
      </c>
      <c r="BL386" s="14">
        <v>11</v>
      </c>
      <c r="BM386" s="14">
        <v>11</v>
      </c>
      <c r="BP386" s="15" t="s">
        <v>135</v>
      </c>
      <c r="BQ386" s="15"/>
      <c r="BR386" s="2" t="s">
        <v>97</v>
      </c>
      <c r="BS386" s="2" t="s">
        <v>97</v>
      </c>
      <c r="BT386" s="7" t="s">
        <v>797</v>
      </c>
      <c r="BU386" s="7"/>
      <c r="BV386" s="9" t="s">
        <v>797</v>
      </c>
      <c r="BW386" s="9"/>
    </row>
    <row r="387" spans="1:75" ht="14.25" customHeight="1" x14ac:dyDescent="0.25">
      <c r="A387" s="1">
        <v>879</v>
      </c>
      <c r="B387" s="1" t="s">
        <v>1984</v>
      </c>
      <c r="C387" s="1" t="s">
        <v>1985</v>
      </c>
      <c r="D387" s="1" t="s">
        <v>77</v>
      </c>
      <c r="E387" s="1" t="s">
        <v>1854</v>
      </c>
      <c r="F387" s="1" t="s">
        <v>1862</v>
      </c>
      <c r="G387" s="1" t="s">
        <v>1980</v>
      </c>
      <c r="H387" s="2">
        <v>0</v>
      </c>
      <c r="I387" s="2">
        <v>0</v>
      </c>
      <c r="J387" s="2">
        <v>1</v>
      </c>
      <c r="K387" s="2">
        <v>1</v>
      </c>
      <c r="L387" s="3" t="s">
        <v>80</v>
      </c>
      <c r="O387" s="4">
        <v>4</v>
      </c>
      <c r="P387" s="4" t="s">
        <v>112</v>
      </c>
      <c r="Q387" s="4"/>
      <c r="R387" s="5"/>
      <c r="S387" s="6"/>
      <c r="T387" s="17"/>
      <c r="U387" s="6"/>
      <c r="V387" s="4"/>
      <c r="W387" s="4"/>
      <c r="X387" s="4"/>
      <c r="Y387" s="7">
        <v>3</v>
      </c>
      <c r="Z387" s="8">
        <v>988654</v>
      </c>
      <c r="AA387" s="7" t="s">
        <v>92</v>
      </c>
      <c r="AB387" s="7"/>
      <c r="AC387" s="9">
        <v>3</v>
      </c>
      <c r="AD387" s="10">
        <v>988654</v>
      </c>
      <c r="AE387" s="9" t="s">
        <v>92</v>
      </c>
      <c r="AF387" s="9" t="s">
        <v>1986</v>
      </c>
      <c r="AG387" s="11">
        <v>4</v>
      </c>
      <c r="AH387" s="11" t="s">
        <v>1987</v>
      </c>
      <c r="AI387" s="11" t="s">
        <v>1988</v>
      </c>
      <c r="AJ387" s="11"/>
      <c r="AK387" s="11"/>
      <c r="AL387" s="12">
        <v>4</v>
      </c>
      <c r="AM387" s="12" t="s">
        <v>1987</v>
      </c>
      <c r="AN387" s="12" t="s">
        <v>1989</v>
      </c>
      <c r="AO387" s="12"/>
      <c r="AP387" s="12"/>
      <c r="AQ387" s="4">
        <v>5</v>
      </c>
      <c r="AR387" s="4" t="s">
        <v>83</v>
      </c>
      <c r="AS387" s="4" t="s">
        <v>1990</v>
      </c>
      <c r="AT387" s="13"/>
      <c r="AU387" s="13"/>
      <c r="AV387" s="13"/>
      <c r="AW387" s="13"/>
      <c r="AX387" s="4"/>
      <c r="AY387" s="13"/>
      <c r="AZ387" s="13"/>
      <c r="BA387" s="13"/>
      <c r="BB387" s="13"/>
      <c r="BC387" s="4"/>
      <c r="BD387" s="4"/>
      <c r="BE387" s="4"/>
      <c r="BF387" s="13"/>
      <c r="BG387" s="4"/>
      <c r="BH387" s="13"/>
      <c r="BI387" s="13"/>
      <c r="BJ387" s="4"/>
      <c r="BK387" s="14">
        <v>16</v>
      </c>
      <c r="BL387" s="14">
        <v>16</v>
      </c>
      <c r="BM387" s="14">
        <v>16</v>
      </c>
      <c r="BN387" s="3" t="s">
        <v>312</v>
      </c>
      <c r="BP387" s="15"/>
      <c r="BQ387" s="15"/>
      <c r="BR387" s="2" t="s">
        <v>121</v>
      </c>
      <c r="BS387" s="2" t="s">
        <v>121</v>
      </c>
      <c r="BT387" s="7" t="s">
        <v>98</v>
      </c>
      <c r="BU387" s="7"/>
      <c r="BV387" s="9" t="s">
        <v>98</v>
      </c>
      <c r="BW387" s="9"/>
    </row>
    <row r="388" spans="1:75" ht="14.25" customHeight="1" x14ac:dyDescent="0.25">
      <c r="A388" s="1">
        <v>880</v>
      </c>
      <c r="B388" s="1" t="s">
        <v>1991</v>
      </c>
      <c r="C388" s="1" t="s">
        <v>1992</v>
      </c>
      <c r="D388" s="1" t="s">
        <v>77</v>
      </c>
      <c r="E388" s="1" t="s">
        <v>1854</v>
      </c>
      <c r="F388" s="1" t="s">
        <v>1862</v>
      </c>
      <c r="G388" s="1"/>
      <c r="H388" s="2">
        <v>1</v>
      </c>
      <c r="I388" s="2">
        <v>1</v>
      </c>
      <c r="J388" s="2">
        <v>0</v>
      </c>
      <c r="K388" s="2">
        <v>0</v>
      </c>
      <c r="L388" s="3" t="s">
        <v>127</v>
      </c>
      <c r="O388" s="4">
        <v>4</v>
      </c>
      <c r="P388" s="4" t="s">
        <v>1993</v>
      </c>
      <c r="Q388" s="4"/>
      <c r="R388" s="5">
        <v>120000</v>
      </c>
      <c r="S388" s="6">
        <v>120000</v>
      </c>
      <c r="T388" s="5">
        <v>58000</v>
      </c>
      <c r="U388" s="6">
        <v>58000</v>
      </c>
      <c r="V388" s="4">
        <v>2010.5</v>
      </c>
      <c r="W388" s="4" t="s">
        <v>425</v>
      </c>
      <c r="X388" s="4"/>
      <c r="Y388" s="7">
        <v>1</v>
      </c>
      <c r="Z388" s="8">
        <v>10650356</v>
      </c>
      <c r="AA388" s="7" t="s">
        <v>92</v>
      </c>
      <c r="AB388" s="7"/>
      <c r="AC388" s="9">
        <v>1</v>
      </c>
      <c r="AD388" s="10">
        <v>10650356</v>
      </c>
      <c r="AE388" s="9" t="s">
        <v>92</v>
      </c>
      <c r="AF388" s="9"/>
      <c r="AG388" s="11">
        <v>4</v>
      </c>
      <c r="AH388" s="11" t="s">
        <v>454</v>
      </c>
      <c r="AI388" s="11" t="s">
        <v>1994</v>
      </c>
      <c r="AJ388" s="11">
        <v>5</v>
      </c>
      <c r="AK388" s="11" t="s">
        <v>143</v>
      </c>
      <c r="AL388" s="12">
        <v>3</v>
      </c>
      <c r="AM388" s="12" t="s">
        <v>131</v>
      </c>
      <c r="AN388" s="12" t="s">
        <v>1995</v>
      </c>
      <c r="AO388" s="12">
        <v>3</v>
      </c>
      <c r="AP388" s="12" t="s">
        <v>143</v>
      </c>
      <c r="AQ388" s="4">
        <v>1</v>
      </c>
      <c r="AR388" s="4" t="s">
        <v>1352</v>
      </c>
      <c r="AS388" s="4"/>
      <c r="AT388" s="13">
        <v>194.20640563964801</v>
      </c>
      <c r="AU388" s="13">
        <v>3.9291980266571001</v>
      </c>
      <c r="AV388" s="13">
        <v>2.1226050853729199</v>
      </c>
      <c r="AW388" s="13">
        <v>5.10280084609985</v>
      </c>
      <c r="AX388" s="4">
        <v>1</v>
      </c>
      <c r="AY388" s="13">
        <v>112.476348876953</v>
      </c>
      <c r="AZ388" s="13">
        <v>4.2758941650390598</v>
      </c>
      <c r="BA388" s="13">
        <v>2.25330591201782</v>
      </c>
      <c r="BB388" s="13">
        <v>5.4610009193420401</v>
      </c>
      <c r="BC388" s="4">
        <v>1</v>
      </c>
      <c r="BD388" s="4">
        <v>18</v>
      </c>
      <c r="BE388" s="4" t="s">
        <v>210</v>
      </c>
      <c r="BF388" s="13">
        <v>2.98019599914551</v>
      </c>
      <c r="BG388" s="4">
        <v>91</v>
      </c>
      <c r="BH388" s="13">
        <v>1.09999999403954E-2</v>
      </c>
      <c r="BI388" s="13">
        <v>1.0010000467300399</v>
      </c>
      <c r="BJ388" s="4"/>
      <c r="BK388" s="14">
        <v>10</v>
      </c>
      <c r="BL388" s="14">
        <v>9</v>
      </c>
      <c r="BM388" s="14">
        <v>10</v>
      </c>
      <c r="BP388" s="15"/>
      <c r="BQ388" s="15"/>
      <c r="BR388" s="2" t="s">
        <v>211</v>
      </c>
      <c r="BS388" s="2" t="s">
        <v>211</v>
      </c>
      <c r="BT388" s="7" t="s">
        <v>527</v>
      </c>
      <c r="BU388" s="7"/>
      <c r="BV388" s="9" t="s">
        <v>527</v>
      </c>
      <c r="BW388" s="9"/>
    </row>
    <row r="389" spans="1:75" ht="14.25" customHeight="1" x14ac:dyDescent="0.25">
      <c r="A389" s="1">
        <v>881</v>
      </c>
      <c r="B389" s="1" t="s">
        <v>1996</v>
      </c>
      <c r="C389" s="1" t="s">
        <v>1997</v>
      </c>
      <c r="D389" s="1" t="s">
        <v>77</v>
      </c>
      <c r="E389" s="1" t="s">
        <v>1854</v>
      </c>
      <c r="F389" s="1" t="s">
        <v>1862</v>
      </c>
      <c r="G389" s="1"/>
      <c r="H389" s="2">
        <v>1</v>
      </c>
      <c r="I389" s="2">
        <v>1</v>
      </c>
      <c r="J389" s="2">
        <v>1</v>
      </c>
      <c r="K389" s="2">
        <v>0</v>
      </c>
      <c r="L389" s="3" t="s">
        <v>127</v>
      </c>
      <c r="O389" s="4">
        <v>3</v>
      </c>
      <c r="P389" s="4" t="s">
        <v>606</v>
      </c>
      <c r="Q389" s="4"/>
      <c r="R389" s="5">
        <v>520000</v>
      </c>
      <c r="S389" s="6">
        <v>520000</v>
      </c>
      <c r="T389" s="5">
        <v>150000</v>
      </c>
      <c r="U389" s="6">
        <v>150000</v>
      </c>
      <c r="V389" s="4">
        <v>2010.5</v>
      </c>
      <c r="W389" s="4" t="s">
        <v>425</v>
      </c>
      <c r="X389" s="4"/>
      <c r="Y389" s="7">
        <v>1</v>
      </c>
      <c r="Z389" s="8">
        <v>25334753</v>
      </c>
      <c r="AA389" s="7" t="s">
        <v>92</v>
      </c>
      <c r="AB389" s="7"/>
      <c r="AC389" s="9">
        <v>1</v>
      </c>
      <c r="AD389" s="10">
        <v>41301480</v>
      </c>
      <c r="AE389" s="9" t="s">
        <v>92</v>
      </c>
      <c r="AF389" s="9"/>
      <c r="AG389" s="11">
        <v>3</v>
      </c>
      <c r="AH389" s="11" t="s">
        <v>131</v>
      </c>
      <c r="AI389" s="11" t="s">
        <v>1998</v>
      </c>
      <c r="AJ389" s="11">
        <v>2</v>
      </c>
      <c r="AK389" s="11" t="s">
        <v>143</v>
      </c>
      <c r="AL389" s="12">
        <v>3</v>
      </c>
      <c r="AM389" s="12" t="s">
        <v>131</v>
      </c>
      <c r="AN389" s="12" t="s">
        <v>1999</v>
      </c>
      <c r="AO389" s="12">
        <v>2</v>
      </c>
      <c r="AP389" s="12" t="s">
        <v>143</v>
      </c>
      <c r="AQ389" s="4">
        <v>3</v>
      </c>
      <c r="AR389" s="4" t="s">
        <v>222</v>
      </c>
      <c r="AS389" s="4"/>
      <c r="AT389" s="13">
        <v>-14.506067276001</v>
      </c>
      <c r="AU389" s="13">
        <v>-0.31933552026748702</v>
      </c>
      <c r="AV389" s="13">
        <v>-1.0863778591155999</v>
      </c>
      <c r="AW389" s="13">
        <v>0.477310240268707</v>
      </c>
      <c r="AX389" s="4"/>
      <c r="AY389" s="13">
        <v>-5.8316764831543004</v>
      </c>
      <c r="AZ389" s="13">
        <v>-0.39977431297302202</v>
      </c>
      <c r="BA389" s="13">
        <v>-2.2574601173400901</v>
      </c>
      <c r="BB389" s="13">
        <v>1.24541652202606</v>
      </c>
      <c r="BC389" s="4"/>
      <c r="BD389" s="4">
        <v>15</v>
      </c>
      <c r="BE389" s="4"/>
      <c r="BF389" s="13">
        <v>1.56368815898895</v>
      </c>
      <c r="BG389" s="4"/>
      <c r="BH389" s="13"/>
      <c r="BI389" s="13"/>
      <c r="BJ389" s="4"/>
      <c r="BK389" s="14">
        <v>10</v>
      </c>
      <c r="BL389" s="14">
        <v>10</v>
      </c>
      <c r="BM389" s="14">
        <v>10</v>
      </c>
      <c r="BP389" s="15"/>
      <c r="BQ389" s="15"/>
      <c r="BR389" s="2" t="s">
        <v>172</v>
      </c>
      <c r="BS389" s="2" t="s">
        <v>172</v>
      </c>
      <c r="BT389" s="7" t="s">
        <v>509</v>
      </c>
      <c r="BU389" s="7"/>
      <c r="BV389" s="9" t="s">
        <v>509</v>
      </c>
      <c r="BW389" s="9"/>
    </row>
    <row r="390" spans="1:75" ht="14.25" customHeight="1" x14ac:dyDescent="0.25">
      <c r="A390" s="1">
        <v>882</v>
      </c>
      <c r="B390" s="1" t="s">
        <v>2000</v>
      </c>
      <c r="C390" s="1" t="s">
        <v>2001</v>
      </c>
      <c r="D390" s="1" t="s">
        <v>77</v>
      </c>
      <c r="E390" s="1" t="s">
        <v>1854</v>
      </c>
      <c r="F390" s="1" t="s">
        <v>1862</v>
      </c>
      <c r="G390" s="1"/>
      <c r="H390" s="2">
        <v>0</v>
      </c>
      <c r="I390" s="2">
        <v>0</v>
      </c>
      <c r="J390" s="2">
        <v>1</v>
      </c>
      <c r="K390" s="2">
        <v>1</v>
      </c>
      <c r="L390" s="3" t="s">
        <v>80</v>
      </c>
      <c r="O390" s="4">
        <v>4</v>
      </c>
      <c r="P390" s="4" t="s">
        <v>112</v>
      </c>
      <c r="Q390" s="4"/>
      <c r="R390" s="5"/>
      <c r="S390" s="6"/>
      <c r="T390" s="17"/>
      <c r="U390" s="6"/>
      <c r="V390" s="4"/>
      <c r="W390" s="4"/>
      <c r="X390" s="4"/>
      <c r="Y390" s="7">
        <v>2</v>
      </c>
      <c r="Z390" s="8">
        <v>3167637</v>
      </c>
      <c r="AA390" s="7" t="s">
        <v>92</v>
      </c>
      <c r="AB390" s="7"/>
      <c r="AC390" s="9">
        <v>2</v>
      </c>
      <c r="AD390" s="10">
        <v>3167637</v>
      </c>
      <c r="AE390" s="9" t="s">
        <v>92</v>
      </c>
      <c r="AF390" s="9" t="s">
        <v>2002</v>
      </c>
      <c r="AG390" s="11">
        <v>3</v>
      </c>
      <c r="AH390" s="11" t="s">
        <v>93</v>
      </c>
      <c r="AI390" s="11"/>
      <c r="AJ390" s="11"/>
      <c r="AK390" s="11"/>
      <c r="AL390" s="12">
        <v>3</v>
      </c>
      <c r="AM390" s="12" t="s">
        <v>93</v>
      </c>
      <c r="AN390" s="12" t="s">
        <v>805</v>
      </c>
      <c r="AO390" s="12"/>
      <c r="AP390" s="12"/>
      <c r="AQ390" s="4">
        <v>4</v>
      </c>
      <c r="AR390" s="4" t="s">
        <v>83</v>
      </c>
      <c r="AS390" s="4" t="s">
        <v>2003</v>
      </c>
      <c r="AT390" s="13"/>
      <c r="AU390" s="13"/>
      <c r="AV390" s="13"/>
      <c r="AW390" s="13"/>
      <c r="AX390" s="4"/>
      <c r="AY390" s="13"/>
      <c r="AZ390" s="13"/>
      <c r="BA390" s="13"/>
      <c r="BB390" s="13"/>
      <c r="BC390" s="4"/>
      <c r="BD390" s="4"/>
      <c r="BE390" s="4"/>
      <c r="BF390" s="13"/>
      <c r="BG390" s="4"/>
      <c r="BH390" s="13"/>
      <c r="BI390" s="13"/>
      <c r="BJ390" s="4"/>
      <c r="BK390" s="14">
        <v>13</v>
      </c>
      <c r="BL390" s="14">
        <v>13</v>
      </c>
      <c r="BM390" s="14">
        <v>13</v>
      </c>
      <c r="BP390" s="15"/>
      <c r="BQ390" s="15"/>
      <c r="BR390" s="2" t="s">
        <v>97</v>
      </c>
      <c r="BS390" s="2" t="s">
        <v>97</v>
      </c>
      <c r="BT390" s="7" t="s">
        <v>797</v>
      </c>
      <c r="BU390" s="7"/>
      <c r="BV390" s="9" t="s">
        <v>797</v>
      </c>
      <c r="BW390" s="9"/>
    </row>
    <row r="391" spans="1:75" ht="14.25" customHeight="1" x14ac:dyDescent="0.25">
      <c r="A391" s="1">
        <v>883</v>
      </c>
      <c r="B391" s="1" t="s">
        <v>2004</v>
      </c>
      <c r="C391" s="1" t="s">
        <v>2005</v>
      </c>
      <c r="D391" s="1" t="s">
        <v>77</v>
      </c>
      <c r="E391" s="1" t="s">
        <v>1854</v>
      </c>
      <c r="F391" s="1" t="s">
        <v>1862</v>
      </c>
      <c r="G391" s="1"/>
      <c r="H391" s="2">
        <v>1</v>
      </c>
      <c r="I391" s="2">
        <v>1</v>
      </c>
      <c r="J391" s="2">
        <v>1</v>
      </c>
      <c r="K391" s="2">
        <v>0</v>
      </c>
      <c r="L391" s="3" t="s">
        <v>127</v>
      </c>
      <c r="O391" s="4">
        <v>3</v>
      </c>
      <c r="P391" s="4" t="s">
        <v>2006</v>
      </c>
      <c r="Q391" s="4"/>
      <c r="R391" s="16">
        <v>2300000</v>
      </c>
      <c r="S391" s="6">
        <v>2300000</v>
      </c>
      <c r="T391" s="16">
        <v>600000</v>
      </c>
      <c r="U391" s="6">
        <v>600000</v>
      </c>
      <c r="V391" s="4">
        <v>2010.5</v>
      </c>
      <c r="W391" s="4" t="s">
        <v>531</v>
      </c>
      <c r="X391" s="4"/>
      <c r="Y391" s="7">
        <v>1</v>
      </c>
      <c r="Z391" s="8">
        <v>62415997</v>
      </c>
      <c r="AA391" s="7" t="s">
        <v>92</v>
      </c>
      <c r="AB391" s="7"/>
      <c r="AC391" s="9">
        <v>1</v>
      </c>
      <c r="AD391" s="10">
        <v>51225610</v>
      </c>
      <c r="AE391" s="9" t="s">
        <v>92</v>
      </c>
      <c r="AF391" s="9"/>
      <c r="AG391" s="11">
        <v>3</v>
      </c>
      <c r="AH391" s="11" t="s">
        <v>131</v>
      </c>
      <c r="AI391" s="11" t="s">
        <v>2007</v>
      </c>
      <c r="AJ391" s="11">
        <v>3</v>
      </c>
      <c r="AK391" s="11" t="s">
        <v>143</v>
      </c>
      <c r="AL391" s="12">
        <v>3</v>
      </c>
      <c r="AM391" s="12" t="s">
        <v>800</v>
      </c>
      <c r="AN391" s="12" t="s">
        <v>2008</v>
      </c>
      <c r="AO391" s="12">
        <v>1</v>
      </c>
      <c r="AP391" s="12" t="s">
        <v>132</v>
      </c>
      <c r="AQ391" s="4">
        <v>5</v>
      </c>
      <c r="AR391" s="4" t="s">
        <v>133</v>
      </c>
      <c r="AS391" s="4"/>
      <c r="AT391" s="13">
        <v>-57.533786773681598</v>
      </c>
      <c r="AU391" s="13">
        <v>-1.6656209230423</v>
      </c>
      <c r="AV391" s="13">
        <v>-3.1300001144409202</v>
      </c>
      <c r="AW391" s="13">
        <v>-0.86699700355529796</v>
      </c>
      <c r="AX391" s="4">
        <v>1</v>
      </c>
      <c r="AY391" s="13">
        <v>-10.0461521148682</v>
      </c>
      <c r="AZ391" s="13">
        <v>-0.87752717733383201</v>
      </c>
      <c r="BA391" s="13">
        <v>-5.0900001525878897</v>
      </c>
      <c r="BB391" s="13">
        <v>3.7312979698181201</v>
      </c>
      <c r="BC391" s="4"/>
      <c r="BD391" s="4">
        <v>12</v>
      </c>
      <c r="BE391" s="4" t="s">
        <v>134</v>
      </c>
      <c r="BF391" s="13">
        <v>2.2630031108856201</v>
      </c>
      <c r="BG391" s="4">
        <v>484.5</v>
      </c>
      <c r="BH391" s="13">
        <v>0.112499997019768</v>
      </c>
      <c r="BI391" s="13">
        <v>53.805000305175803</v>
      </c>
      <c r="BJ391" s="4"/>
      <c r="BK391" s="14">
        <v>12</v>
      </c>
      <c r="BL391" s="14">
        <v>12</v>
      </c>
      <c r="BM391" s="14">
        <v>12</v>
      </c>
      <c r="BN391" s="3" t="s">
        <v>302</v>
      </c>
      <c r="BP391" s="15"/>
      <c r="BQ391" s="15" t="s">
        <v>146</v>
      </c>
      <c r="BR391" s="2" t="s">
        <v>172</v>
      </c>
      <c r="BS391" s="2" t="s">
        <v>172</v>
      </c>
      <c r="BT391" s="7" t="s">
        <v>174</v>
      </c>
      <c r="BU391" s="7" t="s">
        <v>585</v>
      </c>
      <c r="BV391" s="9" t="s">
        <v>585</v>
      </c>
      <c r="BW391" s="9" t="s">
        <v>148</v>
      </c>
    </row>
    <row r="392" spans="1:75" ht="14.25" customHeight="1" x14ac:dyDescent="0.25">
      <c r="A392" s="1">
        <v>884</v>
      </c>
      <c r="B392" s="1" t="s">
        <v>2009</v>
      </c>
      <c r="C392" s="1" t="s">
        <v>2010</v>
      </c>
      <c r="D392" s="1" t="s">
        <v>77</v>
      </c>
      <c r="E392" s="1" t="s">
        <v>1854</v>
      </c>
      <c r="F392" s="1" t="s">
        <v>1862</v>
      </c>
      <c r="G392" s="1" t="s">
        <v>2011</v>
      </c>
      <c r="H392" s="2">
        <v>0</v>
      </c>
      <c r="I392" s="2">
        <v>0</v>
      </c>
      <c r="J392" s="2">
        <v>1</v>
      </c>
      <c r="K392" s="2">
        <v>1</v>
      </c>
      <c r="L392" s="3" t="s">
        <v>80</v>
      </c>
      <c r="O392" s="4">
        <v>3</v>
      </c>
      <c r="P392" s="4" t="s">
        <v>112</v>
      </c>
      <c r="Q392" s="4"/>
      <c r="R392" s="5"/>
      <c r="S392" s="6"/>
      <c r="T392" s="17"/>
      <c r="U392" s="6"/>
      <c r="V392" s="4"/>
      <c r="W392" s="4"/>
      <c r="X392" s="4"/>
      <c r="Y392" s="7">
        <v>1</v>
      </c>
      <c r="Z392" s="8">
        <v>7179249</v>
      </c>
      <c r="AA392" s="7" t="s">
        <v>92</v>
      </c>
      <c r="AB392" s="7"/>
      <c r="AC392" s="9">
        <v>1</v>
      </c>
      <c r="AD392" s="10">
        <v>7179249</v>
      </c>
      <c r="AE392" s="9" t="s">
        <v>92</v>
      </c>
      <c r="AF392" s="9"/>
      <c r="AG392" s="11">
        <v>2</v>
      </c>
      <c r="AH392" s="11" t="s">
        <v>93</v>
      </c>
      <c r="AI392" s="11"/>
      <c r="AJ392" s="11"/>
      <c r="AK392" s="11"/>
      <c r="AL392" s="12">
        <v>2</v>
      </c>
      <c r="AM392" s="12" t="s">
        <v>93</v>
      </c>
      <c r="AN392" s="12" t="s">
        <v>2012</v>
      </c>
      <c r="AO392" s="12"/>
      <c r="AP392" s="12"/>
      <c r="AQ392" s="4">
        <v>4</v>
      </c>
      <c r="AR392" s="4" t="s">
        <v>83</v>
      </c>
      <c r="AS392" s="4"/>
      <c r="AT392" s="13"/>
      <c r="AU392" s="13"/>
      <c r="AV392" s="13"/>
      <c r="AW392" s="13"/>
      <c r="AX392" s="4"/>
      <c r="AY392" s="13"/>
      <c r="AZ392" s="13"/>
      <c r="BA392" s="13"/>
      <c r="BB392" s="13"/>
      <c r="BC392" s="4"/>
      <c r="BD392" s="4"/>
      <c r="BE392" s="4"/>
      <c r="BF392" s="13"/>
      <c r="BG392" s="4"/>
      <c r="BH392" s="13"/>
      <c r="BI392" s="13"/>
      <c r="BJ392" s="4"/>
      <c r="BK392" s="14">
        <v>10</v>
      </c>
      <c r="BL392" s="14">
        <v>10</v>
      </c>
      <c r="BM392" s="14">
        <v>10</v>
      </c>
      <c r="BP392" s="15"/>
      <c r="BQ392" s="15" t="s">
        <v>136</v>
      </c>
      <c r="BR392" s="2" t="s">
        <v>97</v>
      </c>
      <c r="BS392" s="2" t="s">
        <v>97</v>
      </c>
      <c r="BT392" s="7" t="s">
        <v>463</v>
      </c>
      <c r="BU392" s="7"/>
      <c r="BV392" s="9" t="s">
        <v>463</v>
      </c>
      <c r="BW392" s="9"/>
    </row>
    <row r="393" spans="1:75" ht="14.25" customHeight="1" x14ac:dyDescent="0.25">
      <c r="A393" s="1">
        <v>894</v>
      </c>
      <c r="B393" s="1" t="s">
        <v>2013</v>
      </c>
      <c r="C393" s="1" t="s">
        <v>2014</v>
      </c>
      <c r="D393" s="1" t="s">
        <v>77</v>
      </c>
      <c r="E393" s="1" t="s">
        <v>2015</v>
      </c>
      <c r="F393" s="1" t="s">
        <v>2016</v>
      </c>
      <c r="G393" s="1"/>
      <c r="H393" s="2">
        <v>0</v>
      </c>
      <c r="I393" s="2">
        <v>0</v>
      </c>
      <c r="J393" s="2">
        <v>0</v>
      </c>
      <c r="K393" s="2">
        <v>1</v>
      </c>
      <c r="L393" s="3" t="s">
        <v>80</v>
      </c>
      <c r="O393" s="4">
        <v>2</v>
      </c>
      <c r="P393" s="4" t="s">
        <v>81</v>
      </c>
      <c r="Q393" s="4"/>
      <c r="R393" s="5"/>
      <c r="S393" s="6"/>
      <c r="T393" s="17"/>
      <c r="U393" s="6"/>
      <c r="V393" s="4"/>
      <c r="W393" s="4"/>
      <c r="X393" s="4"/>
      <c r="Y393" s="7">
        <v>1</v>
      </c>
      <c r="Z393" s="8">
        <v>6833350</v>
      </c>
      <c r="AA393" s="7" t="s">
        <v>82</v>
      </c>
      <c r="AB393" s="7"/>
      <c r="AC393" s="9">
        <v>1</v>
      </c>
      <c r="AD393" s="10">
        <v>6833350</v>
      </c>
      <c r="AE393" s="9" t="s">
        <v>82</v>
      </c>
      <c r="AF393" s="9"/>
      <c r="AG393" s="11">
        <v>3</v>
      </c>
      <c r="AH393" s="11" t="s">
        <v>83</v>
      </c>
      <c r="AI393" s="11"/>
      <c r="AJ393" s="11"/>
      <c r="AK393" s="11"/>
      <c r="AL393" s="12">
        <v>3</v>
      </c>
      <c r="AM393" s="12" t="s">
        <v>83</v>
      </c>
      <c r="AN393" s="12"/>
      <c r="AO393" s="12"/>
      <c r="AP393" s="12"/>
      <c r="AQ393" s="4">
        <v>4</v>
      </c>
      <c r="AR393" s="4" t="s">
        <v>83</v>
      </c>
      <c r="AS393" s="4"/>
      <c r="AT393" s="13"/>
      <c r="AU393" s="13"/>
      <c r="AV393" s="13"/>
      <c r="AW393" s="13"/>
      <c r="AX393" s="4"/>
      <c r="AY393" s="13"/>
      <c r="AZ393" s="13"/>
      <c r="BA393" s="13"/>
      <c r="BB393" s="13"/>
      <c r="BC393" s="4"/>
      <c r="BD393" s="4"/>
      <c r="BE393" s="4"/>
      <c r="BF393" s="13"/>
      <c r="BG393" s="4"/>
      <c r="BH393" s="13"/>
      <c r="BI393" s="13"/>
      <c r="BJ393" s="4"/>
      <c r="BK393" s="14">
        <v>10</v>
      </c>
      <c r="BL393" s="14">
        <v>10</v>
      </c>
      <c r="BM393" s="14">
        <v>10</v>
      </c>
      <c r="BP393" s="15"/>
      <c r="BQ393" s="15"/>
      <c r="BR393" s="2" t="s">
        <v>740</v>
      </c>
      <c r="BS393" s="2" t="s">
        <v>740</v>
      </c>
      <c r="BT393" s="7" t="s">
        <v>98</v>
      </c>
      <c r="BU393" s="7"/>
      <c r="BV393" s="9" t="s">
        <v>98</v>
      </c>
      <c r="BW393" s="9"/>
    </row>
    <row r="394" spans="1:75" ht="14.25" customHeight="1" x14ac:dyDescent="0.25">
      <c r="A394" s="1">
        <v>895</v>
      </c>
      <c r="B394" s="1" t="s">
        <v>2017</v>
      </c>
      <c r="C394" s="1" t="s">
        <v>2018</v>
      </c>
      <c r="D394" s="1" t="s">
        <v>77</v>
      </c>
      <c r="E394" s="1" t="s">
        <v>2015</v>
      </c>
      <c r="F394" s="1" t="s">
        <v>2016</v>
      </c>
      <c r="G394" s="1"/>
      <c r="H394" s="2">
        <v>0</v>
      </c>
      <c r="I394" s="2">
        <v>0</v>
      </c>
      <c r="J394" s="2">
        <v>1</v>
      </c>
      <c r="K394" s="2">
        <v>1</v>
      </c>
      <c r="L394" s="3" t="s">
        <v>80</v>
      </c>
      <c r="O394" s="4">
        <v>3</v>
      </c>
      <c r="P394" s="4" t="s">
        <v>81</v>
      </c>
      <c r="Q394" s="4" t="s">
        <v>1789</v>
      </c>
      <c r="R394" s="5"/>
      <c r="S394" s="6"/>
      <c r="T394" s="17"/>
      <c r="U394" s="6"/>
      <c r="V394" s="4"/>
      <c r="W394" s="4"/>
      <c r="X394" s="4"/>
      <c r="Y394" s="7">
        <v>3</v>
      </c>
      <c r="Z394" s="8">
        <v>445303</v>
      </c>
      <c r="AA394" s="7" t="s">
        <v>92</v>
      </c>
      <c r="AB394" s="7"/>
      <c r="AC394" s="9">
        <v>3</v>
      </c>
      <c r="AD394" s="10">
        <v>445303</v>
      </c>
      <c r="AE394" s="9" t="s">
        <v>92</v>
      </c>
      <c r="AF394" s="9"/>
      <c r="AG394" s="11">
        <v>2</v>
      </c>
      <c r="AH394" s="11" t="s">
        <v>93</v>
      </c>
      <c r="AI394" s="11" t="s">
        <v>2019</v>
      </c>
      <c r="AJ394" s="11"/>
      <c r="AK394" s="11"/>
      <c r="AL394" s="12">
        <v>2</v>
      </c>
      <c r="AM394" s="12" t="s">
        <v>83</v>
      </c>
      <c r="AN394" s="12" t="s">
        <v>2020</v>
      </c>
      <c r="AO394" s="12"/>
      <c r="AP394" s="12"/>
      <c r="AQ394" s="4">
        <v>4</v>
      </c>
      <c r="AR394" s="4" t="s">
        <v>83</v>
      </c>
      <c r="AS394" s="4"/>
      <c r="AT394" s="13"/>
      <c r="AU394" s="13"/>
      <c r="AV394" s="13"/>
      <c r="AW394" s="13"/>
      <c r="AX394" s="4"/>
      <c r="AY394" s="13"/>
      <c r="AZ394" s="13"/>
      <c r="BA394" s="13"/>
      <c r="BB394" s="13"/>
      <c r="BC394" s="4"/>
      <c r="BD394" s="4"/>
      <c r="BE394" s="4"/>
      <c r="BF394" s="13"/>
      <c r="BG394" s="4"/>
      <c r="BH394" s="13"/>
      <c r="BI394" s="13"/>
      <c r="BJ394" s="4"/>
      <c r="BK394" s="14">
        <v>12</v>
      </c>
      <c r="BL394" s="14">
        <v>12</v>
      </c>
      <c r="BM394" s="14">
        <v>12</v>
      </c>
      <c r="BP394" s="15"/>
      <c r="BQ394" s="15"/>
      <c r="BR394" s="2" t="s">
        <v>400</v>
      </c>
      <c r="BS394" s="2" t="s">
        <v>400</v>
      </c>
      <c r="BT394" s="7" t="s">
        <v>98</v>
      </c>
      <c r="BU394" s="7"/>
      <c r="BV394" s="9" t="s">
        <v>98</v>
      </c>
      <c r="BW394" s="9"/>
    </row>
    <row r="395" spans="1:75" ht="14.25" customHeight="1" x14ac:dyDescent="0.25">
      <c r="A395" s="1">
        <v>896</v>
      </c>
      <c r="B395" s="1" t="s">
        <v>2021</v>
      </c>
      <c r="C395" s="1" t="s">
        <v>2022</v>
      </c>
      <c r="D395" s="1" t="s">
        <v>77</v>
      </c>
      <c r="E395" s="1" t="s">
        <v>2015</v>
      </c>
      <c r="F395" s="1" t="s">
        <v>2016</v>
      </c>
      <c r="G395" s="1"/>
      <c r="H395" s="2">
        <v>0</v>
      </c>
      <c r="I395" s="2">
        <v>0</v>
      </c>
      <c r="J395" s="2">
        <v>1</v>
      </c>
      <c r="K395" s="2">
        <v>1</v>
      </c>
      <c r="L395" s="3" t="s">
        <v>80</v>
      </c>
      <c r="O395" s="4">
        <v>4</v>
      </c>
      <c r="P395" s="4" t="s">
        <v>101</v>
      </c>
      <c r="Q395" s="4" t="s">
        <v>2023</v>
      </c>
      <c r="R395" s="5"/>
      <c r="S395" s="6"/>
      <c r="T395" s="17"/>
      <c r="U395" s="6"/>
      <c r="V395" s="4"/>
      <c r="W395" s="4"/>
      <c r="X395" s="4"/>
      <c r="Y395" s="7">
        <v>4</v>
      </c>
      <c r="Z395" s="8">
        <v>124112</v>
      </c>
      <c r="AA395" s="7" t="s">
        <v>92</v>
      </c>
      <c r="AB395" s="7"/>
      <c r="AC395" s="9">
        <v>4</v>
      </c>
      <c r="AD395" s="10">
        <v>124112</v>
      </c>
      <c r="AE395" s="9" t="s">
        <v>92</v>
      </c>
      <c r="AF395" s="9"/>
      <c r="AG395" s="11">
        <v>4</v>
      </c>
      <c r="AH395" s="11" t="s">
        <v>93</v>
      </c>
      <c r="AI395" s="11" t="s">
        <v>2024</v>
      </c>
      <c r="AJ395" s="11"/>
      <c r="AK395" s="11"/>
      <c r="AL395" s="12">
        <v>3</v>
      </c>
      <c r="AM395" s="12" t="s">
        <v>93</v>
      </c>
      <c r="AN395" s="12" t="s">
        <v>394</v>
      </c>
      <c r="AO395" s="12"/>
      <c r="AP395" s="12"/>
      <c r="AQ395" s="4">
        <v>4</v>
      </c>
      <c r="AR395" s="4" t="s">
        <v>83</v>
      </c>
      <c r="AS395" s="4"/>
      <c r="AT395" s="13"/>
      <c r="AU395" s="13"/>
      <c r="AV395" s="13"/>
      <c r="AW395" s="13"/>
      <c r="AX395" s="4"/>
      <c r="AY395" s="13"/>
      <c r="AZ395" s="13"/>
      <c r="BA395" s="13"/>
      <c r="BB395" s="13"/>
      <c r="BC395" s="4"/>
      <c r="BD395" s="4"/>
      <c r="BE395" s="4"/>
      <c r="BF395" s="13"/>
      <c r="BG395" s="4"/>
      <c r="BH395" s="13"/>
      <c r="BI395" s="13"/>
      <c r="BJ395" s="4"/>
      <c r="BK395" s="14">
        <v>16</v>
      </c>
      <c r="BL395" s="14">
        <v>15</v>
      </c>
      <c r="BM395" s="14">
        <v>16</v>
      </c>
      <c r="BN395" s="3" t="s">
        <v>86</v>
      </c>
      <c r="BP395" s="15"/>
      <c r="BQ395" s="15"/>
      <c r="BR395" s="2" t="s">
        <v>108</v>
      </c>
      <c r="BS395" s="2" t="s">
        <v>108</v>
      </c>
      <c r="BT395" s="7" t="s">
        <v>109</v>
      </c>
      <c r="BU395" s="7"/>
      <c r="BV395" s="9" t="s">
        <v>109</v>
      </c>
      <c r="BW395" s="9"/>
    </row>
    <row r="396" spans="1:75" ht="14.25" customHeight="1" x14ac:dyDescent="0.25">
      <c r="A396" s="1">
        <v>897</v>
      </c>
      <c r="B396" s="1" t="s">
        <v>2025</v>
      </c>
      <c r="C396" s="1" t="s">
        <v>2026</v>
      </c>
      <c r="D396" s="1" t="s">
        <v>77</v>
      </c>
      <c r="E396" s="1" t="s">
        <v>2015</v>
      </c>
      <c r="F396" s="1" t="s">
        <v>2016</v>
      </c>
      <c r="G396" s="1"/>
      <c r="H396" s="2">
        <v>0</v>
      </c>
      <c r="I396" s="2">
        <v>0</v>
      </c>
      <c r="J396" s="2">
        <v>0</v>
      </c>
      <c r="K396" s="2">
        <v>1</v>
      </c>
      <c r="L396" s="3" t="s">
        <v>80</v>
      </c>
      <c r="O396" s="4">
        <v>3</v>
      </c>
      <c r="P396" s="4" t="s">
        <v>81</v>
      </c>
      <c r="Q396" s="4"/>
      <c r="R396" s="5"/>
      <c r="S396" s="6"/>
      <c r="T396" s="17"/>
      <c r="U396" s="6"/>
      <c r="V396" s="4"/>
      <c r="W396" s="4"/>
      <c r="X396" s="4"/>
      <c r="Y396" s="7">
        <v>4</v>
      </c>
      <c r="Z396" s="8">
        <v>242255</v>
      </c>
      <c r="AA396" s="7" t="s">
        <v>283</v>
      </c>
      <c r="AB396" s="7"/>
      <c r="AC396" s="9">
        <v>4</v>
      </c>
      <c r="AD396" s="10">
        <v>242255</v>
      </c>
      <c r="AE396" s="9" t="s">
        <v>283</v>
      </c>
      <c r="AF396" s="9"/>
      <c r="AG396" s="11">
        <v>3</v>
      </c>
      <c r="AH396" s="11" t="s">
        <v>83</v>
      </c>
      <c r="AI396" s="11"/>
      <c r="AJ396" s="11"/>
      <c r="AK396" s="11"/>
      <c r="AL396" s="12">
        <v>3</v>
      </c>
      <c r="AM396" s="12" t="s">
        <v>83</v>
      </c>
      <c r="AN396" s="12"/>
      <c r="AO396" s="12"/>
      <c r="AP396" s="12"/>
      <c r="AQ396" s="4">
        <v>4</v>
      </c>
      <c r="AR396" s="4" t="s">
        <v>83</v>
      </c>
      <c r="AS396" s="4"/>
      <c r="AT396" s="13"/>
      <c r="AU396" s="13"/>
      <c r="AV396" s="13"/>
      <c r="AW396" s="13"/>
      <c r="AX396" s="4"/>
      <c r="AY396" s="13"/>
      <c r="AZ396" s="13"/>
      <c r="BA396" s="13"/>
      <c r="BB396" s="13"/>
      <c r="BC396" s="4"/>
      <c r="BD396" s="4"/>
      <c r="BE396" s="4"/>
      <c r="BF396" s="13"/>
      <c r="BG396" s="4"/>
      <c r="BH396" s="13"/>
      <c r="BI396" s="13"/>
      <c r="BJ396" s="4"/>
      <c r="BK396" s="14">
        <v>14</v>
      </c>
      <c r="BL396" s="14">
        <v>14</v>
      </c>
      <c r="BM396" s="14">
        <v>14</v>
      </c>
      <c r="BN396" s="3" t="s">
        <v>86</v>
      </c>
      <c r="BP396" s="15"/>
      <c r="BQ396" s="15"/>
      <c r="BR396" s="2" t="s">
        <v>121</v>
      </c>
      <c r="BS396" s="2" t="s">
        <v>121</v>
      </c>
      <c r="BT396" s="7" t="s">
        <v>98</v>
      </c>
      <c r="BU396" s="7"/>
      <c r="BV396" s="9" t="s">
        <v>98</v>
      </c>
      <c r="BW396" s="9"/>
    </row>
    <row r="397" spans="1:75" ht="14.25" customHeight="1" x14ac:dyDescent="0.25">
      <c r="A397" s="1">
        <v>898</v>
      </c>
      <c r="B397" s="1" t="s">
        <v>2027</v>
      </c>
      <c r="C397" s="1" t="s">
        <v>2028</v>
      </c>
      <c r="D397" s="1" t="s">
        <v>77</v>
      </c>
      <c r="E397" s="1" t="s">
        <v>2015</v>
      </c>
      <c r="F397" s="1" t="s">
        <v>2016</v>
      </c>
      <c r="G397" s="1" t="s">
        <v>118</v>
      </c>
      <c r="H397" s="2">
        <v>0</v>
      </c>
      <c r="I397" s="2">
        <v>0</v>
      </c>
      <c r="J397" s="2">
        <v>0</v>
      </c>
      <c r="K397" s="2">
        <v>1</v>
      </c>
      <c r="L397" s="3" t="s">
        <v>80</v>
      </c>
      <c r="O397" s="4">
        <v>5</v>
      </c>
      <c r="P397" s="4" t="s">
        <v>81</v>
      </c>
      <c r="Q397" s="4"/>
      <c r="R397" s="5"/>
      <c r="S397" s="6"/>
      <c r="T397" s="17"/>
      <c r="U397" s="6"/>
      <c r="V397" s="4"/>
      <c r="W397" s="4"/>
      <c r="X397" s="4"/>
      <c r="Y397" s="7">
        <v>5</v>
      </c>
      <c r="Z397" s="8">
        <v>12562</v>
      </c>
      <c r="AA397" s="7" t="s">
        <v>82</v>
      </c>
      <c r="AB397" s="7"/>
      <c r="AC397" s="9">
        <v>5</v>
      </c>
      <c r="AD397" s="10">
        <v>12562</v>
      </c>
      <c r="AE397" s="9" t="s">
        <v>82</v>
      </c>
      <c r="AF397" s="9"/>
      <c r="AG397" s="11">
        <v>4</v>
      </c>
      <c r="AH397" s="11" t="s">
        <v>83</v>
      </c>
      <c r="AI397" s="11" t="s">
        <v>2029</v>
      </c>
      <c r="AJ397" s="11"/>
      <c r="AK397" s="11"/>
      <c r="AL397" s="12">
        <v>4</v>
      </c>
      <c r="AM397" s="12" t="s">
        <v>83</v>
      </c>
      <c r="AN397" s="12"/>
      <c r="AO397" s="12"/>
      <c r="AP397" s="12"/>
      <c r="AQ397" s="4">
        <v>4</v>
      </c>
      <c r="AR397" s="4" t="s">
        <v>83</v>
      </c>
      <c r="AS397" s="4" t="s">
        <v>2030</v>
      </c>
      <c r="AT397" s="13"/>
      <c r="AU397" s="13"/>
      <c r="AV397" s="13"/>
      <c r="AW397" s="13"/>
      <c r="AX397" s="4"/>
      <c r="AY397" s="13"/>
      <c r="AZ397" s="13"/>
      <c r="BA397" s="13"/>
      <c r="BB397" s="13"/>
      <c r="BC397" s="4"/>
      <c r="BD397" s="4"/>
      <c r="BE397" s="4"/>
      <c r="BF397" s="13"/>
      <c r="BG397" s="4"/>
      <c r="BH397" s="13"/>
      <c r="BI397" s="13"/>
      <c r="BJ397" s="4"/>
      <c r="BK397" s="14">
        <v>18</v>
      </c>
      <c r="BL397" s="14">
        <v>18</v>
      </c>
      <c r="BM397" s="14">
        <v>18</v>
      </c>
      <c r="BN397" s="3" t="s">
        <v>312</v>
      </c>
      <c r="BO397" s="3" t="s">
        <v>120</v>
      </c>
      <c r="BP397" s="15"/>
      <c r="BQ397" s="15"/>
      <c r="BR397" s="2" t="s">
        <v>108</v>
      </c>
      <c r="BS397" s="2" t="s">
        <v>108</v>
      </c>
      <c r="BT397" s="7" t="s">
        <v>98</v>
      </c>
      <c r="BU397" s="7"/>
      <c r="BV397" s="9" t="s">
        <v>98</v>
      </c>
      <c r="BW397" s="9"/>
    </row>
    <row r="398" spans="1:75" ht="14.25" customHeight="1" x14ac:dyDescent="0.25">
      <c r="A398" s="1">
        <v>899</v>
      </c>
      <c r="B398" s="1" t="s">
        <v>2031</v>
      </c>
      <c r="C398" s="1" t="s">
        <v>2032</v>
      </c>
      <c r="D398" s="1" t="s">
        <v>77</v>
      </c>
      <c r="E398" s="1" t="s">
        <v>2015</v>
      </c>
      <c r="F398" s="1" t="s">
        <v>2016</v>
      </c>
      <c r="G398" s="1"/>
      <c r="H398" s="2">
        <v>0</v>
      </c>
      <c r="I398" s="2">
        <v>0</v>
      </c>
      <c r="J398" s="2">
        <v>1</v>
      </c>
      <c r="K398" s="2">
        <v>1</v>
      </c>
      <c r="L398" s="3" t="s">
        <v>80</v>
      </c>
      <c r="O398" s="4">
        <v>3</v>
      </c>
      <c r="P398" s="4" t="s">
        <v>81</v>
      </c>
      <c r="Q398" s="4" t="s">
        <v>677</v>
      </c>
      <c r="R398" s="5"/>
      <c r="S398" s="6"/>
      <c r="T398" s="17"/>
      <c r="U398" s="6"/>
      <c r="V398" s="4"/>
      <c r="W398" s="4"/>
      <c r="X398" s="4"/>
      <c r="Y398" s="7">
        <v>1</v>
      </c>
      <c r="Z398" s="8">
        <v>6918897</v>
      </c>
      <c r="AA398" s="7" t="s">
        <v>92</v>
      </c>
      <c r="AB398" s="7"/>
      <c r="AC398" s="9">
        <v>1</v>
      </c>
      <c r="AD398" s="10">
        <v>6918897</v>
      </c>
      <c r="AE398" s="9" t="s">
        <v>92</v>
      </c>
      <c r="AF398" s="9"/>
      <c r="AG398" s="11">
        <v>3</v>
      </c>
      <c r="AH398" s="11" t="s">
        <v>93</v>
      </c>
      <c r="AI398" s="11"/>
      <c r="AJ398" s="11"/>
      <c r="AK398" s="11"/>
      <c r="AL398" s="12">
        <v>3</v>
      </c>
      <c r="AM398" s="12" t="s">
        <v>93</v>
      </c>
      <c r="AN398" s="12" t="s">
        <v>394</v>
      </c>
      <c r="AO398" s="12"/>
      <c r="AP398" s="12"/>
      <c r="AQ398" s="4">
        <v>3</v>
      </c>
      <c r="AR398" s="4" t="s">
        <v>83</v>
      </c>
      <c r="AS398" s="4" t="s">
        <v>2033</v>
      </c>
      <c r="AT398" s="13"/>
      <c r="AU398" s="13"/>
      <c r="AV398" s="13"/>
      <c r="AW398" s="13"/>
      <c r="AX398" s="4"/>
      <c r="AY398" s="13"/>
      <c r="AZ398" s="13"/>
      <c r="BA398" s="13"/>
      <c r="BB398" s="13"/>
      <c r="BC398" s="4"/>
      <c r="BD398" s="4"/>
      <c r="BE398" s="4"/>
      <c r="BF398" s="13"/>
      <c r="BG398" s="4"/>
      <c r="BH398" s="13"/>
      <c r="BI398" s="13"/>
      <c r="BJ398" s="4"/>
      <c r="BK398" s="14">
        <v>10</v>
      </c>
      <c r="BL398" s="14">
        <v>10</v>
      </c>
      <c r="BM398" s="14">
        <v>10</v>
      </c>
      <c r="BP398" s="15"/>
      <c r="BQ398" s="15"/>
      <c r="BR398" s="2" t="s">
        <v>400</v>
      </c>
      <c r="BS398" s="2" t="s">
        <v>400</v>
      </c>
      <c r="BT398" s="7" t="s">
        <v>98</v>
      </c>
      <c r="BU398" s="7"/>
      <c r="BV398" s="9" t="s">
        <v>98</v>
      </c>
      <c r="BW398" s="9"/>
    </row>
    <row r="399" spans="1:75" ht="14.25" customHeight="1" x14ac:dyDescent="0.25">
      <c r="A399" s="1">
        <v>900</v>
      </c>
      <c r="B399" s="1" t="s">
        <v>2034</v>
      </c>
      <c r="C399" s="1" t="s">
        <v>2035</v>
      </c>
      <c r="D399" s="1" t="s">
        <v>77</v>
      </c>
      <c r="E399" s="1" t="s">
        <v>2015</v>
      </c>
      <c r="F399" s="1" t="s">
        <v>2016</v>
      </c>
      <c r="G399" s="1"/>
      <c r="H399" s="2">
        <v>0</v>
      </c>
      <c r="I399" s="2">
        <v>0</v>
      </c>
      <c r="J399" s="2">
        <v>0</v>
      </c>
      <c r="K399" s="2">
        <v>1</v>
      </c>
      <c r="L399" s="3" t="s">
        <v>80</v>
      </c>
      <c r="O399" s="4">
        <v>3</v>
      </c>
      <c r="P399" s="4" t="s">
        <v>81</v>
      </c>
      <c r="Q399" s="4"/>
      <c r="R399" s="5"/>
      <c r="S399" s="6"/>
      <c r="T399" s="17"/>
      <c r="U399" s="6"/>
      <c r="V399" s="4"/>
      <c r="W399" s="4"/>
      <c r="X399" s="4"/>
      <c r="Y399" s="7">
        <v>1</v>
      </c>
      <c r="Z399" s="8">
        <v>6609763</v>
      </c>
      <c r="AA399" s="7" t="s">
        <v>82</v>
      </c>
      <c r="AB399" s="7"/>
      <c r="AC399" s="9">
        <v>1</v>
      </c>
      <c r="AD399" s="10">
        <v>6609763</v>
      </c>
      <c r="AE399" s="9" t="s">
        <v>82</v>
      </c>
      <c r="AF399" s="9"/>
      <c r="AG399" s="11">
        <v>4</v>
      </c>
      <c r="AH399" s="11" t="s">
        <v>83</v>
      </c>
      <c r="AI399" s="11"/>
      <c r="AJ399" s="11"/>
      <c r="AK399" s="11"/>
      <c r="AL399" s="12">
        <v>4</v>
      </c>
      <c r="AM399" s="12" t="s">
        <v>83</v>
      </c>
      <c r="AN399" s="12"/>
      <c r="AO399" s="12"/>
      <c r="AP399" s="12"/>
      <c r="AQ399" s="4">
        <v>5</v>
      </c>
      <c r="AR399" s="4" t="s">
        <v>83</v>
      </c>
      <c r="AS399" s="4" t="s">
        <v>2036</v>
      </c>
      <c r="AT399" s="13"/>
      <c r="AU399" s="13"/>
      <c r="AV399" s="13"/>
      <c r="AW399" s="13"/>
      <c r="AX399" s="4"/>
      <c r="AY399" s="13"/>
      <c r="AZ399" s="13"/>
      <c r="BA399" s="13"/>
      <c r="BB399" s="13"/>
      <c r="BC399" s="4"/>
      <c r="BD399" s="4"/>
      <c r="BE399" s="4"/>
      <c r="BF399" s="13"/>
      <c r="BG399" s="4"/>
      <c r="BH399" s="13"/>
      <c r="BI399" s="13"/>
      <c r="BJ399" s="4"/>
      <c r="BK399" s="14">
        <v>13</v>
      </c>
      <c r="BL399" s="14">
        <v>13</v>
      </c>
      <c r="BM399" s="14">
        <v>13</v>
      </c>
      <c r="BN399" s="3" t="s">
        <v>113</v>
      </c>
      <c r="BP399" s="15"/>
      <c r="BQ399" s="15"/>
      <c r="BR399" s="2" t="s">
        <v>97</v>
      </c>
      <c r="BS399" s="2" t="s">
        <v>97</v>
      </c>
      <c r="BT399" s="7" t="s">
        <v>98</v>
      </c>
      <c r="BU399" s="7"/>
      <c r="BV399" s="9" t="s">
        <v>98</v>
      </c>
      <c r="BW399" s="9"/>
    </row>
    <row r="400" spans="1:75" ht="14.25" customHeight="1" x14ac:dyDescent="0.25">
      <c r="A400" s="1">
        <v>901</v>
      </c>
      <c r="B400" s="1" t="s">
        <v>2037</v>
      </c>
      <c r="C400" s="1" t="s">
        <v>2038</v>
      </c>
      <c r="D400" s="1" t="s">
        <v>77</v>
      </c>
      <c r="E400" s="1" t="s">
        <v>2015</v>
      </c>
      <c r="F400" s="1" t="s">
        <v>2016</v>
      </c>
      <c r="G400" s="1"/>
      <c r="H400" s="2">
        <v>0</v>
      </c>
      <c r="I400" s="2">
        <v>1</v>
      </c>
      <c r="J400" s="2">
        <v>1</v>
      </c>
      <c r="K400" s="2">
        <v>1</v>
      </c>
      <c r="L400" s="3" t="s">
        <v>80</v>
      </c>
      <c r="O400" s="4">
        <v>4</v>
      </c>
      <c r="P400" s="4" t="s">
        <v>753</v>
      </c>
      <c r="Q400" s="4" t="s">
        <v>2039</v>
      </c>
      <c r="R400" s="16">
        <v>200000</v>
      </c>
      <c r="S400" s="6">
        <v>200000</v>
      </c>
      <c r="T400" s="17" t="s">
        <v>1869</v>
      </c>
      <c r="U400" s="6">
        <v>500</v>
      </c>
      <c r="V400" s="4"/>
      <c r="W400" s="4" t="s">
        <v>543</v>
      </c>
      <c r="X400" s="4" t="s">
        <v>2040</v>
      </c>
      <c r="Y400" s="7">
        <v>3</v>
      </c>
      <c r="Z400" s="8">
        <v>694383</v>
      </c>
      <c r="AA400" s="7" t="s">
        <v>92</v>
      </c>
      <c r="AB400" s="7"/>
      <c r="AC400" s="9">
        <v>3</v>
      </c>
      <c r="AD400" s="10">
        <v>650307</v>
      </c>
      <c r="AE400" s="9" t="s">
        <v>92</v>
      </c>
      <c r="AF400" s="9" t="s">
        <v>2041</v>
      </c>
      <c r="AG400" s="11">
        <v>3</v>
      </c>
      <c r="AH400" s="11" t="s">
        <v>271</v>
      </c>
      <c r="AI400" s="11" t="s">
        <v>2042</v>
      </c>
      <c r="AJ400" s="11"/>
      <c r="AK400" s="11"/>
      <c r="AL400" s="12">
        <v>3</v>
      </c>
      <c r="AM400" s="12" t="s">
        <v>271</v>
      </c>
      <c r="AN400" s="12" t="s">
        <v>698</v>
      </c>
      <c r="AO400" s="12"/>
      <c r="AP400" s="12"/>
      <c r="AQ400" s="4">
        <v>4</v>
      </c>
      <c r="AR400" s="4" t="s">
        <v>93</v>
      </c>
      <c r="AS400" s="4"/>
      <c r="AT400" s="13"/>
      <c r="AU400" s="13"/>
      <c r="AV400" s="13"/>
      <c r="AW400" s="13"/>
      <c r="AX400" s="4"/>
      <c r="AY400" s="13"/>
      <c r="AZ400" s="13"/>
      <c r="BA400" s="13"/>
      <c r="BB400" s="13"/>
      <c r="BC400" s="4"/>
      <c r="BD400" s="4"/>
      <c r="BE400" s="4"/>
      <c r="BF400" s="13"/>
      <c r="BG400" s="4"/>
      <c r="BH400" s="13"/>
      <c r="BI400" s="13"/>
      <c r="BJ400" s="4"/>
      <c r="BK400" s="14">
        <v>14</v>
      </c>
      <c r="BL400" s="14">
        <v>14</v>
      </c>
      <c r="BM400" s="14">
        <v>14</v>
      </c>
      <c r="BN400" s="3" t="s">
        <v>86</v>
      </c>
      <c r="BP400" s="15"/>
      <c r="BQ400" s="15"/>
      <c r="BR400" s="2" t="s">
        <v>409</v>
      </c>
      <c r="BS400" s="2" t="s">
        <v>409</v>
      </c>
      <c r="BT400" s="7" t="s">
        <v>438</v>
      </c>
      <c r="BU400" s="7" t="s">
        <v>109</v>
      </c>
      <c r="BV400" s="9" t="s">
        <v>109</v>
      </c>
      <c r="BW400" s="9" t="s">
        <v>438</v>
      </c>
    </row>
    <row r="401" spans="1:75" ht="14.25" customHeight="1" x14ac:dyDescent="0.25">
      <c r="A401" s="1">
        <v>902</v>
      </c>
      <c r="B401" s="1" t="s">
        <v>2043</v>
      </c>
      <c r="C401" s="1" t="s">
        <v>2044</v>
      </c>
      <c r="D401" s="1" t="s">
        <v>77</v>
      </c>
      <c r="E401" s="1" t="s">
        <v>2015</v>
      </c>
      <c r="F401" s="1" t="s">
        <v>2016</v>
      </c>
      <c r="G401" s="1"/>
      <c r="H401" s="2">
        <v>0</v>
      </c>
      <c r="I401" s="2">
        <v>0</v>
      </c>
      <c r="J401" s="2">
        <v>1</v>
      </c>
      <c r="K401" s="2">
        <v>1</v>
      </c>
      <c r="L401" s="3" t="s">
        <v>80</v>
      </c>
      <c r="O401" s="4">
        <v>4</v>
      </c>
      <c r="P401" s="4" t="s">
        <v>112</v>
      </c>
      <c r="Q401" s="4"/>
      <c r="R401" s="5"/>
      <c r="S401" s="6"/>
      <c r="T401" s="17"/>
      <c r="U401" s="6"/>
      <c r="V401" s="4"/>
      <c r="W401" s="4"/>
      <c r="X401" s="4"/>
      <c r="Y401" s="7">
        <v>3</v>
      </c>
      <c r="Z401" s="8">
        <v>376140</v>
      </c>
      <c r="AA401" s="7" t="s">
        <v>92</v>
      </c>
      <c r="AB401" s="7"/>
      <c r="AC401" s="9">
        <v>3</v>
      </c>
      <c r="AD401" s="10">
        <v>376140</v>
      </c>
      <c r="AE401" s="9" t="s">
        <v>92</v>
      </c>
      <c r="AF401" s="9"/>
      <c r="AG401" s="11">
        <v>3</v>
      </c>
      <c r="AH401" s="11" t="s">
        <v>93</v>
      </c>
      <c r="AI401" s="11"/>
      <c r="AJ401" s="11"/>
      <c r="AK401" s="11"/>
      <c r="AL401" s="12">
        <v>3</v>
      </c>
      <c r="AM401" s="12" t="s">
        <v>93</v>
      </c>
      <c r="AN401" s="12" t="s">
        <v>698</v>
      </c>
      <c r="AO401" s="12"/>
      <c r="AP401" s="12"/>
      <c r="AQ401" s="4">
        <v>4</v>
      </c>
      <c r="AR401" s="4" t="s">
        <v>83</v>
      </c>
      <c r="AS401" s="4"/>
      <c r="AT401" s="13"/>
      <c r="AU401" s="13"/>
      <c r="AV401" s="13"/>
      <c r="AW401" s="13"/>
      <c r="AX401" s="4"/>
      <c r="AY401" s="13"/>
      <c r="AZ401" s="13"/>
      <c r="BA401" s="13"/>
      <c r="BB401" s="13"/>
      <c r="BC401" s="4"/>
      <c r="BD401" s="4"/>
      <c r="BE401" s="4"/>
      <c r="BF401" s="13"/>
      <c r="BG401" s="4"/>
      <c r="BH401" s="13"/>
      <c r="BI401" s="13"/>
      <c r="BJ401" s="4"/>
      <c r="BK401" s="14">
        <v>14</v>
      </c>
      <c r="BL401" s="14">
        <v>14</v>
      </c>
      <c r="BM401" s="14">
        <v>14</v>
      </c>
      <c r="BN401" s="3" t="s">
        <v>86</v>
      </c>
      <c r="BP401" s="15"/>
      <c r="BQ401" s="15"/>
      <c r="BR401" s="2" t="s">
        <v>409</v>
      </c>
      <c r="BS401" s="2" t="s">
        <v>409</v>
      </c>
      <c r="BT401" s="7" t="s">
        <v>438</v>
      </c>
      <c r="BU401" s="7" t="s">
        <v>437</v>
      </c>
      <c r="BV401" s="9" t="s">
        <v>438</v>
      </c>
      <c r="BW401" s="9" t="s">
        <v>437</v>
      </c>
    </row>
    <row r="402" spans="1:75" ht="14.25" customHeight="1" x14ac:dyDescent="0.25">
      <c r="A402" s="1">
        <v>903</v>
      </c>
      <c r="B402" s="1" t="s">
        <v>2045</v>
      </c>
      <c r="C402" s="1" t="s">
        <v>2046</v>
      </c>
      <c r="D402" s="1" t="s">
        <v>77</v>
      </c>
      <c r="E402" s="1" t="s">
        <v>2015</v>
      </c>
      <c r="F402" s="1" t="s">
        <v>2016</v>
      </c>
      <c r="G402" s="1"/>
      <c r="H402" s="2">
        <v>0</v>
      </c>
      <c r="I402" s="2">
        <v>0</v>
      </c>
      <c r="J402" s="2">
        <v>1</v>
      </c>
      <c r="K402" s="2">
        <v>1</v>
      </c>
      <c r="L402" s="3" t="s">
        <v>80</v>
      </c>
      <c r="O402" s="4">
        <v>2</v>
      </c>
      <c r="P402" s="4" t="s">
        <v>112</v>
      </c>
      <c r="Q402" s="4"/>
      <c r="R402" s="5"/>
      <c r="S402" s="6"/>
      <c r="T402" s="17"/>
      <c r="U402" s="6"/>
      <c r="V402" s="4"/>
      <c r="W402" s="4"/>
      <c r="X402" s="4"/>
      <c r="Y402" s="7">
        <v>1</v>
      </c>
      <c r="Z402" s="8">
        <v>5408667</v>
      </c>
      <c r="AA402" s="7" t="s">
        <v>92</v>
      </c>
      <c r="AB402" s="7"/>
      <c r="AC402" s="9">
        <v>1</v>
      </c>
      <c r="AD402" s="10">
        <v>5408667</v>
      </c>
      <c r="AE402" s="9" t="s">
        <v>92</v>
      </c>
      <c r="AF402" s="9"/>
      <c r="AG402" s="11">
        <v>3</v>
      </c>
      <c r="AH402" s="11" t="s">
        <v>93</v>
      </c>
      <c r="AI402" s="11"/>
      <c r="AJ402" s="11"/>
      <c r="AK402" s="11"/>
      <c r="AL402" s="12">
        <v>3</v>
      </c>
      <c r="AM402" s="12" t="s">
        <v>93</v>
      </c>
      <c r="AN402" s="12" t="s">
        <v>698</v>
      </c>
      <c r="AO402" s="12"/>
      <c r="AP402" s="12"/>
      <c r="AQ402" s="4">
        <v>4</v>
      </c>
      <c r="AR402" s="4" t="s">
        <v>83</v>
      </c>
      <c r="AS402" s="4"/>
      <c r="AT402" s="13"/>
      <c r="AU402" s="13"/>
      <c r="AV402" s="13"/>
      <c r="AW402" s="13"/>
      <c r="AX402" s="4"/>
      <c r="AY402" s="13"/>
      <c r="AZ402" s="13"/>
      <c r="BA402" s="13"/>
      <c r="BB402" s="13"/>
      <c r="BC402" s="4"/>
      <c r="BD402" s="4"/>
      <c r="BE402" s="4"/>
      <c r="BF402" s="13"/>
      <c r="BG402" s="4"/>
      <c r="BH402" s="13"/>
      <c r="BI402" s="13"/>
      <c r="BJ402" s="4"/>
      <c r="BK402" s="14">
        <v>10</v>
      </c>
      <c r="BL402" s="14">
        <v>10</v>
      </c>
      <c r="BM402" s="14">
        <v>10</v>
      </c>
      <c r="BP402" s="15"/>
      <c r="BQ402" s="15"/>
      <c r="BR402" s="2" t="s">
        <v>97</v>
      </c>
      <c r="BS402" s="2" t="s">
        <v>97</v>
      </c>
      <c r="BT402" s="7" t="s">
        <v>98</v>
      </c>
      <c r="BU402" s="7"/>
      <c r="BV402" s="9" t="s">
        <v>98</v>
      </c>
      <c r="BW402" s="9"/>
    </row>
    <row r="403" spans="1:75" ht="14.25" customHeight="1" x14ac:dyDescent="0.25">
      <c r="A403" s="1">
        <v>904</v>
      </c>
      <c r="B403" s="1" t="s">
        <v>2047</v>
      </c>
      <c r="C403" s="1" t="s">
        <v>2048</v>
      </c>
      <c r="D403" s="1" t="s">
        <v>77</v>
      </c>
      <c r="E403" s="1" t="s">
        <v>2015</v>
      </c>
      <c r="F403" s="1" t="s">
        <v>2016</v>
      </c>
      <c r="G403" s="1" t="s">
        <v>118</v>
      </c>
      <c r="H403" s="2">
        <v>0</v>
      </c>
      <c r="I403" s="2">
        <v>0</v>
      </c>
      <c r="J403" s="2">
        <v>1</v>
      </c>
      <c r="K403" s="2">
        <v>0</v>
      </c>
      <c r="L403" s="3" t="s">
        <v>80</v>
      </c>
      <c r="O403" s="4">
        <v>5</v>
      </c>
      <c r="P403" s="4" t="s">
        <v>112</v>
      </c>
      <c r="Q403" s="4" t="s">
        <v>2049</v>
      </c>
      <c r="R403" s="5"/>
      <c r="S403" s="6"/>
      <c r="T403" s="17"/>
      <c r="U403" s="6"/>
      <c r="V403" s="4"/>
      <c r="W403" s="4"/>
      <c r="X403" s="4"/>
      <c r="Y403" s="7">
        <v>4</v>
      </c>
      <c r="Z403" s="8">
        <v>293870</v>
      </c>
      <c r="AA403" s="7" t="s">
        <v>92</v>
      </c>
      <c r="AB403" s="7"/>
      <c r="AC403" s="9">
        <v>4</v>
      </c>
      <c r="AD403" s="10">
        <v>293870</v>
      </c>
      <c r="AE403" s="9" t="s">
        <v>92</v>
      </c>
      <c r="AF403" s="9"/>
      <c r="AG403" s="11">
        <v>4</v>
      </c>
      <c r="AH403" s="11" t="s">
        <v>271</v>
      </c>
      <c r="AI403" s="11" t="s">
        <v>2050</v>
      </c>
      <c r="AJ403" s="11"/>
      <c r="AK403" s="11"/>
      <c r="AL403" s="12">
        <v>4</v>
      </c>
      <c r="AM403" s="12" t="s">
        <v>271</v>
      </c>
      <c r="AN403" s="12" t="s">
        <v>805</v>
      </c>
      <c r="AO403" s="12"/>
      <c r="AP403" s="12"/>
      <c r="AQ403" s="4">
        <v>4</v>
      </c>
      <c r="AR403" s="4" t="s">
        <v>441</v>
      </c>
      <c r="AS403" s="4" t="s">
        <v>2051</v>
      </c>
      <c r="AT403" s="13"/>
      <c r="AU403" s="13"/>
      <c r="AV403" s="13"/>
      <c r="AW403" s="13"/>
      <c r="AX403" s="4"/>
      <c r="AY403" s="13"/>
      <c r="AZ403" s="13"/>
      <c r="BA403" s="13"/>
      <c r="BB403" s="13"/>
      <c r="BC403" s="4"/>
      <c r="BD403" s="4"/>
      <c r="BE403" s="4"/>
      <c r="BF403" s="13"/>
      <c r="BG403" s="4"/>
      <c r="BH403" s="13"/>
      <c r="BI403" s="13"/>
      <c r="BJ403" s="4"/>
      <c r="BK403" s="14">
        <v>17</v>
      </c>
      <c r="BL403" s="14">
        <v>17</v>
      </c>
      <c r="BM403" s="14">
        <v>17</v>
      </c>
      <c r="BN403" s="3" t="s">
        <v>312</v>
      </c>
      <c r="BP403" s="15"/>
      <c r="BQ403" s="15"/>
      <c r="BR403" s="2" t="s">
        <v>409</v>
      </c>
      <c r="BS403" s="2" t="s">
        <v>409</v>
      </c>
      <c r="BT403" s="7" t="s">
        <v>437</v>
      </c>
      <c r="BU403" s="7" t="s">
        <v>438</v>
      </c>
      <c r="BV403" s="9" t="s">
        <v>437</v>
      </c>
      <c r="BW403" s="9" t="s">
        <v>438</v>
      </c>
    </row>
    <row r="404" spans="1:75" ht="14.25" customHeight="1" x14ac:dyDescent="0.25">
      <c r="A404" s="1">
        <v>905</v>
      </c>
      <c r="B404" s="1" t="s">
        <v>2052</v>
      </c>
      <c r="C404" s="1" t="s">
        <v>2053</v>
      </c>
      <c r="D404" s="1" t="s">
        <v>77</v>
      </c>
      <c r="E404" s="1" t="s">
        <v>2015</v>
      </c>
      <c r="F404" s="1" t="s">
        <v>2016</v>
      </c>
      <c r="G404" s="1"/>
      <c r="H404" s="2">
        <v>0</v>
      </c>
      <c r="I404" s="2">
        <v>0</v>
      </c>
      <c r="J404" s="2">
        <v>0</v>
      </c>
      <c r="K404" s="2">
        <v>1</v>
      </c>
      <c r="L404" s="3" t="s">
        <v>80</v>
      </c>
      <c r="O404" s="4">
        <v>4</v>
      </c>
      <c r="P404" s="4" t="s">
        <v>81</v>
      </c>
      <c r="Q404" s="4"/>
      <c r="R404" s="5"/>
      <c r="S404" s="6"/>
      <c r="T404" s="17"/>
      <c r="U404" s="6"/>
      <c r="V404" s="4"/>
      <c r="W404" s="4"/>
      <c r="X404" s="4"/>
      <c r="Y404" s="7">
        <v>3</v>
      </c>
      <c r="Z404" s="8">
        <v>496513</v>
      </c>
      <c r="AA404" s="7" t="s">
        <v>82</v>
      </c>
      <c r="AB404" s="7"/>
      <c r="AC404" s="9">
        <v>3</v>
      </c>
      <c r="AD404" s="10">
        <v>496513</v>
      </c>
      <c r="AE404" s="9" t="s">
        <v>82</v>
      </c>
      <c r="AF404" s="9"/>
      <c r="AG404" s="11">
        <v>4</v>
      </c>
      <c r="AH404" s="11" t="s">
        <v>83</v>
      </c>
      <c r="AI404" s="11"/>
      <c r="AJ404" s="11"/>
      <c r="AK404" s="11"/>
      <c r="AL404" s="12">
        <v>4</v>
      </c>
      <c r="AM404" s="12" t="s">
        <v>83</v>
      </c>
      <c r="AN404" s="12"/>
      <c r="AO404" s="12"/>
      <c r="AP404" s="12"/>
      <c r="AQ404" s="4">
        <v>5</v>
      </c>
      <c r="AR404" s="4" t="s">
        <v>83</v>
      </c>
      <c r="AS404" s="4"/>
      <c r="AT404" s="13"/>
      <c r="AU404" s="13"/>
      <c r="AV404" s="13"/>
      <c r="AW404" s="13"/>
      <c r="AX404" s="4"/>
      <c r="AY404" s="13"/>
      <c r="AZ404" s="13"/>
      <c r="BA404" s="13"/>
      <c r="BB404" s="13"/>
      <c r="BC404" s="4"/>
      <c r="BD404" s="4"/>
      <c r="BE404" s="4"/>
      <c r="BF404" s="13"/>
      <c r="BG404" s="4"/>
      <c r="BH404" s="13"/>
      <c r="BI404" s="13"/>
      <c r="BJ404" s="4"/>
      <c r="BK404" s="14">
        <v>16</v>
      </c>
      <c r="BL404" s="14">
        <v>16</v>
      </c>
      <c r="BM404" s="14">
        <v>16</v>
      </c>
      <c r="BN404" s="3" t="s">
        <v>312</v>
      </c>
      <c r="BP404" s="15"/>
      <c r="BQ404" s="15"/>
      <c r="BR404" s="2" t="s">
        <v>87</v>
      </c>
      <c r="BS404" s="2" t="s">
        <v>87</v>
      </c>
      <c r="BT404" s="7" t="s">
        <v>88</v>
      </c>
      <c r="BU404" s="7"/>
      <c r="BV404" s="9" t="s">
        <v>88</v>
      </c>
      <c r="BW404" s="9"/>
    </row>
    <row r="405" spans="1:75" ht="14.25" customHeight="1" x14ac:dyDescent="0.25">
      <c r="A405" s="1">
        <v>906</v>
      </c>
      <c r="B405" s="1" t="s">
        <v>2054</v>
      </c>
      <c r="C405" s="1" t="s">
        <v>2055</v>
      </c>
      <c r="D405" s="1" t="s">
        <v>77</v>
      </c>
      <c r="E405" s="1" t="s">
        <v>2015</v>
      </c>
      <c r="F405" s="1" t="s">
        <v>2016</v>
      </c>
      <c r="G405" s="1"/>
      <c r="H405" s="2">
        <v>0</v>
      </c>
      <c r="I405" s="2">
        <v>0</v>
      </c>
      <c r="J405" s="2">
        <v>1</v>
      </c>
      <c r="K405" s="2">
        <v>1</v>
      </c>
      <c r="L405" s="3" t="s">
        <v>80</v>
      </c>
      <c r="O405" s="4">
        <v>4</v>
      </c>
      <c r="P405" s="4" t="s">
        <v>81</v>
      </c>
      <c r="Q405" s="4" t="s">
        <v>1012</v>
      </c>
      <c r="R405" s="5"/>
      <c r="S405" s="6"/>
      <c r="T405" s="17"/>
      <c r="U405" s="6"/>
      <c r="V405" s="4"/>
      <c r="W405" s="4"/>
      <c r="X405" s="4"/>
      <c r="Y405" s="7">
        <v>4</v>
      </c>
      <c r="Z405" s="8">
        <v>149616</v>
      </c>
      <c r="AA405" s="7" t="s">
        <v>92</v>
      </c>
      <c r="AB405" s="7"/>
      <c r="AC405" s="9">
        <v>4</v>
      </c>
      <c r="AD405" s="10">
        <v>149616</v>
      </c>
      <c r="AE405" s="9" t="s">
        <v>92</v>
      </c>
      <c r="AF405" s="9"/>
      <c r="AG405" s="11">
        <v>5</v>
      </c>
      <c r="AH405" s="11" t="s">
        <v>93</v>
      </c>
      <c r="AI405" s="11" t="s">
        <v>2056</v>
      </c>
      <c r="AJ405" s="11"/>
      <c r="AK405" s="11"/>
      <c r="AL405" s="12">
        <v>5</v>
      </c>
      <c r="AM405" s="12" t="s">
        <v>93</v>
      </c>
      <c r="AN405" s="12" t="s">
        <v>2057</v>
      </c>
      <c r="AO405" s="12"/>
      <c r="AP405" s="12"/>
      <c r="AQ405" s="4">
        <v>5</v>
      </c>
      <c r="AR405" s="4" t="s">
        <v>83</v>
      </c>
      <c r="AS405" s="4"/>
      <c r="AT405" s="13"/>
      <c r="AU405" s="13"/>
      <c r="AV405" s="13"/>
      <c r="AW405" s="13"/>
      <c r="AX405" s="4"/>
      <c r="AY405" s="13"/>
      <c r="AZ405" s="13"/>
      <c r="BA405" s="13"/>
      <c r="BB405" s="13"/>
      <c r="BC405" s="4"/>
      <c r="BD405" s="4"/>
      <c r="BE405" s="4"/>
      <c r="BF405" s="13"/>
      <c r="BG405" s="4"/>
      <c r="BH405" s="13"/>
      <c r="BI405" s="13"/>
      <c r="BJ405" s="4"/>
      <c r="BK405" s="14">
        <v>18</v>
      </c>
      <c r="BL405" s="14">
        <v>18</v>
      </c>
      <c r="BM405" s="14">
        <v>18</v>
      </c>
      <c r="BN405" s="3" t="s">
        <v>312</v>
      </c>
      <c r="BO405" s="3" t="s">
        <v>120</v>
      </c>
      <c r="BP405" s="15"/>
      <c r="BQ405" s="15"/>
      <c r="BR405" s="2" t="s">
        <v>409</v>
      </c>
      <c r="BS405" s="2" t="s">
        <v>409</v>
      </c>
      <c r="BT405" s="7" t="s">
        <v>88</v>
      </c>
      <c r="BU405" s="7"/>
      <c r="BV405" s="9" t="s">
        <v>88</v>
      </c>
      <c r="BW405" s="9"/>
    </row>
    <row r="406" spans="1:75" ht="14.25" customHeight="1" x14ac:dyDescent="0.25">
      <c r="A406" s="1">
        <v>913</v>
      </c>
      <c r="B406" s="1" t="s">
        <v>2058</v>
      </c>
      <c r="C406" s="1" t="s">
        <v>2059</v>
      </c>
      <c r="D406" s="1" t="s">
        <v>77</v>
      </c>
      <c r="E406" s="1" t="s">
        <v>2060</v>
      </c>
      <c r="F406" s="1" t="s">
        <v>2061</v>
      </c>
      <c r="G406" s="1"/>
      <c r="H406" s="2">
        <v>0</v>
      </c>
      <c r="I406" s="2">
        <v>0</v>
      </c>
      <c r="J406" s="2">
        <v>1</v>
      </c>
      <c r="K406" s="2">
        <v>1</v>
      </c>
      <c r="L406" s="3" t="s">
        <v>80</v>
      </c>
      <c r="O406" s="4">
        <v>5</v>
      </c>
      <c r="P406" s="4" t="s">
        <v>112</v>
      </c>
      <c r="Q406" s="4"/>
      <c r="R406" s="5"/>
      <c r="S406" s="6"/>
      <c r="T406" s="17"/>
      <c r="U406" s="6"/>
      <c r="V406" s="4"/>
      <c r="W406" s="4"/>
      <c r="X406" s="4"/>
      <c r="Y406" s="7">
        <v>3</v>
      </c>
      <c r="Z406" s="8">
        <v>347967</v>
      </c>
      <c r="AA406" s="7" t="s">
        <v>92</v>
      </c>
      <c r="AB406" s="7"/>
      <c r="AC406" s="9">
        <v>3</v>
      </c>
      <c r="AD406" s="10">
        <v>347967</v>
      </c>
      <c r="AE406" s="9" t="s">
        <v>92</v>
      </c>
      <c r="AF406" s="9"/>
      <c r="AG406" s="11">
        <v>4</v>
      </c>
      <c r="AH406" s="11" t="s">
        <v>93</v>
      </c>
      <c r="AI406" s="11"/>
      <c r="AJ406" s="11"/>
      <c r="AK406" s="11"/>
      <c r="AL406" s="12">
        <v>4</v>
      </c>
      <c r="AM406" s="12" t="s">
        <v>93</v>
      </c>
      <c r="AN406" s="12" t="s">
        <v>408</v>
      </c>
      <c r="AO406" s="12"/>
      <c r="AP406" s="12"/>
      <c r="AQ406" s="4">
        <v>5</v>
      </c>
      <c r="AR406" s="4" t="s">
        <v>83</v>
      </c>
      <c r="AS406" s="4" t="s">
        <v>2062</v>
      </c>
      <c r="AT406" s="13"/>
      <c r="AU406" s="13"/>
      <c r="AV406" s="13"/>
      <c r="AW406" s="13"/>
      <c r="AX406" s="4"/>
      <c r="AY406" s="13"/>
      <c r="AZ406" s="13"/>
      <c r="BA406" s="13"/>
      <c r="BB406" s="13"/>
      <c r="BC406" s="4"/>
      <c r="BD406" s="4"/>
      <c r="BE406" s="4"/>
      <c r="BF406" s="13"/>
      <c r="BG406" s="4"/>
      <c r="BH406" s="13"/>
      <c r="BI406" s="13"/>
      <c r="BJ406" s="4"/>
      <c r="BK406" s="14">
        <v>17</v>
      </c>
      <c r="BL406" s="14">
        <v>17</v>
      </c>
      <c r="BM406" s="14">
        <v>17</v>
      </c>
      <c r="BN406" s="3" t="s">
        <v>312</v>
      </c>
      <c r="BP406" s="15"/>
      <c r="BQ406" s="15"/>
      <c r="BR406" s="2" t="s">
        <v>400</v>
      </c>
      <c r="BS406" s="2" t="s">
        <v>400</v>
      </c>
      <c r="BT406" s="7" t="s">
        <v>98</v>
      </c>
      <c r="BU406" s="7"/>
      <c r="BV406" s="9" t="s">
        <v>98</v>
      </c>
      <c r="BW406" s="9"/>
    </row>
    <row r="407" spans="1:75" ht="14.25" customHeight="1" x14ac:dyDescent="0.25">
      <c r="A407" s="1">
        <v>914</v>
      </c>
      <c r="B407" s="1" t="s">
        <v>2063</v>
      </c>
      <c r="C407" s="1" t="s">
        <v>2064</v>
      </c>
      <c r="D407" s="1" t="s">
        <v>77</v>
      </c>
      <c r="E407" s="1" t="s">
        <v>2060</v>
      </c>
      <c r="F407" s="1" t="s">
        <v>2061</v>
      </c>
      <c r="G407" s="1" t="s">
        <v>118</v>
      </c>
      <c r="H407" s="2">
        <v>0</v>
      </c>
      <c r="I407" s="2">
        <v>0</v>
      </c>
      <c r="J407" s="2">
        <v>1</v>
      </c>
      <c r="K407" s="2">
        <v>1</v>
      </c>
      <c r="L407" s="3" t="s">
        <v>80</v>
      </c>
      <c r="O407" s="4">
        <v>5</v>
      </c>
      <c r="P407" s="4" t="s">
        <v>112</v>
      </c>
      <c r="Q407" s="4"/>
      <c r="R407" s="5"/>
      <c r="S407" s="6"/>
      <c r="T407" s="17"/>
      <c r="U407" s="6"/>
      <c r="V407" s="4"/>
      <c r="W407" s="4"/>
      <c r="X407" s="4"/>
      <c r="Y407" s="7">
        <v>4</v>
      </c>
      <c r="Z407" s="8">
        <v>99448</v>
      </c>
      <c r="AA407" s="7" t="s">
        <v>92</v>
      </c>
      <c r="AB407" s="7"/>
      <c r="AC407" s="9">
        <v>4</v>
      </c>
      <c r="AD407" s="10">
        <v>99448</v>
      </c>
      <c r="AE407" s="9" t="s">
        <v>92</v>
      </c>
      <c r="AF407" s="9"/>
      <c r="AG407" s="11">
        <v>4</v>
      </c>
      <c r="AH407" s="11" t="s">
        <v>93</v>
      </c>
      <c r="AI407" s="11"/>
      <c r="AJ407" s="11"/>
      <c r="AK407" s="11"/>
      <c r="AL407" s="12">
        <v>4</v>
      </c>
      <c r="AM407" s="12" t="s">
        <v>93</v>
      </c>
      <c r="AN407" s="12" t="s">
        <v>2065</v>
      </c>
      <c r="AO407" s="12"/>
      <c r="AP407" s="12"/>
      <c r="AQ407" s="4">
        <v>5</v>
      </c>
      <c r="AR407" s="4" t="s">
        <v>83</v>
      </c>
      <c r="AS407" s="4"/>
      <c r="AT407" s="13"/>
      <c r="AU407" s="13"/>
      <c r="AV407" s="13"/>
      <c r="AW407" s="13"/>
      <c r="AX407" s="4"/>
      <c r="AY407" s="13"/>
      <c r="AZ407" s="13"/>
      <c r="BA407" s="13"/>
      <c r="BB407" s="13"/>
      <c r="BC407" s="4"/>
      <c r="BD407" s="4"/>
      <c r="BE407" s="4"/>
      <c r="BF407" s="13"/>
      <c r="BG407" s="4"/>
      <c r="BH407" s="13"/>
      <c r="BI407" s="13"/>
      <c r="BJ407" s="4"/>
      <c r="BK407" s="14">
        <v>18</v>
      </c>
      <c r="BL407" s="14">
        <v>18</v>
      </c>
      <c r="BM407" s="14">
        <v>18</v>
      </c>
      <c r="BN407" s="3" t="s">
        <v>312</v>
      </c>
      <c r="BP407" s="15"/>
      <c r="BQ407" s="15"/>
      <c r="BR407" s="2" t="s">
        <v>409</v>
      </c>
      <c r="BS407" s="2" t="s">
        <v>409</v>
      </c>
      <c r="BT407" s="7" t="s">
        <v>88</v>
      </c>
      <c r="BU407" s="7"/>
      <c r="BV407" s="9" t="s">
        <v>88</v>
      </c>
      <c r="BW407" s="9"/>
    </row>
    <row r="408" spans="1:75" ht="14.25" customHeight="1" x14ac:dyDescent="0.25">
      <c r="A408" s="1">
        <v>915</v>
      </c>
      <c r="B408" s="1" t="s">
        <v>2066</v>
      </c>
      <c r="C408" s="1" t="s">
        <v>2067</v>
      </c>
      <c r="D408" s="1" t="s">
        <v>77</v>
      </c>
      <c r="E408" s="1" t="s">
        <v>2060</v>
      </c>
      <c r="F408" s="1" t="s">
        <v>2061</v>
      </c>
      <c r="G408" s="1"/>
      <c r="H408" s="2">
        <v>0</v>
      </c>
      <c r="I408" s="2">
        <v>0</v>
      </c>
      <c r="J408" s="2">
        <v>1</v>
      </c>
      <c r="K408" s="2">
        <v>1</v>
      </c>
      <c r="L408" s="3" t="s">
        <v>80</v>
      </c>
      <c r="O408" s="4">
        <v>4</v>
      </c>
      <c r="P408" s="4" t="s">
        <v>112</v>
      </c>
      <c r="Q408" s="4"/>
      <c r="R408" s="5"/>
      <c r="S408" s="6"/>
      <c r="T408" s="17"/>
      <c r="U408" s="6"/>
      <c r="V408" s="4"/>
      <c r="W408" s="4"/>
      <c r="X408" s="4"/>
      <c r="Y408" s="7">
        <v>3</v>
      </c>
      <c r="Z408" s="8">
        <v>323894</v>
      </c>
      <c r="AA408" s="7" t="s">
        <v>92</v>
      </c>
      <c r="AB408" s="7"/>
      <c r="AC408" s="9">
        <v>3</v>
      </c>
      <c r="AD408" s="10">
        <v>323894</v>
      </c>
      <c r="AE408" s="9" t="s">
        <v>92</v>
      </c>
      <c r="AF408" s="9"/>
      <c r="AG408" s="11">
        <v>2</v>
      </c>
      <c r="AH408" s="11" t="s">
        <v>93</v>
      </c>
      <c r="AI408" s="11"/>
      <c r="AJ408" s="11"/>
      <c r="AK408" s="11"/>
      <c r="AL408" s="12">
        <v>2</v>
      </c>
      <c r="AM408" s="12" t="s">
        <v>93</v>
      </c>
      <c r="AN408" s="12" t="s">
        <v>394</v>
      </c>
      <c r="AO408" s="12"/>
      <c r="AP408" s="12"/>
      <c r="AQ408" s="4">
        <v>3</v>
      </c>
      <c r="AR408" s="4" t="s">
        <v>83</v>
      </c>
      <c r="AS408" s="4" t="s">
        <v>2068</v>
      </c>
      <c r="AT408" s="13"/>
      <c r="AU408" s="13"/>
      <c r="AV408" s="13"/>
      <c r="AW408" s="13"/>
      <c r="AX408" s="4"/>
      <c r="AY408" s="13"/>
      <c r="AZ408" s="13"/>
      <c r="BA408" s="13"/>
      <c r="BB408" s="13"/>
      <c r="BC408" s="4"/>
      <c r="BD408" s="4"/>
      <c r="BE408" s="4"/>
      <c r="BF408" s="13"/>
      <c r="BG408" s="4"/>
      <c r="BH408" s="13"/>
      <c r="BI408" s="13"/>
      <c r="BJ408" s="4"/>
      <c r="BK408" s="14">
        <v>12</v>
      </c>
      <c r="BL408" s="14">
        <v>12</v>
      </c>
      <c r="BM408" s="14">
        <v>12</v>
      </c>
      <c r="BP408" s="15"/>
      <c r="BQ408" s="15"/>
      <c r="BR408" s="2" t="s">
        <v>108</v>
      </c>
      <c r="BS408" s="2" t="s">
        <v>108</v>
      </c>
      <c r="BT408" s="7" t="s">
        <v>109</v>
      </c>
      <c r="BU408" s="7"/>
      <c r="BV408" s="9" t="s">
        <v>109</v>
      </c>
      <c r="BW408" s="9"/>
    </row>
    <row r="409" spans="1:75" ht="14.25" customHeight="1" x14ac:dyDescent="0.25">
      <c r="A409" s="1">
        <v>925</v>
      </c>
      <c r="B409" s="1" t="s">
        <v>2069</v>
      </c>
      <c r="C409" s="1" t="s">
        <v>2070</v>
      </c>
      <c r="D409" s="1" t="s">
        <v>77</v>
      </c>
      <c r="E409" s="1" t="s">
        <v>2060</v>
      </c>
      <c r="F409" s="1" t="s">
        <v>2071</v>
      </c>
      <c r="G409" s="1"/>
      <c r="H409" s="2">
        <v>0</v>
      </c>
      <c r="I409" s="2">
        <v>0</v>
      </c>
      <c r="J409" s="2">
        <v>1</v>
      </c>
      <c r="K409" s="2">
        <v>1</v>
      </c>
      <c r="L409" s="3" t="s">
        <v>80</v>
      </c>
      <c r="O409" s="4">
        <v>3</v>
      </c>
      <c r="P409" s="4" t="s">
        <v>112</v>
      </c>
      <c r="Q409" s="4"/>
      <c r="R409" s="5"/>
      <c r="S409" s="6"/>
      <c r="T409" s="17"/>
      <c r="U409" s="6"/>
      <c r="V409" s="4"/>
      <c r="W409" s="4"/>
      <c r="X409" s="4"/>
      <c r="Y409" s="7">
        <v>1</v>
      </c>
      <c r="Z409" s="8">
        <v>14198446</v>
      </c>
      <c r="AA409" s="7" t="s">
        <v>92</v>
      </c>
      <c r="AB409" s="7"/>
      <c r="AC409" s="9">
        <v>1</v>
      </c>
      <c r="AD409" s="10">
        <v>14198446</v>
      </c>
      <c r="AE409" s="9" t="s">
        <v>92</v>
      </c>
      <c r="AF409" s="9"/>
      <c r="AG409" s="11">
        <v>3</v>
      </c>
      <c r="AH409" s="11" t="s">
        <v>537</v>
      </c>
      <c r="AI409" s="11"/>
      <c r="AJ409" s="11"/>
      <c r="AK409" s="11"/>
      <c r="AL409" s="12">
        <v>3</v>
      </c>
      <c r="AM409" s="12" t="s">
        <v>537</v>
      </c>
      <c r="AN409" s="12" t="s">
        <v>2072</v>
      </c>
      <c r="AO409" s="12"/>
      <c r="AP409" s="12"/>
      <c r="AQ409" s="4">
        <v>4</v>
      </c>
      <c r="AR409" s="4" t="s">
        <v>83</v>
      </c>
      <c r="AS409" s="4" t="s">
        <v>2073</v>
      </c>
      <c r="AT409" s="13"/>
      <c r="AU409" s="13"/>
      <c r="AV409" s="13"/>
      <c r="AW409" s="13"/>
      <c r="AX409" s="4"/>
      <c r="AY409" s="13"/>
      <c r="AZ409" s="13"/>
      <c r="BA409" s="13"/>
      <c r="BB409" s="13"/>
      <c r="BC409" s="4"/>
      <c r="BD409" s="4"/>
      <c r="BE409" s="4"/>
      <c r="BF409" s="13"/>
      <c r="BG409" s="4"/>
      <c r="BH409" s="13"/>
      <c r="BI409" s="13"/>
      <c r="BJ409" s="4"/>
      <c r="BK409" s="14">
        <v>11</v>
      </c>
      <c r="BL409" s="14">
        <v>11</v>
      </c>
      <c r="BM409" s="14">
        <v>11</v>
      </c>
      <c r="BP409" s="15"/>
      <c r="BQ409" s="15"/>
      <c r="BR409" s="2" t="s">
        <v>97</v>
      </c>
      <c r="BS409" s="2" t="s">
        <v>97</v>
      </c>
      <c r="BT409" s="7" t="s">
        <v>137</v>
      </c>
      <c r="BU409" s="7"/>
      <c r="BV409" s="9" t="s">
        <v>137</v>
      </c>
      <c r="BW409" s="9"/>
    </row>
    <row r="410" spans="1:75" ht="14.25" customHeight="1" x14ac:dyDescent="0.25">
      <c r="A410" s="1">
        <v>926</v>
      </c>
      <c r="B410" s="1" t="s">
        <v>2074</v>
      </c>
      <c r="C410" s="1" t="s">
        <v>2075</v>
      </c>
      <c r="D410" s="1" t="s">
        <v>77</v>
      </c>
      <c r="E410" s="1" t="s">
        <v>2060</v>
      </c>
      <c r="F410" s="1" t="s">
        <v>2071</v>
      </c>
      <c r="G410" s="1"/>
      <c r="H410" s="2">
        <v>0</v>
      </c>
      <c r="I410" s="2">
        <v>0</v>
      </c>
      <c r="J410" s="2">
        <v>1</v>
      </c>
      <c r="K410" s="2">
        <v>1</v>
      </c>
      <c r="L410" s="3" t="s">
        <v>80</v>
      </c>
      <c r="O410" s="4">
        <v>3</v>
      </c>
      <c r="P410" s="4" t="s">
        <v>112</v>
      </c>
      <c r="Q410" s="4"/>
      <c r="R410" s="5"/>
      <c r="S410" s="6"/>
      <c r="T410" s="17"/>
      <c r="U410" s="6"/>
      <c r="V410" s="4"/>
      <c r="W410" s="4"/>
      <c r="X410" s="4"/>
      <c r="Y410" s="7">
        <v>1</v>
      </c>
      <c r="Z410" s="8">
        <v>9358537</v>
      </c>
      <c r="AA410" s="7" t="s">
        <v>92</v>
      </c>
      <c r="AB410" s="7"/>
      <c r="AC410" s="9">
        <v>1</v>
      </c>
      <c r="AD410" s="10">
        <v>9358537</v>
      </c>
      <c r="AE410" s="9" t="s">
        <v>92</v>
      </c>
      <c r="AF410" s="9"/>
      <c r="AG410" s="11">
        <v>3</v>
      </c>
      <c r="AH410" s="11" t="s">
        <v>93</v>
      </c>
      <c r="AI410" s="11"/>
      <c r="AJ410" s="11"/>
      <c r="AK410" s="11"/>
      <c r="AL410" s="12">
        <v>3</v>
      </c>
      <c r="AM410" s="12" t="s">
        <v>93</v>
      </c>
      <c r="AN410" s="12" t="s">
        <v>2076</v>
      </c>
      <c r="AO410" s="12"/>
      <c r="AP410" s="12"/>
      <c r="AQ410" s="4">
        <v>4</v>
      </c>
      <c r="AR410" s="4" t="s">
        <v>83</v>
      </c>
      <c r="AS410" s="4"/>
      <c r="AT410" s="13"/>
      <c r="AU410" s="13"/>
      <c r="AV410" s="13"/>
      <c r="AW410" s="13"/>
      <c r="AX410" s="4"/>
      <c r="AY410" s="13"/>
      <c r="AZ410" s="13"/>
      <c r="BA410" s="13"/>
      <c r="BB410" s="13"/>
      <c r="BC410" s="4"/>
      <c r="BD410" s="4"/>
      <c r="BE410" s="4"/>
      <c r="BF410" s="13"/>
      <c r="BG410" s="4"/>
      <c r="BH410" s="13"/>
      <c r="BI410" s="13"/>
      <c r="BJ410" s="4"/>
      <c r="BK410" s="14">
        <v>11</v>
      </c>
      <c r="BL410" s="14">
        <v>11</v>
      </c>
      <c r="BM410" s="14">
        <v>11</v>
      </c>
      <c r="BP410" s="15"/>
      <c r="BQ410" s="15"/>
      <c r="BR410" s="2" t="s">
        <v>97</v>
      </c>
      <c r="BS410" s="2" t="s">
        <v>97</v>
      </c>
      <c r="BT410" s="7" t="s">
        <v>240</v>
      </c>
      <c r="BU410" s="7" t="s">
        <v>98</v>
      </c>
      <c r="BV410" s="9" t="s">
        <v>240</v>
      </c>
      <c r="BW410" s="9" t="s">
        <v>98</v>
      </c>
    </row>
    <row r="411" spans="1:75" ht="14.25" customHeight="1" x14ac:dyDescent="0.25">
      <c r="A411" s="1">
        <v>927</v>
      </c>
      <c r="B411" s="1" t="s">
        <v>2077</v>
      </c>
      <c r="C411" s="1" t="s">
        <v>2078</v>
      </c>
      <c r="D411" s="1" t="s">
        <v>77</v>
      </c>
      <c r="E411" s="1" t="s">
        <v>2060</v>
      </c>
      <c r="F411" s="1" t="s">
        <v>2071</v>
      </c>
      <c r="G411" s="1"/>
      <c r="H411" s="2">
        <v>0</v>
      </c>
      <c r="I411" s="2">
        <v>1</v>
      </c>
      <c r="J411" s="2">
        <v>1</v>
      </c>
      <c r="K411" s="2">
        <v>1</v>
      </c>
      <c r="L411" s="3" t="s">
        <v>80</v>
      </c>
      <c r="O411" s="4">
        <v>2</v>
      </c>
      <c r="P411" s="4" t="s">
        <v>2079</v>
      </c>
      <c r="Q411" s="4" t="s">
        <v>2080</v>
      </c>
      <c r="R411" s="16">
        <v>20000000</v>
      </c>
      <c r="S411" s="6">
        <v>20000000</v>
      </c>
      <c r="T411" s="17" t="s">
        <v>795</v>
      </c>
      <c r="U411" s="6">
        <v>5000</v>
      </c>
      <c r="V411" s="4"/>
      <c r="W411" s="4" t="s">
        <v>543</v>
      </c>
      <c r="X411" s="4" t="s">
        <v>787</v>
      </c>
      <c r="Y411" s="7">
        <v>1</v>
      </c>
      <c r="Z411" s="8">
        <v>16988695</v>
      </c>
      <c r="AA411" s="7" t="s">
        <v>92</v>
      </c>
      <c r="AB411" s="7"/>
      <c r="AC411" s="9">
        <v>1</v>
      </c>
      <c r="AD411" s="10">
        <v>16988695</v>
      </c>
      <c r="AE411" s="9" t="s">
        <v>92</v>
      </c>
      <c r="AF411" s="9"/>
      <c r="AG411" s="11">
        <v>2</v>
      </c>
      <c r="AH411" s="11" t="s">
        <v>454</v>
      </c>
      <c r="AI411" s="11" t="s">
        <v>2081</v>
      </c>
      <c r="AJ411" s="11">
        <v>2</v>
      </c>
      <c r="AK411" s="11" t="s">
        <v>132</v>
      </c>
      <c r="AL411" s="12">
        <v>2</v>
      </c>
      <c r="AM411" s="12" t="s">
        <v>131</v>
      </c>
      <c r="AN411" s="12" t="s">
        <v>2082</v>
      </c>
      <c r="AO411" s="12">
        <v>2</v>
      </c>
      <c r="AP411" s="12" t="s">
        <v>132</v>
      </c>
      <c r="AQ411" s="4">
        <v>4</v>
      </c>
      <c r="AR411" s="4" t="s">
        <v>673</v>
      </c>
      <c r="AS411" s="4" t="s">
        <v>2083</v>
      </c>
      <c r="AT411" s="13"/>
      <c r="AU411" s="13"/>
      <c r="AV411" s="13"/>
      <c r="AW411" s="13"/>
      <c r="AX411" s="4"/>
      <c r="AY411" s="13"/>
      <c r="AZ411" s="13"/>
      <c r="BA411" s="13"/>
      <c r="BB411" s="13"/>
      <c r="BC411" s="4"/>
      <c r="BD411" s="4"/>
      <c r="BE411" s="4"/>
      <c r="BF411" s="13"/>
      <c r="BG411" s="4"/>
      <c r="BH411" s="13"/>
      <c r="BI411" s="13"/>
      <c r="BJ411" s="4"/>
      <c r="BK411" s="14">
        <v>9</v>
      </c>
      <c r="BL411" s="14">
        <v>9</v>
      </c>
      <c r="BM411" s="14">
        <v>9</v>
      </c>
      <c r="BP411" s="15"/>
      <c r="BQ411" s="15"/>
      <c r="BR411" s="2" t="s">
        <v>97</v>
      </c>
      <c r="BS411" s="2" t="s">
        <v>97</v>
      </c>
      <c r="BT411" s="7" t="s">
        <v>137</v>
      </c>
      <c r="BU411" s="7"/>
      <c r="BV411" s="9" t="s">
        <v>137</v>
      </c>
      <c r="BW411" s="9"/>
    </row>
    <row r="412" spans="1:75" ht="14.25" customHeight="1" x14ac:dyDescent="0.25">
      <c r="A412" s="1">
        <v>928</v>
      </c>
      <c r="B412" s="1" t="s">
        <v>2084</v>
      </c>
      <c r="C412" s="1" t="s">
        <v>2085</v>
      </c>
      <c r="D412" s="1" t="s">
        <v>77</v>
      </c>
      <c r="E412" s="1" t="s">
        <v>2060</v>
      </c>
      <c r="F412" s="1" t="s">
        <v>2071</v>
      </c>
      <c r="G412" s="1"/>
      <c r="H412" s="2">
        <v>0</v>
      </c>
      <c r="I412" s="2">
        <v>0</v>
      </c>
      <c r="J412" s="2">
        <v>0</v>
      </c>
      <c r="K412" s="2">
        <v>1</v>
      </c>
      <c r="L412" s="3" t="s">
        <v>80</v>
      </c>
      <c r="O412" s="4">
        <v>3</v>
      </c>
      <c r="P412" s="4" t="s">
        <v>81</v>
      </c>
      <c r="Q412" s="4"/>
      <c r="R412" s="5"/>
      <c r="S412" s="6"/>
      <c r="T412" s="17"/>
      <c r="U412" s="6"/>
      <c r="V412" s="4"/>
      <c r="W412" s="4"/>
      <c r="X412" s="4"/>
      <c r="Y412" s="7">
        <v>1</v>
      </c>
      <c r="Z412" s="8">
        <v>8601458</v>
      </c>
      <c r="AA412" s="7" t="s">
        <v>82</v>
      </c>
      <c r="AB412" s="7"/>
      <c r="AC412" s="9">
        <v>1</v>
      </c>
      <c r="AD412" s="10">
        <v>8601458</v>
      </c>
      <c r="AE412" s="9" t="s">
        <v>82</v>
      </c>
      <c r="AF412" s="9"/>
      <c r="AG412" s="11">
        <v>5</v>
      </c>
      <c r="AH412" s="11" t="s">
        <v>83</v>
      </c>
      <c r="AI412" s="11" t="s">
        <v>2086</v>
      </c>
      <c r="AJ412" s="11"/>
      <c r="AK412" s="11"/>
      <c r="AL412" s="12">
        <v>5</v>
      </c>
      <c r="AM412" s="12" t="s">
        <v>83</v>
      </c>
      <c r="AN412" s="12"/>
      <c r="AO412" s="12"/>
      <c r="AP412" s="12"/>
      <c r="AQ412" s="4">
        <v>5</v>
      </c>
      <c r="AR412" s="4" t="s">
        <v>83</v>
      </c>
      <c r="AS412" s="4"/>
      <c r="AT412" s="13"/>
      <c r="AU412" s="13"/>
      <c r="AV412" s="13"/>
      <c r="AW412" s="13"/>
      <c r="AX412" s="4"/>
      <c r="AY412" s="13"/>
      <c r="AZ412" s="13"/>
      <c r="BA412" s="13"/>
      <c r="BB412" s="13"/>
      <c r="BC412" s="4"/>
      <c r="BD412" s="4"/>
      <c r="BE412" s="4"/>
      <c r="BF412" s="13"/>
      <c r="BG412" s="4"/>
      <c r="BH412" s="13"/>
      <c r="BI412" s="13"/>
      <c r="BJ412" s="4"/>
      <c r="BK412" s="14">
        <v>14</v>
      </c>
      <c r="BL412" s="14">
        <v>14</v>
      </c>
      <c r="BM412" s="14">
        <v>14</v>
      </c>
      <c r="BN412" s="3" t="s">
        <v>375</v>
      </c>
      <c r="BP412" s="15"/>
      <c r="BQ412" s="15"/>
      <c r="BR412" s="2" t="s">
        <v>97</v>
      </c>
      <c r="BS412" s="2" t="s">
        <v>97</v>
      </c>
      <c r="BT412" s="7" t="s">
        <v>240</v>
      </c>
      <c r="BU412" s="7" t="s">
        <v>98</v>
      </c>
      <c r="BV412" s="9" t="s">
        <v>240</v>
      </c>
      <c r="BW412" s="9" t="s">
        <v>98</v>
      </c>
    </row>
    <row r="413" spans="1:75" ht="14.25" customHeight="1" x14ac:dyDescent="0.25">
      <c r="A413" s="1">
        <v>929</v>
      </c>
      <c r="B413" s="1" t="s">
        <v>2087</v>
      </c>
      <c r="C413" s="1" t="s">
        <v>2088</v>
      </c>
      <c r="D413" s="1" t="s">
        <v>77</v>
      </c>
      <c r="E413" s="1" t="s">
        <v>2089</v>
      </c>
      <c r="F413" s="1" t="s">
        <v>2090</v>
      </c>
      <c r="G413" s="1" t="s">
        <v>118</v>
      </c>
      <c r="H413" s="2">
        <v>0</v>
      </c>
      <c r="I413" s="2">
        <v>0</v>
      </c>
      <c r="J413" s="2">
        <v>0</v>
      </c>
      <c r="K413" s="2">
        <v>1</v>
      </c>
      <c r="L413" s="3" t="s">
        <v>80</v>
      </c>
      <c r="O413" s="4">
        <v>4</v>
      </c>
      <c r="P413" s="4" t="s">
        <v>81</v>
      </c>
      <c r="Q413" s="4"/>
      <c r="R413" s="5"/>
      <c r="S413" s="6"/>
      <c r="T413" s="17"/>
      <c r="U413" s="6"/>
      <c r="V413" s="4"/>
      <c r="W413" s="4"/>
      <c r="X413" s="4"/>
      <c r="Y413" s="7">
        <v>4</v>
      </c>
      <c r="Z413" s="8">
        <v>236047</v>
      </c>
      <c r="AA413" s="7" t="s">
        <v>82</v>
      </c>
      <c r="AB413" s="7"/>
      <c r="AC413" s="9">
        <v>4</v>
      </c>
      <c r="AD413" s="10">
        <v>236047</v>
      </c>
      <c r="AE413" s="9" t="s">
        <v>82</v>
      </c>
      <c r="AF413" s="9"/>
      <c r="AG413" s="11">
        <v>3</v>
      </c>
      <c r="AH413" s="11" t="s">
        <v>83</v>
      </c>
      <c r="AI413" s="11"/>
      <c r="AJ413" s="11"/>
      <c r="AK413" s="11"/>
      <c r="AL413" s="12">
        <v>3</v>
      </c>
      <c r="AM413" s="12" t="s">
        <v>83</v>
      </c>
      <c r="AN413" s="12"/>
      <c r="AO413" s="12"/>
      <c r="AP413" s="12"/>
      <c r="AQ413" s="4">
        <v>4</v>
      </c>
      <c r="AR413" s="4" t="s">
        <v>83</v>
      </c>
      <c r="AS413" s="4"/>
      <c r="AT413" s="13"/>
      <c r="AU413" s="13"/>
      <c r="AV413" s="13"/>
      <c r="AW413" s="13"/>
      <c r="AX413" s="4"/>
      <c r="AY413" s="13"/>
      <c r="AZ413" s="13"/>
      <c r="BA413" s="13"/>
      <c r="BB413" s="13"/>
      <c r="BC413" s="4"/>
      <c r="BD413" s="4"/>
      <c r="BE413" s="4"/>
      <c r="BF413" s="13"/>
      <c r="BG413" s="4"/>
      <c r="BH413" s="13"/>
      <c r="BI413" s="13"/>
      <c r="BJ413" s="4"/>
      <c r="BK413" s="14">
        <v>15</v>
      </c>
      <c r="BL413" s="14">
        <v>15</v>
      </c>
      <c r="BM413" s="14">
        <v>15</v>
      </c>
      <c r="BN413" s="3" t="s">
        <v>86</v>
      </c>
      <c r="BP413" s="15"/>
      <c r="BQ413" s="15"/>
      <c r="BR413" s="2" t="s">
        <v>121</v>
      </c>
      <c r="BS413" s="2" t="s">
        <v>121</v>
      </c>
      <c r="BT413" s="7" t="s">
        <v>98</v>
      </c>
      <c r="BU413" s="7"/>
      <c r="BV413" s="9" t="s">
        <v>98</v>
      </c>
      <c r="BW413" s="9"/>
    </row>
    <row r="414" spans="1:75" ht="14.25" customHeight="1" x14ac:dyDescent="0.25">
      <c r="A414" s="1">
        <v>930</v>
      </c>
      <c r="B414" s="1" t="s">
        <v>2091</v>
      </c>
      <c r="C414" s="1" t="s">
        <v>2092</v>
      </c>
      <c r="D414" s="1" t="s">
        <v>77</v>
      </c>
      <c r="E414" s="1" t="s">
        <v>2089</v>
      </c>
      <c r="F414" s="1" t="s">
        <v>2090</v>
      </c>
      <c r="G414" s="1"/>
      <c r="H414" s="2">
        <v>0</v>
      </c>
      <c r="I414" s="2">
        <v>0</v>
      </c>
      <c r="J414" s="2">
        <v>1</v>
      </c>
      <c r="K414" s="2">
        <v>1</v>
      </c>
      <c r="L414" s="3" t="s">
        <v>80</v>
      </c>
      <c r="O414" s="4">
        <v>3</v>
      </c>
      <c r="P414" s="4" t="s">
        <v>112</v>
      </c>
      <c r="Q414" s="4"/>
      <c r="R414" s="5"/>
      <c r="S414" s="6"/>
      <c r="T414" s="17"/>
      <c r="U414" s="6"/>
      <c r="V414" s="4"/>
      <c r="W414" s="4"/>
      <c r="X414" s="4"/>
      <c r="Y414" s="7">
        <v>1</v>
      </c>
      <c r="Z414" s="8">
        <v>5259594</v>
      </c>
      <c r="AA414" s="7" t="s">
        <v>92</v>
      </c>
      <c r="AB414" s="7"/>
      <c r="AC414" s="9">
        <v>1</v>
      </c>
      <c r="AD414" s="10">
        <v>5259594</v>
      </c>
      <c r="AE414" s="9" t="s">
        <v>92</v>
      </c>
      <c r="AF414" s="9"/>
      <c r="AG414" s="11">
        <v>3</v>
      </c>
      <c r="AH414" s="11" t="s">
        <v>93</v>
      </c>
      <c r="AI414" s="11"/>
      <c r="AJ414" s="11"/>
      <c r="AK414" s="11"/>
      <c r="AL414" s="12">
        <v>3</v>
      </c>
      <c r="AM414" s="12" t="s">
        <v>93</v>
      </c>
      <c r="AN414" s="12" t="s">
        <v>408</v>
      </c>
      <c r="AO414" s="12"/>
      <c r="AP414" s="12"/>
      <c r="AQ414" s="4">
        <v>4</v>
      </c>
      <c r="AR414" s="4" t="s">
        <v>83</v>
      </c>
      <c r="AS414" s="4"/>
      <c r="AT414" s="13"/>
      <c r="AU414" s="13"/>
      <c r="AV414" s="13"/>
      <c r="AW414" s="13"/>
      <c r="AX414" s="4"/>
      <c r="AY414" s="13"/>
      <c r="AZ414" s="13"/>
      <c r="BA414" s="13"/>
      <c r="BB414" s="13"/>
      <c r="BC414" s="4"/>
      <c r="BD414" s="4"/>
      <c r="BE414" s="4"/>
      <c r="BF414" s="13"/>
      <c r="BG414" s="4"/>
      <c r="BH414" s="13"/>
      <c r="BI414" s="13"/>
      <c r="BJ414" s="4"/>
      <c r="BK414" s="14">
        <v>11</v>
      </c>
      <c r="BL414" s="14">
        <v>11</v>
      </c>
      <c r="BM414" s="14">
        <v>11</v>
      </c>
      <c r="BP414" s="15"/>
      <c r="BQ414" s="15"/>
      <c r="BR414" s="2" t="s">
        <v>97</v>
      </c>
      <c r="BS414" s="2" t="s">
        <v>97</v>
      </c>
      <c r="BT414" s="7" t="s">
        <v>98</v>
      </c>
      <c r="BU414" s="7"/>
      <c r="BV414" s="9" t="s">
        <v>98</v>
      </c>
      <c r="BW414" s="9"/>
    </row>
    <row r="415" spans="1:75" ht="14.25" customHeight="1" x14ac:dyDescent="0.25">
      <c r="A415" s="1">
        <v>931</v>
      </c>
      <c r="B415" s="1" t="s">
        <v>2093</v>
      </c>
      <c r="C415" s="1" t="s">
        <v>2094</v>
      </c>
      <c r="D415" s="1" t="s">
        <v>77</v>
      </c>
      <c r="E415" s="1" t="s">
        <v>2089</v>
      </c>
      <c r="F415" s="1" t="s">
        <v>2090</v>
      </c>
      <c r="G415" s="1" t="s">
        <v>118</v>
      </c>
      <c r="H415" s="2">
        <v>0</v>
      </c>
      <c r="I415" s="2">
        <v>0</v>
      </c>
      <c r="J415" s="2">
        <v>0</v>
      </c>
      <c r="K415" s="2">
        <v>1</v>
      </c>
      <c r="L415" s="3" t="s">
        <v>80</v>
      </c>
      <c r="O415" s="4">
        <v>4</v>
      </c>
      <c r="P415" s="4" t="s">
        <v>81</v>
      </c>
      <c r="Q415" s="4"/>
      <c r="R415" s="5"/>
      <c r="S415" s="6"/>
      <c r="T415" s="17"/>
      <c r="U415" s="6"/>
      <c r="V415" s="4"/>
      <c r="W415" s="4"/>
      <c r="X415" s="4"/>
      <c r="Y415" s="7">
        <v>4</v>
      </c>
      <c r="Z415" s="8">
        <v>197712</v>
      </c>
      <c r="AA415" s="7" t="s">
        <v>82</v>
      </c>
      <c r="AB415" s="7"/>
      <c r="AC415" s="9">
        <v>4</v>
      </c>
      <c r="AD415" s="10">
        <v>197712</v>
      </c>
      <c r="AE415" s="9" t="s">
        <v>82</v>
      </c>
      <c r="AF415" s="9"/>
      <c r="AG415" s="11">
        <v>4</v>
      </c>
      <c r="AH415" s="11" t="s">
        <v>83</v>
      </c>
      <c r="AI415" s="11" t="s">
        <v>2095</v>
      </c>
      <c r="AJ415" s="11"/>
      <c r="AK415" s="11"/>
      <c r="AL415" s="12">
        <v>4</v>
      </c>
      <c r="AM415" s="12" t="s">
        <v>83</v>
      </c>
      <c r="AN415" s="12"/>
      <c r="AO415" s="12"/>
      <c r="AP415" s="12"/>
      <c r="AQ415" s="4">
        <v>4</v>
      </c>
      <c r="AR415" s="4" t="s">
        <v>83</v>
      </c>
      <c r="AS415" s="4"/>
      <c r="AT415" s="13"/>
      <c r="AU415" s="13"/>
      <c r="AV415" s="13"/>
      <c r="AW415" s="13"/>
      <c r="AX415" s="4"/>
      <c r="AY415" s="13"/>
      <c r="AZ415" s="13"/>
      <c r="BA415" s="13"/>
      <c r="BB415" s="13"/>
      <c r="BC415" s="4"/>
      <c r="BD415" s="4"/>
      <c r="BE415" s="4"/>
      <c r="BF415" s="13"/>
      <c r="BG415" s="4"/>
      <c r="BH415" s="13"/>
      <c r="BI415" s="13"/>
      <c r="BJ415" s="4"/>
      <c r="BK415" s="14">
        <v>16</v>
      </c>
      <c r="BL415" s="14">
        <v>16</v>
      </c>
      <c r="BM415" s="14">
        <v>16</v>
      </c>
      <c r="BN415" s="3" t="s">
        <v>86</v>
      </c>
      <c r="BP415" s="15"/>
      <c r="BQ415" s="15"/>
      <c r="BR415" s="2" t="s">
        <v>121</v>
      </c>
      <c r="BS415" s="2" t="s">
        <v>121</v>
      </c>
      <c r="BT415" s="7" t="s">
        <v>98</v>
      </c>
      <c r="BU415" s="7"/>
      <c r="BV415" s="9" t="s">
        <v>98</v>
      </c>
      <c r="BW415" s="9"/>
    </row>
    <row r="416" spans="1:75" ht="14.25" customHeight="1" x14ac:dyDescent="0.25">
      <c r="A416" s="1">
        <v>932</v>
      </c>
      <c r="B416" s="1" t="s">
        <v>2096</v>
      </c>
      <c r="C416" s="1" t="s">
        <v>2097</v>
      </c>
      <c r="D416" s="1" t="s">
        <v>77</v>
      </c>
      <c r="E416" s="1" t="s">
        <v>2089</v>
      </c>
      <c r="F416" s="1" t="s">
        <v>2090</v>
      </c>
      <c r="G416" s="1"/>
      <c r="H416" s="2">
        <v>0</v>
      </c>
      <c r="I416" s="2">
        <v>0</v>
      </c>
      <c r="J416" s="2">
        <v>0</v>
      </c>
      <c r="K416" s="2">
        <v>1</v>
      </c>
      <c r="L416" s="3" t="s">
        <v>80</v>
      </c>
      <c r="O416" s="4">
        <v>3</v>
      </c>
      <c r="P416" s="4" t="s">
        <v>81</v>
      </c>
      <c r="Q416" s="4"/>
      <c r="R416" s="5"/>
      <c r="S416" s="6"/>
      <c r="T416" s="17"/>
      <c r="U416" s="6"/>
      <c r="V416" s="4"/>
      <c r="W416" s="4"/>
      <c r="X416" s="4"/>
      <c r="Y416" s="7">
        <v>1</v>
      </c>
      <c r="Z416" s="8">
        <v>5346981</v>
      </c>
      <c r="AA416" s="7" t="s">
        <v>82</v>
      </c>
      <c r="AB416" s="7"/>
      <c r="AC416" s="9">
        <v>1</v>
      </c>
      <c r="AD416" s="10">
        <v>5346981</v>
      </c>
      <c r="AE416" s="9" t="s">
        <v>82</v>
      </c>
      <c r="AF416" s="9"/>
      <c r="AG416" s="11">
        <v>4</v>
      </c>
      <c r="AH416" s="11" t="s">
        <v>83</v>
      </c>
      <c r="AI416" s="11"/>
      <c r="AJ416" s="11"/>
      <c r="AK416" s="11"/>
      <c r="AL416" s="12">
        <v>4</v>
      </c>
      <c r="AM416" s="12" t="s">
        <v>83</v>
      </c>
      <c r="AN416" s="12"/>
      <c r="AO416" s="12"/>
      <c r="AP416" s="12"/>
      <c r="AQ416" s="4">
        <v>4</v>
      </c>
      <c r="AR416" s="4" t="s">
        <v>83</v>
      </c>
      <c r="AS416" s="4"/>
      <c r="AT416" s="13"/>
      <c r="AU416" s="13"/>
      <c r="AV416" s="13"/>
      <c r="AW416" s="13"/>
      <c r="AX416" s="4"/>
      <c r="AY416" s="13"/>
      <c r="AZ416" s="13"/>
      <c r="BA416" s="13"/>
      <c r="BB416" s="13"/>
      <c r="BC416" s="4"/>
      <c r="BD416" s="4"/>
      <c r="BE416" s="4"/>
      <c r="BF416" s="13"/>
      <c r="BG416" s="4"/>
      <c r="BH416" s="13"/>
      <c r="BI416" s="13"/>
      <c r="BJ416" s="4"/>
      <c r="BK416" s="14">
        <v>12</v>
      </c>
      <c r="BL416" s="14">
        <v>12</v>
      </c>
      <c r="BM416" s="14">
        <v>12</v>
      </c>
      <c r="BP416" s="15"/>
      <c r="BQ416" s="15"/>
      <c r="BR416" s="2" t="s">
        <v>97</v>
      </c>
      <c r="BS416" s="2" t="s">
        <v>97</v>
      </c>
      <c r="BT416" s="7" t="s">
        <v>98</v>
      </c>
      <c r="BU416" s="7"/>
      <c r="BV416" s="9" t="s">
        <v>98</v>
      </c>
      <c r="BW416" s="9"/>
    </row>
    <row r="417" spans="1:75" ht="14.25" customHeight="1" x14ac:dyDescent="0.25">
      <c r="A417" s="1">
        <v>933</v>
      </c>
      <c r="B417" s="1" t="s">
        <v>2098</v>
      </c>
      <c r="C417" s="1" t="s">
        <v>2099</v>
      </c>
      <c r="D417" s="1" t="s">
        <v>77</v>
      </c>
      <c r="E417" s="1" t="s">
        <v>2089</v>
      </c>
      <c r="F417" s="1" t="s">
        <v>2090</v>
      </c>
      <c r="G417" s="1"/>
      <c r="H417" s="2">
        <v>0</v>
      </c>
      <c r="I417" s="2">
        <v>0</v>
      </c>
      <c r="J417" s="2">
        <v>1</v>
      </c>
      <c r="K417" s="2">
        <v>1</v>
      </c>
      <c r="L417" s="3" t="s">
        <v>80</v>
      </c>
      <c r="O417" s="4">
        <v>4</v>
      </c>
      <c r="P417" s="4" t="s">
        <v>112</v>
      </c>
      <c r="Q417" s="4"/>
      <c r="R417" s="5"/>
      <c r="S417" s="6"/>
      <c r="T417" s="17"/>
      <c r="U417" s="6"/>
      <c r="V417" s="4"/>
      <c r="W417" s="4"/>
      <c r="X417" s="4"/>
      <c r="Y417" s="7">
        <v>3</v>
      </c>
      <c r="Z417" s="8">
        <v>515089</v>
      </c>
      <c r="AA417" s="7" t="s">
        <v>92</v>
      </c>
      <c r="AB417" s="7"/>
      <c r="AC417" s="9">
        <v>3</v>
      </c>
      <c r="AD417" s="10">
        <v>515089</v>
      </c>
      <c r="AE417" s="9" t="s">
        <v>92</v>
      </c>
      <c r="AF417" s="9"/>
      <c r="AG417" s="11">
        <v>4</v>
      </c>
      <c r="AH417" s="11" t="s">
        <v>93</v>
      </c>
      <c r="AI417" s="11"/>
      <c r="AJ417" s="11"/>
      <c r="AK417" s="11"/>
      <c r="AL417" s="12">
        <v>4</v>
      </c>
      <c r="AM417" s="12" t="s">
        <v>93</v>
      </c>
      <c r="AN417" s="12" t="s">
        <v>408</v>
      </c>
      <c r="AO417" s="12"/>
      <c r="AP417" s="12"/>
      <c r="AQ417" s="4">
        <v>4</v>
      </c>
      <c r="AR417" s="4" t="s">
        <v>83</v>
      </c>
      <c r="AS417" s="4"/>
      <c r="AT417" s="13"/>
      <c r="AU417" s="13"/>
      <c r="AV417" s="13"/>
      <c r="AW417" s="13"/>
      <c r="AX417" s="4"/>
      <c r="AY417" s="13"/>
      <c r="AZ417" s="13"/>
      <c r="BA417" s="13"/>
      <c r="BB417" s="13"/>
      <c r="BC417" s="4"/>
      <c r="BD417" s="4"/>
      <c r="BE417" s="4"/>
      <c r="BF417" s="13"/>
      <c r="BG417" s="4"/>
      <c r="BH417" s="13"/>
      <c r="BI417" s="13"/>
      <c r="BJ417" s="4"/>
      <c r="BK417" s="14">
        <v>15</v>
      </c>
      <c r="BL417" s="14">
        <v>15</v>
      </c>
      <c r="BM417" s="14">
        <v>15</v>
      </c>
      <c r="BN417" s="3" t="s">
        <v>86</v>
      </c>
      <c r="BP417" s="15"/>
      <c r="BQ417" s="15"/>
      <c r="BR417" s="2" t="s">
        <v>121</v>
      </c>
      <c r="BS417" s="2" t="s">
        <v>121</v>
      </c>
      <c r="BT417" s="7" t="s">
        <v>98</v>
      </c>
      <c r="BU417" s="7"/>
      <c r="BV417" s="9" t="s">
        <v>98</v>
      </c>
      <c r="BW417" s="9"/>
    </row>
    <row r="418" spans="1:75" ht="14.25" customHeight="1" x14ac:dyDescent="0.25">
      <c r="A418" s="1">
        <v>934</v>
      </c>
      <c r="B418" s="1" t="s">
        <v>2100</v>
      </c>
      <c r="C418" s="1" t="s">
        <v>2101</v>
      </c>
      <c r="D418" s="1" t="s">
        <v>77</v>
      </c>
      <c r="E418" s="1" t="s">
        <v>2089</v>
      </c>
      <c r="F418" s="1" t="s">
        <v>2090</v>
      </c>
      <c r="G418" s="1"/>
      <c r="H418" s="2">
        <v>0</v>
      </c>
      <c r="I418" s="2">
        <v>0</v>
      </c>
      <c r="J418" s="2">
        <v>0</v>
      </c>
      <c r="K418" s="2">
        <v>1</v>
      </c>
      <c r="L418" s="3" t="s">
        <v>80</v>
      </c>
      <c r="O418" s="4">
        <v>4</v>
      </c>
      <c r="P418" s="4" t="s">
        <v>81</v>
      </c>
      <c r="Q418" s="4"/>
      <c r="R418" s="5"/>
      <c r="S418" s="6"/>
      <c r="T418" s="17"/>
      <c r="U418" s="6"/>
      <c r="V418" s="4"/>
      <c r="W418" s="4"/>
      <c r="X418" s="4"/>
      <c r="Y418" s="7">
        <v>2</v>
      </c>
      <c r="Z418" s="8">
        <v>1652530</v>
      </c>
      <c r="AA418" s="7" t="s">
        <v>82</v>
      </c>
      <c r="AB418" s="7"/>
      <c r="AC418" s="9">
        <v>2</v>
      </c>
      <c r="AD418" s="10">
        <v>1652530</v>
      </c>
      <c r="AE418" s="9" t="s">
        <v>82</v>
      </c>
      <c r="AF418" s="9"/>
      <c r="AG418" s="11">
        <v>3</v>
      </c>
      <c r="AH418" s="11" t="s">
        <v>83</v>
      </c>
      <c r="AI418" s="11"/>
      <c r="AJ418" s="11"/>
      <c r="AK418" s="11"/>
      <c r="AL418" s="12">
        <v>3</v>
      </c>
      <c r="AM418" s="12" t="s">
        <v>83</v>
      </c>
      <c r="AN418" s="12"/>
      <c r="AO418" s="12"/>
      <c r="AP418" s="12"/>
      <c r="AQ418" s="4">
        <v>3</v>
      </c>
      <c r="AR418" s="4" t="s">
        <v>83</v>
      </c>
      <c r="AS418" s="4" t="s">
        <v>2102</v>
      </c>
      <c r="AT418" s="13"/>
      <c r="AU418" s="13"/>
      <c r="AV418" s="13"/>
      <c r="AW418" s="13"/>
      <c r="AX418" s="4"/>
      <c r="AY418" s="13"/>
      <c r="AZ418" s="13"/>
      <c r="BA418" s="13"/>
      <c r="BB418" s="13"/>
      <c r="BC418" s="4"/>
      <c r="BD418" s="4"/>
      <c r="BE418" s="4"/>
      <c r="BF418" s="13"/>
      <c r="BG418" s="4"/>
      <c r="BH418" s="13"/>
      <c r="BI418" s="13"/>
      <c r="BJ418" s="4"/>
      <c r="BK418" s="14">
        <v>12</v>
      </c>
      <c r="BL418" s="14">
        <v>12</v>
      </c>
      <c r="BM418" s="14">
        <v>12</v>
      </c>
      <c r="BP418" s="15"/>
      <c r="BQ418" s="15"/>
      <c r="BR418" s="2" t="s">
        <v>87</v>
      </c>
      <c r="BS418" s="2" t="s">
        <v>87</v>
      </c>
      <c r="BT418" s="7" t="s">
        <v>88</v>
      </c>
      <c r="BU418" s="7"/>
      <c r="BV418" s="9" t="s">
        <v>88</v>
      </c>
      <c r="BW418" s="9"/>
    </row>
    <row r="419" spans="1:75" ht="14.25" customHeight="1" x14ac:dyDescent="0.25">
      <c r="A419" s="1">
        <v>935</v>
      </c>
      <c r="B419" s="1" t="s">
        <v>2103</v>
      </c>
      <c r="C419" s="1" t="s">
        <v>2104</v>
      </c>
      <c r="D419" s="1" t="s">
        <v>77</v>
      </c>
      <c r="E419" s="1" t="s">
        <v>2089</v>
      </c>
      <c r="F419" s="1" t="s">
        <v>2090</v>
      </c>
      <c r="G419" s="1"/>
      <c r="H419" s="2">
        <v>0</v>
      </c>
      <c r="I419" s="2">
        <v>0</v>
      </c>
      <c r="J419" s="2">
        <v>0</v>
      </c>
      <c r="K419" s="2">
        <v>1</v>
      </c>
      <c r="L419" s="3" t="s">
        <v>80</v>
      </c>
      <c r="O419" s="4">
        <v>5</v>
      </c>
      <c r="P419" s="4" t="s">
        <v>81</v>
      </c>
      <c r="Q419" s="4"/>
      <c r="R419" s="5"/>
      <c r="S419" s="6"/>
      <c r="T419" s="17"/>
      <c r="U419" s="6"/>
      <c r="V419" s="4"/>
      <c r="W419" s="4"/>
      <c r="X419" s="4"/>
      <c r="Y419" s="7">
        <v>4</v>
      </c>
      <c r="Z419" s="8">
        <v>174767</v>
      </c>
      <c r="AA419" s="7" t="s">
        <v>82</v>
      </c>
      <c r="AB419" s="7"/>
      <c r="AC419" s="9">
        <v>4</v>
      </c>
      <c r="AD419" s="10">
        <v>174767</v>
      </c>
      <c r="AE419" s="9" t="s">
        <v>82</v>
      </c>
      <c r="AF419" s="9"/>
      <c r="AG419" s="11">
        <v>3</v>
      </c>
      <c r="AH419" s="11" t="s">
        <v>83</v>
      </c>
      <c r="AI419" s="11" t="s">
        <v>2105</v>
      </c>
      <c r="AJ419" s="11"/>
      <c r="AK419" s="11"/>
      <c r="AL419" s="12">
        <v>3</v>
      </c>
      <c r="AM419" s="12" t="s">
        <v>83</v>
      </c>
      <c r="AN419" s="12"/>
      <c r="AO419" s="12"/>
      <c r="AP419" s="12"/>
      <c r="AQ419" s="4">
        <v>4</v>
      </c>
      <c r="AR419" s="4" t="s">
        <v>83</v>
      </c>
      <c r="AS419" s="4"/>
      <c r="AT419" s="13"/>
      <c r="AU419" s="13"/>
      <c r="AV419" s="13"/>
      <c r="AW419" s="13"/>
      <c r="AX419" s="4"/>
      <c r="AY419" s="13"/>
      <c r="AZ419" s="13"/>
      <c r="BA419" s="13"/>
      <c r="BB419" s="13"/>
      <c r="BC419" s="4"/>
      <c r="BD419" s="4"/>
      <c r="BE419" s="4"/>
      <c r="BF419" s="13"/>
      <c r="BG419" s="4"/>
      <c r="BH419" s="13"/>
      <c r="BI419" s="13"/>
      <c r="BJ419" s="4"/>
      <c r="BK419" s="14">
        <v>16</v>
      </c>
      <c r="BL419" s="14">
        <v>16</v>
      </c>
      <c r="BM419" s="14">
        <v>16</v>
      </c>
      <c r="BN419" s="3" t="s">
        <v>86</v>
      </c>
      <c r="BP419" s="15"/>
      <c r="BQ419" s="15"/>
      <c r="BR419" s="2" t="s">
        <v>121</v>
      </c>
      <c r="BS419" s="2" t="s">
        <v>121</v>
      </c>
      <c r="BT419" s="7" t="s">
        <v>98</v>
      </c>
      <c r="BU419" s="7"/>
      <c r="BV419" s="9" t="s">
        <v>98</v>
      </c>
      <c r="BW419" s="9"/>
    </row>
    <row r="420" spans="1:75" ht="14.25" customHeight="1" x14ac:dyDescent="0.25">
      <c r="A420" s="1">
        <v>936</v>
      </c>
      <c r="B420" s="1" t="s">
        <v>2106</v>
      </c>
      <c r="C420" s="1" t="s">
        <v>2107</v>
      </c>
      <c r="D420" s="1" t="s">
        <v>77</v>
      </c>
      <c r="E420" s="1" t="s">
        <v>2089</v>
      </c>
      <c r="F420" s="1" t="s">
        <v>2090</v>
      </c>
      <c r="G420" s="1"/>
      <c r="H420" s="2">
        <v>0</v>
      </c>
      <c r="I420" s="2">
        <v>0</v>
      </c>
      <c r="J420" s="2">
        <v>0</v>
      </c>
      <c r="K420" s="2">
        <v>1</v>
      </c>
      <c r="L420" s="3" t="s">
        <v>80</v>
      </c>
      <c r="O420" s="4">
        <v>2</v>
      </c>
      <c r="P420" s="4" t="s">
        <v>81</v>
      </c>
      <c r="Q420" s="4"/>
      <c r="R420" s="5"/>
      <c r="S420" s="6"/>
      <c r="T420" s="17"/>
      <c r="U420" s="6"/>
      <c r="V420" s="4"/>
      <c r="W420" s="4"/>
      <c r="X420" s="4"/>
      <c r="Y420" s="7">
        <v>1</v>
      </c>
      <c r="Z420" s="8">
        <v>4934190</v>
      </c>
      <c r="AA420" s="7" t="s">
        <v>82</v>
      </c>
      <c r="AB420" s="7"/>
      <c r="AC420" s="9">
        <v>1</v>
      </c>
      <c r="AD420" s="10">
        <v>4934190</v>
      </c>
      <c r="AE420" s="9" t="s">
        <v>82</v>
      </c>
      <c r="AF420" s="9"/>
      <c r="AG420" s="11">
        <v>4</v>
      </c>
      <c r="AH420" s="11" t="s">
        <v>83</v>
      </c>
      <c r="AI420" s="11"/>
      <c r="AJ420" s="11"/>
      <c r="AK420" s="11"/>
      <c r="AL420" s="12">
        <v>4</v>
      </c>
      <c r="AM420" s="12" t="s">
        <v>83</v>
      </c>
      <c r="AN420" s="12"/>
      <c r="AO420" s="12"/>
      <c r="AP420" s="12"/>
      <c r="AQ420" s="4">
        <v>5</v>
      </c>
      <c r="AR420" s="4" t="s">
        <v>83</v>
      </c>
      <c r="AS420" s="4"/>
      <c r="AT420" s="13"/>
      <c r="AU420" s="13"/>
      <c r="AV420" s="13"/>
      <c r="AW420" s="13"/>
      <c r="AX420" s="4"/>
      <c r="AY420" s="13"/>
      <c r="AZ420" s="13"/>
      <c r="BA420" s="13"/>
      <c r="BB420" s="13"/>
      <c r="BC420" s="4"/>
      <c r="BD420" s="4"/>
      <c r="BE420" s="4"/>
      <c r="BF420" s="13"/>
      <c r="BG420" s="4"/>
      <c r="BH420" s="13"/>
      <c r="BI420" s="13"/>
      <c r="BJ420" s="4"/>
      <c r="BK420" s="14">
        <v>12</v>
      </c>
      <c r="BL420" s="14">
        <v>12</v>
      </c>
      <c r="BM420" s="14">
        <v>12</v>
      </c>
      <c r="BN420" s="3" t="s">
        <v>302</v>
      </c>
      <c r="BP420" s="15"/>
      <c r="BQ420" s="15"/>
      <c r="BR420" s="2" t="s">
        <v>97</v>
      </c>
      <c r="BS420" s="2" t="s">
        <v>97</v>
      </c>
      <c r="BT420" s="7" t="s">
        <v>98</v>
      </c>
      <c r="BU420" s="7"/>
      <c r="BV420" s="9" t="s">
        <v>98</v>
      </c>
      <c r="BW420" s="9"/>
    </row>
    <row r="421" spans="1:75" ht="14.25" customHeight="1" x14ac:dyDescent="0.25">
      <c r="A421" s="1">
        <v>937</v>
      </c>
      <c r="B421" s="1" t="s">
        <v>2108</v>
      </c>
      <c r="C421" s="1" t="s">
        <v>2109</v>
      </c>
      <c r="D421" s="1" t="s">
        <v>77</v>
      </c>
      <c r="E421" s="1" t="s">
        <v>2089</v>
      </c>
      <c r="F421" s="1" t="s">
        <v>2110</v>
      </c>
      <c r="G421" s="1" t="s">
        <v>118</v>
      </c>
      <c r="H421" s="2">
        <v>0</v>
      </c>
      <c r="I421" s="2">
        <v>0</v>
      </c>
      <c r="J421" s="2">
        <v>0</v>
      </c>
      <c r="K421" s="2">
        <v>1</v>
      </c>
      <c r="L421" s="3" t="s">
        <v>80</v>
      </c>
      <c r="O421" s="4">
        <v>5</v>
      </c>
      <c r="P421" s="4" t="s">
        <v>81</v>
      </c>
      <c r="Q421" s="4"/>
      <c r="R421" s="5"/>
      <c r="S421" s="6"/>
      <c r="T421" s="17"/>
      <c r="U421" s="6"/>
      <c r="V421" s="4"/>
      <c r="W421" s="4"/>
      <c r="X421" s="4"/>
      <c r="Y421" s="7">
        <v>5</v>
      </c>
      <c r="Z421" s="8">
        <v>50568</v>
      </c>
      <c r="AA421" s="7" t="s">
        <v>82</v>
      </c>
      <c r="AB421" s="7"/>
      <c r="AC421" s="9">
        <v>5</v>
      </c>
      <c r="AD421" s="10">
        <v>50568</v>
      </c>
      <c r="AE421" s="9" t="s">
        <v>82</v>
      </c>
      <c r="AF421" s="9"/>
      <c r="AG421" s="11">
        <v>3</v>
      </c>
      <c r="AH421" s="11" t="s">
        <v>83</v>
      </c>
      <c r="AI421" s="11" t="s">
        <v>2111</v>
      </c>
      <c r="AJ421" s="11"/>
      <c r="AK421" s="11"/>
      <c r="AL421" s="12">
        <v>3</v>
      </c>
      <c r="AM421" s="12" t="s">
        <v>83</v>
      </c>
      <c r="AN421" s="12"/>
      <c r="AO421" s="12"/>
      <c r="AP421" s="12"/>
      <c r="AQ421" s="4">
        <v>3</v>
      </c>
      <c r="AR421" s="4" t="s">
        <v>83</v>
      </c>
      <c r="AS421" s="4"/>
      <c r="AT421" s="13"/>
      <c r="AU421" s="13"/>
      <c r="AV421" s="13"/>
      <c r="AW421" s="13"/>
      <c r="AX421" s="4"/>
      <c r="AY421" s="13"/>
      <c r="AZ421" s="13"/>
      <c r="BA421" s="13"/>
      <c r="BB421" s="13"/>
      <c r="BC421" s="4"/>
      <c r="BD421" s="4"/>
      <c r="BE421" s="4"/>
      <c r="BF421" s="13"/>
      <c r="BG421" s="4"/>
      <c r="BH421" s="13"/>
      <c r="BI421" s="13"/>
      <c r="BJ421" s="4"/>
      <c r="BK421" s="14">
        <v>16</v>
      </c>
      <c r="BL421" s="14">
        <v>16</v>
      </c>
      <c r="BM421" s="14">
        <v>16</v>
      </c>
      <c r="BN421" s="3" t="s">
        <v>86</v>
      </c>
      <c r="BP421" s="15"/>
      <c r="BQ421" s="15"/>
      <c r="BR421" s="2" t="s">
        <v>121</v>
      </c>
      <c r="BS421" s="2" t="s">
        <v>121</v>
      </c>
      <c r="BT421" s="7" t="s">
        <v>98</v>
      </c>
      <c r="BU421" s="7"/>
      <c r="BV421" s="9" t="s">
        <v>98</v>
      </c>
      <c r="BW421" s="9"/>
    </row>
    <row r="422" spans="1:75" ht="14.25" customHeight="1" x14ac:dyDescent="0.25">
      <c r="A422" s="1">
        <v>938</v>
      </c>
      <c r="B422" s="1" t="s">
        <v>2112</v>
      </c>
      <c r="C422" s="1" t="s">
        <v>2113</v>
      </c>
      <c r="D422" s="1" t="s">
        <v>77</v>
      </c>
      <c r="E422" s="1" t="s">
        <v>2089</v>
      </c>
      <c r="F422" s="1" t="s">
        <v>2110</v>
      </c>
      <c r="G422" s="1"/>
      <c r="H422" s="2">
        <v>0</v>
      </c>
      <c r="I422" s="2">
        <v>0</v>
      </c>
      <c r="J422" s="2">
        <v>1</v>
      </c>
      <c r="K422" s="2">
        <v>1</v>
      </c>
      <c r="L422" s="3" t="s">
        <v>80</v>
      </c>
      <c r="O422" s="4">
        <v>3</v>
      </c>
      <c r="P422" s="4" t="s">
        <v>112</v>
      </c>
      <c r="Q422" s="4"/>
      <c r="R422" s="5"/>
      <c r="S422" s="6"/>
      <c r="T422" s="17"/>
      <c r="U422" s="6"/>
      <c r="V422" s="4"/>
      <c r="W422" s="4"/>
      <c r="X422" s="4"/>
      <c r="Y422" s="7">
        <v>1</v>
      </c>
      <c r="Z422" s="8">
        <v>7626936</v>
      </c>
      <c r="AA422" s="7" t="s">
        <v>92</v>
      </c>
      <c r="AB422" s="7"/>
      <c r="AC422" s="9">
        <v>1</v>
      </c>
      <c r="AD422" s="10">
        <v>7626936</v>
      </c>
      <c r="AE422" s="9" t="s">
        <v>92</v>
      </c>
      <c r="AF422" s="9"/>
      <c r="AG422" s="11">
        <v>4</v>
      </c>
      <c r="AH422" s="11" t="s">
        <v>93</v>
      </c>
      <c r="AI422" s="11"/>
      <c r="AJ422" s="11"/>
      <c r="AK422" s="11"/>
      <c r="AL422" s="12">
        <v>4</v>
      </c>
      <c r="AM422" s="12" t="s">
        <v>93</v>
      </c>
      <c r="AN422" s="12" t="s">
        <v>408</v>
      </c>
      <c r="AO422" s="12"/>
      <c r="AP422" s="12"/>
      <c r="AQ422" s="4">
        <v>4</v>
      </c>
      <c r="AR422" s="4" t="s">
        <v>83</v>
      </c>
      <c r="AS422" s="4"/>
      <c r="AT422" s="13"/>
      <c r="AU422" s="13"/>
      <c r="AV422" s="13"/>
      <c r="AW422" s="13"/>
      <c r="AX422" s="4"/>
      <c r="AY422" s="13"/>
      <c r="AZ422" s="13"/>
      <c r="BA422" s="13"/>
      <c r="BB422" s="13"/>
      <c r="BC422" s="4"/>
      <c r="BD422" s="4"/>
      <c r="BE422" s="4"/>
      <c r="BF422" s="13"/>
      <c r="BG422" s="4"/>
      <c r="BH422" s="13"/>
      <c r="BI422" s="13"/>
      <c r="BJ422" s="4"/>
      <c r="BK422" s="14">
        <v>12</v>
      </c>
      <c r="BL422" s="14">
        <v>12</v>
      </c>
      <c r="BM422" s="14">
        <v>12</v>
      </c>
      <c r="BP422" s="15"/>
      <c r="BQ422" s="15"/>
      <c r="BR422" s="2" t="s">
        <v>97</v>
      </c>
      <c r="BS422" s="2" t="s">
        <v>97</v>
      </c>
      <c r="BT422" s="7" t="s">
        <v>98</v>
      </c>
      <c r="BU422" s="7"/>
      <c r="BV422" s="9" t="s">
        <v>98</v>
      </c>
      <c r="BW422" s="9"/>
    </row>
    <row r="423" spans="1:75" ht="14.25" customHeight="1" x14ac:dyDescent="0.25">
      <c r="A423" s="1">
        <v>939</v>
      </c>
      <c r="B423" s="1" t="s">
        <v>2114</v>
      </c>
      <c r="C423" s="1" t="s">
        <v>2115</v>
      </c>
      <c r="D423" s="1" t="s">
        <v>77</v>
      </c>
      <c r="E423" s="1" t="s">
        <v>2089</v>
      </c>
      <c r="F423" s="1" t="s">
        <v>2110</v>
      </c>
      <c r="G423" s="1"/>
      <c r="H423" s="2">
        <v>0</v>
      </c>
      <c r="I423" s="2">
        <v>0</v>
      </c>
      <c r="J423" s="2">
        <v>0</v>
      </c>
      <c r="K423" s="2">
        <v>1</v>
      </c>
      <c r="L423" s="3" t="s">
        <v>80</v>
      </c>
      <c r="O423" s="4">
        <v>3</v>
      </c>
      <c r="P423" s="4" t="s">
        <v>81</v>
      </c>
      <c r="Q423" s="4"/>
      <c r="R423" s="5"/>
      <c r="S423" s="6"/>
      <c r="T423" s="17"/>
      <c r="U423" s="6"/>
      <c r="V423" s="4"/>
      <c r="W423" s="4"/>
      <c r="X423" s="4"/>
      <c r="Y423" s="7">
        <v>1</v>
      </c>
      <c r="Z423" s="8">
        <v>5691642</v>
      </c>
      <c r="AA423" s="7" t="s">
        <v>82</v>
      </c>
      <c r="AB423" s="7"/>
      <c r="AC423" s="9">
        <v>1</v>
      </c>
      <c r="AD423" s="10">
        <v>5691642</v>
      </c>
      <c r="AE423" s="9" t="s">
        <v>82</v>
      </c>
      <c r="AF423" s="9"/>
      <c r="AG423" s="11">
        <v>4</v>
      </c>
      <c r="AH423" s="11" t="s">
        <v>83</v>
      </c>
      <c r="AI423" s="11"/>
      <c r="AJ423" s="11"/>
      <c r="AK423" s="11"/>
      <c r="AL423" s="12">
        <v>4</v>
      </c>
      <c r="AM423" s="12" t="s">
        <v>83</v>
      </c>
      <c r="AN423" s="12"/>
      <c r="AO423" s="12"/>
      <c r="AP423" s="12"/>
      <c r="AQ423" s="4">
        <v>5</v>
      </c>
      <c r="AR423" s="4" t="s">
        <v>83</v>
      </c>
      <c r="AS423" s="4"/>
      <c r="AT423" s="13"/>
      <c r="AU423" s="13"/>
      <c r="AV423" s="13"/>
      <c r="AW423" s="13"/>
      <c r="AX423" s="4"/>
      <c r="AY423" s="13"/>
      <c r="AZ423" s="13"/>
      <c r="BA423" s="13"/>
      <c r="BB423" s="13"/>
      <c r="BC423" s="4"/>
      <c r="BD423" s="4"/>
      <c r="BE423" s="4"/>
      <c r="BF423" s="13"/>
      <c r="BG423" s="4"/>
      <c r="BH423" s="13"/>
      <c r="BI423" s="13"/>
      <c r="BJ423" s="4"/>
      <c r="BK423" s="14">
        <v>13</v>
      </c>
      <c r="BL423" s="14">
        <v>13</v>
      </c>
      <c r="BM423" s="14">
        <v>13</v>
      </c>
      <c r="BN423" s="3" t="s">
        <v>113</v>
      </c>
      <c r="BP423" s="15"/>
      <c r="BQ423" s="15"/>
      <c r="BR423" s="2" t="s">
        <v>97</v>
      </c>
      <c r="BS423" s="2" t="s">
        <v>97</v>
      </c>
      <c r="BT423" s="7" t="s">
        <v>98</v>
      </c>
      <c r="BU423" s="7"/>
      <c r="BV423" s="9" t="s">
        <v>98</v>
      </c>
      <c r="BW423" s="9"/>
    </row>
    <row r="424" spans="1:75" ht="14.25" customHeight="1" x14ac:dyDescent="0.25">
      <c r="A424" s="1">
        <v>940</v>
      </c>
      <c r="B424" s="1" t="s">
        <v>2116</v>
      </c>
      <c r="C424" s="1" t="s">
        <v>2117</v>
      </c>
      <c r="D424" s="1" t="s">
        <v>77</v>
      </c>
      <c r="E424" s="1" t="s">
        <v>2089</v>
      </c>
      <c r="F424" s="1" t="s">
        <v>2118</v>
      </c>
      <c r="G424" s="1"/>
      <c r="H424" s="2">
        <v>0</v>
      </c>
      <c r="I424" s="2">
        <v>0</v>
      </c>
      <c r="J424" s="2">
        <v>0</v>
      </c>
      <c r="K424" s="2">
        <v>1</v>
      </c>
      <c r="L424" s="3" t="s">
        <v>80</v>
      </c>
      <c r="O424" s="4">
        <v>4</v>
      </c>
      <c r="P424" s="4" t="s">
        <v>81</v>
      </c>
      <c r="Q424" s="4"/>
      <c r="R424" s="5"/>
      <c r="S424" s="6"/>
      <c r="T424" s="17"/>
      <c r="U424" s="6"/>
      <c r="V424" s="4"/>
      <c r="W424" s="4"/>
      <c r="X424" s="4"/>
      <c r="Y424" s="7">
        <v>4</v>
      </c>
      <c r="Z424" s="8">
        <v>133555</v>
      </c>
      <c r="AA424" s="7" t="s">
        <v>82</v>
      </c>
      <c r="AB424" s="7"/>
      <c r="AC424" s="9">
        <v>4</v>
      </c>
      <c r="AD424" s="10">
        <v>133555</v>
      </c>
      <c r="AE424" s="9" t="s">
        <v>82</v>
      </c>
      <c r="AF424" s="9"/>
      <c r="AG424" s="11">
        <v>4</v>
      </c>
      <c r="AH424" s="11" t="s">
        <v>83</v>
      </c>
      <c r="AI424" s="11"/>
      <c r="AJ424" s="11"/>
      <c r="AK424" s="11"/>
      <c r="AL424" s="12">
        <v>4</v>
      </c>
      <c r="AM424" s="12" t="s">
        <v>83</v>
      </c>
      <c r="AN424" s="12"/>
      <c r="AO424" s="12"/>
      <c r="AP424" s="12"/>
      <c r="AQ424" s="4">
        <v>4</v>
      </c>
      <c r="AR424" s="4" t="s">
        <v>83</v>
      </c>
      <c r="AS424" s="4"/>
      <c r="AT424" s="13"/>
      <c r="AU424" s="13"/>
      <c r="AV424" s="13"/>
      <c r="AW424" s="13"/>
      <c r="AX424" s="4"/>
      <c r="AY424" s="13"/>
      <c r="AZ424" s="13"/>
      <c r="BA424" s="13"/>
      <c r="BB424" s="13"/>
      <c r="BC424" s="4"/>
      <c r="BD424" s="4"/>
      <c r="BE424" s="4"/>
      <c r="BF424" s="13"/>
      <c r="BG424" s="4"/>
      <c r="BH424" s="13"/>
      <c r="BI424" s="13"/>
      <c r="BJ424" s="4"/>
      <c r="BK424" s="14">
        <v>16</v>
      </c>
      <c r="BL424" s="14">
        <v>16</v>
      </c>
      <c r="BM424" s="14">
        <v>16</v>
      </c>
      <c r="BN424" s="3" t="s">
        <v>86</v>
      </c>
      <c r="BP424" s="15"/>
      <c r="BQ424" s="15"/>
      <c r="BR424" s="2" t="s">
        <v>121</v>
      </c>
      <c r="BS424" s="2" t="s">
        <v>121</v>
      </c>
      <c r="BT424" s="7" t="s">
        <v>98</v>
      </c>
      <c r="BU424" s="7"/>
      <c r="BV424" s="9" t="s">
        <v>98</v>
      </c>
      <c r="BW424" s="9"/>
    </row>
    <row r="425" spans="1:75" ht="14.25" customHeight="1" x14ac:dyDescent="0.25">
      <c r="A425" s="1">
        <v>941</v>
      </c>
      <c r="B425" s="1" t="s">
        <v>2119</v>
      </c>
      <c r="C425" s="1" t="s">
        <v>2120</v>
      </c>
      <c r="D425" s="1" t="s">
        <v>77</v>
      </c>
      <c r="E425" s="1" t="s">
        <v>2089</v>
      </c>
      <c r="F425" s="1" t="s">
        <v>2118</v>
      </c>
      <c r="G425" s="1"/>
      <c r="H425" s="2">
        <v>0</v>
      </c>
      <c r="I425" s="2">
        <v>0</v>
      </c>
      <c r="J425" s="2">
        <v>0</v>
      </c>
      <c r="K425" s="2">
        <v>1</v>
      </c>
      <c r="L425" s="3" t="s">
        <v>80</v>
      </c>
      <c r="O425" s="4">
        <v>3</v>
      </c>
      <c r="P425" s="4" t="s">
        <v>81</v>
      </c>
      <c r="Q425" s="4"/>
      <c r="R425" s="5"/>
      <c r="S425" s="6"/>
      <c r="T425" s="17"/>
      <c r="U425" s="6"/>
      <c r="V425" s="4"/>
      <c r="W425" s="4"/>
      <c r="X425" s="4"/>
      <c r="Y425" s="7">
        <v>4</v>
      </c>
      <c r="Z425" s="8">
        <v>233387</v>
      </c>
      <c r="AA425" s="7" t="s">
        <v>82</v>
      </c>
      <c r="AB425" s="7"/>
      <c r="AC425" s="9">
        <v>4</v>
      </c>
      <c r="AD425" s="10">
        <v>233387</v>
      </c>
      <c r="AE425" s="9" t="s">
        <v>82</v>
      </c>
      <c r="AF425" s="9"/>
      <c r="AG425" s="11">
        <v>4</v>
      </c>
      <c r="AH425" s="11" t="s">
        <v>83</v>
      </c>
      <c r="AI425" s="11" t="s">
        <v>2121</v>
      </c>
      <c r="AJ425" s="11"/>
      <c r="AK425" s="11"/>
      <c r="AL425" s="12">
        <v>4</v>
      </c>
      <c r="AM425" s="12" t="s">
        <v>83</v>
      </c>
      <c r="AN425" s="12"/>
      <c r="AO425" s="12"/>
      <c r="AP425" s="12"/>
      <c r="AQ425" s="4">
        <v>4</v>
      </c>
      <c r="AR425" s="4" t="s">
        <v>83</v>
      </c>
      <c r="AS425" s="4"/>
      <c r="AT425" s="13"/>
      <c r="AU425" s="13"/>
      <c r="AV425" s="13"/>
      <c r="AW425" s="13"/>
      <c r="AX425" s="4"/>
      <c r="AY425" s="13"/>
      <c r="AZ425" s="13"/>
      <c r="BA425" s="13"/>
      <c r="BB425" s="13"/>
      <c r="BC425" s="4"/>
      <c r="BD425" s="4"/>
      <c r="BE425" s="4"/>
      <c r="BF425" s="13"/>
      <c r="BG425" s="4"/>
      <c r="BH425" s="13"/>
      <c r="BI425" s="13"/>
      <c r="BJ425" s="4"/>
      <c r="BK425" s="14">
        <v>15</v>
      </c>
      <c r="BL425" s="14">
        <v>15</v>
      </c>
      <c r="BM425" s="14">
        <v>15</v>
      </c>
      <c r="BN425" s="3" t="s">
        <v>86</v>
      </c>
      <c r="BP425" s="15"/>
      <c r="BQ425" s="15"/>
      <c r="BR425" s="2" t="s">
        <v>87</v>
      </c>
      <c r="BS425" s="2" t="s">
        <v>87</v>
      </c>
      <c r="BT425" s="7" t="s">
        <v>88</v>
      </c>
      <c r="BU425" s="7"/>
      <c r="BV425" s="9" t="s">
        <v>88</v>
      </c>
      <c r="BW425" s="9"/>
    </row>
    <row r="426" spans="1:75" ht="14.25" customHeight="1" x14ac:dyDescent="0.25">
      <c r="A426" s="1">
        <v>942</v>
      </c>
      <c r="B426" s="1" t="s">
        <v>2122</v>
      </c>
      <c r="C426" s="1" t="s">
        <v>2123</v>
      </c>
      <c r="D426" s="1" t="s">
        <v>77</v>
      </c>
      <c r="E426" s="1" t="s">
        <v>2089</v>
      </c>
      <c r="F426" s="1" t="s">
        <v>2124</v>
      </c>
      <c r="G426" s="1" t="s">
        <v>118</v>
      </c>
      <c r="H426" s="2">
        <v>0</v>
      </c>
      <c r="I426" s="2">
        <v>0</v>
      </c>
      <c r="J426" s="2">
        <v>0</v>
      </c>
      <c r="K426" s="2">
        <v>1</v>
      </c>
      <c r="L426" s="3" t="s">
        <v>80</v>
      </c>
      <c r="O426" s="4">
        <v>5</v>
      </c>
      <c r="P426" s="4" t="s">
        <v>81</v>
      </c>
      <c r="Q426" s="4"/>
      <c r="R426" s="5"/>
      <c r="S426" s="6"/>
      <c r="T426" s="17"/>
      <c r="U426" s="6"/>
      <c r="V426" s="4"/>
      <c r="W426" s="4"/>
      <c r="X426" s="4"/>
      <c r="Y426" s="7">
        <v>5</v>
      </c>
      <c r="Z426" s="8">
        <v>15934</v>
      </c>
      <c r="AA426" s="7" t="s">
        <v>82</v>
      </c>
      <c r="AB426" s="7"/>
      <c r="AC426" s="9">
        <v>5</v>
      </c>
      <c r="AD426" s="10">
        <v>15934</v>
      </c>
      <c r="AE426" s="9" t="s">
        <v>82</v>
      </c>
      <c r="AF426" s="9"/>
      <c r="AG426" s="11">
        <v>4</v>
      </c>
      <c r="AH426" s="11" t="s">
        <v>83</v>
      </c>
      <c r="AI426" s="11" t="s">
        <v>2125</v>
      </c>
      <c r="AJ426" s="11"/>
      <c r="AK426" s="11"/>
      <c r="AL426" s="12">
        <v>4</v>
      </c>
      <c r="AM426" s="12" t="s">
        <v>83</v>
      </c>
      <c r="AN426" s="12"/>
      <c r="AO426" s="12"/>
      <c r="AP426" s="12"/>
      <c r="AQ426" s="4">
        <v>3</v>
      </c>
      <c r="AR426" s="4" t="s">
        <v>83</v>
      </c>
      <c r="AS426" s="4"/>
      <c r="AT426" s="13"/>
      <c r="AU426" s="13"/>
      <c r="AV426" s="13"/>
      <c r="AW426" s="13"/>
      <c r="AX426" s="4"/>
      <c r="AY426" s="13"/>
      <c r="AZ426" s="13"/>
      <c r="BA426" s="13"/>
      <c r="BB426" s="13"/>
      <c r="BC426" s="4"/>
      <c r="BD426" s="4"/>
      <c r="BE426" s="4"/>
      <c r="BF426" s="13"/>
      <c r="BG426" s="4"/>
      <c r="BH426" s="13"/>
      <c r="BI426" s="13"/>
      <c r="BJ426" s="4"/>
      <c r="BK426" s="14">
        <v>17</v>
      </c>
      <c r="BL426" s="14">
        <v>17</v>
      </c>
      <c r="BM426" s="14">
        <v>17</v>
      </c>
      <c r="BN426" s="3" t="s">
        <v>312</v>
      </c>
      <c r="BP426" s="15"/>
      <c r="BQ426" s="15"/>
      <c r="BR426" s="2" t="s">
        <v>87</v>
      </c>
      <c r="BS426" s="2" t="s">
        <v>87</v>
      </c>
      <c r="BT426" s="7" t="s">
        <v>88</v>
      </c>
      <c r="BU426" s="7"/>
      <c r="BV426" s="9" t="s">
        <v>88</v>
      </c>
      <c r="BW426" s="9"/>
    </row>
    <row r="427" spans="1:75" ht="14.25" customHeight="1" x14ac:dyDescent="0.25">
      <c r="A427" s="1">
        <v>943</v>
      </c>
      <c r="B427" s="1" t="s">
        <v>2126</v>
      </c>
      <c r="C427" s="1" t="s">
        <v>2127</v>
      </c>
      <c r="D427" s="1" t="s">
        <v>77</v>
      </c>
      <c r="E427" s="1" t="s">
        <v>2089</v>
      </c>
      <c r="F427" s="1" t="s">
        <v>2128</v>
      </c>
      <c r="G427" s="1"/>
      <c r="H427" s="2">
        <v>0</v>
      </c>
      <c r="I427" s="2">
        <v>0</v>
      </c>
      <c r="J427" s="2">
        <v>1</v>
      </c>
      <c r="K427" s="2">
        <v>1</v>
      </c>
      <c r="L427" s="3" t="s">
        <v>80</v>
      </c>
      <c r="O427" s="4">
        <v>4</v>
      </c>
      <c r="P427" s="4" t="s">
        <v>2129</v>
      </c>
      <c r="Q427" s="4" t="s">
        <v>2130</v>
      </c>
      <c r="R427" s="5"/>
      <c r="S427" s="6"/>
      <c r="T427" s="17"/>
      <c r="U427" s="6"/>
      <c r="V427" s="4"/>
      <c r="W427" s="4"/>
      <c r="X427" s="4"/>
      <c r="Y427" s="7">
        <v>3</v>
      </c>
      <c r="Z427" s="8">
        <v>511872</v>
      </c>
      <c r="AA427" s="7" t="s">
        <v>2131</v>
      </c>
      <c r="AB427" s="7" t="s">
        <v>2132</v>
      </c>
      <c r="AC427" s="9">
        <v>3</v>
      </c>
      <c r="AD427" s="10">
        <v>511872</v>
      </c>
      <c r="AE427" s="9" t="s">
        <v>2131</v>
      </c>
      <c r="AF427" s="9" t="s">
        <v>2132</v>
      </c>
      <c r="AG427" s="11">
        <v>4</v>
      </c>
      <c r="AH427" s="11" t="s">
        <v>93</v>
      </c>
      <c r="AI427" s="11"/>
      <c r="AJ427" s="11"/>
      <c r="AK427" s="11"/>
      <c r="AL427" s="12">
        <v>4</v>
      </c>
      <c r="AM427" s="12" t="s">
        <v>93</v>
      </c>
      <c r="AN427" s="12" t="s">
        <v>2133</v>
      </c>
      <c r="AO427" s="12"/>
      <c r="AP427" s="12"/>
      <c r="AQ427" s="4">
        <v>4</v>
      </c>
      <c r="AR427" s="4" t="s">
        <v>83</v>
      </c>
      <c r="AS427" s="4"/>
      <c r="AT427" s="13"/>
      <c r="AU427" s="13"/>
      <c r="AV427" s="13"/>
      <c r="AW427" s="13"/>
      <c r="AX427" s="4"/>
      <c r="AY427" s="13"/>
      <c r="AZ427" s="13"/>
      <c r="BA427" s="13"/>
      <c r="BB427" s="13"/>
      <c r="BC427" s="4"/>
      <c r="BD427" s="4"/>
      <c r="BE427" s="4"/>
      <c r="BF427" s="13"/>
      <c r="BG427" s="4"/>
      <c r="BH427" s="13"/>
      <c r="BI427" s="13"/>
      <c r="BJ427" s="4"/>
      <c r="BK427" s="14">
        <v>15</v>
      </c>
      <c r="BL427" s="14">
        <v>15</v>
      </c>
      <c r="BM427" s="14">
        <v>15</v>
      </c>
      <c r="BN427" s="3" t="s">
        <v>86</v>
      </c>
      <c r="BP427" s="15"/>
      <c r="BQ427" s="15"/>
      <c r="BR427" s="2" t="s">
        <v>87</v>
      </c>
      <c r="BS427" s="2" t="s">
        <v>87</v>
      </c>
      <c r="BT427" s="7" t="s">
        <v>88</v>
      </c>
      <c r="BU427" s="7"/>
      <c r="BV427" s="9" t="s">
        <v>88</v>
      </c>
      <c r="BW427" s="9"/>
    </row>
    <row r="428" spans="1:75" ht="14.25" customHeight="1" x14ac:dyDescent="0.25">
      <c r="A428" s="1">
        <v>944</v>
      </c>
      <c r="B428" s="1" t="s">
        <v>2134</v>
      </c>
      <c r="C428" s="1" t="s">
        <v>2135</v>
      </c>
      <c r="D428" s="1" t="s">
        <v>77</v>
      </c>
      <c r="E428" s="1" t="s">
        <v>2089</v>
      </c>
      <c r="F428" s="1" t="s">
        <v>2128</v>
      </c>
      <c r="G428" s="1"/>
      <c r="H428" s="2">
        <v>0</v>
      </c>
      <c r="I428" s="2">
        <v>0</v>
      </c>
      <c r="J428" s="2">
        <v>1</v>
      </c>
      <c r="K428" s="2">
        <v>1</v>
      </c>
      <c r="L428" s="3" t="s">
        <v>80</v>
      </c>
      <c r="O428" s="4">
        <v>3</v>
      </c>
      <c r="P428" s="4" t="s">
        <v>112</v>
      </c>
      <c r="Q428" s="4"/>
      <c r="R428" s="5"/>
      <c r="S428" s="6"/>
      <c r="T428" s="17"/>
      <c r="U428" s="6"/>
      <c r="V428" s="4"/>
      <c r="W428" s="4"/>
      <c r="X428" s="4"/>
      <c r="Y428" s="7">
        <v>3</v>
      </c>
      <c r="Z428" s="8">
        <v>989755</v>
      </c>
      <c r="AA428" s="7" t="s">
        <v>92</v>
      </c>
      <c r="AB428" s="7"/>
      <c r="AC428" s="9">
        <v>3</v>
      </c>
      <c r="AD428" s="10">
        <v>989755</v>
      </c>
      <c r="AE428" s="9" t="s">
        <v>92</v>
      </c>
      <c r="AF428" s="9"/>
      <c r="AG428" s="11">
        <v>3</v>
      </c>
      <c r="AH428" s="11" t="s">
        <v>93</v>
      </c>
      <c r="AI428" s="11"/>
      <c r="AJ428" s="11"/>
      <c r="AK428" s="11"/>
      <c r="AL428" s="12">
        <v>3</v>
      </c>
      <c r="AM428" s="12" t="s">
        <v>93</v>
      </c>
      <c r="AN428" s="12" t="s">
        <v>2136</v>
      </c>
      <c r="AO428" s="12"/>
      <c r="AP428" s="12"/>
      <c r="AQ428" s="4">
        <v>4</v>
      </c>
      <c r="AR428" s="4" t="s">
        <v>83</v>
      </c>
      <c r="AS428" s="4"/>
      <c r="AT428" s="13"/>
      <c r="AU428" s="13"/>
      <c r="AV428" s="13"/>
      <c r="AW428" s="13"/>
      <c r="AX428" s="4"/>
      <c r="AY428" s="13"/>
      <c r="AZ428" s="13"/>
      <c r="BA428" s="13"/>
      <c r="BB428" s="13"/>
      <c r="BC428" s="4"/>
      <c r="BD428" s="4"/>
      <c r="BE428" s="4"/>
      <c r="BF428" s="13"/>
      <c r="BG428" s="4"/>
      <c r="BH428" s="13"/>
      <c r="BI428" s="13"/>
      <c r="BJ428" s="4"/>
      <c r="BK428" s="14">
        <v>13</v>
      </c>
      <c r="BL428" s="14">
        <v>13</v>
      </c>
      <c r="BM428" s="14">
        <v>13</v>
      </c>
      <c r="BP428" s="15"/>
      <c r="BQ428" s="15"/>
      <c r="BR428" s="2" t="s">
        <v>121</v>
      </c>
      <c r="BS428" s="2" t="s">
        <v>121</v>
      </c>
      <c r="BT428" s="7" t="s">
        <v>98</v>
      </c>
      <c r="BU428" s="7"/>
      <c r="BV428" s="9" t="s">
        <v>98</v>
      </c>
      <c r="BW428" s="9"/>
    </row>
    <row r="429" spans="1:75" ht="14.25" customHeight="1" x14ac:dyDescent="0.25">
      <c r="A429" s="1">
        <v>945</v>
      </c>
      <c r="B429" s="1" t="s">
        <v>2137</v>
      </c>
      <c r="C429" s="1" t="s">
        <v>2138</v>
      </c>
      <c r="D429" s="1" t="s">
        <v>77</v>
      </c>
      <c r="E429" s="1" t="s">
        <v>2089</v>
      </c>
      <c r="F429" s="1" t="s">
        <v>2128</v>
      </c>
      <c r="G429" s="1" t="s">
        <v>118</v>
      </c>
      <c r="H429" s="2">
        <v>0</v>
      </c>
      <c r="I429" s="2">
        <v>0</v>
      </c>
      <c r="J429" s="2">
        <v>0</v>
      </c>
      <c r="K429" s="2">
        <v>1</v>
      </c>
      <c r="L429" s="3" t="s">
        <v>80</v>
      </c>
      <c r="O429" s="4">
        <v>4</v>
      </c>
      <c r="P429" s="4" t="s">
        <v>81</v>
      </c>
      <c r="Q429" s="4"/>
      <c r="R429" s="5"/>
      <c r="S429" s="6"/>
      <c r="T429" s="17"/>
      <c r="U429" s="6"/>
      <c r="V429" s="4"/>
      <c r="W429" s="4"/>
      <c r="X429" s="4"/>
      <c r="Y429" s="7">
        <v>5</v>
      </c>
      <c r="Z429" s="8">
        <v>18678</v>
      </c>
      <c r="AA429" s="7" t="s">
        <v>82</v>
      </c>
      <c r="AB429" s="7"/>
      <c r="AC429" s="9">
        <v>5</v>
      </c>
      <c r="AD429" s="10">
        <v>18678</v>
      </c>
      <c r="AE429" s="9" t="s">
        <v>82</v>
      </c>
      <c r="AF429" s="9"/>
      <c r="AG429" s="11">
        <v>3</v>
      </c>
      <c r="AH429" s="11" t="s">
        <v>83</v>
      </c>
      <c r="AI429" s="11" t="s">
        <v>2139</v>
      </c>
      <c r="AJ429" s="11"/>
      <c r="AK429" s="11"/>
      <c r="AL429" s="12">
        <v>2</v>
      </c>
      <c r="AM429" s="12" t="s">
        <v>83</v>
      </c>
      <c r="AN429" s="12"/>
      <c r="AO429" s="12"/>
      <c r="AP429" s="12"/>
      <c r="AQ429" s="4">
        <v>3</v>
      </c>
      <c r="AR429" s="4" t="s">
        <v>83</v>
      </c>
      <c r="AS429" s="4"/>
      <c r="AT429" s="13"/>
      <c r="AU429" s="13"/>
      <c r="AV429" s="13"/>
      <c r="AW429" s="13"/>
      <c r="AX429" s="4"/>
      <c r="AY429" s="13"/>
      <c r="AZ429" s="13"/>
      <c r="BA429" s="13"/>
      <c r="BB429" s="13"/>
      <c r="BC429" s="4"/>
      <c r="BD429" s="4"/>
      <c r="BE429" s="4"/>
      <c r="BF429" s="13"/>
      <c r="BG429" s="4"/>
      <c r="BH429" s="13"/>
      <c r="BI429" s="13"/>
      <c r="BJ429" s="4"/>
      <c r="BK429" s="14">
        <v>15</v>
      </c>
      <c r="BL429" s="14">
        <v>14</v>
      </c>
      <c r="BM429" s="14">
        <v>15</v>
      </c>
      <c r="BN429" s="3" t="s">
        <v>86</v>
      </c>
      <c r="BP429" s="15"/>
      <c r="BQ429" s="15"/>
      <c r="BR429" s="2" t="s">
        <v>108</v>
      </c>
      <c r="BS429" s="2" t="s">
        <v>108</v>
      </c>
      <c r="BT429" s="7" t="s">
        <v>98</v>
      </c>
      <c r="BU429" s="7"/>
      <c r="BV429" s="9" t="s">
        <v>98</v>
      </c>
      <c r="BW429" s="9"/>
    </row>
    <row r="430" spans="1:75" ht="14.25" customHeight="1" x14ac:dyDescent="0.25">
      <c r="A430" s="1">
        <v>946</v>
      </c>
      <c r="B430" s="1" t="s">
        <v>2140</v>
      </c>
      <c r="C430" s="1" t="s">
        <v>2141</v>
      </c>
      <c r="D430" s="1" t="s">
        <v>77</v>
      </c>
      <c r="E430" s="1" t="s">
        <v>2089</v>
      </c>
      <c r="F430" s="1" t="s">
        <v>2128</v>
      </c>
      <c r="G430" s="1" t="s">
        <v>118</v>
      </c>
      <c r="H430" s="2">
        <v>0</v>
      </c>
      <c r="I430" s="2">
        <v>0</v>
      </c>
      <c r="J430" s="2">
        <v>0</v>
      </c>
      <c r="K430" s="2">
        <v>1</v>
      </c>
      <c r="L430" s="3" t="s">
        <v>80</v>
      </c>
      <c r="O430" s="4">
        <v>4</v>
      </c>
      <c r="P430" s="4" t="s">
        <v>81</v>
      </c>
      <c r="Q430" s="4"/>
      <c r="R430" s="5"/>
      <c r="S430" s="6"/>
      <c r="T430" s="17"/>
      <c r="U430" s="6"/>
      <c r="V430" s="4"/>
      <c r="W430" s="4"/>
      <c r="X430" s="4"/>
      <c r="Y430" s="7">
        <v>4</v>
      </c>
      <c r="Z430" s="8">
        <v>145446</v>
      </c>
      <c r="AA430" s="7" t="s">
        <v>82</v>
      </c>
      <c r="AB430" s="7"/>
      <c r="AC430" s="9">
        <v>4</v>
      </c>
      <c r="AD430" s="10">
        <v>145446</v>
      </c>
      <c r="AE430" s="9" t="s">
        <v>82</v>
      </c>
      <c r="AF430" s="9"/>
      <c r="AG430" s="11">
        <v>4</v>
      </c>
      <c r="AH430" s="11" t="s">
        <v>83</v>
      </c>
      <c r="AI430" s="11"/>
      <c r="AJ430" s="11"/>
      <c r="AK430" s="11"/>
      <c r="AL430" s="12">
        <v>4</v>
      </c>
      <c r="AM430" s="12" t="s">
        <v>83</v>
      </c>
      <c r="AN430" s="12"/>
      <c r="AO430" s="12"/>
      <c r="AP430" s="12"/>
      <c r="AQ430" s="4">
        <v>5</v>
      </c>
      <c r="AR430" s="4" t="s">
        <v>83</v>
      </c>
      <c r="AS430" s="4"/>
      <c r="AT430" s="13"/>
      <c r="AU430" s="13"/>
      <c r="AV430" s="13"/>
      <c r="AW430" s="13"/>
      <c r="AX430" s="4"/>
      <c r="AY430" s="13"/>
      <c r="AZ430" s="13"/>
      <c r="BA430" s="13"/>
      <c r="BB430" s="13"/>
      <c r="BC430" s="4"/>
      <c r="BD430" s="4"/>
      <c r="BE430" s="4"/>
      <c r="BF430" s="13"/>
      <c r="BG430" s="4"/>
      <c r="BH430" s="13"/>
      <c r="BI430" s="13"/>
      <c r="BJ430" s="4"/>
      <c r="BK430" s="14">
        <v>17</v>
      </c>
      <c r="BL430" s="14">
        <v>17</v>
      </c>
      <c r="BM430" s="14">
        <v>17</v>
      </c>
      <c r="BN430" s="3" t="s">
        <v>312</v>
      </c>
      <c r="BP430" s="15"/>
      <c r="BQ430" s="15"/>
      <c r="BR430" s="2" t="s">
        <v>87</v>
      </c>
      <c r="BS430" s="2" t="s">
        <v>87</v>
      </c>
      <c r="BT430" s="7" t="s">
        <v>98</v>
      </c>
      <c r="BU430" s="7"/>
      <c r="BV430" s="9" t="s">
        <v>98</v>
      </c>
      <c r="BW430" s="9"/>
    </row>
    <row r="431" spans="1:75" ht="14.25" customHeight="1" x14ac:dyDescent="0.25">
      <c r="A431" s="1">
        <v>947</v>
      </c>
      <c r="B431" s="1" t="s">
        <v>2142</v>
      </c>
      <c r="C431" s="1" t="s">
        <v>2143</v>
      </c>
      <c r="D431" s="1" t="s">
        <v>77</v>
      </c>
      <c r="E431" s="1" t="s">
        <v>2089</v>
      </c>
      <c r="F431" s="1" t="s">
        <v>2128</v>
      </c>
      <c r="G431" s="1"/>
      <c r="H431" s="2">
        <v>0</v>
      </c>
      <c r="I431" s="2">
        <v>0</v>
      </c>
      <c r="J431" s="2">
        <v>1</v>
      </c>
      <c r="K431" s="2">
        <v>1</v>
      </c>
      <c r="L431" s="3" t="s">
        <v>80</v>
      </c>
      <c r="O431" s="4">
        <v>4</v>
      </c>
      <c r="P431" s="4" t="s">
        <v>112</v>
      </c>
      <c r="Q431" s="4"/>
      <c r="R431" s="5"/>
      <c r="S431" s="6"/>
      <c r="T431" s="17"/>
      <c r="U431" s="6"/>
      <c r="V431" s="4"/>
      <c r="W431" s="4"/>
      <c r="X431" s="4"/>
      <c r="Y431" s="7">
        <v>3</v>
      </c>
      <c r="Z431" s="8">
        <v>678276</v>
      </c>
      <c r="AA431" s="7" t="s">
        <v>92</v>
      </c>
      <c r="AB431" s="7"/>
      <c r="AC431" s="9">
        <v>3</v>
      </c>
      <c r="AD431" s="10">
        <v>678276</v>
      </c>
      <c r="AE431" s="9" t="s">
        <v>92</v>
      </c>
      <c r="AF431" s="9"/>
      <c r="AG431" s="11">
        <v>4</v>
      </c>
      <c r="AH431" s="11" t="s">
        <v>93</v>
      </c>
      <c r="AI431" s="11"/>
      <c r="AJ431" s="11"/>
      <c r="AK431" s="11"/>
      <c r="AL431" s="12">
        <v>3</v>
      </c>
      <c r="AM431" s="12" t="s">
        <v>93</v>
      </c>
      <c r="AN431" s="12" t="s">
        <v>698</v>
      </c>
      <c r="AO431" s="12"/>
      <c r="AP431" s="12"/>
      <c r="AQ431" s="4">
        <v>4</v>
      </c>
      <c r="AR431" s="4" t="s">
        <v>83</v>
      </c>
      <c r="AS431" s="4"/>
      <c r="AT431" s="13"/>
      <c r="AU431" s="13"/>
      <c r="AV431" s="13"/>
      <c r="AW431" s="13"/>
      <c r="AX431" s="4"/>
      <c r="AY431" s="13"/>
      <c r="AZ431" s="13"/>
      <c r="BA431" s="13"/>
      <c r="BB431" s="13"/>
      <c r="BC431" s="4"/>
      <c r="BD431" s="4"/>
      <c r="BE431" s="4"/>
      <c r="BF431" s="13"/>
      <c r="BG431" s="4"/>
      <c r="BH431" s="13"/>
      <c r="BI431" s="13"/>
      <c r="BJ431" s="4"/>
      <c r="BK431" s="14">
        <v>15</v>
      </c>
      <c r="BL431" s="14">
        <v>14</v>
      </c>
      <c r="BM431" s="14">
        <v>15</v>
      </c>
      <c r="BN431" s="3" t="s">
        <v>86</v>
      </c>
      <c r="BO431" s="3" t="s">
        <v>120</v>
      </c>
      <c r="BP431" s="15"/>
      <c r="BQ431" s="15"/>
      <c r="BR431" s="2" t="s">
        <v>115</v>
      </c>
      <c r="BS431" s="2" t="s">
        <v>115</v>
      </c>
      <c r="BT431" s="7" t="s">
        <v>98</v>
      </c>
      <c r="BU431" s="7"/>
      <c r="BV431" s="9" t="s">
        <v>98</v>
      </c>
      <c r="BW431" s="9"/>
    </row>
    <row r="432" spans="1:75" ht="14.25" customHeight="1" x14ac:dyDescent="0.25">
      <c r="A432" s="1">
        <v>948</v>
      </c>
      <c r="B432" s="1" t="s">
        <v>2144</v>
      </c>
      <c r="C432" s="1" t="s">
        <v>2145</v>
      </c>
      <c r="D432" s="1" t="s">
        <v>77</v>
      </c>
      <c r="E432" s="1" t="s">
        <v>2089</v>
      </c>
      <c r="F432" s="1" t="s">
        <v>2128</v>
      </c>
      <c r="G432" s="1"/>
      <c r="H432" s="2">
        <v>0</v>
      </c>
      <c r="I432" s="2">
        <v>0</v>
      </c>
      <c r="J432" s="2">
        <v>0</v>
      </c>
      <c r="K432" s="2">
        <v>1</v>
      </c>
      <c r="L432" s="3" t="s">
        <v>80</v>
      </c>
      <c r="O432" s="4">
        <v>3</v>
      </c>
      <c r="P432" s="4" t="s">
        <v>81</v>
      </c>
      <c r="Q432" s="4"/>
      <c r="R432" s="5"/>
      <c r="S432" s="6"/>
      <c r="T432" s="17"/>
      <c r="U432" s="6"/>
      <c r="V432" s="4"/>
      <c r="W432" s="4"/>
      <c r="X432" s="4"/>
      <c r="Y432" s="7">
        <v>3</v>
      </c>
      <c r="Z432" s="8">
        <v>432462</v>
      </c>
      <c r="AA432" s="7" t="s">
        <v>82</v>
      </c>
      <c r="AB432" s="7"/>
      <c r="AC432" s="9">
        <v>3</v>
      </c>
      <c r="AD432" s="10">
        <v>432462</v>
      </c>
      <c r="AE432" s="9" t="s">
        <v>82</v>
      </c>
      <c r="AF432" s="9"/>
      <c r="AG432" s="11">
        <v>3</v>
      </c>
      <c r="AH432" s="11" t="s">
        <v>83</v>
      </c>
      <c r="AI432" s="11"/>
      <c r="AJ432" s="11"/>
      <c r="AK432" s="11"/>
      <c r="AL432" s="12">
        <v>3</v>
      </c>
      <c r="AM432" s="12" t="s">
        <v>83</v>
      </c>
      <c r="AN432" s="12"/>
      <c r="AO432" s="12"/>
      <c r="AP432" s="12"/>
      <c r="AQ432" s="4">
        <v>4</v>
      </c>
      <c r="AR432" s="4" t="s">
        <v>83</v>
      </c>
      <c r="AS432" s="4"/>
      <c r="AT432" s="13"/>
      <c r="AU432" s="13"/>
      <c r="AV432" s="13"/>
      <c r="AW432" s="13"/>
      <c r="AX432" s="4"/>
      <c r="AY432" s="13"/>
      <c r="AZ432" s="13"/>
      <c r="BA432" s="13"/>
      <c r="BB432" s="13"/>
      <c r="BC432" s="4"/>
      <c r="BD432" s="4"/>
      <c r="BE432" s="4"/>
      <c r="BF432" s="13"/>
      <c r="BG432" s="4"/>
      <c r="BH432" s="13"/>
      <c r="BI432" s="13"/>
      <c r="BJ432" s="4"/>
      <c r="BK432" s="14">
        <v>13</v>
      </c>
      <c r="BL432" s="14">
        <v>13</v>
      </c>
      <c r="BM432" s="14">
        <v>13</v>
      </c>
      <c r="BP432" s="15"/>
      <c r="BQ432" s="15"/>
      <c r="BR432" s="2" t="s">
        <v>97</v>
      </c>
      <c r="BS432" s="2" t="s">
        <v>97</v>
      </c>
      <c r="BT432" s="7" t="s">
        <v>88</v>
      </c>
      <c r="BU432" s="7"/>
      <c r="BV432" s="9" t="s">
        <v>88</v>
      </c>
      <c r="BW432" s="9"/>
    </row>
    <row r="433" spans="1:75" ht="14.25" customHeight="1" x14ac:dyDescent="0.25">
      <c r="A433" s="1">
        <v>950</v>
      </c>
      <c r="B433" s="1" t="s">
        <v>2146</v>
      </c>
      <c r="C433" s="1" t="s">
        <v>2147</v>
      </c>
      <c r="D433" s="1" t="s">
        <v>77</v>
      </c>
      <c r="E433" s="1" t="s">
        <v>2089</v>
      </c>
      <c r="F433" s="1" t="s">
        <v>2148</v>
      </c>
      <c r="G433" s="1"/>
      <c r="H433" s="2">
        <v>0</v>
      </c>
      <c r="I433" s="2">
        <v>0</v>
      </c>
      <c r="J433" s="2">
        <v>0</v>
      </c>
      <c r="K433" s="2">
        <v>1</v>
      </c>
      <c r="L433" s="3" t="s">
        <v>80</v>
      </c>
      <c r="O433" s="4">
        <v>3</v>
      </c>
      <c r="P433" s="4" t="s">
        <v>81</v>
      </c>
      <c r="Q433" s="4"/>
      <c r="R433" s="5"/>
      <c r="S433" s="6"/>
      <c r="T433" s="17"/>
      <c r="U433" s="6"/>
      <c r="V433" s="4"/>
      <c r="W433" s="4"/>
      <c r="X433" s="4"/>
      <c r="Y433" s="7">
        <v>3</v>
      </c>
      <c r="Z433" s="8">
        <v>492377</v>
      </c>
      <c r="AA433" s="7" t="s">
        <v>82</v>
      </c>
      <c r="AB433" s="7"/>
      <c r="AC433" s="9">
        <v>3</v>
      </c>
      <c r="AD433" s="10">
        <v>492377</v>
      </c>
      <c r="AE433" s="9" t="s">
        <v>82</v>
      </c>
      <c r="AF433" s="9"/>
      <c r="AG433" s="11">
        <v>3</v>
      </c>
      <c r="AH433" s="11" t="s">
        <v>83</v>
      </c>
      <c r="AI433" s="11"/>
      <c r="AJ433" s="11"/>
      <c r="AK433" s="11"/>
      <c r="AL433" s="12">
        <v>3</v>
      </c>
      <c r="AM433" s="12" t="s">
        <v>83</v>
      </c>
      <c r="AN433" s="12"/>
      <c r="AO433" s="12"/>
      <c r="AP433" s="12"/>
      <c r="AQ433" s="4">
        <v>4</v>
      </c>
      <c r="AR433" s="4" t="s">
        <v>83</v>
      </c>
      <c r="AS433" s="4" t="s">
        <v>2149</v>
      </c>
      <c r="AT433" s="13"/>
      <c r="AU433" s="13"/>
      <c r="AV433" s="13"/>
      <c r="AW433" s="13"/>
      <c r="AX433" s="4"/>
      <c r="AY433" s="13"/>
      <c r="AZ433" s="13"/>
      <c r="BA433" s="13"/>
      <c r="BB433" s="13"/>
      <c r="BC433" s="4"/>
      <c r="BD433" s="4"/>
      <c r="BE433" s="4"/>
      <c r="BF433" s="13"/>
      <c r="BG433" s="4"/>
      <c r="BH433" s="13"/>
      <c r="BI433" s="13"/>
      <c r="BJ433" s="4"/>
      <c r="BK433" s="14">
        <v>13</v>
      </c>
      <c r="BL433" s="14">
        <v>13</v>
      </c>
      <c r="BM433" s="14">
        <v>13</v>
      </c>
      <c r="BP433" s="15"/>
      <c r="BQ433" s="15"/>
      <c r="BR433" s="2" t="s">
        <v>121</v>
      </c>
      <c r="BS433" s="2" t="s">
        <v>121</v>
      </c>
      <c r="BT433" s="7" t="s">
        <v>98</v>
      </c>
      <c r="BU433" s="7"/>
      <c r="BV433" s="9" t="s">
        <v>98</v>
      </c>
      <c r="BW433" s="9"/>
    </row>
    <row r="434" spans="1:75" ht="14.25" customHeight="1" x14ac:dyDescent="0.25">
      <c r="A434" s="1">
        <v>952</v>
      </c>
      <c r="B434" s="1" t="s">
        <v>2150</v>
      </c>
      <c r="C434" s="1" t="s">
        <v>2151</v>
      </c>
      <c r="D434" s="1" t="s">
        <v>77</v>
      </c>
      <c r="E434" s="1" t="s">
        <v>2089</v>
      </c>
      <c r="F434" s="1" t="s">
        <v>2148</v>
      </c>
      <c r="G434" s="1" t="s">
        <v>118</v>
      </c>
      <c r="H434" s="2">
        <v>1</v>
      </c>
      <c r="I434" s="2">
        <v>1</v>
      </c>
      <c r="J434" s="2">
        <v>1</v>
      </c>
      <c r="K434" s="2">
        <v>0</v>
      </c>
      <c r="L434" s="3" t="s">
        <v>127</v>
      </c>
      <c r="O434" s="4">
        <v>4</v>
      </c>
      <c r="P434" s="4" t="s">
        <v>425</v>
      </c>
      <c r="Q434" s="4"/>
      <c r="R434" s="16">
        <v>82000</v>
      </c>
      <c r="S434" s="6">
        <v>82000</v>
      </c>
      <c r="T434" s="16">
        <v>82000</v>
      </c>
      <c r="U434" s="6">
        <v>82000</v>
      </c>
      <c r="V434" s="4">
        <v>2010.5</v>
      </c>
      <c r="W434" s="4" t="s">
        <v>425</v>
      </c>
      <c r="X434" s="4"/>
      <c r="Y434" s="7">
        <v>2</v>
      </c>
      <c r="Z434" s="8">
        <v>1450667</v>
      </c>
      <c r="AA434" s="7" t="s">
        <v>580</v>
      </c>
      <c r="AB434" s="7" t="s">
        <v>2152</v>
      </c>
      <c r="AC434" s="9">
        <v>3</v>
      </c>
      <c r="AD434" s="10">
        <v>638010</v>
      </c>
      <c r="AE434" s="9" t="s">
        <v>92</v>
      </c>
      <c r="AF434" s="9" t="s">
        <v>2153</v>
      </c>
      <c r="AG434" s="11">
        <v>4</v>
      </c>
      <c r="AH434" s="11" t="s">
        <v>131</v>
      </c>
      <c r="AI434" s="11" t="s">
        <v>2154</v>
      </c>
      <c r="AJ434" s="11">
        <v>2</v>
      </c>
      <c r="AK434" s="11" t="s">
        <v>143</v>
      </c>
      <c r="AL434" s="12">
        <v>3</v>
      </c>
      <c r="AM434" s="12" t="s">
        <v>131</v>
      </c>
      <c r="AN434" s="12"/>
      <c r="AO434" s="12">
        <v>3</v>
      </c>
      <c r="AP434" s="12" t="s">
        <v>132</v>
      </c>
      <c r="AQ434" s="4">
        <v>3</v>
      </c>
      <c r="AR434" s="4" t="s">
        <v>133</v>
      </c>
      <c r="AS434" s="4"/>
      <c r="AT434" s="13">
        <v>-51.388538360595703</v>
      </c>
      <c r="AU434" s="13">
        <v>-1.4018516540527299</v>
      </c>
      <c r="AV434" s="13">
        <v>-3.0199999809265101</v>
      </c>
      <c r="AW434" s="13">
        <v>-0.40069800615310702</v>
      </c>
      <c r="AX434" s="4">
        <v>1</v>
      </c>
      <c r="AY434" s="13">
        <v>30.037664413452099</v>
      </c>
      <c r="AZ434" s="13">
        <v>2.6617298126220699</v>
      </c>
      <c r="BA434" s="13">
        <v>-0.40700000524520902</v>
      </c>
      <c r="BB434" s="13">
        <v>6.0199999809265101</v>
      </c>
      <c r="BC434" s="4"/>
      <c r="BD434" s="4">
        <v>10</v>
      </c>
      <c r="BE434" s="4" t="s">
        <v>134</v>
      </c>
      <c r="BF434" s="13">
        <v>2.61930203437805</v>
      </c>
      <c r="BG434" s="4">
        <v>200.5</v>
      </c>
      <c r="BH434" s="13">
        <v>0.12049999833107</v>
      </c>
      <c r="BI434" s="13">
        <v>24.113000869751001</v>
      </c>
      <c r="BJ434" s="4"/>
      <c r="BK434" s="14">
        <v>13</v>
      </c>
      <c r="BL434" s="14">
        <v>13</v>
      </c>
      <c r="BM434" s="14">
        <v>13</v>
      </c>
      <c r="BN434" s="3" t="s">
        <v>255</v>
      </c>
      <c r="BP434" s="15"/>
      <c r="BQ434" s="15"/>
      <c r="BR434" s="2" t="s">
        <v>256</v>
      </c>
      <c r="BS434" s="2" t="s">
        <v>256</v>
      </c>
      <c r="BT434" s="7" t="s">
        <v>428</v>
      </c>
      <c r="BU434" s="7"/>
      <c r="BV434" s="9" t="s">
        <v>428</v>
      </c>
      <c r="BW434" s="9"/>
    </row>
    <row r="435" spans="1:75" ht="14.25" customHeight="1" x14ac:dyDescent="0.25">
      <c r="A435" s="1">
        <v>955</v>
      </c>
      <c r="B435" s="1" t="s">
        <v>2155</v>
      </c>
      <c r="C435" s="1" t="s">
        <v>2156</v>
      </c>
      <c r="D435" s="1" t="s">
        <v>77</v>
      </c>
      <c r="E435" s="1" t="s">
        <v>2089</v>
      </c>
      <c r="F435" s="1" t="s">
        <v>2148</v>
      </c>
      <c r="G435" s="1" t="s">
        <v>118</v>
      </c>
      <c r="H435" s="2">
        <v>1</v>
      </c>
      <c r="I435" s="2">
        <v>1</v>
      </c>
      <c r="J435" s="2">
        <v>0</v>
      </c>
      <c r="K435" s="2">
        <v>0</v>
      </c>
      <c r="L435" s="3" t="s">
        <v>127</v>
      </c>
      <c r="O435" s="4">
        <v>3</v>
      </c>
      <c r="P435" s="4" t="s">
        <v>425</v>
      </c>
      <c r="Q435" s="4"/>
      <c r="R435" s="16">
        <v>1800000</v>
      </c>
      <c r="S435" s="6">
        <v>1800000</v>
      </c>
      <c r="T435" s="16">
        <v>1800000</v>
      </c>
      <c r="U435" s="6">
        <v>1800000</v>
      </c>
      <c r="V435" s="4">
        <v>2010.5</v>
      </c>
      <c r="W435" s="4" t="s">
        <v>425</v>
      </c>
      <c r="X435" s="4"/>
      <c r="Y435" s="7">
        <v>1</v>
      </c>
      <c r="Z435" s="8">
        <v>4664275</v>
      </c>
      <c r="AA435" s="7" t="s">
        <v>580</v>
      </c>
      <c r="AB435" s="7" t="s">
        <v>2157</v>
      </c>
      <c r="AC435" s="9">
        <v>2</v>
      </c>
      <c r="AD435" s="10">
        <v>3342646</v>
      </c>
      <c r="AE435" s="9" t="s">
        <v>92</v>
      </c>
      <c r="AF435" s="9"/>
      <c r="AG435" s="11">
        <v>4</v>
      </c>
      <c r="AH435" s="11" t="s">
        <v>131</v>
      </c>
      <c r="AI435" s="11" t="s">
        <v>2158</v>
      </c>
      <c r="AJ435" s="11">
        <v>5</v>
      </c>
      <c r="AK435" s="11" t="s">
        <v>143</v>
      </c>
      <c r="AL435" s="12">
        <v>3</v>
      </c>
      <c r="AM435" s="12" t="s">
        <v>131</v>
      </c>
      <c r="AN435" s="12" t="s">
        <v>2159</v>
      </c>
      <c r="AO435" s="12">
        <v>2</v>
      </c>
      <c r="AP435" s="12" t="s">
        <v>143</v>
      </c>
      <c r="AQ435" s="4">
        <v>4</v>
      </c>
      <c r="AR435" s="4" t="s">
        <v>133</v>
      </c>
      <c r="AS435" s="4"/>
      <c r="AT435" s="13">
        <v>-55.9015922546387</v>
      </c>
      <c r="AU435" s="13">
        <v>-1.5938851833343499</v>
      </c>
      <c r="AV435" s="13">
        <v>-2.1127998828887899</v>
      </c>
      <c r="AW435" s="13">
        <v>-1.0299999713897701</v>
      </c>
      <c r="AX435" s="4">
        <v>1</v>
      </c>
      <c r="AY435" s="13">
        <v>27.749635696411101</v>
      </c>
      <c r="AZ435" s="13">
        <v>2.4811248779296902</v>
      </c>
      <c r="BA435" s="13">
        <v>1.7294050455093399</v>
      </c>
      <c r="BB435" s="13">
        <v>3.3800001144409202</v>
      </c>
      <c r="BC435" s="4">
        <v>1</v>
      </c>
      <c r="BD435" s="4">
        <v>10</v>
      </c>
      <c r="BE435" s="4" t="s">
        <v>134</v>
      </c>
      <c r="BF435" s="13">
        <v>1.0828000307083101</v>
      </c>
      <c r="BG435" s="4">
        <v>1953</v>
      </c>
      <c r="BH435" s="13">
        <v>1.5249999761581401</v>
      </c>
      <c r="BI435" s="13">
        <v>2977.52001953125</v>
      </c>
      <c r="BJ435" s="4"/>
      <c r="BK435" s="14">
        <v>12</v>
      </c>
      <c r="BL435" s="14">
        <v>12</v>
      </c>
      <c r="BM435" s="14">
        <v>12</v>
      </c>
      <c r="BN435" s="3" t="s">
        <v>255</v>
      </c>
      <c r="BP435" s="15"/>
      <c r="BQ435" s="15"/>
      <c r="BR435" s="2" t="s">
        <v>239</v>
      </c>
      <c r="BS435" s="2" t="s">
        <v>239</v>
      </c>
      <c r="BT435" s="7" t="s">
        <v>241</v>
      </c>
      <c r="BU435" s="7"/>
      <c r="BV435" s="9" t="s">
        <v>241</v>
      </c>
      <c r="BW435" s="9"/>
    </row>
    <row r="436" spans="1:75" ht="14.25" customHeight="1" x14ac:dyDescent="0.25">
      <c r="A436" s="1">
        <v>956</v>
      </c>
      <c r="B436" s="1" t="s">
        <v>2160</v>
      </c>
      <c r="C436" s="1" t="s">
        <v>2161</v>
      </c>
      <c r="D436" s="1" t="s">
        <v>77</v>
      </c>
      <c r="E436" s="1" t="s">
        <v>2089</v>
      </c>
      <c r="F436" s="1" t="s">
        <v>2148</v>
      </c>
      <c r="G436" s="1"/>
      <c r="H436" s="2">
        <v>0</v>
      </c>
      <c r="I436" s="2">
        <v>1</v>
      </c>
      <c r="J436" s="2">
        <v>1</v>
      </c>
      <c r="K436" s="2">
        <v>1</v>
      </c>
      <c r="L436" s="3" t="s">
        <v>80</v>
      </c>
      <c r="O436" s="4">
        <v>2</v>
      </c>
      <c r="P436" s="4" t="s">
        <v>470</v>
      </c>
      <c r="Q436" s="4"/>
      <c r="R436" s="16">
        <v>7500000</v>
      </c>
      <c r="S436" s="6">
        <v>7500000</v>
      </c>
      <c r="T436" s="16">
        <v>2200000</v>
      </c>
      <c r="U436" s="6">
        <v>2200000</v>
      </c>
      <c r="V436" s="4">
        <v>2010.5</v>
      </c>
      <c r="W436" s="4" t="s">
        <v>425</v>
      </c>
      <c r="X436" s="4"/>
      <c r="Y436" s="7">
        <v>2</v>
      </c>
      <c r="Z436" s="8">
        <v>1467234</v>
      </c>
      <c r="AA436" s="7" t="s">
        <v>92</v>
      </c>
      <c r="AB436" s="7"/>
      <c r="AC436" s="9">
        <v>2</v>
      </c>
      <c r="AD436" s="10">
        <v>1467234</v>
      </c>
      <c r="AE436" s="9" t="s">
        <v>92</v>
      </c>
      <c r="AF436" s="9" t="s">
        <v>2162</v>
      </c>
      <c r="AG436" s="11">
        <v>4</v>
      </c>
      <c r="AH436" s="11" t="s">
        <v>800</v>
      </c>
      <c r="AI436" s="11" t="s">
        <v>2163</v>
      </c>
      <c r="AJ436" s="11">
        <v>4</v>
      </c>
      <c r="AK436" s="11" t="s">
        <v>132</v>
      </c>
      <c r="AL436" s="12">
        <v>3</v>
      </c>
      <c r="AM436" s="12" t="s">
        <v>800</v>
      </c>
      <c r="AN436" s="12" t="s">
        <v>2164</v>
      </c>
      <c r="AO436" s="12">
        <v>3</v>
      </c>
      <c r="AP436" s="12" t="s">
        <v>132</v>
      </c>
      <c r="AQ436" s="4">
        <v>2</v>
      </c>
      <c r="AR436" s="4" t="s">
        <v>133</v>
      </c>
      <c r="AS436" s="4"/>
      <c r="AT436" s="13">
        <v>47.588233947753899</v>
      </c>
      <c r="AU436" s="13">
        <v>0.76599889993667603</v>
      </c>
      <c r="AV436" s="13">
        <v>-5.59999980032444E-3</v>
      </c>
      <c r="AW436" s="13">
        <v>1.2699999809265099</v>
      </c>
      <c r="AX436" s="4"/>
      <c r="AY436" s="13">
        <v>45.663112640380902</v>
      </c>
      <c r="AZ436" s="13">
        <v>2.7254929542541499</v>
      </c>
      <c r="BA436" s="13">
        <v>1.6599999666214</v>
      </c>
      <c r="BB436" s="13">
        <v>3.8099999427795401</v>
      </c>
      <c r="BC436" s="4">
        <v>1</v>
      </c>
      <c r="BD436" s="4">
        <v>14</v>
      </c>
      <c r="BE436" s="4" t="s">
        <v>134</v>
      </c>
      <c r="BF436" s="13">
        <v>1.2755999565124501</v>
      </c>
      <c r="BG436" s="4">
        <v>212</v>
      </c>
      <c r="BH436" s="13">
        <v>9.4149999618530291</v>
      </c>
      <c r="BI436" s="13">
        <v>1995.97998046875</v>
      </c>
      <c r="BJ436" s="4"/>
      <c r="BK436" s="14">
        <v>10</v>
      </c>
      <c r="BL436" s="14">
        <v>9</v>
      </c>
      <c r="BM436" s="14">
        <v>10</v>
      </c>
      <c r="BP436" s="15" t="s">
        <v>135</v>
      </c>
      <c r="BQ436" s="15"/>
      <c r="BR436" s="2" t="s">
        <v>247</v>
      </c>
      <c r="BS436" s="2" t="s">
        <v>247</v>
      </c>
      <c r="BT436" s="7" t="s">
        <v>438</v>
      </c>
      <c r="BU436" s="7" t="s">
        <v>428</v>
      </c>
      <c r="BV436" s="9" t="s">
        <v>438</v>
      </c>
      <c r="BW436" s="9" t="s">
        <v>428</v>
      </c>
    </row>
    <row r="437" spans="1:75" ht="14.25" customHeight="1" x14ac:dyDescent="0.25">
      <c r="A437" s="1">
        <v>957</v>
      </c>
      <c r="B437" s="1" t="s">
        <v>2165</v>
      </c>
      <c r="C437" s="1" t="s">
        <v>2166</v>
      </c>
      <c r="D437" s="1" t="s">
        <v>77</v>
      </c>
      <c r="E437" s="1" t="s">
        <v>2089</v>
      </c>
      <c r="F437" s="1" t="s">
        <v>2148</v>
      </c>
      <c r="G437" s="1"/>
      <c r="H437" s="2">
        <v>0</v>
      </c>
      <c r="I437" s="2">
        <v>0</v>
      </c>
      <c r="J437" s="2">
        <v>0</v>
      </c>
      <c r="K437" s="2">
        <v>1</v>
      </c>
      <c r="L437" s="3" t="s">
        <v>80</v>
      </c>
      <c r="O437" s="4">
        <v>5</v>
      </c>
      <c r="P437" s="4" t="s">
        <v>81</v>
      </c>
      <c r="Q437" s="4"/>
      <c r="R437" s="5"/>
      <c r="S437" s="6"/>
      <c r="T437" s="17"/>
      <c r="U437" s="6"/>
      <c r="V437" s="4"/>
      <c r="W437" s="4"/>
      <c r="X437" s="4"/>
      <c r="Y437" s="7">
        <v>5</v>
      </c>
      <c r="Z437" s="8">
        <v>15303</v>
      </c>
      <c r="AA437" s="7" t="s">
        <v>82</v>
      </c>
      <c r="AB437" s="7"/>
      <c r="AC437" s="9">
        <v>5</v>
      </c>
      <c r="AD437" s="10">
        <v>15303</v>
      </c>
      <c r="AE437" s="9" t="s">
        <v>82</v>
      </c>
      <c r="AF437" s="9"/>
      <c r="AG437" s="11">
        <v>3</v>
      </c>
      <c r="AH437" s="11" t="s">
        <v>83</v>
      </c>
      <c r="AI437" s="11"/>
      <c r="AJ437" s="11"/>
      <c r="AK437" s="11"/>
      <c r="AL437" s="12">
        <v>3</v>
      </c>
      <c r="AM437" s="12" t="s">
        <v>83</v>
      </c>
      <c r="AN437" s="12"/>
      <c r="AO437" s="12"/>
      <c r="AP437" s="12"/>
      <c r="AQ437" s="4">
        <v>4</v>
      </c>
      <c r="AR437" s="4" t="s">
        <v>83</v>
      </c>
      <c r="AS437" s="4"/>
      <c r="AT437" s="13"/>
      <c r="AU437" s="13"/>
      <c r="AV437" s="13"/>
      <c r="AW437" s="13"/>
      <c r="AX437" s="4"/>
      <c r="AY437" s="13"/>
      <c r="AZ437" s="13"/>
      <c r="BA437" s="13"/>
      <c r="BB437" s="13"/>
      <c r="BC437" s="4"/>
      <c r="BD437" s="4"/>
      <c r="BE437" s="4"/>
      <c r="BF437" s="13"/>
      <c r="BG437" s="4"/>
      <c r="BH437" s="13"/>
      <c r="BI437" s="13"/>
      <c r="BJ437" s="4"/>
      <c r="BK437" s="14">
        <v>17</v>
      </c>
      <c r="BL437" s="14">
        <v>17</v>
      </c>
      <c r="BM437" s="14">
        <v>17</v>
      </c>
      <c r="BN437" s="3" t="s">
        <v>312</v>
      </c>
      <c r="BP437" s="15"/>
      <c r="BQ437" s="15"/>
      <c r="BR437" s="2" t="s">
        <v>108</v>
      </c>
      <c r="BS437" s="2" t="s">
        <v>108</v>
      </c>
      <c r="BT437" s="7" t="s">
        <v>98</v>
      </c>
      <c r="BU437" s="7"/>
      <c r="BV437" s="9" t="s">
        <v>98</v>
      </c>
      <c r="BW437" s="9"/>
    </row>
    <row r="438" spans="1:75" ht="14.25" customHeight="1" x14ac:dyDescent="0.25">
      <c r="A438" s="1">
        <v>958</v>
      </c>
      <c r="B438" s="1" t="s">
        <v>2167</v>
      </c>
      <c r="C438" s="1" t="s">
        <v>2168</v>
      </c>
      <c r="D438" s="1" t="s">
        <v>77</v>
      </c>
      <c r="E438" s="1" t="s">
        <v>2089</v>
      </c>
      <c r="F438" s="1" t="s">
        <v>2148</v>
      </c>
      <c r="G438" s="1" t="s">
        <v>118</v>
      </c>
      <c r="H438" s="2">
        <v>0</v>
      </c>
      <c r="I438" s="2">
        <v>0</v>
      </c>
      <c r="J438" s="2">
        <v>1</v>
      </c>
      <c r="K438" s="2">
        <v>1</v>
      </c>
      <c r="L438" s="3" t="s">
        <v>80</v>
      </c>
      <c r="O438" s="4">
        <v>4</v>
      </c>
      <c r="P438" s="4" t="s">
        <v>101</v>
      </c>
      <c r="Q438" s="4" t="s">
        <v>2169</v>
      </c>
      <c r="R438" s="5"/>
      <c r="S438" s="6"/>
      <c r="T438" s="17"/>
      <c r="U438" s="6"/>
      <c r="V438" s="4"/>
      <c r="W438" s="4"/>
      <c r="X438" s="4"/>
      <c r="Y438" s="7">
        <v>3</v>
      </c>
      <c r="Z438" s="8">
        <v>487318</v>
      </c>
      <c r="AA438" s="7" t="s">
        <v>92</v>
      </c>
      <c r="AB438" s="7"/>
      <c r="AC438" s="9">
        <v>3</v>
      </c>
      <c r="AD438" s="10">
        <v>487318</v>
      </c>
      <c r="AE438" s="9" t="s">
        <v>92</v>
      </c>
      <c r="AF438" s="9"/>
      <c r="AG438" s="11">
        <v>3</v>
      </c>
      <c r="AH438" s="11" t="s">
        <v>93</v>
      </c>
      <c r="AI438" s="11"/>
      <c r="AJ438" s="11"/>
      <c r="AK438" s="11"/>
      <c r="AL438" s="12">
        <v>3</v>
      </c>
      <c r="AM438" s="12" t="s">
        <v>93</v>
      </c>
      <c r="AN438" s="12" t="s">
        <v>2170</v>
      </c>
      <c r="AO438" s="12"/>
      <c r="AP438" s="12"/>
      <c r="AQ438" s="4">
        <v>4</v>
      </c>
      <c r="AR438" s="4" t="s">
        <v>83</v>
      </c>
      <c r="AS438" s="4"/>
      <c r="AT438" s="13"/>
      <c r="AU438" s="13"/>
      <c r="AV438" s="13"/>
      <c r="AW438" s="13"/>
      <c r="AX438" s="4"/>
      <c r="AY438" s="13"/>
      <c r="AZ438" s="13"/>
      <c r="BA438" s="13"/>
      <c r="BB438" s="13"/>
      <c r="BC438" s="4"/>
      <c r="BD438" s="4"/>
      <c r="BE438" s="4"/>
      <c r="BF438" s="13"/>
      <c r="BG438" s="4"/>
      <c r="BH438" s="13"/>
      <c r="BI438" s="13"/>
      <c r="BJ438" s="4"/>
      <c r="BK438" s="14">
        <v>14</v>
      </c>
      <c r="BL438" s="14">
        <v>14</v>
      </c>
      <c r="BM438" s="14">
        <v>14</v>
      </c>
      <c r="BN438" s="3" t="s">
        <v>86</v>
      </c>
      <c r="BP438" s="15"/>
      <c r="BQ438" s="15"/>
      <c r="BR438" s="2" t="s">
        <v>115</v>
      </c>
      <c r="BS438" s="2" t="s">
        <v>115</v>
      </c>
      <c r="BT438" s="7" t="s">
        <v>98</v>
      </c>
      <c r="BU438" s="7"/>
      <c r="BV438" s="9" t="s">
        <v>98</v>
      </c>
      <c r="BW438" s="9"/>
    </row>
    <row r="439" spans="1:75" ht="14.25" customHeight="1" x14ac:dyDescent="0.25">
      <c r="A439" s="1">
        <v>961</v>
      </c>
      <c r="B439" s="1" t="s">
        <v>2171</v>
      </c>
      <c r="C439" s="1" t="s">
        <v>2172</v>
      </c>
      <c r="D439" s="1" t="s">
        <v>77</v>
      </c>
      <c r="E439" s="1" t="s">
        <v>2089</v>
      </c>
      <c r="F439" s="1" t="s">
        <v>2148</v>
      </c>
      <c r="G439" s="1"/>
      <c r="H439" s="2">
        <v>0</v>
      </c>
      <c r="I439" s="2">
        <v>0</v>
      </c>
      <c r="J439" s="2">
        <v>1</v>
      </c>
      <c r="K439" s="2">
        <v>0</v>
      </c>
      <c r="L439" s="3" t="s">
        <v>80</v>
      </c>
      <c r="O439" s="4">
        <v>4</v>
      </c>
      <c r="P439" s="4" t="s">
        <v>112</v>
      </c>
      <c r="Q439" s="4"/>
      <c r="R439" s="5"/>
      <c r="S439" s="6"/>
      <c r="T439" s="17"/>
      <c r="U439" s="6"/>
      <c r="V439" s="4"/>
      <c r="W439" s="4"/>
      <c r="X439" s="4"/>
      <c r="Y439" s="7">
        <v>4</v>
      </c>
      <c r="Z439" s="8">
        <v>161830</v>
      </c>
      <c r="AA439" s="7" t="s">
        <v>92</v>
      </c>
      <c r="AB439" s="7"/>
      <c r="AC439" s="9">
        <v>4</v>
      </c>
      <c r="AD439" s="10">
        <v>161830</v>
      </c>
      <c r="AE439" s="9" t="s">
        <v>92</v>
      </c>
      <c r="AF439" s="9"/>
      <c r="AG439" s="11">
        <v>2</v>
      </c>
      <c r="AH439" s="11" t="s">
        <v>93</v>
      </c>
      <c r="AI439" s="11"/>
      <c r="AJ439" s="11"/>
      <c r="AK439" s="11"/>
      <c r="AL439" s="12">
        <v>2</v>
      </c>
      <c r="AM439" s="12" t="s">
        <v>93</v>
      </c>
      <c r="AN439" s="12" t="s">
        <v>394</v>
      </c>
      <c r="AO439" s="12"/>
      <c r="AP439" s="12"/>
      <c r="AQ439" s="4">
        <v>2</v>
      </c>
      <c r="AR439" s="4" t="s">
        <v>93</v>
      </c>
      <c r="AS439" s="4"/>
      <c r="AT439" s="13"/>
      <c r="AU439" s="13"/>
      <c r="AV439" s="13"/>
      <c r="AW439" s="13"/>
      <c r="AX439" s="4"/>
      <c r="AY439" s="13"/>
      <c r="AZ439" s="13"/>
      <c r="BA439" s="13"/>
      <c r="BB439" s="13"/>
      <c r="BC439" s="4"/>
      <c r="BD439" s="4"/>
      <c r="BE439" s="4"/>
      <c r="BF439" s="13"/>
      <c r="BG439" s="4"/>
      <c r="BH439" s="13"/>
      <c r="BI439" s="13"/>
      <c r="BJ439" s="4"/>
      <c r="BK439" s="14">
        <v>12</v>
      </c>
      <c r="BL439" s="14">
        <v>12</v>
      </c>
      <c r="BM439" s="14">
        <v>12</v>
      </c>
      <c r="BP439" s="15"/>
      <c r="BQ439" s="15"/>
      <c r="BR439" s="2" t="s">
        <v>108</v>
      </c>
      <c r="BS439" s="2" t="s">
        <v>108</v>
      </c>
      <c r="BT439" s="7" t="s">
        <v>109</v>
      </c>
      <c r="BU439" s="7"/>
      <c r="BV439" s="9" t="s">
        <v>109</v>
      </c>
      <c r="BW439" s="9"/>
    </row>
    <row r="440" spans="1:75" ht="14.25" customHeight="1" x14ac:dyDescent="0.25">
      <c r="A440" s="1">
        <v>962</v>
      </c>
      <c r="B440" s="1" t="s">
        <v>2173</v>
      </c>
      <c r="C440" s="1" t="s">
        <v>2174</v>
      </c>
      <c r="D440" s="1" t="s">
        <v>77</v>
      </c>
      <c r="E440" s="1" t="s">
        <v>2089</v>
      </c>
      <c r="F440" s="1" t="s">
        <v>2148</v>
      </c>
      <c r="G440" s="1" t="s">
        <v>118</v>
      </c>
      <c r="H440" s="2">
        <v>0</v>
      </c>
      <c r="I440" s="2">
        <v>0</v>
      </c>
      <c r="J440" s="2">
        <v>1</v>
      </c>
      <c r="K440" s="2">
        <v>0</v>
      </c>
      <c r="L440" s="3" t="s">
        <v>80</v>
      </c>
      <c r="O440" s="4">
        <v>5</v>
      </c>
      <c r="P440" s="4" t="s">
        <v>112</v>
      </c>
      <c r="Q440" s="4"/>
      <c r="R440" s="5"/>
      <c r="S440" s="6"/>
      <c r="T440" s="17"/>
      <c r="U440" s="6"/>
      <c r="V440" s="4"/>
      <c r="W440" s="4"/>
      <c r="X440" s="4"/>
      <c r="Y440" s="7">
        <v>4</v>
      </c>
      <c r="Z440" s="8">
        <v>82045</v>
      </c>
      <c r="AA440" s="7" t="s">
        <v>92</v>
      </c>
      <c r="AB440" s="7"/>
      <c r="AC440" s="9">
        <v>4</v>
      </c>
      <c r="AD440" s="10">
        <v>82045</v>
      </c>
      <c r="AE440" s="9" t="s">
        <v>92</v>
      </c>
      <c r="AF440" s="9"/>
      <c r="AG440" s="11">
        <v>3</v>
      </c>
      <c r="AH440" s="11" t="s">
        <v>93</v>
      </c>
      <c r="AI440" s="11"/>
      <c r="AJ440" s="11"/>
      <c r="AK440" s="11"/>
      <c r="AL440" s="12">
        <v>3</v>
      </c>
      <c r="AM440" s="12" t="s">
        <v>93</v>
      </c>
      <c r="AN440" s="12" t="s">
        <v>805</v>
      </c>
      <c r="AO440" s="12"/>
      <c r="AP440" s="12"/>
      <c r="AQ440" s="4">
        <v>4</v>
      </c>
      <c r="AR440" s="4" t="s">
        <v>441</v>
      </c>
      <c r="AS440" s="4" t="s">
        <v>2175</v>
      </c>
      <c r="AT440" s="13"/>
      <c r="AU440" s="13"/>
      <c r="AV440" s="13"/>
      <c r="AW440" s="13"/>
      <c r="AX440" s="4"/>
      <c r="AY440" s="13"/>
      <c r="AZ440" s="13"/>
      <c r="BA440" s="13"/>
      <c r="BB440" s="13"/>
      <c r="BC440" s="4"/>
      <c r="BD440" s="4"/>
      <c r="BE440" s="4"/>
      <c r="BF440" s="13"/>
      <c r="BG440" s="4"/>
      <c r="BH440" s="13"/>
      <c r="BI440" s="13"/>
      <c r="BJ440" s="4"/>
      <c r="BK440" s="14">
        <v>16</v>
      </c>
      <c r="BL440" s="14">
        <v>16</v>
      </c>
      <c r="BM440" s="14">
        <v>16</v>
      </c>
      <c r="BN440" s="3" t="s">
        <v>86</v>
      </c>
      <c r="BP440" s="15"/>
      <c r="BQ440" s="15"/>
      <c r="BR440" s="2" t="s">
        <v>108</v>
      </c>
      <c r="BS440" s="2" t="s">
        <v>108</v>
      </c>
      <c r="BT440" s="7" t="s">
        <v>109</v>
      </c>
      <c r="BU440" s="7"/>
      <c r="BV440" s="9" t="s">
        <v>109</v>
      </c>
      <c r="BW440" s="9"/>
    </row>
    <row r="441" spans="1:75" ht="14.25" customHeight="1" x14ac:dyDescent="0.25">
      <c r="A441" s="1">
        <v>963</v>
      </c>
      <c r="B441" s="1" t="s">
        <v>2176</v>
      </c>
      <c r="C441" s="1" t="s">
        <v>2177</v>
      </c>
      <c r="D441" s="1" t="s">
        <v>77</v>
      </c>
      <c r="E441" s="1" t="s">
        <v>2089</v>
      </c>
      <c r="F441" s="1" t="s">
        <v>2148</v>
      </c>
      <c r="G441" s="1"/>
      <c r="H441" s="2">
        <v>0</v>
      </c>
      <c r="I441" s="2">
        <v>0</v>
      </c>
      <c r="J441" s="2">
        <v>1</v>
      </c>
      <c r="K441" s="2">
        <v>1</v>
      </c>
      <c r="L441" s="3" t="s">
        <v>80</v>
      </c>
      <c r="O441" s="4">
        <v>4</v>
      </c>
      <c r="P441" s="4" t="s">
        <v>112</v>
      </c>
      <c r="Q441" s="4"/>
      <c r="R441" s="5"/>
      <c r="S441" s="6"/>
      <c r="T441" s="17"/>
      <c r="U441" s="6"/>
      <c r="V441" s="4"/>
      <c r="W441" s="4"/>
      <c r="X441" s="4"/>
      <c r="Y441" s="7">
        <v>4</v>
      </c>
      <c r="Z441" s="8">
        <v>126436</v>
      </c>
      <c r="AA441" s="7" t="s">
        <v>92</v>
      </c>
      <c r="AB441" s="7"/>
      <c r="AC441" s="9">
        <v>4</v>
      </c>
      <c r="AD441" s="10">
        <v>126436</v>
      </c>
      <c r="AE441" s="9" t="s">
        <v>92</v>
      </c>
      <c r="AF441" s="9"/>
      <c r="AG441" s="11">
        <v>3</v>
      </c>
      <c r="AH441" s="11" t="s">
        <v>93</v>
      </c>
      <c r="AI441" s="11"/>
      <c r="AJ441" s="11"/>
      <c r="AK441" s="11"/>
      <c r="AL441" s="12">
        <v>2</v>
      </c>
      <c r="AM441" s="12" t="s">
        <v>93</v>
      </c>
      <c r="AN441" s="12" t="s">
        <v>2178</v>
      </c>
      <c r="AO441" s="12"/>
      <c r="AP441" s="12"/>
      <c r="AQ441" s="4">
        <v>4</v>
      </c>
      <c r="AR441" s="4" t="s">
        <v>83</v>
      </c>
      <c r="AS441" s="4" t="s">
        <v>2179</v>
      </c>
      <c r="AT441" s="13"/>
      <c r="AU441" s="13"/>
      <c r="AV441" s="13"/>
      <c r="AW441" s="13"/>
      <c r="AX441" s="4"/>
      <c r="AY441" s="13"/>
      <c r="AZ441" s="13"/>
      <c r="BA441" s="13"/>
      <c r="BB441" s="13"/>
      <c r="BC441" s="4"/>
      <c r="BD441" s="4"/>
      <c r="BE441" s="4"/>
      <c r="BF441" s="13"/>
      <c r="BG441" s="4"/>
      <c r="BH441" s="13"/>
      <c r="BI441" s="13"/>
      <c r="BJ441" s="4"/>
      <c r="BK441" s="14">
        <v>15</v>
      </c>
      <c r="BL441" s="14">
        <v>14</v>
      </c>
      <c r="BM441" s="14">
        <v>15</v>
      </c>
      <c r="BN441" s="3" t="s">
        <v>86</v>
      </c>
      <c r="BP441" s="15"/>
      <c r="BQ441" s="15"/>
      <c r="BR441" s="2" t="s">
        <v>115</v>
      </c>
      <c r="BS441" s="2" t="s">
        <v>115</v>
      </c>
      <c r="BT441" s="7" t="s">
        <v>109</v>
      </c>
      <c r="BU441" s="7"/>
      <c r="BV441" s="9" t="s">
        <v>109</v>
      </c>
      <c r="BW441" s="9"/>
    </row>
    <row r="442" spans="1:75" ht="14.25" customHeight="1" x14ac:dyDescent="0.25">
      <c r="A442" s="1">
        <v>964</v>
      </c>
      <c r="B442" s="1" t="s">
        <v>2180</v>
      </c>
      <c r="C442" s="1" t="s">
        <v>2181</v>
      </c>
      <c r="D442" s="1" t="s">
        <v>77</v>
      </c>
      <c r="E442" s="1" t="s">
        <v>2089</v>
      </c>
      <c r="F442" s="1" t="s">
        <v>2148</v>
      </c>
      <c r="G442" s="1"/>
      <c r="H442" s="2">
        <v>0</v>
      </c>
      <c r="I442" s="2">
        <v>0</v>
      </c>
      <c r="J442" s="2">
        <v>0</v>
      </c>
      <c r="K442" s="2">
        <v>1</v>
      </c>
      <c r="L442" s="3" t="s">
        <v>80</v>
      </c>
      <c r="O442" s="4">
        <v>3</v>
      </c>
      <c r="P442" s="4" t="s">
        <v>81</v>
      </c>
      <c r="Q442" s="4"/>
      <c r="R442" s="5"/>
      <c r="S442" s="6"/>
      <c r="T442" s="17"/>
      <c r="U442" s="6"/>
      <c r="V442" s="4"/>
      <c r="W442" s="4"/>
      <c r="X442" s="4"/>
      <c r="Y442" s="7">
        <v>3</v>
      </c>
      <c r="Z442" s="8">
        <v>860959</v>
      </c>
      <c r="AA442" s="7" t="s">
        <v>82</v>
      </c>
      <c r="AB442" s="7"/>
      <c r="AC442" s="9">
        <v>3</v>
      </c>
      <c r="AD442" s="10">
        <v>860959</v>
      </c>
      <c r="AE442" s="9" t="s">
        <v>82</v>
      </c>
      <c r="AF442" s="9"/>
      <c r="AG442" s="11">
        <v>2</v>
      </c>
      <c r="AH442" s="11" t="s">
        <v>83</v>
      </c>
      <c r="AI442" s="11"/>
      <c r="AJ442" s="11"/>
      <c r="AK442" s="11"/>
      <c r="AL442" s="12">
        <v>2</v>
      </c>
      <c r="AM442" s="12" t="s">
        <v>83</v>
      </c>
      <c r="AN442" s="12"/>
      <c r="AO442" s="12"/>
      <c r="AP442" s="12"/>
      <c r="AQ442" s="4">
        <v>2</v>
      </c>
      <c r="AR442" s="4" t="s">
        <v>83</v>
      </c>
      <c r="AS442" s="4"/>
      <c r="AT442" s="13"/>
      <c r="AU442" s="13"/>
      <c r="AV442" s="13"/>
      <c r="AW442" s="13"/>
      <c r="AX442" s="4"/>
      <c r="AY442" s="13"/>
      <c r="AZ442" s="13"/>
      <c r="BA442" s="13"/>
      <c r="BB442" s="13"/>
      <c r="BC442" s="4"/>
      <c r="BD442" s="4"/>
      <c r="BE442" s="4"/>
      <c r="BF442" s="13"/>
      <c r="BG442" s="4"/>
      <c r="BH442" s="13"/>
      <c r="BI442" s="13"/>
      <c r="BJ442" s="4"/>
      <c r="BK442" s="14">
        <v>10</v>
      </c>
      <c r="BL442" s="14">
        <v>10</v>
      </c>
      <c r="BM442" s="14">
        <v>10</v>
      </c>
      <c r="BP442" s="15"/>
      <c r="BQ442" s="15"/>
      <c r="BR442" s="2" t="s">
        <v>121</v>
      </c>
      <c r="BS442" s="2" t="s">
        <v>121</v>
      </c>
      <c r="BT442" s="7" t="s">
        <v>98</v>
      </c>
      <c r="BU442" s="7"/>
      <c r="BV442" s="9" t="s">
        <v>98</v>
      </c>
      <c r="BW442" s="9"/>
    </row>
    <row r="443" spans="1:75" ht="14.25" customHeight="1" x14ac:dyDescent="0.25">
      <c r="A443" s="1">
        <v>965</v>
      </c>
      <c r="B443" s="1" t="s">
        <v>2182</v>
      </c>
      <c r="C443" s="1" t="s">
        <v>2183</v>
      </c>
      <c r="D443" s="1" t="s">
        <v>77</v>
      </c>
      <c r="E443" s="1" t="s">
        <v>2089</v>
      </c>
      <c r="F443" s="1" t="s">
        <v>2148</v>
      </c>
      <c r="G443" s="1"/>
      <c r="H443" s="2">
        <v>0</v>
      </c>
      <c r="I443" s="2">
        <v>1</v>
      </c>
      <c r="J443" s="2">
        <v>1</v>
      </c>
      <c r="K443" s="2">
        <v>0</v>
      </c>
      <c r="L443" s="3" t="s">
        <v>80</v>
      </c>
      <c r="O443" s="4">
        <v>3</v>
      </c>
      <c r="P443" s="4" t="s">
        <v>470</v>
      </c>
      <c r="Q443" s="4"/>
      <c r="R443" s="16">
        <v>1500000</v>
      </c>
      <c r="S443" s="6">
        <v>1500000</v>
      </c>
      <c r="T443" s="16">
        <v>590000</v>
      </c>
      <c r="U443" s="6">
        <v>590000</v>
      </c>
      <c r="V443" s="4">
        <v>2010.5</v>
      </c>
      <c r="W443" s="4" t="s">
        <v>425</v>
      </c>
      <c r="X443" s="4"/>
      <c r="Y443" s="7">
        <v>3</v>
      </c>
      <c r="Z443" s="8">
        <v>565542</v>
      </c>
      <c r="AA443" s="7" t="s">
        <v>92</v>
      </c>
      <c r="AB443" s="7"/>
      <c r="AC443" s="9">
        <v>3</v>
      </c>
      <c r="AD443" s="10">
        <v>565542</v>
      </c>
      <c r="AE443" s="9" t="s">
        <v>92</v>
      </c>
      <c r="AF443" s="9"/>
      <c r="AG443" s="11">
        <v>2</v>
      </c>
      <c r="AH443" s="11" t="s">
        <v>131</v>
      </c>
      <c r="AI443" s="11"/>
      <c r="AJ443" s="11">
        <v>2</v>
      </c>
      <c r="AK443" s="11" t="s">
        <v>132</v>
      </c>
      <c r="AL443" s="12">
        <v>2</v>
      </c>
      <c r="AM443" s="12" t="s">
        <v>131</v>
      </c>
      <c r="AN443" s="12" t="s">
        <v>2184</v>
      </c>
      <c r="AO443" s="12">
        <v>2</v>
      </c>
      <c r="AP443" s="12" t="s">
        <v>132</v>
      </c>
      <c r="AQ443" s="4">
        <v>3</v>
      </c>
      <c r="AR443" s="4" t="s">
        <v>133</v>
      </c>
      <c r="AS443" s="4"/>
      <c r="AT443" s="13">
        <v>-23.058853149414102</v>
      </c>
      <c r="AU443" s="13">
        <v>-0.51253592967987105</v>
      </c>
      <c r="AV443" s="13">
        <v>-1.54999995231628</v>
      </c>
      <c r="AW443" s="13">
        <v>6.1039999127388E-3</v>
      </c>
      <c r="AX443" s="4"/>
      <c r="AY443" s="13">
        <v>-0.60226267576217696</v>
      </c>
      <c r="AZ443" s="13">
        <v>-6.0569182038307197E-2</v>
      </c>
      <c r="BA443" s="13">
        <v>-2.0099999904632599</v>
      </c>
      <c r="BB443" s="13">
        <v>1.66999995708466</v>
      </c>
      <c r="BC443" s="4"/>
      <c r="BD443" s="4">
        <v>10</v>
      </c>
      <c r="BE443" s="4" t="s">
        <v>134</v>
      </c>
      <c r="BF443" s="13">
        <v>1.5561039447784399</v>
      </c>
      <c r="BG443" s="4">
        <v>48</v>
      </c>
      <c r="BH443" s="13">
        <v>8.2650003433227504</v>
      </c>
      <c r="BI443" s="13">
        <v>396.72000122070301</v>
      </c>
      <c r="BJ443" s="4"/>
      <c r="BK443" s="14">
        <v>11</v>
      </c>
      <c r="BL443" s="14">
        <v>11</v>
      </c>
      <c r="BM443" s="14">
        <v>11</v>
      </c>
      <c r="BP443" s="15" t="s">
        <v>135</v>
      </c>
      <c r="BQ443" s="15"/>
      <c r="BR443" s="2" t="s">
        <v>297</v>
      </c>
      <c r="BS443" s="2" t="s">
        <v>297</v>
      </c>
      <c r="BT443" s="7" t="s">
        <v>475</v>
      </c>
      <c r="BU443" s="7" t="s">
        <v>487</v>
      </c>
      <c r="BV443" s="9" t="s">
        <v>475</v>
      </c>
      <c r="BW443" s="9" t="s">
        <v>487</v>
      </c>
    </row>
    <row r="444" spans="1:75" ht="14.25" customHeight="1" x14ac:dyDescent="0.25">
      <c r="A444" s="1">
        <v>966</v>
      </c>
      <c r="B444" s="1" t="s">
        <v>2185</v>
      </c>
      <c r="C444" s="1" t="s">
        <v>2186</v>
      </c>
      <c r="D444" s="1" t="s">
        <v>77</v>
      </c>
      <c r="E444" s="1" t="s">
        <v>2089</v>
      </c>
      <c r="F444" s="1" t="s">
        <v>2148</v>
      </c>
      <c r="G444" s="1" t="s">
        <v>118</v>
      </c>
      <c r="H444" s="2">
        <v>0</v>
      </c>
      <c r="I444" s="2">
        <v>0</v>
      </c>
      <c r="J444" s="2">
        <v>0</v>
      </c>
      <c r="K444" s="2">
        <v>1</v>
      </c>
      <c r="L444" s="3" t="s">
        <v>80</v>
      </c>
      <c r="O444" s="4">
        <v>4</v>
      </c>
      <c r="P444" s="4" t="s">
        <v>81</v>
      </c>
      <c r="Q444" s="4"/>
      <c r="R444" s="5"/>
      <c r="S444" s="6"/>
      <c r="T444" s="17"/>
      <c r="U444" s="6"/>
      <c r="V444" s="4"/>
      <c r="W444" s="4"/>
      <c r="X444" s="4"/>
      <c r="Y444" s="7">
        <v>5</v>
      </c>
      <c r="Z444" s="8">
        <v>51264</v>
      </c>
      <c r="AA444" s="7" t="s">
        <v>82</v>
      </c>
      <c r="AB444" s="7"/>
      <c r="AC444" s="9">
        <v>5</v>
      </c>
      <c r="AD444" s="10">
        <v>51264</v>
      </c>
      <c r="AE444" s="9" t="s">
        <v>82</v>
      </c>
      <c r="AF444" s="9"/>
      <c r="AG444" s="11">
        <v>1</v>
      </c>
      <c r="AH444" s="11" t="s">
        <v>83</v>
      </c>
      <c r="AI444" s="11"/>
      <c r="AJ444" s="11"/>
      <c r="AK444" s="11"/>
      <c r="AL444" s="12">
        <v>1</v>
      </c>
      <c r="AM444" s="12" t="s">
        <v>83</v>
      </c>
      <c r="AN444" s="12"/>
      <c r="AO444" s="12"/>
      <c r="AP444" s="12"/>
      <c r="AQ444" s="4">
        <v>1</v>
      </c>
      <c r="AR444" s="4" t="s">
        <v>83</v>
      </c>
      <c r="AS444" s="4"/>
      <c r="AT444" s="13"/>
      <c r="AU444" s="13"/>
      <c r="AV444" s="13"/>
      <c r="AW444" s="13"/>
      <c r="AX444" s="4"/>
      <c r="AY444" s="13"/>
      <c r="AZ444" s="13"/>
      <c r="BA444" s="13"/>
      <c r="BB444" s="13"/>
      <c r="BC444" s="4"/>
      <c r="BD444" s="4"/>
      <c r="BE444" s="4"/>
      <c r="BF444" s="13"/>
      <c r="BG444" s="4"/>
      <c r="BH444" s="13"/>
      <c r="BI444" s="13"/>
      <c r="BJ444" s="4"/>
      <c r="BK444" s="14">
        <v>11</v>
      </c>
      <c r="BL444" s="14">
        <v>11</v>
      </c>
      <c r="BM444" s="14">
        <v>11</v>
      </c>
      <c r="BP444" s="15" t="s">
        <v>135</v>
      </c>
      <c r="BQ444" s="15"/>
      <c r="BR444" s="2" t="s">
        <v>108</v>
      </c>
      <c r="BS444" s="2" t="s">
        <v>108</v>
      </c>
      <c r="BT444" s="7" t="s">
        <v>109</v>
      </c>
      <c r="BU444" s="7"/>
      <c r="BV444" s="9" t="s">
        <v>109</v>
      </c>
      <c r="BW444" s="9"/>
    </row>
    <row r="445" spans="1:75" ht="14.25" customHeight="1" x14ac:dyDescent="0.25">
      <c r="A445" s="1">
        <v>967</v>
      </c>
      <c r="B445" s="1" t="s">
        <v>2187</v>
      </c>
      <c r="C445" s="1" t="s">
        <v>2188</v>
      </c>
      <c r="D445" s="1" t="s">
        <v>77</v>
      </c>
      <c r="E445" s="1" t="s">
        <v>2089</v>
      </c>
      <c r="F445" s="1" t="s">
        <v>2148</v>
      </c>
      <c r="G445" s="1"/>
      <c r="H445" s="2">
        <v>0</v>
      </c>
      <c r="I445" s="2">
        <v>1</v>
      </c>
      <c r="J445" s="2">
        <v>1</v>
      </c>
      <c r="K445" s="2">
        <v>1</v>
      </c>
      <c r="L445" s="3" t="s">
        <v>80</v>
      </c>
      <c r="O445" s="4">
        <v>2</v>
      </c>
      <c r="P445" s="4" t="s">
        <v>470</v>
      </c>
      <c r="Q445" s="4" t="s">
        <v>2189</v>
      </c>
      <c r="R445" s="16">
        <v>5300000</v>
      </c>
      <c r="S445" s="6">
        <v>5300000</v>
      </c>
      <c r="T445" s="16">
        <v>810000</v>
      </c>
      <c r="U445" s="6">
        <v>810000</v>
      </c>
      <c r="V445" s="4">
        <v>2010.5</v>
      </c>
      <c r="W445" s="4" t="s">
        <v>425</v>
      </c>
      <c r="X445" s="4"/>
      <c r="Y445" s="7">
        <v>2</v>
      </c>
      <c r="Z445" s="8">
        <v>1396862</v>
      </c>
      <c r="AA445" s="7" t="s">
        <v>92</v>
      </c>
      <c r="AB445" s="7"/>
      <c r="AC445" s="9">
        <v>2</v>
      </c>
      <c r="AD445" s="10">
        <v>1396862</v>
      </c>
      <c r="AE445" s="9" t="s">
        <v>92</v>
      </c>
      <c r="AF445" s="9"/>
      <c r="AG445" s="11">
        <v>3</v>
      </c>
      <c r="AH445" s="11" t="s">
        <v>471</v>
      </c>
      <c r="AI445" s="11"/>
      <c r="AJ445" s="11">
        <v>3</v>
      </c>
      <c r="AK445" s="11" t="s">
        <v>132</v>
      </c>
      <c r="AL445" s="12">
        <v>2</v>
      </c>
      <c r="AM445" s="12" t="s">
        <v>471</v>
      </c>
      <c r="AN445" s="12" t="s">
        <v>2184</v>
      </c>
      <c r="AO445" s="12">
        <v>2</v>
      </c>
      <c r="AP445" s="12" t="s">
        <v>143</v>
      </c>
      <c r="AQ445" s="4">
        <v>2</v>
      </c>
      <c r="AR445" s="4" t="s">
        <v>2190</v>
      </c>
      <c r="AS445" s="4"/>
      <c r="AT445" s="13"/>
      <c r="AU445" s="13"/>
      <c r="AV445" s="13"/>
      <c r="AW445" s="13"/>
      <c r="AX445" s="4"/>
      <c r="AY445" s="13"/>
      <c r="AZ445" s="13"/>
      <c r="BA445" s="13"/>
      <c r="BB445" s="13"/>
      <c r="BC445" s="4"/>
      <c r="BD445" s="4"/>
      <c r="BE445" s="4"/>
      <c r="BF445" s="13"/>
      <c r="BG445" s="4"/>
      <c r="BH445" s="13"/>
      <c r="BI445" s="13"/>
      <c r="BJ445" s="4"/>
      <c r="BK445" s="14">
        <v>9</v>
      </c>
      <c r="BL445" s="14">
        <v>8</v>
      </c>
      <c r="BM445" s="14">
        <v>9</v>
      </c>
      <c r="BP445" s="15" t="s">
        <v>135</v>
      </c>
      <c r="BQ445" s="15"/>
      <c r="BR445" s="2" t="s">
        <v>400</v>
      </c>
      <c r="BS445" s="2" t="s">
        <v>400</v>
      </c>
      <c r="BT445" s="7" t="s">
        <v>109</v>
      </c>
      <c r="BU445" s="7"/>
      <c r="BV445" s="9" t="s">
        <v>109</v>
      </c>
      <c r="BW445" s="9"/>
    </row>
    <row r="446" spans="1:75" ht="14.25" customHeight="1" x14ac:dyDescent="0.25">
      <c r="A446" s="1">
        <v>968</v>
      </c>
      <c r="B446" s="1" t="s">
        <v>2191</v>
      </c>
      <c r="C446" s="1" t="s">
        <v>2192</v>
      </c>
      <c r="D446" s="1" t="s">
        <v>77</v>
      </c>
      <c r="E446" s="1" t="s">
        <v>2089</v>
      </c>
      <c r="F446" s="1" t="s">
        <v>2148</v>
      </c>
      <c r="G446" s="1" t="s">
        <v>118</v>
      </c>
      <c r="H446" s="2">
        <v>1</v>
      </c>
      <c r="I446" s="2">
        <v>1</v>
      </c>
      <c r="J446" s="2">
        <v>0</v>
      </c>
      <c r="K446" s="2">
        <v>0</v>
      </c>
      <c r="L446" s="3" t="s">
        <v>80</v>
      </c>
      <c r="O446" s="4">
        <v>2</v>
      </c>
      <c r="P446" s="4" t="s">
        <v>425</v>
      </c>
      <c r="Q446" s="4"/>
      <c r="R446" s="16">
        <v>16000000</v>
      </c>
      <c r="S446" s="6">
        <v>16000000</v>
      </c>
      <c r="T446" s="16">
        <v>16000000</v>
      </c>
      <c r="U446" s="6">
        <v>16000000</v>
      </c>
      <c r="V446" s="4">
        <v>2010.5</v>
      </c>
      <c r="W446" s="4" t="s">
        <v>425</v>
      </c>
      <c r="X446" s="4"/>
      <c r="Y446" s="7">
        <v>2</v>
      </c>
      <c r="Z446" s="8">
        <v>2980666</v>
      </c>
      <c r="AA446" s="7" t="s">
        <v>92</v>
      </c>
      <c r="AB446" s="7"/>
      <c r="AC446" s="9">
        <v>2</v>
      </c>
      <c r="AD446" s="10">
        <v>2980666</v>
      </c>
      <c r="AE446" s="9" t="s">
        <v>92</v>
      </c>
      <c r="AF446" s="9" t="s">
        <v>2193</v>
      </c>
      <c r="AG446" s="11">
        <v>2</v>
      </c>
      <c r="AH446" s="11" t="s">
        <v>131</v>
      </c>
      <c r="AI446" s="11" t="s">
        <v>2194</v>
      </c>
      <c r="AJ446" s="11">
        <v>2</v>
      </c>
      <c r="AK446" s="11" t="s">
        <v>143</v>
      </c>
      <c r="AL446" s="12">
        <v>2</v>
      </c>
      <c r="AM446" s="12" t="s">
        <v>131</v>
      </c>
      <c r="AN446" s="12" t="s">
        <v>2195</v>
      </c>
      <c r="AO446" s="12">
        <v>2</v>
      </c>
      <c r="AP446" s="12" t="s">
        <v>143</v>
      </c>
      <c r="AQ446" s="4">
        <v>1</v>
      </c>
      <c r="AR446" s="4" t="s">
        <v>133</v>
      </c>
      <c r="AS446" s="4"/>
      <c r="AT446" s="13">
        <v>68.461235046386705</v>
      </c>
      <c r="AU446" s="13">
        <v>1.0294898748397801</v>
      </c>
      <c r="AV446" s="13">
        <v>0.92849701642990101</v>
      </c>
      <c r="AW446" s="13">
        <v>1.1599999666214</v>
      </c>
      <c r="AX446" s="4">
        <v>1</v>
      </c>
      <c r="AY446" s="13">
        <v>5.17684078216553</v>
      </c>
      <c r="AZ446" s="13">
        <v>0.50559520721435502</v>
      </c>
      <c r="BA446" s="13">
        <v>0.1909019947052</v>
      </c>
      <c r="BB446" s="13">
        <v>0.90700000524520896</v>
      </c>
      <c r="BC446" s="4">
        <v>1</v>
      </c>
      <c r="BD446" s="4">
        <v>10</v>
      </c>
      <c r="BE446" s="4" t="s">
        <v>134</v>
      </c>
      <c r="BF446" s="13">
        <v>0.231502994894981</v>
      </c>
      <c r="BG446" s="4">
        <v>2172</v>
      </c>
      <c r="BH446" s="13">
        <v>5.7849998474121103</v>
      </c>
      <c r="BI446" s="13">
        <v>12565.01953125</v>
      </c>
      <c r="BJ446" s="4"/>
      <c r="BK446" s="14">
        <v>7</v>
      </c>
      <c r="BL446" s="14">
        <v>7</v>
      </c>
      <c r="BM446" s="14">
        <v>7</v>
      </c>
      <c r="BP446" s="15" t="s">
        <v>135</v>
      </c>
      <c r="BQ446" s="15"/>
      <c r="BR446" s="2" t="s">
        <v>239</v>
      </c>
      <c r="BS446" s="2" t="s">
        <v>239</v>
      </c>
      <c r="BT446" s="7" t="s">
        <v>241</v>
      </c>
      <c r="BU446" s="7"/>
      <c r="BV446" s="9" t="s">
        <v>241</v>
      </c>
      <c r="BW446" s="9"/>
    </row>
    <row r="447" spans="1:75" ht="14.25" customHeight="1" x14ac:dyDescent="0.25">
      <c r="A447" s="1">
        <v>970</v>
      </c>
      <c r="B447" s="1" t="s">
        <v>2196</v>
      </c>
      <c r="C447" s="1" t="s">
        <v>2197</v>
      </c>
      <c r="D447" s="1" t="s">
        <v>77</v>
      </c>
      <c r="E447" s="1" t="s">
        <v>2089</v>
      </c>
      <c r="F447" s="1" t="s">
        <v>2148</v>
      </c>
      <c r="G447" s="1"/>
      <c r="H447" s="2">
        <v>1</v>
      </c>
      <c r="I447" s="2">
        <v>1</v>
      </c>
      <c r="J447" s="2">
        <v>1</v>
      </c>
      <c r="K447" s="2">
        <v>0</v>
      </c>
      <c r="L447" s="3" t="s">
        <v>127</v>
      </c>
      <c r="O447" s="4">
        <v>4</v>
      </c>
      <c r="P447" s="4" t="s">
        <v>424</v>
      </c>
      <c r="Q447" s="4"/>
      <c r="R447" s="16">
        <v>300000</v>
      </c>
      <c r="S447" s="6">
        <v>300000</v>
      </c>
      <c r="T447" s="16">
        <v>290000</v>
      </c>
      <c r="U447" s="6">
        <v>290000</v>
      </c>
      <c r="V447" s="4">
        <v>2010.5</v>
      </c>
      <c r="W447" s="4" t="s">
        <v>425</v>
      </c>
      <c r="X447" s="4"/>
      <c r="Y447" s="7">
        <v>3</v>
      </c>
      <c r="Z447" s="8">
        <v>648480</v>
      </c>
      <c r="AA447" s="7" t="s">
        <v>92</v>
      </c>
      <c r="AB447" s="7"/>
      <c r="AC447" s="9">
        <v>3</v>
      </c>
      <c r="AD447" s="10">
        <v>746032</v>
      </c>
      <c r="AE447" s="9" t="s">
        <v>92</v>
      </c>
      <c r="AF447" s="9" t="s">
        <v>2198</v>
      </c>
      <c r="AG447" s="11">
        <v>4</v>
      </c>
      <c r="AH447" s="11" t="s">
        <v>131</v>
      </c>
      <c r="AI447" s="11"/>
      <c r="AJ447" s="11">
        <v>4</v>
      </c>
      <c r="AK447" s="11" t="s">
        <v>143</v>
      </c>
      <c r="AL447" s="12">
        <v>4</v>
      </c>
      <c r="AM447" s="12" t="s">
        <v>131</v>
      </c>
      <c r="AN447" s="12"/>
      <c r="AO447" s="12">
        <v>4</v>
      </c>
      <c r="AP447" s="12" t="s">
        <v>132</v>
      </c>
      <c r="AQ447" s="4">
        <v>2</v>
      </c>
      <c r="AR447" s="4" t="s">
        <v>133</v>
      </c>
      <c r="AS447" s="4"/>
      <c r="AT447" s="13">
        <v>11.2166299819946</v>
      </c>
      <c r="AU447" s="13">
        <v>0.208688303828239</v>
      </c>
      <c r="AV447" s="13">
        <v>-0.63800001144409202</v>
      </c>
      <c r="AW447" s="13">
        <v>1.6799999475479099</v>
      </c>
      <c r="AX447" s="4"/>
      <c r="AY447" s="13">
        <v>-13.780681610107401</v>
      </c>
      <c r="AZ447" s="13">
        <v>-1.47100174427032</v>
      </c>
      <c r="BA447" s="13">
        <v>-3.7999999523162802</v>
      </c>
      <c r="BB447" s="13">
        <v>0.91900002956390403</v>
      </c>
      <c r="BC447" s="4"/>
      <c r="BD447" s="4">
        <v>10</v>
      </c>
      <c r="BE447" s="4" t="s">
        <v>134</v>
      </c>
      <c r="BF447" s="13">
        <v>2.3180000782012899</v>
      </c>
      <c r="BG447" s="4">
        <v>198</v>
      </c>
      <c r="BH447" s="13">
        <v>0.18950000405311601</v>
      </c>
      <c r="BI447" s="13">
        <v>37.520999908447301</v>
      </c>
      <c r="BJ447" s="4"/>
      <c r="BK447" s="14">
        <v>13</v>
      </c>
      <c r="BL447" s="14">
        <v>13</v>
      </c>
      <c r="BM447" s="14">
        <v>13</v>
      </c>
      <c r="BP447" s="15"/>
      <c r="BQ447" s="15"/>
      <c r="BR447" s="2" t="s">
        <v>555</v>
      </c>
      <c r="BS447" s="2" t="s">
        <v>555</v>
      </c>
      <c r="BT447" s="7" t="s">
        <v>428</v>
      </c>
      <c r="BU447" s="7"/>
      <c r="BV447" s="9" t="s">
        <v>428</v>
      </c>
      <c r="BW447" s="9" t="s">
        <v>438</v>
      </c>
    </row>
    <row r="448" spans="1:75" ht="14.25" customHeight="1" x14ac:dyDescent="0.25">
      <c r="A448" s="1">
        <v>971</v>
      </c>
      <c r="B448" s="1" t="s">
        <v>2199</v>
      </c>
      <c r="C448" s="1" t="s">
        <v>2200</v>
      </c>
      <c r="D448" s="1" t="s">
        <v>77</v>
      </c>
      <c r="E448" s="1" t="s">
        <v>2089</v>
      </c>
      <c r="F448" s="1" t="s">
        <v>2148</v>
      </c>
      <c r="G448" s="1" t="s">
        <v>118</v>
      </c>
      <c r="H448" s="2">
        <v>1</v>
      </c>
      <c r="I448" s="2">
        <v>1</v>
      </c>
      <c r="J448" s="2">
        <v>1</v>
      </c>
      <c r="K448" s="2">
        <v>1</v>
      </c>
      <c r="L448" s="3" t="s">
        <v>127</v>
      </c>
      <c r="O448" s="4">
        <v>2</v>
      </c>
      <c r="P448" s="4" t="s">
        <v>579</v>
      </c>
      <c r="Q448" s="4" t="s">
        <v>2201</v>
      </c>
      <c r="R448" s="16">
        <v>14000000</v>
      </c>
      <c r="S448" s="6">
        <v>14000000</v>
      </c>
      <c r="T448" s="16">
        <v>14000000</v>
      </c>
      <c r="U448" s="6">
        <v>14000000</v>
      </c>
      <c r="V448" s="4">
        <v>2010.5</v>
      </c>
      <c r="W448" s="4" t="s">
        <v>579</v>
      </c>
      <c r="X448" s="4"/>
      <c r="Y448" s="7">
        <v>1</v>
      </c>
      <c r="Z448" s="8">
        <v>4453193</v>
      </c>
      <c r="AA448" s="7" t="s">
        <v>92</v>
      </c>
      <c r="AB448" s="7"/>
      <c r="AC448" s="9">
        <v>1</v>
      </c>
      <c r="AD448" s="10">
        <v>4359569</v>
      </c>
      <c r="AE448" s="9" t="s">
        <v>92</v>
      </c>
      <c r="AF448" s="9"/>
      <c r="AG448" s="11">
        <v>3</v>
      </c>
      <c r="AH448" s="11" t="s">
        <v>131</v>
      </c>
      <c r="AI448" s="11"/>
      <c r="AJ448" s="11">
        <v>3</v>
      </c>
      <c r="AK448" s="11" t="s">
        <v>143</v>
      </c>
      <c r="AL448" s="12">
        <v>2</v>
      </c>
      <c r="AM448" s="12" t="s">
        <v>131</v>
      </c>
      <c r="AN448" s="12"/>
      <c r="AO448" s="12">
        <v>2</v>
      </c>
      <c r="AP448" s="12" t="s">
        <v>143</v>
      </c>
      <c r="AQ448" s="4">
        <v>1</v>
      </c>
      <c r="AR448" s="4" t="s">
        <v>133</v>
      </c>
      <c r="AS448" s="4"/>
      <c r="AT448" s="13">
        <v>72.165092468261705</v>
      </c>
      <c r="AU448" s="13">
        <v>1.07113397121429</v>
      </c>
      <c r="AV448" s="13">
        <v>0.307000011205673</v>
      </c>
      <c r="AW448" s="13">
        <v>1.6275049448013299</v>
      </c>
      <c r="AX448" s="4">
        <v>1</v>
      </c>
      <c r="AY448" s="13">
        <v>8.7449874877929705</v>
      </c>
      <c r="AZ448" s="13">
        <v>0.84177905321121205</v>
      </c>
      <c r="BA448" s="13">
        <v>-0.56900000572204601</v>
      </c>
      <c r="BB448" s="13">
        <v>2.0136950016021702</v>
      </c>
      <c r="BC448" s="4"/>
      <c r="BD448" s="4">
        <v>10</v>
      </c>
      <c r="BE448" s="4" t="s">
        <v>134</v>
      </c>
      <c r="BF448" s="13">
        <v>1.3205050230026201</v>
      </c>
      <c r="BG448" s="4">
        <v>1251.5</v>
      </c>
      <c r="BH448" s="13">
        <v>1.6599999666214</v>
      </c>
      <c r="BI448" s="13">
        <v>2077.52490234375</v>
      </c>
      <c r="BJ448" s="4"/>
      <c r="BK448" s="14">
        <v>7</v>
      </c>
      <c r="BL448" s="14">
        <v>6</v>
      </c>
      <c r="BM448" s="14">
        <v>7</v>
      </c>
      <c r="BP448" s="15" t="s">
        <v>135</v>
      </c>
      <c r="BQ448" s="15"/>
      <c r="BR448" s="2" t="s">
        <v>211</v>
      </c>
      <c r="BS448" s="2" t="s">
        <v>247</v>
      </c>
      <c r="BT448" s="7" t="s">
        <v>527</v>
      </c>
      <c r="BU448" s="7" t="s">
        <v>241</v>
      </c>
      <c r="BV448" s="9" t="s">
        <v>509</v>
      </c>
      <c r="BW448" s="9"/>
    </row>
    <row r="449" spans="1:75" ht="14.25" customHeight="1" x14ac:dyDescent="0.25">
      <c r="A449" s="1">
        <v>972</v>
      </c>
      <c r="B449" s="1" t="s">
        <v>2202</v>
      </c>
      <c r="C449" s="1" t="s">
        <v>2203</v>
      </c>
      <c r="D449" s="1" t="s">
        <v>77</v>
      </c>
      <c r="E449" s="1" t="s">
        <v>2089</v>
      </c>
      <c r="F449" s="1" t="s">
        <v>2148</v>
      </c>
      <c r="G449" s="1" t="s">
        <v>118</v>
      </c>
      <c r="H449" s="2">
        <v>1</v>
      </c>
      <c r="I449" s="2">
        <v>1</v>
      </c>
      <c r="J449" s="2">
        <v>1</v>
      </c>
      <c r="K449" s="2">
        <v>0</v>
      </c>
      <c r="L449" s="3" t="s">
        <v>127</v>
      </c>
      <c r="O449" s="4">
        <v>3</v>
      </c>
      <c r="P449" s="4" t="s">
        <v>425</v>
      </c>
      <c r="Q449" s="4"/>
      <c r="R449" s="16">
        <v>2000000</v>
      </c>
      <c r="S449" s="6">
        <v>2000000</v>
      </c>
      <c r="T449" s="16">
        <v>2000000</v>
      </c>
      <c r="U449" s="6">
        <v>2000000</v>
      </c>
      <c r="V449" s="4">
        <v>2010.5</v>
      </c>
      <c r="W449" s="4" t="s">
        <v>425</v>
      </c>
      <c r="X449" s="4"/>
      <c r="Y449" s="7">
        <v>2</v>
      </c>
      <c r="Z449" s="8">
        <v>2072193</v>
      </c>
      <c r="AA449" s="7" t="s">
        <v>92</v>
      </c>
      <c r="AB449" s="7"/>
      <c r="AC449" s="9">
        <v>2</v>
      </c>
      <c r="AD449" s="10">
        <v>1847674</v>
      </c>
      <c r="AE449" s="9" t="s">
        <v>92</v>
      </c>
      <c r="AF449" s="9"/>
      <c r="AG449" s="11">
        <v>4</v>
      </c>
      <c r="AH449" s="11" t="s">
        <v>131</v>
      </c>
      <c r="AI449" s="11" t="s">
        <v>2204</v>
      </c>
      <c r="AJ449" s="11">
        <v>5</v>
      </c>
      <c r="AK449" s="11" t="s">
        <v>143</v>
      </c>
      <c r="AL449" s="12">
        <v>3</v>
      </c>
      <c r="AM449" s="12" t="s">
        <v>131</v>
      </c>
      <c r="AN449" s="12"/>
      <c r="AO449" s="12">
        <v>2</v>
      </c>
      <c r="AP449" s="12" t="s">
        <v>132</v>
      </c>
      <c r="AQ449" s="4">
        <v>2</v>
      </c>
      <c r="AR449" s="4" t="s">
        <v>133</v>
      </c>
      <c r="AS449" s="4"/>
      <c r="AT449" s="13">
        <v>58.505012512207003</v>
      </c>
      <c r="AU449" s="13">
        <v>0.90908634662628196</v>
      </c>
      <c r="AV449" s="13">
        <v>0.41999998688697798</v>
      </c>
      <c r="AW449" s="13">
        <v>1.6900000572204601</v>
      </c>
      <c r="AX449" s="4">
        <v>1</v>
      </c>
      <c r="AY449" s="13">
        <v>-29.9071941375732</v>
      </c>
      <c r="AZ449" s="13">
        <v>-3.49300909042358</v>
      </c>
      <c r="BA449" s="13">
        <v>-5.5679030418395996</v>
      </c>
      <c r="BB449" s="13">
        <v>-1.1499999761581401</v>
      </c>
      <c r="BC449" s="4">
        <v>1</v>
      </c>
      <c r="BD449" s="4">
        <v>10</v>
      </c>
      <c r="BE449" s="4" t="s">
        <v>134</v>
      </c>
      <c r="BF449" s="13">
        <v>1.2699999809265099</v>
      </c>
      <c r="BG449" s="4">
        <v>402.5</v>
      </c>
      <c r="BH449" s="13">
        <v>0.87599998712539695</v>
      </c>
      <c r="BI449" s="13">
        <v>352.51800537109398</v>
      </c>
      <c r="BJ449" s="4"/>
      <c r="BK449" s="14">
        <v>11</v>
      </c>
      <c r="BL449" s="14">
        <v>10</v>
      </c>
      <c r="BM449" s="14">
        <v>11</v>
      </c>
      <c r="BP449" s="15"/>
      <c r="BQ449" s="15"/>
      <c r="BR449" s="2" t="s">
        <v>555</v>
      </c>
      <c r="BS449" s="2" t="s">
        <v>297</v>
      </c>
      <c r="BT449" s="7" t="s">
        <v>428</v>
      </c>
      <c r="BU449" s="7"/>
      <c r="BV449" s="9" t="s">
        <v>428</v>
      </c>
      <c r="BW449" s="9" t="s">
        <v>487</v>
      </c>
    </row>
    <row r="450" spans="1:75" ht="14.25" customHeight="1" x14ac:dyDescent="0.25">
      <c r="A450" s="1">
        <v>973</v>
      </c>
      <c r="B450" s="1" t="s">
        <v>2205</v>
      </c>
      <c r="C450" s="1" t="s">
        <v>2206</v>
      </c>
      <c r="D450" s="1" t="s">
        <v>77</v>
      </c>
      <c r="E450" s="1" t="s">
        <v>2089</v>
      </c>
      <c r="F450" s="1" t="s">
        <v>2148</v>
      </c>
      <c r="G450" s="1"/>
      <c r="H450" s="2">
        <v>1</v>
      </c>
      <c r="I450" s="2">
        <v>1</v>
      </c>
      <c r="J450" s="2">
        <v>1</v>
      </c>
      <c r="K450" s="2">
        <v>0</v>
      </c>
      <c r="L450" s="3" t="s">
        <v>127</v>
      </c>
      <c r="O450" s="4">
        <v>3</v>
      </c>
      <c r="P450" s="4" t="s">
        <v>425</v>
      </c>
      <c r="Q450" s="4"/>
      <c r="R450" s="16">
        <v>2800000</v>
      </c>
      <c r="S450" s="6">
        <v>2800000</v>
      </c>
      <c r="T450" s="16">
        <v>2800000</v>
      </c>
      <c r="U450" s="6">
        <v>2800000</v>
      </c>
      <c r="V450" s="4">
        <v>2010.5</v>
      </c>
      <c r="W450" s="4" t="s">
        <v>425</v>
      </c>
      <c r="X450" s="4"/>
      <c r="Y450" s="7">
        <v>3</v>
      </c>
      <c r="Z450" s="8">
        <v>995493</v>
      </c>
      <c r="AA450" s="7" t="s">
        <v>92</v>
      </c>
      <c r="AB450" s="7"/>
      <c r="AC450" s="9">
        <v>3</v>
      </c>
      <c r="AD450" s="10">
        <v>613221</v>
      </c>
      <c r="AE450" s="9" t="s">
        <v>92</v>
      </c>
      <c r="AF450" s="9" t="s">
        <v>2207</v>
      </c>
      <c r="AG450" s="11">
        <v>4</v>
      </c>
      <c r="AH450" s="11" t="s">
        <v>131</v>
      </c>
      <c r="AI450" s="11"/>
      <c r="AJ450" s="11">
        <v>5</v>
      </c>
      <c r="AK450" s="11" t="s">
        <v>143</v>
      </c>
      <c r="AL450" s="12">
        <v>3</v>
      </c>
      <c r="AM450" s="12" t="s">
        <v>131</v>
      </c>
      <c r="AN450" s="12"/>
      <c r="AO450" s="12">
        <v>2</v>
      </c>
      <c r="AP450" s="12" t="s">
        <v>132</v>
      </c>
      <c r="AQ450" s="4">
        <v>1</v>
      </c>
      <c r="AR450" s="4" t="s">
        <v>133</v>
      </c>
      <c r="AS450" s="4"/>
      <c r="AT450" s="13">
        <v>106.316734313965</v>
      </c>
      <c r="AU450" s="13">
        <v>1.4268004894256601</v>
      </c>
      <c r="AV450" s="13">
        <v>0.63619601726532005</v>
      </c>
      <c r="AW450" s="13">
        <v>2.5499999523162802</v>
      </c>
      <c r="AX450" s="4">
        <v>1</v>
      </c>
      <c r="AY450" s="13">
        <v>0.73403787612914995</v>
      </c>
      <c r="AZ450" s="13">
        <v>7.3261298239231096E-2</v>
      </c>
      <c r="BA450" s="13">
        <v>-2.0499999523162802</v>
      </c>
      <c r="BB450" s="13">
        <v>2.25</v>
      </c>
      <c r="BC450" s="4"/>
      <c r="BD450" s="4">
        <v>10</v>
      </c>
      <c r="BE450" s="4" t="s">
        <v>134</v>
      </c>
      <c r="BF450" s="13">
        <v>1.9138040542602499</v>
      </c>
      <c r="BG450" s="4">
        <v>318.5</v>
      </c>
      <c r="BH450" s="13">
        <v>1.3049999475479099</v>
      </c>
      <c r="BI450" s="13">
        <v>415.75</v>
      </c>
      <c r="BJ450" s="4"/>
      <c r="BK450" s="14">
        <v>11</v>
      </c>
      <c r="BL450" s="14">
        <v>10</v>
      </c>
      <c r="BM450" s="14">
        <v>11</v>
      </c>
      <c r="BP450" s="15"/>
      <c r="BQ450" s="15"/>
      <c r="BR450" s="2" t="s">
        <v>162</v>
      </c>
      <c r="BS450" s="2" t="s">
        <v>162</v>
      </c>
      <c r="BT450" s="7" t="s">
        <v>428</v>
      </c>
      <c r="BU450" s="7"/>
      <c r="BV450" s="9" t="s">
        <v>428</v>
      </c>
      <c r="BW450" s="9"/>
    </row>
    <row r="451" spans="1:75" ht="14.25" customHeight="1" x14ac:dyDescent="0.25">
      <c r="A451" s="1">
        <v>975</v>
      </c>
      <c r="B451" s="1" t="s">
        <v>2208</v>
      </c>
      <c r="C451" s="1" t="s">
        <v>2209</v>
      </c>
      <c r="D451" s="1" t="s">
        <v>77</v>
      </c>
      <c r="E451" s="1" t="s">
        <v>2089</v>
      </c>
      <c r="F451" s="1" t="s">
        <v>2148</v>
      </c>
      <c r="G451" s="1"/>
      <c r="H451" s="2">
        <v>1</v>
      </c>
      <c r="I451" s="2">
        <v>1</v>
      </c>
      <c r="J451" s="2">
        <v>0</v>
      </c>
      <c r="K451" s="2">
        <v>0</v>
      </c>
      <c r="L451" s="3" t="s">
        <v>80</v>
      </c>
      <c r="O451" s="4">
        <v>3</v>
      </c>
      <c r="P451" s="4" t="s">
        <v>1919</v>
      </c>
      <c r="Q451" s="4"/>
      <c r="R451" s="16">
        <v>1600000</v>
      </c>
      <c r="S451" s="6">
        <v>1600000</v>
      </c>
      <c r="T451" s="16">
        <v>1600000</v>
      </c>
      <c r="U451" s="6">
        <v>1600000</v>
      </c>
      <c r="V451" s="4">
        <v>2010.5</v>
      </c>
      <c r="W451" s="4" t="s">
        <v>1919</v>
      </c>
      <c r="X451" s="4"/>
      <c r="Y451" s="7">
        <v>1</v>
      </c>
      <c r="Z451" s="8">
        <v>7858070</v>
      </c>
      <c r="AA451" s="7" t="s">
        <v>92</v>
      </c>
      <c r="AB451" s="7"/>
      <c r="AC451" s="9">
        <v>1</v>
      </c>
      <c r="AD451" s="10">
        <v>7858070</v>
      </c>
      <c r="AE451" s="9" t="s">
        <v>92</v>
      </c>
      <c r="AF451" s="9"/>
      <c r="AG451" s="11">
        <v>4</v>
      </c>
      <c r="AH451" s="11" t="s">
        <v>131</v>
      </c>
      <c r="AI451" s="11"/>
      <c r="AJ451" s="11">
        <v>4</v>
      </c>
      <c r="AK451" s="11" t="s">
        <v>143</v>
      </c>
      <c r="AL451" s="12">
        <v>4</v>
      </c>
      <c r="AM451" s="12" t="s">
        <v>131</v>
      </c>
      <c r="AN451" s="12"/>
      <c r="AO451" s="12">
        <v>4</v>
      </c>
      <c r="AP451" s="12" t="s">
        <v>143</v>
      </c>
      <c r="AQ451" s="4">
        <v>1</v>
      </c>
      <c r="AR451" s="4" t="s">
        <v>133</v>
      </c>
      <c r="AS451" s="4"/>
      <c r="AT451" s="13">
        <v>229.16229248046901</v>
      </c>
      <c r="AU451" s="13">
        <v>2.3611488342285201</v>
      </c>
      <c r="AV451" s="13">
        <v>1.2400000095367401</v>
      </c>
      <c r="AW451" s="13">
        <v>4.0799999237060502</v>
      </c>
      <c r="AX451" s="4">
        <v>1</v>
      </c>
      <c r="AY451" s="13">
        <v>47.921859741210902</v>
      </c>
      <c r="AZ451" s="13">
        <v>3.9952845573425302</v>
      </c>
      <c r="BA451" s="13">
        <v>-1.03999996185303</v>
      </c>
      <c r="BB451" s="13">
        <v>8.8109970092773402</v>
      </c>
      <c r="BC451" s="4"/>
      <c r="BD451" s="4">
        <v>10</v>
      </c>
      <c r="BE451" s="4" t="s">
        <v>134</v>
      </c>
      <c r="BF451" s="13">
        <v>2.8399999141693102</v>
      </c>
      <c r="BG451" s="4">
        <v>286</v>
      </c>
      <c r="BH451" s="13">
        <v>8.4499999880790697E-2</v>
      </c>
      <c r="BI451" s="13">
        <v>24.122499465942401</v>
      </c>
      <c r="BJ451" s="4"/>
      <c r="BK451" s="14">
        <v>9</v>
      </c>
      <c r="BL451" s="14">
        <v>9</v>
      </c>
      <c r="BM451" s="14">
        <v>9</v>
      </c>
      <c r="BP451" s="15"/>
      <c r="BQ451" s="15"/>
      <c r="BR451" s="2" t="s">
        <v>211</v>
      </c>
      <c r="BS451" s="2" t="s">
        <v>211</v>
      </c>
      <c r="BT451" s="7" t="s">
        <v>527</v>
      </c>
      <c r="BU451" s="7" t="s">
        <v>428</v>
      </c>
      <c r="BV451" s="9" t="s">
        <v>527</v>
      </c>
      <c r="BW451" s="9" t="s">
        <v>428</v>
      </c>
    </row>
    <row r="452" spans="1:75" ht="14.25" customHeight="1" x14ac:dyDescent="0.25">
      <c r="A452" s="1">
        <v>976</v>
      </c>
      <c r="B452" s="1" t="s">
        <v>2210</v>
      </c>
      <c r="C452" s="1" t="s">
        <v>2211</v>
      </c>
      <c r="D452" s="1" t="s">
        <v>77</v>
      </c>
      <c r="E452" s="1" t="s">
        <v>2089</v>
      </c>
      <c r="F452" s="1" t="s">
        <v>2148</v>
      </c>
      <c r="G452" s="1" t="s">
        <v>118</v>
      </c>
      <c r="H452" s="2">
        <v>1</v>
      </c>
      <c r="I452" s="2">
        <v>1</v>
      </c>
      <c r="J452" s="2">
        <v>0</v>
      </c>
      <c r="K452" s="2">
        <v>0</v>
      </c>
      <c r="L452" s="3" t="s">
        <v>80</v>
      </c>
      <c r="O452" s="4">
        <v>3</v>
      </c>
      <c r="P452" s="4" t="s">
        <v>579</v>
      </c>
      <c r="Q452" s="4"/>
      <c r="R452" s="16">
        <v>1700000</v>
      </c>
      <c r="S452" s="6">
        <v>1700000</v>
      </c>
      <c r="T452" s="16">
        <v>1700000</v>
      </c>
      <c r="U452" s="6">
        <v>1700000</v>
      </c>
      <c r="V452" s="4">
        <v>2010.5</v>
      </c>
      <c r="W452" s="4" t="s">
        <v>579</v>
      </c>
      <c r="X452" s="4"/>
      <c r="Y452" s="7">
        <v>1</v>
      </c>
      <c r="Z452" s="8">
        <v>6740879</v>
      </c>
      <c r="AA452" s="7" t="s">
        <v>92</v>
      </c>
      <c r="AB452" s="7"/>
      <c r="AC452" s="9">
        <v>1</v>
      </c>
      <c r="AD452" s="10">
        <v>6740879</v>
      </c>
      <c r="AE452" s="9" t="s">
        <v>92</v>
      </c>
      <c r="AF452" s="9" t="s">
        <v>2212</v>
      </c>
      <c r="AG452" s="11">
        <v>3</v>
      </c>
      <c r="AH452" s="11" t="s">
        <v>131</v>
      </c>
      <c r="AI452" s="11" t="s">
        <v>2213</v>
      </c>
      <c r="AJ452" s="11">
        <v>3</v>
      </c>
      <c r="AK452" s="11" t="s">
        <v>143</v>
      </c>
      <c r="AL452" s="12">
        <v>3</v>
      </c>
      <c r="AM452" s="12" t="s">
        <v>131</v>
      </c>
      <c r="AN452" s="12"/>
      <c r="AO452" s="12">
        <v>3</v>
      </c>
      <c r="AP452" s="12" t="s">
        <v>143</v>
      </c>
      <c r="AQ452" s="4">
        <v>1</v>
      </c>
      <c r="AR452" s="4" t="s">
        <v>133</v>
      </c>
      <c r="AS452" s="4"/>
      <c r="AT452" s="13">
        <v>178.66279602050801</v>
      </c>
      <c r="AU452" s="13">
        <v>2.0315752029418901</v>
      </c>
      <c r="AV452" s="13">
        <v>0.76599997282028198</v>
      </c>
      <c r="AW452" s="13">
        <v>4.1300001144409197</v>
      </c>
      <c r="AX452" s="4">
        <v>1</v>
      </c>
      <c r="AY452" s="13">
        <v>5.9033584594726598</v>
      </c>
      <c r="AZ452" s="13">
        <v>0.575336873531342</v>
      </c>
      <c r="BA452" s="13">
        <v>-4.1799998283386204</v>
      </c>
      <c r="BB452" s="13">
        <v>4.8600001335143999</v>
      </c>
      <c r="BC452" s="4"/>
      <c r="BD452" s="4">
        <v>10</v>
      </c>
      <c r="BE452" s="4" t="s">
        <v>134</v>
      </c>
      <c r="BF452" s="13">
        <v>3.3640000820159899</v>
      </c>
      <c r="BG452" s="4">
        <v>373.5</v>
      </c>
      <c r="BH452" s="13">
        <v>9.6500001847744002E-2</v>
      </c>
      <c r="BI452" s="13">
        <v>36.243499755859403</v>
      </c>
      <c r="BJ452" s="4"/>
      <c r="BK452" s="14">
        <v>8</v>
      </c>
      <c r="BL452" s="14">
        <v>8</v>
      </c>
      <c r="BM452" s="14">
        <v>8</v>
      </c>
      <c r="BP452" s="15"/>
      <c r="BQ452" s="15"/>
      <c r="BR452" s="2" t="s">
        <v>211</v>
      </c>
      <c r="BS452" s="2" t="s">
        <v>211</v>
      </c>
      <c r="BT452" s="7" t="s">
        <v>527</v>
      </c>
      <c r="BU452" s="7" t="s">
        <v>428</v>
      </c>
      <c r="BV452" s="9" t="s">
        <v>527</v>
      </c>
      <c r="BW452" s="9" t="s">
        <v>428</v>
      </c>
    </row>
    <row r="453" spans="1:75" ht="14.25" customHeight="1" x14ac:dyDescent="0.25">
      <c r="A453" s="1">
        <v>978</v>
      </c>
      <c r="B453" s="1" t="s">
        <v>2214</v>
      </c>
      <c r="C453" s="1" t="s">
        <v>2215</v>
      </c>
      <c r="D453" s="1" t="s">
        <v>77</v>
      </c>
      <c r="E453" s="1" t="s">
        <v>2089</v>
      </c>
      <c r="F453" s="1" t="s">
        <v>2148</v>
      </c>
      <c r="G453" s="1" t="s">
        <v>2216</v>
      </c>
      <c r="H453" s="2">
        <v>1</v>
      </c>
      <c r="I453" s="2">
        <v>1</v>
      </c>
      <c r="J453" s="2">
        <v>1</v>
      </c>
      <c r="K453" s="2">
        <v>0</v>
      </c>
      <c r="L453" s="3" t="s">
        <v>80</v>
      </c>
      <c r="O453" s="4">
        <v>2</v>
      </c>
      <c r="P453" s="4" t="s">
        <v>579</v>
      </c>
      <c r="Q453" s="4"/>
      <c r="R453" s="16">
        <v>13000000</v>
      </c>
      <c r="S453" s="6">
        <v>13000000</v>
      </c>
      <c r="T453" s="16">
        <v>13000000</v>
      </c>
      <c r="U453" s="6">
        <v>13000000</v>
      </c>
      <c r="V453" s="4">
        <v>2010.5</v>
      </c>
      <c r="W453" s="4" t="s">
        <v>579</v>
      </c>
      <c r="X453" s="4"/>
      <c r="Y453" s="7">
        <v>1</v>
      </c>
      <c r="Z453" s="8">
        <v>12755791</v>
      </c>
      <c r="AA453" s="7" t="s">
        <v>92</v>
      </c>
      <c r="AB453" s="7"/>
      <c r="AC453" s="9">
        <v>1</v>
      </c>
      <c r="AD453" s="10">
        <v>12755791</v>
      </c>
      <c r="AE453" s="9" t="s">
        <v>92</v>
      </c>
      <c r="AF453" s="9"/>
      <c r="AG453" s="11">
        <v>2</v>
      </c>
      <c r="AH453" s="11" t="s">
        <v>131</v>
      </c>
      <c r="AI453" s="11"/>
      <c r="AJ453" s="11">
        <v>2</v>
      </c>
      <c r="AK453" s="11" t="s">
        <v>132</v>
      </c>
      <c r="AL453" s="12">
        <v>2</v>
      </c>
      <c r="AM453" s="12" t="s">
        <v>131</v>
      </c>
      <c r="AN453" s="12"/>
      <c r="AO453" s="12">
        <v>2</v>
      </c>
      <c r="AP453" s="12" t="s">
        <v>143</v>
      </c>
      <c r="AQ453" s="4">
        <v>3</v>
      </c>
      <c r="AR453" s="4" t="s">
        <v>133</v>
      </c>
      <c r="AS453" s="4"/>
      <c r="AT453" s="13">
        <v>-3.79730129241943</v>
      </c>
      <c r="AU453" s="13">
        <v>-7.5958028435707106E-2</v>
      </c>
      <c r="AV453" s="13">
        <v>-0.24099999666214</v>
      </c>
      <c r="AW453" s="13">
        <v>2.7000999078154599E-2</v>
      </c>
      <c r="AX453" s="4"/>
      <c r="AY453" s="13">
        <v>-10.189380645751999</v>
      </c>
      <c r="AZ453" s="13">
        <v>-1.0657209157943699</v>
      </c>
      <c r="BA453" s="13">
        <v>-1.53999996185303</v>
      </c>
      <c r="BB453" s="13">
        <v>-0.64099997282028198</v>
      </c>
      <c r="BC453" s="4">
        <v>1</v>
      </c>
      <c r="BD453" s="4">
        <v>10</v>
      </c>
      <c r="BE453" s="4" t="s">
        <v>134</v>
      </c>
      <c r="BF453" s="13">
        <v>0.26800099015235901</v>
      </c>
      <c r="BG453" s="4">
        <v>3742</v>
      </c>
      <c r="BH453" s="13">
        <v>0.94749999046325695</v>
      </c>
      <c r="BI453" s="13">
        <v>3544.98999023438</v>
      </c>
      <c r="BJ453" s="4"/>
      <c r="BK453" s="14">
        <v>8</v>
      </c>
      <c r="BL453" s="14">
        <v>8</v>
      </c>
      <c r="BM453" s="14">
        <v>8</v>
      </c>
      <c r="BP453" s="15" t="s">
        <v>135</v>
      </c>
      <c r="BQ453" s="15"/>
      <c r="BR453" s="2" t="s">
        <v>172</v>
      </c>
      <c r="BS453" s="2" t="s">
        <v>172</v>
      </c>
      <c r="BT453" s="7" t="s">
        <v>509</v>
      </c>
      <c r="BU453" s="7"/>
      <c r="BV453" s="9" t="s">
        <v>509</v>
      </c>
      <c r="BW453" s="9"/>
    </row>
    <row r="454" spans="1:75" ht="14.25" customHeight="1" x14ac:dyDescent="0.25">
      <c r="A454" s="1">
        <v>979</v>
      </c>
      <c r="B454" s="1" t="s">
        <v>2217</v>
      </c>
      <c r="C454" s="1" t="s">
        <v>2218</v>
      </c>
      <c r="D454" s="1" t="s">
        <v>77</v>
      </c>
      <c r="E454" s="1" t="s">
        <v>2089</v>
      </c>
      <c r="F454" s="1" t="s">
        <v>2148</v>
      </c>
      <c r="G454" s="1" t="s">
        <v>2219</v>
      </c>
      <c r="H454" s="2">
        <v>0</v>
      </c>
      <c r="I454" s="2">
        <v>1</v>
      </c>
      <c r="J454" s="2">
        <v>1</v>
      </c>
      <c r="K454" s="2">
        <v>0</v>
      </c>
      <c r="L454" s="3" t="s">
        <v>80</v>
      </c>
      <c r="O454" s="4">
        <v>3</v>
      </c>
      <c r="P454" s="4" t="s">
        <v>424</v>
      </c>
      <c r="Q454" s="4"/>
      <c r="R454" s="16">
        <v>850000</v>
      </c>
      <c r="S454" s="6">
        <v>850000</v>
      </c>
      <c r="T454" s="16">
        <v>750000</v>
      </c>
      <c r="U454" s="6">
        <v>750000</v>
      </c>
      <c r="V454" s="4">
        <v>2010.5</v>
      </c>
      <c r="W454" s="4" t="s">
        <v>425</v>
      </c>
      <c r="X454" s="4"/>
      <c r="Y454" s="7">
        <v>4</v>
      </c>
      <c r="Z454" s="8">
        <v>183723</v>
      </c>
      <c r="AA454" s="7" t="s">
        <v>92</v>
      </c>
      <c r="AB454" s="7"/>
      <c r="AC454" s="9">
        <v>4</v>
      </c>
      <c r="AD454" s="10">
        <v>183723</v>
      </c>
      <c r="AE454" s="9" t="s">
        <v>92</v>
      </c>
      <c r="AF454" s="9"/>
      <c r="AG454" s="11">
        <v>4</v>
      </c>
      <c r="AH454" s="11" t="s">
        <v>454</v>
      </c>
      <c r="AI454" s="11" t="s">
        <v>2220</v>
      </c>
      <c r="AJ454" s="11">
        <v>4</v>
      </c>
      <c r="AK454" s="11" t="s">
        <v>132</v>
      </c>
      <c r="AL454" s="12">
        <v>4</v>
      </c>
      <c r="AM454" s="12" t="s">
        <v>131</v>
      </c>
      <c r="AN454" s="12" t="s">
        <v>2221</v>
      </c>
      <c r="AO454" s="12">
        <v>5</v>
      </c>
      <c r="AP454" s="12" t="s">
        <v>143</v>
      </c>
      <c r="AQ454" s="4">
        <v>1</v>
      </c>
      <c r="AR454" s="4" t="s">
        <v>133</v>
      </c>
      <c r="AS454" s="4"/>
      <c r="AT454" s="13">
        <v>62.262447357177699</v>
      </c>
      <c r="AU454" s="13">
        <v>0.95389801263809204</v>
      </c>
      <c r="AV454" s="13">
        <v>0.56800001859664895</v>
      </c>
      <c r="AW454" s="13">
        <v>1.3999999761581401</v>
      </c>
      <c r="AX454" s="4">
        <v>1</v>
      </c>
      <c r="AY454" s="13">
        <v>1.44842052459717</v>
      </c>
      <c r="AZ454" s="13">
        <v>0.14384992420673401</v>
      </c>
      <c r="BA454" s="13">
        <v>-1.12000000476837</v>
      </c>
      <c r="BB454" s="13">
        <v>1.62999999523163</v>
      </c>
      <c r="BC454" s="4"/>
      <c r="BD454" s="4">
        <v>10</v>
      </c>
      <c r="BE454" s="4" t="s">
        <v>134</v>
      </c>
      <c r="BF454" s="13">
        <v>0.83200001716613803</v>
      </c>
      <c r="BG454" s="4">
        <v>131.5</v>
      </c>
      <c r="BH454" s="13">
        <v>1.8899999856948899</v>
      </c>
      <c r="BI454" s="13">
        <v>248.42500305175801</v>
      </c>
      <c r="BJ454" s="4"/>
      <c r="BK454" s="14">
        <v>12</v>
      </c>
      <c r="BL454" s="14">
        <v>12</v>
      </c>
      <c r="BM454" s="14">
        <v>12</v>
      </c>
      <c r="BP454" s="15"/>
      <c r="BQ454" s="15"/>
      <c r="BR454" s="2" t="s">
        <v>162</v>
      </c>
      <c r="BS454" s="2" t="s">
        <v>162</v>
      </c>
      <c r="BT454" s="7" t="s">
        <v>428</v>
      </c>
      <c r="BU454" s="7"/>
      <c r="BV454" s="9" t="s">
        <v>428</v>
      </c>
      <c r="BW454" s="9"/>
    </row>
    <row r="455" spans="1:75" ht="14.25" customHeight="1" x14ac:dyDescent="0.25">
      <c r="A455" s="1">
        <v>980</v>
      </c>
      <c r="B455" s="1" t="s">
        <v>2222</v>
      </c>
      <c r="C455" s="1" t="s">
        <v>2223</v>
      </c>
      <c r="D455" s="1" t="s">
        <v>77</v>
      </c>
      <c r="E455" s="1" t="s">
        <v>2089</v>
      </c>
      <c r="F455" s="1" t="s">
        <v>2148</v>
      </c>
      <c r="G455" s="1" t="s">
        <v>2216</v>
      </c>
      <c r="H455" s="2">
        <v>0</v>
      </c>
      <c r="I455" s="2">
        <v>1</v>
      </c>
      <c r="J455" s="2">
        <v>1</v>
      </c>
      <c r="K455" s="2">
        <v>1</v>
      </c>
      <c r="L455" s="3" t="s">
        <v>80</v>
      </c>
      <c r="O455" s="4">
        <v>2</v>
      </c>
      <c r="P455" s="4" t="s">
        <v>470</v>
      </c>
      <c r="Q455" s="4"/>
      <c r="R455" s="16">
        <v>5500000</v>
      </c>
      <c r="S455" s="6">
        <v>5500000</v>
      </c>
      <c r="T455" s="16">
        <v>2400000</v>
      </c>
      <c r="U455" s="6">
        <v>2400000</v>
      </c>
      <c r="V455" s="4">
        <v>2010.5</v>
      </c>
      <c r="W455" s="4" t="s">
        <v>425</v>
      </c>
      <c r="X455" s="4"/>
      <c r="Y455" s="7">
        <v>2</v>
      </c>
      <c r="Z455" s="8">
        <v>2820421</v>
      </c>
      <c r="AA455" s="7" t="s">
        <v>92</v>
      </c>
      <c r="AB455" s="7"/>
      <c r="AC455" s="9">
        <v>2</v>
      </c>
      <c r="AD455" s="10">
        <v>2820421</v>
      </c>
      <c r="AE455" s="9" t="s">
        <v>92</v>
      </c>
      <c r="AF455" s="9"/>
      <c r="AG455" s="11">
        <v>2</v>
      </c>
      <c r="AH455" s="11" t="s">
        <v>131</v>
      </c>
      <c r="AI455" s="11"/>
      <c r="AJ455" s="11">
        <v>2</v>
      </c>
      <c r="AK455" s="11" t="s">
        <v>132</v>
      </c>
      <c r="AL455" s="12">
        <v>2</v>
      </c>
      <c r="AM455" s="12" t="s">
        <v>131</v>
      </c>
      <c r="AN455" s="12"/>
      <c r="AO455" s="12">
        <v>2</v>
      </c>
      <c r="AP455" s="12" t="s">
        <v>132</v>
      </c>
      <c r="AQ455" s="4">
        <v>3</v>
      </c>
      <c r="AR455" s="4" t="s">
        <v>673</v>
      </c>
      <c r="AS455" s="4" t="s">
        <v>2224</v>
      </c>
      <c r="AT455" s="13"/>
      <c r="AU455" s="13"/>
      <c r="AV455" s="13"/>
      <c r="AW455" s="13"/>
      <c r="AX455" s="4"/>
      <c r="AY455" s="13"/>
      <c r="AZ455" s="13"/>
      <c r="BA455" s="13"/>
      <c r="BB455" s="13"/>
      <c r="BC455" s="4"/>
      <c r="BD455" s="4"/>
      <c r="BE455" s="4"/>
      <c r="BF455" s="13"/>
      <c r="BG455" s="4"/>
      <c r="BH455" s="13"/>
      <c r="BI455" s="13"/>
      <c r="BJ455" s="4"/>
      <c r="BK455" s="14">
        <v>9</v>
      </c>
      <c r="BL455" s="14">
        <v>9</v>
      </c>
      <c r="BM455" s="14">
        <v>9</v>
      </c>
      <c r="BP455" s="15"/>
      <c r="BQ455" s="15"/>
      <c r="BR455" s="2" t="s">
        <v>297</v>
      </c>
      <c r="BS455" s="2" t="s">
        <v>297</v>
      </c>
      <c r="BT455" s="7" t="s">
        <v>475</v>
      </c>
      <c r="BU455" s="7" t="s">
        <v>109</v>
      </c>
      <c r="BV455" s="9" t="s">
        <v>475</v>
      </c>
      <c r="BW455" s="9" t="s">
        <v>109</v>
      </c>
    </row>
    <row r="456" spans="1:75" ht="14.25" customHeight="1" x14ac:dyDescent="0.25">
      <c r="A456" s="1">
        <v>981</v>
      </c>
      <c r="B456" s="1" t="s">
        <v>2225</v>
      </c>
      <c r="C456" s="1" t="s">
        <v>2226</v>
      </c>
      <c r="D456" s="1" t="s">
        <v>77</v>
      </c>
      <c r="E456" s="1" t="s">
        <v>2089</v>
      </c>
      <c r="F456" s="1" t="s">
        <v>2148</v>
      </c>
      <c r="G456" s="1" t="s">
        <v>2219</v>
      </c>
      <c r="H456" s="2">
        <v>0</v>
      </c>
      <c r="I456" s="2">
        <v>1</v>
      </c>
      <c r="J456" s="2">
        <v>0</v>
      </c>
      <c r="K456" s="2">
        <v>0</v>
      </c>
      <c r="L456" s="3" t="s">
        <v>80</v>
      </c>
      <c r="O456" s="4">
        <v>5</v>
      </c>
      <c r="P456" s="4" t="s">
        <v>2227</v>
      </c>
      <c r="Q456" s="4" t="s">
        <v>2228</v>
      </c>
      <c r="R456" s="16">
        <v>19000</v>
      </c>
      <c r="S456" s="6">
        <v>19000</v>
      </c>
      <c r="T456" s="16">
        <v>19000</v>
      </c>
      <c r="U456" s="6">
        <v>19000</v>
      </c>
      <c r="V456" s="4"/>
      <c r="W456" s="4" t="s">
        <v>2227</v>
      </c>
      <c r="X456" s="4"/>
      <c r="Y456" s="7">
        <v>3</v>
      </c>
      <c r="Z456" s="8">
        <v>528258</v>
      </c>
      <c r="AA456" s="7" t="s">
        <v>92</v>
      </c>
      <c r="AB456" s="7"/>
      <c r="AC456" s="9">
        <v>3</v>
      </c>
      <c r="AD456" s="10">
        <v>528258</v>
      </c>
      <c r="AE456" s="9" t="s">
        <v>92</v>
      </c>
      <c r="AF456" s="9"/>
      <c r="AG456" s="11">
        <v>4</v>
      </c>
      <c r="AH456" s="11" t="s">
        <v>2229</v>
      </c>
      <c r="AI456" s="11" t="s">
        <v>2230</v>
      </c>
      <c r="AJ456" s="11">
        <v>1</v>
      </c>
      <c r="AK456" s="11" t="s">
        <v>143</v>
      </c>
      <c r="AL456" s="12">
        <v>4</v>
      </c>
      <c r="AM456" s="12" t="s">
        <v>2229</v>
      </c>
      <c r="AN456" s="12" t="s">
        <v>2230</v>
      </c>
      <c r="AO456" s="12">
        <v>2</v>
      </c>
      <c r="AP456" s="12" t="s">
        <v>143</v>
      </c>
      <c r="AQ456" s="4">
        <v>4</v>
      </c>
      <c r="AR456" s="4" t="s">
        <v>133</v>
      </c>
      <c r="AS456" s="4"/>
      <c r="AT456" s="13">
        <v>-60.169200897216797</v>
      </c>
      <c r="AU456" s="13">
        <v>-1.7909289598464999</v>
      </c>
      <c r="AV456" s="13">
        <v>-3.6600000858306898</v>
      </c>
      <c r="AW456" s="13">
        <v>-0.23660099506378199</v>
      </c>
      <c r="AX456" s="4">
        <v>1</v>
      </c>
      <c r="AY456" s="13">
        <v>8.4577283859252894</v>
      </c>
      <c r="AZ456" s="13">
        <v>0.815515697002411</v>
      </c>
      <c r="BA456" s="13">
        <v>-5.5100002288818404</v>
      </c>
      <c r="BB456" s="13">
        <v>6.28999996185303</v>
      </c>
      <c r="BC456" s="4"/>
      <c r="BD456" s="4">
        <v>10</v>
      </c>
      <c r="BE456" s="4" t="s">
        <v>134</v>
      </c>
      <c r="BF456" s="13">
        <v>3.4233989715576199</v>
      </c>
      <c r="BG456" s="4">
        <v>57.5</v>
      </c>
      <c r="BH456" s="13">
        <v>6.53500035405159E-2</v>
      </c>
      <c r="BI456" s="13">
        <v>3.8113501071929901</v>
      </c>
      <c r="BJ456" s="4"/>
      <c r="BK456" s="14">
        <v>16</v>
      </c>
      <c r="BL456" s="14">
        <v>16</v>
      </c>
      <c r="BM456" s="14">
        <v>16</v>
      </c>
      <c r="BN456" s="3" t="s">
        <v>113</v>
      </c>
      <c r="BO456" s="3" t="s">
        <v>120</v>
      </c>
      <c r="BP456" s="15"/>
      <c r="BQ456" s="15"/>
      <c r="BR456" s="2" t="s">
        <v>239</v>
      </c>
      <c r="BS456" s="2" t="s">
        <v>239</v>
      </c>
      <c r="BT456" s="7" t="s">
        <v>241</v>
      </c>
      <c r="BU456" s="7"/>
      <c r="BV456" s="9" t="s">
        <v>241</v>
      </c>
      <c r="BW456" s="9"/>
    </row>
    <row r="457" spans="1:75" ht="14.25" customHeight="1" x14ac:dyDescent="0.25">
      <c r="A457" s="1">
        <v>982</v>
      </c>
      <c r="B457" s="1" t="s">
        <v>2231</v>
      </c>
      <c r="C457" s="1" t="s">
        <v>2232</v>
      </c>
      <c r="D457" s="1" t="s">
        <v>77</v>
      </c>
      <c r="E457" s="1" t="s">
        <v>2089</v>
      </c>
      <c r="F457" s="1" t="s">
        <v>2148</v>
      </c>
      <c r="G457" s="1" t="s">
        <v>2216</v>
      </c>
      <c r="H457" s="2">
        <v>1</v>
      </c>
      <c r="I457" s="2">
        <v>1</v>
      </c>
      <c r="J457" s="2">
        <v>1</v>
      </c>
      <c r="K457" s="2">
        <v>1</v>
      </c>
      <c r="L457" s="3" t="s">
        <v>80</v>
      </c>
      <c r="O457" s="4">
        <v>2</v>
      </c>
      <c r="P457" s="4" t="s">
        <v>1840</v>
      </c>
      <c r="Q457" s="4"/>
      <c r="R457" s="16">
        <v>8900000</v>
      </c>
      <c r="S457" s="6">
        <v>8900000</v>
      </c>
      <c r="T457" s="16">
        <v>8700000</v>
      </c>
      <c r="U457" s="6">
        <v>8700000</v>
      </c>
      <c r="V457" s="4">
        <v>2010.5</v>
      </c>
      <c r="W457" s="4" t="s">
        <v>579</v>
      </c>
      <c r="X457" s="4"/>
      <c r="Y457" s="7">
        <v>1</v>
      </c>
      <c r="Z457" s="8">
        <v>13251289</v>
      </c>
      <c r="AA457" s="7" t="s">
        <v>92</v>
      </c>
      <c r="AB457" s="7"/>
      <c r="AC457" s="9">
        <v>1</v>
      </c>
      <c r="AD457" s="10">
        <v>13251289</v>
      </c>
      <c r="AE457" s="9" t="s">
        <v>92</v>
      </c>
      <c r="AF457" s="9"/>
      <c r="AG457" s="11">
        <v>2</v>
      </c>
      <c r="AH457" s="11" t="s">
        <v>131</v>
      </c>
      <c r="AI457" s="11"/>
      <c r="AJ457" s="11">
        <v>2</v>
      </c>
      <c r="AK457" s="11" t="s">
        <v>132</v>
      </c>
      <c r="AL457" s="12">
        <v>2</v>
      </c>
      <c r="AM457" s="12" t="s">
        <v>131</v>
      </c>
      <c r="AN457" s="12"/>
      <c r="AO457" s="12">
        <v>2</v>
      </c>
      <c r="AP457" s="12" t="s">
        <v>143</v>
      </c>
      <c r="AQ457" s="4">
        <v>1</v>
      </c>
      <c r="AR457" s="4" t="s">
        <v>133</v>
      </c>
      <c r="AS457" s="4"/>
      <c r="AT457" s="13">
        <v>44.769207000732401</v>
      </c>
      <c r="AU457" s="13">
        <v>0.72819215059280396</v>
      </c>
      <c r="AV457" s="13">
        <v>0.45399999618530301</v>
      </c>
      <c r="AW457" s="13">
        <v>0.90100002288818404</v>
      </c>
      <c r="AX457" s="4">
        <v>1</v>
      </c>
      <c r="AY457" s="13">
        <v>2.3027997016906698</v>
      </c>
      <c r="AZ457" s="13">
        <v>0.22790643572807301</v>
      </c>
      <c r="BA457" s="13">
        <v>-0.52700001001357999</v>
      </c>
      <c r="BB457" s="13">
        <v>0.79530501365661599</v>
      </c>
      <c r="BC457" s="4"/>
      <c r="BD457" s="4">
        <v>10</v>
      </c>
      <c r="BE457" s="4" t="s">
        <v>134</v>
      </c>
      <c r="BF457" s="13">
        <v>0.44699999690055803</v>
      </c>
      <c r="BG457" s="4">
        <v>3670</v>
      </c>
      <c r="BH457" s="13">
        <v>0.46950000524520902</v>
      </c>
      <c r="BI457" s="13">
        <v>1722.74096679688</v>
      </c>
      <c r="BJ457" s="4"/>
      <c r="BK457" s="14">
        <v>6</v>
      </c>
      <c r="BL457" s="14">
        <v>6</v>
      </c>
      <c r="BM457" s="14">
        <v>6</v>
      </c>
      <c r="BP457" s="15" t="s">
        <v>135</v>
      </c>
      <c r="BQ457" s="15"/>
      <c r="BR457" s="2" t="s">
        <v>172</v>
      </c>
      <c r="BS457" s="2" t="s">
        <v>172</v>
      </c>
      <c r="BT457" s="7" t="s">
        <v>1827</v>
      </c>
      <c r="BU457" s="7"/>
      <c r="BV457" s="9" t="s">
        <v>1827</v>
      </c>
      <c r="BW457" s="9"/>
    </row>
    <row r="458" spans="1:75" ht="14.25" customHeight="1" x14ac:dyDescent="0.25">
      <c r="A458" s="1">
        <v>983</v>
      </c>
      <c r="B458" s="1" t="s">
        <v>2233</v>
      </c>
      <c r="C458" s="1" t="s">
        <v>2234</v>
      </c>
      <c r="D458" s="1" t="s">
        <v>77</v>
      </c>
      <c r="E458" s="1" t="s">
        <v>2089</v>
      </c>
      <c r="F458" s="1" t="s">
        <v>2148</v>
      </c>
      <c r="G458" s="1" t="s">
        <v>2216</v>
      </c>
      <c r="H458" s="2">
        <v>1</v>
      </c>
      <c r="I458" s="2">
        <v>1</v>
      </c>
      <c r="J458" s="2">
        <v>0</v>
      </c>
      <c r="K458" s="2">
        <v>0</v>
      </c>
      <c r="L458" s="3" t="s">
        <v>80</v>
      </c>
      <c r="O458" s="4">
        <v>4</v>
      </c>
      <c r="P458" s="4" t="s">
        <v>425</v>
      </c>
      <c r="Q458" s="4"/>
      <c r="R458" s="16">
        <v>240000</v>
      </c>
      <c r="S458" s="6">
        <v>240000</v>
      </c>
      <c r="T458" s="16">
        <v>240000</v>
      </c>
      <c r="U458" s="6">
        <v>240000</v>
      </c>
      <c r="V458" s="4">
        <v>2010.5</v>
      </c>
      <c r="W458" s="4" t="s">
        <v>425</v>
      </c>
      <c r="X458" s="4"/>
      <c r="Y458" s="7">
        <v>3</v>
      </c>
      <c r="Z458" s="8">
        <v>498904</v>
      </c>
      <c r="AA458" s="7" t="s">
        <v>92</v>
      </c>
      <c r="AB458" s="7" t="s">
        <v>2235</v>
      </c>
      <c r="AC458" s="9">
        <v>3</v>
      </c>
      <c r="AD458" s="10">
        <v>498904</v>
      </c>
      <c r="AE458" s="9" t="s">
        <v>92</v>
      </c>
      <c r="AF458" s="9" t="s">
        <v>2236</v>
      </c>
      <c r="AG458" s="11">
        <v>4</v>
      </c>
      <c r="AH458" s="11" t="s">
        <v>131</v>
      </c>
      <c r="AI458" s="11" t="s">
        <v>2237</v>
      </c>
      <c r="AJ458" s="11">
        <v>3</v>
      </c>
      <c r="AK458" s="11" t="s">
        <v>143</v>
      </c>
      <c r="AL458" s="12">
        <v>4</v>
      </c>
      <c r="AM458" s="12" t="s">
        <v>131</v>
      </c>
      <c r="AN458" s="12" t="s">
        <v>2238</v>
      </c>
      <c r="AO458" s="12">
        <v>4</v>
      </c>
      <c r="AP458" s="12" t="s">
        <v>143</v>
      </c>
      <c r="AQ458" s="4">
        <v>1</v>
      </c>
      <c r="AR458" s="4" t="s">
        <v>133</v>
      </c>
      <c r="AS458" s="4"/>
      <c r="AT458" s="13">
        <v>58.130680084228501</v>
      </c>
      <c r="AU458" s="13">
        <v>0.90245813131332397</v>
      </c>
      <c r="AV458" s="13">
        <v>0.125</v>
      </c>
      <c r="AW458" s="13">
        <v>1.61590600013733</v>
      </c>
      <c r="AX458" s="4">
        <v>1</v>
      </c>
      <c r="AY458" s="13">
        <v>14.207965850830099</v>
      </c>
      <c r="AZ458" s="13">
        <v>1.33784151077271</v>
      </c>
      <c r="BA458" s="13">
        <v>-0.65499997138977095</v>
      </c>
      <c r="BB458" s="13">
        <v>2.5599999427795401</v>
      </c>
      <c r="BC458" s="4"/>
      <c r="BD458" s="4">
        <v>10</v>
      </c>
      <c r="BE458" s="4" t="s">
        <v>134</v>
      </c>
      <c r="BF458" s="13">
        <v>1.49090600013733</v>
      </c>
      <c r="BG458" s="4">
        <v>120</v>
      </c>
      <c r="BH458" s="13">
        <v>0.32600000500678999</v>
      </c>
      <c r="BI458" s="13">
        <v>39.119998931884801</v>
      </c>
      <c r="BJ458" s="4"/>
      <c r="BK458" s="14">
        <v>12</v>
      </c>
      <c r="BL458" s="14">
        <v>12</v>
      </c>
      <c r="BM458" s="14">
        <v>12</v>
      </c>
      <c r="BP458" s="15"/>
      <c r="BQ458" s="15"/>
      <c r="BR458" s="2" t="s">
        <v>162</v>
      </c>
      <c r="BS458" s="2" t="s">
        <v>162</v>
      </c>
      <c r="BT458" s="7" t="s">
        <v>428</v>
      </c>
      <c r="BU458" s="7"/>
      <c r="BV458" s="9" t="s">
        <v>428</v>
      </c>
      <c r="BW458" s="9"/>
    </row>
    <row r="459" spans="1:75" ht="14.25" customHeight="1" x14ac:dyDescent="0.25">
      <c r="A459" s="1">
        <v>984</v>
      </c>
      <c r="B459" s="1" t="s">
        <v>2239</v>
      </c>
      <c r="C459" s="1" t="s">
        <v>2240</v>
      </c>
      <c r="D459" s="1" t="s">
        <v>77</v>
      </c>
      <c r="E459" s="1" t="s">
        <v>2089</v>
      </c>
      <c r="F459" s="1" t="s">
        <v>2148</v>
      </c>
      <c r="G459" s="1" t="s">
        <v>2216</v>
      </c>
      <c r="H459" s="2">
        <v>0</v>
      </c>
      <c r="I459" s="2">
        <v>0</v>
      </c>
      <c r="J459" s="2">
        <v>1</v>
      </c>
      <c r="K459" s="2">
        <v>1</v>
      </c>
      <c r="L459" s="3" t="s">
        <v>80</v>
      </c>
      <c r="O459" s="4">
        <v>4</v>
      </c>
      <c r="P459" s="4" t="s">
        <v>112</v>
      </c>
      <c r="Q459" s="4"/>
      <c r="R459" s="5"/>
      <c r="S459" s="6"/>
      <c r="T459" s="17"/>
      <c r="U459" s="6"/>
      <c r="V459" s="4"/>
      <c r="W459" s="4"/>
      <c r="X459" s="4"/>
      <c r="Y459" s="7">
        <v>2</v>
      </c>
      <c r="Z459" s="8">
        <v>1111427</v>
      </c>
      <c r="AA459" s="7" t="s">
        <v>92</v>
      </c>
      <c r="AB459" s="7"/>
      <c r="AC459" s="9">
        <v>2</v>
      </c>
      <c r="AD459" s="10">
        <v>1111427</v>
      </c>
      <c r="AE459" s="9" t="s">
        <v>92</v>
      </c>
      <c r="AF459" s="9"/>
      <c r="AG459" s="11">
        <v>3</v>
      </c>
      <c r="AH459" s="11" t="s">
        <v>93</v>
      </c>
      <c r="AI459" s="11"/>
      <c r="AJ459" s="11"/>
      <c r="AK459" s="11"/>
      <c r="AL459" s="12">
        <v>3</v>
      </c>
      <c r="AM459" s="12" t="s">
        <v>93</v>
      </c>
      <c r="AN459" s="12" t="s">
        <v>2178</v>
      </c>
      <c r="AO459" s="12"/>
      <c r="AP459" s="12"/>
      <c r="AQ459" s="4">
        <v>4</v>
      </c>
      <c r="AR459" s="4" t="s">
        <v>83</v>
      </c>
      <c r="AS459" s="4" t="s">
        <v>2241</v>
      </c>
      <c r="AT459" s="13"/>
      <c r="AU459" s="13"/>
      <c r="AV459" s="13"/>
      <c r="AW459" s="13"/>
      <c r="AX459" s="4"/>
      <c r="AY459" s="13"/>
      <c r="AZ459" s="13"/>
      <c r="BA459" s="13"/>
      <c r="BB459" s="13"/>
      <c r="BC459" s="4"/>
      <c r="BD459" s="4"/>
      <c r="BE459" s="4"/>
      <c r="BF459" s="13"/>
      <c r="BG459" s="4"/>
      <c r="BH459" s="13"/>
      <c r="BI459" s="13"/>
      <c r="BJ459" s="4"/>
      <c r="BK459" s="14">
        <v>13</v>
      </c>
      <c r="BL459" s="14">
        <v>13</v>
      </c>
      <c r="BM459" s="14">
        <v>13</v>
      </c>
      <c r="BP459" s="15"/>
      <c r="BQ459" s="15"/>
      <c r="BR459" s="2" t="s">
        <v>87</v>
      </c>
      <c r="BS459" s="2" t="s">
        <v>87</v>
      </c>
      <c r="BT459" s="7" t="s">
        <v>98</v>
      </c>
      <c r="BU459" s="7" t="s">
        <v>88</v>
      </c>
      <c r="BV459" s="9" t="s">
        <v>98</v>
      </c>
      <c r="BW459" s="9" t="s">
        <v>88</v>
      </c>
    </row>
    <row r="460" spans="1:75" ht="14.25" customHeight="1" x14ac:dyDescent="0.25">
      <c r="A460" s="1">
        <v>985</v>
      </c>
      <c r="B460" s="1" t="s">
        <v>2242</v>
      </c>
      <c r="C460" s="1" t="s">
        <v>2243</v>
      </c>
      <c r="D460" s="1" t="s">
        <v>77</v>
      </c>
      <c r="E460" s="1" t="s">
        <v>2089</v>
      </c>
      <c r="F460" s="1" t="s">
        <v>2148</v>
      </c>
      <c r="G460" s="1" t="s">
        <v>2216</v>
      </c>
      <c r="H460" s="2">
        <v>0</v>
      </c>
      <c r="I460" s="2">
        <v>1</v>
      </c>
      <c r="J460" s="2">
        <v>1</v>
      </c>
      <c r="K460" s="2">
        <v>0</v>
      </c>
      <c r="L460" s="3" t="s">
        <v>80</v>
      </c>
      <c r="O460" s="4">
        <v>4</v>
      </c>
      <c r="P460" s="4" t="s">
        <v>706</v>
      </c>
      <c r="Q460" s="4" t="s">
        <v>2244</v>
      </c>
      <c r="R460" s="16">
        <v>200000</v>
      </c>
      <c r="S460" s="6">
        <v>200000</v>
      </c>
      <c r="T460" s="17" t="s">
        <v>2245</v>
      </c>
      <c r="U460" s="6">
        <v>21000</v>
      </c>
      <c r="V460" s="4">
        <v>2010.5</v>
      </c>
      <c r="W460" s="4" t="s">
        <v>425</v>
      </c>
      <c r="X460" s="4"/>
      <c r="Y460" s="7">
        <v>3</v>
      </c>
      <c r="Z460" s="8">
        <v>330770</v>
      </c>
      <c r="AA460" s="7" t="s">
        <v>92</v>
      </c>
      <c r="AB460" s="7"/>
      <c r="AC460" s="9">
        <v>3</v>
      </c>
      <c r="AD460" s="10">
        <v>330770</v>
      </c>
      <c r="AE460" s="9" t="s">
        <v>92</v>
      </c>
      <c r="AF460" s="9"/>
      <c r="AG460" s="11">
        <v>4</v>
      </c>
      <c r="AH460" s="11" t="s">
        <v>131</v>
      </c>
      <c r="AI460" s="11"/>
      <c r="AJ460" s="11">
        <v>4</v>
      </c>
      <c r="AK460" s="11" t="s">
        <v>143</v>
      </c>
      <c r="AL460" s="12">
        <v>4</v>
      </c>
      <c r="AM460" s="12" t="s">
        <v>131</v>
      </c>
      <c r="AN460" s="12" t="s">
        <v>2178</v>
      </c>
      <c r="AO460" s="12">
        <v>4</v>
      </c>
      <c r="AP460" s="12" t="s">
        <v>143</v>
      </c>
      <c r="AQ460" s="4">
        <v>4</v>
      </c>
      <c r="AR460" s="4" t="s">
        <v>673</v>
      </c>
      <c r="AS460" s="4"/>
      <c r="AT460" s="13"/>
      <c r="AU460" s="13"/>
      <c r="AV460" s="13"/>
      <c r="AW460" s="13"/>
      <c r="AX460" s="4"/>
      <c r="AY460" s="13"/>
      <c r="AZ460" s="13"/>
      <c r="BA460" s="13"/>
      <c r="BB460" s="13"/>
      <c r="BC460" s="4"/>
      <c r="BD460" s="4"/>
      <c r="BE460" s="4"/>
      <c r="BF460" s="13"/>
      <c r="BG460" s="4"/>
      <c r="BH460" s="13"/>
      <c r="BI460" s="13"/>
      <c r="BJ460" s="4"/>
      <c r="BK460" s="14">
        <v>15</v>
      </c>
      <c r="BL460" s="14">
        <v>15</v>
      </c>
      <c r="BM460" s="14">
        <v>15</v>
      </c>
      <c r="BN460" s="3" t="s">
        <v>86</v>
      </c>
      <c r="BP460" s="15"/>
      <c r="BQ460" s="15"/>
      <c r="BR460" s="2" t="s">
        <v>409</v>
      </c>
      <c r="BS460" s="2" t="s">
        <v>409</v>
      </c>
      <c r="BT460" s="7" t="s">
        <v>438</v>
      </c>
      <c r="BU460" s="7"/>
      <c r="BV460" s="9" t="s">
        <v>438</v>
      </c>
      <c r="BW460" s="9"/>
    </row>
    <row r="461" spans="1:75" ht="14.25" customHeight="1" x14ac:dyDescent="0.25">
      <c r="A461" s="1">
        <v>1022</v>
      </c>
      <c r="B461" s="1" t="s">
        <v>2246</v>
      </c>
      <c r="C461" s="1" t="s">
        <v>2247</v>
      </c>
      <c r="D461" s="1" t="s">
        <v>77</v>
      </c>
      <c r="E461" s="1" t="s">
        <v>2248</v>
      </c>
      <c r="F461" s="1" t="s">
        <v>2249</v>
      </c>
      <c r="G461" s="1" t="s">
        <v>118</v>
      </c>
      <c r="H461" s="2">
        <v>1</v>
      </c>
      <c r="I461" s="2">
        <v>1</v>
      </c>
      <c r="J461" s="2">
        <v>0</v>
      </c>
      <c r="K461" s="2">
        <v>0</v>
      </c>
      <c r="L461" s="3" t="s">
        <v>127</v>
      </c>
      <c r="O461" s="4">
        <v>4</v>
      </c>
      <c r="P461" s="4" t="s">
        <v>535</v>
      </c>
      <c r="Q461" s="4"/>
      <c r="R461" s="16">
        <v>83000</v>
      </c>
      <c r="S461" s="6">
        <v>83000</v>
      </c>
      <c r="T461" s="16">
        <v>42000</v>
      </c>
      <c r="U461" s="6">
        <v>42000</v>
      </c>
      <c r="V461" s="4">
        <v>2010.5</v>
      </c>
      <c r="W461" s="4" t="s">
        <v>536</v>
      </c>
      <c r="X461" s="4"/>
      <c r="Y461" s="7">
        <v>1</v>
      </c>
      <c r="Z461" s="8">
        <v>7746930</v>
      </c>
      <c r="AA461" s="7" t="s">
        <v>92</v>
      </c>
      <c r="AB461" s="7"/>
      <c r="AC461" s="9">
        <v>1</v>
      </c>
      <c r="AD461" s="10">
        <v>16590378</v>
      </c>
      <c r="AE461" s="9" t="s">
        <v>92</v>
      </c>
      <c r="AF461" s="9"/>
      <c r="AG461" s="11">
        <v>3</v>
      </c>
      <c r="AH461" s="11" t="s">
        <v>131</v>
      </c>
      <c r="AI461" s="11" t="s">
        <v>2250</v>
      </c>
      <c r="AJ461" s="11">
        <v>4</v>
      </c>
      <c r="AK461" s="11" t="s">
        <v>332</v>
      </c>
      <c r="AL461" s="12">
        <v>2</v>
      </c>
      <c r="AM461" s="12" t="s">
        <v>131</v>
      </c>
      <c r="AN461" s="12"/>
      <c r="AO461" s="12">
        <v>2</v>
      </c>
      <c r="AP461" s="12" t="s">
        <v>132</v>
      </c>
      <c r="AQ461" s="4">
        <v>4</v>
      </c>
      <c r="AR461" s="4" t="s">
        <v>222</v>
      </c>
      <c r="AS461" s="4"/>
      <c r="AT461" s="13">
        <v>-32.991054534912102</v>
      </c>
      <c r="AU461" s="13">
        <v>-0.81370007991790805</v>
      </c>
      <c r="AV461" s="13">
        <v>-1.5134584903717001</v>
      </c>
      <c r="AW461" s="13">
        <v>-8.0751359462737995E-2</v>
      </c>
      <c r="AX461" s="4">
        <v>1</v>
      </c>
      <c r="AY461" s="13">
        <v>-16.046483993530298</v>
      </c>
      <c r="AZ461" s="13">
        <v>-0.91633856296539296</v>
      </c>
      <c r="BA461" s="13">
        <v>-2.6551156044006299</v>
      </c>
      <c r="BB461" s="13">
        <v>0.59118294715881303</v>
      </c>
      <c r="BC461" s="4"/>
      <c r="BD461" s="4">
        <v>19</v>
      </c>
      <c r="BE461" s="4"/>
      <c r="BF461" s="13">
        <v>1.43270707130432</v>
      </c>
      <c r="BG461" s="4"/>
      <c r="BH461" s="13"/>
      <c r="BI461" s="13"/>
      <c r="BJ461" s="4"/>
      <c r="BK461" s="14">
        <v>12</v>
      </c>
      <c r="BL461" s="14">
        <v>11</v>
      </c>
      <c r="BM461" s="14">
        <v>12</v>
      </c>
      <c r="BP461" s="15"/>
      <c r="BQ461" s="15"/>
      <c r="BR461" s="2" t="s">
        <v>161</v>
      </c>
      <c r="BS461" s="2" t="s">
        <v>172</v>
      </c>
      <c r="BT461" s="7" t="s">
        <v>174</v>
      </c>
      <c r="BU461" s="7"/>
      <c r="BV461" s="9" t="s">
        <v>458</v>
      </c>
      <c r="BW461" s="9"/>
    </row>
    <row r="462" spans="1:75" ht="14.25" customHeight="1" x14ac:dyDescent="0.25">
      <c r="A462" s="1">
        <v>1023</v>
      </c>
      <c r="B462" s="1" t="s">
        <v>2251</v>
      </c>
      <c r="C462" s="1" t="s">
        <v>2252</v>
      </c>
      <c r="D462" s="1" t="s">
        <v>77</v>
      </c>
      <c r="E462" s="1" t="s">
        <v>2248</v>
      </c>
      <c r="F462" s="1" t="s">
        <v>2249</v>
      </c>
      <c r="G462" s="1"/>
      <c r="H462" s="2">
        <v>1</v>
      </c>
      <c r="I462" s="2">
        <v>1</v>
      </c>
      <c r="J462" s="2">
        <v>1</v>
      </c>
      <c r="K462" s="2">
        <v>1</v>
      </c>
      <c r="L462" s="3" t="s">
        <v>127</v>
      </c>
      <c r="O462" s="4">
        <v>4</v>
      </c>
      <c r="P462" s="4" t="s">
        <v>659</v>
      </c>
      <c r="Q462" s="4"/>
      <c r="R462" s="16">
        <v>340000</v>
      </c>
      <c r="S462" s="6">
        <v>340000</v>
      </c>
      <c r="T462" s="17" t="s">
        <v>2253</v>
      </c>
      <c r="U462" s="6">
        <v>72000</v>
      </c>
      <c r="V462" s="4"/>
      <c r="W462" s="4" t="s">
        <v>2254</v>
      </c>
      <c r="X462" s="4" t="s">
        <v>2255</v>
      </c>
      <c r="Y462" s="7">
        <v>1</v>
      </c>
      <c r="Z462" s="8">
        <v>25941633</v>
      </c>
      <c r="AA462" s="7" t="s">
        <v>92</v>
      </c>
      <c r="AB462" s="7"/>
      <c r="AC462" s="9">
        <v>1</v>
      </c>
      <c r="AD462" s="10">
        <v>75340240</v>
      </c>
      <c r="AE462" s="9" t="s">
        <v>92</v>
      </c>
      <c r="AF462" s="9"/>
      <c r="AG462" s="11">
        <v>3</v>
      </c>
      <c r="AH462" s="11" t="s">
        <v>131</v>
      </c>
      <c r="AI462" s="11" t="s">
        <v>2256</v>
      </c>
      <c r="AJ462" s="11">
        <v>2</v>
      </c>
      <c r="AK462" s="11" t="s">
        <v>132</v>
      </c>
      <c r="AL462" s="12">
        <v>3</v>
      </c>
      <c r="AM462" s="12" t="s">
        <v>131</v>
      </c>
      <c r="AN462" s="12" t="s">
        <v>2257</v>
      </c>
      <c r="AO462" s="12">
        <v>2</v>
      </c>
      <c r="AP462" s="12" t="s">
        <v>132</v>
      </c>
      <c r="AQ462" s="4">
        <v>1</v>
      </c>
      <c r="AR462" s="4" t="s">
        <v>2258</v>
      </c>
      <c r="AS462" s="4" t="s">
        <v>2259</v>
      </c>
      <c r="AT462" s="13"/>
      <c r="AU462" s="13"/>
      <c r="AV462" s="13"/>
      <c r="AW462" s="13"/>
      <c r="AX462" s="4"/>
      <c r="AY462" s="13"/>
      <c r="AZ462" s="13"/>
      <c r="BA462" s="13"/>
      <c r="BB462" s="13"/>
      <c r="BC462" s="4"/>
      <c r="BD462" s="4"/>
      <c r="BE462" s="4"/>
      <c r="BF462" s="13"/>
      <c r="BG462" s="4"/>
      <c r="BH462" s="13"/>
      <c r="BI462" s="13"/>
      <c r="BJ462" s="4"/>
      <c r="BK462" s="14">
        <v>9</v>
      </c>
      <c r="BL462" s="14">
        <v>9</v>
      </c>
      <c r="BM462" s="14">
        <v>9</v>
      </c>
      <c r="BP462" s="15" t="s">
        <v>135</v>
      </c>
      <c r="BQ462" s="15"/>
      <c r="BR462" s="2" t="s">
        <v>247</v>
      </c>
      <c r="BS462" s="2" t="s">
        <v>247</v>
      </c>
      <c r="BT462" s="7" t="s">
        <v>458</v>
      </c>
      <c r="BU462" s="7" t="s">
        <v>603</v>
      </c>
      <c r="BV462" s="9" t="s">
        <v>458</v>
      </c>
      <c r="BW462" s="9"/>
    </row>
    <row r="463" spans="1:75" ht="14.25" customHeight="1" x14ac:dyDescent="0.25">
      <c r="A463" s="1">
        <v>1024</v>
      </c>
      <c r="B463" s="1" t="s">
        <v>2260</v>
      </c>
      <c r="C463" s="1" t="s">
        <v>2261</v>
      </c>
      <c r="D463" s="1" t="s">
        <v>77</v>
      </c>
      <c r="E463" s="1" t="s">
        <v>2248</v>
      </c>
      <c r="F463" s="1" t="s">
        <v>2249</v>
      </c>
      <c r="G463" s="1" t="s">
        <v>118</v>
      </c>
      <c r="H463" s="2">
        <v>1</v>
      </c>
      <c r="I463" s="2">
        <v>1</v>
      </c>
      <c r="J463" s="2">
        <v>1</v>
      </c>
      <c r="K463" s="2">
        <v>0</v>
      </c>
      <c r="L463" s="3" t="s">
        <v>127</v>
      </c>
      <c r="O463" s="4">
        <v>4</v>
      </c>
      <c r="P463" s="4" t="s">
        <v>424</v>
      </c>
      <c r="Q463" s="4"/>
      <c r="R463" s="16">
        <v>110000</v>
      </c>
      <c r="S463" s="6">
        <v>110000</v>
      </c>
      <c r="T463" s="16">
        <v>98000</v>
      </c>
      <c r="U463" s="6">
        <v>98000</v>
      </c>
      <c r="V463" s="4">
        <v>2010.5</v>
      </c>
      <c r="W463" s="4" t="s">
        <v>425</v>
      </c>
      <c r="X463" s="4"/>
      <c r="Y463" s="7">
        <v>2</v>
      </c>
      <c r="Z463" s="8">
        <v>3793485</v>
      </c>
      <c r="AA463" s="7" t="s">
        <v>92</v>
      </c>
      <c r="AB463" s="7"/>
      <c r="AC463" s="9">
        <v>1</v>
      </c>
      <c r="AD463" s="10">
        <v>4400829</v>
      </c>
      <c r="AE463" s="9" t="s">
        <v>92</v>
      </c>
      <c r="AF463" s="9"/>
      <c r="AG463" s="11">
        <v>3</v>
      </c>
      <c r="AH463" s="11" t="s">
        <v>131</v>
      </c>
      <c r="AI463" s="11" t="s">
        <v>2262</v>
      </c>
      <c r="AJ463" s="11">
        <v>2</v>
      </c>
      <c r="AK463" s="11" t="s">
        <v>132</v>
      </c>
      <c r="AL463" s="12">
        <v>3</v>
      </c>
      <c r="AM463" s="12" t="s">
        <v>131</v>
      </c>
      <c r="AN463" s="12"/>
      <c r="AO463" s="12">
        <v>2</v>
      </c>
      <c r="AP463" s="12" t="s">
        <v>143</v>
      </c>
      <c r="AQ463" s="4">
        <v>1</v>
      </c>
      <c r="AR463" s="4" t="s">
        <v>133</v>
      </c>
      <c r="AS463" s="4"/>
      <c r="AT463" s="13">
        <v>61.4815063476563</v>
      </c>
      <c r="AU463" s="13">
        <v>0.94423896074295</v>
      </c>
      <c r="AV463" s="13">
        <v>0.36599999666214</v>
      </c>
      <c r="AW463" s="13">
        <v>1.3999999761581401</v>
      </c>
      <c r="AX463" s="4">
        <v>1</v>
      </c>
      <c r="AY463" s="13">
        <v>7.9278488159179696</v>
      </c>
      <c r="AZ463" s="13">
        <v>0.50991940498352095</v>
      </c>
      <c r="BA463" s="13">
        <v>-1.1499999761581401</v>
      </c>
      <c r="BB463" s="13">
        <v>1.5095950365066499</v>
      </c>
      <c r="BC463" s="4"/>
      <c r="BD463" s="4">
        <v>15</v>
      </c>
      <c r="BE463" s="4" t="s">
        <v>134</v>
      </c>
      <c r="BF463" s="13">
        <v>1.0340000391006501</v>
      </c>
      <c r="BG463" s="4">
        <v>630</v>
      </c>
      <c r="BH463" s="13">
        <v>7.6250001788139302E-2</v>
      </c>
      <c r="BI463" s="13">
        <v>48.043750762939503</v>
      </c>
      <c r="BJ463" s="4"/>
      <c r="BK463" s="14">
        <v>10</v>
      </c>
      <c r="BL463" s="14">
        <v>9</v>
      </c>
      <c r="BM463" s="14">
        <v>10</v>
      </c>
      <c r="BP463" s="15"/>
      <c r="BQ463" s="15" t="s">
        <v>136</v>
      </c>
      <c r="BR463" s="2" t="s">
        <v>256</v>
      </c>
      <c r="BS463" s="2" t="s">
        <v>256</v>
      </c>
      <c r="BT463" s="7" t="s">
        <v>458</v>
      </c>
      <c r="BU463" s="7" t="s">
        <v>475</v>
      </c>
      <c r="BV463" s="9" t="s">
        <v>458</v>
      </c>
      <c r="BW463" s="9" t="s">
        <v>585</v>
      </c>
    </row>
    <row r="464" spans="1:75" ht="14.25" customHeight="1" x14ac:dyDescent="0.25">
      <c r="A464" s="1">
        <v>1025</v>
      </c>
      <c r="B464" s="1" t="s">
        <v>2263</v>
      </c>
      <c r="C464" s="1" t="s">
        <v>2264</v>
      </c>
      <c r="D464" s="1" t="s">
        <v>77</v>
      </c>
      <c r="E464" s="1" t="s">
        <v>2265</v>
      </c>
      <c r="F464" s="1" t="s">
        <v>2266</v>
      </c>
      <c r="G464" s="1"/>
      <c r="H464" s="2">
        <v>0</v>
      </c>
      <c r="I464" s="2">
        <v>0</v>
      </c>
      <c r="J464" s="2">
        <v>0</v>
      </c>
      <c r="K464" s="2">
        <v>1</v>
      </c>
      <c r="L464" s="3" t="s">
        <v>80</v>
      </c>
      <c r="O464" s="4">
        <v>4</v>
      </c>
      <c r="P464" s="4" t="s">
        <v>81</v>
      </c>
      <c r="Q464" s="4"/>
      <c r="R464" s="5"/>
      <c r="S464" s="6"/>
      <c r="T464" s="17"/>
      <c r="U464" s="6"/>
      <c r="V464" s="4"/>
      <c r="W464" s="4"/>
      <c r="X464" s="4"/>
      <c r="Y464" s="7">
        <v>2</v>
      </c>
      <c r="Z464" s="8">
        <v>3987705</v>
      </c>
      <c r="AA464" s="7" t="s">
        <v>82</v>
      </c>
      <c r="AB464" s="7"/>
      <c r="AC464" s="9">
        <v>2</v>
      </c>
      <c r="AD464" s="10">
        <v>3987705</v>
      </c>
      <c r="AE464" s="9" t="s">
        <v>82</v>
      </c>
      <c r="AF464" s="9"/>
      <c r="AG464" s="11">
        <v>5</v>
      </c>
      <c r="AH464" s="11" t="s">
        <v>83</v>
      </c>
      <c r="AI464" s="11"/>
      <c r="AJ464" s="11"/>
      <c r="AK464" s="11"/>
      <c r="AL464" s="12">
        <v>5</v>
      </c>
      <c r="AM464" s="12" t="s">
        <v>83</v>
      </c>
      <c r="AN464" s="12"/>
      <c r="AO464" s="12"/>
      <c r="AP464" s="12"/>
      <c r="AQ464" s="4">
        <v>5</v>
      </c>
      <c r="AR464" s="4" t="s">
        <v>83</v>
      </c>
      <c r="AS464" s="4"/>
      <c r="AT464" s="13"/>
      <c r="AU464" s="13"/>
      <c r="AV464" s="13"/>
      <c r="AW464" s="13"/>
      <c r="AX464" s="4"/>
      <c r="AY464" s="13"/>
      <c r="AZ464" s="13"/>
      <c r="BA464" s="13"/>
      <c r="BB464" s="13"/>
      <c r="BC464" s="4"/>
      <c r="BD464" s="4"/>
      <c r="BE464" s="4"/>
      <c r="BF464" s="13"/>
      <c r="BG464" s="4"/>
      <c r="BH464" s="13"/>
      <c r="BI464" s="13"/>
      <c r="BJ464" s="4"/>
      <c r="BK464" s="14">
        <v>16</v>
      </c>
      <c r="BL464" s="14">
        <v>16</v>
      </c>
      <c r="BM464" s="14">
        <v>16</v>
      </c>
      <c r="BN464" s="3" t="s">
        <v>312</v>
      </c>
      <c r="BP464" s="15"/>
      <c r="BQ464" s="15"/>
      <c r="BR464" s="2" t="s">
        <v>740</v>
      </c>
      <c r="BS464" s="2" t="s">
        <v>740</v>
      </c>
      <c r="BT464" s="7" t="s">
        <v>98</v>
      </c>
      <c r="BU464" s="7"/>
      <c r="BV464" s="9" t="s">
        <v>98</v>
      </c>
      <c r="BW464" s="9"/>
    </row>
    <row r="465" spans="1:75" ht="14.25" customHeight="1" x14ac:dyDescent="0.25">
      <c r="A465" s="1">
        <v>1026</v>
      </c>
      <c r="B465" s="1" t="s">
        <v>2267</v>
      </c>
      <c r="C465" s="1" t="s">
        <v>2268</v>
      </c>
      <c r="D465" s="1" t="s">
        <v>77</v>
      </c>
      <c r="E465" s="1" t="s">
        <v>2265</v>
      </c>
      <c r="F465" s="1" t="s">
        <v>2266</v>
      </c>
      <c r="G465" s="1"/>
      <c r="H465" s="2">
        <v>0</v>
      </c>
      <c r="I465" s="2">
        <v>0</v>
      </c>
      <c r="J465" s="2">
        <v>0</v>
      </c>
      <c r="K465" s="2">
        <v>1</v>
      </c>
      <c r="L465" s="3" t="s">
        <v>80</v>
      </c>
      <c r="O465" s="4">
        <v>5</v>
      </c>
      <c r="P465" s="4" t="s">
        <v>81</v>
      </c>
      <c r="Q465" s="4"/>
      <c r="R465" s="5"/>
      <c r="S465" s="6"/>
      <c r="T465" s="17"/>
      <c r="U465" s="6"/>
      <c r="V465" s="4"/>
      <c r="W465" s="4"/>
      <c r="X465" s="4"/>
      <c r="Y465" s="7">
        <v>5</v>
      </c>
      <c r="Z465" s="8">
        <v>8033</v>
      </c>
      <c r="AA465" s="7" t="s">
        <v>82</v>
      </c>
      <c r="AB465" s="7"/>
      <c r="AC465" s="9">
        <v>5</v>
      </c>
      <c r="AD465" s="10">
        <v>8033</v>
      </c>
      <c r="AE465" s="9" t="s">
        <v>82</v>
      </c>
      <c r="AF465" s="9"/>
      <c r="AG465" s="11">
        <v>2</v>
      </c>
      <c r="AH465" s="11" t="s">
        <v>83</v>
      </c>
      <c r="AI465" s="11"/>
      <c r="AJ465" s="11"/>
      <c r="AK465" s="11"/>
      <c r="AL465" s="12">
        <v>2</v>
      </c>
      <c r="AM465" s="12" t="s">
        <v>83</v>
      </c>
      <c r="AN465" s="12"/>
      <c r="AO465" s="12"/>
      <c r="AP465" s="12"/>
      <c r="AQ465" s="4">
        <v>3</v>
      </c>
      <c r="AR465" s="4" t="s">
        <v>83</v>
      </c>
      <c r="AS465" s="4"/>
      <c r="AT465" s="13"/>
      <c r="AU465" s="13"/>
      <c r="AV465" s="13"/>
      <c r="AW465" s="13"/>
      <c r="AX465" s="4"/>
      <c r="AY465" s="13"/>
      <c r="AZ465" s="13"/>
      <c r="BA465" s="13"/>
      <c r="BB465" s="13"/>
      <c r="BC465" s="4"/>
      <c r="BD465" s="4"/>
      <c r="BE465" s="4"/>
      <c r="BF465" s="13"/>
      <c r="BG465" s="4"/>
      <c r="BH465" s="13"/>
      <c r="BI465" s="13"/>
      <c r="BJ465" s="4"/>
      <c r="BK465" s="14">
        <v>15</v>
      </c>
      <c r="BL465" s="14">
        <v>15</v>
      </c>
      <c r="BM465" s="14">
        <v>15</v>
      </c>
      <c r="BN465" s="3" t="s">
        <v>86</v>
      </c>
      <c r="BP465" s="15"/>
      <c r="BQ465" s="15"/>
      <c r="BR465" s="2" t="s">
        <v>87</v>
      </c>
      <c r="BS465" s="2" t="s">
        <v>87</v>
      </c>
      <c r="BT465" s="7" t="s">
        <v>88</v>
      </c>
      <c r="BU465" s="7"/>
      <c r="BV465" s="9" t="s">
        <v>88</v>
      </c>
      <c r="BW465" s="9"/>
    </row>
    <row r="466" spans="1:75" ht="14.25" customHeight="1" x14ac:dyDescent="0.25">
      <c r="A466" s="1">
        <v>1027</v>
      </c>
      <c r="B466" s="1" t="s">
        <v>2269</v>
      </c>
      <c r="C466" s="1" t="s">
        <v>2270</v>
      </c>
      <c r="D466" s="1" t="s">
        <v>77</v>
      </c>
      <c r="E466" s="1" t="s">
        <v>2265</v>
      </c>
      <c r="F466" s="1" t="s">
        <v>2266</v>
      </c>
      <c r="G466" s="1"/>
      <c r="H466" s="2">
        <v>0</v>
      </c>
      <c r="I466" s="2">
        <v>1</v>
      </c>
      <c r="J466" s="2">
        <v>0</v>
      </c>
      <c r="K466" s="2">
        <v>0</v>
      </c>
      <c r="L466" s="3" t="s">
        <v>80</v>
      </c>
      <c r="M466" s="3">
        <v>1</v>
      </c>
      <c r="O466" s="4">
        <v>2</v>
      </c>
      <c r="P466" s="4" t="s">
        <v>2271</v>
      </c>
      <c r="Q466" s="4" t="s">
        <v>2272</v>
      </c>
      <c r="R466" s="16">
        <v>20000000</v>
      </c>
      <c r="S466" s="6">
        <v>20000000</v>
      </c>
      <c r="T466" s="16">
        <v>59000</v>
      </c>
      <c r="U466" s="6">
        <v>59000</v>
      </c>
      <c r="V466" s="4">
        <v>2010.5</v>
      </c>
      <c r="W466" s="4" t="s">
        <v>425</v>
      </c>
      <c r="X466" s="4"/>
      <c r="Y466" s="7">
        <v>2</v>
      </c>
      <c r="Z466" s="8">
        <v>2913452</v>
      </c>
      <c r="AA466" s="7" t="s">
        <v>92</v>
      </c>
      <c r="AB466" s="7"/>
      <c r="AC466" s="9">
        <v>2</v>
      </c>
      <c r="AD466" s="10">
        <v>2913452</v>
      </c>
      <c r="AE466" s="9" t="s">
        <v>92</v>
      </c>
      <c r="AF466" s="9"/>
      <c r="AG466" s="11">
        <v>2</v>
      </c>
      <c r="AH466" s="11" t="s">
        <v>131</v>
      </c>
      <c r="AI466" s="11"/>
      <c r="AJ466" s="11">
        <v>3</v>
      </c>
      <c r="AK466" s="11" t="s">
        <v>143</v>
      </c>
      <c r="AL466" s="12">
        <v>2</v>
      </c>
      <c r="AM466" s="12" t="s">
        <v>131</v>
      </c>
      <c r="AN466" s="12"/>
      <c r="AO466" s="12">
        <v>3</v>
      </c>
      <c r="AP466" s="12" t="s">
        <v>132</v>
      </c>
      <c r="AQ466" s="4">
        <v>1</v>
      </c>
      <c r="AR466" s="4" t="s">
        <v>1150</v>
      </c>
      <c r="AS466" s="4"/>
      <c r="AT466" s="13">
        <v>219234.640625</v>
      </c>
      <c r="AU466" s="13">
        <v>17</v>
      </c>
      <c r="AV466" s="13">
        <v>14.6000003814697</v>
      </c>
      <c r="AW466" s="13">
        <v>19.399999618530298</v>
      </c>
      <c r="AX466" s="4">
        <v>1</v>
      </c>
      <c r="AY466" s="13">
        <v>231.28004455566401</v>
      </c>
      <c r="AZ466" s="13">
        <v>7.3000001907348597</v>
      </c>
      <c r="BA466" s="13">
        <v>2.2999999523162802</v>
      </c>
      <c r="BB466" s="13">
        <v>12.5</v>
      </c>
      <c r="BC466" s="4">
        <v>1</v>
      </c>
      <c r="BD466" s="4">
        <v>17</v>
      </c>
      <c r="BE466" s="4"/>
      <c r="BF466" s="13">
        <v>4.8000001907348597</v>
      </c>
      <c r="BG466" s="4"/>
      <c r="BH466" s="13"/>
      <c r="BI466" s="13"/>
      <c r="BJ466" s="4"/>
      <c r="BK466" s="14">
        <v>7</v>
      </c>
      <c r="BL466" s="14">
        <v>7</v>
      </c>
      <c r="BM466" s="14">
        <v>7</v>
      </c>
      <c r="BP466" s="15" t="s">
        <v>135</v>
      </c>
      <c r="BQ466" s="15"/>
      <c r="BR466" s="2" t="s">
        <v>12</v>
      </c>
      <c r="BS466" s="2" t="s">
        <v>12</v>
      </c>
      <c r="BT466" s="7" t="s">
        <v>603</v>
      </c>
      <c r="BU466" s="7"/>
      <c r="BV466" s="9" t="s">
        <v>603</v>
      </c>
      <c r="BW466" s="9"/>
    </row>
    <row r="467" spans="1:75" ht="14.25" customHeight="1" x14ac:dyDescent="0.25">
      <c r="A467" s="1">
        <v>1029</v>
      </c>
      <c r="B467" s="1" t="s">
        <v>2273</v>
      </c>
      <c r="C467" s="1" t="s">
        <v>2274</v>
      </c>
      <c r="D467" s="1" t="s">
        <v>77</v>
      </c>
      <c r="E467" s="1" t="s">
        <v>2265</v>
      </c>
      <c r="F467" s="1" t="s">
        <v>2266</v>
      </c>
      <c r="G467" s="1"/>
      <c r="H467" s="2">
        <v>0</v>
      </c>
      <c r="I467" s="2">
        <v>0</v>
      </c>
      <c r="J467" s="2">
        <v>1</v>
      </c>
      <c r="K467" s="2">
        <v>1</v>
      </c>
      <c r="L467" s="3" t="s">
        <v>80</v>
      </c>
      <c r="O467" s="4">
        <v>3</v>
      </c>
      <c r="P467" s="4" t="s">
        <v>112</v>
      </c>
      <c r="Q467" s="4"/>
      <c r="R467" s="5"/>
      <c r="S467" s="6"/>
      <c r="T467" s="17"/>
      <c r="U467" s="6"/>
      <c r="V467" s="4"/>
      <c r="W467" s="4"/>
      <c r="X467" s="4"/>
      <c r="Y467" s="7">
        <v>3</v>
      </c>
      <c r="Z467" s="8">
        <v>540825</v>
      </c>
      <c r="AA467" s="7" t="s">
        <v>92</v>
      </c>
      <c r="AB467" s="7"/>
      <c r="AC467" s="9">
        <v>3</v>
      </c>
      <c r="AD467" s="10">
        <v>540825</v>
      </c>
      <c r="AE467" s="9" t="s">
        <v>92</v>
      </c>
      <c r="AF467" s="9"/>
      <c r="AG467" s="11">
        <v>3</v>
      </c>
      <c r="AH467" s="11" t="s">
        <v>271</v>
      </c>
      <c r="AI467" s="11"/>
      <c r="AJ467" s="11"/>
      <c r="AK467" s="11"/>
      <c r="AL467" s="12">
        <v>3</v>
      </c>
      <c r="AM467" s="12" t="s">
        <v>537</v>
      </c>
      <c r="AN467" s="12" t="s">
        <v>2275</v>
      </c>
      <c r="AO467" s="12"/>
      <c r="AP467" s="12"/>
      <c r="AQ467" s="4">
        <v>3</v>
      </c>
      <c r="AR467" s="4" t="s">
        <v>83</v>
      </c>
      <c r="AS467" s="4"/>
      <c r="AT467" s="13"/>
      <c r="AU467" s="13"/>
      <c r="AV467" s="13"/>
      <c r="AW467" s="13"/>
      <c r="AX467" s="4"/>
      <c r="AY467" s="13"/>
      <c r="AZ467" s="13"/>
      <c r="BA467" s="13"/>
      <c r="BB467" s="13"/>
      <c r="BC467" s="4"/>
      <c r="BD467" s="4"/>
      <c r="BE467" s="4"/>
      <c r="BF467" s="13"/>
      <c r="BG467" s="4"/>
      <c r="BH467" s="13"/>
      <c r="BI467" s="13"/>
      <c r="BJ467" s="4"/>
      <c r="BK467" s="14">
        <v>12</v>
      </c>
      <c r="BL467" s="14">
        <v>12</v>
      </c>
      <c r="BM467" s="14">
        <v>12</v>
      </c>
      <c r="BP467" s="15"/>
      <c r="BQ467" s="15"/>
      <c r="BR467" s="2" t="s">
        <v>115</v>
      </c>
      <c r="BS467" s="2" t="s">
        <v>115</v>
      </c>
      <c r="BT467" s="7" t="s">
        <v>98</v>
      </c>
      <c r="BU467" s="7"/>
      <c r="BV467" s="9" t="s">
        <v>98</v>
      </c>
      <c r="BW467" s="9"/>
    </row>
    <row r="468" spans="1:75" ht="14.25" customHeight="1" x14ac:dyDescent="0.25">
      <c r="A468" s="1">
        <v>1030</v>
      </c>
      <c r="B468" s="1" t="s">
        <v>2276</v>
      </c>
      <c r="C468" s="1" t="s">
        <v>2277</v>
      </c>
      <c r="D468" s="1" t="s">
        <v>77</v>
      </c>
      <c r="E468" s="1" t="s">
        <v>2265</v>
      </c>
      <c r="F468" s="1" t="s">
        <v>2266</v>
      </c>
      <c r="G468" s="1"/>
      <c r="H468" s="2">
        <v>0</v>
      </c>
      <c r="I468" s="2">
        <v>0</v>
      </c>
      <c r="J468" s="2">
        <v>1</v>
      </c>
      <c r="K468" s="2">
        <v>1</v>
      </c>
      <c r="L468" s="3" t="s">
        <v>80</v>
      </c>
      <c r="O468" s="4">
        <v>3</v>
      </c>
      <c r="P468" s="4" t="s">
        <v>112</v>
      </c>
      <c r="Q468" s="4"/>
      <c r="R468" s="5"/>
      <c r="S468" s="6"/>
      <c r="T468" s="17"/>
      <c r="U468" s="6"/>
      <c r="V468" s="4"/>
      <c r="W468" s="4"/>
      <c r="X468" s="4"/>
      <c r="Y468" s="7">
        <v>4</v>
      </c>
      <c r="Z468" s="8">
        <v>269782</v>
      </c>
      <c r="AA468" s="7" t="s">
        <v>92</v>
      </c>
      <c r="AB468" s="7"/>
      <c r="AC468" s="9">
        <v>4</v>
      </c>
      <c r="AD468" s="10">
        <v>269782</v>
      </c>
      <c r="AE468" s="9" t="s">
        <v>92</v>
      </c>
      <c r="AF468" s="9"/>
      <c r="AG468" s="11">
        <v>3</v>
      </c>
      <c r="AH468" s="11" t="s">
        <v>93</v>
      </c>
      <c r="AI468" s="11"/>
      <c r="AJ468" s="11"/>
      <c r="AK468" s="11"/>
      <c r="AL468" s="12">
        <v>3</v>
      </c>
      <c r="AM468" s="12" t="s">
        <v>93</v>
      </c>
      <c r="AN468" s="12" t="s">
        <v>2275</v>
      </c>
      <c r="AO468" s="12"/>
      <c r="AP468" s="12"/>
      <c r="AQ468" s="4">
        <v>4</v>
      </c>
      <c r="AR468" s="4" t="s">
        <v>83</v>
      </c>
      <c r="AS468" s="4"/>
      <c r="AT468" s="13"/>
      <c r="AU468" s="13"/>
      <c r="AV468" s="13"/>
      <c r="AW468" s="13"/>
      <c r="AX468" s="4"/>
      <c r="AY468" s="13"/>
      <c r="AZ468" s="13"/>
      <c r="BA468" s="13"/>
      <c r="BB468" s="13"/>
      <c r="BC468" s="4"/>
      <c r="BD468" s="4"/>
      <c r="BE468" s="4"/>
      <c r="BF468" s="13"/>
      <c r="BG468" s="4"/>
      <c r="BH468" s="13"/>
      <c r="BI468" s="13"/>
      <c r="BJ468" s="4"/>
      <c r="BK468" s="14">
        <v>14</v>
      </c>
      <c r="BL468" s="14">
        <v>14</v>
      </c>
      <c r="BM468" s="14">
        <v>14</v>
      </c>
      <c r="BN468" s="3" t="s">
        <v>86</v>
      </c>
      <c r="BO468" s="3" t="s">
        <v>114</v>
      </c>
      <c r="BP468" s="15"/>
      <c r="BQ468" s="15"/>
      <c r="BR468" s="2" t="s">
        <v>108</v>
      </c>
      <c r="BS468" s="2" t="s">
        <v>108</v>
      </c>
      <c r="BT468" s="7" t="s">
        <v>109</v>
      </c>
      <c r="BU468" s="7"/>
      <c r="BV468" s="9" t="s">
        <v>109</v>
      </c>
      <c r="BW468" s="9"/>
    </row>
    <row r="469" spans="1:75" ht="14.25" customHeight="1" x14ac:dyDescent="0.25">
      <c r="A469" s="1">
        <v>1031</v>
      </c>
      <c r="B469" s="1" t="s">
        <v>2278</v>
      </c>
      <c r="C469" s="1" t="s">
        <v>2279</v>
      </c>
      <c r="D469" s="1" t="s">
        <v>77</v>
      </c>
      <c r="E469" s="1" t="s">
        <v>2265</v>
      </c>
      <c r="F469" s="1" t="s">
        <v>2266</v>
      </c>
      <c r="G469" s="1"/>
      <c r="H469" s="2">
        <v>0</v>
      </c>
      <c r="I469" s="2">
        <v>0</v>
      </c>
      <c r="J469" s="2">
        <v>0</v>
      </c>
      <c r="K469" s="2">
        <v>1</v>
      </c>
      <c r="L469" s="3" t="s">
        <v>80</v>
      </c>
      <c r="O469" s="4">
        <v>2</v>
      </c>
      <c r="P469" s="4" t="s">
        <v>81</v>
      </c>
      <c r="Q469" s="4" t="s">
        <v>2280</v>
      </c>
      <c r="R469" s="5"/>
      <c r="S469" s="6"/>
      <c r="T469" s="17"/>
      <c r="U469" s="6"/>
      <c r="V469" s="4"/>
      <c r="W469" s="4"/>
      <c r="X469" s="4"/>
      <c r="Y469" s="7">
        <v>2</v>
      </c>
      <c r="Z469" s="8">
        <v>1661815</v>
      </c>
      <c r="AA469" s="7" t="s">
        <v>82</v>
      </c>
      <c r="AB469" s="7"/>
      <c r="AC469" s="9">
        <v>2</v>
      </c>
      <c r="AD469" s="10">
        <v>1661815</v>
      </c>
      <c r="AE469" s="9" t="s">
        <v>82</v>
      </c>
      <c r="AF469" s="9"/>
      <c r="AG469" s="11">
        <v>2</v>
      </c>
      <c r="AH469" s="11" t="s">
        <v>83</v>
      </c>
      <c r="AI469" s="11"/>
      <c r="AJ469" s="11"/>
      <c r="AK469" s="11"/>
      <c r="AL469" s="12">
        <v>2</v>
      </c>
      <c r="AM469" s="12" t="s">
        <v>83</v>
      </c>
      <c r="AN469" s="12"/>
      <c r="AO469" s="12"/>
      <c r="AP469" s="12"/>
      <c r="AQ469" s="4">
        <v>2</v>
      </c>
      <c r="AR469" s="4" t="s">
        <v>83</v>
      </c>
      <c r="AS469" s="4"/>
      <c r="AT469" s="13"/>
      <c r="AU469" s="13"/>
      <c r="AV469" s="13"/>
      <c r="AW469" s="13"/>
      <c r="AX469" s="4"/>
      <c r="AY469" s="13"/>
      <c r="AZ469" s="13"/>
      <c r="BA469" s="13"/>
      <c r="BB469" s="13"/>
      <c r="BC469" s="4"/>
      <c r="BD469" s="4"/>
      <c r="BE469" s="4"/>
      <c r="BF469" s="13"/>
      <c r="BG469" s="4"/>
      <c r="BH469" s="13"/>
      <c r="BI469" s="13"/>
      <c r="BJ469" s="4"/>
      <c r="BK469" s="14">
        <v>8</v>
      </c>
      <c r="BL469" s="14">
        <v>8</v>
      </c>
      <c r="BM469" s="14">
        <v>8</v>
      </c>
      <c r="BP469" s="15"/>
      <c r="BQ469" s="15"/>
      <c r="BR469" s="2" t="s">
        <v>740</v>
      </c>
      <c r="BS469" s="2" t="s">
        <v>740</v>
      </c>
      <c r="BT469" s="7" t="s">
        <v>109</v>
      </c>
      <c r="BU469" s="7"/>
      <c r="BV469" s="9" t="s">
        <v>109</v>
      </c>
      <c r="BW469" s="9"/>
    </row>
    <row r="470" spans="1:75" ht="14.25" customHeight="1" x14ac:dyDescent="0.25">
      <c r="A470" s="1">
        <v>1033</v>
      </c>
      <c r="B470" s="1" t="s">
        <v>2281</v>
      </c>
      <c r="C470" s="1" t="s">
        <v>2282</v>
      </c>
      <c r="D470" s="1" t="s">
        <v>77</v>
      </c>
      <c r="E470" s="1" t="s">
        <v>2265</v>
      </c>
      <c r="F470" s="1" t="s">
        <v>2266</v>
      </c>
      <c r="G470" s="1" t="s">
        <v>118</v>
      </c>
      <c r="H470" s="2">
        <v>0</v>
      </c>
      <c r="I470" s="2">
        <v>0</v>
      </c>
      <c r="J470" s="2">
        <v>0</v>
      </c>
      <c r="K470" s="2">
        <v>1</v>
      </c>
      <c r="L470" s="3" t="s">
        <v>80</v>
      </c>
      <c r="O470" s="4">
        <v>3</v>
      </c>
      <c r="P470" s="4" t="s">
        <v>81</v>
      </c>
      <c r="Q470" s="4"/>
      <c r="R470" s="5"/>
      <c r="S470" s="6"/>
      <c r="T470" s="17"/>
      <c r="U470" s="6"/>
      <c r="V470" s="4"/>
      <c r="W470" s="4"/>
      <c r="X470" s="4"/>
      <c r="Y470" s="7">
        <v>1</v>
      </c>
      <c r="Z470" s="8">
        <v>7804572</v>
      </c>
      <c r="AA470" s="7" t="s">
        <v>82</v>
      </c>
      <c r="AB470" s="7"/>
      <c r="AC470" s="9">
        <v>1</v>
      </c>
      <c r="AD470" s="10">
        <v>7804572</v>
      </c>
      <c r="AE470" s="9" t="s">
        <v>82</v>
      </c>
      <c r="AF470" s="9"/>
      <c r="AG470" s="11">
        <v>5</v>
      </c>
      <c r="AH470" s="11" t="s">
        <v>83</v>
      </c>
      <c r="AI470" s="11" t="s">
        <v>2283</v>
      </c>
      <c r="AJ470" s="11"/>
      <c r="AK470" s="11"/>
      <c r="AL470" s="12">
        <v>4</v>
      </c>
      <c r="AM470" s="12" t="s">
        <v>83</v>
      </c>
      <c r="AN470" s="12" t="s">
        <v>2284</v>
      </c>
      <c r="AO470" s="12"/>
      <c r="AP470" s="12"/>
      <c r="AQ470" s="4">
        <v>5</v>
      </c>
      <c r="AR470" s="4" t="s">
        <v>83</v>
      </c>
      <c r="AS470" s="4"/>
      <c r="AT470" s="13"/>
      <c r="AU470" s="13"/>
      <c r="AV470" s="13"/>
      <c r="AW470" s="13"/>
      <c r="AX470" s="4"/>
      <c r="AY470" s="13"/>
      <c r="AZ470" s="13"/>
      <c r="BA470" s="13"/>
      <c r="BB470" s="13"/>
      <c r="BC470" s="4"/>
      <c r="BD470" s="4"/>
      <c r="BE470" s="4"/>
      <c r="BF470" s="13"/>
      <c r="BG470" s="4"/>
      <c r="BH470" s="13"/>
      <c r="BI470" s="13"/>
      <c r="BJ470" s="4"/>
      <c r="BK470" s="14">
        <v>14</v>
      </c>
      <c r="BL470" s="14">
        <v>13</v>
      </c>
      <c r="BM470" s="14">
        <v>14</v>
      </c>
      <c r="BN470" s="3" t="s">
        <v>375</v>
      </c>
      <c r="BP470" s="15"/>
      <c r="BQ470" s="15"/>
      <c r="BR470" s="2" t="s">
        <v>740</v>
      </c>
      <c r="BS470" s="2" t="s">
        <v>740</v>
      </c>
      <c r="BT470" s="7" t="s">
        <v>98</v>
      </c>
      <c r="BU470" s="7"/>
      <c r="BV470" s="9" t="s">
        <v>98</v>
      </c>
      <c r="BW470" s="9"/>
    </row>
    <row r="471" spans="1:75" ht="14.25" customHeight="1" x14ac:dyDescent="0.25">
      <c r="A471" s="1">
        <v>1034</v>
      </c>
      <c r="B471" s="1" t="s">
        <v>2285</v>
      </c>
      <c r="C471" s="1" t="s">
        <v>2286</v>
      </c>
      <c r="D471" s="1" t="s">
        <v>77</v>
      </c>
      <c r="E471" s="1" t="s">
        <v>2265</v>
      </c>
      <c r="F471" s="1" t="s">
        <v>2266</v>
      </c>
      <c r="G471" s="1"/>
      <c r="H471" s="2">
        <v>0</v>
      </c>
      <c r="I471" s="2">
        <v>0</v>
      </c>
      <c r="J471" s="2">
        <v>0</v>
      </c>
      <c r="K471" s="2">
        <v>1</v>
      </c>
      <c r="L471" s="3" t="s">
        <v>80</v>
      </c>
      <c r="O471" s="4">
        <v>2</v>
      </c>
      <c r="P471" s="4" t="s">
        <v>81</v>
      </c>
      <c r="Q471" s="4"/>
      <c r="R471" s="5"/>
      <c r="S471" s="6"/>
      <c r="T471" s="17"/>
      <c r="U471" s="6"/>
      <c r="V471" s="4"/>
      <c r="W471" s="4"/>
      <c r="X471" s="4"/>
      <c r="Y471" s="7">
        <v>1</v>
      </c>
      <c r="Z471" s="8">
        <v>5787520</v>
      </c>
      <c r="AA471" s="7" t="s">
        <v>82</v>
      </c>
      <c r="AB471" s="7"/>
      <c r="AC471" s="9">
        <v>1</v>
      </c>
      <c r="AD471" s="10">
        <v>5787520</v>
      </c>
      <c r="AE471" s="9" t="s">
        <v>82</v>
      </c>
      <c r="AF471" s="9"/>
      <c r="AG471" s="11">
        <v>5</v>
      </c>
      <c r="AH471" s="11" t="s">
        <v>83</v>
      </c>
      <c r="AI471" s="11" t="s">
        <v>2283</v>
      </c>
      <c r="AJ471" s="11"/>
      <c r="AK471" s="11"/>
      <c r="AL471" s="12">
        <v>4</v>
      </c>
      <c r="AM471" s="12" t="s">
        <v>83</v>
      </c>
      <c r="AN471" s="12"/>
      <c r="AO471" s="12"/>
      <c r="AP471" s="12"/>
      <c r="AQ471" s="4">
        <v>4</v>
      </c>
      <c r="AR471" s="4" t="s">
        <v>83</v>
      </c>
      <c r="AS471" s="4"/>
      <c r="AT471" s="13"/>
      <c r="AU471" s="13"/>
      <c r="AV471" s="13"/>
      <c r="AW471" s="13"/>
      <c r="AX471" s="4"/>
      <c r="AY471" s="13"/>
      <c r="AZ471" s="13"/>
      <c r="BA471" s="13"/>
      <c r="BB471" s="13"/>
      <c r="BC471" s="4"/>
      <c r="BD471" s="4"/>
      <c r="BE471" s="4"/>
      <c r="BF471" s="13"/>
      <c r="BG471" s="4"/>
      <c r="BH471" s="13"/>
      <c r="BI471" s="13"/>
      <c r="BJ471" s="4"/>
      <c r="BK471" s="14">
        <v>12</v>
      </c>
      <c r="BL471" s="14">
        <v>11</v>
      </c>
      <c r="BM471" s="14">
        <v>12</v>
      </c>
      <c r="BP471" s="15"/>
      <c r="BQ471" s="15"/>
      <c r="BR471" s="2" t="s">
        <v>740</v>
      </c>
      <c r="BS471" s="2" t="s">
        <v>740</v>
      </c>
      <c r="BT471" s="7" t="s">
        <v>98</v>
      </c>
      <c r="BU471" s="7"/>
      <c r="BV471" s="9" t="s">
        <v>98</v>
      </c>
      <c r="BW471" s="9"/>
    </row>
    <row r="472" spans="1:75" ht="14.25" customHeight="1" x14ac:dyDescent="0.25">
      <c r="A472" s="1">
        <v>1036</v>
      </c>
      <c r="B472" s="1" t="s">
        <v>2287</v>
      </c>
      <c r="C472" s="1" t="s">
        <v>2288</v>
      </c>
      <c r="D472" s="1" t="s">
        <v>77</v>
      </c>
      <c r="E472" s="1" t="s">
        <v>2265</v>
      </c>
      <c r="F472" s="1" t="s">
        <v>2266</v>
      </c>
      <c r="G472" s="1"/>
      <c r="H472" s="2">
        <v>0</v>
      </c>
      <c r="I472" s="2">
        <v>0</v>
      </c>
      <c r="J472" s="2">
        <v>1</v>
      </c>
      <c r="K472" s="2">
        <v>1</v>
      </c>
      <c r="L472" s="3" t="s">
        <v>80</v>
      </c>
      <c r="O472" s="4">
        <v>4</v>
      </c>
      <c r="P472" s="4" t="s">
        <v>81</v>
      </c>
      <c r="Q472" s="4" t="s">
        <v>1012</v>
      </c>
      <c r="R472" s="5"/>
      <c r="S472" s="6"/>
      <c r="T472" s="17"/>
      <c r="U472" s="6"/>
      <c r="V472" s="4"/>
      <c r="W472" s="4"/>
      <c r="X472" s="4"/>
      <c r="Y472" s="7">
        <v>1</v>
      </c>
      <c r="Z472" s="8">
        <v>6738139</v>
      </c>
      <c r="AA472" s="7" t="s">
        <v>92</v>
      </c>
      <c r="AB472" s="7"/>
      <c r="AC472" s="9">
        <v>1</v>
      </c>
      <c r="AD472" s="10">
        <v>6738139</v>
      </c>
      <c r="AE472" s="9" t="s">
        <v>92</v>
      </c>
      <c r="AF472" s="9" t="s">
        <v>2289</v>
      </c>
      <c r="AG472" s="11">
        <v>5</v>
      </c>
      <c r="AH472" s="11" t="s">
        <v>93</v>
      </c>
      <c r="AI472" s="11"/>
      <c r="AJ472" s="11"/>
      <c r="AK472" s="11"/>
      <c r="AL472" s="12">
        <v>5</v>
      </c>
      <c r="AM472" s="12" t="s">
        <v>93</v>
      </c>
      <c r="AN472" s="12" t="s">
        <v>2290</v>
      </c>
      <c r="AO472" s="12"/>
      <c r="AP472" s="12"/>
      <c r="AQ472" s="4">
        <v>5</v>
      </c>
      <c r="AR472" s="4" t="s">
        <v>83</v>
      </c>
      <c r="AS472" s="4"/>
      <c r="AT472" s="13"/>
      <c r="AU472" s="13"/>
      <c r="AV472" s="13"/>
      <c r="AW472" s="13"/>
      <c r="AX472" s="4"/>
      <c r="AY472" s="13"/>
      <c r="AZ472" s="13"/>
      <c r="BA472" s="13"/>
      <c r="BB472" s="13"/>
      <c r="BC472" s="4"/>
      <c r="BD472" s="4"/>
      <c r="BE472" s="4"/>
      <c r="BF472" s="13"/>
      <c r="BG472" s="4"/>
      <c r="BH472" s="13"/>
      <c r="BI472" s="13"/>
      <c r="BJ472" s="4"/>
      <c r="BK472" s="14">
        <v>15</v>
      </c>
      <c r="BL472" s="14">
        <v>15</v>
      </c>
      <c r="BM472" s="14">
        <v>15</v>
      </c>
      <c r="BN472" s="3" t="s">
        <v>375</v>
      </c>
      <c r="BP472" s="15"/>
      <c r="BQ472" s="15"/>
      <c r="BR472" s="2" t="s">
        <v>97</v>
      </c>
      <c r="BS472" s="2" t="s">
        <v>97</v>
      </c>
      <c r="BT472" s="7" t="s">
        <v>98</v>
      </c>
      <c r="BU472" s="7"/>
      <c r="BV472" s="9" t="s">
        <v>98</v>
      </c>
      <c r="BW472" s="9"/>
    </row>
    <row r="473" spans="1:75" ht="14.25" customHeight="1" x14ac:dyDescent="0.25">
      <c r="A473" s="1">
        <v>1037</v>
      </c>
      <c r="B473" s="1" t="s">
        <v>2291</v>
      </c>
      <c r="C473" s="1" t="s">
        <v>2292</v>
      </c>
      <c r="D473" s="1" t="s">
        <v>77</v>
      </c>
      <c r="E473" s="1" t="s">
        <v>2265</v>
      </c>
      <c r="F473" s="1" t="s">
        <v>2266</v>
      </c>
      <c r="G473" s="1"/>
      <c r="H473" s="2">
        <v>0</v>
      </c>
      <c r="I473" s="2">
        <v>0</v>
      </c>
      <c r="J473" s="2">
        <v>0</v>
      </c>
      <c r="K473" s="2">
        <v>1</v>
      </c>
      <c r="L473" s="3" t="s">
        <v>80</v>
      </c>
      <c r="O473" s="4">
        <v>4</v>
      </c>
      <c r="P473" s="4" t="s">
        <v>81</v>
      </c>
      <c r="Q473" s="4"/>
      <c r="R473" s="5"/>
      <c r="S473" s="6"/>
      <c r="T473" s="17"/>
      <c r="U473" s="6"/>
      <c r="V473" s="4"/>
      <c r="W473" s="4"/>
      <c r="X473" s="4"/>
      <c r="Y473" s="7">
        <v>1</v>
      </c>
      <c r="Z473" s="8">
        <v>8100835</v>
      </c>
      <c r="AA473" s="7" t="s">
        <v>82</v>
      </c>
      <c r="AB473" s="7"/>
      <c r="AC473" s="9">
        <v>1</v>
      </c>
      <c r="AD473" s="10">
        <v>8100835</v>
      </c>
      <c r="AE473" s="9" t="s">
        <v>82</v>
      </c>
      <c r="AF473" s="9"/>
      <c r="AG473" s="11">
        <v>5</v>
      </c>
      <c r="AH473" s="11" t="s">
        <v>83</v>
      </c>
      <c r="AI473" s="11" t="s">
        <v>2283</v>
      </c>
      <c r="AJ473" s="11"/>
      <c r="AK473" s="11"/>
      <c r="AL473" s="12">
        <v>4</v>
      </c>
      <c r="AM473" s="12" t="s">
        <v>83</v>
      </c>
      <c r="AN473" s="12" t="s">
        <v>2284</v>
      </c>
      <c r="AO473" s="12"/>
      <c r="AP473" s="12"/>
      <c r="AQ473" s="4">
        <v>5</v>
      </c>
      <c r="AR473" s="4" t="s">
        <v>83</v>
      </c>
      <c r="AS473" s="4"/>
      <c r="AT473" s="13"/>
      <c r="AU473" s="13"/>
      <c r="AV473" s="13"/>
      <c r="AW473" s="13"/>
      <c r="AX473" s="4"/>
      <c r="AY473" s="13"/>
      <c r="AZ473" s="13"/>
      <c r="BA473" s="13"/>
      <c r="BB473" s="13"/>
      <c r="BC473" s="4"/>
      <c r="BD473" s="4"/>
      <c r="BE473" s="4"/>
      <c r="BF473" s="13"/>
      <c r="BG473" s="4"/>
      <c r="BH473" s="13"/>
      <c r="BI473" s="13"/>
      <c r="BJ473" s="4"/>
      <c r="BK473" s="14">
        <v>15</v>
      </c>
      <c r="BL473" s="14">
        <v>14</v>
      </c>
      <c r="BM473" s="14">
        <v>15</v>
      </c>
      <c r="BN473" s="3" t="s">
        <v>375</v>
      </c>
      <c r="BP473" s="15"/>
      <c r="BQ473" s="15"/>
      <c r="BR473" s="2" t="s">
        <v>740</v>
      </c>
      <c r="BS473" s="2" t="s">
        <v>740</v>
      </c>
      <c r="BT473" s="7" t="s">
        <v>98</v>
      </c>
      <c r="BU473" s="7"/>
      <c r="BV473" s="9" t="s">
        <v>98</v>
      </c>
      <c r="BW473" s="9"/>
    </row>
    <row r="474" spans="1:75" ht="14.25" customHeight="1" x14ac:dyDescent="0.25">
      <c r="A474" s="1">
        <v>1038</v>
      </c>
      <c r="B474" s="1" t="s">
        <v>2293</v>
      </c>
      <c r="C474" s="1" t="s">
        <v>2294</v>
      </c>
      <c r="D474" s="1" t="s">
        <v>77</v>
      </c>
      <c r="E474" s="1" t="s">
        <v>2265</v>
      </c>
      <c r="F474" s="1" t="s">
        <v>2266</v>
      </c>
      <c r="G474" s="1"/>
      <c r="H474" s="2">
        <v>0</v>
      </c>
      <c r="I474" s="2">
        <v>0</v>
      </c>
      <c r="J474" s="2">
        <v>1</v>
      </c>
      <c r="K474" s="2">
        <v>0</v>
      </c>
      <c r="L474" s="3" t="s">
        <v>80</v>
      </c>
      <c r="O474" s="4">
        <v>5</v>
      </c>
      <c r="P474" s="4" t="s">
        <v>112</v>
      </c>
      <c r="Q474" s="4"/>
      <c r="R474" s="5"/>
      <c r="S474" s="6"/>
      <c r="T474" s="17"/>
      <c r="U474" s="6"/>
      <c r="V474" s="4"/>
      <c r="W474" s="4"/>
      <c r="X474" s="4"/>
      <c r="Y474" s="7">
        <v>3</v>
      </c>
      <c r="Z474" s="8">
        <v>668767</v>
      </c>
      <c r="AA474" s="7" t="s">
        <v>92</v>
      </c>
      <c r="AB474" s="7"/>
      <c r="AC474" s="9">
        <v>3</v>
      </c>
      <c r="AD474" s="10">
        <v>668767</v>
      </c>
      <c r="AE474" s="9" t="s">
        <v>92</v>
      </c>
      <c r="AF474" s="9" t="s">
        <v>2295</v>
      </c>
      <c r="AG474" s="11">
        <v>5</v>
      </c>
      <c r="AH474" s="11" t="s">
        <v>93</v>
      </c>
      <c r="AI474" s="11"/>
      <c r="AJ474" s="11"/>
      <c r="AK474" s="11"/>
      <c r="AL474" s="12">
        <v>4</v>
      </c>
      <c r="AM474" s="12" t="s">
        <v>93</v>
      </c>
      <c r="AN474" s="12" t="s">
        <v>2290</v>
      </c>
      <c r="AO474" s="12"/>
      <c r="AP474" s="12"/>
      <c r="AQ474" s="4">
        <v>5</v>
      </c>
      <c r="AR474" s="4" t="s">
        <v>441</v>
      </c>
      <c r="AS474" s="4" t="s">
        <v>2296</v>
      </c>
      <c r="AT474" s="13"/>
      <c r="AU474" s="13"/>
      <c r="AV474" s="13"/>
      <c r="AW474" s="13"/>
      <c r="AX474" s="4"/>
      <c r="AY474" s="13"/>
      <c r="AZ474" s="13"/>
      <c r="BA474" s="13"/>
      <c r="BB474" s="13"/>
      <c r="BC474" s="4"/>
      <c r="BD474" s="4"/>
      <c r="BE474" s="4"/>
      <c r="BF474" s="13"/>
      <c r="BG474" s="4"/>
      <c r="BH474" s="13"/>
      <c r="BI474" s="13"/>
      <c r="BJ474" s="4"/>
      <c r="BK474" s="14">
        <v>18</v>
      </c>
      <c r="BL474" s="14">
        <v>17</v>
      </c>
      <c r="BM474" s="14">
        <v>18</v>
      </c>
      <c r="BN474" s="3" t="s">
        <v>312</v>
      </c>
      <c r="BO474" s="3" t="s">
        <v>114</v>
      </c>
      <c r="BP474" s="15"/>
      <c r="BQ474" s="15"/>
      <c r="BR474" s="2" t="s">
        <v>97</v>
      </c>
      <c r="BS474" s="2" t="s">
        <v>97</v>
      </c>
      <c r="BT474" s="7" t="s">
        <v>109</v>
      </c>
      <c r="BU474" s="7" t="s">
        <v>438</v>
      </c>
      <c r="BV474" s="9" t="s">
        <v>109</v>
      </c>
      <c r="BW474" s="9" t="s">
        <v>438</v>
      </c>
    </row>
    <row r="475" spans="1:75" ht="14.25" customHeight="1" x14ac:dyDescent="0.25">
      <c r="A475" s="1">
        <v>1039</v>
      </c>
      <c r="B475" s="1" t="s">
        <v>2297</v>
      </c>
      <c r="C475" s="1" t="s">
        <v>2298</v>
      </c>
      <c r="D475" s="1" t="s">
        <v>77</v>
      </c>
      <c r="E475" s="1" t="s">
        <v>2265</v>
      </c>
      <c r="F475" s="1" t="s">
        <v>2266</v>
      </c>
      <c r="G475" s="1"/>
      <c r="H475" s="2">
        <v>0</v>
      </c>
      <c r="I475" s="2">
        <v>0</v>
      </c>
      <c r="J475" s="2">
        <v>0</v>
      </c>
      <c r="K475" s="2">
        <v>1</v>
      </c>
      <c r="L475" s="3" t="s">
        <v>80</v>
      </c>
      <c r="O475" s="4">
        <v>5</v>
      </c>
      <c r="P475" s="4" t="s">
        <v>81</v>
      </c>
      <c r="Q475" s="4"/>
      <c r="R475" s="5"/>
      <c r="S475" s="6"/>
      <c r="T475" s="17"/>
      <c r="U475" s="6"/>
      <c r="V475" s="4"/>
      <c r="W475" s="4"/>
      <c r="X475" s="4"/>
      <c r="Y475" s="7">
        <v>4</v>
      </c>
      <c r="Z475" s="8">
        <v>166142</v>
      </c>
      <c r="AA475" s="7" t="s">
        <v>82</v>
      </c>
      <c r="AB475" s="7"/>
      <c r="AC475" s="9">
        <v>4</v>
      </c>
      <c r="AD475" s="10">
        <v>166142</v>
      </c>
      <c r="AE475" s="9" t="s">
        <v>82</v>
      </c>
      <c r="AF475" s="9"/>
      <c r="AG475" s="11">
        <v>5</v>
      </c>
      <c r="AH475" s="11" t="s">
        <v>83</v>
      </c>
      <c r="AI475" s="11" t="s">
        <v>2283</v>
      </c>
      <c r="AJ475" s="11"/>
      <c r="AK475" s="11"/>
      <c r="AL475" s="12">
        <v>4</v>
      </c>
      <c r="AM475" s="12" t="s">
        <v>83</v>
      </c>
      <c r="AN475" s="12" t="s">
        <v>2284</v>
      </c>
      <c r="AO475" s="12"/>
      <c r="AP475" s="12"/>
      <c r="AQ475" s="4">
        <v>5</v>
      </c>
      <c r="AR475" s="4" t="s">
        <v>83</v>
      </c>
      <c r="AS475" s="4"/>
      <c r="AT475" s="13"/>
      <c r="AU475" s="13"/>
      <c r="AV475" s="13"/>
      <c r="AW475" s="13"/>
      <c r="AX475" s="4"/>
      <c r="AY475" s="13"/>
      <c r="AZ475" s="13"/>
      <c r="BA475" s="13"/>
      <c r="BB475" s="13"/>
      <c r="BC475" s="4"/>
      <c r="BD475" s="4"/>
      <c r="BE475" s="4"/>
      <c r="BF475" s="13"/>
      <c r="BG475" s="4"/>
      <c r="BH475" s="13"/>
      <c r="BI475" s="13"/>
      <c r="BJ475" s="4"/>
      <c r="BK475" s="14">
        <v>19</v>
      </c>
      <c r="BL475" s="14">
        <v>18</v>
      </c>
      <c r="BM475" s="14">
        <v>19</v>
      </c>
      <c r="BN475" s="3" t="s">
        <v>312</v>
      </c>
      <c r="BO475" s="3" t="s">
        <v>899</v>
      </c>
      <c r="BP475" s="15"/>
      <c r="BQ475" s="15"/>
      <c r="BR475" s="2" t="s">
        <v>115</v>
      </c>
      <c r="BS475" s="2" t="s">
        <v>115</v>
      </c>
      <c r="BT475" s="7" t="s">
        <v>98</v>
      </c>
      <c r="BU475" s="7"/>
      <c r="BV475" s="9" t="s">
        <v>98</v>
      </c>
      <c r="BW475" s="9"/>
    </row>
    <row r="476" spans="1:75" ht="14.25" customHeight="1" x14ac:dyDescent="0.25">
      <c r="A476" s="1">
        <v>1040</v>
      </c>
      <c r="B476" s="1" t="s">
        <v>2299</v>
      </c>
      <c r="C476" s="1" t="s">
        <v>2300</v>
      </c>
      <c r="D476" s="1" t="s">
        <v>77</v>
      </c>
      <c r="E476" s="1" t="s">
        <v>2265</v>
      </c>
      <c r="F476" s="1" t="s">
        <v>2266</v>
      </c>
      <c r="G476" s="1"/>
      <c r="H476" s="2">
        <v>0</v>
      </c>
      <c r="I476" s="2">
        <v>1</v>
      </c>
      <c r="J476" s="2">
        <v>1</v>
      </c>
      <c r="K476" s="2">
        <v>1</v>
      </c>
      <c r="L476" s="3" t="s">
        <v>80</v>
      </c>
      <c r="O476" s="4">
        <v>4</v>
      </c>
      <c r="P476" s="4" t="s">
        <v>2301</v>
      </c>
      <c r="Q476" s="4"/>
      <c r="R476" s="16">
        <v>200000</v>
      </c>
      <c r="S476" s="6">
        <v>200000</v>
      </c>
      <c r="T476" s="17" t="s">
        <v>2302</v>
      </c>
      <c r="U476" s="6">
        <v>2500</v>
      </c>
      <c r="V476" s="4"/>
      <c r="W476" s="4" t="s">
        <v>543</v>
      </c>
      <c r="X476" s="4"/>
      <c r="Y476" s="7">
        <v>4</v>
      </c>
      <c r="Z476" s="8">
        <v>240229</v>
      </c>
      <c r="AA476" s="7" t="s">
        <v>2303</v>
      </c>
      <c r="AB476" s="7"/>
      <c r="AC476" s="9">
        <v>4</v>
      </c>
      <c r="AD476" s="10">
        <v>240229</v>
      </c>
      <c r="AE476" s="9" t="s">
        <v>2303</v>
      </c>
      <c r="AF476" s="9"/>
      <c r="AG476" s="11">
        <v>4</v>
      </c>
      <c r="AH476" s="11" t="s">
        <v>2304</v>
      </c>
      <c r="AI476" s="11"/>
      <c r="AJ476" s="11"/>
      <c r="AK476" s="11"/>
      <c r="AL476" s="12">
        <v>4</v>
      </c>
      <c r="AM476" s="12" t="s">
        <v>2304</v>
      </c>
      <c r="AN476" s="12" t="s">
        <v>2305</v>
      </c>
      <c r="AO476" s="12"/>
      <c r="AP476" s="12"/>
      <c r="AQ476" s="4">
        <v>4</v>
      </c>
      <c r="AR476" s="4" t="s">
        <v>2304</v>
      </c>
      <c r="AS476" s="4"/>
      <c r="AT476" s="13"/>
      <c r="AU476" s="13"/>
      <c r="AV476" s="13"/>
      <c r="AW476" s="13"/>
      <c r="AX476" s="4"/>
      <c r="AY476" s="13"/>
      <c r="AZ476" s="13"/>
      <c r="BA476" s="13"/>
      <c r="BB476" s="13"/>
      <c r="BC476" s="4"/>
      <c r="BD476" s="4"/>
      <c r="BE476" s="4"/>
      <c r="BF476" s="13"/>
      <c r="BG476" s="4"/>
      <c r="BH476" s="13"/>
      <c r="BI476" s="13"/>
      <c r="BJ476" s="4"/>
      <c r="BK476" s="14">
        <v>16</v>
      </c>
      <c r="BL476" s="14">
        <v>16</v>
      </c>
      <c r="BM476" s="14">
        <v>16</v>
      </c>
      <c r="BN476" s="3" t="s">
        <v>86</v>
      </c>
      <c r="BP476" s="15" t="s">
        <v>135</v>
      </c>
      <c r="BQ476" s="15"/>
      <c r="BR476" s="2" t="s">
        <v>400</v>
      </c>
      <c r="BS476" s="2" t="s">
        <v>400</v>
      </c>
      <c r="BT476" s="7" t="s">
        <v>109</v>
      </c>
      <c r="BU476" s="7"/>
      <c r="BV476" s="9" t="s">
        <v>109</v>
      </c>
      <c r="BW476" s="9"/>
    </row>
    <row r="477" spans="1:75" ht="14.25" customHeight="1" x14ac:dyDescent="0.25">
      <c r="A477" s="1">
        <v>1041</v>
      </c>
      <c r="B477" s="1" t="s">
        <v>2306</v>
      </c>
      <c r="C477" s="1" t="s">
        <v>2307</v>
      </c>
      <c r="D477" s="1" t="s">
        <v>77</v>
      </c>
      <c r="E477" s="1" t="s">
        <v>2265</v>
      </c>
      <c r="F477" s="1" t="s">
        <v>2266</v>
      </c>
      <c r="G477" s="1" t="s">
        <v>2308</v>
      </c>
      <c r="H477" s="2">
        <v>0</v>
      </c>
      <c r="I477" s="2">
        <v>0</v>
      </c>
      <c r="J477" s="2">
        <v>1</v>
      </c>
      <c r="K477" s="2">
        <v>0</v>
      </c>
      <c r="L477" s="3" t="s">
        <v>80</v>
      </c>
      <c r="O477" s="4">
        <v>5</v>
      </c>
      <c r="P477" s="4" t="s">
        <v>2309</v>
      </c>
      <c r="Q477" s="4" t="s">
        <v>2310</v>
      </c>
      <c r="R477" s="5">
        <v>450</v>
      </c>
      <c r="S477" s="6">
        <v>450</v>
      </c>
      <c r="T477" s="17"/>
      <c r="U477" s="6"/>
      <c r="V477" s="4"/>
      <c r="W477" s="4"/>
      <c r="X477" s="4"/>
      <c r="Y477" s="7">
        <v>5</v>
      </c>
      <c r="Z477" s="8">
        <v>20</v>
      </c>
      <c r="AA477" s="7" t="s">
        <v>2311</v>
      </c>
      <c r="AB477" s="7" t="s">
        <v>2312</v>
      </c>
      <c r="AC477" s="9">
        <v>5</v>
      </c>
      <c r="AD477" s="10">
        <v>20</v>
      </c>
      <c r="AE477" s="9" t="s">
        <v>2311</v>
      </c>
      <c r="AF477" s="9" t="s">
        <v>2312</v>
      </c>
      <c r="AG477" s="11">
        <v>3</v>
      </c>
      <c r="AH477" s="11" t="s">
        <v>2304</v>
      </c>
      <c r="AI477" s="11" t="s">
        <v>2313</v>
      </c>
      <c r="AJ477" s="11"/>
      <c r="AK477" s="11"/>
      <c r="AL477" s="12">
        <v>3</v>
      </c>
      <c r="AM477" s="12" t="s">
        <v>2304</v>
      </c>
      <c r="AN477" s="12" t="s">
        <v>2314</v>
      </c>
      <c r="AO477" s="12"/>
      <c r="AP477" s="12"/>
      <c r="AQ477" s="4">
        <v>2</v>
      </c>
      <c r="AR477" s="4" t="s">
        <v>2304</v>
      </c>
      <c r="AS477" s="4" t="s">
        <v>2315</v>
      </c>
      <c r="AT477" s="13"/>
      <c r="AU477" s="13"/>
      <c r="AV477" s="13"/>
      <c r="AW477" s="13"/>
      <c r="AX477" s="4"/>
      <c r="AY477" s="13"/>
      <c r="AZ477" s="13"/>
      <c r="BA477" s="13"/>
      <c r="BB477" s="13"/>
      <c r="BC477" s="4"/>
      <c r="BD477" s="4"/>
      <c r="BE477" s="4"/>
      <c r="BF477" s="13"/>
      <c r="BG477" s="4"/>
      <c r="BH477" s="13"/>
      <c r="BI477" s="13"/>
      <c r="BJ477" s="4"/>
      <c r="BK477" s="14">
        <v>15</v>
      </c>
      <c r="BL477" s="14">
        <v>15</v>
      </c>
      <c r="BM477" s="14">
        <v>15</v>
      </c>
      <c r="BN477" s="3" t="s">
        <v>86</v>
      </c>
      <c r="BP477" s="15"/>
      <c r="BQ477" s="15"/>
      <c r="BR477" s="2" t="s">
        <v>108</v>
      </c>
      <c r="BS477" s="2" t="s">
        <v>108</v>
      </c>
      <c r="BT477" s="7" t="s">
        <v>760</v>
      </c>
      <c r="BU477" s="7"/>
      <c r="BV477" s="9" t="s">
        <v>760</v>
      </c>
      <c r="BW477" s="9"/>
    </row>
    <row r="478" spans="1:75" ht="14.25" customHeight="1" x14ac:dyDescent="0.25">
      <c r="A478" s="1">
        <v>1042</v>
      </c>
      <c r="B478" s="1" t="s">
        <v>2316</v>
      </c>
      <c r="C478" s="1" t="s">
        <v>2317</v>
      </c>
      <c r="D478" s="1" t="s">
        <v>77</v>
      </c>
      <c r="E478" s="1" t="s">
        <v>2265</v>
      </c>
      <c r="F478" s="1" t="s">
        <v>2266</v>
      </c>
      <c r="G478" s="1"/>
      <c r="H478" s="2">
        <v>0</v>
      </c>
      <c r="I478" s="2">
        <v>0</v>
      </c>
      <c r="J478" s="2">
        <v>1</v>
      </c>
      <c r="K478" s="2">
        <v>1</v>
      </c>
      <c r="L478" s="3" t="s">
        <v>80</v>
      </c>
      <c r="O478" s="4">
        <v>5</v>
      </c>
      <c r="P478" s="4" t="s">
        <v>81</v>
      </c>
      <c r="Q478" s="4" t="s">
        <v>2318</v>
      </c>
      <c r="R478" s="5"/>
      <c r="S478" s="6"/>
      <c r="T478" s="17"/>
      <c r="U478" s="6"/>
      <c r="V478" s="4"/>
      <c r="W478" s="4"/>
      <c r="X478" s="4"/>
      <c r="Y478" s="7">
        <v>4</v>
      </c>
      <c r="Z478" s="8">
        <v>90946</v>
      </c>
      <c r="AA478" s="7" t="s">
        <v>92</v>
      </c>
      <c r="AB478" s="7"/>
      <c r="AC478" s="9">
        <v>4</v>
      </c>
      <c r="AD478" s="10">
        <v>90946</v>
      </c>
      <c r="AE478" s="9" t="s">
        <v>92</v>
      </c>
      <c r="AF478" s="9"/>
      <c r="AG478" s="11">
        <v>4</v>
      </c>
      <c r="AH478" s="11" t="s">
        <v>93</v>
      </c>
      <c r="AI478" s="11"/>
      <c r="AJ478" s="11"/>
      <c r="AK478" s="11"/>
      <c r="AL478" s="12">
        <v>4</v>
      </c>
      <c r="AM478" s="12" t="s">
        <v>93</v>
      </c>
      <c r="AN478" s="12" t="s">
        <v>2319</v>
      </c>
      <c r="AO478" s="12"/>
      <c r="AP478" s="12"/>
      <c r="AQ478" s="4">
        <v>4</v>
      </c>
      <c r="AR478" s="4" t="s">
        <v>83</v>
      </c>
      <c r="AS478" s="4"/>
      <c r="AT478" s="13"/>
      <c r="AU478" s="13"/>
      <c r="AV478" s="13"/>
      <c r="AW478" s="13"/>
      <c r="AX478" s="4"/>
      <c r="AY478" s="13"/>
      <c r="AZ478" s="13"/>
      <c r="BA478" s="13"/>
      <c r="BB478" s="13"/>
      <c r="BC478" s="4"/>
      <c r="BD478" s="4"/>
      <c r="BE478" s="4"/>
      <c r="BF478" s="13"/>
      <c r="BG478" s="4"/>
      <c r="BH478" s="13"/>
      <c r="BI478" s="13"/>
      <c r="BJ478" s="4"/>
      <c r="BK478" s="14">
        <v>17</v>
      </c>
      <c r="BL478" s="14">
        <v>17</v>
      </c>
      <c r="BM478" s="14">
        <v>17</v>
      </c>
      <c r="BN478" s="3" t="s">
        <v>312</v>
      </c>
      <c r="BP478" s="15"/>
      <c r="BQ478" s="15"/>
      <c r="BR478" s="2" t="s">
        <v>108</v>
      </c>
      <c r="BS478" s="2" t="s">
        <v>108</v>
      </c>
      <c r="BT478" s="7" t="s">
        <v>109</v>
      </c>
      <c r="BU478" s="7"/>
      <c r="BV478" s="9" t="s">
        <v>109</v>
      </c>
      <c r="BW478" s="9"/>
    </row>
    <row r="479" spans="1:75" ht="14.25" customHeight="1" x14ac:dyDescent="0.25">
      <c r="A479" s="1">
        <v>1043</v>
      </c>
      <c r="B479" s="1" t="s">
        <v>2320</v>
      </c>
      <c r="C479" s="1" t="s">
        <v>2321</v>
      </c>
      <c r="D479" s="1" t="s">
        <v>77</v>
      </c>
      <c r="E479" s="1" t="s">
        <v>2265</v>
      </c>
      <c r="F479" s="1" t="s">
        <v>2266</v>
      </c>
      <c r="G479" s="1" t="s">
        <v>118</v>
      </c>
      <c r="H479" s="2">
        <v>0</v>
      </c>
      <c r="I479" s="2">
        <v>0</v>
      </c>
      <c r="J479" s="2">
        <v>0</v>
      </c>
      <c r="K479" s="2">
        <v>1</v>
      </c>
      <c r="L479" s="3" t="s">
        <v>80</v>
      </c>
      <c r="O479" s="4">
        <v>3</v>
      </c>
      <c r="P479" s="4" t="s">
        <v>81</v>
      </c>
      <c r="Q479" s="4"/>
      <c r="R479" s="5"/>
      <c r="S479" s="6"/>
      <c r="T479" s="17"/>
      <c r="U479" s="6"/>
      <c r="V479" s="4"/>
      <c r="W479" s="4"/>
      <c r="X479" s="4"/>
      <c r="Y479" s="7">
        <v>4</v>
      </c>
      <c r="Z479" s="8">
        <v>115116</v>
      </c>
      <c r="AA479" s="7" t="s">
        <v>82</v>
      </c>
      <c r="AB479" s="7"/>
      <c r="AC479" s="9">
        <v>4</v>
      </c>
      <c r="AD479" s="10">
        <v>115116</v>
      </c>
      <c r="AE479" s="9" t="s">
        <v>82</v>
      </c>
      <c r="AF479" s="9"/>
      <c r="AG479" s="11">
        <v>1</v>
      </c>
      <c r="AH479" s="11" t="s">
        <v>83</v>
      </c>
      <c r="AI479" s="11"/>
      <c r="AJ479" s="11"/>
      <c r="AK479" s="11"/>
      <c r="AL479" s="12">
        <v>1</v>
      </c>
      <c r="AM479" s="12" t="s">
        <v>83</v>
      </c>
      <c r="AN479" s="12"/>
      <c r="AO479" s="12"/>
      <c r="AP479" s="12"/>
      <c r="AQ479" s="4">
        <v>2</v>
      </c>
      <c r="AR479" s="4" t="s">
        <v>83</v>
      </c>
      <c r="AS479" s="4"/>
      <c r="AT479" s="13"/>
      <c r="AU479" s="13"/>
      <c r="AV479" s="13"/>
      <c r="AW479" s="13"/>
      <c r="AX479" s="4"/>
      <c r="AY479" s="13"/>
      <c r="AZ479" s="13"/>
      <c r="BA479" s="13"/>
      <c r="BB479" s="13"/>
      <c r="BC479" s="4"/>
      <c r="BD479" s="4"/>
      <c r="BE479" s="4"/>
      <c r="BF479" s="13"/>
      <c r="BG479" s="4"/>
      <c r="BH479" s="13"/>
      <c r="BI479" s="13"/>
      <c r="BJ479" s="4"/>
      <c r="BK479" s="14">
        <v>10</v>
      </c>
      <c r="BL479" s="14">
        <v>10</v>
      </c>
      <c r="BM479" s="14">
        <v>10</v>
      </c>
      <c r="BP479" s="15" t="s">
        <v>135</v>
      </c>
      <c r="BQ479" s="15"/>
      <c r="BR479" s="2" t="s">
        <v>400</v>
      </c>
      <c r="BS479" s="2" t="s">
        <v>400</v>
      </c>
      <c r="BT479" s="7" t="s">
        <v>98</v>
      </c>
      <c r="BU479" s="7"/>
      <c r="BV479" s="9" t="s">
        <v>98</v>
      </c>
      <c r="BW479" s="9"/>
    </row>
    <row r="480" spans="1:75" ht="14.25" customHeight="1" x14ac:dyDescent="0.25">
      <c r="A480" s="1">
        <v>1048</v>
      </c>
      <c r="B480" s="1" t="s">
        <v>2322</v>
      </c>
      <c r="C480" s="1" t="s">
        <v>2323</v>
      </c>
      <c r="D480" s="1" t="s">
        <v>77</v>
      </c>
      <c r="E480" s="1" t="s">
        <v>2265</v>
      </c>
      <c r="F480" s="1" t="s">
        <v>2266</v>
      </c>
      <c r="G480" s="1" t="s">
        <v>118</v>
      </c>
      <c r="H480" s="2">
        <v>0</v>
      </c>
      <c r="I480" s="2">
        <v>0</v>
      </c>
      <c r="J480" s="2">
        <v>1</v>
      </c>
      <c r="K480" s="2">
        <v>0</v>
      </c>
      <c r="L480" s="3" t="s">
        <v>127</v>
      </c>
      <c r="O480" s="4">
        <v>5</v>
      </c>
      <c r="P480" s="4" t="s">
        <v>283</v>
      </c>
      <c r="Q480" s="4" t="s">
        <v>2324</v>
      </c>
      <c r="R480" s="16">
        <v>1800</v>
      </c>
      <c r="S480" s="6">
        <v>1800</v>
      </c>
      <c r="T480" s="17"/>
      <c r="U480" s="6"/>
      <c r="V480" s="4"/>
      <c r="W480" s="4"/>
      <c r="X480" s="4"/>
      <c r="Y480" s="7">
        <v>5</v>
      </c>
      <c r="Z480" s="8"/>
      <c r="AA480" s="7" t="s">
        <v>2325</v>
      </c>
      <c r="AB480" s="7" t="s">
        <v>2326</v>
      </c>
      <c r="AC480" s="9">
        <v>4</v>
      </c>
      <c r="AD480" s="10">
        <v>127659</v>
      </c>
      <c r="AE480" s="9" t="s">
        <v>92</v>
      </c>
      <c r="AF480" s="9"/>
      <c r="AG480" s="11">
        <v>5</v>
      </c>
      <c r="AH480" s="11" t="s">
        <v>271</v>
      </c>
      <c r="AI480" s="11" t="s">
        <v>2327</v>
      </c>
      <c r="AJ480" s="11"/>
      <c r="AK480" s="11"/>
      <c r="AL480" s="12">
        <v>4</v>
      </c>
      <c r="AM480" s="12" t="s">
        <v>271</v>
      </c>
      <c r="AN480" s="12" t="s">
        <v>2328</v>
      </c>
      <c r="AO480" s="12"/>
      <c r="AP480" s="12"/>
      <c r="AQ480" s="4">
        <v>5</v>
      </c>
      <c r="AR480" s="4" t="s">
        <v>93</v>
      </c>
      <c r="AS480" s="4"/>
      <c r="AT480" s="13"/>
      <c r="AU480" s="13"/>
      <c r="AV480" s="13"/>
      <c r="AW480" s="13"/>
      <c r="AX480" s="4"/>
      <c r="AY480" s="13"/>
      <c r="AZ480" s="13"/>
      <c r="BA480" s="13"/>
      <c r="BB480" s="13"/>
      <c r="BC480" s="4"/>
      <c r="BD480" s="4"/>
      <c r="BE480" s="4"/>
      <c r="BF480" s="13"/>
      <c r="BG480" s="4"/>
      <c r="BH480" s="13"/>
      <c r="BI480" s="13"/>
      <c r="BJ480" s="4"/>
      <c r="BK480" s="14">
        <v>20</v>
      </c>
      <c r="BL480" s="14">
        <v>18</v>
      </c>
      <c r="BM480" s="14">
        <v>20</v>
      </c>
      <c r="BN480" s="3" t="s">
        <v>312</v>
      </c>
      <c r="BO480" s="3" t="s">
        <v>414</v>
      </c>
      <c r="BP480" s="15"/>
      <c r="BQ480" s="15"/>
      <c r="BR480" s="2" t="s">
        <v>409</v>
      </c>
      <c r="BS480" s="2" t="s">
        <v>409</v>
      </c>
      <c r="BT480" s="7" t="s">
        <v>438</v>
      </c>
      <c r="BU480" s="7" t="s">
        <v>437</v>
      </c>
      <c r="BV480" s="9" t="s">
        <v>438</v>
      </c>
      <c r="BW480" s="9"/>
    </row>
    <row r="481" spans="1:75" ht="14.25" customHeight="1" x14ac:dyDescent="0.25">
      <c r="A481" s="1">
        <v>1049</v>
      </c>
      <c r="B481" s="1" t="s">
        <v>2329</v>
      </c>
      <c r="C481" s="1" t="s">
        <v>2330</v>
      </c>
      <c r="D481" s="1" t="s">
        <v>77</v>
      </c>
      <c r="E481" s="1" t="s">
        <v>2265</v>
      </c>
      <c r="F481" s="1" t="s">
        <v>2266</v>
      </c>
      <c r="G481" s="1" t="s">
        <v>118</v>
      </c>
      <c r="H481" s="2">
        <v>0</v>
      </c>
      <c r="I481" s="2">
        <v>0</v>
      </c>
      <c r="J481" s="2">
        <v>1</v>
      </c>
      <c r="K481" s="2">
        <v>0</v>
      </c>
      <c r="L481" s="3" t="s">
        <v>80</v>
      </c>
      <c r="O481" s="4">
        <v>5</v>
      </c>
      <c r="P481" s="4" t="s">
        <v>112</v>
      </c>
      <c r="Q481" s="4"/>
      <c r="R481" s="5"/>
      <c r="S481" s="6"/>
      <c r="T481" s="17"/>
      <c r="U481" s="6"/>
      <c r="V481" s="4"/>
      <c r="W481" s="4"/>
      <c r="X481" s="4"/>
      <c r="Y481" s="7">
        <v>5</v>
      </c>
      <c r="Z481" s="8">
        <v>35817</v>
      </c>
      <c r="AA481" s="7" t="s">
        <v>92</v>
      </c>
      <c r="AB481" s="7"/>
      <c r="AC481" s="9">
        <v>5</v>
      </c>
      <c r="AD481" s="10">
        <v>35817</v>
      </c>
      <c r="AE481" s="9" t="s">
        <v>92</v>
      </c>
      <c r="AF481" s="9"/>
      <c r="AG481" s="11">
        <v>5</v>
      </c>
      <c r="AH481" s="11" t="s">
        <v>93</v>
      </c>
      <c r="AI481" s="11"/>
      <c r="AJ481" s="11"/>
      <c r="AK481" s="11"/>
      <c r="AL481" s="12">
        <v>5</v>
      </c>
      <c r="AM481" s="12" t="s">
        <v>93</v>
      </c>
      <c r="AN481" s="12" t="s">
        <v>2290</v>
      </c>
      <c r="AO481" s="12"/>
      <c r="AP481" s="12"/>
      <c r="AQ481" s="4">
        <v>4</v>
      </c>
      <c r="AR481" s="4" t="s">
        <v>441</v>
      </c>
      <c r="AS481" s="4" t="s">
        <v>2331</v>
      </c>
      <c r="AT481" s="13"/>
      <c r="AU481" s="13"/>
      <c r="AV481" s="13"/>
      <c r="AW481" s="13"/>
      <c r="AX481" s="4"/>
      <c r="AY481" s="13"/>
      <c r="AZ481" s="13"/>
      <c r="BA481" s="13"/>
      <c r="BB481" s="13"/>
      <c r="BC481" s="4"/>
      <c r="BD481" s="4"/>
      <c r="BE481" s="4"/>
      <c r="BF481" s="13"/>
      <c r="BG481" s="4"/>
      <c r="BH481" s="13"/>
      <c r="BI481" s="13"/>
      <c r="BJ481" s="4"/>
      <c r="BK481" s="14">
        <v>19</v>
      </c>
      <c r="BL481" s="14">
        <v>19</v>
      </c>
      <c r="BM481" s="14">
        <v>19</v>
      </c>
      <c r="BN481" s="3" t="s">
        <v>312</v>
      </c>
      <c r="BO481" s="3" t="s">
        <v>414</v>
      </c>
      <c r="BP481" s="15"/>
      <c r="BQ481" s="15"/>
      <c r="BR481" s="2" t="s">
        <v>409</v>
      </c>
      <c r="BS481" s="2" t="s">
        <v>409</v>
      </c>
      <c r="BT481" s="7" t="s">
        <v>438</v>
      </c>
      <c r="BU481" s="7"/>
      <c r="BV481" s="9" t="s">
        <v>438</v>
      </c>
      <c r="BW481" s="9"/>
    </row>
    <row r="482" spans="1:75" ht="14.25" customHeight="1" x14ac:dyDescent="0.25">
      <c r="A482" s="1">
        <v>1050</v>
      </c>
      <c r="B482" s="1" t="s">
        <v>2332</v>
      </c>
      <c r="C482" s="1" t="s">
        <v>2333</v>
      </c>
      <c r="D482" s="1" t="s">
        <v>77</v>
      </c>
      <c r="E482" s="1" t="s">
        <v>2265</v>
      </c>
      <c r="F482" s="1" t="s">
        <v>2266</v>
      </c>
      <c r="G482" s="1"/>
      <c r="H482" s="2">
        <v>0</v>
      </c>
      <c r="I482" s="2">
        <v>0</v>
      </c>
      <c r="J482" s="2">
        <v>1</v>
      </c>
      <c r="K482" s="2">
        <v>1</v>
      </c>
      <c r="L482" s="3" t="s">
        <v>80</v>
      </c>
      <c r="O482" s="4">
        <v>4</v>
      </c>
      <c r="P482" s="4" t="s">
        <v>112</v>
      </c>
      <c r="Q482" s="4"/>
      <c r="R482" s="5"/>
      <c r="S482" s="6"/>
      <c r="T482" s="17"/>
      <c r="U482" s="6"/>
      <c r="V482" s="4"/>
      <c r="W482" s="4"/>
      <c r="X482" s="4"/>
      <c r="Y482" s="7">
        <v>4</v>
      </c>
      <c r="Z482" s="8">
        <v>250873</v>
      </c>
      <c r="AA482" s="7" t="s">
        <v>92</v>
      </c>
      <c r="AB482" s="7"/>
      <c r="AC482" s="9">
        <v>4</v>
      </c>
      <c r="AD482" s="10">
        <v>250873</v>
      </c>
      <c r="AE482" s="9" t="s">
        <v>92</v>
      </c>
      <c r="AF482" s="9" t="s">
        <v>2295</v>
      </c>
      <c r="AG482" s="11">
        <v>4</v>
      </c>
      <c r="AH482" s="11" t="s">
        <v>93</v>
      </c>
      <c r="AI482" s="11"/>
      <c r="AJ482" s="11"/>
      <c r="AK482" s="11"/>
      <c r="AL482" s="12">
        <v>3</v>
      </c>
      <c r="AM482" s="12" t="s">
        <v>93</v>
      </c>
      <c r="AN482" s="12" t="s">
        <v>2275</v>
      </c>
      <c r="AO482" s="12"/>
      <c r="AP482" s="12"/>
      <c r="AQ482" s="4">
        <v>4</v>
      </c>
      <c r="AR482" s="4" t="s">
        <v>83</v>
      </c>
      <c r="AS482" s="4"/>
      <c r="AT482" s="13"/>
      <c r="AU482" s="13"/>
      <c r="AV482" s="13"/>
      <c r="AW482" s="13"/>
      <c r="AX482" s="4"/>
      <c r="AY482" s="13"/>
      <c r="AZ482" s="13"/>
      <c r="BA482" s="13"/>
      <c r="BB482" s="13"/>
      <c r="BC482" s="4"/>
      <c r="BD482" s="4"/>
      <c r="BE482" s="4"/>
      <c r="BF482" s="13"/>
      <c r="BG482" s="4"/>
      <c r="BH482" s="13"/>
      <c r="BI482" s="13"/>
      <c r="BJ482" s="4"/>
      <c r="BK482" s="14">
        <v>16</v>
      </c>
      <c r="BL482" s="14">
        <v>15</v>
      </c>
      <c r="BM482" s="14">
        <v>16</v>
      </c>
      <c r="BN482" s="3" t="s">
        <v>86</v>
      </c>
      <c r="BP482" s="15"/>
      <c r="BQ482" s="15"/>
      <c r="BR482" s="2" t="s">
        <v>87</v>
      </c>
      <c r="BS482" s="2" t="s">
        <v>87</v>
      </c>
      <c r="BT482" s="7" t="s">
        <v>88</v>
      </c>
      <c r="BU482" s="7"/>
      <c r="BV482" s="9" t="s">
        <v>88</v>
      </c>
      <c r="BW482" s="9"/>
    </row>
    <row r="483" spans="1:75" ht="14.25" customHeight="1" x14ac:dyDescent="0.25">
      <c r="A483" s="1">
        <v>1051</v>
      </c>
      <c r="B483" s="1" t="s">
        <v>2334</v>
      </c>
      <c r="C483" s="1" t="s">
        <v>2335</v>
      </c>
      <c r="D483" s="1" t="s">
        <v>77</v>
      </c>
      <c r="E483" s="1" t="s">
        <v>2265</v>
      </c>
      <c r="F483" s="1" t="s">
        <v>2266</v>
      </c>
      <c r="G483" s="1"/>
      <c r="H483" s="2">
        <v>0</v>
      </c>
      <c r="I483" s="2">
        <v>0</v>
      </c>
      <c r="J483" s="2">
        <v>1</v>
      </c>
      <c r="K483" s="2">
        <v>0</v>
      </c>
      <c r="L483" s="3" t="s">
        <v>80</v>
      </c>
      <c r="O483" s="4">
        <v>5</v>
      </c>
      <c r="P483" s="4" t="s">
        <v>112</v>
      </c>
      <c r="Q483" s="4"/>
      <c r="R483" s="5"/>
      <c r="S483" s="6"/>
      <c r="T483" s="17"/>
      <c r="U483" s="6"/>
      <c r="V483" s="4"/>
      <c r="W483" s="4"/>
      <c r="X483" s="4"/>
      <c r="Y483" s="7">
        <v>4</v>
      </c>
      <c r="Z483" s="8">
        <v>115694</v>
      </c>
      <c r="AA483" s="7" t="s">
        <v>92</v>
      </c>
      <c r="AB483" s="7"/>
      <c r="AC483" s="9">
        <v>4</v>
      </c>
      <c r="AD483" s="10">
        <v>115694</v>
      </c>
      <c r="AE483" s="9" t="s">
        <v>92</v>
      </c>
      <c r="AF483" s="9"/>
      <c r="AG483" s="11">
        <v>4</v>
      </c>
      <c r="AH483" s="11" t="s">
        <v>93</v>
      </c>
      <c r="AI483" s="11"/>
      <c r="AJ483" s="11"/>
      <c r="AK483" s="11"/>
      <c r="AL483" s="12">
        <v>4</v>
      </c>
      <c r="AM483" s="12" t="s">
        <v>93</v>
      </c>
      <c r="AN483" s="12" t="s">
        <v>2275</v>
      </c>
      <c r="AO483" s="12"/>
      <c r="AP483" s="12"/>
      <c r="AQ483" s="4">
        <v>4</v>
      </c>
      <c r="AR483" s="4" t="s">
        <v>93</v>
      </c>
      <c r="AS483" s="4"/>
      <c r="AT483" s="13"/>
      <c r="AU483" s="13"/>
      <c r="AV483" s="13"/>
      <c r="AW483" s="13"/>
      <c r="AX483" s="4"/>
      <c r="AY483" s="13"/>
      <c r="AZ483" s="13"/>
      <c r="BA483" s="13"/>
      <c r="BB483" s="13"/>
      <c r="BC483" s="4"/>
      <c r="BD483" s="4"/>
      <c r="BE483" s="4"/>
      <c r="BF483" s="13"/>
      <c r="BG483" s="4"/>
      <c r="BH483" s="13"/>
      <c r="BI483" s="13"/>
      <c r="BJ483" s="4"/>
      <c r="BK483" s="14">
        <v>17</v>
      </c>
      <c r="BL483" s="14">
        <v>17</v>
      </c>
      <c r="BM483" s="14">
        <v>17</v>
      </c>
      <c r="BN483" s="3" t="s">
        <v>312</v>
      </c>
      <c r="BO483" s="3" t="s">
        <v>120</v>
      </c>
      <c r="BP483" s="15"/>
      <c r="BQ483" s="15"/>
      <c r="BR483" s="2" t="s">
        <v>108</v>
      </c>
      <c r="BS483" s="2" t="s">
        <v>108</v>
      </c>
      <c r="BT483" s="7" t="s">
        <v>109</v>
      </c>
      <c r="BU483" s="7"/>
      <c r="BV483" s="9" t="s">
        <v>109</v>
      </c>
      <c r="BW483" s="9"/>
    </row>
    <row r="484" spans="1:75" ht="14.25" customHeight="1" x14ac:dyDescent="0.25">
      <c r="A484" s="1">
        <v>1053</v>
      </c>
      <c r="B484" s="1" t="s">
        <v>2336</v>
      </c>
      <c r="C484" s="1" t="s">
        <v>2337</v>
      </c>
      <c r="D484" s="1" t="s">
        <v>77</v>
      </c>
      <c r="E484" s="1" t="s">
        <v>2265</v>
      </c>
      <c r="F484" s="1" t="s">
        <v>2266</v>
      </c>
      <c r="G484" s="1"/>
      <c r="H484" s="2">
        <v>0</v>
      </c>
      <c r="I484" s="2">
        <v>0</v>
      </c>
      <c r="J484" s="2">
        <v>0</v>
      </c>
      <c r="K484" s="2">
        <v>1</v>
      </c>
      <c r="L484" s="3" t="s">
        <v>80</v>
      </c>
      <c r="O484" s="4">
        <v>4</v>
      </c>
      <c r="P484" s="4" t="s">
        <v>81</v>
      </c>
      <c r="Q484" s="4"/>
      <c r="R484" s="5"/>
      <c r="S484" s="6"/>
      <c r="T484" s="17"/>
      <c r="U484" s="6"/>
      <c r="V484" s="4"/>
      <c r="W484" s="4"/>
      <c r="X484" s="4"/>
      <c r="Y484" s="7">
        <v>3</v>
      </c>
      <c r="Z484" s="8">
        <v>304179</v>
      </c>
      <c r="AA484" s="7" t="s">
        <v>82</v>
      </c>
      <c r="AB484" s="7"/>
      <c r="AC484" s="9">
        <v>3</v>
      </c>
      <c r="AD484" s="10">
        <v>304179</v>
      </c>
      <c r="AE484" s="9" t="s">
        <v>82</v>
      </c>
      <c r="AF484" s="9"/>
      <c r="AG484" s="11">
        <v>4</v>
      </c>
      <c r="AH484" s="11" t="s">
        <v>83</v>
      </c>
      <c r="AI484" s="11"/>
      <c r="AJ484" s="11"/>
      <c r="AK484" s="11"/>
      <c r="AL484" s="12">
        <v>4</v>
      </c>
      <c r="AM484" s="12" t="s">
        <v>83</v>
      </c>
      <c r="AN484" s="12"/>
      <c r="AO484" s="12"/>
      <c r="AP484" s="12"/>
      <c r="AQ484" s="4">
        <v>4</v>
      </c>
      <c r="AR484" s="4" t="s">
        <v>83</v>
      </c>
      <c r="AS484" s="4"/>
      <c r="AT484" s="13"/>
      <c r="AU484" s="13"/>
      <c r="AV484" s="13"/>
      <c r="AW484" s="13"/>
      <c r="AX484" s="4"/>
      <c r="AY484" s="13"/>
      <c r="AZ484" s="13"/>
      <c r="BA484" s="13"/>
      <c r="BB484" s="13"/>
      <c r="BC484" s="4"/>
      <c r="BD484" s="4"/>
      <c r="BE484" s="4"/>
      <c r="BF484" s="13"/>
      <c r="BG484" s="4"/>
      <c r="BH484" s="13"/>
      <c r="BI484" s="13"/>
      <c r="BJ484" s="4"/>
      <c r="BK484" s="14">
        <v>15</v>
      </c>
      <c r="BL484" s="14">
        <v>15</v>
      </c>
      <c r="BM484" s="14">
        <v>15</v>
      </c>
      <c r="BN484" s="3" t="s">
        <v>86</v>
      </c>
      <c r="BP484" s="15"/>
      <c r="BQ484" s="15"/>
      <c r="BR484" s="2" t="s">
        <v>121</v>
      </c>
      <c r="BS484" s="2" t="s">
        <v>121</v>
      </c>
      <c r="BT484" s="7" t="s">
        <v>109</v>
      </c>
      <c r="BU484" s="7"/>
      <c r="BV484" s="9" t="s">
        <v>109</v>
      </c>
      <c r="BW484" s="9"/>
    </row>
    <row r="485" spans="1:75" ht="14.25" customHeight="1" x14ac:dyDescent="0.25">
      <c r="A485" s="1">
        <v>1054</v>
      </c>
      <c r="B485" s="1" t="s">
        <v>2338</v>
      </c>
      <c r="C485" s="1" t="s">
        <v>2339</v>
      </c>
      <c r="D485" s="1" t="s">
        <v>77</v>
      </c>
      <c r="E485" s="1" t="s">
        <v>2265</v>
      </c>
      <c r="F485" s="1" t="s">
        <v>2266</v>
      </c>
      <c r="G485" s="1"/>
      <c r="H485" s="2">
        <v>0</v>
      </c>
      <c r="I485" s="2">
        <v>0</v>
      </c>
      <c r="J485" s="2">
        <v>1</v>
      </c>
      <c r="K485" s="2">
        <v>1</v>
      </c>
      <c r="L485" s="3" t="s">
        <v>80</v>
      </c>
      <c r="O485" s="4">
        <v>3</v>
      </c>
      <c r="P485" s="4" t="s">
        <v>112</v>
      </c>
      <c r="Q485" s="4"/>
      <c r="R485" s="5"/>
      <c r="S485" s="6"/>
      <c r="T485" s="17"/>
      <c r="U485" s="6"/>
      <c r="V485" s="4"/>
      <c r="W485" s="4"/>
      <c r="X485" s="4"/>
      <c r="Y485" s="7">
        <v>3</v>
      </c>
      <c r="Z485" s="8">
        <v>781335</v>
      </c>
      <c r="AA485" s="7" t="s">
        <v>92</v>
      </c>
      <c r="AB485" s="7"/>
      <c r="AC485" s="9">
        <v>3</v>
      </c>
      <c r="AD485" s="10">
        <v>781335</v>
      </c>
      <c r="AE485" s="9" t="s">
        <v>92</v>
      </c>
      <c r="AF485" s="9" t="s">
        <v>2340</v>
      </c>
      <c r="AG485" s="11">
        <v>3</v>
      </c>
      <c r="AH485" s="11" t="s">
        <v>93</v>
      </c>
      <c r="AI485" s="11"/>
      <c r="AJ485" s="11"/>
      <c r="AK485" s="11"/>
      <c r="AL485" s="12">
        <v>3</v>
      </c>
      <c r="AM485" s="12" t="s">
        <v>93</v>
      </c>
      <c r="AN485" s="12" t="s">
        <v>2341</v>
      </c>
      <c r="AO485" s="12"/>
      <c r="AP485" s="12"/>
      <c r="AQ485" s="4">
        <v>3</v>
      </c>
      <c r="AR485" s="4" t="s">
        <v>83</v>
      </c>
      <c r="AS485" s="4"/>
      <c r="AT485" s="13"/>
      <c r="AU485" s="13"/>
      <c r="AV485" s="13"/>
      <c r="AW485" s="13"/>
      <c r="AX485" s="4"/>
      <c r="AY485" s="13"/>
      <c r="AZ485" s="13"/>
      <c r="BA485" s="13"/>
      <c r="BB485" s="13"/>
      <c r="BC485" s="4"/>
      <c r="BD485" s="4"/>
      <c r="BE485" s="4"/>
      <c r="BF485" s="13"/>
      <c r="BG485" s="4"/>
      <c r="BH485" s="13"/>
      <c r="BI485" s="13"/>
      <c r="BJ485" s="4"/>
      <c r="BK485" s="14">
        <v>12</v>
      </c>
      <c r="BL485" s="14">
        <v>12</v>
      </c>
      <c r="BM485" s="14">
        <v>12</v>
      </c>
      <c r="BP485" s="15"/>
      <c r="BQ485" s="15"/>
      <c r="BR485" s="2" t="s">
        <v>108</v>
      </c>
      <c r="BS485" s="2" t="s">
        <v>108</v>
      </c>
      <c r="BT485" s="7" t="s">
        <v>109</v>
      </c>
      <c r="BU485" s="7"/>
      <c r="BV485" s="9" t="s">
        <v>109</v>
      </c>
      <c r="BW485" s="9"/>
    </row>
    <row r="486" spans="1:75" ht="14.25" customHeight="1" x14ac:dyDescent="0.25">
      <c r="A486" s="1">
        <v>1057</v>
      </c>
      <c r="B486" s="1" t="s">
        <v>2342</v>
      </c>
      <c r="C486" s="1" t="s">
        <v>2343</v>
      </c>
      <c r="D486" s="1" t="s">
        <v>77</v>
      </c>
      <c r="E486" s="1" t="s">
        <v>2265</v>
      </c>
      <c r="F486" s="1" t="s">
        <v>2266</v>
      </c>
      <c r="G486" s="1" t="s">
        <v>118</v>
      </c>
      <c r="H486" s="2">
        <v>0</v>
      </c>
      <c r="I486" s="2">
        <v>0</v>
      </c>
      <c r="J486" s="2">
        <v>0</v>
      </c>
      <c r="K486" s="2">
        <v>1</v>
      </c>
      <c r="L486" s="3" t="s">
        <v>80</v>
      </c>
      <c r="O486" s="4">
        <v>5</v>
      </c>
      <c r="P486" s="4" t="s">
        <v>81</v>
      </c>
      <c r="Q486" s="4"/>
      <c r="R486" s="5"/>
      <c r="S486" s="6"/>
      <c r="T486" s="17"/>
      <c r="U486" s="6"/>
      <c r="V486" s="4"/>
      <c r="W486" s="4"/>
      <c r="X486" s="4"/>
      <c r="Y486" s="7">
        <v>5</v>
      </c>
      <c r="Z486" s="8">
        <v>17259</v>
      </c>
      <c r="AA486" s="7" t="s">
        <v>82</v>
      </c>
      <c r="AB486" s="7"/>
      <c r="AC486" s="9">
        <v>5</v>
      </c>
      <c r="AD486" s="10">
        <v>17259</v>
      </c>
      <c r="AE486" s="9" t="s">
        <v>82</v>
      </c>
      <c r="AF486" s="9"/>
      <c r="AG486" s="11">
        <v>5</v>
      </c>
      <c r="AH486" s="11" t="s">
        <v>83</v>
      </c>
      <c r="AI486" s="11"/>
      <c r="AJ486" s="11"/>
      <c r="AK486" s="11"/>
      <c r="AL486" s="12">
        <v>5</v>
      </c>
      <c r="AM486" s="12" t="s">
        <v>83</v>
      </c>
      <c r="AN486" s="12"/>
      <c r="AO486" s="12"/>
      <c r="AP486" s="12"/>
      <c r="AQ486" s="4">
        <v>5</v>
      </c>
      <c r="AR486" s="4" t="s">
        <v>83</v>
      </c>
      <c r="AS486" s="4"/>
      <c r="AT486" s="13"/>
      <c r="AU486" s="13"/>
      <c r="AV486" s="13"/>
      <c r="AW486" s="13"/>
      <c r="AX486" s="4"/>
      <c r="AY486" s="13"/>
      <c r="AZ486" s="13"/>
      <c r="BA486" s="13"/>
      <c r="BB486" s="13"/>
      <c r="BC486" s="4"/>
      <c r="BD486" s="4"/>
      <c r="BE486" s="4"/>
      <c r="BF486" s="13"/>
      <c r="BG486" s="4"/>
      <c r="BH486" s="13"/>
      <c r="BI486" s="13"/>
      <c r="BJ486" s="4"/>
      <c r="BK486" s="14">
        <v>20</v>
      </c>
      <c r="BL486" s="14">
        <v>20</v>
      </c>
      <c r="BM486" s="14">
        <v>20</v>
      </c>
      <c r="BN486" s="3" t="s">
        <v>312</v>
      </c>
      <c r="BO486" s="3" t="s">
        <v>120</v>
      </c>
      <c r="BP486" s="15"/>
      <c r="BQ486" s="15"/>
      <c r="BR486" s="2" t="s">
        <v>87</v>
      </c>
      <c r="BS486" s="2" t="s">
        <v>87</v>
      </c>
      <c r="BT486" s="7" t="s">
        <v>88</v>
      </c>
      <c r="BU486" s="7"/>
      <c r="BV486" s="9" t="s">
        <v>88</v>
      </c>
      <c r="BW486" s="9"/>
    </row>
    <row r="487" spans="1:75" ht="14.25" customHeight="1" x14ac:dyDescent="0.25">
      <c r="A487" s="1">
        <v>1058</v>
      </c>
      <c r="B487" s="1" t="s">
        <v>2344</v>
      </c>
      <c r="C487" s="1" t="s">
        <v>2345</v>
      </c>
      <c r="D487" s="1" t="s">
        <v>77</v>
      </c>
      <c r="E487" s="1" t="s">
        <v>2265</v>
      </c>
      <c r="F487" s="1" t="s">
        <v>2266</v>
      </c>
      <c r="G487" s="1" t="s">
        <v>118</v>
      </c>
      <c r="H487" s="2">
        <v>0</v>
      </c>
      <c r="I487" s="2">
        <v>0</v>
      </c>
      <c r="J487" s="2">
        <v>0</v>
      </c>
      <c r="K487" s="2">
        <v>1</v>
      </c>
      <c r="L487" s="3" t="s">
        <v>80</v>
      </c>
      <c r="O487" s="4">
        <v>5</v>
      </c>
      <c r="P487" s="4" t="s">
        <v>81</v>
      </c>
      <c r="Q487" s="4" t="s">
        <v>2346</v>
      </c>
      <c r="R487" s="5"/>
      <c r="S487" s="6"/>
      <c r="T487" s="17"/>
      <c r="U487" s="6"/>
      <c r="V487" s="4"/>
      <c r="W487" s="4"/>
      <c r="X487" s="4"/>
      <c r="Y487" s="7">
        <v>4</v>
      </c>
      <c r="Z487" s="8">
        <v>130171</v>
      </c>
      <c r="AA487" s="7" t="s">
        <v>82</v>
      </c>
      <c r="AB487" s="7"/>
      <c r="AC487" s="9">
        <v>4</v>
      </c>
      <c r="AD487" s="10">
        <v>130171</v>
      </c>
      <c r="AE487" s="9" t="s">
        <v>82</v>
      </c>
      <c r="AF487" s="9"/>
      <c r="AG487" s="11">
        <v>4</v>
      </c>
      <c r="AH487" s="11" t="s">
        <v>83</v>
      </c>
      <c r="AI487" s="11"/>
      <c r="AJ487" s="11"/>
      <c r="AK487" s="11"/>
      <c r="AL487" s="12">
        <v>4</v>
      </c>
      <c r="AM487" s="12" t="s">
        <v>83</v>
      </c>
      <c r="AN487" s="12"/>
      <c r="AO487" s="12"/>
      <c r="AP487" s="12"/>
      <c r="AQ487" s="4">
        <v>3</v>
      </c>
      <c r="AR487" s="4" t="s">
        <v>83</v>
      </c>
      <c r="AS487" s="4"/>
      <c r="AT487" s="13"/>
      <c r="AU487" s="13"/>
      <c r="AV487" s="13"/>
      <c r="AW487" s="13"/>
      <c r="AX487" s="4"/>
      <c r="AY487" s="13"/>
      <c r="AZ487" s="13"/>
      <c r="BA487" s="13"/>
      <c r="BB487" s="13"/>
      <c r="BC487" s="4"/>
      <c r="BD487" s="4"/>
      <c r="BE487" s="4"/>
      <c r="BF487" s="13"/>
      <c r="BG487" s="4"/>
      <c r="BH487" s="13"/>
      <c r="BI487" s="13"/>
      <c r="BJ487" s="4"/>
      <c r="BK487" s="14">
        <v>16</v>
      </c>
      <c r="BL487" s="14">
        <v>16</v>
      </c>
      <c r="BM487" s="14">
        <v>16</v>
      </c>
      <c r="BN487" s="3" t="s">
        <v>113</v>
      </c>
      <c r="BP487" s="15"/>
      <c r="BQ487" s="15"/>
      <c r="BR487" s="2" t="s">
        <v>87</v>
      </c>
      <c r="BS487" s="2" t="s">
        <v>87</v>
      </c>
      <c r="BT487" s="7" t="s">
        <v>88</v>
      </c>
      <c r="BU487" s="7"/>
      <c r="BV487" s="9" t="s">
        <v>88</v>
      </c>
      <c r="BW487" s="9"/>
    </row>
    <row r="488" spans="1:75" ht="14.25" customHeight="1" x14ac:dyDescent="0.25">
      <c r="A488" s="1">
        <v>1059</v>
      </c>
      <c r="B488" s="1" t="s">
        <v>2347</v>
      </c>
      <c r="C488" s="1" t="s">
        <v>2348</v>
      </c>
      <c r="D488" s="1" t="s">
        <v>77</v>
      </c>
      <c r="E488" s="1" t="s">
        <v>2265</v>
      </c>
      <c r="F488" s="1" t="s">
        <v>2266</v>
      </c>
      <c r="G488" s="1"/>
      <c r="H488" s="2">
        <v>0</v>
      </c>
      <c r="I488" s="2">
        <v>0</v>
      </c>
      <c r="J488" s="2">
        <v>1</v>
      </c>
      <c r="K488" s="2">
        <v>1</v>
      </c>
      <c r="L488" s="3" t="s">
        <v>80</v>
      </c>
      <c r="O488" s="4">
        <v>4</v>
      </c>
      <c r="P488" s="4" t="s">
        <v>81</v>
      </c>
      <c r="Q488" s="4" t="s">
        <v>1012</v>
      </c>
      <c r="R488" s="5"/>
      <c r="S488" s="6"/>
      <c r="T488" s="17"/>
      <c r="U488" s="6"/>
      <c r="V488" s="4"/>
      <c r="W488" s="4"/>
      <c r="X488" s="4"/>
      <c r="Y488" s="7">
        <v>3</v>
      </c>
      <c r="Z488" s="8">
        <v>429519</v>
      </c>
      <c r="AA488" s="7" t="s">
        <v>92</v>
      </c>
      <c r="AB488" s="7"/>
      <c r="AC488" s="9">
        <v>3</v>
      </c>
      <c r="AD488" s="10">
        <v>429519</v>
      </c>
      <c r="AE488" s="9" t="s">
        <v>92</v>
      </c>
      <c r="AF488" s="9" t="s">
        <v>2349</v>
      </c>
      <c r="AG488" s="11">
        <v>4</v>
      </c>
      <c r="AH488" s="11" t="s">
        <v>93</v>
      </c>
      <c r="AI488" s="11"/>
      <c r="AJ488" s="11"/>
      <c r="AK488" s="11"/>
      <c r="AL488" s="12">
        <v>4</v>
      </c>
      <c r="AM488" s="12" t="s">
        <v>93</v>
      </c>
      <c r="AN488" s="12" t="s">
        <v>2305</v>
      </c>
      <c r="AO488" s="12"/>
      <c r="AP488" s="12"/>
      <c r="AQ488" s="4">
        <v>4</v>
      </c>
      <c r="AR488" s="4" t="s">
        <v>83</v>
      </c>
      <c r="AS488" s="4"/>
      <c r="AT488" s="13"/>
      <c r="AU488" s="13"/>
      <c r="AV488" s="13"/>
      <c r="AW488" s="13"/>
      <c r="AX488" s="4"/>
      <c r="AY488" s="13"/>
      <c r="AZ488" s="13"/>
      <c r="BA488" s="13"/>
      <c r="BB488" s="13"/>
      <c r="BC488" s="4"/>
      <c r="BD488" s="4"/>
      <c r="BE488" s="4"/>
      <c r="BF488" s="13"/>
      <c r="BG488" s="4"/>
      <c r="BH488" s="13"/>
      <c r="BI488" s="13"/>
      <c r="BJ488" s="4"/>
      <c r="BK488" s="14">
        <v>15</v>
      </c>
      <c r="BL488" s="14">
        <v>15</v>
      </c>
      <c r="BM488" s="14">
        <v>15</v>
      </c>
      <c r="BN488" s="3" t="s">
        <v>86</v>
      </c>
      <c r="BP488" s="15"/>
      <c r="BQ488" s="15"/>
      <c r="BR488" s="2" t="s">
        <v>115</v>
      </c>
      <c r="BS488" s="2" t="s">
        <v>115</v>
      </c>
      <c r="BT488" s="7" t="s">
        <v>98</v>
      </c>
      <c r="BU488" s="7"/>
      <c r="BV488" s="9" t="s">
        <v>98</v>
      </c>
      <c r="BW488" s="9"/>
    </row>
    <row r="489" spans="1:75" ht="14.25" customHeight="1" x14ac:dyDescent="0.25">
      <c r="A489" s="1">
        <v>1060</v>
      </c>
      <c r="B489" s="1" t="s">
        <v>2350</v>
      </c>
      <c r="C489" s="1" t="s">
        <v>2351</v>
      </c>
      <c r="D489" s="1" t="s">
        <v>77</v>
      </c>
      <c r="E489" s="1" t="s">
        <v>2265</v>
      </c>
      <c r="F489" s="1" t="s">
        <v>2266</v>
      </c>
      <c r="G489" s="1" t="s">
        <v>118</v>
      </c>
      <c r="H489" s="2">
        <v>0</v>
      </c>
      <c r="I489" s="2">
        <v>0</v>
      </c>
      <c r="J489" s="2">
        <v>0</v>
      </c>
      <c r="K489" s="2">
        <v>1</v>
      </c>
      <c r="L489" s="3" t="s">
        <v>80</v>
      </c>
      <c r="O489" s="4">
        <v>5</v>
      </c>
      <c r="P489" s="4" t="s">
        <v>81</v>
      </c>
      <c r="Q489" s="4"/>
      <c r="R489" s="5"/>
      <c r="S489" s="6"/>
      <c r="T489" s="17"/>
      <c r="U489" s="6"/>
      <c r="V489" s="4"/>
      <c r="W489" s="4"/>
      <c r="X489" s="4"/>
      <c r="Y489" s="7">
        <v>4</v>
      </c>
      <c r="Z489" s="8">
        <v>200410</v>
      </c>
      <c r="AA489" s="7" t="s">
        <v>82</v>
      </c>
      <c r="AB489" s="7"/>
      <c r="AC489" s="9">
        <v>4</v>
      </c>
      <c r="AD489" s="10">
        <v>200410</v>
      </c>
      <c r="AE489" s="9" t="s">
        <v>82</v>
      </c>
      <c r="AF489" s="9"/>
      <c r="AG489" s="11">
        <v>4</v>
      </c>
      <c r="AH489" s="11" t="s">
        <v>83</v>
      </c>
      <c r="AI489" s="11"/>
      <c r="AJ489" s="11"/>
      <c r="AK489" s="11"/>
      <c r="AL489" s="12">
        <v>4</v>
      </c>
      <c r="AM489" s="12" t="s">
        <v>83</v>
      </c>
      <c r="AN489" s="12"/>
      <c r="AO489" s="12"/>
      <c r="AP489" s="12"/>
      <c r="AQ489" s="4">
        <v>3</v>
      </c>
      <c r="AR489" s="4" t="s">
        <v>83</v>
      </c>
      <c r="AS489" s="4"/>
      <c r="AT489" s="13"/>
      <c r="AU489" s="13"/>
      <c r="AV489" s="13"/>
      <c r="AW489" s="13"/>
      <c r="AX489" s="4"/>
      <c r="AY489" s="13"/>
      <c r="AZ489" s="13"/>
      <c r="BA489" s="13"/>
      <c r="BB489" s="13"/>
      <c r="BC489" s="4"/>
      <c r="BD489" s="4"/>
      <c r="BE489" s="4"/>
      <c r="BF489" s="13"/>
      <c r="BG489" s="4"/>
      <c r="BH489" s="13"/>
      <c r="BI489" s="13"/>
      <c r="BJ489" s="4"/>
      <c r="BK489" s="14">
        <v>16</v>
      </c>
      <c r="BL489" s="14">
        <v>16</v>
      </c>
      <c r="BM489" s="14">
        <v>16</v>
      </c>
      <c r="BN489" s="3" t="s">
        <v>113</v>
      </c>
      <c r="BO489" s="3" t="s">
        <v>120</v>
      </c>
      <c r="BP489" s="15"/>
      <c r="BQ489" s="15"/>
      <c r="BR489" s="2" t="s">
        <v>121</v>
      </c>
      <c r="BS489" s="2" t="s">
        <v>121</v>
      </c>
      <c r="BT489" s="7" t="s">
        <v>98</v>
      </c>
      <c r="BU489" s="7"/>
      <c r="BV489" s="9" t="s">
        <v>98</v>
      </c>
      <c r="BW489" s="9"/>
    </row>
    <row r="490" spans="1:75" ht="14.25" customHeight="1" x14ac:dyDescent="0.25">
      <c r="A490" s="1">
        <v>1061</v>
      </c>
      <c r="B490" s="1" t="s">
        <v>2352</v>
      </c>
      <c r="C490" s="1" t="s">
        <v>2353</v>
      </c>
      <c r="D490" s="1" t="s">
        <v>77</v>
      </c>
      <c r="E490" s="1" t="s">
        <v>2265</v>
      </c>
      <c r="F490" s="1" t="s">
        <v>2266</v>
      </c>
      <c r="G490" s="1"/>
      <c r="H490" s="2">
        <v>0</v>
      </c>
      <c r="I490" s="2">
        <v>0</v>
      </c>
      <c r="J490" s="2">
        <v>0</v>
      </c>
      <c r="K490" s="2">
        <v>1</v>
      </c>
      <c r="L490" s="3" t="s">
        <v>80</v>
      </c>
      <c r="O490" s="4">
        <v>2</v>
      </c>
      <c r="P490" s="4" t="s">
        <v>81</v>
      </c>
      <c r="Q490" s="4"/>
      <c r="R490" s="5"/>
      <c r="S490" s="6"/>
      <c r="T490" s="17"/>
      <c r="U490" s="6"/>
      <c r="V490" s="4"/>
      <c r="W490" s="4"/>
      <c r="X490" s="4"/>
      <c r="Y490" s="7">
        <v>1</v>
      </c>
      <c r="Z490" s="8">
        <v>8290148</v>
      </c>
      <c r="AA490" s="7" t="s">
        <v>82</v>
      </c>
      <c r="AB490" s="7"/>
      <c r="AC490" s="9">
        <v>1</v>
      </c>
      <c r="AD490" s="10">
        <v>8290148</v>
      </c>
      <c r="AE490" s="9" t="s">
        <v>82</v>
      </c>
      <c r="AF490" s="9"/>
      <c r="AG490" s="11">
        <v>2</v>
      </c>
      <c r="AH490" s="11" t="s">
        <v>83</v>
      </c>
      <c r="AI490" s="11" t="s">
        <v>2354</v>
      </c>
      <c r="AJ490" s="11"/>
      <c r="AK490" s="11"/>
      <c r="AL490" s="12">
        <v>2</v>
      </c>
      <c r="AM490" s="12" t="s">
        <v>83</v>
      </c>
      <c r="AN490" s="12"/>
      <c r="AO490" s="12"/>
      <c r="AP490" s="12"/>
      <c r="AQ490" s="4">
        <v>2</v>
      </c>
      <c r="AR490" s="4" t="s">
        <v>83</v>
      </c>
      <c r="AS490" s="4"/>
      <c r="AT490" s="13"/>
      <c r="AU490" s="13"/>
      <c r="AV490" s="13"/>
      <c r="AW490" s="13"/>
      <c r="AX490" s="4"/>
      <c r="AY490" s="13"/>
      <c r="AZ490" s="13"/>
      <c r="BA490" s="13"/>
      <c r="BB490" s="13"/>
      <c r="BC490" s="4"/>
      <c r="BD490" s="4"/>
      <c r="BE490" s="4"/>
      <c r="BF490" s="13"/>
      <c r="BG490" s="4"/>
      <c r="BH490" s="13"/>
      <c r="BI490" s="13"/>
      <c r="BJ490" s="4"/>
      <c r="BK490" s="14">
        <v>7</v>
      </c>
      <c r="BL490" s="14">
        <v>7</v>
      </c>
      <c r="BM490" s="14">
        <v>7</v>
      </c>
      <c r="BP490" s="15" t="s">
        <v>135</v>
      </c>
      <c r="BQ490" s="15"/>
      <c r="BR490" s="2" t="s">
        <v>97</v>
      </c>
      <c r="BS490" s="2" t="s">
        <v>97</v>
      </c>
      <c r="BT490" s="7" t="s">
        <v>98</v>
      </c>
      <c r="BU490" s="7"/>
      <c r="BV490" s="9" t="s">
        <v>98</v>
      </c>
      <c r="BW490" s="9"/>
    </row>
    <row r="491" spans="1:75" ht="14.25" customHeight="1" x14ac:dyDescent="0.25">
      <c r="A491" s="1">
        <v>1062</v>
      </c>
      <c r="B491" s="1" t="s">
        <v>2355</v>
      </c>
      <c r="C491" s="1" t="s">
        <v>2356</v>
      </c>
      <c r="D491" s="1" t="s">
        <v>77</v>
      </c>
      <c r="E491" s="1" t="s">
        <v>2265</v>
      </c>
      <c r="F491" s="1" t="s">
        <v>2266</v>
      </c>
      <c r="G491" s="1" t="s">
        <v>118</v>
      </c>
      <c r="H491" s="2">
        <v>0</v>
      </c>
      <c r="I491" s="2">
        <v>0</v>
      </c>
      <c r="J491" s="2">
        <v>1</v>
      </c>
      <c r="K491" s="2">
        <v>1</v>
      </c>
      <c r="L491" s="3" t="s">
        <v>80</v>
      </c>
      <c r="O491" s="4">
        <v>4</v>
      </c>
      <c r="P491" s="4" t="s">
        <v>112</v>
      </c>
      <c r="Q491" s="4"/>
      <c r="R491" s="5"/>
      <c r="S491" s="6"/>
      <c r="T491" s="17"/>
      <c r="U491" s="6"/>
      <c r="V491" s="4"/>
      <c r="W491" s="4"/>
      <c r="X491" s="4"/>
      <c r="Y491" s="7">
        <v>3</v>
      </c>
      <c r="Z491" s="8">
        <v>459574</v>
      </c>
      <c r="AA491" s="7" t="s">
        <v>92</v>
      </c>
      <c r="AB491" s="7"/>
      <c r="AC491" s="9">
        <v>3</v>
      </c>
      <c r="AD491" s="10">
        <v>459574</v>
      </c>
      <c r="AE491" s="9" t="s">
        <v>92</v>
      </c>
      <c r="AF491" s="9" t="s">
        <v>2357</v>
      </c>
      <c r="AG491" s="11">
        <v>3</v>
      </c>
      <c r="AH491" s="11" t="s">
        <v>93</v>
      </c>
      <c r="AI491" s="11"/>
      <c r="AJ491" s="11"/>
      <c r="AK491" s="11"/>
      <c r="AL491" s="12">
        <v>3</v>
      </c>
      <c r="AM491" s="12" t="s">
        <v>93</v>
      </c>
      <c r="AN491" s="12" t="s">
        <v>2305</v>
      </c>
      <c r="AO491" s="12"/>
      <c r="AP491" s="12"/>
      <c r="AQ491" s="4">
        <v>4</v>
      </c>
      <c r="AR491" s="4" t="s">
        <v>83</v>
      </c>
      <c r="AS491" s="4"/>
      <c r="AT491" s="13"/>
      <c r="AU491" s="13"/>
      <c r="AV491" s="13"/>
      <c r="AW491" s="13"/>
      <c r="AX491" s="4"/>
      <c r="AY491" s="13"/>
      <c r="AZ491" s="13"/>
      <c r="BA491" s="13"/>
      <c r="BB491" s="13"/>
      <c r="BC491" s="4"/>
      <c r="BD491" s="4"/>
      <c r="BE491" s="4"/>
      <c r="BF491" s="13"/>
      <c r="BG491" s="4"/>
      <c r="BH491" s="13"/>
      <c r="BI491" s="13"/>
      <c r="BJ491" s="4"/>
      <c r="BK491" s="14">
        <v>14</v>
      </c>
      <c r="BL491" s="14">
        <v>14</v>
      </c>
      <c r="BM491" s="14">
        <v>14</v>
      </c>
      <c r="BN491" s="3" t="s">
        <v>86</v>
      </c>
      <c r="BP491" s="15"/>
      <c r="BQ491" s="15"/>
      <c r="BR491" s="2" t="s">
        <v>115</v>
      </c>
      <c r="BS491" s="2" t="s">
        <v>115</v>
      </c>
      <c r="BT491" s="7" t="s">
        <v>98</v>
      </c>
      <c r="BU491" s="7"/>
      <c r="BV491" s="9" t="s">
        <v>98</v>
      </c>
      <c r="BW491" s="9"/>
    </row>
    <row r="492" spans="1:75" ht="14.25" customHeight="1" x14ac:dyDescent="0.25">
      <c r="A492" s="1">
        <v>1063</v>
      </c>
      <c r="B492" s="1" t="s">
        <v>2358</v>
      </c>
      <c r="C492" s="1" t="s">
        <v>2359</v>
      </c>
      <c r="D492" s="1" t="s">
        <v>77</v>
      </c>
      <c r="E492" s="1" t="s">
        <v>2265</v>
      </c>
      <c r="F492" s="1" t="s">
        <v>2266</v>
      </c>
      <c r="G492" s="1"/>
      <c r="H492" s="2">
        <v>0</v>
      </c>
      <c r="I492" s="2">
        <v>0</v>
      </c>
      <c r="J492" s="2">
        <v>1</v>
      </c>
      <c r="K492" s="2">
        <v>1</v>
      </c>
      <c r="L492" s="3" t="s">
        <v>80</v>
      </c>
      <c r="O492" s="4">
        <v>3</v>
      </c>
      <c r="P492" s="4" t="s">
        <v>112</v>
      </c>
      <c r="Q492" s="4"/>
      <c r="R492" s="5"/>
      <c r="S492" s="6"/>
      <c r="T492" s="17"/>
      <c r="U492" s="6"/>
      <c r="V492" s="4"/>
      <c r="W492" s="4"/>
      <c r="X492" s="4"/>
      <c r="Y492" s="7">
        <v>3</v>
      </c>
      <c r="Z492" s="8">
        <v>544459</v>
      </c>
      <c r="AA492" s="7" t="s">
        <v>92</v>
      </c>
      <c r="AB492" s="7"/>
      <c r="AC492" s="9">
        <v>3</v>
      </c>
      <c r="AD492" s="10">
        <v>544459</v>
      </c>
      <c r="AE492" s="9" t="s">
        <v>92</v>
      </c>
      <c r="AF492" s="9"/>
      <c r="AG492" s="11">
        <v>3</v>
      </c>
      <c r="AH492" s="11" t="s">
        <v>93</v>
      </c>
      <c r="AI492" s="11"/>
      <c r="AJ492" s="11"/>
      <c r="AK492" s="11"/>
      <c r="AL492" s="12">
        <v>3</v>
      </c>
      <c r="AM492" s="12" t="s">
        <v>93</v>
      </c>
      <c r="AN492" s="12" t="s">
        <v>2305</v>
      </c>
      <c r="AO492" s="12"/>
      <c r="AP492" s="12"/>
      <c r="AQ492" s="4">
        <v>4</v>
      </c>
      <c r="AR492" s="4" t="s">
        <v>83</v>
      </c>
      <c r="AS492" s="4"/>
      <c r="AT492" s="13"/>
      <c r="AU492" s="13"/>
      <c r="AV492" s="13"/>
      <c r="AW492" s="13"/>
      <c r="AX492" s="4"/>
      <c r="AY492" s="13"/>
      <c r="AZ492" s="13"/>
      <c r="BA492" s="13"/>
      <c r="BB492" s="13"/>
      <c r="BC492" s="4"/>
      <c r="BD492" s="4"/>
      <c r="BE492" s="4"/>
      <c r="BF492" s="13"/>
      <c r="BG492" s="4"/>
      <c r="BH492" s="13"/>
      <c r="BI492" s="13"/>
      <c r="BJ492" s="4"/>
      <c r="BK492" s="14">
        <v>13</v>
      </c>
      <c r="BL492" s="14">
        <v>13</v>
      </c>
      <c r="BM492" s="14">
        <v>13</v>
      </c>
      <c r="BP492" s="15"/>
      <c r="BQ492" s="15"/>
      <c r="BR492" s="2" t="s">
        <v>108</v>
      </c>
      <c r="BS492" s="2" t="s">
        <v>108</v>
      </c>
      <c r="BT492" s="7" t="s">
        <v>109</v>
      </c>
      <c r="BU492" s="7"/>
      <c r="BV492" s="9" t="s">
        <v>109</v>
      </c>
      <c r="BW492" s="9"/>
    </row>
    <row r="493" spans="1:75" ht="14.25" customHeight="1" x14ac:dyDescent="0.25">
      <c r="A493" s="1">
        <v>1064</v>
      </c>
      <c r="B493" s="1" t="s">
        <v>2360</v>
      </c>
      <c r="C493" s="1" t="s">
        <v>2361</v>
      </c>
      <c r="D493" s="1" t="s">
        <v>77</v>
      </c>
      <c r="E493" s="1" t="s">
        <v>2265</v>
      </c>
      <c r="F493" s="1" t="s">
        <v>2266</v>
      </c>
      <c r="G493" s="1" t="s">
        <v>118</v>
      </c>
      <c r="H493" s="2">
        <v>0</v>
      </c>
      <c r="I493" s="2">
        <v>0</v>
      </c>
      <c r="J493" s="2">
        <v>1</v>
      </c>
      <c r="K493" s="2">
        <v>1</v>
      </c>
      <c r="L493" s="3" t="s">
        <v>80</v>
      </c>
      <c r="O493" s="4">
        <v>5</v>
      </c>
      <c r="P493" s="4" t="s">
        <v>112</v>
      </c>
      <c r="Q493" s="4"/>
      <c r="R493" s="5"/>
      <c r="S493" s="6"/>
      <c r="T493" s="17"/>
      <c r="U493" s="6"/>
      <c r="V493" s="4"/>
      <c r="W493" s="4"/>
      <c r="X493" s="4"/>
      <c r="Y493" s="7">
        <v>4</v>
      </c>
      <c r="Z493" s="8">
        <v>130865</v>
      </c>
      <c r="AA493" s="7" t="s">
        <v>92</v>
      </c>
      <c r="AB493" s="7"/>
      <c r="AC493" s="9">
        <v>4</v>
      </c>
      <c r="AD493" s="10">
        <v>130865</v>
      </c>
      <c r="AE493" s="9" t="s">
        <v>92</v>
      </c>
      <c r="AF493" s="9"/>
      <c r="AG493" s="11">
        <v>4</v>
      </c>
      <c r="AH493" s="11" t="s">
        <v>93</v>
      </c>
      <c r="AI493" s="11" t="s">
        <v>393</v>
      </c>
      <c r="AJ493" s="11"/>
      <c r="AK493" s="11"/>
      <c r="AL493" s="12">
        <v>3</v>
      </c>
      <c r="AM493" s="12" t="s">
        <v>93</v>
      </c>
      <c r="AN493" s="12" t="s">
        <v>2305</v>
      </c>
      <c r="AO493" s="12"/>
      <c r="AP493" s="12"/>
      <c r="AQ493" s="4">
        <v>4</v>
      </c>
      <c r="AR493" s="4" t="s">
        <v>83</v>
      </c>
      <c r="AS493" s="4" t="s">
        <v>2362</v>
      </c>
      <c r="AT493" s="13"/>
      <c r="AU493" s="13"/>
      <c r="AV493" s="13"/>
      <c r="AW493" s="13"/>
      <c r="AX493" s="4"/>
      <c r="AY493" s="13"/>
      <c r="AZ493" s="13"/>
      <c r="BA493" s="13"/>
      <c r="BB493" s="13"/>
      <c r="BC493" s="4"/>
      <c r="BD493" s="4"/>
      <c r="BE493" s="4"/>
      <c r="BF493" s="13"/>
      <c r="BG493" s="4"/>
      <c r="BH493" s="13"/>
      <c r="BI493" s="13"/>
      <c r="BJ493" s="4"/>
      <c r="BK493" s="14">
        <v>17</v>
      </c>
      <c r="BL493" s="14">
        <v>16</v>
      </c>
      <c r="BM493" s="14">
        <v>17</v>
      </c>
      <c r="BN493" s="3" t="s">
        <v>312</v>
      </c>
      <c r="BP493" s="15"/>
      <c r="BQ493" s="15"/>
      <c r="BR493" s="2" t="s">
        <v>115</v>
      </c>
      <c r="BS493" s="2" t="s">
        <v>115</v>
      </c>
      <c r="BT493" s="7" t="s">
        <v>109</v>
      </c>
      <c r="BU493" s="7"/>
      <c r="BV493" s="9" t="s">
        <v>109</v>
      </c>
      <c r="BW493" s="9"/>
    </row>
    <row r="494" spans="1:75" ht="14.25" customHeight="1" x14ac:dyDescent="0.25">
      <c r="A494" s="1">
        <v>1070</v>
      </c>
      <c r="B494" s="1" t="s">
        <v>2363</v>
      </c>
      <c r="C494" s="1" t="s">
        <v>2364</v>
      </c>
      <c r="D494" s="1" t="s">
        <v>77</v>
      </c>
      <c r="E494" s="1" t="s">
        <v>2265</v>
      </c>
      <c r="F494" s="1" t="s">
        <v>2266</v>
      </c>
      <c r="G494" s="1" t="s">
        <v>118</v>
      </c>
      <c r="H494" s="2">
        <v>0</v>
      </c>
      <c r="I494" s="2">
        <v>1</v>
      </c>
      <c r="J494" s="2">
        <v>1</v>
      </c>
      <c r="K494" s="2">
        <v>0</v>
      </c>
      <c r="L494" s="3" t="s">
        <v>80</v>
      </c>
      <c r="O494" s="4">
        <v>5</v>
      </c>
      <c r="P494" s="4" t="s">
        <v>2365</v>
      </c>
      <c r="Q494" s="4" t="s">
        <v>2366</v>
      </c>
      <c r="R494" s="5"/>
      <c r="S494" s="6"/>
      <c r="T494" s="17" t="s">
        <v>2367</v>
      </c>
      <c r="U494" s="6">
        <v>1500</v>
      </c>
      <c r="V494" s="4"/>
      <c r="W494" s="4" t="s">
        <v>543</v>
      </c>
      <c r="X494" s="4" t="s">
        <v>2368</v>
      </c>
      <c r="Y494" s="7">
        <v>5</v>
      </c>
      <c r="Z494" s="8">
        <v>7900</v>
      </c>
      <c r="AA494" s="7" t="s">
        <v>369</v>
      </c>
      <c r="AB494" s="7" t="s">
        <v>2369</v>
      </c>
      <c r="AC494" s="9">
        <v>5</v>
      </c>
      <c r="AD494" s="10">
        <v>7900</v>
      </c>
      <c r="AE494" s="9" t="s">
        <v>369</v>
      </c>
      <c r="AF494" s="9" t="s">
        <v>2369</v>
      </c>
      <c r="AG494" s="11">
        <v>5</v>
      </c>
      <c r="AH494" s="11" t="s">
        <v>131</v>
      </c>
      <c r="AI494" s="11" t="s">
        <v>2370</v>
      </c>
      <c r="AJ494" s="11">
        <v>3</v>
      </c>
      <c r="AK494" s="11" t="s">
        <v>132</v>
      </c>
      <c r="AL494" s="12">
        <v>5</v>
      </c>
      <c r="AM494" s="12" t="s">
        <v>131</v>
      </c>
      <c r="AN494" s="12" t="s">
        <v>2371</v>
      </c>
      <c r="AO494" s="12">
        <v>3</v>
      </c>
      <c r="AP494" s="12" t="s">
        <v>143</v>
      </c>
      <c r="AQ494" s="4">
        <v>5</v>
      </c>
      <c r="AR494" s="4" t="s">
        <v>93</v>
      </c>
      <c r="AS494" s="4"/>
      <c r="AT494" s="13"/>
      <c r="AU494" s="13"/>
      <c r="AV494" s="13"/>
      <c r="AW494" s="13"/>
      <c r="AX494" s="4"/>
      <c r="AY494" s="13"/>
      <c r="AZ494" s="13"/>
      <c r="BA494" s="13"/>
      <c r="BB494" s="13"/>
      <c r="BC494" s="4"/>
      <c r="BD494" s="4"/>
      <c r="BE494" s="4"/>
      <c r="BF494" s="13"/>
      <c r="BG494" s="4"/>
      <c r="BH494" s="13"/>
      <c r="BI494" s="13"/>
      <c r="BJ494" s="4"/>
      <c r="BK494" s="14">
        <v>20</v>
      </c>
      <c r="BL494" s="14">
        <v>20</v>
      </c>
      <c r="BM494" s="14">
        <v>20</v>
      </c>
      <c r="BN494" s="3" t="s">
        <v>312</v>
      </c>
      <c r="BO494" s="3" t="s">
        <v>414</v>
      </c>
      <c r="BP494" s="15"/>
      <c r="BQ494" s="15"/>
      <c r="BR494" s="2" t="s">
        <v>115</v>
      </c>
      <c r="BS494" s="2" t="s">
        <v>115</v>
      </c>
      <c r="BT494" s="7" t="s">
        <v>109</v>
      </c>
      <c r="BU494" s="7"/>
      <c r="BV494" s="9" t="s">
        <v>109</v>
      </c>
      <c r="BW494" s="9"/>
    </row>
    <row r="495" spans="1:75" ht="14.25" customHeight="1" x14ac:dyDescent="0.25">
      <c r="A495" s="1">
        <v>1071</v>
      </c>
      <c r="B495" s="1" t="s">
        <v>2372</v>
      </c>
      <c r="C495" s="1" t="s">
        <v>2373</v>
      </c>
      <c r="D495" s="1" t="s">
        <v>77</v>
      </c>
      <c r="E495" s="1" t="s">
        <v>2265</v>
      </c>
      <c r="F495" s="1" t="s">
        <v>2266</v>
      </c>
      <c r="G495" s="1" t="s">
        <v>118</v>
      </c>
      <c r="H495" s="2">
        <v>0</v>
      </c>
      <c r="I495" s="2">
        <v>0</v>
      </c>
      <c r="J495" s="2">
        <v>1</v>
      </c>
      <c r="K495" s="2">
        <v>0</v>
      </c>
      <c r="L495" s="3" t="s">
        <v>80</v>
      </c>
      <c r="O495" s="4">
        <v>5</v>
      </c>
      <c r="P495" s="4" t="s">
        <v>112</v>
      </c>
      <c r="Q495" s="4"/>
      <c r="R495" s="5"/>
      <c r="S495" s="6"/>
      <c r="T495" s="17"/>
      <c r="U495" s="6"/>
      <c r="V495" s="4"/>
      <c r="W495" s="4"/>
      <c r="X495" s="4"/>
      <c r="Y495" s="7">
        <v>4</v>
      </c>
      <c r="Z495" s="8">
        <v>194417</v>
      </c>
      <c r="AA495" s="7" t="s">
        <v>92</v>
      </c>
      <c r="AB495" s="7"/>
      <c r="AC495" s="9">
        <v>4</v>
      </c>
      <c r="AD495" s="10">
        <v>194417</v>
      </c>
      <c r="AE495" s="9" t="s">
        <v>92</v>
      </c>
      <c r="AF495" s="9"/>
      <c r="AG495" s="11">
        <v>5</v>
      </c>
      <c r="AH495" s="11" t="s">
        <v>93</v>
      </c>
      <c r="AI495" s="11" t="s">
        <v>2374</v>
      </c>
      <c r="AJ495" s="11"/>
      <c r="AK495" s="11"/>
      <c r="AL495" s="12">
        <v>5</v>
      </c>
      <c r="AM495" s="12" t="s">
        <v>93</v>
      </c>
      <c r="AN495" s="12" t="s">
        <v>2371</v>
      </c>
      <c r="AO495" s="12"/>
      <c r="AP495" s="12"/>
      <c r="AQ495" s="4">
        <v>5</v>
      </c>
      <c r="AR495" s="4" t="s">
        <v>93</v>
      </c>
      <c r="AS495" s="4" t="s">
        <v>2375</v>
      </c>
      <c r="AT495" s="13"/>
      <c r="AU495" s="13"/>
      <c r="AV495" s="13"/>
      <c r="AW495" s="13"/>
      <c r="AX495" s="4"/>
      <c r="AY495" s="13"/>
      <c r="AZ495" s="13"/>
      <c r="BA495" s="13"/>
      <c r="BB495" s="13"/>
      <c r="BC495" s="4"/>
      <c r="BD495" s="4"/>
      <c r="BE495" s="4"/>
      <c r="BF495" s="13"/>
      <c r="BG495" s="4"/>
      <c r="BH495" s="13"/>
      <c r="BI495" s="13"/>
      <c r="BJ495" s="4"/>
      <c r="BK495" s="14">
        <v>19</v>
      </c>
      <c r="BL495" s="14">
        <v>19</v>
      </c>
      <c r="BM495" s="14">
        <v>19</v>
      </c>
      <c r="BN495" s="3" t="s">
        <v>312</v>
      </c>
      <c r="BO495" s="3" t="s">
        <v>414</v>
      </c>
      <c r="BP495" s="15"/>
      <c r="BQ495" s="15"/>
      <c r="BR495" s="2" t="s">
        <v>108</v>
      </c>
      <c r="BS495" s="2" t="s">
        <v>108</v>
      </c>
      <c r="BT495" s="7" t="s">
        <v>109</v>
      </c>
      <c r="BU495" s="7"/>
      <c r="BV495" s="9" t="s">
        <v>109</v>
      </c>
      <c r="BW495" s="9"/>
    </row>
    <row r="496" spans="1:75" ht="14.25" customHeight="1" x14ac:dyDescent="0.25">
      <c r="A496" s="1">
        <v>1072</v>
      </c>
      <c r="B496" s="1" t="s">
        <v>2376</v>
      </c>
      <c r="C496" s="1" t="s">
        <v>2377</v>
      </c>
      <c r="D496" s="1" t="s">
        <v>77</v>
      </c>
      <c r="E496" s="1" t="s">
        <v>2265</v>
      </c>
      <c r="F496" s="1" t="s">
        <v>2266</v>
      </c>
      <c r="G496" s="1"/>
      <c r="H496" s="2">
        <v>0</v>
      </c>
      <c r="I496" s="2">
        <v>0</v>
      </c>
      <c r="J496" s="2">
        <v>1</v>
      </c>
      <c r="K496" s="2">
        <v>1</v>
      </c>
      <c r="L496" s="3" t="s">
        <v>80</v>
      </c>
      <c r="O496" s="4">
        <v>3</v>
      </c>
      <c r="P496" s="4" t="s">
        <v>112</v>
      </c>
      <c r="Q496" s="4"/>
      <c r="R496" s="5"/>
      <c r="S496" s="6"/>
      <c r="T496" s="17"/>
      <c r="U496" s="6"/>
      <c r="V496" s="4"/>
      <c r="W496" s="4"/>
      <c r="X496" s="4"/>
      <c r="Y496" s="7">
        <v>3</v>
      </c>
      <c r="Z496" s="8">
        <v>856942</v>
      </c>
      <c r="AA496" s="7" t="s">
        <v>92</v>
      </c>
      <c r="AB496" s="7"/>
      <c r="AC496" s="9">
        <v>3</v>
      </c>
      <c r="AD496" s="10">
        <v>856942</v>
      </c>
      <c r="AE496" s="9" t="s">
        <v>92</v>
      </c>
      <c r="AF496" s="9" t="s">
        <v>2378</v>
      </c>
      <c r="AG496" s="11">
        <v>4</v>
      </c>
      <c r="AH496" s="11" t="s">
        <v>93</v>
      </c>
      <c r="AI496" s="11" t="s">
        <v>393</v>
      </c>
      <c r="AJ496" s="11"/>
      <c r="AK496" s="11"/>
      <c r="AL496" s="12">
        <v>3</v>
      </c>
      <c r="AM496" s="12" t="s">
        <v>93</v>
      </c>
      <c r="AN496" s="12" t="s">
        <v>2305</v>
      </c>
      <c r="AO496" s="12"/>
      <c r="AP496" s="12"/>
      <c r="AQ496" s="4">
        <v>4</v>
      </c>
      <c r="AR496" s="4" t="s">
        <v>83</v>
      </c>
      <c r="AS496" s="4" t="s">
        <v>2379</v>
      </c>
      <c r="AT496" s="13"/>
      <c r="AU496" s="13"/>
      <c r="AV496" s="13"/>
      <c r="AW496" s="13"/>
      <c r="AX496" s="4"/>
      <c r="AY496" s="13"/>
      <c r="AZ496" s="13"/>
      <c r="BA496" s="13"/>
      <c r="BB496" s="13"/>
      <c r="BC496" s="4"/>
      <c r="BD496" s="4"/>
      <c r="BE496" s="4"/>
      <c r="BF496" s="13"/>
      <c r="BG496" s="4"/>
      <c r="BH496" s="13"/>
      <c r="BI496" s="13"/>
      <c r="BJ496" s="4"/>
      <c r="BK496" s="14">
        <v>14</v>
      </c>
      <c r="BL496" s="14">
        <v>13</v>
      </c>
      <c r="BM496" s="14">
        <v>14</v>
      </c>
      <c r="BN496" s="3" t="s">
        <v>86</v>
      </c>
      <c r="BP496" s="15"/>
      <c r="BQ496" s="15"/>
      <c r="BR496" s="2" t="s">
        <v>97</v>
      </c>
      <c r="BS496" s="2" t="s">
        <v>97</v>
      </c>
      <c r="BT496" s="7" t="s">
        <v>98</v>
      </c>
      <c r="BU496" s="7"/>
      <c r="BV496" s="9" t="s">
        <v>98</v>
      </c>
      <c r="BW496" s="9"/>
    </row>
    <row r="497" spans="1:75" ht="14.25" customHeight="1" x14ac:dyDescent="0.25">
      <c r="A497" s="1">
        <v>1073</v>
      </c>
      <c r="B497" s="1" t="s">
        <v>2380</v>
      </c>
      <c r="C497" s="1" t="s">
        <v>2381</v>
      </c>
      <c r="D497" s="1" t="s">
        <v>77</v>
      </c>
      <c r="E497" s="1" t="s">
        <v>2265</v>
      </c>
      <c r="F497" s="1" t="s">
        <v>2266</v>
      </c>
      <c r="G497" s="1"/>
      <c r="H497" s="2">
        <v>0</v>
      </c>
      <c r="I497" s="2">
        <v>0</v>
      </c>
      <c r="J497" s="2">
        <v>1</v>
      </c>
      <c r="K497" s="2">
        <v>1</v>
      </c>
      <c r="L497" s="3" t="s">
        <v>80</v>
      </c>
      <c r="O497" s="4">
        <v>3</v>
      </c>
      <c r="P497" s="4" t="s">
        <v>112</v>
      </c>
      <c r="Q497" s="4"/>
      <c r="R497" s="5"/>
      <c r="S497" s="6"/>
      <c r="T497" s="17"/>
      <c r="U497" s="6"/>
      <c r="V497" s="4"/>
      <c r="W497" s="4"/>
      <c r="X497" s="4"/>
      <c r="Y497" s="7">
        <v>1</v>
      </c>
      <c r="Z497" s="8">
        <v>7180018</v>
      </c>
      <c r="AA497" s="7" t="s">
        <v>92</v>
      </c>
      <c r="AB497" s="7"/>
      <c r="AC497" s="9">
        <v>1</v>
      </c>
      <c r="AD497" s="10">
        <v>7180018</v>
      </c>
      <c r="AE497" s="9" t="s">
        <v>92</v>
      </c>
      <c r="AF497" s="9"/>
      <c r="AG497" s="11">
        <v>4</v>
      </c>
      <c r="AH497" s="11" t="s">
        <v>93</v>
      </c>
      <c r="AI497" s="11"/>
      <c r="AJ497" s="11"/>
      <c r="AK497" s="11"/>
      <c r="AL497" s="12">
        <v>4</v>
      </c>
      <c r="AM497" s="12" t="s">
        <v>93</v>
      </c>
      <c r="AN497" s="12" t="s">
        <v>2382</v>
      </c>
      <c r="AO497" s="12"/>
      <c r="AP497" s="12"/>
      <c r="AQ497" s="4">
        <v>5</v>
      </c>
      <c r="AR497" s="4" t="s">
        <v>83</v>
      </c>
      <c r="AS497" s="4"/>
      <c r="AT497" s="13"/>
      <c r="AU497" s="13"/>
      <c r="AV497" s="13"/>
      <c r="AW497" s="13"/>
      <c r="AX497" s="4"/>
      <c r="AY497" s="13"/>
      <c r="AZ497" s="13"/>
      <c r="BA497" s="13"/>
      <c r="BB497" s="13"/>
      <c r="BC497" s="4"/>
      <c r="BD497" s="4"/>
      <c r="BE497" s="4"/>
      <c r="BF497" s="13"/>
      <c r="BG497" s="4"/>
      <c r="BH497" s="13"/>
      <c r="BI497" s="13"/>
      <c r="BJ497" s="4"/>
      <c r="BK497" s="14">
        <v>13</v>
      </c>
      <c r="BL497" s="14">
        <v>13</v>
      </c>
      <c r="BM497" s="14">
        <v>13</v>
      </c>
      <c r="BN497" s="3" t="s">
        <v>113</v>
      </c>
      <c r="BP497" s="15"/>
      <c r="BQ497" s="15"/>
      <c r="BR497" s="2" t="s">
        <v>97</v>
      </c>
      <c r="BS497" s="2" t="s">
        <v>97</v>
      </c>
      <c r="BT497" s="7" t="s">
        <v>98</v>
      </c>
      <c r="BU497" s="7"/>
      <c r="BV497" s="9" t="s">
        <v>98</v>
      </c>
      <c r="BW497" s="9"/>
    </row>
    <row r="498" spans="1:75" ht="14.25" customHeight="1" x14ac:dyDescent="0.25">
      <c r="A498" s="1">
        <v>1074</v>
      </c>
      <c r="B498" s="1" t="s">
        <v>2383</v>
      </c>
      <c r="C498" s="1" t="s">
        <v>2384</v>
      </c>
      <c r="D498" s="1" t="s">
        <v>77</v>
      </c>
      <c r="E498" s="1" t="s">
        <v>2265</v>
      </c>
      <c r="F498" s="1" t="s">
        <v>2266</v>
      </c>
      <c r="G498" s="1"/>
      <c r="H498" s="2">
        <v>0</v>
      </c>
      <c r="I498" s="2">
        <v>0</v>
      </c>
      <c r="J498" s="2">
        <v>1</v>
      </c>
      <c r="K498" s="2">
        <v>1</v>
      </c>
      <c r="L498" s="3" t="s">
        <v>80</v>
      </c>
      <c r="O498" s="4">
        <v>5</v>
      </c>
      <c r="P498" s="4" t="s">
        <v>112</v>
      </c>
      <c r="Q498" s="4" t="s">
        <v>2385</v>
      </c>
      <c r="R498" s="5"/>
      <c r="S498" s="6"/>
      <c r="T498" s="17"/>
      <c r="U498" s="6"/>
      <c r="V498" s="4"/>
      <c r="W498" s="4"/>
      <c r="X498" s="4"/>
      <c r="Y498" s="7">
        <v>5</v>
      </c>
      <c r="Z498" s="8">
        <v>70977</v>
      </c>
      <c r="AA498" s="7" t="s">
        <v>537</v>
      </c>
      <c r="AB498" s="7" t="s">
        <v>2386</v>
      </c>
      <c r="AC498" s="9">
        <v>5</v>
      </c>
      <c r="AD498" s="10">
        <v>70977</v>
      </c>
      <c r="AE498" s="9" t="s">
        <v>537</v>
      </c>
      <c r="AF498" s="9" t="s">
        <v>2387</v>
      </c>
      <c r="AG498" s="11">
        <v>5</v>
      </c>
      <c r="AH498" s="11" t="s">
        <v>537</v>
      </c>
      <c r="AI498" s="11"/>
      <c r="AJ498" s="11"/>
      <c r="AK498" s="11"/>
      <c r="AL498" s="12">
        <v>5</v>
      </c>
      <c r="AM498" s="12" t="s">
        <v>537</v>
      </c>
      <c r="AN498" s="12" t="s">
        <v>2388</v>
      </c>
      <c r="AO498" s="12"/>
      <c r="AP498" s="12"/>
      <c r="AQ498" s="4">
        <v>5</v>
      </c>
      <c r="AR498" s="4" t="s">
        <v>83</v>
      </c>
      <c r="AS498" s="4"/>
      <c r="AT498" s="13"/>
      <c r="AU498" s="13"/>
      <c r="AV498" s="13"/>
      <c r="AW498" s="13"/>
      <c r="AX498" s="4"/>
      <c r="AY498" s="13"/>
      <c r="AZ498" s="13"/>
      <c r="BA498" s="13"/>
      <c r="BB498" s="13"/>
      <c r="BC498" s="4"/>
      <c r="BD498" s="4"/>
      <c r="BE498" s="4"/>
      <c r="BF498" s="13"/>
      <c r="BG498" s="4"/>
      <c r="BH498" s="13"/>
      <c r="BI498" s="13"/>
      <c r="BJ498" s="4"/>
      <c r="BK498" s="14">
        <v>20</v>
      </c>
      <c r="BL498" s="14">
        <v>20</v>
      </c>
      <c r="BM498" s="14">
        <v>20</v>
      </c>
      <c r="BN498" s="3" t="s">
        <v>312</v>
      </c>
      <c r="BO498" s="3" t="s">
        <v>414</v>
      </c>
      <c r="BP498" s="15"/>
      <c r="BQ498" s="15"/>
      <c r="BR498" s="2" t="s">
        <v>108</v>
      </c>
      <c r="BS498" s="2" t="s">
        <v>108</v>
      </c>
      <c r="BT498" s="7" t="s">
        <v>109</v>
      </c>
      <c r="BU498" s="7"/>
      <c r="BV498" s="9" t="s">
        <v>109</v>
      </c>
      <c r="BW498" s="9"/>
    </row>
    <row r="499" spans="1:75" ht="14.25" customHeight="1" x14ac:dyDescent="0.25">
      <c r="A499" s="1">
        <v>1075</v>
      </c>
      <c r="B499" s="1" t="s">
        <v>2389</v>
      </c>
      <c r="C499" s="1" t="s">
        <v>2390</v>
      </c>
      <c r="D499" s="1" t="s">
        <v>77</v>
      </c>
      <c r="E499" s="1" t="s">
        <v>2265</v>
      </c>
      <c r="F499" s="1" t="s">
        <v>2266</v>
      </c>
      <c r="G499" s="1"/>
      <c r="H499" s="2">
        <v>0</v>
      </c>
      <c r="I499" s="2">
        <v>0</v>
      </c>
      <c r="J499" s="2">
        <v>1</v>
      </c>
      <c r="K499" s="2">
        <v>1</v>
      </c>
      <c r="L499" s="3" t="s">
        <v>80</v>
      </c>
      <c r="O499" s="4">
        <v>5</v>
      </c>
      <c r="P499" s="4" t="s">
        <v>112</v>
      </c>
      <c r="Q499" s="4"/>
      <c r="R499" s="5"/>
      <c r="S499" s="6"/>
      <c r="T499" s="17"/>
      <c r="U499" s="6"/>
      <c r="V499" s="4"/>
      <c r="W499" s="4"/>
      <c r="X499" s="4"/>
      <c r="Y499" s="7">
        <v>4</v>
      </c>
      <c r="Z499" s="8">
        <v>91187</v>
      </c>
      <c r="AA499" s="7" t="s">
        <v>92</v>
      </c>
      <c r="AB499" s="7"/>
      <c r="AC499" s="9">
        <v>4</v>
      </c>
      <c r="AD499" s="10">
        <v>91187</v>
      </c>
      <c r="AE499" s="9" t="s">
        <v>92</v>
      </c>
      <c r="AF499" s="9"/>
      <c r="AG499" s="11">
        <v>5</v>
      </c>
      <c r="AH499" s="11" t="s">
        <v>93</v>
      </c>
      <c r="AI499" s="11"/>
      <c r="AJ499" s="11"/>
      <c r="AK499" s="11"/>
      <c r="AL499" s="12">
        <v>5</v>
      </c>
      <c r="AM499" s="12" t="s">
        <v>93</v>
      </c>
      <c r="AN499" s="12" t="s">
        <v>2388</v>
      </c>
      <c r="AO499" s="12"/>
      <c r="AP499" s="12"/>
      <c r="AQ499" s="4">
        <v>5</v>
      </c>
      <c r="AR499" s="4" t="s">
        <v>83</v>
      </c>
      <c r="AS499" s="4" t="s">
        <v>2391</v>
      </c>
      <c r="AT499" s="13"/>
      <c r="AU499" s="13"/>
      <c r="AV499" s="13"/>
      <c r="AW499" s="13"/>
      <c r="AX499" s="4"/>
      <c r="AY499" s="13"/>
      <c r="AZ499" s="13"/>
      <c r="BA499" s="13"/>
      <c r="BB499" s="13"/>
      <c r="BC499" s="4"/>
      <c r="BD499" s="4"/>
      <c r="BE499" s="4"/>
      <c r="BF499" s="13"/>
      <c r="BG499" s="4"/>
      <c r="BH499" s="13"/>
      <c r="BI499" s="13"/>
      <c r="BJ499" s="4"/>
      <c r="BK499" s="14">
        <v>19</v>
      </c>
      <c r="BL499" s="14">
        <v>19</v>
      </c>
      <c r="BM499" s="14">
        <v>19</v>
      </c>
      <c r="BN499" s="3" t="s">
        <v>312</v>
      </c>
      <c r="BO499" s="3" t="s">
        <v>899</v>
      </c>
      <c r="BP499" s="15"/>
      <c r="BQ499" s="15"/>
      <c r="BR499" s="2" t="s">
        <v>108</v>
      </c>
      <c r="BS499" s="2" t="s">
        <v>108</v>
      </c>
      <c r="BT499" s="7" t="s">
        <v>109</v>
      </c>
      <c r="BU499" s="7"/>
      <c r="BV499" s="9" t="s">
        <v>109</v>
      </c>
      <c r="BW499" s="9"/>
    </row>
    <row r="500" spans="1:75" ht="14.25" customHeight="1" x14ac:dyDescent="0.25">
      <c r="A500" s="1">
        <v>1076</v>
      </c>
      <c r="B500" s="1" t="s">
        <v>2392</v>
      </c>
      <c r="C500" s="1" t="s">
        <v>2393</v>
      </c>
      <c r="D500" s="1" t="s">
        <v>77</v>
      </c>
      <c r="E500" s="1" t="s">
        <v>2265</v>
      </c>
      <c r="F500" s="1" t="s">
        <v>2266</v>
      </c>
      <c r="G500" s="1"/>
      <c r="H500" s="2">
        <v>0</v>
      </c>
      <c r="I500" s="2">
        <v>0</v>
      </c>
      <c r="J500" s="2">
        <v>0</v>
      </c>
      <c r="K500" s="2">
        <v>1</v>
      </c>
      <c r="L500" s="3" t="s">
        <v>80</v>
      </c>
      <c r="O500" s="4">
        <v>3</v>
      </c>
      <c r="P500" s="4" t="s">
        <v>81</v>
      </c>
      <c r="Q500" s="4"/>
      <c r="R500" s="5"/>
      <c r="S500" s="6"/>
      <c r="T500" s="17"/>
      <c r="U500" s="6"/>
      <c r="V500" s="4"/>
      <c r="W500" s="4"/>
      <c r="X500" s="4"/>
      <c r="Y500" s="7">
        <v>1</v>
      </c>
      <c r="Z500" s="8">
        <v>6649161</v>
      </c>
      <c r="AA500" s="7" t="s">
        <v>82</v>
      </c>
      <c r="AB500" s="7"/>
      <c r="AC500" s="9">
        <v>1</v>
      </c>
      <c r="AD500" s="10">
        <v>6649161</v>
      </c>
      <c r="AE500" s="9" t="s">
        <v>82</v>
      </c>
      <c r="AF500" s="9"/>
      <c r="AG500" s="11">
        <v>5</v>
      </c>
      <c r="AH500" s="11" t="s">
        <v>83</v>
      </c>
      <c r="AI500" s="11"/>
      <c r="AJ500" s="11"/>
      <c r="AK500" s="11"/>
      <c r="AL500" s="12">
        <v>5</v>
      </c>
      <c r="AM500" s="12" t="s">
        <v>83</v>
      </c>
      <c r="AN500" s="12"/>
      <c r="AO500" s="12"/>
      <c r="AP500" s="12"/>
      <c r="AQ500" s="4">
        <v>5</v>
      </c>
      <c r="AR500" s="4" t="s">
        <v>83</v>
      </c>
      <c r="AS500" s="4"/>
      <c r="AT500" s="13"/>
      <c r="AU500" s="13"/>
      <c r="AV500" s="13"/>
      <c r="AW500" s="13"/>
      <c r="AX500" s="4"/>
      <c r="AY500" s="13"/>
      <c r="AZ500" s="13"/>
      <c r="BA500" s="13"/>
      <c r="BB500" s="13"/>
      <c r="BC500" s="4"/>
      <c r="BD500" s="4"/>
      <c r="BE500" s="4"/>
      <c r="BF500" s="13"/>
      <c r="BG500" s="4"/>
      <c r="BH500" s="13"/>
      <c r="BI500" s="13"/>
      <c r="BJ500" s="4"/>
      <c r="BK500" s="14">
        <v>14</v>
      </c>
      <c r="BL500" s="14">
        <v>14</v>
      </c>
      <c r="BM500" s="14">
        <v>14</v>
      </c>
      <c r="BN500" s="3" t="s">
        <v>375</v>
      </c>
      <c r="BP500" s="15"/>
      <c r="BQ500" s="15"/>
      <c r="BR500" s="2" t="s">
        <v>740</v>
      </c>
      <c r="BS500" s="2" t="s">
        <v>740</v>
      </c>
      <c r="BT500" s="7" t="s">
        <v>98</v>
      </c>
      <c r="BU500" s="7"/>
      <c r="BV500" s="9" t="s">
        <v>98</v>
      </c>
      <c r="BW500" s="9"/>
    </row>
    <row r="501" spans="1:75" ht="14.25" customHeight="1" x14ac:dyDescent="0.25">
      <c r="A501" s="1">
        <v>1083</v>
      </c>
      <c r="B501" s="1" t="s">
        <v>2394</v>
      </c>
      <c r="C501" s="1" t="s">
        <v>2395</v>
      </c>
      <c r="D501" s="1" t="s">
        <v>77</v>
      </c>
      <c r="E501" s="1" t="s">
        <v>2396</v>
      </c>
      <c r="F501" s="1" t="s">
        <v>2397</v>
      </c>
      <c r="G501" s="1"/>
      <c r="H501" s="2">
        <v>0</v>
      </c>
      <c r="I501" s="2">
        <v>0</v>
      </c>
      <c r="J501" s="2">
        <v>0</v>
      </c>
      <c r="K501" s="2">
        <v>1</v>
      </c>
      <c r="L501" s="3" t="s">
        <v>80</v>
      </c>
      <c r="O501" s="4">
        <v>5</v>
      </c>
      <c r="P501" s="4" t="s">
        <v>81</v>
      </c>
      <c r="Q501" s="4"/>
      <c r="R501" s="5"/>
      <c r="S501" s="6"/>
      <c r="T501" s="17"/>
      <c r="U501" s="6"/>
      <c r="V501" s="4"/>
      <c r="W501" s="4"/>
      <c r="X501" s="4"/>
      <c r="Y501" s="7">
        <v>4</v>
      </c>
      <c r="Z501" s="8">
        <v>102872</v>
      </c>
      <c r="AA501" s="7" t="s">
        <v>82</v>
      </c>
      <c r="AB501" s="7"/>
      <c r="AC501" s="9">
        <v>4</v>
      </c>
      <c r="AD501" s="10">
        <v>102872</v>
      </c>
      <c r="AE501" s="9" t="s">
        <v>82</v>
      </c>
      <c r="AF501" s="9"/>
      <c r="AG501" s="11">
        <v>3</v>
      </c>
      <c r="AH501" s="11" t="s">
        <v>83</v>
      </c>
      <c r="AI501" s="11"/>
      <c r="AJ501" s="11"/>
      <c r="AK501" s="11"/>
      <c r="AL501" s="12">
        <v>3</v>
      </c>
      <c r="AM501" s="12" t="s">
        <v>83</v>
      </c>
      <c r="AN501" s="12"/>
      <c r="AO501" s="12"/>
      <c r="AP501" s="12"/>
      <c r="AQ501" s="4">
        <v>3</v>
      </c>
      <c r="AR501" s="4" t="s">
        <v>83</v>
      </c>
      <c r="AS501" s="4"/>
      <c r="AT501" s="13"/>
      <c r="AU501" s="13"/>
      <c r="AV501" s="13"/>
      <c r="AW501" s="13"/>
      <c r="AX501" s="4"/>
      <c r="AY501" s="13"/>
      <c r="AZ501" s="13"/>
      <c r="BA501" s="13"/>
      <c r="BB501" s="13"/>
      <c r="BC501" s="4"/>
      <c r="BD501" s="4"/>
      <c r="BE501" s="4"/>
      <c r="BF501" s="13"/>
      <c r="BG501" s="4"/>
      <c r="BH501" s="13"/>
      <c r="BI501" s="13"/>
      <c r="BJ501" s="4"/>
      <c r="BK501" s="14">
        <v>15</v>
      </c>
      <c r="BL501" s="14">
        <v>15</v>
      </c>
      <c r="BM501" s="14">
        <v>15</v>
      </c>
      <c r="BN501" s="3" t="s">
        <v>86</v>
      </c>
      <c r="BP501" s="15"/>
      <c r="BQ501" s="15"/>
      <c r="BR501" s="2" t="s">
        <v>121</v>
      </c>
      <c r="BS501" s="2" t="s">
        <v>121</v>
      </c>
      <c r="BT501" s="7" t="s">
        <v>98</v>
      </c>
      <c r="BU501" s="7"/>
      <c r="BV501" s="9" t="s">
        <v>98</v>
      </c>
      <c r="BW501" s="9"/>
    </row>
    <row r="502" spans="1:75" ht="14.25" customHeight="1" x14ac:dyDescent="0.25">
      <c r="A502" s="1">
        <v>1084</v>
      </c>
      <c r="B502" s="1" t="s">
        <v>2398</v>
      </c>
      <c r="C502" s="1" t="s">
        <v>2399</v>
      </c>
      <c r="D502" s="1" t="s">
        <v>77</v>
      </c>
      <c r="E502" s="1" t="s">
        <v>2396</v>
      </c>
      <c r="F502" s="1" t="s">
        <v>2400</v>
      </c>
      <c r="G502" s="1" t="s">
        <v>118</v>
      </c>
      <c r="H502" s="2">
        <v>0</v>
      </c>
      <c r="I502" s="2">
        <v>0</v>
      </c>
      <c r="J502" s="2">
        <v>0</v>
      </c>
      <c r="K502" s="2">
        <v>1</v>
      </c>
      <c r="L502" s="3" t="s">
        <v>80</v>
      </c>
      <c r="O502" s="4">
        <v>3</v>
      </c>
      <c r="P502" s="4" t="s">
        <v>81</v>
      </c>
      <c r="Q502" s="4"/>
      <c r="R502" s="5"/>
      <c r="S502" s="6"/>
      <c r="T502" s="17"/>
      <c r="U502" s="6"/>
      <c r="V502" s="4"/>
      <c r="W502" s="4"/>
      <c r="X502" s="4"/>
      <c r="Y502" s="7">
        <v>3</v>
      </c>
      <c r="Z502" s="8">
        <v>413251</v>
      </c>
      <c r="AA502" s="7" t="s">
        <v>82</v>
      </c>
      <c r="AB502" s="7"/>
      <c r="AC502" s="9">
        <v>3</v>
      </c>
      <c r="AD502" s="10">
        <v>413251</v>
      </c>
      <c r="AE502" s="9" t="s">
        <v>82</v>
      </c>
      <c r="AF502" s="9"/>
      <c r="AG502" s="11">
        <v>4</v>
      </c>
      <c r="AH502" s="11" t="s">
        <v>83</v>
      </c>
      <c r="AI502" s="11"/>
      <c r="AJ502" s="11"/>
      <c r="AK502" s="11"/>
      <c r="AL502" s="12">
        <v>4</v>
      </c>
      <c r="AM502" s="12" t="s">
        <v>83</v>
      </c>
      <c r="AN502" s="12"/>
      <c r="AO502" s="12"/>
      <c r="AP502" s="12"/>
      <c r="AQ502" s="4">
        <v>3</v>
      </c>
      <c r="AR502" s="4" t="s">
        <v>83</v>
      </c>
      <c r="AS502" s="4"/>
      <c r="AT502" s="13"/>
      <c r="AU502" s="13"/>
      <c r="AV502" s="13"/>
      <c r="AW502" s="13"/>
      <c r="AX502" s="4"/>
      <c r="AY502" s="13"/>
      <c r="AZ502" s="13"/>
      <c r="BA502" s="13"/>
      <c r="BB502" s="13"/>
      <c r="BC502" s="4"/>
      <c r="BD502" s="4"/>
      <c r="BE502" s="4"/>
      <c r="BF502" s="13"/>
      <c r="BG502" s="4"/>
      <c r="BH502" s="13"/>
      <c r="BI502" s="13"/>
      <c r="BJ502" s="4"/>
      <c r="BK502" s="14">
        <v>13</v>
      </c>
      <c r="BL502" s="14">
        <v>13</v>
      </c>
      <c r="BM502" s="14">
        <v>13</v>
      </c>
      <c r="BP502" s="15"/>
      <c r="BQ502" s="15"/>
      <c r="BR502" s="2" t="s">
        <v>121</v>
      </c>
      <c r="BS502" s="2" t="s">
        <v>121</v>
      </c>
      <c r="BT502" s="7" t="s">
        <v>109</v>
      </c>
      <c r="BU502" s="7"/>
      <c r="BV502" s="9" t="s">
        <v>109</v>
      </c>
      <c r="BW502" s="9"/>
    </row>
    <row r="503" spans="1:75" ht="14.25" customHeight="1" x14ac:dyDescent="0.25">
      <c r="A503" s="1">
        <v>1085</v>
      </c>
      <c r="B503" s="1" t="s">
        <v>2401</v>
      </c>
      <c r="C503" s="1" t="s">
        <v>2402</v>
      </c>
      <c r="D503" s="1" t="s">
        <v>77</v>
      </c>
      <c r="E503" s="1" t="s">
        <v>2396</v>
      </c>
      <c r="F503" s="1" t="s">
        <v>2400</v>
      </c>
      <c r="G503" s="1"/>
      <c r="H503" s="2">
        <v>0</v>
      </c>
      <c r="I503" s="2">
        <v>0</v>
      </c>
      <c r="J503" s="2">
        <v>1</v>
      </c>
      <c r="K503" s="2">
        <v>1</v>
      </c>
      <c r="L503" s="3" t="s">
        <v>80</v>
      </c>
      <c r="O503" s="4">
        <v>4</v>
      </c>
      <c r="P503" s="4" t="s">
        <v>112</v>
      </c>
      <c r="Q503" s="4"/>
      <c r="R503" s="5"/>
      <c r="S503" s="6"/>
      <c r="T503" s="17"/>
      <c r="U503" s="6"/>
      <c r="V503" s="4"/>
      <c r="W503" s="4"/>
      <c r="X503" s="4"/>
      <c r="Y503" s="7">
        <v>4</v>
      </c>
      <c r="Z503" s="8">
        <v>91922</v>
      </c>
      <c r="AA503" s="7" t="s">
        <v>92</v>
      </c>
      <c r="AB503" s="7"/>
      <c r="AC503" s="9">
        <v>4</v>
      </c>
      <c r="AD503" s="10">
        <v>91922</v>
      </c>
      <c r="AE503" s="9" t="s">
        <v>92</v>
      </c>
      <c r="AF503" s="9"/>
      <c r="AG503" s="11">
        <v>3</v>
      </c>
      <c r="AH503" s="11" t="s">
        <v>93</v>
      </c>
      <c r="AI503" s="11"/>
      <c r="AJ503" s="11"/>
      <c r="AK503" s="11"/>
      <c r="AL503" s="12">
        <v>3</v>
      </c>
      <c r="AM503" s="12" t="s">
        <v>93</v>
      </c>
      <c r="AN503" s="12" t="s">
        <v>805</v>
      </c>
      <c r="AO503" s="12"/>
      <c r="AP503" s="12"/>
      <c r="AQ503" s="4">
        <v>4</v>
      </c>
      <c r="AR503" s="4" t="s">
        <v>83</v>
      </c>
      <c r="AS503" s="4"/>
      <c r="AT503" s="13"/>
      <c r="AU503" s="13"/>
      <c r="AV503" s="13"/>
      <c r="AW503" s="13"/>
      <c r="AX503" s="4"/>
      <c r="AY503" s="13"/>
      <c r="AZ503" s="13"/>
      <c r="BA503" s="13"/>
      <c r="BB503" s="13"/>
      <c r="BC503" s="4"/>
      <c r="BD503" s="4"/>
      <c r="BE503" s="4"/>
      <c r="BF503" s="13"/>
      <c r="BG503" s="4"/>
      <c r="BH503" s="13"/>
      <c r="BI503" s="13"/>
      <c r="BJ503" s="4"/>
      <c r="BK503" s="14">
        <v>15</v>
      </c>
      <c r="BL503" s="14">
        <v>15</v>
      </c>
      <c r="BM503" s="14">
        <v>15</v>
      </c>
      <c r="BN503" s="3" t="s">
        <v>86</v>
      </c>
      <c r="BP503" s="15"/>
      <c r="BQ503" s="15"/>
      <c r="BR503" s="2" t="s">
        <v>108</v>
      </c>
      <c r="BS503" s="2" t="s">
        <v>108</v>
      </c>
      <c r="BT503" s="7" t="s">
        <v>109</v>
      </c>
      <c r="BU503" s="7"/>
      <c r="BV503" s="9" t="s">
        <v>109</v>
      </c>
      <c r="BW503" s="9"/>
    </row>
    <row r="504" spans="1:75" ht="14.25" customHeight="1" x14ac:dyDescent="0.25">
      <c r="A504" s="1">
        <v>1086</v>
      </c>
      <c r="B504" s="1" t="s">
        <v>2403</v>
      </c>
      <c r="C504" s="1" t="s">
        <v>2404</v>
      </c>
      <c r="D504" s="1" t="s">
        <v>77</v>
      </c>
      <c r="E504" s="1" t="s">
        <v>2396</v>
      </c>
      <c r="F504" s="1" t="s">
        <v>2400</v>
      </c>
      <c r="G504" s="1"/>
      <c r="H504" s="2">
        <v>0</v>
      </c>
      <c r="I504" s="2">
        <v>0</v>
      </c>
      <c r="J504" s="2">
        <v>0</v>
      </c>
      <c r="K504" s="2">
        <v>1</v>
      </c>
      <c r="L504" s="3" t="s">
        <v>80</v>
      </c>
      <c r="O504" s="4">
        <v>3</v>
      </c>
      <c r="P504" s="4" t="s">
        <v>81</v>
      </c>
      <c r="Q504" s="4"/>
      <c r="R504" s="5"/>
      <c r="S504" s="6"/>
      <c r="T504" s="17"/>
      <c r="U504" s="6"/>
      <c r="V504" s="4"/>
      <c r="W504" s="4"/>
      <c r="X504" s="4"/>
      <c r="Y504" s="7">
        <v>4</v>
      </c>
      <c r="Z504" s="8">
        <v>178018</v>
      </c>
      <c r="AA504" s="7" t="s">
        <v>82</v>
      </c>
      <c r="AB504" s="7"/>
      <c r="AC504" s="9">
        <v>4</v>
      </c>
      <c r="AD504" s="10">
        <v>178018</v>
      </c>
      <c r="AE504" s="9" t="s">
        <v>82</v>
      </c>
      <c r="AF504" s="9"/>
      <c r="AG504" s="11">
        <v>4</v>
      </c>
      <c r="AH504" s="11" t="s">
        <v>83</v>
      </c>
      <c r="AI504" s="11"/>
      <c r="AJ504" s="11"/>
      <c r="AK504" s="11"/>
      <c r="AL504" s="12">
        <v>4</v>
      </c>
      <c r="AM504" s="12" t="s">
        <v>83</v>
      </c>
      <c r="AN504" s="12"/>
      <c r="AO504" s="12"/>
      <c r="AP504" s="12"/>
      <c r="AQ504" s="4">
        <v>5</v>
      </c>
      <c r="AR504" s="4" t="s">
        <v>83</v>
      </c>
      <c r="AS504" s="4"/>
      <c r="AT504" s="13"/>
      <c r="AU504" s="13"/>
      <c r="AV504" s="13"/>
      <c r="AW504" s="13"/>
      <c r="AX504" s="4"/>
      <c r="AY504" s="13"/>
      <c r="AZ504" s="13"/>
      <c r="BA504" s="13"/>
      <c r="BB504" s="13"/>
      <c r="BC504" s="4"/>
      <c r="BD504" s="4"/>
      <c r="BE504" s="4"/>
      <c r="BF504" s="13"/>
      <c r="BG504" s="4"/>
      <c r="BH504" s="13"/>
      <c r="BI504" s="13"/>
      <c r="BJ504" s="4"/>
      <c r="BK504" s="14">
        <v>16</v>
      </c>
      <c r="BL504" s="14">
        <v>16</v>
      </c>
      <c r="BM504" s="14">
        <v>16</v>
      </c>
      <c r="BN504" s="3" t="s">
        <v>312</v>
      </c>
      <c r="BP504" s="15"/>
      <c r="BQ504" s="15"/>
      <c r="BR504" s="2" t="s">
        <v>121</v>
      </c>
      <c r="BS504" s="2" t="s">
        <v>121</v>
      </c>
      <c r="BT504" s="7" t="s">
        <v>98</v>
      </c>
      <c r="BU504" s="7"/>
      <c r="BV504" s="9" t="s">
        <v>98</v>
      </c>
      <c r="BW504" s="9"/>
    </row>
    <row r="505" spans="1:75" ht="14.25" customHeight="1" x14ac:dyDescent="0.25">
      <c r="A505" s="1">
        <v>1087</v>
      </c>
      <c r="B505" s="1" t="s">
        <v>2405</v>
      </c>
      <c r="C505" s="1" t="s">
        <v>2406</v>
      </c>
      <c r="D505" s="1" t="s">
        <v>77</v>
      </c>
      <c r="E505" s="1" t="s">
        <v>2396</v>
      </c>
      <c r="F505" s="1" t="s">
        <v>2400</v>
      </c>
      <c r="G505" s="1" t="s">
        <v>2407</v>
      </c>
      <c r="H505" s="2">
        <v>0</v>
      </c>
      <c r="I505" s="2">
        <v>0</v>
      </c>
      <c r="J505" s="2">
        <v>0</v>
      </c>
      <c r="K505" s="2">
        <v>1</v>
      </c>
      <c r="L505" s="3" t="s">
        <v>80</v>
      </c>
      <c r="O505" s="4">
        <v>3</v>
      </c>
      <c r="P505" s="4" t="s">
        <v>81</v>
      </c>
      <c r="Q505" s="4"/>
      <c r="R505" s="5"/>
      <c r="S505" s="6"/>
      <c r="T505" s="17"/>
      <c r="U505" s="6"/>
      <c r="V505" s="4"/>
      <c r="W505" s="4"/>
      <c r="X505" s="4"/>
      <c r="Y505" s="7">
        <v>3</v>
      </c>
      <c r="Z505" s="8">
        <v>479439</v>
      </c>
      <c r="AA505" s="7" t="s">
        <v>82</v>
      </c>
      <c r="AB505" s="7"/>
      <c r="AC505" s="9">
        <v>3</v>
      </c>
      <c r="AD505" s="10">
        <v>479439</v>
      </c>
      <c r="AE505" s="9" t="s">
        <v>82</v>
      </c>
      <c r="AF505" s="9"/>
      <c r="AG505" s="11">
        <v>4</v>
      </c>
      <c r="AH505" s="11" t="s">
        <v>83</v>
      </c>
      <c r="AI505" s="11"/>
      <c r="AJ505" s="11"/>
      <c r="AK505" s="11"/>
      <c r="AL505" s="12">
        <v>4</v>
      </c>
      <c r="AM505" s="12" t="s">
        <v>83</v>
      </c>
      <c r="AN505" s="12"/>
      <c r="AO505" s="12"/>
      <c r="AP505" s="12"/>
      <c r="AQ505" s="4">
        <v>4</v>
      </c>
      <c r="AR505" s="4" t="s">
        <v>83</v>
      </c>
      <c r="AS505" s="4"/>
      <c r="AT505" s="13"/>
      <c r="AU505" s="13"/>
      <c r="AV505" s="13"/>
      <c r="AW505" s="13"/>
      <c r="AX505" s="4"/>
      <c r="AY505" s="13"/>
      <c r="AZ505" s="13"/>
      <c r="BA505" s="13"/>
      <c r="BB505" s="13"/>
      <c r="BC505" s="4"/>
      <c r="BD505" s="4"/>
      <c r="BE505" s="4"/>
      <c r="BF505" s="13"/>
      <c r="BG505" s="4"/>
      <c r="BH505" s="13"/>
      <c r="BI505" s="13"/>
      <c r="BJ505" s="4"/>
      <c r="BK505" s="14">
        <v>14</v>
      </c>
      <c r="BL505" s="14">
        <v>14</v>
      </c>
      <c r="BM505" s="14">
        <v>14</v>
      </c>
      <c r="BN505" s="3" t="s">
        <v>86</v>
      </c>
      <c r="BP505" s="15"/>
      <c r="BQ505" s="15"/>
      <c r="BR505" s="2" t="s">
        <v>740</v>
      </c>
      <c r="BS505" s="2" t="s">
        <v>740</v>
      </c>
      <c r="BT505" s="7" t="s">
        <v>98</v>
      </c>
      <c r="BU505" s="7"/>
      <c r="BV505" s="9" t="s">
        <v>98</v>
      </c>
      <c r="BW505" s="9"/>
    </row>
    <row r="506" spans="1:75" ht="14.25" customHeight="1" x14ac:dyDescent="0.25">
      <c r="A506" s="1">
        <v>1088</v>
      </c>
      <c r="B506" s="1" t="s">
        <v>2408</v>
      </c>
      <c r="C506" s="1" t="s">
        <v>2409</v>
      </c>
      <c r="D506" s="1" t="s">
        <v>77</v>
      </c>
      <c r="E506" s="1" t="s">
        <v>2396</v>
      </c>
      <c r="F506" s="1" t="s">
        <v>2400</v>
      </c>
      <c r="G506" s="1"/>
      <c r="H506" s="2">
        <v>0</v>
      </c>
      <c r="I506" s="2">
        <v>0</v>
      </c>
      <c r="J506" s="2">
        <v>0</v>
      </c>
      <c r="K506" s="2">
        <v>1</v>
      </c>
      <c r="L506" s="3" t="s">
        <v>80</v>
      </c>
      <c r="O506" s="4">
        <v>3</v>
      </c>
      <c r="P506" s="4" t="s">
        <v>81</v>
      </c>
      <c r="Q506" s="4"/>
      <c r="R506" s="5"/>
      <c r="S506" s="6"/>
      <c r="T506" s="17"/>
      <c r="U506" s="6"/>
      <c r="V506" s="4"/>
      <c r="W506" s="4"/>
      <c r="X506" s="4"/>
      <c r="Y506" s="7">
        <v>2</v>
      </c>
      <c r="Z506" s="8">
        <v>3233721</v>
      </c>
      <c r="AA506" s="7" t="s">
        <v>82</v>
      </c>
      <c r="AB506" s="7"/>
      <c r="AC506" s="9">
        <v>2</v>
      </c>
      <c r="AD506" s="10">
        <v>3233721</v>
      </c>
      <c r="AE506" s="9" t="s">
        <v>82</v>
      </c>
      <c r="AF506" s="9"/>
      <c r="AG506" s="11">
        <v>4</v>
      </c>
      <c r="AH506" s="11" t="s">
        <v>83</v>
      </c>
      <c r="AI506" s="11"/>
      <c r="AJ506" s="11"/>
      <c r="AK506" s="11"/>
      <c r="AL506" s="12">
        <v>4</v>
      </c>
      <c r="AM506" s="12" t="s">
        <v>83</v>
      </c>
      <c r="AN506" s="12"/>
      <c r="AO506" s="12"/>
      <c r="AP506" s="12"/>
      <c r="AQ506" s="4">
        <v>4</v>
      </c>
      <c r="AR506" s="4" t="s">
        <v>83</v>
      </c>
      <c r="AS506" s="4"/>
      <c r="AT506" s="13"/>
      <c r="AU506" s="13"/>
      <c r="AV506" s="13"/>
      <c r="AW506" s="13"/>
      <c r="AX506" s="4"/>
      <c r="AY506" s="13"/>
      <c r="AZ506" s="13"/>
      <c r="BA506" s="13"/>
      <c r="BB506" s="13"/>
      <c r="BC506" s="4"/>
      <c r="BD506" s="4"/>
      <c r="BE506" s="4"/>
      <c r="BF506" s="13"/>
      <c r="BG506" s="4"/>
      <c r="BH506" s="13"/>
      <c r="BI506" s="13"/>
      <c r="BJ506" s="4"/>
      <c r="BK506" s="14">
        <v>13</v>
      </c>
      <c r="BL506" s="14">
        <v>13</v>
      </c>
      <c r="BM506" s="14">
        <v>13</v>
      </c>
      <c r="BP506" s="15"/>
      <c r="BQ506" s="15"/>
      <c r="BR506" s="2" t="s">
        <v>97</v>
      </c>
      <c r="BS506" s="2" t="s">
        <v>97</v>
      </c>
      <c r="BT506" s="7" t="s">
        <v>98</v>
      </c>
      <c r="BU506" s="7"/>
      <c r="BV506" s="9" t="s">
        <v>98</v>
      </c>
      <c r="BW506" s="9"/>
    </row>
    <row r="507" spans="1:75" ht="14.25" customHeight="1" x14ac:dyDescent="0.25">
      <c r="A507" s="1">
        <v>1089</v>
      </c>
      <c r="B507" s="1" t="s">
        <v>2410</v>
      </c>
      <c r="C507" s="1" t="s">
        <v>2411</v>
      </c>
      <c r="D507" s="1" t="s">
        <v>77</v>
      </c>
      <c r="E507" s="1" t="s">
        <v>2396</v>
      </c>
      <c r="F507" s="1" t="s">
        <v>2400</v>
      </c>
      <c r="G507" s="1" t="s">
        <v>118</v>
      </c>
      <c r="H507" s="2">
        <v>0</v>
      </c>
      <c r="I507" s="2">
        <v>0</v>
      </c>
      <c r="J507" s="2">
        <v>1</v>
      </c>
      <c r="K507" s="2">
        <v>1</v>
      </c>
      <c r="L507" s="3" t="s">
        <v>80</v>
      </c>
      <c r="O507" s="4">
        <v>4</v>
      </c>
      <c r="P507" s="4" t="s">
        <v>112</v>
      </c>
      <c r="Q507" s="4"/>
      <c r="R507" s="5"/>
      <c r="S507" s="6"/>
      <c r="T507" s="17"/>
      <c r="U507" s="6"/>
      <c r="V507" s="4"/>
      <c r="W507" s="4"/>
      <c r="X507" s="4"/>
      <c r="Y507" s="7">
        <v>4</v>
      </c>
      <c r="Z507" s="8">
        <v>284499</v>
      </c>
      <c r="AA507" s="7" t="s">
        <v>92</v>
      </c>
      <c r="AB507" s="7"/>
      <c r="AC507" s="9">
        <v>4</v>
      </c>
      <c r="AD507" s="10">
        <v>284499</v>
      </c>
      <c r="AE507" s="9" t="s">
        <v>92</v>
      </c>
      <c r="AF507" s="9"/>
      <c r="AG507" s="11">
        <v>3</v>
      </c>
      <c r="AH507" s="11" t="s">
        <v>93</v>
      </c>
      <c r="AI507" s="11"/>
      <c r="AJ507" s="11"/>
      <c r="AK507" s="11"/>
      <c r="AL507" s="12">
        <v>3</v>
      </c>
      <c r="AM507" s="12" t="s">
        <v>93</v>
      </c>
      <c r="AN507" s="12" t="s">
        <v>805</v>
      </c>
      <c r="AO507" s="12"/>
      <c r="AP507" s="12"/>
      <c r="AQ507" s="4">
        <v>4</v>
      </c>
      <c r="AR507" s="4" t="s">
        <v>83</v>
      </c>
      <c r="AS507" s="4"/>
      <c r="AT507" s="13"/>
      <c r="AU507" s="13"/>
      <c r="AV507" s="13"/>
      <c r="AW507" s="13"/>
      <c r="AX507" s="4"/>
      <c r="AY507" s="13"/>
      <c r="AZ507" s="13"/>
      <c r="BA507" s="13"/>
      <c r="BB507" s="13"/>
      <c r="BC507" s="4"/>
      <c r="BD507" s="4"/>
      <c r="BE507" s="4"/>
      <c r="BF507" s="13"/>
      <c r="BG507" s="4"/>
      <c r="BH507" s="13"/>
      <c r="BI507" s="13"/>
      <c r="BJ507" s="4"/>
      <c r="BK507" s="14">
        <v>15</v>
      </c>
      <c r="BL507" s="14">
        <v>15</v>
      </c>
      <c r="BM507" s="14">
        <v>15</v>
      </c>
      <c r="BN507" s="3" t="s">
        <v>86</v>
      </c>
      <c r="BP507" s="15"/>
      <c r="BQ507" s="15"/>
      <c r="BR507" s="2" t="s">
        <v>115</v>
      </c>
      <c r="BS507" s="2" t="s">
        <v>115</v>
      </c>
      <c r="BT507" s="7" t="s">
        <v>98</v>
      </c>
      <c r="BU507" s="7"/>
      <c r="BV507" s="9" t="s">
        <v>98</v>
      </c>
      <c r="BW507" s="9"/>
    </row>
    <row r="508" spans="1:75" ht="14.25" customHeight="1" x14ac:dyDescent="0.25">
      <c r="A508" s="1">
        <v>1090</v>
      </c>
      <c r="B508" s="1" t="s">
        <v>2412</v>
      </c>
      <c r="C508" s="1" t="s">
        <v>2413</v>
      </c>
      <c r="D508" s="1" t="s">
        <v>77</v>
      </c>
      <c r="E508" s="1" t="s">
        <v>2396</v>
      </c>
      <c r="F508" s="1" t="s">
        <v>2400</v>
      </c>
      <c r="G508" s="1"/>
      <c r="H508" s="2">
        <v>0</v>
      </c>
      <c r="I508" s="2">
        <v>0</v>
      </c>
      <c r="J508" s="2">
        <v>0</v>
      </c>
      <c r="K508" s="2">
        <v>1</v>
      </c>
      <c r="L508" s="3" t="s">
        <v>80</v>
      </c>
      <c r="O508" s="4">
        <v>4</v>
      </c>
      <c r="P508" s="4" t="s">
        <v>81</v>
      </c>
      <c r="Q508" s="4"/>
      <c r="R508" s="5"/>
      <c r="S508" s="6"/>
      <c r="T508" s="17"/>
      <c r="U508" s="6"/>
      <c r="V508" s="4"/>
      <c r="W508" s="4"/>
      <c r="X508" s="4"/>
      <c r="Y508" s="7">
        <v>5</v>
      </c>
      <c r="Z508" s="8">
        <v>29728</v>
      </c>
      <c r="AA508" s="7" t="s">
        <v>82</v>
      </c>
      <c r="AB508" s="7"/>
      <c r="AC508" s="9">
        <v>5</v>
      </c>
      <c r="AD508" s="10">
        <v>29728</v>
      </c>
      <c r="AE508" s="9" t="s">
        <v>82</v>
      </c>
      <c r="AF508" s="9"/>
      <c r="AG508" s="11">
        <v>3</v>
      </c>
      <c r="AH508" s="11" t="s">
        <v>83</v>
      </c>
      <c r="AI508" s="11"/>
      <c r="AJ508" s="11"/>
      <c r="AK508" s="11"/>
      <c r="AL508" s="12">
        <v>3</v>
      </c>
      <c r="AM508" s="12" t="s">
        <v>83</v>
      </c>
      <c r="AN508" s="12"/>
      <c r="AO508" s="12"/>
      <c r="AP508" s="12"/>
      <c r="AQ508" s="4">
        <v>4</v>
      </c>
      <c r="AR508" s="4" t="s">
        <v>83</v>
      </c>
      <c r="AS508" s="4"/>
      <c r="AT508" s="13"/>
      <c r="AU508" s="13"/>
      <c r="AV508" s="13"/>
      <c r="AW508" s="13"/>
      <c r="AX508" s="4"/>
      <c r="AY508" s="13"/>
      <c r="AZ508" s="13"/>
      <c r="BA508" s="13"/>
      <c r="BB508" s="13"/>
      <c r="BC508" s="4"/>
      <c r="BD508" s="4"/>
      <c r="BE508" s="4"/>
      <c r="BF508" s="13"/>
      <c r="BG508" s="4"/>
      <c r="BH508" s="13"/>
      <c r="BI508" s="13"/>
      <c r="BJ508" s="4"/>
      <c r="BK508" s="14">
        <v>16</v>
      </c>
      <c r="BL508" s="14">
        <v>16</v>
      </c>
      <c r="BM508" s="14">
        <v>16</v>
      </c>
      <c r="BN508" s="3" t="s">
        <v>86</v>
      </c>
      <c r="BP508" s="15"/>
      <c r="BQ508" s="15"/>
      <c r="BR508" s="2" t="s">
        <v>108</v>
      </c>
      <c r="BS508" s="2" t="s">
        <v>108</v>
      </c>
      <c r="BT508" s="7" t="s">
        <v>98</v>
      </c>
      <c r="BU508" s="7"/>
      <c r="BV508" s="9" t="s">
        <v>98</v>
      </c>
      <c r="BW508" s="9"/>
    </row>
    <row r="509" spans="1:75" ht="14.25" customHeight="1" x14ac:dyDescent="0.25">
      <c r="A509" s="1">
        <v>1091</v>
      </c>
      <c r="B509" s="1" t="s">
        <v>2414</v>
      </c>
      <c r="C509" s="1" t="s">
        <v>2415</v>
      </c>
      <c r="D509" s="1" t="s">
        <v>77</v>
      </c>
      <c r="E509" s="1" t="s">
        <v>2396</v>
      </c>
      <c r="F509" s="1" t="s">
        <v>2400</v>
      </c>
      <c r="G509" s="1"/>
      <c r="H509" s="2">
        <v>0</v>
      </c>
      <c r="I509" s="2">
        <v>0</v>
      </c>
      <c r="J509" s="2">
        <v>0</v>
      </c>
      <c r="K509" s="2">
        <v>1</v>
      </c>
      <c r="L509" s="3" t="s">
        <v>80</v>
      </c>
      <c r="O509" s="4">
        <v>3</v>
      </c>
      <c r="P509" s="4" t="s">
        <v>81</v>
      </c>
      <c r="Q509" s="4"/>
      <c r="R509" s="5"/>
      <c r="S509" s="6"/>
      <c r="T509" s="17"/>
      <c r="U509" s="6"/>
      <c r="V509" s="4"/>
      <c r="W509" s="4"/>
      <c r="X509" s="4"/>
      <c r="Y509" s="7">
        <v>4</v>
      </c>
      <c r="Z509" s="8">
        <v>118630</v>
      </c>
      <c r="AA509" s="7" t="s">
        <v>82</v>
      </c>
      <c r="AB509" s="7"/>
      <c r="AC509" s="9">
        <v>4</v>
      </c>
      <c r="AD509" s="10">
        <v>118630</v>
      </c>
      <c r="AE509" s="9" t="s">
        <v>82</v>
      </c>
      <c r="AF509" s="9"/>
      <c r="AG509" s="11">
        <v>4</v>
      </c>
      <c r="AH509" s="11" t="s">
        <v>83</v>
      </c>
      <c r="AI509" s="11"/>
      <c r="AJ509" s="11"/>
      <c r="AK509" s="11"/>
      <c r="AL509" s="12">
        <v>4</v>
      </c>
      <c r="AM509" s="12" t="s">
        <v>83</v>
      </c>
      <c r="AN509" s="12"/>
      <c r="AO509" s="12"/>
      <c r="AP509" s="12"/>
      <c r="AQ509" s="4">
        <v>3</v>
      </c>
      <c r="AR509" s="4" t="s">
        <v>83</v>
      </c>
      <c r="AS509" s="4"/>
      <c r="AT509" s="13"/>
      <c r="AU509" s="13"/>
      <c r="AV509" s="13"/>
      <c r="AW509" s="13"/>
      <c r="AX509" s="4"/>
      <c r="AY509" s="13"/>
      <c r="AZ509" s="13"/>
      <c r="BA509" s="13"/>
      <c r="BB509" s="13"/>
      <c r="BC509" s="4"/>
      <c r="BD509" s="4"/>
      <c r="BE509" s="4"/>
      <c r="BF509" s="13"/>
      <c r="BG509" s="4"/>
      <c r="BH509" s="13"/>
      <c r="BI509" s="13"/>
      <c r="BJ509" s="4"/>
      <c r="BK509" s="14">
        <v>14</v>
      </c>
      <c r="BL509" s="14">
        <v>14</v>
      </c>
      <c r="BM509" s="14">
        <v>14</v>
      </c>
      <c r="BN509" s="3" t="s">
        <v>86</v>
      </c>
      <c r="BP509" s="15"/>
      <c r="BQ509" s="15"/>
      <c r="BR509" s="2" t="s">
        <v>121</v>
      </c>
      <c r="BS509" s="2" t="s">
        <v>121</v>
      </c>
      <c r="BT509" s="7" t="s">
        <v>98</v>
      </c>
      <c r="BU509" s="7"/>
      <c r="BV509" s="9" t="s">
        <v>98</v>
      </c>
      <c r="BW509" s="9"/>
    </row>
    <row r="510" spans="1:75" ht="14.25" customHeight="1" x14ac:dyDescent="0.25">
      <c r="A510" s="1">
        <v>1092</v>
      </c>
      <c r="B510" s="1" t="s">
        <v>2416</v>
      </c>
      <c r="C510" s="1" t="s">
        <v>2417</v>
      </c>
      <c r="D510" s="1" t="s">
        <v>77</v>
      </c>
      <c r="E510" s="1" t="s">
        <v>2396</v>
      </c>
      <c r="F510" s="1" t="s">
        <v>2400</v>
      </c>
      <c r="G510" s="1" t="s">
        <v>2418</v>
      </c>
      <c r="H510" s="2">
        <v>0</v>
      </c>
      <c r="I510" s="2">
        <v>0</v>
      </c>
      <c r="J510" s="2">
        <v>0</v>
      </c>
      <c r="K510" s="2">
        <v>1</v>
      </c>
      <c r="L510" s="3" t="s">
        <v>80</v>
      </c>
      <c r="O510" s="4">
        <v>2</v>
      </c>
      <c r="P510" s="4" t="s">
        <v>81</v>
      </c>
      <c r="Q510" s="4"/>
      <c r="R510" s="5"/>
      <c r="S510" s="6"/>
      <c r="T510" s="17"/>
      <c r="U510" s="6"/>
      <c r="V510" s="4"/>
      <c r="W510" s="4"/>
      <c r="X510" s="4"/>
      <c r="Y510" s="7">
        <v>1</v>
      </c>
      <c r="Z510" s="8">
        <v>4970351</v>
      </c>
      <c r="AA510" s="7" t="s">
        <v>82</v>
      </c>
      <c r="AB510" s="7"/>
      <c r="AC510" s="9">
        <v>1</v>
      </c>
      <c r="AD510" s="10">
        <v>4970351</v>
      </c>
      <c r="AE510" s="9" t="s">
        <v>82</v>
      </c>
      <c r="AF510" s="9"/>
      <c r="AG510" s="11">
        <v>3</v>
      </c>
      <c r="AH510" s="11" t="s">
        <v>83</v>
      </c>
      <c r="AI510" s="11"/>
      <c r="AJ510" s="11"/>
      <c r="AK510" s="11"/>
      <c r="AL510" s="12">
        <v>3</v>
      </c>
      <c r="AM510" s="12" t="s">
        <v>83</v>
      </c>
      <c r="AN510" s="12"/>
      <c r="AO510" s="12"/>
      <c r="AP510" s="12"/>
      <c r="AQ510" s="4">
        <v>4</v>
      </c>
      <c r="AR510" s="4" t="s">
        <v>83</v>
      </c>
      <c r="AS510" s="4"/>
      <c r="AT510" s="13"/>
      <c r="AU510" s="13"/>
      <c r="AV510" s="13"/>
      <c r="AW510" s="13"/>
      <c r="AX510" s="4"/>
      <c r="AY510" s="13"/>
      <c r="AZ510" s="13"/>
      <c r="BA510" s="13"/>
      <c r="BB510" s="13"/>
      <c r="BC510" s="4"/>
      <c r="BD510" s="4"/>
      <c r="BE510" s="4"/>
      <c r="BF510" s="13"/>
      <c r="BG510" s="4"/>
      <c r="BH510" s="13"/>
      <c r="BI510" s="13"/>
      <c r="BJ510" s="4"/>
      <c r="BK510" s="14">
        <v>10</v>
      </c>
      <c r="BL510" s="14">
        <v>10</v>
      </c>
      <c r="BM510" s="14">
        <v>10</v>
      </c>
      <c r="BP510" s="15"/>
      <c r="BQ510" s="15"/>
      <c r="BR510" s="2" t="s">
        <v>97</v>
      </c>
      <c r="BS510" s="2" t="s">
        <v>97</v>
      </c>
      <c r="BT510" s="7" t="s">
        <v>98</v>
      </c>
      <c r="BU510" s="7"/>
      <c r="BV510" s="9" t="s">
        <v>98</v>
      </c>
      <c r="BW510" s="9"/>
    </row>
    <row r="511" spans="1:75" ht="14.25" customHeight="1" x14ac:dyDescent="0.25">
      <c r="A511" s="1">
        <v>1093</v>
      </c>
      <c r="B511" s="1" t="s">
        <v>2419</v>
      </c>
      <c r="C511" s="1" t="s">
        <v>2420</v>
      </c>
      <c r="D511" s="1" t="s">
        <v>77</v>
      </c>
      <c r="E511" s="1" t="s">
        <v>2396</v>
      </c>
      <c r="F511" s="1" t="s">
        <v>2400</v>
      </c>
      <c r="G511" s="1" t="s">
        <v>2421</v>
      </c>
      <c r="H511" s="2">
        <v>0</v>
      </c>
      <c r="I511" s="2">
        <v>0</v>
      </c>
      <c r="J511" s="2">
        <v>1</v>
      </c>
      <c r="K511" s="2">
        <v>1</v>
      </c>
      <c r="L511" s="3" t="s">
        <v>80</v>
      </c>
      <c r="O511" s="4">
        <v>4</v>
      </c>
      <c r="P511" s="4" t="s">
        <v>112</v>
      </c>
      <c r="Q511" s="4"/>
      <c r="R511" s="5"/>
      <c r="S511" s="6"/>
      <c r="T511" s="17"/>
      <c r="U511" s="6"/>
      <c r="V511" s="4"/>
      <c r="W511" s="4"/>
      <c r="X511" s="4"/>
      <c r="Y511" s="7">
        <v>3</v>
      </c>
      <c r="Z511" s="8">
        <v>547193</v>
      </c>
      <c r="AA511" s="7" t="s">
        <v>92</v>
      </c>
      <c r="AB511" s="7"/>
      <c r="AC511" s="9">
        <v>3</v>
      </c>
      <c r="AD511" s="10">
        <v>547193</v>
      </c>
      <c r="AE511" s="9" t="s">
        <v>92</v>
      </c>
      <c r="AF511" s="9"/>
      <c r="AG511" s="11">
        <v>4</v>
      </c>
      <c r="AH511" s="11" t="s">
        <v>93</v>
      </c>
      <c r="AI511" s="11"/>
      <c r="AJ511" s="11"/>
      <c r="AK511" s="11"/>
      <c r="AL511" s="12">
        <v>4</v>
      </c>
      <c r="AM511" s="12" t="s">
        <v>93</v>
      </c>
      <c r="AN511" s="12" t="s">
        <v>2422</v>
      </c>
      <c r="AO511" s="12"/>
      <c r="AP511" s="12"/>
      <c r="AQ511" s="4">
        <v>5</v>
      </c>
      <c r="AR511" s="4" t="s">
        <v>83</v>
      </c>
      <c r="AS511" s="4" t="s">
        <v>2423</v>
      </c>
      <c r="AT511" s="13"/>
      <c r="AU511" s="13"/>
      <c r="AV511" s="13"/>
      <c r="AW511" s="13"/>
      <c r="AX511" s="4"/>
      <c r="AY511" s="13"/>
      <c r="AZ511" s="13"/>
      <c r="BA511" s="13"/>
      <c r="BB511" s="13"/>
      <c r="BC511" s="4"/>
      <c r="BD511" s="4"/>
      <c r="BE511" s="4"/>
      <c r="BF511" s="13"/>
      <c r="BG511" s="4"/>
      <c r="BH511" s="13"/>
      <c r="BI511" s="13"/>
      <c r="BJ511" s="4"/>
      <c r="BK511" s="14">
        <v>16</v>
      </c>
      <c r="BL511" s="14">
        <v>16</v>
      </c>
      <c r="BM511" s="14">
        <v>16</v>
      </c>
      <c r="BN511" s="3" t="s">
        <v>312</v>
      </c>
      <c r="BP511" s="15"/>
      <c r="BQ511" s="15"/>
      <c r="BR511" s="2" t="s">
        <v>400</v>
      </c>
      <c r="BS511" s="2" t="s">
        <v>400</v>
      </c>
      <c r="BT511" s="7" t="s">
        <v>98</v>
      </c>
      <c r="BU511" s="7"/>
      <c r="BV511" s="9" t="s">
        <v>98</v>
      </c>
      <c r="BW511" s="9"/>
    </row>
    <row r="512" spans="1:75" ht="14.25" customHeight="1" x14ac:dyDescent="0.25">
      <c r="A512" s="1">
        <v>1094</v>
      </c>
      <c r="B512" s="1" t="s">
        <v>2424</v>
      </c>
      <c r="C512" s="1" t="s">
        <v>2425</v>
      </c>
      <c r="D512" s="1" t="s">
        <v>77</v>
      </c>
      <c r="E512" s="1" t="s">
        <v>2396</v>
      </c>
      <c r="F512" s="1" t="s">
        <v>2400</v>
      </c>
      <c r="G512" s="1" t="s">
        <v>2421</v>
      </c>
      <c r="H512" s="2">
        <v>0</v>
      </c>
      <c r="I512" s="2">
        <v>0</v>
      </c>
      <c r="J512" s="2">
        <v>0</v>
      </c>
      <c r="K512" s="2">
        <v>1</v>
      </c>
      <c r="L512" s="3" t="s">
        <v>80</v>
      </c>
      <c r="O512" s="4">
        <v>2</v>
      </c>
      <c r="P512" s="4" t="s">
        <v>81</v>
      </c>
      <c r="Q512" s="4"/>
      <c r="R512" s="5"/>
      <c r="S512" s="6"/>
      <c r="T512" s="17"/>
      <c r="U512" s="6"/>
      <c r="V512" s="4"/>
      <c r="W512" s="4"/>
      <c r="X512" s="4"/>
      <c r="Y512" s="7">
        <v>2</v>
      </c>
      <c r="Z512" s="8">
        <v>3466663</v>
      </c>
      <c r="AA512" s="7" t="s">
        <v>82</v>
      </c>
      <c r="AB512" s="7"/>
      <c r="AC512" s="9">
        <v>2</v>
      </c>
      <c r="AD512" s="10">
        <v>3466663</v>
      </c>
      <c r="AE512" s="9" t="s">
        <v>82</v>
      </c>
      <c r="AF512" s="9"/>
      <c r="AG512" s="11">
        <v>4</v>
      </c>
      <c r="AH512" s="11" t="s">
        <v>83</v>
      </c>
      <c r="AI512" s="11"/>
      <c r="AJ512" s="11"/>
      <c r="AK512" s="11"/>
      <c r="AL512" s="12">
        <v>4</v>
      </c>
      <c r="AM512" s="12" t="s">
        <v>83</v>
      </c>
      <c r="AN512" s="12"/>
      <c r="AO512" s="12"/>
      <c r="AP512" s="12"/>
      <c r="AQ512" s="4">
        <v>4</v>
      </c>
      <c r="AR512" s="4" t="s">
        <v>83</v>
      </c>
      <c r="AS512" s="4"/>
      <c r="AT512" s="13"/>
      <c r="AU512" s="13"/>
      <c r="AV512" s="13"/>
      <c r="AW512" s="13"/>
      <c r="AX512" s="4"/>
      <c r="AY512" s="13"/>
      <c r="AZ512" s="13"/>
      <c r="BA512" s="13"/>
      <c r="BB512" s="13"/>
      <c r="BC512" s="4"/>
      <c r="BD512" s="4"/>
      <c r="BE512" s="4"/>
      <c r="BF512" s="13"/>
      <c r="BG512" s="4"/>
      <c r="BH512" s="13"/>
      <c r="BI512" s="13"/>
      <c r="BJ512" s="4"/>
      <c r="BK512" s="14">
        <v>12</v>
      </c>
      <c r="BL512" s="14">
        <v>12</v>
      </c>
      <c r="BM512" s="14">
        <v>12</v>
      </c>
      <c r="BP512" s="15"/>
      <c r="BQ512" s="15"/>
      <c r="BR512" s="2" t="s">
        <v>740</v>
      </c>
      <c r="BS512" s="2" t="s">
        <v>740</v>
      </c>
      <c r="BT512" s="7" t="s">
        <v>98</v>
      </c>
      <c r="BU512" s="7"/>
      <c r="BV512" s="9" t="s">
        <v>98</v>
      </c>
      <c r="BW512" s="9"/>
    </row>
    <row r="513" spans="1:75" ht="14.25" customHeight="1" x14ac:dyDescent="0.25">
      <c r="A513" s="1">
        <v>1095</v>
      </c>
      <c r="B513" s="1" t="s">
        <v>2426</v>
      </c>
      <c r="C513" s="1" t="s">
        <v>2427</v>
      </c>
      <c r="D513" s="1" t="s">
        <v>77</v>
      </c>
      <c r="E513" s="1" t="s">
        <v>2396</v>
      </c>
      <c r="F513" s="1" t="s">
        <v>2428</v>
      </c>
      <c r="G513" s="1" t="s">
        <v>118</v>
      </c>
      <c r="H513" s="2">
        <v>0</v>
      </c>
      <c r="I513" s="2">
        <v>0</v>
      </c>
      <c r="J513" s="2">
        <v>0</v>
      </c>
      <c r="K513" s="2">
        <v>1</v>
      </c>
      <c r="L513" s="3" t="s">
        <v>80</v>
      </c>
      <c r="O513" s="4">
        <v>2</v>
      </c>
      <c r="P513" s="4" t="s">
        <v>81</v>
      </c>
      <c r="Q513" s="4"/>
      <c r="R513" s="5"/>
      <c r="S513" s="6"/>
      <c r="T513" s="17"/>
      <c r="U513" s="6"/>
      <c r="V513" s="4"/>
      <c r="W513" s="4"/>
      <c r="X513" s="4"/>
      <c r="Y513" s="7">
        <v>1</v>
      </c>
      <c r="Z513" s="8">
        <v>5657536</v>
      </c>
      <c r="AA513" s="7" t="s">
        <v>82</v>
      </c>
      <c r="AB513" s="7"/>
      <c r="AC513" s="9">
        <v>1</v>
      </c>
      <c r="AD513" s="10">
        <v>5657536</v>
      </c>
      <c r="AE513" s="9" t="s">
        <v>82</v>
      </c>
      <c r="AF513" s="9"/>
      <c r="AG513" s="11">
        <v>4</v>
      </c>
      <c r="AH513" s="11" t="s">
        <v>83</v>
      </c>
      <c r="AI513" s="11"/>
      <c r="AJ513" s="11"/>
      <c r="AK513" s="11"/>
      <c r="AL513" s="12">
        <v>4</v>
      </c>
      <c r="AM513" s="12" t="s">
        <v>83</v>
      </c>
      <c r="AN513" s="12"/>
      <c r="AO513" s="12"/>
      <c r="AP513" s="12"/>
      <c r="AQ513" s="4">
        <v>4</v>
      </c>
      <c r="AR513" s="4" t="s">
        <v>83</v>
      </c>
      <c r="AS513" s="4"/>
      <c r="AT513" s="13"/>
      <c r="AU513" s="13"/>
      <c r="AV513" s="13"/>
      <c r="AW513" s="13"/>
      <c r="AX513" s="4"/>
      <c r="AY513" s="13"/>
      <c r="AZ513" s="13"/>
      <c r="BA513" s="13"/>
      <c r="BB513" s="13"/>
      <c r="BC513" s="4"/>
      <c r="BD513" s="4"/>
      <c r="BE513" s="4"/>
      <c r="BF513" s="13"/>
      <c r="BG513" s="4"/>
      <c r="BH513" s="13"/>
      <c r="BI513" s="13"/>
      <c r="BJ513" s="4"/>
      <c r="BK513" s="14">
        <v>11</v>
      </c>
      <c r="BL513" s="14">
        <v>11</v>
      </c>
      <c r="BM513" s="14">
        <v>11</v>
      </c>
      <c r="BP513" s="15"/>
      <c r="BQ513" s="15"/>
      <c r="BR513" s="2" t="s">
        <v>97</v>
      </c>
      <c r="BS513" s="2" t="s">
        <v>97</v>
      </c>
      <c r="BT513" s="7" t="s">
        <v>98</v>
      </c>
      <c r="BU513" s="7"/>
      <c r="BV513" s="9" t="s">
        <v>98</v>
      </c>
      <c r="BW513" s="9"/>
    </row>
    <row r="514" spans="1:75" ht="14.25" customHeight="1" x14ac:dyDescent="0.25">
      <c r="A514" s="1">
        <v>1117</v>
      </c>
      <c r="B514" s="1" t="s">
        <v>2429</v>
      </c>
      <c r="C514" s="1" t="s">
        <v>2430</v>
      </c>
      <c r="D514" s="1" t="s">
        <v>77</v>
      </c>
      <c r="E514" s="1" t="s">
        <v>2396</v>
      </c>
      <c r="F514" s="1" t="s">
        <v>2431</v>
      </c>
      <c r="G514" s="1"/>
      <c r="H514" s="2">
        <v>0</v>
      </c>
      <c r="I514" s="2">
        <v>0</v>
      </c>
      <c r="J514" s="2">
        <v>0</v>
      </c>
      <c r="K514" s="2">
        <v>1</v>
      </c>
      <c r="L514" s="3" t="s">
        <v>80</v>
      </c>
      <c r="O514" s="4">
        <v>4</v>
      </c>
      <c r="P514" s="4" t="s">
        <v>81</v>
      </c>
      <c r="Q514" s="4"/>
      <c r="R514" s="5"/>
      <c r="S514" s="6"/>
      <c r="T514" s="17"/>
      <c r="U514" s="6"/>
      <c r="V514" s="4"/>
      <c r="W514" s="4"/>
      <c r="X514" s="4"/>
      <c r="Y514" s="7">
        <v>3</v>
      </c>
      <c r="Z514" s="8">
        <v>369258</v>
      </c>
      <c r="AA514" s="7" t="s">
        <v>82</v>
      </c>
      <c r="AB514" s="7"/>
      <c r="AC514" s="9">
        <v>3</v>
      </c>
      <c r="AD514" s="10">
        <v>369258</v>
      </c>
      <c r="AE514" s="9" t="s">
        <v>82</v>
      </c>
      <c r="AF514" s="9"/>
      <c r="AG514" s="11">
        <v>4</v>
      </c>
      <c r="AH514" s="11" t="s">
        <v>83</v>
      </c>
      <c r="AI514" s="11"/>
      <c r="AJ514" s="11"/>
      <c r="AK514" s="11"/>
      <c r="AL514" s="12">
        <v>4</v>
      </c>
      <c r="AM514" s="12" t="s">
        <v>83</v>
      </c>
      <c r="AN514" s="12"/>
      <c r="AO514" s="12"/>
      <c r="AP514" s="12"/>
      <c r="AQ514" s="4">
        <v>3</v>
      </c>
      <c r="AR514" s="4" t="s">
        <v>83</v>
      </c>
      <c r="AS514" s="4"/>
      <c r="AT514" s="13"/>
      <c r="AU514" s="13"/>
      <c r="AV514" s="13"/>
      <c r="AW514" s="13"/>
      <c r="AX514" s="4"/>
      <c r="AY514" s="13"/>
      <c r="AZ514" s="13"/>
      <c r="BA514" s="13"/>
      <c r="BB514" s="13"/>
      <c r="BC514" s="4"/>
      <c r="BD514" s="4"/>
      <c r="BE514" s="4"/>
      <c r="BF514" s="13"/>
      <c r="BG514" s="4"/>
      <c r="BH514" s="13"/>
      <c r="BI514" s="13"/>
      <c r="BJ514" s="4"/>
      <c r="BK514" s="14">
        <v>14</v>
      </c>
      <c r="BL514" s="14">
        <v>14</v>
      </c>
      <c r="BM514" s="14">
        <v>14</v>
      </c>
      <c r="BN514" s="3" t="s">
        <v>86</v>
      </c>
      <c r="BP514" s="15"/>
      <c r="BQ514" s="15"/>
      <c r="BR514" s="2" t="s">
        <v>121</v>
      </c>
      <c r="BS514" s="2" t="s">
        <v>121</v>
      </c>
      <c r="BT514" s="7" t="s">
        <v>98</v>
      </c>
      <c r="BU514" s="7"/>
      <c r="BV514" s="9" t="s">
        <v>98</v>
      </c>
      <c r="BW514" s="9"/>
    </row>
    <row r="515" spans="1:75" ht="14.25" customHeight="1" x14ac:dyDescent="0.25">
      <c r="A515" s="1">
        <v>1119</v>
      </c>
      <c r="B515" s="1" t="s">
        <v>2432</v>
      </c>
      <c r="C515" s="1" t="s">
        <v>2433</v>
      </c>
      <c r="D515" s="1" t="s">
        <v>77</v>
      </c>
      <c r="E515" s="1" t="s">
        <v>2396</v>
      </c>
      <c r="F515" s="1" t="s">
        <v>2434</v>
      </c>
      <c r="G515" s="1"/>
      <c r="H515" s="2">
        <v>0</v>
      </c>
      <c r="I515" s="2">
        <v>0</v>
      </c>
      <c r="J515" s="2">
        <v>0</v>
      </c>
      <c r="K515" s="2">
        <v>1</v>
      </c>
      <c r="L515" s="3" t="s">
        <v>80</v>
      </c>
      <c r="O515" s="4">
        <v>4</v>
      </c>
      <c r="P515" s="4" t="s">
        <v>81</v>
      </c>
      <c r="Q515" s="4"/>
      <c r="R515" s="5"/>
      <c r="S515" s="6"/>
      <c r="T515" s="17"/>
      <c r="U515" s="6"/>
      <c r="V515" s="4"/>
      <c r="W515" s="4"/>
      <c r="X515" s="4"/>
      <c r="Y515" s="7">
        <v>2</v>
      </c>
      <c r="Z515" s="8">
        <v>1838694</v>
      </c>
      <c r="AA515" s="7" t="s">
        <v>82</v>
      </c>
      <c r="AB515" s="7"/>
      <c r="AC515" s="9">
        <v>2</v>
      </c>
      <c r="AD515" s="10">
        <v>1838694</v>
      </c>
      <c r="AE515" s="9" t="s">
        <v>82</v>
      </c>
      <c r="AF515" s="9"/>
      <c r="AG515" s="11">
        <v>3</v>
      </c>
      <c r="AH515" s="11" t="s">
        <v>83</v>
      </c>
      <c r="AI515" s="11" t="s">
        <v>2435</v>
      </c>
      <c r="AJ515" s="11"/>
      <c r="AK515" s="11"/>
      <c r="AL515" s="12">
        <v>3</v>
      </c>
      <c r="AM515" s="12" t="s">
        <v>83</v>
      </c>
      <c r="AN515" s="12"/>
      <c r="AO515" s="12"/>
      <c r="AP515" s="12"/>
      <c r="AQ515" s="4">
        <v>4</v>
      </c>
      <c r="AR515" s="4" t="s">
        <v>83</v>
      </c>
      <c r="AS515" s="4"/>
      <c r="AT515" s="13"/>
      <c r="AU515" s="13"/>
      <c r="AV515" s="13"/>
      <c r="AW515" s="13"/>
      <c r="AX515" s="4"/>
      <c r="AY515" s="13"/>
      <c r="AZ515" s="13"/>
      <c r="BA515" s="13"/>
      <c r="BB515" s="13"/>
      <c r="BC515" s="4"/>
      <c r="BD515" s="4"/>
      <c r="BE515" s="4"/>
      <c r="BF515" s="13"/>
      <c r="BG515" s="4"/>
      <c r="BH515" s="13"/>
      <c r="BI515" s="13"/>
      <c r="BJ515" s="4"/>
      <c r="BK515" s="14">
        <v>13</v>
      </c>
      <c r="BL515" s="14">
        <v>13</v>
      </c>
      <c r="BM515" s="14">
        <v>13</v>
      </c>
      <c r="BP515" s="15"/>
      <c r="BQ515" s="15"/>
      <c r="BR515" s="2" t="s">
        <v>87</v>
      </c>
      <c r="BS515" s="2" t="s">
        <v>87</v>
      </c>
      <c r="BT515" s="7" t="s">
        <v>88</v>
      </c>
      <c r="BU515" s="7"/>
      <c r="BV515" s="9" t="s">
        <v>88</v>
      </c>
      <c r="BW515" s="9"/>
    </row>
    <row r="516" spans="1:75" ht="14.25" customHeight="1" x14ac:dyDescent="0.25">
      <c r="A516" s="1">
        <v>1120</v>
      </c>
      <c r="B516" s="1" t="s">
        <v>2436</v>
      </c>
      <c r="C516" s="1" t="s">
        <v>2437</v>
      </c>
      <c r="D516" s="1" t="s">
        <v>77</v>
      </c>
      <c r="E516" s="1" t="s">
        <v>2396</v>
      </c>
      <c r="F516" s="1" t="s">
        <v>2438</v>
      </c>
      <c r="G516" s="1"/>
      <c r="H516" s="2">
        <v>0</v>
      </c>
      <c r="I516" s="2">
        <v>0</v>
      </c>
      <c r="J516" s="2">
        <v>1</v>
      </c>
      <c r="K516" s="2">
        <v>1</v>
      </c>
      <c r="L516" s="3" t="s">
        <v>80</v>
      </c>
      <c r="O516" s="4">
        <v>4</v>
      </c>
      <c r="P516" s="4" t="s">
        <v>81</v>
      </c>
      <c r="Q516" s="4" t="s">
        <v>2439</v>
      </c>
      <c r="R516" s="5"/>
      <c r="S516" s="6"/>
      <c r="T516" s="17"/>
      <c r="U516" s="6"/>
      <c r="V516" s="4"/>
      <c r="W516" s="4"/>
      <c r="X516" s="4"/>
      <c r="Y516" s="7">
        <v>1</v>
      </c>
      <c r="Z516" s="8">
        <v>6940574</v>
      </c>
      <c r="AA516" s="7" t="s">
        <v>92</v>
      </c>
      <c r="AB516" s="7"/>
      <c r="AC516" s="9">
        <v>1</v>
      </c>
      <c r="AD516" s="10">
        <v>6940574</v>
      </c>
      <c r="AE516" s="9" t="s">
        <v>92</v>
      </c>
      <c r="AF516" s="9"/>
      <c r="AG516" s="11">
        <v>4</v>
      </c>
      <c r="AH516" s="11" t="s">
        <v>93</v>
      </c>
      <c r="AI516" s="11"/>
      <c r="AJ516" s="11"/>
      <c r="AK516" s="11"/>
      <c r="AL516" s="12">
        <v>4</v>
      </c>
      <c r="AM516" s="12" t="s">
        <v>93</v>
      </c>
      <c r="AN516" s="12" t="s">
        <v>2440</v>
      </c>
      <c r="AO516" s="12"/>
      <c r="AP516" s="12"/>
      <c r="AQ516" s="4">
        <v>4</v>
      </c>
      <c r="AR516" s="4" t="s">
        <v>83</v>
      </c>
      <c r="AS516" s="4"/>
      <c r="AT516" s="13"/>
      <c r="AU516" s="13"/>
      <c r="AV516" s="13"/>
      <c r="AW516" s="13"/>
      <c r="AX516" s="4"/>
      <c r="AY516" s="13"/>
      <c r="AZ516" s="13"/>
      <c r="BA516" s="13"/>
      <c r="BB516" s="13"/>
      <c r="BC516" s="4"/>
      <c r="BD516" s="4"/>
      <c r="BE516" s="4"/>
      <c r="BF516" s="13"/>
      <c r="BG516" s="4"/>
      <c r="BH516" s="13"/>
      <c r="BI516" s="13"/>
      <c r="BJ516" s="4"/>
      <c r="BK516" s="14">
        <v>13</v>
      </c>
      <c r="BL516" s="14">
        <v>13</v>
      </c>
      <c r="BM516" s="14">
        <v>13</v>
      </c>
      <c r="BP516" s="15"/>
      <c r="BQ516" s="15"/>
      <c r="BR516" s="2" t="s">
        <v>97</v>
      </c>
      <c r="BS516" s="2" t="s">
        <v>97</v>
      </c>
      <c r="BT516" s="7" t="s">
        <v>98</v>
      </c>
      <c r="BU516" s="7"/>
      <c r="BV516" s="9" t="s">
        <v>98</v>
      </c>
      <c r="BW516" s="9"/>
    </row>
    <row r="517" spans="1:75" ht="14.25" customHeight="1" x14ac:dyDescent="0.25">
      <c r="A517" s="1">
        <v>1121</v>
      </c>
      <c r="B517" s="1" t="s">
        <v>2441</v>
      </c>
      <c r="C517" s="1" t="s">
        <v>2442</v>
      </c>
      <c r="D517" s="1" t="s">
        <v>77</v>
      </c>
      <c r="E517" s="1" t="s">
        <v>2396</v>
      </c>
      <c r="F517" s="1" t="s">
        <v>2438</v>
      </c>
      <c r="G517" s="1"/>
      <c r="H517" s="2">
        <v>0</v>
      </c>
      <c r="I517" s="2">
        <v>0</v>
      </c>
      <c r="J517" s="2">
        <v>1</v>
      </c>
      <c r="K517" s="2">
        <v>1</v>
      </c>
      <c r="L517" s="3" t="s">
        <v>80</v>
      </c>
      <c r="O517" s="4">
        <v>3</v>
      </c>
      <c r="P517" s="4" t="s">
        <v>112</v>
      </c>
      <c r="Q517" s="4"/>
      <c r="R517" s="5"/>
      <c r="S517" s="6"/>
      <c r="T517" s="17"/>
      <c r="U517" s="6"/>
      <c r="V517" s="4"/>
      <c r="W517" s="4"/>
      <c r="X517" s="4"/>
      <c r="Y517" s="7">
        <v>1</v>
      </c>
      <c r="Z517" s="8">
        <v>7517165</v>
      </c>
      <c r="AA517" s="7" t="s">
        <v>92</v>
      </c>
      <c r="AB517" s="7"/>
      <c r="AC517" s="9">
        <v>1</v>
      </c>
      <c r="AD517" s="10">
        <v>7517165</v>
      </c>
      <c r="AE517" s="9" t="s">
        <v>92</v>
      </c>
      <c r="AF517" s="9"/>
      <c r="AG517" s="11">
        <v>4</v>
      </c>
      <c r="AH517" s="11" t="s">
        <v>93</v>
      </c>
      <c r="AI517" s="11"/>
      <c r="AJ517" s="11"/>
      <c r="AK517" s="11"/>
      <c r="AL517" s="12">
        <v>4</v>
      </c>
      <c r="AM517" s="12" t="s">
        <v>93</v>
      </c>
      <c r="AN517" s="12" t="s">
        <v>2440</v>
      </c>
      <c r="AO517" s="12"/>
      <c r="AP517" s="12"/>
      <c r="AQ517" s="4">
        <v>4</v>
      </c>
      <c r="AR517" s="4" t="s">
        <v>83</v>
      </c>
      <c r="AS517" s="4"/>
      <c r="AT517" s="13"/>
      <c r="AU517" s="13"/>
      <c r="AV517" s="13"/>
      <c r="AW517" s="13"/>
      <c r="AX517" s="4"/>
      <c r="AY517" s="13"/>
      <c r="AZ517" s="13"/>
      <c r="BA517" s="13"/>
      <c r="BB517" s="13"/>
      <c r="BC517" s="4"/>
      <c r="BD517" s="4"/>
      <c r="BE517" s="4"/>
      <c r="BF517" s="13"/>
      <c r="BG517" s="4"/>
      <c r="BH517" s="13"/>
      <c r="BI517" s="13"/>
      <c r="BJ517" s="4"/>
      <c r="BK517" s="14">
        <v>12</v>
      </c>
      <c r="BL517" s="14">
        <v>12</v>
      </c>
      <c r="BM517" s="14">
        <v>12</v>
      </c>
      <c r="BP517" s="15"/>
      <c r="BQ517" s="15"/>
      <c r="BR517" s="2" t="s">
        <v>97</v>
      </c>
      <c r="BS517" s="2" t="s">
        <v>97</v>
      </c>
      <c r="BT517" s="7" t="s">
        <v>98</v>
      </c>
      <c r="BU517" s="7"/>
      <c r="BV517" s="9" t="s">
        <v>98</v>
      </c>
      <c r="BW517" s="9"/>
    </row>
    <row r="518" spans="1:75" ht="14.25" customHeight="1" x14ac:dyDescent="0.25">
      <c r="A518" s="1">
        <v>1122</v>
      </c>
      <c r="B518" s="1" t="s">
        <v>2443</v>
      </c>
      <c r="C518" s="1" t="s">
        <v>2444</v>
      </c>
      <c r="D518" s="1" t="s">
        <v>77</v>
      </c>
      <c r="E518" s="1" t="s">
        <v>2396</v>
      </c>
      <c r="F518" s="1" t="s">
        <v>2438</v>
      </c>
      <c r="G518" s="1"/>
      <c r="H518" s="2">
        <v>0</v>
      </c>
      <c r="I518" s="2">
        <v>0</v>
      </c>
      <c r="J518" s="2">
        <v>0</v>
      </c>
      <c r="K518" s="2">
        <v>1</v>
      </c>
      <c r="L518" s="3" t="s">
        <v>80</v>
      </c>
      <c r="O518" s="4">
        <v>4</v>
      </c>
      <c r="P518" s="4" t="s">
        <v>81</v>
      </c>
      <c r="Q518" s="4"/>
      <c r="R518" s="5"/>
      <c r="S518" s="6"/>
      <c r="T518" s="17"/>
      <c r="U518" s="6"/>
      <c r="V518" s="4"/>
      <c r="W518" s="4"/>
      <c r="X518" s="4"/>
      <c r="Y518" s="7">
        <v>4</v>
      </c>
      <c r="Z518" s="8">
        <v>271950</v>
      </c>
      <c r="AA518" s="7" t="s">
        <v>82</v>
      </c>
      <c r="AB518" s="7"/>
      <c r="AC518" s="9">
        <v>4</v>
      </c>
      <c r="AD518" s="10">
        <v>271950</v>
      </c>
      <c r="AE518" s="9" t="s">
        <v>82</v>
      </c>
      <c r="AF518" s="9"/>
      <c r="AG518" s="11">
        <v>4</v>
      </c>
      <c r="AH518" s="11" t="s">
        <v>83</v>
      </c>
      <c r="AI518" s="11"/>
      <c r="AJ518" s="11"/>
      <c r="AK518" s="11"/>
      <c r="AL518" s="12">
        <v>4</v>
      </c>
      <c r="AM518" s="12" t="s">
        <v>83</v>
      </c>
      <c r="AN518" s="12"/>
      <c r="AO518" s="12"/>
      <c r="AP518" s="12"/>
      <c r="AQ518" s="4">
        <v>3</v>
      </c>
      <c r="AR518" s="4" t="s">
        <v>83</v>
      </c>
      <c r="AS518" s="4"/>
      <c r="AT518" s="13"/>
      <c r="AU518" s="13"/>
      <c r="AV518" s="13"/>
      <c r="AW518" s="13"/>
      <c r="AX518" s="4"/>
      <c r="AY518" s="13"/>
      <c r="AZ518" s="13"/>
      <c r="BA518" s="13"/>
      <c r="BB518" s="13"/>
      <c r="BC518" s="4"/>
      <c r="BD518" s="4"/>
      <c r="BE518" s="4"/>
      <c r="BF518" s="13"/>
      <c r="BG518" s="4"/>
      <c r="BH518" s="13"/>
      <c r="BI518" s="13"/>
      <c r="BJ518" s="4"/>
      <c r="BK518" s="14">
        <v>15</v>
      </c>
      <c r="BL518" s="14">
        <v>15</v>
      </c>
      <c r="BM518" s="14">
        <v>15</v>
      </c>
      <c r="BN518" s="3" t="s">
        <v>86</v>
      </c>
      <c r="BP518" s="15"/>
      <c r="BQ518" s="15"/>
      <c r="BR518" s="2" t="s">
        <v>87</v>
      </c>
      <c r="BS518" s="2" t="s">
        <v>87</v>
      </c>
      <c r="BT518" s="7" t="s">
        <v>88</v>
      </c>
      <c r="BU518" s="7"/>
      <c r="BV518" s="9" t="s">
        <v>88</v>
      </c>
      <c r="BW518" s="9"/>
    </row>
    <row r="519" spans="1:75" ht="14.25" customHeight="1" x14ac:dyDescent="0.25">
      <c r="A519" s="1">
        <v>1123</v>
      </c>
      <c r="B519" s="1" t="s">
        <v>2445</v>
      </c>
      <c r="C519" s="1" t="s">
        <v>2446</v>
      </c>
      <c r="D519" s="1" t="s">
        <v>77</v>
      </c>
      <c r="E519" s="1" t="s">
        <v>2396</v>
      </c>
      <c r="F519" s="1" t="s">
        <v>2438</v>
      </c>
      <c r="G519" s="1"/>
      <c r="H519" s="2">
        <v>0</v>
      </c>
      <c r="I519" s="2">
        <v>0</v>
      </c>
      <c r="J519" s="2">
        <v>1</v>
      </c>
      <c r="K519" s="2">
        <v>1</v>
      </c>
      <c r="L519" s="3" t="s">
        <v>80</v>
      </c>
      <c r="O519" s="4">
        <v>4</v>
      </c>
      <c r="P519" s="4" t="s">
        <v>112</v>
      </c>
      <c r="Q519" s="4"/>
      <c r="R519" s="5"/>
      <c r="S519" s="6"/>
      <c r="T519" s="17"/>
      <c r="U519" s="6"/>
      <c r="V519" s="4"/>
      <c r="W519" s="4"/>
      <c r="X519" s="4"/>
      <c r="Y519" s="7">
        <v>3</v>
      </c>
      <c r="Z519" s="8">
        <v>637171</v>
      </c>
      <c r="AA519" s="7" t="s">
        <v>92</v>
      </c>
      <c r="AB519" s="7"/>
      <c r="AC519" s="9">
        <v>3</v>
      </c>
      <c r="AD519" s="10">
        <v>637171</v>
      </c>
      <c r="AE519" s="9" t="s">
        <v>92</v>
      </c>
      <c r="AF519" s="9"/>
      <c r="AG519" s="11">
        <v>4</v>
      </c>
      <c r="AH519" s="11" t="s">
        <v>93</v>
      </c>
      <c r="AI519" s="11"/>
      <c r="AJ519" s="11"/>
      <c r="AK519" s="11"/>
      <c r="AL519" s="12">
        <v>4</v>
      </c>
      <c r="AM519" s="12" t="s">
        <v>93</v>
      </c>
      <c r="AN519" s="12" t="s">
        <v>2440</v>
      </c>
      <c r="AO519" s="12"/>
      <c r="AP519" s="12"/>
      <c r="AQ519" s="4">
        <v>5</v>
      </c>
      <c r="AR519" s="4" t="s">
        <v>83</v>
      </c>
      <c r="AS519" s="4" t="s">
        <v>2447</v>
      </c>
      <c r="AT519" s="13"/>
      <c r="AU519" s="13"/>
      <c r="AV519" s="13"/>
      <c r="AW519" s="13"/>
      <c r="AX519" s="4"/>
      <c r="AY519" s="13"/>
      <c r="AZ519" s="13"/>
      <c r="BA519" s="13"/>
      <c r="BB519" s="13"/>
      <c r="BC519" s="4"/>
      <c r="BD519" s="4"/>
      <c r="BE519" s="4"/>
      <c r="BF519" s="13"/>
      <c r="BG519" s="4"/>
      <c r="BH519" s="13"/>
      <c r="BI519" s="13"/>
      <c r="BJ519" s="4"/>
      <c r="BK519" s="14">
        <v>16</v>
      </c>
      <c r="BL519" s="14">
        <v>16</v>
      </c>
      <c r="BM519" s="14">
        <v>16</v>
      </c>
      <c r="BN519" s="3" t="s">
        <v>312</v>
      </c>
      <c r="BP519" s="15"/>
      <c r="BQ519" s="15"/>
      <c r="BR519" s="2" t="s">
        <v>121</v>
      </c>
      <c r="BS519" s="2" t="s">
        <v>121</v>
      </c>
      <c r="BT519" s="7" t="s">
        <v>98</v>
      </c>
      <c r="BU519" s="7"/>
      <c r="BV519" s="9" t="s">
        <v>98</v>
      </c>
      <c r="BW519" s="9"/>
    </row>
    <row r="520" spans="1:75" ht="14.25" customHeight="1" x14ac:dyDescent="0.25">
      <c r="A520" s="1">
        <v>1124</v>
      </c>
      <c r="B520" s="1" t="s">
        <v>2448</v>
      </c>
      <c r="C520" s="1" t="s">
        <v>2449</v>
      </c>
      <c r="D520" s="1" t="s">
        <v>77</v>
      </c>
      <c r="E520" s="1" t="s">
        <v>2396</v>
      </c>
      <c r="F520" s="1" t="s">
        <v>2438</v>
      </c>
      <c r="G520" s="1"/>
      <c r="H520" s="2">
        <v>0</v>
      </c>
      <c r="I520" s="2">
        <v>0</v>
      </c>
      <c r="J520" s="2">
        <v>0</v>
      </c>
      <c r="K520" s="2">
        <v>1</v>
      </c>
      <c r="L520" s="3" t="s">
        <v>80</v>
      </c>
      <c r="O520" s="4">
        <v>3</v>
      </c>
      <c r="P520" s="4" t="s">
        <v>81</v>
      </c>
      <c r="Q520" s="4"/>
      <c r="R520" s="5"/>
      <c r="S520" s="6"/>
      <c r="T520" s="17"/>
      <c r="U520" s="6"/>
      <c r="V520" s="4"/>
      <c r="W520" s="4"/>
      <c r="X520" s="4"/>
      <c r="Y520" s="7">
        <v>1</v>
      </c>
      <c r="Z520" s="8">
        <v>4908559</v>
      </c>
      <c r="AA520" s="7" t="s">
        <v>82</v>
      </c>
      <c r="AB520" s="7"/>
      <c r="AC520" s="9">
        <v>1</v>
      </c>
      <c r="AD520" s="10">
        <v>4908559</v>
      </c>
      <c r="AE520" s="9" t="s">
        <v>82</v>
      </c>
      <c r="AF520" s="9"/>
      <c r="AG520" s="11">
        <v>3</v>
      </c>
      <c r="AH520" s="11" t="s">
        <v>83</v>
      </c>
      <c r="AI520" s="11"/>
      <c r="AJ520" s="11"/>
      <c r="AK520" s="11"/>
      <c r="AL520" s="12">
        <v>3</v>
      </c>
      <c r="AM520" s="12" t="s">
        <v>83</v>
      </c>
      <c r="AN520" s="12"/>
      <c r="AO520" s="12"/>
      <c r="AP520" s="12"/>
      <c r="AQ520" s="4">
        <v>3</v>
      </c>
      <c r="AR520" s="4" t="s">
        <v>83</v>
      </c>
      <c r="AS520" s="4"/>
      <c r="AT520" s="13"/>
      <c r="AU520" s="13"/>
      <c r="AV520" s="13"/>
      <c r="AW520" s="13"/>
      <c r="AX520" s="4"/>
      <c r="AY520" s="13"/>
      <c r="AZ520" s="13"/>
      <c r="BA520" s="13"/>
      <c r="BB520" s="13"/>
      <c r="BC520" s="4"/>
      <c r="BD520" s="4"/>
      <c r="BE520" s="4"/>
      <c r="BF520" s="13"/>
      <c r="BG520" s="4"/>
      <c r="BH520" s="13"/>
      <c r="BI520" s="13"/>
      <c r="BJ520" s="4"/>
      <c r="BK520" s="14">
        <v>10</v>
      </c>
      <c r="BL520" s="14">
        <v>10</v>
      </c>
      <c r="BM520" s="14">
        <v>10</v>
      </c>
      <c r="BP520" s="15"/>
      <c r="BQ520" s="15"/>
      <c r="BR520" s="2" t="s">
        <v>740</v>
      </c>
      <c r="BS520" s="2" t="s">
        <v>740</v>
      </c>
      <c r="BT520" s="7" t="s">
        <v>98</v>
      </c>
      <c r="BU520" s="7"/>
      <c r="BV520" s="9" t="s">
        <v>98</v>
      </c>
      <c r="BW520" s="9"/>
    </row>
    <row r="521" spans="1:75" ht="14.25" customHeight="1" x14ac:dyDescent="0.25">
      <c r="A521" s="1">
        <v>1125</v>
      </c>
      <c r="B521" s="1" t="s">
        <v>2450</v>
      </c>
      <c r="C521" s="1" t="s">
        <v>2451</v>
      </c>
      <c r="D521" s="1" t="s">
        <v>77</v>
      </c>
      <c r="E521" s="1" t="s">
        <v>2396</v>
      </c>
      <c r="F521" s="1" t="s">
        <v>2452</v>
      </c>
      <c r="G521" s="1" t="s">
        <v>118</v>
      </c>
      <c r="H521" s="2">
        <v>0</v>
      </c>
      <c r="I521" s="2">
        <v>0</v>
      </c>
      <c r="J521" s="2">
        <v>0</v>
      </c>
      <c r="K521" s="2">
        <v>1</v>
      </c>
      <c r="L521" s="3" t="s">
        <v>80</v>
      </c>
      <c r="O521" s="4">
        <v>5</v>
      </c>
      <c r="P521" s="4" t="s">
        <v>81</v>
      </c>
      <c r="Q521" s="4"/>
      <c r="R521" s="5"/>
      <c r="S521" s="6"/>
      <c r="T521" s="17"/>
      <c r="U521" s="6"/>
      <c r="V521" s="4"/>
      <c r="W521" s="4"/>
      <c r="X521" s="4"/>
      <c r="Y521" s="7">
        <v>4</v>
      </c>
      <c r="Z521" s="8">
        <v>120251</v>
      </c>
      <c r="AA521" s="7" t="s">
        <v>82</v>
      </c>
      <c r="AB521" s="7"/>
      <c r="AC521" s="9">
        <v>4</v>
      </c>
      <c r="AD521" s="10">
        <v>120251</v>
      </c>
      <c r="AE521" s="9" t="s">
        <v>82</v>
      </c>
      <c r="AF521" s="9"/>
      <c r="AG521" s="11">
        <v>5</v>
      </c>
      <c r="AH521" s="11" t="s">
        <v>83</v>
      </c>
      <c r="AI521" s="11"/>
      <c r="AJ521" s="11"/>
      <c r="AK521" s="11"/>
      <c r="AL521" s="12">
        <v>5</v>
      </c>
      <c r="AM521" s="12" t="s">
        <v>83</v>
      </c>
      <c r="AN521" s="12"/>
      <c r="AO521" s="12"/>
      <c r="AP521" s="12"/>
      <c r="AQ521" s="4">
        <v>5</v>
      </c>
      <c r="AR521" s="4" t="s">
        <v>83</v>
      </c>
      <c r="AS521" s="4"/>
      <c r="AT521" s="13"/>
      <c r="AU521" s="13"/>
      <c r="AV521" s="13"/>
      <c r="AW521" s="13"/>
      <c r="AX521" s="4"/>
      <c r="AY521" s="13"/>
      <c r="AZ521" s="13"/>
      <c r="BA521" s="13"/>
      <c r="BB521" s="13"/>
      <c r="BC521" s="4"/>
      <c r="BD521" s="4"/>
      <c r="BE521" s="4"/>
      <c r="BF521" s="13"/>
      <c r="BG521" s="4"/>
      <c r="BH521" s="13"/>
      <c r="BI521" s="13"/>
      <c r="BJ521" s="4"/>
      <c r="BK521" s="14">
        <v>19</v>
      </c>
      <c r="BL521" s="14">
        <v>19</v>
      </c>
      <c r="BM521" s="14">
        <v>19</v>
      </c>
      <c r="BN521" s="3" t="s">
        <v>312</v>
      </c>
      <c r="BP521" s="15"/>
      <c r="BQ521" s="15"/>
      <c r="BR521" s="2" t="s">
        <v>115</v>
      </c>
      <c r="BS521" s="2" t="s">
        <v>115</v>
      </c>
      <c r="BT521" s="7" t="s">
        <v>98</v>
      </c>
      <c r="BU521" s="7"/>
      <c r="BV521" s="9" t="s">
        <v>98</v>
      </c>
      <c r="BW521" s="9"/>
    </row>
    <row r="522" spans="1:75" ht="14.25" customHeight="1" x14ac:dyDescent="0.25">
      <c r="A522" s="1">
        <v>1126</v>
      </c>
      <c r="B522" s="1" t="s">
        <v>2453</v>
      </c>
      <c r="C522" s="1" t="s">
        <v>2454</v>
      </c>
      <c r="D522" s="1" t="s">
        <v>77</v>
      </c>
      <c r="E522" s="1" t="s">
        <v>2396</v>
      </c>
      <c r="F522" s="1" t="s">
        <v>2452</v>
      </c>
      <c r="G522" s="1"/>
      <c r="H522" s="2">
        <v>0</v>
      </c>
      <c r="I522" s="2">
        <v>0</v>
      </c>
      <c r="J522" s="2">
        <v>1</v>
      </c>
      <c r="K522" s="2">
        <v>1</v>
      </c>
      <c r="L522" s="3" t="s">
        <v>80</v>
      </c>
      <c r="O522" s="4">
        <v>4</v>
      </c>
      <c r="P522" s="4" t="s">
        <v>112</v>
      </c>
      <c r="Q522" s="4"/>
      <c r="R522" s="5"/>
      <c r="S522" s="6"/>
      <c r="T522" s="17"/>
      <c r="U522" s="6"/>
      <c r="V522" s="4"/>
      <c r="W522" s="4"/>
      <c r="X522" s="4"/>
      <c r="Y522" s="7">
        <v>3</v>
      </c>
      <c r="Z522" s="8">
        <v>445285</v>
      </c>
      <c r="AA522" s="7" t="s">
        <v>92</v>
      </c>
      <c r="AB522" s="7"/>
      <c r="AC522" s="9">
        <v>3</v>
      </c>
      <c r="AD522" s="10">
        <v>445285</v>
      </c>
      <c r="AE522" s="9" t="s">
        <v>92</v>
      </c>
      <c r="AF522" s="9"/>
      <c r="AG522" s="11">
        <v>4</v>
      </c>
      <c r="AH522" s="11" t="s">
        <v>93</v>
      </c>
      <c r="AI522" s="11"/>
      <c r="AJ522" s="11"/>
      <c r="AK522" s="11"/>
      <c r="AL522" s="12">
        <v>4</v>
      </c>
      <c r="AM522" s="12" t="s">
        <v>93</v>
      </c>
      <c r="AN522" s="12" t="s">
        <v>2455</v>
      </c>
      <c r="AO522" s="12"/>
      <c r="AP522" s="12"/>
      <c r="AQ522" s="4">
        <v>4</v>
      </c>
      <c r="AR522" s="4" t="s">
        <v>83</v>
      </c>
      <c r="AS522" s="4"/>
      <c r="AT522" s="13"/>
      <c r="AU522" s="13"/>
      <c r="AV522" s="13"/>
      <c r="AW522" s="13"/>
      <c r="AX522" s="4"/>
      <c r="AY522" s="13"/>
      <c r="AZ522" s="13"/>
      <c r="BA522" s="13"/>
      <c r="BB522" s="13"/>
      <c r="BC522" s="4"/>
      <c r="BD522" s="4"/>
      <c r="BE522" s="4"/>
      <c r="BF522" s="13"/>
      <c r="BG522" s="4"/>
      <c r="BH522" s="13"/>
      <c r="BI522" s="13"/>
      <c r="BJ522" s="4"/>
      <c r="BK522" s="14">
        <v>15</v>
      </c>
      <c r="BL522" s="14">
        <v>15</v>
      </c>
      <c r="BM522" s="14">
        <v>15</v>
      </c>
      <c r="BN522" s="3" t="s">
        <v>86</v>
      </c>
      <c r="BP522" s="15"/>
      <c r="BQ522" s="15"/>
      <c r="BR522" s="2" t="s">
        <v>400</v>
      </c>
      <c r="BS522" s="2" t="s">
        <v>400</v>
      </c>
      <c r="BT522" s="7" t="s">
        <v>98</v>
      </c>
      <c r="BU522" s="7"/>
      <c r="BV522" s="9" t="s">
        <v>98</v>
      </c>
      <c r="BW522" s="9"/>
    </row>
    <row r="523" spans="1:75" ht="14.25" customHeight="1" x14ac:dyDescent="0.25">
      <c r="A523" s="1">
        <v>1127</v>
      </c>
      <c r="B523" s="1" t="s">
        <v>2456</v>
      </c>
      <c r="C523" s="1" t="s">
        <v>2457</v>
      </c>
      <c r="D523" s="1" t="s">
        <v>77</v>
      </c>
      <c r="E523" s="1" t="s">
        <v>2396</v>
      </c>
      <c r="F523" s="1" t="s">
        <v>2452</v>
      </c>
      <c r="G523" s="1"/>
      <c r="H523" s="2">
        <v>0</v>
      </c>
      <c r="I523" s="2">
        <v>0</v>
      </c>
      <c r="J523" s="2">
        <v>0</v>
      </c>
      <c r="K523" s="2">
        <v>1</v>
      </c>
      <c r="L523" s="3" t="s">
        <v>80</v>
      </c>
      <c r="O523" s="4">
        <v>2</v>
      </c>
      <c r="P523" s="4" t="s">
        <v>81</v>
      </c>
      <c r="Q523" s="4"/>
      <c r="R523" s="5"/>
      <c r="S523" s="6"/>
      <c r="T523" s="17"/>
      <c r="U523" s="6"/>
      <c r="V523" s="4"/>
      <c r="W523" s="4"/>
      <c r="X523" s="4"/>
      <c r="Y523" s="7">
        <v>1</v>
      </c>
      <c r="Z523" s="8">
        <v>5786394</v>
      </c>
      <c r="AA523" s="7" t="s">
        <v>82</v>
      </c>
      <c r="AB523" s="7"/>
      <c r="AC523" s="9">
        <v>1</v>
      </c>
      <c r="AD523" s="10">
        <v>5786394</v>
      </c>
      <c r="AE523" s="9" t="s">
        <v>82</v>
      </c>
      <c r="AF523" s="9"/>
      <c r="AG523" s="11">
        <v>3</v>
      </c>
      <c r="AH523" s="11" t="s">
        <v>83</v>
      </c>
      <c r="AI523" s="11"/>
      <c r="AJ523" s="11"/>
      <c r="AK523" s="11"/>
      <c r="AL523" s="12">
        <v>3</v>
      </c>
      <c r="AM523" s="12" t="s">
        <v>83</v>
      </c>
      <c r="AN523" s="12"/>
      <c r="AO523" s="12"/>
      <c r="AP523" s="12"/>
      <c r="AQ523" s="4">
        <v>4</v>
      </c>
      <c r="AR523" s="4" t="s">
        <v>83</v>
      </c>
      <c r="AS523" s="4"/>
      <c r="AT523" s="13"/>
      <c r="AU523" s="13"/>
      <c r="AV523" s="13"/>
      <c r="AW523" s="13"/>
      <c r="AX523" s="4"/>
      <c r="AY523" s="13"/>
      <c r="AZ523" s="13"/>
      <c r="BA523" s="13"/>
      <c r="BB523" s="13"/>
      <c r="BC523" s="4"/>
      <c r="BD523" s="4"/>
      <c r="BE523" s="4"/>
      <c r="BF523" s="13"/>
      <c r="BG523" s="4"/>
      <c r="BH523" s="13"/>
      <c r="BI523" s="13"/>
      <c r="BJ523" s="4"/>
      <c r="BK523" s="14">
        <v>10</v>
      </c>
      <c r="BL523" s="14">
        <v>10</v>
      </c>
      <c r="BM523" s="14">
        <v>10</v>
      </c>
      <c r="BP523" s="15"/>
      <c r="BQ523" s="15"/>
      <c r="BR523" s="2" t="s">
        <v>740</v>
      </c>
      <c r="BS523" s="2" t="s">
        <v>740</v>
      </c>
      <c r="BT523" s="7" t="s">
        <v>88</v>
      </c>
      <c r="BU523" s="7"/>
      <c r="BV523" s="9" t="s">
        <v>88</v>
      </c>
      <c r="BW523" s="9"/>
    </row>
    <row r="524" spans="1:75" ht="14.25" customHeight="1" x14ac:dyDescent="0.25">
      <c r="A524" s="1">
        <v>1128</v>
      </c>
      <c r="B524" s="1" t="s">
        <v>2458</v>
      </c>
      <c r="C524" s="1" t="s">
        <v>2459</v>
      </c>
      <c r="D524" s="1" t="s">
        <v>77</v>
      </c>
      <c r="E524" s="1" t="s">
        <v>2396</v>
      </c>
      <c r="F524" s="1" t="s">
        <v>2452</v>
      </c>
      <c r="G524" s="1"/>
      <c r="H524" s="2">
        <v>0</v>
      </c>
      <c r="I524" s="2">
        <v>0</v>
      </c>
      <c r="J524" s="2">
        <v>0</v>
      </c>
      <c r="K524" s="2">
        <v>1</v>
      </c>
      <c r="L524" s="3" t="s">
        <v>80</v>
      </c>
      <c r="O524" s="4">
        <v>2</v>
      </c>
      <c r="P524" s="4" t="s">
        <v>81</v>
      </c>
      <c r="Q524" s="4"/>
      <c r="R524" s="5"/>
      <c r="S524" s="6"/>
      <c r="T524" s="17"/>
      <c r="U524" s="6"/>
      <c r="V524" s="4"/>
      <c r="W524" s="4"/>
      <c r="X524" s="4"/>
      <c r="Y524" s="7">
        <v>1</v>
      </c>
      <c r="Z524" s="8">
        <v>5199949</v>
      </c>
      <c r="AA524" s="7" t="s">
        <v>82</v>
      </c>
      <c r="AB524" s="7"/>
      <c r="AC524" s="9">
        <v>1</v>
      </c>
      <c r="AD524" s="10">
        <v>5199949</v>
      </c>
      <c r="AE524" s="9" t="s">
        <v>82</v>
      </c>
      <c r="AF524" s="9"/>
      <c r="AG524" s="11">
        <v>4</v>
      </c>
      <c r="AH524" s="11" t="s">
        <v>83</v>
      </c>
      <c r="AI524" s="11"/>
      <c r="AJ524" s="11"/>
      <c r="AK524" s="11"/>
      <c r="AL524" s="12">
        <v>4</v>
      </c>
      <c r="AM524" s="12" t="s">
        <v>83</v>
      </c>
      <c r="AN524" s="12"/>
      <c r="AO524" s="12"/>
      <c r="AP524" s="12"/>
      <c r="AQ524" s="4">
        <v>5</v>
      </c>
      <c r="AR524" s="4" t="s">
        <v>83</v>
      </c>
      <c r="AS524" s="4"/>
      <c r="AT524" s="13"/>
      <c r="AU524" s="13"/>
      <c r="AV524" s="13"/>
      <c r="AW524" s="13"/>
      <c r="AX524" s="4"/>
      <c r="AY524" s="13"/>
      <c r="AZ524" s="13"/>
      <c r="BA524" s="13"/>
      <c r="BB524" s="13"/>
      <c r="BC524" s="4"/>
      <c r="BD524" s="4"/>
      <c r="BE524" s="4"/>
      <c r="BF524" s="13"/>
      <c r="BG524" s="4"/>
      <c r="BH524" s="13"/>
      <c r="BI524" s="13"/>
      <c r="BJ524" s="4"/>
      <c r="BK524" s="14">
        <v>12</v>
      </c>
      <c r="BL524" s="14">
        <v>12</v>
      </c>
      <c r="BM524" s="14">
        <v>12</v>
      </c>
      <c r="BN524" s="3" t="s">
        <v>302</v>
      </c>
      <c r="BP524" s="15"/>
      <c r="BQ524" s="15"/>
      <c r="BR524" s="2" t="s">
        <v>97</v>
      </c>
      <c r="BS524" s="2" t="s">
        <v>97</v>
      </c>
      <c r="BT524" s="7" t="s">
        <v>98</v>
      </c>
      <c r="BU524" s="7"/>
      <c r="BV524" s="9" t="s">
        <v>98</v>
      </c>
      <c r="BW524" s="9"/>
    </row>
    <row r="525" spans="1:75" ht="14.25" customHeight="1" x14ac:dyDescent="0.25">
      <c r="A525" s="1">
        <v>1129</v>
      </c>
      <c r="B525" s="1" t="s">
        <v>2460</v>
      </c>
      <c r="C525" s="1" t="s">
        <v>2461</v>
      </c>
      <c r="D525" s="1" t="s">
        <v>77</v>
      </c>
      <c r="E525" s="1" t="s">
        <v>2396</v>
      </c>
      <c r="F525" s="1" t="s">
        <v>2452</v>
      </c>
      <c r="G525" s="1"/>
      <c r="H525" s="2">
        <v>0</v>
      </c>
      <c r="I525" s="2">
        <v>0</v>
      </c>
      <c r="J525" s="2">
        <v>0</v>
      </c>
      <c r="K525" s="2">
        <v>1</v>
      </c>
      <c r="L525" s="3" t="s">
        <v>80</v>
      </c>
      <c r="O525" s="4">
        <v>3</v>
      </c>
      <c r="P525" s="4" t="s">
        <v>81</v>
      </c>
      <c r="Q525" s="4"/>
      <c r="R525" s="5"/>
      <c r="S525" s="6"/>
      <c r="T525" s="17"/>
      <c r="U525" s="6"/>
      <c r="V525" s="4"/>
      <c r="W525" s="4"/>
      <c r="X525" s="4"/>
      <c r="Y525" s="7">
        <v>3</v>
      </c>
      <c r="Z525" s="8">
        <v>746044</v>
      </c>
      <c r="AA525" s="7" t="s">
        <v>82</v>
      </c>
      <c r="AB525" s="7"/>
      <c r="AC525" s="9">
        <v>3</v>
      </c>
      <c r="AD525" s="10">
        <v>746044</v>
      </c>
      <c r="AE525" s="9" t="s">
        <v>82</v>
      </c>
      <c r="AF525" s="9"/>
      <c r="AG525" s="11">
        <v>3</v>
      </c>
      <c r="AH525" s="11" t="s">
        <v>83</v>
      </c>
      <c r="AI525" s="11"/>
      <c r="AJ525" s="11"/>
      <c r="AK525" s="11"/>
      <c r="AL525" s="12">
        <v>3</v>
      </c>
      <c r="AM525" s="12" t="s">
        <v>83</v>
      </c>
      <c r="AN525" s="12"/>
      <c r="AO525" s="12"/>
      <c r="AP525" s="12"/>
      <c r="AQ525" s="4">
        <v>4</v>
      </c>
      <c r="AR525" s="4" t="s">
        <v>83</v>
      </c>
      <c r="AS525" s="4"/>
      <c r="AT525" s="13"/>
      <c r="AU525" s="13"/>
      <c r="AV525" s="13"/>
      <c r="AW525" s="13"/>
      <c r="AX525" s="4"/>
      <c r="AY525" s="13"/>
      <c r="AZ525" s="13"/>
      <c r="BA525" s="13"/>
      <c r="BB525" s="13"/>
      <c r="BC525" s="4"/>
      <c r="BD525" s="4"/>
      <c r="BE525" s="4"/>
      <c r="BF525" s="13"/>
      <c r="BG525" s="4"/>
      <c r="BH525" s="13"/>
      <c r="BI525" s="13"/>
      <c r="BJ525" s="4"/>
      <c r="BK525" s="14">
        <v>13</v>
      </c>
      <c r="BL525" s="14">
        <v>13</v>
      </c>
      <c r="BM525" s="14">
        <v>13</v>
      </c>
      <c r="BP525" s="15"/>
      <c r="BQ525" s="15"/>
      <c r="BR525" s="2" t="s">
        <v>87</v>
      </c>
      <c r="BS525" s="2" t="s">
        <v>87</v>
      </c>
      <c r="BT525" s="7" t="s">
        <v>98</v>
      </c>
      <c r="BU525" s="7"/>
      <c r="BV525" s="9" t="s">
        <v>98</v>
      </c>
      <c r="BW525" s="9"/>
    </row>
    <row r="526" spans="1:75" ht="14.25" customHeight="1" x14ac:dyDescent="0.25">
      <c r="A526" s="1">
        <v>1197</v>
      </c>
      <c r="B526" s="1" t="s">
        <v>2462</v>
      </c>
      <c r="C526" s="1" t="s">
        <v>2463</v>
      </c>
      <c r="D526" s="1" t="s">
        <v>77</v>
      </c>
      <c r="E526" s="1" t="s">
        <v>2396</v>
      </c>
      <c r="F526" s="1" t="s">
        <v>2452</v>
      </c>
      <c r="G526" s="1"/>
      <c r="H526" s="2">
        <v>0</v>
      </c>
      <c r="I526" s="2">
        <v>0</v>
      </c>
      <c r="J526" s="2">
        <v>1</v>
      </c>
      <c r="K526" s="2">
        <v>1</v>
      </c>
      <c r="L526" s="3" t="s">
        <v>80</v>
      </c>
      <c r="O526" s="4">
        <v>1</v>
      </c>
      <c r="P526" s="4" t="s">
        <v>112</v>
      </c>
      <c r="Q526" s="4"/>
      <c r="R526" s="5"/>
      <c r="S526" s="6"/>
      <c r="T526" s="17"/>
      <c r="U526" s="6"/>
      <c r="V526" s="4"/>
      <c r="W526" s="4"/>
      <c r="X526" s="4"/>
      <c r="Y526" s="7">
        <v>1</v>
      </c>
      <c r="Z526" s="8">
        <v>10265386</v>
      </c>
      <c r="AA526" s="7" t="s">
        <v>92</v>
      </c>
      <c r="AB526" s="7"/>
      <c r="AC526" s="9">
        <v>1</v>
      </c>
      <c r="AD526" s="10">
        <v>10265386</v>
      </c>
      <c r="AE526" s="9" t="s">
        <v>92</v>
      </c>
      <c r="AF526" s="9"/>
      <c r="AG526" s="11">
        <v>1</v>
      </c>
      <c r="AH526" s="11" t="s">
        <v>93</v>
      </c>
      <c r="AI526" s="11"/>
      <c r="AJ526" s="11"/>
      <c r="AK526" s="11"/>
      <c r="AL526" s="12">
        <v>1</v>
      </c>
      <c r="AM526" s="12" t="s">
        <v>93</v>
      </c>
      <c r="AN526" s="12" t="s">
        <v>2464</v>
      </c>
      <c r="AO526" s="12"/>
      <c r="AP526" s="12"/>
      <c r="AQ526" s="4">
        <v>2</v>
      </c>
      <c r="AR526" s="4" t="s">
        <v>83</v>
      </c>
      <c r="AS526" s="4"/>
      <c r="AT526" s="13"/>
      <c r="AU526" s="13"/>
      <c r="AV526" s="13"/>
      <c r="AW526" s="13"/>
      <c r="AX526" s="4"/>
      <c r="AY526" s="13"/>
      <c r="AZ526" s="13"/>
      <c r="BA526" s="13"/>
      <c r="BB526" s="13"/>
      <c r="BC526" s="4"/>
      <c r="BD526" s="4"/>
      <c r="BE526" s="4"/>
      <c r="BF526" s="13"/>
      <c r="BG526" s="4"/>
      <c r="BH526" s="13"/>
      <c r="BI526" s="13"/>
      <c r="BJ526" s="4"/>
      <c r="BK526" s="14">
        <v>5</v>
      </c>
      <c r="BL526" s="14">
        <v>5</v>
      </c>
      <c r="BM526" s="14">
        <v>5</v>
      </c>
      <c r="BP526" s="15" t="s">
        <v>135</v>
      </c>
      <c r="BQ526" s="15"/>
      <c r="BR526" s="2" t="s">
        <v>97</v>
      </c>
      <c r="BS526" s="2" t="s">
        <v>97</v>
      </c>
      <c r="BT526" s="7" t="s">
        <v>458</v>
      </c>
      <c r="BU526" s="7" t="s">
        <v>603</v>
      </c>
      <c r="BV526" s="9" t="s">
        <v>458</v>
      </c>
      <c r="BW526" s="9" t="s">
        <v>603</v>
      </c>
    </row>
    <row r="527" spans="1:75" ht="14.25" customHeight="1" x14ac:dyDescent="0.25">
      <c r="A527" s="1">
        <v>1198</v>
      </c>
      <c r="B527" s="1" t="s">
        <v>2465</v>
      </c>
      <c r="C527" s="1" t="s">
        <v>2466</v>
      </c>
      <c r="D527" s="1" t="s">
        <v>77</v>
      </c>
      <c r="E527" s="1" t="s">
        <v>2396</v>
      </c>
      <c r="F527" s="1" t="s">
        <v>2452</v>
      </c>
      <c r="G527" s="1"/>
      <c r="H527" s="2">
        <v>0</v>
      </c>
      <c r="I527" s="2">
        <v>0</v>
      </c>
      <c r="J527" s="2">
        <v>0</v>
      </c>
      <c r="K527" s="2">
        <v>1</v>
      </c>
      <c r="L527" s="3" t="s">
        <v>80</v>
      </c>
      <c r="O527" s="4">
        <v>2</v>
      </c>
      <c r="P527" s="4" t="s">
        <v>81</v>
      </c>
      <c r="Q527" s="4"/>
      <c r="R527" s="5"/>
      <c r="S527" s="6"/>
      <c r="T527" s="17"/>
      <c r="U527" s="6"/>
      <c r="V527" s="4"/>
      <c r="W527" s="4"/>
      <c r="X527" s="4"/>
      <c r="Y527" s="7">
        <v>2</v>
      </c>
      <c r="Z527" s="8">
        <v>3332836</v>
      </c>
      <c r="AA527" s="7" t="s">
        <v>82</v>
      </c>
      <c r="AB527" s="7"/>
      <c r="AC527" s="9">
        <v>2</v>
      </c>
      <c r="AD527" s="10">
        <v>3332836</v>
      </c>
      <c r="AE527" s="9" t="s">
        <v>82</v>
      </c>
      <c r="AF527" s="9"/>
      <c r="AG527" s="11">
        <v>2</v>
      </c>
      <c r="AH527" s="11" t="s">
        <v>83</v>
      </c>
      <c r="AI527" s="11"/>
      <c r="AJ527" s="11"/>
      <c r="AK527" s="11"/>
      <c r="AL527" s="12">
        <v>2</v>
      </c>
      <c r="AM527" s="12" t="s">
        <v>83</v>
      </c>
      <c r="AN527" s="12"/>
      <c r="AO527" s="12"/>
      <c r="AP527" s="12"/>
      <c r="AQ527" s="4">
        <v>2</v>
      </c>
      <c r="AR527" s="4" t="s">
        <v>83</v>
      </c>
      <c r="AS527" s="4"/>
      <c r="AT527" s="13"/>
      <c r="AU527" s="13"/>
      <c r="AV527" s="13"/>
      <c r="AW527" s="13"/>
      <c r="AX527" s="4"/>
      <c r="AY527" s="13"/>
      <c r="AZ527" s="13"/>
      <c r="BA527" s="13"/>
      <c r="BB527" s="13"/>
      <c r="BC527" s="4"/>
      <c r="BD527" s="4"/>
      <c r="BE527" s="4"/>
      <c r="BF527" s="13"/>
      <c r="BG527" s="4"/>
      <c r="BH527" s="13"/>
      <c r="BI527" s="13"/>
      <c r="BJ527" s="4"/>
      <c r="BK527" s="14">
        <v>8</v>
      </c>
      <c r="BL527" s="14">
        <v>8</v>
      </c>
      <c r="BM527" s="14">
        <v>8</v>
      </c>
      <c r="BP527" s="15"/>
      <c r="BQ527" s="15"/>
      <c r="BR527" s="2" t="s">
        <v>97</v>
      </c>
      <c r="BS527" s="2" t="s">
        <v>97</v>
      </c>
      <c r="BT527" s="7" t="s">
        <v>458</v>
      </c>
      <c r="BU527" s="7"/>
      <c r="BV527" s="9" t="s">
        <v>458</v>
      </c>
      <c r="BW527" s="9"/>
    </row>
    <row r="528" spans="1:75" ht="14.25" customHeight="1" x14ac:dyDescent="0.25">
      <c r="A528" s="1">
        <v>1199</v>
      </c>
      <c r="B528" s="1" t="s">
        <v>2467</v>
      </c>
      <c r="C528" s="1" t="s">
        <v>2468</v>
      </c>
      <c r="D528" s="1" t="s">
        <v>77</v>
      </c>
      <c r="E528" s="1" t="s">
        <v>2396</v>
      </c>
      <c r="F528" s="1" t="s">
        <v>2452</v>
      </c>
      <c r="G528" s="1"/>
      <c r="H528" s="2">
        <v>0</v>
      </c>
      <c r="I528" s="2">
        <v>0</v>
      </c>
      <c r="J528" s="2">
        <v>0</v>
      </c>
      <c r="K528" s="2">
        <v>1</v>
      </c>
      <c r="L528" s="3" t="s">
        <v>80</v>
      </c>
      <c r="O528" s="4">
        <v>4</v>
      </c>
      <c r="P528" s="4" t="s">
        <v>81</v>
      </c>
      <c r="Q528" s="4"/>
      <c r="R528" s="5"/>
      <c r="S528" s="6"/>
      <c r="T528" s="17"/>
      <c r="U528" s="6"/>
      <c r="V528" s="4"/>
      <c r="W528" s="4"/>
      <c r="X528" s="4"/>
      <c r="Y528" s="7">
        <v>4</v>
      </c>
      <c r="Z528" s="8">
        <v>198378</v>
      </c>
      <c r="AA528" s="7" t="s">
        <v>283</v>
      </c>
      <c r="AB528" s="7"/>
      <c r="AC528" s="9">
        <v>4</v>
      </c>
      <c r="AD528" s="10">
        <v>198378</v>
      </c>
      <c r="AE528" s="9" t="s">
        <v>283</v>
      </c>
      <c r="AF528" s="9"/>
      <c r="AG528" s="11">
        <v>3</v>
      </c>
      <c r="AH528" s="11" t="s">
        <v>83</v>
      </c>
      <c r="AI528" s="11"/>
      <c r="AJ528" s="11"/>
      <c r="AK528" s="11"/>
      <c r="AL528" s="12">
        <v>3</v>
      </c>
      <c r="AM528" s="12" t="s">
        <v>83</v>
      </c>
      <c r="AN528" s="12"/>
      <c r="AO528" s="12"/>
      <c r="AP528" s="12"/>
      <c r="AQ528" s="4">
        <v>3</v>
      </c>
      <c r="AR528" s="4" t="s">
        <v>83</v>
      </c>
      <c r="AS528" s="4"/>
      <c r="AT528" s="13"/>
      <c r="AU528" s="13"/>
      <c r="AV528" s="13"/>
      <c r="AW528" s="13"/>
      <c r="AX528" s="4"/>
      <c r="AY528" s="13"/>
      <c r="AZ528" s="13"/>
      <c r="BA528" s="13"/>
      <c r="BB528" s="13"/>
      <c r="BC528" s="4"/>
      <c r="BD528" s="4"/>
      <c r="BE528" s="4"/>
      <c r="BF528" s="13"/>
      <c r="BG528" s="4"/>
      <c r="BH528" s="13"/>
      <c r="BI528" s="13"/>
      <c r="BJ528" s="4"/>
      <c r="BK528" s="14">
        <v>14</v>
      </c>
      <c r="BL528" s="14">
        <v>14</v>
      </c>
      <c r="BM528" s="14">
        <v>14</v>
      </c>
      <c r="BN528" s="3" t="s">
        <v>86</v>
      </c>
      <c r="BP528" s="15"/>
      <c r="BQ528" s="15"/>
      <c r="BR528" s="2" t="s">
        <v>121</v>
      </c>
      <c r="BS528" s="2" t="s">
        <v>121</v>
      </c>
      <c r="BT528" s="7" t="s">
        <v>98</v>
      </c>
      <c r="BU528" s="7"/>
      <c r="BV528" s="9" t="s">
        <v>98</v>
      </c>
      <c r="BW528" s="9"/>
    </row>
    <row r="529" spans="1:75" ht="14.25" customHeight="1" x14ac:dyDescent="0.25">
      <c r="A529" s="1">
        <v>1200</v>
      </c>
      <c r="B529" s="1" t="s">
        <v>2469</v>
      </c>
      <c r="C529" s="1" t="s">
        <v>2470</v>
      </c>
      <c r="D529" s="1" t="s">
        <v>77</v>
      </c>
      <c r="E529" s="1" t="s">
        <v>2396</v>
      </c>
      <c r="F529" s="1" t="s">
        <v>2452</v>
      </c>
      <c r="G529" s="1" t="s">
        <v>118</v>
      </c>
      <c r="H529" s="2">
        <v>0</v>
      </c>
      <c r="I529" s="2">
        <v>0</v>
      </c>
      <c r="J529" s="2">
        <v>0</v>
      </c>
      <c r="K529" s="2">
        <v>1</v>
      </c>
      <c r="L529" s="3" t="s">
        <v>80</v>
      </c>
      <c r="O529" s="4">
        <v>4</v>
      </c>
      <c r="P529" s="4" t="s">
        <v>81</v>
      </c>
      <c r="Q529" s="4"/>
      <c r="R529" s="5"/>
      <c r="S529" s="6"/>
      <c r="T529" s="17"/>
      <c r="U529" s="6"/>
      <c r="V529" s="4"/>
      <c r="W529" s="4"/>
      <c r="X529" s="4"/>
      <c r="Y529" s="7">
        <v>5</v>
      </c>
      <c r="Z529" s="8">
        <v>16661</v>
      </c>
      <c r="AA529" s="7" t="s">
        <v>82</v>
      </c>
      <c r="AB529" s="7"/>
      <c r="AC529" s="9">
        <v>5</v>
      </c>
      <c r="AD529" s="10">
        <v>16661</v>
      </c>
      <c r="AE529" s="9" t="s">
        <v>82</v>
      </c>
      <c r="AF529" s="9"/>
      <c r="AG529" s="11">
        <v>3</v>
      </c>
      <c r="AH529" s="11" t="s">
        <v>83</v>
      </c>
      <c r="AI529" s="11"/>
      <c r="AJ529" s="11"/>
      <c r="AK529" s="11"/>
      <c r="AL529" s="12">
        <v>3</v>
      </c>
      <c r="AM529" s="12" t="s">
        <v>83</v>
      </c>
      <c r="AN529" s="12"/>
      <c r="AO529" s="12"/>
      <c r="AP529" s="12"/>
      <c r="AQ529" s="4">
        <v>4</v>
      </c>
      <c r="AR529" s="4" t="s">
        <v>83</v>
      </c>
      <c r="AS529" s="4" t="s">
        <v>2471</v>
      </c>
      <c r="AT529" s="13"/>
      <c r="AU529" s="13"/>
      <c r="AV529" s="13"/>
      <c r="AW529" s="13"/>
      <c r="AX529" s="4"/>
      <c r="AY529" s="13"/>
      <c r="AZ529" s="13"/>
      <c r="BA529" s="13"/>
      <c r="BB529" s="13"/>
      <c r="BC529" s="4"/>
      <c r="BD529" s="4"/>
      <c r="BE529" s="4"/>
      <c r="BF529" s="13"/>
      <c r="BG529" s="4"/>
      <c r="BH529" s="13"/>
      <c r="BI529" s="13"/>
      <c r="BJ529" s="4"/>
      <c r="BK529" s="14">
        <v>16</v>
      </c>
      <c r="BL529" s="14">
        <v>16</v>
      </c>
      <c r="BM529" s="14">
        <v>16</v>
      </c>
      <c r="BN529" s="3" t="s">
        <v>86</v>
      </c>
      <c r="BP529" s="15"/>
      <c r="BQ529" s="15"/>
      <c r="BR529" s="2" t="s">
        <v>87</v>
      </c>
      <c r="BS529" s="2" t="s">
        <v>87</v>
      </c>
      <c r="BT529" s="7" t="s">
        <v>88</v>
      </c>
      <c r="BU529" s="7"/>
      <c r="BV529" s="9" t="s">
        <v>88</v>
      </c>
      <c r="BW529" s="9"/>
    </row>
    <row r="530" spans="1:75" ht="14.25" customHeight="1" x14ac:dyDescent="0.25">
      <c r="A530" s="1">
        <v>1201</v>
      </c>
      <c r="B530" s="1" t="s">
        <v>2472</v>
      </c>
      <c r="C530" s="1" t="s">
        <v>2473</v>
      </c>
      <c r="D530" s="1" t="s">
        <v>77</v>
      </c>
      <c r="E530" s="1" t="s">
        <v>2396</v>
      </c>
      <c r="F530" s="1" t="s">
        <v>2452</v>
      </c>
      <c r="G530" s="1"/>
      <c r="H530" s="2">
        <v>0</v>
      </c>
      <c r="I530" s="2">
        <v>0</v>
      </c>
      <c r="J530" s="2">
        <v>0</v>
      </c>
      <c r="K530" s="2">
        <v>1</v>
      </c>
      <c r="L530" s="3" t="s">
        <v>80</v>
      </c>
      <c r="O530" s="4">
        <v>3</v>
      </c>
      <c r="P530" s="4" t="s">
        <v>81</v>
      </c>
      <c r="Q530" s="4"/>
      <c r="R530" s="5"/>
      <c r="S530" s="6"/>
      <c r="T530" s="17"/>
      <c r="U530" s="6"/>
      <c r="V530" s="4"/>
      <c r="W530" s="4"/>
      <c r="X530" s="4"/>
      <c r="Y530" s="7">
        <v>3</v>
      </c>
      <c r="Z530" s="8">
        <v>481870</v>
      </c>
      <c r="AA530" s="7" t="s">
        <v>82</v>
      </c>
      <c r="AB530" s="7"/>
      <c r="AC530" s="9">
        <v>3</v>
      </c>
      <c r="AD530" s="10">
        <v>481870</v>
      </c>
      <c r="AE530" s="9" t="s">
        <v>82</v>
      </c>
      <c r="AF530" s="9"/>
      <c r="AG530" s="11">
        <v>4</v>
      </c>
      <c r="AH530" s="11" t="s">
        <v>83</v>
      </c>
      <c r="AI530" s="11"/>
      <c r="AJ530" s="11"/>
      <c r="AK530" s="11"/>
      <c r="AL530" s="12">
        <v>4</v>
      </c>
      <c r="AM530" s="12" t="s">
        <v>83</v>
      </c>
      <c r="AN530" s="12"/>
      <c r="AO530" s="12"/>
      <c r="AP530" s="12"/>
      <c r="AQ530" s="4">
        <v>3</v>
      </c>
      <c r="AR530" s="4" t="s">
        <v>83</v>
      </c>
      <c r="AS530" s="4"/>
      <c r="AT530" s="13"/>
      <c r="AU530" s="13"/>
      <c r="AV530" s="13"/>
      <c r="AW530" s="13"/>
      <c r="AX530" s="4"/>
      <c r="AY530" s="13"/>
      <c r="AZ530" s="13"/>
      <c r="BA530" s="13"/>
      <c r="BB530" s="13"/>
      <c r="BC530" s="4"/>
      <c r="BD530" s="4"/>
      <c r="BE530" s="4"/>
      <c r="BF530" s="13"/>
      <c r="BG530" s="4"/>
      <c r="BH530" s="13"/>
      <c r="BI530" s="13"/>
      <c r="BJ530" s="4"/>
      <c r="BK530" s="14">
        <v>13</v>
      </c>
      <c r="BL530" s="14">
        <v>13</v>
      </c>
      <c r="BM530" s="14">
        <v>13</v>
      </c>
      <c r="BP530" s="15"/>
      <c r="BQ530" s="15"/>
      <c r="BR530" s="2" t="s">
        <v>87</v>
      </c>
      <c r="BS530" s="2" t="s">
        <v>87</v>
      </c>
      <c r="BT530" s="7" t="s">
        <v>88</v>
      </c>
      <c r="BU530" s="7"/>
      <c r="BV530" s="9" t="s">
        <v>88</v>
      </c>
      <c r="BW530" s="9"/>
    </row>
    <row r="531" spans="1:75" ht="14.25" customHeight="1" x14ac:dyDescent="0.25">
      <c r="A531" s="1">
        <v>1202</v>
      </c>
      <c r="B531" s="1" t="s">
        <v>2474</v>
      </c>
      <c r="C531" s="1" t="s">
        <v>2475</v>
      </c>
      <c r="D531" s="1" t="s">
        <v>77</v>
      </c>
      <c r="E531" s="1" t="s">
        <v>2396</v>
      </c>
      <c r="F531" s="1" t="s">
        <v>2452</v>
      </c>
      <c r="G531" s="1"/>
      <c r="H531" s="2">
        <v>0</v>
      </c>
      <c r="I531" s="2">
        <v>0</v>
      </c>
      <c r="J531" s="2">
        <v>1</v>
      </c>
      <c r="K531" s="2">
        <v>1</v>
      </c>
      <c r="L531" s="3" t="s">
        <v>127</v>
      </c>
      <c r="O531" s="4">
        <v>2</v>
      </c>
      <c r="P531" s="4" t="s">
        <v>112</v>
      </c>
      <c r="Q531" s="4"/>
      <c r="R531" s="5"/>
      <c r="S531" s="6"/>
      <c r="T531" s="17"/>
      <c r="U531" s="6"/>
      <c r="V531" s="4"/>
      <c r="W531" s="4"/>
      <c r="X531" s="4"/>
      <c r="Y531" s="7">
        <v>1</v>
      </c>
      <c r="Z531" s="8">
        <v>14439599</v>
      </c>
      <c r="AA531" s="7" t="s">
        <v>92</v>
      </c>
      <c r="AB531" s="7"/>
      <c r="AC531" s="9">
        <v>1</v>
      </c>
      <c r="AD531" s="10">
        <v>14089440</v>
      </c>
      <c r="AE531" s="9" t="s">
        <v>92</v>
      </c>
      <c r="AF531" s="9"/>
      <c r="AG531" s="11">
        <v>2</v>
      </c>
      <c r="AH531" s="11" t="s">
        <v>93</v>
      </c>
      <c r="AI531" s="11"/>
      <c r="AJ531" s="11"/>
      <c r="AK531" s="11"/>
      <c r="AL531" s="12">
        <v>3</v>
      </c>
      <c r="AM531" s="12" t="s">
        <v>93</v>
      </c>
      <c r="AN531" s="12" t="s">
        <v>2476</v>
      </c>
      <c r="AO531" s="12"/>
      <c r="AP531" s="12"/>
      <c r="AQ531" s="4">
        <v>3</v>
      </c>
      <c r="AR531" s="4" t="s">
        <v>83</v>
      </c>
      <c r="AS531" s="4" t="s">
        <v>2477</v>
      </c>
      <c r="AT531" s="13"/>
      <c r="AU531" s="13"/>
      <c r="AV531" s="13"/>
      <c r="AW531" s="13"/>
      <c r="AX531" s="4"/>
      <c r="AY531" s="13"/>
      <c r="AZ531" s="13"/>
      <c r="BA531" s="13"/>
      <c r="BB531" s="13"/>
      <c r="BC531" s="4"/>
      <c r="BD531" s="4"/>
      <c r="BE531" s="4"/>
      <c r="BF531" s="13"/>
      <c r="BG531" s="4"/>
      <c r="BH531" s="13"/>
      <c r="BI531" s="13"/>
      <c r="BJ531" s="4"/>
      <c r="BK531" s="14">
        <v>8</v>
      </c>
      <c r="BL531" s="14">
        <v>9</v>
      </c>
      <c r="BM531" s="14">
        <v>9</v>
      </c>
      <c r="BP531" s="15"/>
      <c r="BQ531" s="15"/>
      <c r="BR531" s="2" t="s">
        <v>97</v>
      </c>
      <c r="BS531" s="2" t="s">
        <v>97</v>
      </c>
      <c r="BT531" s="7" t="s">
        <v>98</v>
      </c>
      <c r="BU531" s="7"/>
      <c r="BV531" s="9" t="s">
        <v>109</v>
      </c>
      <c r="BW531" s="9" t="s">
        <v>98</v>
      </c>
    </row>
    <row r="532" spans="1:75" ht="14.25" customHeight="1" x14ac:dyDescent="0.25">
      <c r="A532" s="1">
        <v>1203</v>
      </c>
      <c r="B532" s="1" t="s">
        <v>2478</v>
      </c>
      <c r="C532" s="1" t="s">
        <v>2479</v>
      </c>
      <c r="D532" s="1" t="s">
        <v>77</v>
      </c>
      <c r="E532" s="1" t="s">
        <v>2396</v>
      </c>
      <c r="F532" s="1" t="s">
        <v>2452</v>
      </c>
      <c r="G532" s="1" t="s">
        <v>118</v>
      </c>
      <c r="H532" s="2">
        <v>0</v>
      </c>
      <c r="I532" s="2">
        <v>1</v>
      </c>
      <c r="J532" s="2">
        <v>1</v>
      </c>
      <c r="K532" s="2">
        <v>1</v>
      </c>
      <c r="L532" s="3" t="s">
        <v>127</v>
      </c>
      <c r="O532" s="4">
        <v>3</v>
      </c>
      <c r="P532" s="4" t="s">
        <v>753</v>
      </c>
      <c r="Q532" s="4" t="s">
        <v>2480</v>
      </c>
      <c r="R532" s="16">
        <v>2000000</v>
      </c>
      <c r="S532" s="6">
        <v>2000000</v>
      </c>
      <c r="T532" s="17" t="s">
        <v>1939</v>
      </c>
      <c r="U532" s="6">
        <v>1000</v>
      </c>
      <c r="V532" s="4"/>
      <c r="W532" s="4" t="s">
        <v>543</v>
      </c>
      <c r="X532" s="4"/>
      <c r="Y532" s="7">
        <v>2</v>
      </c>
      <c r="Z532" s="8">
        <v>1258976</v>
      </c>
      <c r="AA532" s="7" t="s">
        <v>92</v>
      </c>
      <c r="AB532" s="7"/>
      <c r="AC532" s="9">
        <v>2</v>
      </c>
      <c r="AD532" s="10">
        <v>1404558</v>
      </c>
      <c r="AE532" s="9" t="s">
        <v>92</v>
      </c>
      <c r="AF532" s="9"/>
      <c r="AG532" s="11">
        <v>3</v>
      </c>
      <c r="AH532" s="11" t="s">
        <v>131</v>
      </c>
      <c r="AI532" s="11" t="s">
        <v>2481</v>
      </c>
      <c r="AJ532" s="11">
        <v>3</v>
      </c>
      <c r="AK532" s="11" t="s">
        <v>143</v>
      </c>
      <c r="AL532" s="12">
        <v>3</v>
      </c>
      <c r="AM532" s="12" t="s">
        <v>271</v>
      </c>
      <c r="AN532" s="12" t="s">
        <v>2482</v>
      </c>
      <c r="AO532" s="12"/>
      <c r="AP532" s="12"/>
      <c r="AQ532" s="4">
        <v>3</v>
      </c>
      <c r="AR532" s="4" t="s">
        <v>93</v>
      </c>
      <c r="AS532" s="4"/>
      <c r="AT532" s="13"/>
      <c r="AU532" s="13"/>
      <c r="AV532" s="13"/>
      <c r="AW532" s="13"/>
      <c r="AX532" s="4"/>
      <c r="AY532" s="13"/>
      <c r="AZ532" s="13"/>
      <c r="BA532" s="13"/>
      <c r="BB532" s="13"/>
      <c r="BC532" s="4"/>
      <c r="BD532" s="4"/>
      <c r="BE532" s="4"/>
      <c r="BF532" s="13"/>
      <c r="BG532" s="4"/>
      <c r="BH532" s="13"/>
      <c r="BI532" s="13"/>
      <c r="BJ532" s="4"/>
      <c r="BK532" s="14">
        <v>11</v>
      </c>
      <c r="BL532" s="14">
        <v>11</v>
      </c>
      <c r="BM532" s="14">
        <v>11</v>
      </c>
      <c r="BP532" s="15"/>
      <c r="BQ532" s="15"/>
      <c r="BR532" s="2" t="s">
        <v>400</v>
      </c>
      <c r="BS532" s="2" t="s">
        <v>740</v>
      </c>
      <c r="BT532" s="7" t="s">
        <v>109</v>
      </c>
      <c r="BU532" s="7" t="s">
        <v>438</v>
      </c>
      <c r="BV532" s="9" t="s">
        <v>98</v>
      </c>
      <c r="BW532" s="9"/>
    </row>
    <row r="533" spans="1:75" ht="14.25" customHeight="1" x14ac:dyDescent="0.25">
      <c r="A533" s="1">
        <v>1204</v>
      </c>
      <c r="B533" s="1" t="s">
        <v>2483</v>
      </c>
      <c r="C533" s="1" t="s">
        <v>2484</v>
      </c>
      <c r="D533" s="1" t="s">
        <v>77</v>
      </c>
      <c r="E533" s="1" t="s">
        <v>2396</v>
      </c>
      <c r="F533" s="1" t="s">
        <v>2452</v>
      </c>
      <c r="G533" s="1"/>
      <c r="H533" s="2">
        <v>0</v>
      </c>
      <c r="I533" s="2">
        <v>0</v>
      </c>
      <c r="J533" s="2">
        <v>1</v>
      </c>
      <c r="K533" s="2">
        <v>1</v>
      </c>
      <c r="L533" s="3" t="s">
        <v>127</v>
      </c>
      <c r="O533" s="4">
        <v>2</v>
      </c>
      <c r="P533" s="4" t="s">
        <v>112</v>
      </c>
      <c r="Q533" s="4"/>
      <c r="R533" s="5"/>
      <c r="S533" s="6"/>
      <c r="T533" s="17"/>
      <c r="U533" s="6"/>
      <c r="V533" s="4"/>
      <c r="W533" s="4"/>
      <c r="X533" s="4"/>
      <c r="Y533" s="7">
        <v>1</v>
      </c>
      <c r="Z533" s="8">
        <v>11407355</v>
      </c>
      <c r="AA533" s="7" t="s">
        <v>92</v>
      </c>
      <c r="AB533" s="7"/>
      <c r="AC533" s="9">
        <v>1</v>
      </c>
      <c r="AD533" s="10">
        <v>10880267</v>
      </c>
      <c r="AE533" s="9" t="s">
        <v>92</v>
      </c>
      <c r="AF533" s="9"/>
      <c r="AG533" s="11">
        <v>2</v>
      </c>
      <c r="AH533" s="11" t="s">
        <v>93</v>
      </c>
      <c r="AI533" s="11"/>
      <c r="AJ533" s="11"/>
      <c r="AK533" s="11"/>
      <c r="AL533" s="12">
        <v>3</v>
      </c>
      <c r="AM533" s="12" t="s">
        <v>93</v>
      </c>
      <c r="AN533" s="12" t="s">
        <v>2476</v>
      </c>
      <c r="AO533" s="12"/>
      <c r="AP533" s="12"/>
      <c r="AQ533" s="4">
        <v>3</v>
      </c>
      <c r="AR533" s="4" t="s">
        <v>83</v>
      </c>
      <c r="AS533" s="4" t="s">
        <v>2485</v>
      </c>
      <c r="AT533" s="13"/>
      <c r="AU533" s="13"/>
      <c r="AV533" s="13"/>
      <c r="AW533" s="13"/>
      <c r="AX533" s="4"/>
      <c r="AY533" s="13"/>
      <c r="AZ533" s="13"/>
      <c r="BA533" s="13"/>
      <c r="BB533" s="13"/>
      <c r="BC533" s="4"/>
      <c r="BD533" s="4"/>
      <c r="BE533" s="4"/>
      <c r="BF533" s="13"/>
      <c r="BG533" s="4"/>
      <c r="BH533" s="13"/>
      <c r="BI533" s="13"/>
      <c r="BJ533" s="4"/>
      <c r="BK533" s="14">
        <v>8</v>
      </c>
      <c r="BL533" s="14">
        <v>9</v>
      </c>
      <c r="BM533" s="14">
        <v>9</v>
      </c>
      <c r="BP533" s="15"/>
      <c r="BQ533" s="15"/>
      <c r="BR533" s="2" t="s">
        <v>97</v>
      </c>
      <c r="BS533" s="2" t="s">
        <v>97</v>
      </c>
      <c r="BT533" s="7" t="s">
        <v>458</v>
      </c>
      <c r="BU533" s="7"/>
      <c r="BV533" s="9" t="s">
        <v>98</v>
      </c>
      <c r="BW533" s="9"/>
    </row>
    <row r="534" spans="1:75" ht="14.25" customHeight="1" x14ac:dyDescent="0.25">
      <c r="A534" s="1">
        <v>1207</v>
      </c>
      <c r="B534" s="1" t="s">
        <v>2486</v>
      </c>
      <c r="C534" s="1" t="s">
        <v>2487</v>
      </c>
      <c r="D534" s="1" t="s">
        <v>77</v>
      </c>
      <c r="E534" s="1" t="s">
        <v>2396</v>
      </c>
      <c r="F534" s="1" t="s">
        <v>2452</v>
      </c>
      <c r="G534" s="1"/>
      <c r="H534" s="2">
        <v>0</v>
      </c>
      <c r="I534" s="2">
        <v>1</v>
      </c>
      <c r="J534" s="2">
        <v>1</v>
      </c>
      <c r="K534" s="2">
        <v>1</v>
      </c>
      <c r="L534" s="3" t="s">
        <v>127</v>
      </c>
      <c r="O534" s="4">
        <v>1</v>
      </c>
      <c r="P534" s="4" t="s">
        <v>753</v>
      </c>
      <c r="Q534" s="4"/>
      <c r="R534" s="16">
        <v>200000000</v>
      </c>
      <c r="S534" s="6">
        <v>200000000</v>
      </c>
      <c r="T534" s="17" t="s">
        <v>2488</v>
      </c>
      <c r="U534" s="6">
        <v>7000</v>
      </c>
      <c r="V534" s="4"/>
      <c r="W534" s="4" t="s">
        <v>543</v>
      </c>
      <c r="X534" s="4" t="s">
        <v>2489</v>
      </c>
      <c r="Y534" s="7">
        <v>1</v>
      </c>
      <c r="Z534" s="8">
        <v>16547618</v>
      </c>
      <c r="AA534" s="7" t="s">
        <v>92</v>
      </c>
      <c r="AB534" s="7"/>
      <c r="AC534" s="9">
        <v>1</v>
      </c>
      <c r="AD534" s="10">
        <v>16402446</v>
      </c>
      <c r="AE534" s="9" t="s">
        <v>92</v>
      </c>
      <c r="AF534" s="9"/>
      <c r="AG534" s="11">
        <v>2</v>
      </c>
      <c r="AH534" s="11" t="s">
        <v>131</v>
      </c>
      <c r="AI534" s="11"/>
      <c r="AJ534" s="11">
        <v>2</v>
      </c>
      <c r="AK534" s="11" t="s">
        <v>132</v>
      </c>
      <c r="AL534" s="12">
        <v>2</v>
      </c>
      <c r="AM534" s="12" t="s">
        <v>131</v>
      </c>
      <c r="AN534" s="12" t="s">
        <v>683</v>
      </c>
      <c r="AO534" s="12">
        <v>2</v>
      </c>
      <c r="AP534" s="12" t="s">
        <v>143</v>
      </c>
      <c r="AQ534" s="4">
        <v>1</v>
      </c>
      <c r="AR534" s="4" t="s">
        <v>673</v>
      </c>
      <c r="AS534" s="4" t="s">
        <v>2490</v>
      </c>
      <c r="AT534" s="13"/>
      <c r="AU534" s="13"/>
      <c r="AV534" s="13"/>
      <c r="AW534" s="13"/>
      <c r="AX534" s="4"/>
      <c r="AY534" s="13"/>
      <c r="AZ534" s="13"/>
      <c r="BA534" s="13"/>
      <c r="BB534" s="13"/>
      <c r="BC534" s="4"/>
      <c r="BD534" s="4"/>
      <c r="BE534" s="4"/>
      <c r="BF534" s="13"/>
      <c r="BG534" s="4"/>
      <c r="BH534" s="13"/>
      <c r="BI534" s="13"/>
      <c r="BJ534" s="4"/>
      <c r="BK534" s="14">
        <v>5</v>
      </c>
      <c r="BL534" s="14">
        <v>5</v>
      </c>
      <c r="BM534" s="14">
        <v>5</v>
      </c>
      <c r="BP534" s="15" t="s">
        <v>135</v>
      </c>
      <c r="BQ534" s="15" t="s">
        <v>146</v>
      </c>
      <c r="BR534" s="2" t="s">
        <v>97</v>
      </c>
      <c r="BS534" s="2" t="s">
        <v>97</v>
      </c>
      <c r="BT534" s="7" t="s">
        <v>458</v>
      </c>
      <c r="BU534" s="7" t="s">
        <v>603</v>
      </c>
      <c r="BV534" s="9" t="s">
        <v>458</v>
      </c>
      <c r="BW534" s="9" t="s">
        <v>603</v>
      </c>
    </row>
    <row r="535" spans="1:75" ht="14.25" customHeight="1" x14ac:dyDescent="0.25">
      <c r="A535" s="1">
        <v>1208</v>
      </c>
      <c r="B535" s="1" t="s">
        <v>2491</v>
      </c>
      <c r="C535" s="1" t="s">
        <v>2492</v>
      </c>
      <c r="D535" s="1" t="s">
        <v>77</v>
      </c>
      <c r="E535" s="1" t="s">
        <v>2396</v>
      </c>
      <c r="F535" s="1" t="s">
        <v>2452</v>
      </c>
      <c r="G535" s="1" t="s">
        <v>118</v>
      </c>
      <c r="H535" s="2">
        <v>0</v>
      </c>
      <c r="I535" s="2">
        <v>1</v>
      </c>
      <c r="J535" s="2">
        <v>1</v>
      </c>
      <c r="K535" s="2">
        <v>1</v>
      </c>
      <c r="L535" s="3" t="s">
        <v>80</v>
      </c>
      <c r="O535" s="4">
        <v>3</v>
      </c>
      <c r="P535" s="4" t="s">
        <v>470</v>
      </c>
      <c r="Q535" s="4" t="s">
        <v>2493</v>
      </c>
      <c r="R535" s="16">
        <v>1100000</v>
      </c>
      <c r="S535" s="6">
        <v>1100000</v>
      </c>
      <c r="T535" s="16">
        <v>250000</v>
      </c>
      <c r="U535" s="6">
        <v>250000</v>
      </c>
      <c r="V535" s="4">
        <v>2010.5</v>
      </c>
      <c r="W535" s="4" t="s">
        <v>425</v>
      </c>
      <c r="X535" s="4"/>
      <c r="Y535" s="7">
        <v>3</v>
      </c>
      <c r="Z535" s="8">
        <v>552631</v>
      </c>
      <c r="AA535" s="7" t="s">
        <v>92</v>
      </c>
      <c r="AB535" s="7"/>
      <c r="AC535" s="9">
        <v>3</v>
      </c>
      <c r="AD535" s="10">
        <v>552631</v>
      </c>
      <c r="AE535" s="9" t="s">
        <v>92</v>
      </c>
      <c r="AF535" s="9"/>
      <c r="AG535" s="11">
        <v>3</v>
      </c>
      <c r="AH535" s="11" t="s">
        <v>131</v>
      </c>
      <c r="AI535" s="11"/>
      <c r="AJ535" s="11">
        <v>3</v>
      </c>
      <c r="AK535" s="11" t="s">
        <v>132</v>
      </c>
      <c r="AL535" s="12">
        <v>3</v>
      </c>
      <c r="AM535" s="12" t="s">
        <v>131</v>
      </c>
      <c r="AN535" s="12" t="s">
        <v>394</v>
      </c>
      <c r="AO535" s="12">
        <v>3</v>
      </c>
      <c r="AP535" s="12" t="s">
        <v>132</v>
      </c>
      <c r="AQ535" s="4">
        <v>2</v>
      </c>
      <c r="AR535" s="4" t="s">
        <v>93</v>
      </c>
      <c r="AS535" s="4"/>
      <c r="AT535" s="13"/>
      <c r="AU535" s="13"/>
      <c r="AV535" s="13"/>
      <c r="AW535" s="13"/>
      <c r="AX535" s="4"/>
      <c r="AY535" s="13"/>
      <c r="AZ535" s="13"/>
      <c r="BA535" s="13"/>
      <c r="BB535" s="13"/>
      <c r="BC535" s="4"/>
      <c r="BD535" s="4"/>
      <c r="BE535" s="4"/>
      <c r="BF535" s="13"/>
      <c r="BG535" s="4"/>
      <c r="BH535" s="13"/>
      <c r="BI535" s="13"/>
      <c r="BJ535" s="4"/>
      <c r="BK535" s="14">
        <v>11</v>
      </c>
      <c r="BL535" s="14">
        <v>11</v>
      </c>
      <c r="BM535" s="14">
        <v>11</v>
      </c>
      <c r="BP535" s="15" t="s">
        <v>135</v>
      </c>
      <c r="BQ535" s="15"/>
      <c r="BR535" s="2" t="s">
        <v>115</v>
      </c>
      <c r="BS535" s="2" t="s">
        <v>115</v>
      </c>
      <c r="BT535" s="7" t="s">
        <v>458</v>
      </c>
      <c r="BU535" s="7"/>
      <c r="BV535" s="9" t="s">
        <v>458</v>
      </c>
      <c r="BW535" s="9"/>
    </row>
    <row r="536" spans="1:75" ht="14.25" customHeight="1" x14ac:dyDescent="0.25">
      <c r="A536" s="1">
        <v>1209</v>
      </c>
      <c r="B536" s="1" t="s">
        <v>2494</v>
      </c>
      <c r="C536" s="1" t="s">
        <v>2495</v>
      </c>
      <c r="D536" s="1" t="s">
        <v>77</v>
      </c>
      <c r="E536" s="1" t="s">
        <v>2396</v>
      </c>
      <c r="F536" s="1" t="s">
        <v>2452</v>
      </c>
      <c r="G536" s="1"/>
      <c r="H536" s="2">
        <v>0</v>
      </c>
      <c r="I536" s="2">
        <v>1</v>
      </c>
      <c r="J536" s="2">
        <v>1</v>
      </c>
      <c r="K536" s="2">
        <v>1</v>
      </c>
      <c r="L536" s="3" t="s">
        <v>127</v>
      </c>
      <c r="O536" s="4">
        <v>2</v>
      </c>
      <c r="P536" s="4" t="s">
        <v>470</v>
      </c>
      <c r="Q536" s="4"/>
      <c r="R536" s="16">
        <v>8800000</v>
      </c>
      <c r="S536" s="6">
        <v>8800000</v>
      </c>
      <c r="T536" s="16">
        <v>2500000</v>
      </c>
      <c r="U536" s="6">
        <v>2500000</v>
      </c>
      <c r="V536" s="4">
        <v>2010.5</v>
      </c>
      <c r="W536" s="4" t="s">
        <v>425</v>
      </c>
      <c r="X536" s="4"/>
      <c r="Y536" s="7">
        <v>2</v>
      </c>
      <c r="Z536" s="8">
        <v>1438073</v>
      </c>
      <c r="AA536" s="7" t="s">
        <v>92</v>
      </c>
      <c r="AB536" s="7"/>
      <c r="AC536" s="9">
        <v>3</v>
      </c>
      <c r="AD536" s="10">
        <v>683091</v>
      </c>
      <c r="AE536" s="9" t="s">
        <v>92</v>
      </c>
      <c r="AF536" s="9"/>
      <c r="AG536" s="11">
        <v>3</v>
      </c>
      <c r="AH536" s="11" t="s">
        <v>131</v>
      </c>
      <c r="AI536" s="11" t="s">
        <v>2496</v>
      </c>
      <c r="AJ536" s="11">
        <v>3</v>
      </c>
      <c r="AK536" s="11" t="s">
        <v>143</v>
      </c>
      <c r="AL536" s="12">
        <v>2</v>
      </c>
      <c r="AM536" s="12" t="s">
        <v>131</v>
      </c>
      <c r="AN536" s="12" t="s">
        <v>2497</v>
      </c>
      <c r="AO536" s="12">
        <v>2</v>
      </c>
      <c r="AP536" s="12" t="s">
        <v>132</v>
      </c>
      <c r="AQ536" s="4">
        <v>3</v>
      </c>
      <c r="AR536" s="4" t="s">
        <v>133</v>
      </c>
      <c r="AS536" s="4"/>
      <c r="AT536" s="13">
        <v>-6.6181745529174796</v>
      </c>
      <c r="AU536" s="13">
        <v>-0.13410240411758401</v>
      </c>
      <c r="AV536" s="13">
        <v>-0.90499997138977095</v>
      </c>
      <c r="AW536" s="13">
        <v>0.49500000476837203</v>
      </c>
      <c r="AX536" s="4"/>
      <c r="AY536" s="13">
        <v>-3.14743232727051</v>
      </c>
      <c r="AZ536" s="13">
        <v>-0.31926432251930198</v>
      </c>
      <c r="BA536" s="13">
        <v>-2.2599999904632599</v>
      </c>
      <c r="BB536" s="13">
        <v>1.37129998207092</v>
      </c>
      <c r="BC536" s="4"/>
      <c r="BD536" s="4">
        <v>10</v>
      </c>
      <c r="BE536" s="4" t="s">
        <v>134</v>
      </c>
      <c r="BF536" s="13">
        <v>1.3999999761581401</v>
      </c>
      <c r="BG536" s="4">
        <v>277</v>
      </c>
      <c r="BH536" s="13">
        <v>3.46000003814697</v>
      </c>
      <c r="BI536" s="13">
        <v>957.33001708984398</v>
      </c>
      <c r="BJ536" s="4"/>
      <c r="BK536" s="14">
        <v>10</v>
      </c>
      <c r="BL536" s="14">
        <v>10</v>
      </c>
      <c r="BM536" s="14">
        <v>10</v>
      </c>
      <c r="BP536" s="15"/>
      <c r="BQ536" s="15"/>
      <c r="BR536" s="2" t="s">
        <v>256</v>
      </c>
      <c r="BS536" s="2" t="s">
        <v>409</v>
      </c>
      <c r="BT536" s="7" t="s">
        <v>458</v>
      </c>
      <c r="BU536" s="7"/>
      <c r="BV536" s="9" t="s">
        <v>458</v>
      </c>
      <c r="BW536" s="9"/>
    </row>
    <row r="537" spans="1:75" ht="14.25" customHeight="1" x14ac:dyDescent="0.25">
      <c r="A537" s="1">
        <v>1210</v>
      </c>
      <c r="B537" s="1" t="s">
        <v>2498</v>
      </c>
      <c r="C537" s="1" t="s">
        <v>2499</v>
      </c>
      <c r="D537" s="1" t="s">
        <v>77</v>
      </c>
      <c r="E537" s="1" t="s">
        <v>2396</v>
      </c>
      <c r="F537" s="1" t="s">
        <v>2452</v>
      </c>
      <c r="G537" s="1"/>
      <c r="H537" s="2">
        <v>0</v>
      </c>
      <c r="I537" s="2">
        <v>1</v>
      </c>
      <c r="J537" s="2">
        <v>1</v>
      </c>
      <c r="K537" s="2">
        <v>0</v>
      </c>
      <c r="L537" s="3" t="s">
        <v>127</v>
      </c>
      <c r="O537" s="4">
        <v>3</v>
      </c>
      <c r="P537" s="4" t="s">
        <v>753</v>
      </c>
      <c r="Q537" s="4" t="s">
        <v>2500</v>
      </c>
      <c r="R537" s="16">
        <v>2000000</v>
      </c>
      <c r="S537" s="6">
        <v>2000000</v>
      </c>
      <c r="T537" s="17" t="s">
        <v>1869</v>
      </c>
      <c r="U537" s="6">
        <v>500</v>
      </c>
      <c r="V537" s="4"/>
      <c r="W537" s="4" t="s">
        <v>543</v>
      </c>
      <c r="X537" s="4"/>
      <c r="Y537" s="7">
        <v>3</v>
      </c>
      <c r="Z537" s="8">
        <v>506317</v>
      </c>
      <c r="AA537" s="7" t="s">
        <v>92</v>
      </c>
      <c r="AB537" s="7"/>
      <c r="AC537" s="9">
        <v>3</v>
      </c>
      <c r="AD537" s="10">
        <v>446309</v>
      </c>
      <c r="AE537" s="9" t="s">
        <v>92</v>
      </c>
      <c r="AF537" s="9"/>
      <c r="AG537" s="11">
        <v>3</v>
      </c>
      <c r="AH537" s="11" t="s">
        <v>131</v>
      </c>
      <c r="AI537" s="11"/>
      <c r="AJ537" s="11">
        <v>2</v>
      </c>
      <c r="AK537" s="11" t="s">
        <v>132</v>
      </c>
      <c r="AL537" s="12">
        <v>3</v>
      </c>
      <c r="AM537" s="12" t="s">
        <v>131</v>
      </c>
      <c r="AN537" s="12" t="s">
        <v>698</v>
      </c>
      <c r="AO537" s="12">
        <v>2</v>
      </c>
      <c r="AP537" s="12" t="s">
        <v>143</v>
      </c>
      <c r="AQ537" s="4">
        <v>3</v>
      </c>
      <c r="AR537" s="4" t="s">
        <v>93</v>
      </c>
      <c r="AS537" s="4"/>
      <c r="AT537" s="13"/>
      <c r="AU537" s="13"/>
      <c r="AV537" s="13"/>
      <c r="AW537" s="13"/>
      <c r="AX537" s="4"/>
      <c r="AY537" s="13"/>
      <c r="AZ537" s="13"/>
      <c r="BA537" s="13"/>
      <c r="BB537" s="13"/>
      <c r="BC537" s="4"/>
      <c r="BD537" s="4"/>
      <c r="BE537" s="4"/>
      <c r="BF537" s="13"/>
      <c r="BG537" s="4"/>
      <c r="BH537" s="13"/>
      <c r="BI537" s="13"/>
      <c r="BJ537" s="4"/>
      <c r="BK537" s="14">
        <v>12</v>
      </c>
      <c r="BL537" s="14">
        <v>12</v>
      </c>
      <c r="BM537" s="14">
        <v>12</v>
      </c>
      <c r="BP537" s="15"/>
      <c r="BQ537" s="15"/>
      <c r="BR537" s="2" t="s">
        <v>108</v>
      </c>
      <c r="BS537" s="2" t="s">
        <v>108</v>
      </c>
      <c r="BT537" s="7" t="s">
        <v>109</v>
      </c>
      <c r="BU537" s="7"/>
      <c r="BV537" s="9" t="s">
        <v>109</v>
      </c>
      <c r="BW537" s="9"/>
    </row>
    <row r="538" spans="1:75" ht="14.25" customHeight="1" x14ac:dyDescent="0.25">
      <c r="A538" s="1">
        <v>1211</v>
      </c>
      <c r="B538" s="1" t="s">
        <v>2501</v>
      </c>
      <c r="C538" s="1" t="s">
        <v>2502</v>
      </c>
      <c r="D538" s="1" t="s">
        <v>77</v>
      </c>
      <c r="E538" s="1" t="s">
        <v>2396</v>
      </c>
      <c r="F538" s="1" t="s">
        <v>2452</v>
      </c>
      <c r="G538" s="1" t="s">
        <v>118</v>
      </c>
      <c r="H538" s="2">
        <v>1</v>
      </c>
      <c r="I538" s="2">
        <v>1</v>
      </c>
      <c r="J538" s="2">
        <v>1</v>
      </c>
      <c r="K538" s="2">
        <v>1</v>
      </c>
      <c r="L538" s="3" t="s">
        <v>127</v>
      </c>
      <c r="O538" s="4">
        <v>2</v>
      </c>
      <c r="P538" s="4" t="s">
        <v>424</v>
      </c>
      <c r="Q538" s="4"/>
      <c r="R538" s="16">
        <v>30000000</v>
      </c>
      <c r="S538" s="6">
        <v>30000000</v>
      </c>
      <c r="T538" s="16">
        <v>29000000</v>
      </c>
      <c r="U538" s="6">
        <v>29000000</v>
      </c>
      <c r="V538" s="4">
        <v>2010.5</v>
      </c>
      <c r="W538" s="4" t="s">
        <v>425</v>
      </c>
      <c r="X538" s="4"/>
      <c r="Y538" s="7">
        <v>1</v>
      </c>
      <c r="Z538" s="8">
        <v>5061472</v>
      </c>
      <c r="AA538" s="7" t="s">
        <v>92</v>
      </c>
      <c r="AB538" s="7"/>
      <c r="AC538" s="9">
        <v>3</v>
      </c>
      <c r="AD538" s="10">
        <v>404183</v>
      </c>
      <c r="AE538" s="9" t="s">
        <v>92</v>
      </c>
      <c r="AF538" s="9"/>
      <c r="AG538" s="11">
        <v>2</v>
      </c>
      <c r="AH538" s="11" t="s">
        <v>131</v>
      </c>
      <c r="AI538" s="11"/>
      <c r="AJ538" s="11">
        <v>2</v>
      </c>
      <c r="AK538" s="11" t="s">
        <v>132</v>
      </c>
      <c r="AL538" s="12">
        <v>2</v>
      </c>
      <c r="AM538" s="12" t="s">
        <v>131</v>
      </c>
      <c r="AN538" s="12"/>
      <c r="AO538" s="12">
        <v>2</v>
      </c>
      <c r="AP538" s="12" t="s">
        <v>143</v>
      </c>
      <c r="AQ538" s="4">
        <v>3</v>
      </c>
      <c r="AR538" s="4" t="s">
        <v>133</v>
      </c>
      <c r="AS538" s="4"/>
      <c r="AT538" s="13">
        <v>-5.7015838623046902</v>
      </c>
      <c r="AU538" s="13">
        <v>-0.114800311625004</v>
      </c>
      <c r="AV538" s="13">
        <v>-0.29600000381469699</v>
      </c>
      <c r="AW538" s="13">
        <v>3.5595998167991597E-2</v>
      </c>
      <c r="AX538" s="4"/>
      <c r="AY538" s="13">
        <v>-27.7821350097656</v>
      </c>
      <c r="AZ538" s="13">
        <v>-3.2053475379943799</v>
      </c>
      <c r="BA538" s="13">
        <v>-3.9800000190734899</v>
      </c>
      <c r="BB538" s="13">
        <v>-2.5642991065978999</v>
      </c>
      <c r="BC538" s="4">
        <v>1</v>
      </c>
      <c r="BD538" s="4">
        <v>10</v>
      </c>
      <c r="BE538" s="4" t="s">
        <v>134</v>
      </c>
      <c r="BF538" s="13">
        <v>0.33159598708152799</v>
      </c>
      <c r="BG538" s="4">
        <v>1712.5</v>
      </c>
      <c r="BH538" s="13">
        <v>6.9499998092651403</v>
      </c>
      <c r="BI538" s="13">
        <v>11902.58984375</v>
      </c>
      <c r="BJ538" s="4"/>
      <c r="BK538" s="14">
        <v>8</v>
      </c>
      <c r="BL538" s="14">
        <v>10</v>
      </c>
      <c r="BM538" s="14">
        <v>10</v>
      </c>
      <c r="BP538" s="15" t="s">
        <v>135</v>
      </c>
      <c r="BQ538" s="15" t="s">
        <v>2503</v>
      </c>
      <c r="BR538" s="2" t="s">
        <v>256</v>
      </c>
      <c r="BS538" s="2" t="s">
        <v>108</v>
      </c>
      <c r="BT538" s="7" t="s">
        <v>585</v>
      </c>
      <c r="BU538" s="7" t="s">
        <v>475</v>
      </c>
      <c r="BV538" s="9" t="s">
        <v>458</v>
      </c>
      <c r="BW538" s="9"/>
    </row>
    <row r="539" spans="1:75" ht="14.25" customHeight="1" x14ac:dyDescent="0.25">
      <c r="A539" s="1">
        <v>1212</v>
      </c>
      <c r="B539" s="1" t="s">
        <v>2504</v>
      </c>
      <c r="C539" s="1" t="s">
        <v>2505</v>
      </c>
      <c r="D539" s="1" t="s">
        <v>77</v>
      </c>
      <c r="E539" s="1" t="s">
        <v>2396</v>
      </c>
      <c r="F539" s="1" t="s">
        <v>2452</v>
      </c>
      <c r="G539" s="1" t="s">
        <v>118</v>
      </c>
      <c r="H539" s="2">
        <v>1</v>
      </c>
      <c r="I539" s="2">
        <v>1</v>
      </c>
      <c r="J539" s="2">
        <v>1</v>
      </c>
      <c r="K539" s="2">
        <v>1</v>
      </c>
      <c r="L539" s="3" t="s">
        <v>127</v>
      </c>
      <c r="O539" s="4">
        <v>2</v>
      </c>
      <c r="P539" s="4" t="s">
        <v>424</v>
      </c>
      <c r="Q539" s="4"/>
      <c r="R539" s="16">
        <v>26000000</v>
      </c>
      <c r="S539" s="6">
        <v>26000000</v>
      </c>
      <c r="T539" s="16">
        <v>26000000</v>
      </c>
      <c r="U539" s="6">
        <v>26000000</v>
      </c>
      <c r="V539" s="4">
        <v>2010.5</v>
      </c>
      <c r="W539" s="4" t="s">
        <v>425</v>
      </c>
      <c r="X539" s="4"/>
      <c r="Y539" s="7">
        <v>1</v>
      </c>
      <c r="Z539" s="8">
        <v>9101039</v>
      </c>
      <c r="AA539" s="7" t="s">
        <v>92</v>
      </c>
      <c r="AB539" s="7"/>
      <c r="AC539" s="9">
        <v>2</v>
      </c>
      <c r="AD539" s="10">
        <v>3768004</v>
      </c>
      <c r="AE539" s="9" t="s">
        <v>582</v>
      </c>
      <c r="AF539" s="9" t="s">
        <v>2506</v>
      </c>
      <c r="AG539" s="11">
        <v>3</v>
      </c>
      <c r="AH539" s="11" t="s">
        <v>800</v>
      </c>
      <c r="AI539" s="11" t="s">
        <v>2507</v>
      </c>
      <c r="AJ539" s="11">
        <v>3</v>
      </c>
      <c r="AK539" s="11" t="s">
        <v>143</v>
      </c>
      <c r="AL539" s="12">
        <v>3</v>
      </c>
      <c r="AM539" s="12" t="s">
        <v>271</v>
      </c>
      <c r="AN539" s="12" t="s">
        <v>2508</v>
      </c>
      <c r="AO539" s="12"/>
      <c r="AP539" s="12"/>
      <c r="AQ539" s="4">
        <v>4</v>
      </c>
      <c r="AR539" s="4" t="s">
        <v>133</v>
      </c>
      <c r="AS539" s="4"/>
      <c r="AT539" s="13">
        <v>-42.418800354003899</v>
      </c>
      <c r="AU539" s="13">
        <v>-1.0767673254013099</v>
      </c>
      <c r="AV539" s="13">
        <v>-1.19579994678497</v>
      </c>
      <c r="AW539" s="13">
        <v>-0.912999987602234</v>
      </c>
      <c r="AX539" s="4">
        <v>1</v>
      </c>
      <c r="AY539" s="13">
        <v>-7.9736690521240199</v>
      </c>
      <c r="AZ539" s="13">
        <v>-0.82728642225265503</v>
      </c>
      <c r="BA539" s="13">
        <v>-1.2153029441833501</v>
      </c>
      <c r="BB539" s="13">
        <v>-0.36800000071525601</v>
      </c>
      <c r="BC539" s="4">
        <v>1</v>
      </c>
      <c r="BD539" s="4">
        <v>10</v>
      </c>
      <c r="BE539" s="4" t="s">
        <v>134</v>
      </c>
      <c r="BF539" s="13">
        <v>0.28279998898506198</v>
      </c>
      <c r="BG539" s="4">
        <v>3596.5</v>
      </c>
      <c r="BH539" s="13">
        <v>3.8450000286102299</v>
      </c>
      <c r="BI539" s="13">
        <v>13826.4599609375</v>
      </c>
      <c r="BJ539" s="4"/>
      <c r="BK539" s="14">
        <v>10</v>
      </c>
      <c r="BL539" s="14">
        <v>11</v>
      </c>
      <c r="BM539" s="14">
        <v>11</v>
      </c>
      <c r="BP539" s="15"/>
      <c r="BQ539" s="15" t="s">
        <v>2503</v>
      </c>
      <c r="BR539" s="2" t="s">
        <v>239</v>
      </c>
      <c r="BS539" s="2" t="s">
        <v>740</v>
      </c>
      <c r="BT539" s="7" t="s">
        <v>458</v>
      </c>
      <c r="BU539" s="7" t="s">
        <v>585</v>
      </c>
      <c r="BV539" s="9" t="s">
        <v>98</v>
      </c>
      <c r="BW539" s="9"/>
    </row>
    <row r="540" spans="1:75" ht="14.25" customHeight="1" x14ac:dyDescent="0.25">
      <c r="A540" s="1">
        <v>1213</v>
      </c>
      <c r="B540" s="1" t="s">
        <v>2509</v>
      </c>
      <c r="C540" s="1" t="s">
        <v>2510</v>
      </c>
      <c r="D540" s="1" t="s">
        <v>77</v>
      </c>
      <c r="E540" s="1" t="s">
        <v>2396</v>
      </c>
      <c r="F540" s="1" t="s">
        <v>2452</v>
      </c>
      <c r="G540" s="1"/>
      <c r="H540" s="2">
        <v>0</v>
      </c>
      <c r="I540" s="2">
        <v>1</v>
      </c>
      <c r="J540" s="2">
        <v>1</v>
      </c>
      <c r="K540" s="2">
        <v>1</v>
      </c>
      <c r="L540" s="3" t="s">
        <v>127</v>
      </c>
      <c r="O540" s="4">
        <v>3</v>
      </c>
      <c r="P540" s="4" t="s">
        <v>470</v>
      </c>
      <c r="Q540" s="4" t="s">
        <v>2511</v>
      </c>
      <c r="R540" s="16">
        <v>670000</v>
      </c>
      <c r="S540" s="6">
        <v>670000</v>
      </c>
      <c r="T540" s="16">
        <v>23000</v>
      </c>
      <c r="U540" s="6">
        <v>23000</v>
      </c>
      <c r="V540" s="4">
        <v>2010.5</v>
      </c>
      <c r="W540" s="4" t="s">
        <v>425</v>
      </c>
      <c r="X540" s="4"/>
      <c r="Y540" s="7">
        <v>3</v>
      </c>
      <c r="Z540" s="8">
        <v>402472</v>
      </c>
      <c r="AA540" s="7" t="s">
        <v>580</v>
      </c>
      <c r="AB540" s="7" t="s">
        <v>2512</v>
      </c>
      <c r="AC540" s="9">
        <v>2</v>
      </c>
      <c r="AD540" s="10">
        <v>1466032</v>
      </c>
      <c r="AE540" s="9" t="s">
        <v>92</v>
      </c>
      <c r="AF540" s="9"/>
      <c r="AG540" s="11">
        <v>4</v>
      </c>
      <c r="AH540" s="11" t="s">
        <v>131</v>
      </c>
      <c r="AI540" s="11"/>
      <c r="AJ540" s="11">
        <v>5</v>
      </c>
      <c r="AK540" s="11" t="s">
        <v>143</v>
      </c>
      <c r="AL540" s="12">
        <v>3</v>
      </c>
      <c r="AM540" s="12" t="s">
        <v>271</v>
      </c>
      <c r="AN540" s="12"/>
      <c r="AO540" s="12"/>
      <c r="AP540" s="12"/>
      <c r="AQ540" s="4">
        <v>3</v>
      </c>
      <c r="AR540" s="4" t="s">
        <v>208</v>
      </c>
      <c r="AS540" s="4" t="s">
        <v>2513</v>
      </c>
      <c r="AT540" s="13">
        <v>-16.878484725952099</v>
      </c>
      <c r="AU540" s="13">
        <v>-0.15529882907867401</v>
      </c>
      <c r="AV540" s="13">
        <v>-2.4900000095367401</v>
      </c>
      <c r="AW540" s="13">
        <v>2.5220990180969198</v>
      </c>
      <c r="AX540" s="4"/>
      <c r="AY540" s="13">
        <v>-3.9689478874206499</v>
      </c>
      <c r="AZ540" s="13">
        <v>-0.40438723564147899</v>
      </c>
      <c r="BA540" s="13">
        <v>-3.6219000816345202</v>
      </c>
      <c r="BB540" s="13">
        <v>2.7599999904632599</v>
      </c>
      <c r="BC540" s="4"/>
      <c r="BD540" s="4">
        <v>10</v>
      </c>
      <c r="BE540" s="4" t="s">
        <v>210</v>
      </c>
      <c r="BF540" s="13">
        <v>5.0120987892150897</v>
      </c>
      <c r="BG540" s="4">
        <v>30</v>
      </c>
      <c r="BH540" s="13">
        <v>0.37799999117851302</v>
      </c>
      <c r="BI540" s="13">
        <v>11.3400001525879</v>
      </c>
      <c r="BJ540" s="4"/>
      <c r="BK540" s="14">
        <v>13</v>
      </c>
      <c r="BL540" s="14">
        <v>11</v>
      </c>
      <c r="BM540" s="14">
        <v>13</v>
      </c>
      <c r="BP540" s="15"/>
      <c r="BQ540" s="15"/>
      <c r="BR540" s="2" t="s">
        <v>791</v>
      </c>
      <c r="BS540" s="2" t="s">
        <v>740</v>
      </c>
      <c r="BT540" s="7" t="s">
        <v>623</v>
      </c>
      <c r="BU540" s="7" t="s">
        <v>760</v>
      </c>
      <c r="BV540" s="9" t="s">
        <v>109</v>
      </c>
      <c r="BW540" s="9" t="s">
        <v>623</v>
      </c>
    </row>
    <row r="541" spans="1:75" ht="14.25" customHeight="1" x14ac:dyDescent="0.25">
      <c r="A541" s="1">
        <v>1216</v>
      </c>
      <c r="B541" s="1" t="s">
        <v>2514</v>
      </c>
      <c r="C541" s="1" t="s">
        <v>2515</v>
      </c>
      <c r="D541" s="1" t="s">
        <v>77</v>
      </c>
      <c r="E541" s="1" t="s">
        <v>2396</v>
      </c>
      <c r="F541" s="1" t="s">
        <v>2452</v>
      </c>
      <c r="G541" s="1" t="s">
        <v>118</v>
      </c>
      <c r="H541" s="2">
        <v>0</v>
      </c>
      <c r="I541" s="2">
        <v>1</v>
      </c>
      <c r="J541" s="2">
        <v>1</v>
      </c>
      <c r="K541" s="2">
        <v>1</v>
      </c>
      <c r="L541" s="3" t="s">
        <v>127</v>
      </c>
      <c r="O541" s="4">
        <v>2</v>
      </c>
      <c r="P541" s="4" t="s">
        <v>424</v>
      </c>
      <c r="Q541" s="4"/>
      <c r="R541" s="16">
        <v>9100000</v>
      </c>
      <c r="S541" s="6">
        <v>9100000</v>
      </c>
      <c r="T541" s="16">
        <v>7900000</v>
      </c>
      <c r="U541" s="6">
        <v>7900000</v>
      </c>
      <c r="V541" s="4">
        <v>2010.5</v>
      </c>
      <c r="W541" s="4" t="s">
        <v>425</v>
      </c>
      <c r="X541" s="4"/>
      <c r="Y541" s="7">
        <v>2</v>
      </c>
      <c r="Z541" s="8">
        <v>1446205</v>
      </c>
      <c r="AA541" s="7" t="s">
        <v>92</v>
      </c>
      <c r="AB541" s="7"/>
      <c r="AC541" s="9">
        <v>3</v>
      </c>
      <c r="AD541" s="10">
        <v>305810</v>
      </c>
      <c r="AE541" s="9" t="s">
        <v>92</v>
      </c>
      <c r="AF541" s="9"/>
      <c r="AG541" s="11">
        <v>2</v>
      </c>
      <c r="AH541" s="11" t="s">
        <v>131</v>
      </c>
      <c r="AI541" s="11"/>
      <c r="AJ541" s="11">
        <v>1</v>
      </c>
      <c r="AK541" s="11" t="s">
        <v>132</v>
      </c>
      <c r="AL541" s="12">
        <v>2</v>
      </c>
      <c r="AM541" s="12" t="s">
        <v>131</v>
      </c>
      <c r="AN541" s="12" t="s">
        <v>2516</v>
      </c>
      <c r="AO541" s="12">
        <v>1</v>
      </c>
      <c r="AP541" s="12" t="s">
        <v>132</v>
      </c>
      <c r="AQ541" s="4">
        <v>4</v>
      </c>
      <c r="AR541" s="4" t="s">
        <v>133</v>
      </c>
      <c r="AS541" s="4"/>
      <c r="AT541" s="13">
        <v>-37.687221527099602</v>
      </c>
      <c r="AU541" s="13">
        <v>-0.92460364103317305</v>
      </c>
      <c r="AV541" s="13">
        <v>-1.41999995708466</v>
      </c>
      <c r="AW541" s="13">
        <v>-0.46009999513626099</v>
      </c>
      <c r="AX541" s="4">
        <v>1</v>
      </c>
      <c r="AY541" s="13">
        <v>-20.0765075683594</v>
      </c>
      <c r="AZ541" s="13">
        <v>-2.2152855396270801</v>
      </c>
      <c r="BA541" s="13">
        <v>-3.2300000190734899</v>
      </c>
      <c r="BB541" s="13">
        <v>-1.39359796047211</v>
      </c>
      <c r="BC541" s="4">
        <v>1</v>
      </c>
      <c r="BD541" s="4">
        <v>10</v>
      </c>
      <c r="BE541" s="4" t="s">
        <v>134</v>
      </c>
      <c r="BF541" s="13">
        <v>0.95990002155303999</v>
      </c>
      <c r="BG541" s="4">
        <v>474</v>
      </c>
      <c r="BH541" s="13">
        <v>12.2200002670288</v>
      </c>
      <c r="BI541" s="13">
        <v>5794.2998046875</v>
      </c>
      <c r="BJ541" s="4"/>
      <c r="BK541" s="14">
        <v>10</v>
      </c>
      <c r="BL541" s="14">
        <v>11</v>
      </c>
      <c r="BM541" s="14">
        <v>11</v>
      </c>
      <c r="BP541" s="15"/>
      <c r="BQ541" s="15" t="s">
        <v>146</v>
      </c>
      <c r="BR541" s="2" t="s">
        <v>457</v>
      </c>
      <c r="BS541" s="2" t="s">
        <v>108</v>
      </c>
      <c r="BT541" s="7" t="s">
        <v>585</v>
      </c>
      <c r="BU541" s="7"/>
      <c r="BV541" s="9" t="s">
        <v>109</v>
      </c>
      <c r="BW541" s="9" t="s">
        <v>603</v>
      </c>
    </row>
    <row r="542" spans="1:75" ht="14.25" customHeight="1" x14ac:dyDescent="0.25">
      <c r="A542" s="1">
        <v>1217</v>
      </c>
      <c r="B542" s="1" t="s">
        <v>2517</v>
      </c>
      <c r="C542" s="1" t="s">
        <v>2518</v>
      </c>
      <c r="D542" s="1" t="s">
        <v>77</v>
      </c>
      <c r="E542" s="1" t="s">
        <v>2396</v>
      </c>
      <c r="F542" s="1" t="s">
        <v>2452</v>
      </c>
      <c r="G542" s="1"/>
      <c r="H542" s="2">
        <v>0</v>
      </c>
      <c r="I542" s="2">
        <v>0</v>
      </c>
      <c r="J542" s="2">
        <v>1</v>
      </c>
      <c r="K542" s="2">
        <v>1</v>
      </c>
      <c r="L542" s="3" t="s">
        <v>127</v>
      </c>
      <c r="O542" s="4">
        <v>2</v>
      </c>
      <c r="P542" s="4" t="s">
        <v>112</v>
      </c>
      <c r="Q542" s="4"/>
      <c r="R542" s="5"/>
      <c r="S542" s="6"/>
      <c r="T542" s="17"/>
      <c r="U542" s="6"/>
      <c r="V542" s="4"/>
      <c r="W542" s="4"/>
      <c r="X542" s="4"/>
      <c r="Y542" s="7">
        <v>1</v>
      </c>
      <c r="Z542" s="8">
        <v>6340479</v>
      </c>
      <c r="AA542" s="7" t="s">
        <v>92</v>
      </c>
      <c r="AB542" s="7"/>
      <c r="AC542" s="9">
        <v>1</v>
      </c>
      <c r="AD542" s="10">
        <v>13503017</v>
      </c>
      <c r="AE542" s="9" t="s">
        <v>92</v>
      </c>
      <c r="AF542" s="9"/>
      <c r="AG542" s="11">
        <v>2</v>
      </c>
      <c r="AH542" s="11" t="s">
        <v>93</v>
      </c>
      <c r="AI542" s="11"/>
      <c r="AJ542" s="11"/>
      <c r="AK542" s="11"/>
      <c r="AL542" s="12">
        <v>2</v>
      </c>
      <c r="AM542" s="12" t="s">
        <v>93</v>
      </c>
      <c r="AN542" s="12" t="s">
        <v>394</v>
      </c>
      <c r="AO542" s="12"/>
      <c r="AP542" s="12"/>
      <c r="AQ542" s="4">
        <v>2</v>
      </c>
      <c r="AR542" s="4" t="s">
        <v>83</v>
      </c>
      <c r="AS542" s="4"/>
      <c r="AT542" s="13"/>
      <c r="AU542" s="13"/>
      <c r="AV542" s="13"/>
      <c r="AW542" s="13"/>
      <c r="AX542" s="4"/>
      <c r="AY542" s="13"/>
      <c r="AZ542" s="13"/>
      <c r="BA542" s="13"/>
      <c r="BB542" s="13"/>
      <c r="BC542" s="4"/>
      <c r="BD542" s="4"/>
      <c r="BE542" s="4"/>
      <c r="BF542" s="13"/>
      <c r="BG542" s="4"/>
      <c r="BH542" s="13"/>
      <c r="BI542" s="13"/>
      <c r="BJ542" s="4"/>
      <c r="BK542" s="14">
        <v>7</v>
      </c>
      <c r="BL542" s="14">
        <v>7</v>
      </c>
      <c r="BM542" s="14">
        <v>7</v>
      </c>
      <c r="BP542" s="15"/>
      <c r="BQ542" s="15" t="s">
        <v>136</v>
      </c>
      <c r="BR542" s="2" t="s">
        <v>97</v>
      </c>
      <c r="BS542" s="2" t="s">
        <v>97</v>
      </c>
      <c r="BT542" s="7" t="s">
        <v>463</v>
      </c>
      <c r="BU542" s="7"/>
      <c r="BV542" s="9" t="s">
        <v>463</v>
      </c>
      <c r="BW542" s="9"/>
    </row>
    <row r="543" spans="1:75" ht="14.25" customHeight="1" x14ac:dyDescent="0.25">
      <c r="A543" s="1">
        <v>1218</v>
      </c>
      <c r="B543" s="1" t="s">
        <v>2519</v>
      </c>
      <c r="C543" s="1" t="s">
        <v>2520</v>
      </c>
      <c r="D543" s="1" t="s">
        <v>77</v>
      </c>
      <c r="E543" s="1" t="s">
        <v>2396</v>
      </c>
      <c r="F543" s="1" t="s">
        <v>2452</v>
      </c>
      <c r="G543" s="1"/>
      <c r="H543" s="2">
        <v>0</v>
      </c>
      <c r="I543" s="2">
        <v>0</v>
      </c>
      <c r="J543" s="2">
        <v>0</v>
      </c>
      <c r="K543" s="2">
        <v>1</v>
      </c>
      <c r="L543" s="3" t="s">
        <v>127</v>
      </c>
      <c r="O543" s="4">
        <v>2</v>
      </c>
      <c r="P543" s="4" t="s">
        <v>81</v>
      </c>
      <c r="Q543" s="4"/>
      <c r="R543" s="5"/>
      <c r="S543" s="6"/>
      <c r="T543" s="17"/>
      <c r="U543" s="6"/>
      <c r="V543" s="4"/>
      <c r="W543" s="4"/>
      <c r="X543" s="4"/>
      <c r="Y543" s="7">
        <v>1</v>
      </c>
      <c r="Z543" s="8">
        <v>10255207</v>
      </c>
      <c r="AA543" s="7" t="s">
        <v>82</v>
      </c>
      <c r="AB543" s="7"/>
      <c r="AC543" s="9">
        <v>1</v>
      </c>
      <c r="AD543" s="10">
        <v>10255207</v>
      </c>
      <c r="AE543" s="9" t="s">
        <v>82</v>
      </c>
      <c r="AF543" s="9"/>
      <c r="AG543" s="11">
        <v>3</v>
      </c>
      <c r="AH543" s="11" t="s">
        <v>83</v>
      </c>
      <c r="AI543" s="11"/>
      <c r="AJ543" s="11"/>
      <c r="AK543" s="11"/>
      <c r="AL543" s="12">
        <v>3</v>
      </c>
      <c r="AM543" s="12" t="s">
        <v>83</v>
      </c>
      <c r="AN543" s="12"/>
      <c r="AO543" s="12"/>
      <c r="AP543" s="12"/>
      <c r="AQ543" s="4">
        <v>3</v>
      </c>
      <c r="AR543" s="4" t="s">
        <v>83</v>
      </c>
      <c r="AS543" s="4"/>
      <c r="AT543" s="13"/>
      <c r="AU543" s="13"/>
      <c r="AV543" s="13"/>
      <c r="AW543" s="13"/>
      <c r="AX543" s="4"/>
      <c r="AY543" s="13"/>
      <c r="AZ543" s="13"/>
      <c r="BA543" s="13"/>
      <c r="BB543" s="13"/>
      <c r="BC543" s="4"/>
      <c r="BD543" s="4"/>
      <c r="BE543" s="4"/>
      <c r="BF543" s="13"/>
      <c r="BG543" s="4"/>
      <c r="BH543" s="13"/>
      <c r="BI543" s="13"/>
      <c r="BJ543" s="4"/>
      <c r="BK543" s="14">
        <v>9</v>
      </c>
      <c r="BL543" s="14">
        <v>9</v>
      </c>
      <c r="BM543" s="14">
        <v>9</v>
      </c>
      <c r="BP543" s="15"/>
      <c r="BQ543" s="15"/>
      <c r="BR543" s="2" t="s">
        <v>97</v>
      </c>
      <c r="BS543" s="2" t="s">
        <v>97</v>
      </c>
      <c r="BT543" s="7" t="s">
        <v>458</v>
      </c>
      <c r="BU543" s="7"/>
      <c r="BV543" s="9" t="s">
        <v>458</v>
      </c>
      <c r="BW543" s="9"/>
    </row>
    <row r="544" spans="1:75" ht="14.25" customHeight="1" x14ac:dyDescent="0.25">
      <c r="A544" s="1">
        <v>1220</v>
      </c>
      <c r="B544" s="1" t="s">
        <v>2521</v>
      </c>
      <c r="C544" s="1" t="s">
        <v>2522</v>
      </c>
      <c r="D544" s="1" t="s">
        <v>77</v>
      </c>
      <c r="E544" s="1" t="s">
        <v>2396</v>
      </c>
      <c r="F544" s="1" t="s">
        <v>2452</v>
      </c>
      <c r="G544" s="1" t="s">
        <v>118</v>
      </c>
      <c r="H544" s="2">
        <v>0</v>
      </c>
      <c r="I544" s="2">
        <v>0</v>
      </c>
      <c r="J544" s="2">
        <v>0</v>
      </c>
      <c r="K544" s="2">
        <v>1</v>
      </c>
      <c r="L544" s="3" t="s">
        <v>80</v>
      </c>
      <c r="O544" s="4">
        <v>5</v>
      </c>
      <c r="P544" s="4" t="s">
        <v>81</v>
      </c>
      <c r="Q544" s="4"/>
      <c r="R544" s="5"/>
      <c r="S544" s="6"/>
      <c r="T544" s="17"/>
      <c r="U544" s="6"/>
      <c r="V544" s="4"/>
      <c r="W544" s="4"/>
      <c r="X544" s="4"/>
      <c r="Y544" s="7">
        <v>5</v>
      </c>
      <c r="Z544" s="8">
        <v>33856</v>
      </c>
      <c r="AA544" s="7" t="s">
        <v>82</v>
      </c>
      <c r="AB544" s="7"/>
      <c r="AC544" s="9">
        <v>5</v>
      </c>
      <c r="AD544" s="10">
        <v>33856</v>
      </c>
      <c r="AE544" s="9" t="s">
        <v>82</v>
      </c>
      <c r="AF544" s="9"/>
      <c r="AG544" s="11">
        <v>5</v>
      </c>
      <c r="AH544" s="11" t="s">
        <v>83</v>
      </c>
      <c r="AI544" s="11"/>
      <c r="AJ544" s="11"/>
      <c r="AK544" s="11"/>
      <c r="AL544" s="12">
        <v>5</v>
      </c>
      <c r="AM544" s="12" t="s">
        <v>83</v>
      </c>
      <c r="AN544" s="12"/>
      <c r="AO544" s="12"/>
      <c r="AP544" s="12"/>
      <c r="AQ544" s="4">
        <v>5</v>
      </c>
      <c r="AR544" s="4" t="s">
        <v>83</v>
      </c>
      <c r="AS544" s="4"/>
      <c r="AT544" s="13"/>
      <c r="AU544" s="13"/>
      <c r="AV544" s="13"/>
      <c r="AW544" s="13"/>
      <c r="AX544" s="4"/>
      <c r="AY544" s="13"/>
      <c r="AZ544" s="13"/>
      <c r="BA544" s="13"/>
      <c r="BB544" s="13"/>
      <c r="BC544" s="4"/>
      <c r="BD544" s="4"/>
      <c r="BE544" s="4"/>
      <c r="BF544" s="13"/>
      <c r="BG544" s="4"/>
      <c r="BH544" s="13"/>
      <c r="BI544" s="13"/>
      <c r="BJ544" s="4"/>
      <c r="BK544" s="14">
        <v>20</v>
      </c>
      <c r="BL544" s="14">
        <v>20</v>
      </c>
      <c r="BM544" s="14">
        <v>20</v>
      </c>
      <c r="BN544" s="3" t="s">
        <v>312</v>
      </c>
      <c r="BO544" s="3" t="s">
        <v>114</v>
      </c>
      <c r="BP544" s="15"/>
      <c r="BQ544" s="15"/>
      <c r="BR544" s="2" t="s">
        <v>115</v>
      </c>
      <c r="BS544" s="2" t="s">
        <v>115</v>
      </c>
      <c r="BT544" s="7" t="s">
        <v>98</v>
      </c>
      <c r="BU544" s="7"/>
      <c r="BV544" s="9" t="s">
        <v>98</v>
      </c>
      <c r="BW544" s="9"/>
    </row>
    <row r="545" spans="1:75" ht="14.25" customHeight="1" x14ac:dyDescent="0.25">
      <c r="A545" s="1">
        <v>1221</v>
      </c>
      <c r="B545" s="1" t="s">
        <v>2523</v>
      </c>
      <c r="C545" s="1" t="s">
        <v>2524</v>
      </c>
      <c r="D545" s="1" t="s">
        <v>77</v>
      </c>
      <c r="E545" s="1" t="s">
        <v>2396</v>
      </c>
      <c r="F545" s="1" t="s">
        <v>2452</v>
      </c>
      <c r="G545" s="1" t="s">
        <v>118</v>
      </c>
      <c r="H545" s="2">
        <v>0</v>
      </c>
      <c r="I545" s="2">
        <v>0</v>
      </c>
      <c r="J545" s="2">
        <v>0</v>
      </c>
      <c r="K545" s="2">
        <v>1</v>
      </c>
      <c r="L545" s="3" t="s">
        <v>80</v>
      </c>
      <c r="O545" s="4">
        <v>4</v>
      </c>
      <c r="P545" s="4" t="s">
        <v>81</v>
      </c>
      <c r="Q545" s="4"/>
      <c r="R545" s="5"/>
      <c r="S545" s="6"/>
      <c r="T545" s="17"/>
      <c r="U545" s="6"/>
      <c r="V545" s="4"/>
      <c r="W545" s="4"/>
      <c r="X545" s="4"/>
      <c r="Y545" s="7">
        <v>4</v>
      </c>
      <c r="Z545" s="8">
        <v>121915</v>
      </c>
      <c r="AA545" s="7" t="s">
        <v>82</v>
      </c>
      <c r="AB545" s="7"/>
      <c r="AC545" s="9">
        <v>4</v>
      </c>
      <c r="AD545" s="10">
        <v>121915</v>
      </c>
      <c r="AE545" s="9" t="s">
        <v>82</v>
      </c>
      <c r="AF545" s="9"/>
      <c r="AG545" s="11">
        <v>4</v>
      </c>
      <c r="AH545" s="11" t="s">
        <v>83</v>
      </c>
      <c r="AI545" s="11"/>
      <c r="AJ545" s="11"/>
      <c r="AK545" s="11"/>
      <c r="AL545" s="12">
        <v>4</v>
      </c>
      <c r="AM545" s="12" t="s">
        <v>83</v>
      </c>
      <c r="AN545" s="12"/>
      <c r="AO545" s="12"/>
      <c r="AP545" s="12"/>
      <c r="AQ545" s="4">
        <v>4</v>
      </c>
      <c r="AR545" s="4" t="s">
        <v>83</v>
      </c>
      <c r="AS545" s="4"/>
      <c r="AT545" s="13"/>
      <c r="AU545" s="13"/>
      <c r="AV545" s="13"/>
      <c r="AW545" s="13"/>
      <c r="AX545" s="4"/>
      <c r="AY545" s="13"/>
      <c r="AZ545" s="13"/>
      <c r="BA545" s="13"/>
      <c r="BB545" s="13"/>
      <c r="BC545" s="4"/>
      <c r="BD545" s="4"/>
      <c r="BE545" s="4"/>
      <c r="BF545" s="13"/>
      <c r="BG545" s="4"/>
      <c r="BH545" s="13"/>
      <c r="BI545" s="13"/>
      <c r="BJ545" s="4"/>
      <c r="BK545" s="14">
        <v>16</v>
      </c>
      <c r="BL545" s="14">
        <v>16</v>
      </c>
      <c r="BM545" s="14">
        <v>16</v>
      </c>
      <c r="BN545" s="3" t="s">
        <v>86</v>
      </c>
      <c r="BO545" s="3" t="s">
        <v>120</v>
      </c>
      <c r="BP545" s="15"/>
      <c r="BQ545" s="15"/>
      <c r="BR545" s="2" t="s">
        <v>121</v>
      </c>
      <c r="BS545" s="2" t="s">
        <v>121</v>
      </c>
      <c r="BT545" s="7" t="s">
        <v>98</v>
      </c>
      <c r="BU545" s="7" t="s">
        <v>109</v>
      </c>
      <c r="BV545" s="9" t="s">
        <v>98</v>
      </c>
      <c r="BW545" s="9" t="s">
        <v>109</v>
      </c>
    </row>
    <row r="546" spans="1:75" ht="14.25" customHeight="1" x14ac:dyDescent="0.25">
      <c r="A546" s="1">
        <v>62</v>
      </c>
      <c r="B546" s="1" t="s">
        <v>2525</v>
      </c>
      <c r="C546" s="1" t="s">
        <v>2526</v>
      </c>
      <c r="D546" s="1" t="s">
        <v>124</v>
      </c>
      <c r="E546" s="1" t="s">
        <v>125</v>
      </c>
      <c r="F546" s="1" t="s">
        <v>126</v>
      </c>
      <c r="G546" s="1" t="s">
        <v>118</v>
      </c>
      <c r="H546" s="2">
        <v>1</v>
      </c>
      <c r="I546" s="2">
        <v>1</v>
      </c>
      <c r="J546" s="2">
        <v>0</v>
      </c>
      <c r="K546" s="2">
        <v>0</v>
      </c>
      <c r="L546" s="3" t="s">
        <v>127</v>
      </c>
      <c r="O546" s="4">
        <v>4</v>
      </c>
      <c r="P546" s="4" t="s">
        <v>225</v>
      </c>
      <c r="Q546" s="4" t="s">
        <v>2527</v>
      </c>
      <c r="R546" s="16">
        <v>200000</v>
      </c>
      <c r="S546" s="6">
        <v>200000</v>
      </c>
      <c r="T546" s="5">
        <v>660</v>
      </c>
      <c r="U546" s="6">
        <v>660</v>
      </c>
      <c r="V546" s="4"/>
      <c r="W546" s="4" t="s">
        <v>217</v>
      </c>
      <c r="X546" s="4"/>
      <c r="Y546" s="7">
        <v>5</v>
      </c>
      <c r="Z546" s="8">
        <v>74300</v>
      </c>
      <c r="AA546" s="7" t="s">
        <v>154</v>
      </c>
      <c r="AB546" s="7"/>
      <c r="AC546" s="9">
        <v>3</v>
      </c>
      <c r="AD546" s="10">
        <v>751470</v>
      </c>
      <c r="AE546" s="9" t="s">
        <v>155</v>
      </c>
      <c r="AF546" s="9"/>
      <c r="AG546" s="11">
        <v>5</v>
      </c>
      <c r="AH546" s="11" t="s">
        <v>356</v>
      </c>
      <c r="AI546" s="11" t="s">
        <v>2528</v>
      </c>
      <c r="AJ546" s="11">
        <v>5</v>
      </c>
      <c r="AK546" s="11" t="s">
        <v>132</v>
      </c>
      <c r="AL546" s="12">
        <v>5</v>
      </c>
      <c r="AM546" s="12" t="s">
        <v>356</v>
      </c>
      <c r="AN546" s="12" t="s">
        <v>2529</v>
      </c>
      <c r="AO546" s="12">
        <v>5</v>
      </c>
      <c r="AP546" s="12" t="s">
        <v>143</v>
      </c>
      <c r="AQ546" s="4">
        <v>5</v>
      </c>
      <c r="AR546" s="4" t="s">
        <v>2530</v>
      </c>
      <c r="AS546" s="4" t="s">
        <v>2531</v>
      </c>
      <c r="AT546" s="13"/>
      <c r="AU546" s="13"/>
      <c r="AV546" s="13"/>
      <c r="AW546" s="13"/>
      <c r="AX546" s="4"/>
      <c r="AY546" s="13"/>
      <c r="AZ546" s="13"/>
      <c r="BA546" s="13"/>
      <c r="BB546" s="13"/>
      <c r="BC546" s="4"/>
      <c r="BD546" s="4"/>
      <c r="BE546" s="4"/>
      <c r="BF546" s="13"/>
      <c r="BG546" s="4"/>
      <c r="BH546" s="13"/>
      <c r="BI546" s="13"/>
      <c r="BJ546" s="4"/>
      <c r="BK546" s="14">
        <v>19</v>
      </c>
      <c r="BL546" s="14">
        <v>17</v>
      </c>
      <c r="BM546" s="14">
        <v>19</v>
      </c>
      <c r="BN546" s="3" t="s">
        <v>312</v>
      </c>
      <c r="BO546" s="3" t="s">
        <v>114</v>
      </c>
      <c r="BP546" s="15"/>
      <c r="BQ546" s="15"/>
      <c r="BR546" s="2" t="s">
        <v>161</v>
      </c>
      <c r="BS546" s="2" t="s">
        <v>161</v>
      </c>
      <c r="BT546" s="7" t="s">
        <v>173</v>
      </c>
      <c r="BU546" s="7"/>
      <c r="BV546" s="9" t="s">
        <v>163</v>
      </c>
      <c r="BW546" s="9"/>
    </row>
    <row r="547" spans="1:75" ht="14.25" customHeight="1" x14ac:dyDescent="0.25">
      <c r="A547" s="1">
        <v>64</v>
      </c>
      <c r="B547" s="1" t="s">
        <v>2532</v>
      </c>
      <c r="C547" s="1" t="s">
        <v>2533</v>
      </c>
      <c r="D547" s="1" t="s">
        <v>124</v>
      </c>
      <c r="E547" s="1" t="s">
        <v>125</v>
      </c>
      <c r="F547" s="1" t="s">
        <v>126</v>
      </c>
      <c r="G547" s="1" t="s">
        <v>118</v>
      </c>
      <c r="H547" s="2">
        <v>1</v>
      </c>
      <c r="I547" s="2">
        <v>1</v>
      </c>
      <c r="J547" s="2">
        <v>0</v>
      </c>
      <c r="K547" s="2">
        <v>0</v>
      </c>
      <c r="L547" s="3" t="s">
        <v>127</v>
      </c>
      <c r="O547" s="4">
        <v>4</v>
      </c>
      <c r="P547" s="4" t="s">
        <v>225</v>
      </c>
      <c r="Q547" s="4" t="s">
        <v>2534</v>
      </c>
      <c r="R547" s="16">
        <v>250000</v>
      </c>
      <c r="S547" s="6">
        <v>250000</v>
      </c>
      <c r="T547" s="16">
        <v>20000</v>
      </c>
      <c r="U547" s="6">
        <v>20000</v>
      </c>
      <c r="V547" s="4"/>
      <c r="W547" s="4" t="s">
        <v>217</v>
      </c>
      <c r="X547" s="4"/>
      <c r="Y547" s="7">
        <v>5</v>
      </c>
      <c r="Z547" s="8">
        <v>62480</v>
      </c>
      <c r="AA547" s="7" t="s">
        <v>154</v>
      </c>
      <c r="AB547" s="7"/>
      <c r="AC547" s="9">
        <v>5</v>
      </c>
      <c r="AD547" s="10">
        <v>18692</v>
      </c>
      <c r="AE547" s="9" t="s">
        <v>130</v>
      </c>
      <c r="AF547" s="9"/>
      <c r="AG547" s="11">
        <v>5</v>
      </c>
      <c r="AH547" s="11" t="s">
        <v>356</v>
      </c>
      <c r="AI547" s="11" t="s">
        <v>2528</v>
      </c>
      <c r="AJ547" s="11">
        <v>5</v>
      </c>
      <c r="AK547" s="11" t="s">
        <v>143</v>
      </c>
      <c r="AL547" s="12">
        <v>4</v>
      </c>
      <c r="AM547" s="12" t="s">
        <v>2535</v>
      </c>
      <c r="AN547" s="12" t="s">
        <v>2536</v>
      </c>
      <c r="AO547" s="12"/>
      <c r="AP547" s="12"/>
      <c r="AQ547" s="4">
        <v>5</v>
      </c>
      <c r="AR547" s="4" t="s">
        <v>2530</v>
      </c>
      <c r="AS547" s="4"/>
      <c r="AT547" s="13"/>
      <c r="AU547" s="13"/>
      <c r="AV547" s="13"/>
      <c r="AW547" s="13"/>
      <c r="AX547" s="4"/>
      <c r="AY547" s="13"/>
      <c r="AZ547" s="13"/>
      <c r="BA547" s="13"/>
      <c r="BB547" s="13"/>
      <c r="BC547" s="4"/>
      <c r="BD547" s="4"/>
      <c r="BE547" s="4"/>
      <c r="BF547" s="13"/>
      <c r="BG547" s="4"/>
      <c r="BH547" s="13"/>
      <c r="BI547" s="13"/>
      <c r="BJ547" s="4"/>
      <c r="BK547" s="14">
        <v>19</v>
      </c>
      <c r="BL547" s="14">
        <v>18</v>
      </c>
      <c r="BM547" s="14">
        <v>19</v>
      </c>
      <c r="BN547" s="3" t="s">
        <v>312</v>
      </c>
      <c r="BO547" s="3" t="s">
        <v>120</v>
      </c>
      <c r="BP547" s="15"/>
      <c r="BQ547" s="15"/>
      <c r="BR547" s="2" t="s">
        <v>161</v>
      </c>
      <c r="BS547" s="2" t="s">
        <v>161</v>
      </c>
      <c r="BT547" s="7" t="s">
        <v>173</v>
      </c>
      <c r="BU547" s="7" t="s">
        <v>188</v>
      </c>
      <c r="BV547" s="9" t="s">
        <v>2537</v>
      </c>
      <c r="BW547" s="9"/>
    </row>
    <row r="548" spans="1:75" ht="14.25" customHeight="1" x14ac:dyDescent="0.25">
      <c r="A548" s="1">
        <v>65</v>
      </c>
      <c r="B548" s="1" t="s">
        <v>2538</v>
      </c>
      <c r="C548" s="1" t="s">
        <v>2539</v>
      </c>
      <c r="D548" s="1" t="s">
        <v>124</v>
      </c>
      <c r="E548" s="1" t="s">
        <v>125</v>
      </c>
      <c r="F548" s="1" t="s">
        <v>126</v>
      </c>
      <c r="G548" s="1" t="s">
        <v>118</v>
      </c>
      <c r="H548" s="2">
        <v>1</v>
      </c>
      <c r="I548" s="2">
        <v>1</v>
      </c>
      <c r="J548" s="2">
        <v>0</v>
      </c>
      <c r="K548" s="2">
        <v>0</v>
      </c>
      <c r="L548" s="3" t="s">
        <v>127</v>
      </c>
      <c r="O548" s="4">
        <v>3</v>
      </c>
      <c r="P548" s="4" t="s">
        <v>215</v>
      </c>
      <c r="Q548" s="4" t="s">
        <v>2540</v>
      </c>
      <c r="R548" s="5" t="s">
        <v>2541</v>
      </c>
      <c r="S548" s="6">
        <v>830000</v>
      </c>
      <c r="T548" s="16">
        <v>600000</v>
      </c>
      <c r="U548" s="6">
        <v>600000</v>
      </c>
      <c r="V548" s="4"/>
      <c r="W548" s="4" t="s">
        <v>217</v>
      </c>
      <c r="X548" s="4"/>
      <c r="Y548" s="7">
        <v>2</v>
      </c>
      <c r="Z548" s="8">
        <v>3370636</v>
      </c>
      <c r="AA548" s="7" t="s">
        <v>154</v>
      </c>
      <c r="AB548" s="7"/>
      <c r="AC548" s="9">
        <v>2</v>
      </c>
      <c r="AD548" s="10">
        <v>2111558</v>
      </c>
      <c r="AE548" s="9" t="s">
        <v>155</v>
      </c>
      <c r="AF548" s="9"/>
      <c r="AG548" s="11">
        <v>5</v>
      </c>
      <c r="AH548" s="11" t="s">
        <v>356</v>
      </c>
      <c r="AI548" s="11" t="s">
        <v>2528</v>
      </c>
      <c r="AJ548" s="11">
        <v>5</v>
      </c>
      <c r="AK548" s="11" t="s">
        <v>143</v>
      </c>
      <c r="AL548" s="12">
        <v>3</v>
      </c>
      <c r="AM548" s="12" t="s">
        <v>356</v>
      </c>
      <c r="AN548" s="12"/>
      <c r="AO548" s="12">
        <v>2</v>
      </c>
      <c r="AP548" s="12" t="s">
        <v>132</v>
      </c>
      <c r="AQ548" s="4">
        <v>5</v>
      </c>
      <c r="AR548" s="4" t="s">
        <v>222</v>
      </c>
      <c r="AS548" s="4"/>
      <c r="AT548" s="13">
        <v>-98.596542358398395</v>
      </c>
      <c r="AU548" s="13">
        <v>-8.3383378982543892</v>
      </c>
      <c r="AV548" s="13">
        <v>-10.199999809265099</v>
      </c>
      <c r="AW548" s="13">
        <v>-6.1999998092651403</v>
      </c>
      <c r="AX548" s="4">
        <v>1</v>
      </c>
      <c r="AY548" s="13">
        <v>-92.825340270996094</v>
      </c>
      <c r="AZ548" s="13">
        <v>-10.0021667480469</v>
      </c>
      <c r="BA548" s="13">
        <v>-14.5972385406494</v>
      </c>
      <c r="BB548" s="13">
        <v>-5.8851447105407697</v>
      </c>
      <c r="BC548" s="4">
        <v>1</v>
      </c>
      <c r="BD548" s="4">
        <v>25</v>
      </c>
      <c r="BE548" s="4"/>
      <c r="BF548" s="13">
        <v>4</v>
      </c>
      <c r="BG548" s="4"/>
      <c r="BH548" s="13"/>
      <c r="BI548" s="13"/>
      <c r="BJ548" s="4">
        <v>7</v>
      </c>
      <c r="BK548" s="14">
        <v>15</v>
      </c>
      <c r="BL548" s="14">
        <v>13</v>
      </c>
      <c r="BM548" s="14">
        <v>15</v>
      </c>
      <c r="BN548" s="3" t="s">
        <v>375</v>
      </c>
      <c r="BP548" s="15"/>
      <c r="BQ548" s="15"/>
      <c r="BR548" s="2" t="s">
        <v>161</v>
      </c>
      <c r="BS548" s="2" t="s">
        <v>172</v>
      </c>
      <c r="BT548" s="7" t="s">
        <v>173</v>
      </c>
      <c r="BU548" s="7" t="s">
        <v>188</v>
      </c>
      <c r="BV548" s="9" t="s">
        <v>163</v>
      </c>
      <c r="BW548" s="9"/>
    </row>
    <row r="549" spans="1:75" ht="14.25" customHeight="1" x14ac:dyDescent="0.25">
      <c r="A549" s="1">
        <v>66</v>
      </c>
      <c r="B549" s="1" t="s">
        <v>2542</v>
      </c>
      <c r="C549" s="1" t="s">
        <v>2543</v>
      </c>
      <c r="D549" s="1" t="s">
        <v>124</v>
      </c>
      <c r="E549" s="1" t="s">
        <v>125</v>
      </c>
      <c r="F549" s="1" t="s">
        <v>126</v>
      </c>
      <c r="G549" s="1"/>
      <c r="H549" s="2">
        <v>1</v>
      </c>
      <c r="I549" s="2">
        <v>1</v>
      </c>
      <c r="J549" s="2">
        <v>0</v>
      </c>
      <c r="K549" s="2">
        <v>0</v>
      </c>
      <c r="L549" s="3" t="s">
        <v>127</v>
      </c>
      <c r="O549" s="4">
        <v>3</v>
      </c>
      <c r="P549" s="4" t="s">
        <v>316</v>
      </c>
      <c r="Q549" s="4" t="s">
        <v>2544</v>
      </c>
      <c r="R549" s="16">
        <v>2300000</v>
      </c>
      <c r="S549" s="6">
        <v>2300000</v>
      </c>
      <c r="T549" s="16">
        <v>750000</v>
      </c>
      <c r="U549" s="6">
        <v>750000</v>
      </c>
      <c r="V549" s="4"/>
      <c r="W549" s="4" t="s">
        <v>217</v>
      </c>
      <c r="X549" s="4" t="s">
        <v>361</v>
      </c>
      <c r="Y549" s="7">
        <v>2</v>
      </c>
      <c r="Z549" s="8">
        <v>1999255</v>
      </c>
      <c r="AA549" s="7" t="s">
        <v>154</v>
      </c>
      <c r="AB549" s="7"/>
      <c r="AC549" s="9">
        <v>2</v>
      </c>
      <c r="AD549" s="10">
        <v>1002316</v>
      </c>
      <c r="AE549" s="9" t="s">
        <v>155</v>
      </c>
      <c r="AF549" s="9"/>
      <c r="AG549" s="11">
        <v>4</v>
      </c>
      <c r="AH549" s="11" t="s">
        <v>356</v>
      </c>
      <c r="AI549" s="11" t="s">
        <v>2528</v>
      </c>
      <c r="AJ549" s="11">
        <v>4</v>
      </c>
      <c r="AK549" s="11" t="s">
        <v>132</v>
      </c>
      <c r="AL549" s="12">
        <v>3</v>
      </c>
      <c r="AM549" s="12" t="s">
        <v>356</v>
      </c>
      <c r="AN549" s="12"/>
      <c r="AO549" s="12">
        <v>2</v>
      </c>
      <c r="AP549" s="12" t="s">
        <v>132</v>
      </c>
      <c r="AQ549" s="4">
        <v>3</v>
      </c>
      <c r="AR549" s="4" t="s">
        <v>2530</v>
      </c>
      <c r="AS549" s="4"/>
      <c r="AT549" s="13"/>
      <c r="AU549" s="13"/>
      <c r="AV549" s="13"/>
      <c r="AW549" s="13"/>
      <c r="AX549" s="4"/>
      <c r="AY549" s="13"/>
      <c r="AZ549" s="13"/>
      <c r="BA549" s="13"/>
      <c r="BB549" s="13"/>
      <c r="BC549" s="4"/>
      <c r="BD549" s="4"/>
      <c r="BE549" s="4"/>
      <c r="BF549" s="13"/>
      <c r="BG549" s="4"/>
      <c r="BH549" s="13"/>
      <c r="BI549" s="13"/>
      <c r="BJ549" s="4"/>
      <c r="BK549" s="14">
        <v>12</v>
      </c>
      <c r="BL549" s="14">
        <v>11</v>
      </c>
      <c r="BM549" s="14">
        <v>12</v>
      </c>
      <c r="BO549" s="3" t="s">
        <v>120</v>
      </c>
      <c r="BP549" s="15"/>
      <c r="BQ549" s="15"/>
      <c r="BR549" s="2" t="s">
        <v>161</v>
      </c>
      <c r="BS549" s="2" t="s">
        <v>239</v>
      </c>
      <c r="BT549" s="7" t="s">
        <v>1153</v>
      </c>
      <c r="BU549" s="7" t="s">
        <v>163</v>
      </c>
      <c r="BV549" s="9" t="s">
        <v>163</v>
      </c>
      <c r="BW549" s="9" t="s">
        <v>164</v>
      </c>
    </row>
    <row r="550" spans="1:75" ht="14.25" customHeight="1" x14ac:dyDescent="0.25">
      <c r="A550" s="1">
        <v>79</v>
      </c>
      <c r="B550" s="1" t="s">
        <v>2545</v>
      </c>
      <c r="C550" s="1" t="s">
        <v>2546</v>
      </c>
      <c r="D550" s="1" t="s">
        <v>124</v>
      </c>
      <c r="E550" s="1" t="s">
        <v>125</v>
      </c>
      <c r="F550" s="1" t="s">
        <v>126</v>
      </c>
      <c r="G550" s="1" t="s">
        <v>2547</v>
      </c>
      <c r="H550" s="2">
        <v>1</v>
      </c>
      <c r="I550" s="2">
        <v>1</v>
      </c>
      <c r="J550" s="2">
        <v>1</v>
      </c>
      <c r="K550" s="2">
        <v>1</v>
      </c>
      <c r="L550" s="3" t="s">
        <v>127</v>
      </c>
      <c r="O550" s="4">
        <v>3</v>
      </c>
      <c r="P550" s="4" t="s">
        <v>235</v>
      </c>
      <c r="Q550" s="4"/>
      <c r="R550" s="16">
        <v>1100000</v>
      </c>
      <c r="S550" s="6">
        <v>1100000</v>
      </c>
      <c r="T550" s="16">
        <v>1100000</v>
      </c>
      <c r="U550" s="6">
        <v>1100000</v>
      </c>
      <c r="V550" s="4"/>
      <c r="W550" s="4" t="s">
        <v>235</v>
      </c>
      <c r="X550" s="4" t="s">
        <v>2548</v>
      </c>
      <c r="Y550" s="7">
        <v>1</v>
      </c>
      <c r="Z550" s="8">
        <v>5452014</v>
      </c>
      <c r="AA550" s="7" t="s">
        <v>130</v>
      </c>
      <c r="AB550" s="7"/>
      <c r="AC550" s="9">
        <v>1</v>
      </c>
      <c r="AD550" s="10">
        <v>5574262</v>
      </c>
      <c r="AE550" s="9" t="s">
        <v>130</v>
      </c>
      <c r="AF550" s="9"/>
      <c r="AG550" s="11">
        <v>3</v>
      </c>
      <c r="AH550" s="11" t="s">
        <v>131</v>
      </c>
      <c r="AI550" s="11"/>
      <c r="AJ550" s="11">
        <v>2</v>
      </c>
      <c r="AK550" s="11" t="s">
        <v>132</v>
      </c>
      <c r="AL550" s="12">
        <v>2</v>
      </c>
      <c r="AM550" s="12" t="s">
        <v>131</v>
      </c>
      <c r="AN550" s="12"/>
      <c r="AO550" s="12">
        <v>2</v>
      </c>
      <c r="AP550" s="12" t="s">
        <v>143</v>
      </c>
      <c r="AQ550" s="4">
        <v>1</v>
      </c>
      <c r="AR550" s="4" t="s">
        <v>133</v>
      </c>
      <c r="AS550" s="4"/>
      <c r="AT550" s="13">
        <v>677.13592529296898</v>
      </c>
      <c r="AU550" s="13">
        <v>4.1010890007018999</v>
      </c>
      <c r="AV550" s="13">
        <v>2.6300001144409202</v>
      </c>
      <c r="AW550" s="13">
        <v>5.1514978408813503</v>
      </c>
      <c r="AX550" s="4">
        <v>1</v>
      </c>
      <c r="AY550" s="13">
        <v>68.386657714843807</v>
      </c>
      <c r="AZ550" s="13">
        <v>3.7958080768585201</v>
      </c>
      <c r="BA550" s="13">
        <v>0.15500000119209301</v>
      </c>
      <c r="BB550" s="13">
        <v>5.7919979095459002</v>
      </c>
      <c r="BC550" s="4">
        <v>1</v>
      </c>
      <c r="BD550" s="4">
        <v>14</v>
      </c>
      <c r="BE550" s="4" t="s">
        <v>134</v>
      </c>
      <c r="BF550" s="13">
        <v>2.5214979648590101</v>
      </c>
      <c r="BG550" s="4">
        <v>509</v>
      </c>
      <c r="BH550" s="13">
        <v>2.96000000089407E-2</v>
      </c>
      <c r="BI550" s="13">
        <v>14.9799995422363</v>
      </c>
      <c r="BJ550" s="4"/>
      <c r="BK550" s="14">
        <v>8</v>
      </c>
      <c r="BL550" s="14">
        <v>7</v>
      </c>
      <c r="BM550" s="14">
        <v>8</v>
      </c>
      <c r="BP550" s="15"/>
      <c r="BQ550" s="15"/>
      <c r="BR550" s="2" t="s">
        <v>211</v>
      </c>
      <c r="BS550" s="2" t="s">
        <v>172</v>
      </c>
      <c r="BT550" s="7" t="s">
        <v>240</v>
      </c>
      <c r="BU550" s="7" t="s">
        <v>212</v>
      </c>
      <c r="BV550" s="9" t="s">
        <v>212</v>
      </c>
      <c r="BW550" s="9"/>
    </row>
    <row r="551" spans="1:75" ht="14.25" customHeight="1" x14ac:dyDescent="0.25">
      <c r="A551" s="1">
        <v>80</v>
      </c>
      <c r="B551" s="1" t="s">
        <v>2549</v>
      </c>
      <c r="C551" s="1" t="s">
        <v>2550</v>
      </c>
      <c r="D551" s="1" t="s">
        <v>124</v>
      </c>
      <c r="E551" s="1" t="s">
        <v>125</v>
      </c>
      <c r="F551" s="1" t="s">
        <v>126</v>
      </c>
      <c r="G551" s="1"/>
      <c r="H551" s="2">
        <v>1</v>
      </c>
      <c r="I551" s="2">
        <v>1</v>
      </c>
      <c r="J551" s="2">
        <v>1</v>
      </c>
      <c r="K551" s="2">
        <v>0</v>
      </c>
      <c r="L551" s="3" t="s">
        <v>127</v>
      </c>
      <c r="O551" s="4">
        <v>3</v>
      </c>
      <c r="P551" s="4" t="s">
        <v>380</v>
      </c>
      <c r="Q551" s="4"/>
      <c r="R551" s="16">
        <v>1900000</v>
      </c>
      <c r="S551" s="6">
        <v>1900000</v>
      </c>
      <c r="T551" s="16">
        <v>1200000</v>
      </c>
      <c r="U551" s="6">
        <v>1200000</v>
      </c>
      <c r="V551" s="4"/>
      <c r="W551" s="4" t="s">
        <v>235</v>
      </c>
      <c r="X551" s="4" t="s">
        <v>2548</v>
      </c>
      <c r="Y551" s="7">
        <v>1</v>
      </c>
      <c r="Z551" s="8">
        <v>24673827</v>
      </c>
      <c r="AA551" s="7" t="s">
        <v>154</v>
      </c>
      <c r="AB551" s="7"/>
      <c r="AC551" s="9">
        <v>1</v>
      </c>
      <c r="AD551" s="10">
        <v>22767150</v>
      </c>
      <c r="AE551" s="9" t="s">
        <v>155</v>
      </c>
      <c r="AF551" s="9"/>
      <c r="AG551" s="11">
        <v>3</v>
      </c>
      <c r="AH551" s="11" t="s">
        <v>131</v>
      </c>
      <c r="AI551" s="11"/>
      <c r="AJ551" s="11">
        <v>3</v>
      </c>
      <c r="AK551" s="11" t="s">
        <v>143</v>
      </c>
      <c r="AL551" s="12">
        <v>2</v>
      </c>
      <c r="AM551" s="12" t="s">
        <v>131</v>
      </c>
      <c r="AN551" s="12"/>
      <c r="AO551" s="12">
        <v>2</v>
      </c>
      <c r="AP551" s="12" t="s">
        <v>143</v>
      </c>
      <c r="AQ551" s="4">
        <v>3</v>
      </c>
      <c r="AR551" s="4" t="s">
        <v>133</v>
      </c>
      <c r="AS551" s="4"/>
      <c r="AT551" s="13">
        <v>-9.1809377670288104</v>
      </c>
      <c r="AU551" s="13">
        <v>-0.188457235693932</v>
      </c>
      <c r="AV551" s="13">
        <v>-1.18190097808838</v>
      </c>
      <c r="AW551" s="13">
        <v>1.1599999666214</v>
      </c>
      <c r="AX551" s="4"/>
      <c r="AY551" s="13">
        <v>-17.103075027465799</v>
      </c>
      <c r="AZ551" s="13">
        <v>-1.2425893545150799</v>
      </c>
      <c r="BA551" s="13">
        <v>-3.1500000953674299</v>
      </c>
      <c r="BB551" s="13">
        <v>0.28200000524520902</v>
      </c>
      <c r="BC551" s="4"/>
      <c r="BD551" s="4">
        <v>15</v>
      </c>
      <c r="BE551" s="4" t="s">
        <v>134</v>
      </c>
      <c r="BF551" s="13">
        <v>2.34190106391907</v>
      </c>
      <c r="BG551" s="4">
        <v>1081</v>
      </c>
      <c r="BH551" s="13">
        <v>0.26850000023841902</v>
      </c>
      <c r="BI551" s="13">
        <v>290.29098510742199</v>
      </c>
      <c r="BJ551" s="4"/>
      <c r="BK551" s="14">
        <v>10</v>
      </c>
      <c r="BL551" s="14">
        <v>9</v>
      </c>
      <c r="BM551" s="14">
        <v>10</v>
      </c>
      <c r="BP551" s="15"/>
      <c r="BQ551" s="15"/>
      <c r="BR551" s="2" t="s">
        <v>211</v>
      </c>
      <c r="BS551" s="2" t="s">
        <v>172</v>
      </c>
      <c r="BT551" s="7" t="s">
        <v>240</v>
      </c>
      <c r="BU551" s="7" t="s">
        <v>212</v>
      </c>
      <c r="BV551" s="9" t="s">
        <v>212</v>
      </c>
      <c r="BW551" s="9"/>
    </row>
    <row r="552" spans="1:75" ht="14.25" customHeight="1" x14ac:dyDescent="0.25">
      <c r="A552" s="1">
        <v>81</v>
      </c>
      <c r="B552" s="1" t="s">
        <v>2551</v>
      </c>
      <c r="C552" s="1" t="s">
        <v>2552</v>
      </c>
      <c r="D552" s="1" t="s">
        <v>124</v>
      </c>
      <c r="E552" s="1" t="s">
        <v>125</v>
      </c>
      <c r="F552" s="1" t="s">
        <v>126</v>
      </c>
      <c r="G552" s="1" t="s">
        <v>118</v>
      </c>
      <c r="H552" s="2">
        <v>1</v>
      </c>
      <c r="I552" s="2">
        <v>1</v>
      </c>
      <c r="J552" s="2">
        <v>1</v>
      </c>
      <c r="K552" s="2">
        <v>1</v>
      </c>
      <c r="L552" s="3" t="s">
        <v>127</v>
      </c>
      <c r="O552" s="4">
        <v>3</v>
      </c>
      <c r="P552" s="4" t="s">
        <v>380</v>
      </c>
      <c r="Q552" s="4" t="s">
        <v>2553</v>
      </c>
      <c r="R552" s="16">
        <v>600000</v>
      </c>
      <c r="S552" s="6">
        <v>600000</v>
      </c>
      <c r="T552" s="16">
        <v>400000</v>
      </c>
      <c r="U552" s="6">
        <v>400000</v>
      </c>
      <c r="V552" s="4"/>
      <c r="W552" s="4" t="s">
        <v>235</v>
      </c>
      <c r="X552" s="4" t="s">
        <v>2548</v>
      </c>
      <c r="Y552" s="7">
        <v>1</v>
      </c>
      <c r="Z552" s="8">
        <v>19960485</v>
      </c>
      <c r="AA552" s="7" t="s">
        <v>154</v>
      </c>
      <c r="AB552" s="7"/>
      <c r="AC552" s="9">
        <v>2</v>
      </c>
      <c r="AD552" s="10">
        <v>2446473</v>
      </c>
      <c r="AE552" s="9" t="s">
        <v>155</v>
      </c>
      <c r="AF552" s="9"/>
      <c r="AG552" s="11">
        <v>3</v>
      </c>
      <c r="AH552" s="11" t="s">
        <v>131</v>
      </c>
      <c r="AI552" s="11"/>
      <c r="AJ552" s="11">
        <v>3</v>
      </c>
      <c r="AK552" s="11" t="s">
        <v>143</v>
      </c>
      <c r="AL552" s="12">
        <v>2</v>
      </c>
      <c r="AM552" s="12" t="s">
        <v>131</v>
      </c>
      <c r="AN552" s="12"/>
      <c r="AO552" s="12">
        <v>2</v>
      </c>
      <c r="AP552" s="12" t="s">
        <v>143</v>
      </c>
      <c r="AQ552" s="4">
        <v>2</v>
      </c>
      <c r="AR552" s="4" t="s">
        <v>187</v>
      </c>
      <c r="AS552" s="4" t="s">
        <v>2554</v>
      </c>
      <c r="AT552" s="13">
        <v>30.620996475219702</v>
      </c>
      <c r="AU552" s="13">
        <v>0.54665154218673695</v>
      </c>
      <c r="AV552" s="13">
        <v>-0.22153513133525801</v>
      </c>
      <c r="AW552" s="13">
        <v>1.27405905723572</v>
      </c>
      <c r="AX552" s="4"/>
      <c r="AY552" s="13">
        <v>21.176759719848601</v>
      </c>
      <c r="AZ552" s="13">
        <v>1.07282567024231</v>
      </c>
      <c r="BA552" s="13">
        <v>-0.90094327926635698</v>
      </c>
      <c r="BB552" s="13">
        <v>3.2828319072723402</v>
      </c>
      <c r="BC552" s="4"/>
      <c r="BD552" s="4">
        <v>18</v>
      </c>
      <c r="BE552" s="4"/>
      <c r="BF552" s="13">
        <v>1.49559414386749</v>
      </c>
      <c r="BG552" s="4"/>
      <c r="BH552" s="13"/>
      <c r="BI552" s="13"/>
      <c r="BJ552" s="4"/>
      <c r="BK552" s="14">
        <v>9</v>
      </c>
      <c r="BL552" s="14">
        <v>9</v>
      </c>
      <c r="BM552" s="14">
        <v>9</v>
      </c>
      <c r="BP552" s="15"/>
      <c r="BQ552" s="15"/>
      <c r="BR552" s="2" t="s">
        <v>161</v>
      </c>
      <c r="BS552" s="2" t="s">
        <v>172</v>
      </c>
      <c r="BT552" s="7" t="s">
        <v>173</v>
      </c>
      <c r="BU552" s="7" t="s">
        <v>303</v>
      </c>
      <c r="BV552" s="9" t="s">
        <v>163</v>
      </c>
      <c r="BW552" s="9" t="s">
        <v>357</v>
      </c>
    </row>
    <row r="553" spans="1:75" ht="14.25" customHeight="1" x14ac:dyDescent="0.25">
      <c r="A553" s="1">
        <v>82</v>
      </c>
      <c r="B553" s="1" t="s">
        <v>2555</v>
      </c>
      <c r="C553" s="1" t="s">
        <v>2556</v>
      </c>
      <c r="D553" s="1" t="s">
        <v>124</v>
      </c>
      <c r="E553" s="1" t="s">
        <v>125</v>
      </c>
      <c r="F553" s="1" t="s">
        <v>126</v>
      </c>
      <c r="G553" s="1" t="s">
        <v>118</v>
      </c>
      <c r="H553" s="2">
        <v>0</v>
      </c>
      <c r="I553" s="2">
        <v>1</v>
      </c>
      <c r="J553" s="2">
        <v>1</v>
      </c>
      <c r="K553" s="2">
        <v>1</v>
      </c>
      <c r="L553" s="3" t="s">
        <v>80</v>
      </c>
      <c r="O553" s="4">
        <v>4</v>
      </c>
      <c r="P553" s="4" t="s">
        <v>753</v>
      </c>
      <c r="Q553" s="4"/>
      <c r="R553" s="16">
        <v>200000</v>
      </c>
      <c r="S553" s="6">
        <v>200000</v>
      </c>
      <c r="T553" s="17" t="s">
        <v>227</v>
      </c>
      <c r="U553" s="6">
        <v>10</v>
      </c>
      <c r="V553" s="4"/>
      <c r="W553" s="4" t="s">
        <v>228</v>
      </c>
      <c r="X553" s="4" t="s">
        <v>2557</v>
      </c>
      <c r="Y553" s="7">
        <v>1</v>
      </c>
      <c r="Z553" s="8">
        <v>8424454</v>
      </c>
      <c r="AA553" s="7" t="s">
        <v>130</v>
      </c>
      <c r="AB553" s="7"/>
      <c r="AC553" s="9">
        <v>1</v>
      </c>
      <c r="AD553" s="10">
        <v>8424454</v>
      </c>
      <c r="AE553" s="9" t="s">
        <v>130</v>
      </c>
      <c r="AF553" s="9"/>
      <c r="AG553" s="11">
        <v>3</v>
      </c>
      <c r="AH553" s="11" t="s">
        <v>158</v>
      </c>
      <c r="AI553" s="11" t="s">
        <v>2558</v>
      </c>
      <c r="AJ553" s="11"/>
      <c r="AK553" s="11"/>
      <c r="AL553" s="12">
        <v>3</v>
      </c>
      <c r="AM553" s="12" t="s">
        <v>158</v>
      </c>
      <c r="AN553" s="12" t="s">
        <v>2558</v>
      </c>
      <c r="AO553" s="12"/>
      <c r="AP553" s="12"/>
      <c r="AQ553" s="4">
        <v>3</v>
      </c>
      <c r="AR553" s="4" t="s">
        <v>231</v>
      </c>
      <c r="AS553" s="4" t="s">
        <v>1053</v>
      </c>
      <c r="AT553" s="13"/>
      <c r="AU553" s="13"/>
      <c r="AV553" s="13"/>
      <c r="AW553" s="13"/>
      <c r="AX553" s="4"/>
      <c r="AY553" s="13"/>
      <c r="AZ553" s="13"/>
      <c r="BA553" s="13"/>
      <c r="BB553" s="13"/>
      <c r="BC553" s="4"/>
      <c r="BD553" s="4"/>
      <c r="BE553" s="4"/>
      <c r="BF553" s="13"/>
      <c r="BG553" s="4"/>
      <c r="BH553" s="13"/>
      <c r="BI553" s="13"/>
      <c r="BJ553" s="4"/>
      <c r="BK553" s="14">
        <v>11</v>
      </c>
      <c r="BL553" s="14">
        <v>11</v>
      </c>
      <c r="BM553" s="14">
        <v>11</v>
      </c>
      <c r="BP553" s="15"/>
      <c r="BQ553" s="15"/>
      <c r="BR553" s="2" t="s">
        <v>97</v>
      </c>
      <c r="BS553" s="2" t="s">
        <v>97</v>
      </c>
      <c r="BT553" s="7" t="s">
        <v>147</v>
      </c>
      <c r="BU553" s="7"/>
      <c r="BV553" s="9" t="s">
        <v>147</v>
      </c>
      <c r="BW553" s="9"/>
    </row>
    <row r="554" spans="1:75" ht="14.25" customHeight="1" x14ac:dyDescent="0.25">
      <c r="A554" s="1">
        <v>83</v>
      </c>
      <c r="B554" s="1" t="s">
        <v>2559</v>
      </c>
      <c r="C554" s="1" t="s">
        <v>2560</v>
      </c>
      <c r="D554" s="1" t="s">
        <v>124</v>
      </c>
      <c r="E554" s="1" t="s">
        <v>125</v>
      </c>
      <c r="F554" s="1" t="s">
        <v>126</v>
      </c>
      <c r="G554" s="1"/>
      <c r="H554" s="2">
        <v>1</v>
      </c>
      <c r="I554" s="2">
        <v>1</v>
      </c>
      <c r="J554" s="2">
        <v>1</v>
      </c>
      <c r="K554" s="2">
        <v>1</v>
      </c>
      <c r="L554" s="3" t="s">
        <v>127</v>
      </c>
      <c r="O554" s="4">
        <v>3</v>
      </c>
      <c r="P554" s="4" t="s">
        <v>2561</v>
      </c>
      <c r="Q554" s="4" t="s">
        <v>2562</v>
      </c>
      <c r="R554" s="5" t="s">
        <v>2563</v>
      </c>
      <c r="S554" s="6">
        <v>1700000</v>
      </c>
      <c r="T554" s="17" t="s">
        <v>2564</v>
      </c>
      <c r="U554" s="6">
        <v>1300000</v>
      </c>
      <c r="V554" s="4">
        <v>2010.5</v>
      </c>
      <c r="W554" s="4" t="s">
        <v>425</v>
      </c>
      <c r="X554" s="4" t="s">
        <v>2565</v>
      </c>
      <c r="Y554" s="7">
        <v>1</v>
      </c>
      <c r="Z554" s="8">
        <v>6881362</v>
      </c>
      <c r="AA554" s="7" t="s">
        <v>2566</v>
      </c>
      <c r="AB554" s="7" t="s">
        <v>2567</v>
      </c>
      <c r="AC554" s="9">
        <v>1</v>
      </c>
      <c r="AD554" s="10">
        <v>4844067</v>
      </c>
      <c r="AE554" s="9" t="s">
        <v>2566</v>
      </c>
      <c r="AF554" s="9" t="s">
        <v>2567</v>
      </c>
      <c r="AG554" s="11">
        <v>3</v>
      </c>
      <c r="AH554" s="11" t="s">
        <v>156</v>
      </c>
      <c r="AI554" s="11" t="s">
        <v>2568</v>
      </c>
      <c r="AJ554" s="11">
        <v>2</v>
      </c>
      <c r="AK554" s="11" t="s">
        <v>132</v>
      </c>
      <c r="AL554" s="12">
        <v>2</v>
      </c>
      <c r="AM554" s="12" t="s">
        <v>156</v>
      </c>
      <c r="AN554" s="12" t="s">
        <v>2569</v>
      </c>
      <c r="AO554" s="12">
        <v>2</v>
      </c>
      <c r="AP554" s="12" t="s">
        <v>132</v>
      </c>
      <c r="AQ554" s="4">
        <v>1</v>
      </c>
      <c r="AR554" s="4" t="s">
        <v>133</v>
      </c>
      <c r="AS554" s="4"/>
      <c r="AT554" s="13">
        <v>70.885101318359403</v>
      </c>
      <c r="AU554" s="13">
        <v>1.0561264753341699</v>
      </c>
      <c r="AV554" s="13">
        <v>6.5099999308586107E-2</v>
      </c>
      <c r="AW554" s="13">
        <v>1.89119601249695</v>
      </c>
      <c r="AX554" s="4">
        <v>1</v>
      </c>
      <c r="AY554" s="13">
        <v>-10.186791419982899</v>
      </c>
      <c r="AZ554" s="13">
        <v>-0.89137911796569802</v>
      </c>
      <c r="BA554" s="13">
        <v>-4.8999009132385298</v>
      </c>
      <c r="BB554" s="13">
        <v>2.4700000286102299</v>
      </c>
      <c r="BC554" s="4"/>
      <c r="BD554" s="4">
        <v>12</v>
      </c>
      <c r="BE554" s="4" t="s">
        <v>134</v>
      </c>
      <c r="BF554" s="13">
        <v>1.8260960578918499</v>
      </c>
      <c r="BG554" s="4">
        <v>501.5</v>
      </c>
      <c r="BH554" s="13">
        <v>1.1349999904632599</v>
      </c>
      <c r="BI554" s="13">
        <v>569.35998535156295</v>
      </c>
      <c r="BJ554" s="4"/>
      <c r="BK554" s="14">
        <v>8</v>
      </c>
      <c r="BL554" s="14">
        <v>7</v>
      </c>
      <c r="BM554" s="14">
        <v>8</v>
      </c>
      <c r="BP554" s="15"/>
      <c r="BQ554" s="15"/>
      <c r="BR554" s="2" t="s">
        <v>172</v>
      </c>
      <c r="BS554" s="2" t="s">
        <v>247</v>
      </c>
      <c r="BT554" s="7" t="s">
        <v>248</v>
      </c>
      <c r="BU554" s="7" t="s">
        <v>147</v>
      </c>
      <c r="BV554" s="9" t="s">
        <v>212</v>
      </c>
      <c r="BW554" s="9" t="s">
        <v>163</v>
      </c>
    </row>
    <row r="555" spans="1:75" ht="14.25" customHeight="1" x14ac:dyDescent="0.25">
      <c r="A555" s="1">
        <v>84</v>
      </c>
      <c r="B555" s="1" t="s">
        <v>2570</v>
      </c>
      <c r="C555" s="1" t="s">
        <v>2571</v>
      </c>
      <c r="D555" s="1" t="s">
        <v>77</v>
      </c>
      <c r="E555" s="1" t="s">
        <v>390</v>
      </c>
      <c r="F555" s="1" t="s">
        <v>391</v>
      </c>
      <c r="G555" s="1"/>
      <c r="H555" s="2">
        <v>0</v>
      </c>
      <c r="I555" s="2">
        <v>1</v>
      </c>
      <c r="J555" s="2">
        <v>1</v>
      </c>
      <c r="K555" s="2">
        <v>1</v>
      </c>
      <c r="L555" s="3" t="s">
        <v>80</v>
      </c>
      <c r="O555" s="4">
        <v>3</v>
      </c>
      <c r="P555" s="4" t="s">
        <v>706</v>
      </c>
      <c r="Q555" s="4" t="s">
        <v>2572</v>
      </c>
      <c r="R555" s="16">
        <v>2000000</v>
      </c>
      <c r="S555" s="6">
        <v>2000000</v>
      </c>
      <c r="T555" s="17" t="s">
        <v>2302</v>
      </c>
      <c r="U555" s="6">
        <v>2500</v>
      </c>
      <c r="V555" s="4"/>
      <c r="W555" s="4" t="s">
        <v>543</v>
      </c>
      <c r="X555" s="4" t="s">
        <v>2573</v>
      </c>
      <c r="Y555" s="7">
        <v>3</v>
      </c>
      <c r="Z555" s="8">
        <v>600842</v>
      </c>
      <c r="AA555" s="7" t="s">
        <v>92</v>
      </c>
      <c r="AB555" s="7"/>
      <c r="AC555" s="9">
        <v>3</v>
      </c>
      <c r="AD555" s="10">
        <v>600842</v>
      </c>
      <c r="AE555" s="9" t="s">
        <v>92</v>
      </c>
      <c r="AF555" s="9"/>
      <c r="AG555" s="11">
        <v>3</v>
      </c>
      <c r="AH555" s="11" t="s">
        <v>131</v>
      </c>
      <c r="AI555" s="11" t="s">
        <v>2574</v>
      </c>
      <c r="AJ555" s="11">
        <v>3</v>
      </c>
      <c r="AK555" s="11" t="s">
        <v>143</v>
      </c>
      <c r="AL555" s="12">
        <v>2</v>
      </c>
      <c r="AM555" s="12" t="s">
        <v>131</v>
      </c>
      <c r="AN555" s="12" t="s">
        <v>394</v>
      </c>
      <c r="AO555" s="12">
        <v>2</v>
      </c>
      <c r="AP555" s="12" t="s">
        <v>143</v>
      </c>
      <c r="AQ555" s="4">
        <v>3</v>
      </c>
      <c r="AR555" s="4" t="s">
        <v>673</v>
      </c>
      <c r="AS555" s="4" t="s">
        <v>2575</v>
      </c>
      <c r="AT555" s="13"/>
      <c r="AU555" s="13"/>
      <c r="AV555" s="13"/>
      <c r="AW555" s="13"/>
      <c r="AX555" s="4"/>
      <c r="AY555" s="13"/>
      <c r="AZ555" s="13"/>
      <c r="BA555" s="13"/>
      <c r="BB555" s="13"/>
      <c r="BC555" s="4"/>
      <c r="BD555" s="4"/>
      <c r="BE555" s="4"/>
      <c r="BF555" s="13"/>
      <c r="BG555" s="4"/>
      <c r="BH555" s="13"/>
      <c r="BI555" s="13"/>
      <c r="BJ555" s="4"/>
      <c r="BK555" s="14">
        <v>12</v>
      </c>
      <c r="BL555" s="14">
        <v>11</v>
      </c>
      <c r="BM555" s="14">
        <v>12</v>
      </c>
      <c r="BP555" s="15" t="s">
        <v>135</v>
      </c>
      <c r="BQ555" s="15"/>
      <c r="BR555" s="2" t="s">
        <v>400</v>
      </c>
      <c r="BS555" s="2" t="s">
        <v>400</v>
      </c>
      <c r="BT555" s="7" t="s">
        <v>98</v>
      </c>
      <c r="BU555" s="7"/>
      <c r="BV555" s="9" t="s">
        <v>98</v>
      </c>
      <c r="BW555" s="9"/>
    </row>
    <row r="556" spans="1:75" ht="14.25" customHeight="1" x14ac:dyDescent="0.25">
      <c r="A556" s="1">
        <v>85</v>
      </c>
      <c r="B556" s="1" t="s">
        <v>2576</v>
      </c>
      <c r="C556" s="1" t="s">
        <v>2577</v>
      </c>
      <c r="D556" s="1" t="s">
        <v>77</v>
      </c>
      <c r="E556" s="1" t="s">
        <v>390</v>
      </c>
      <c r="F556" s="1" t="s">
        <v>391</v>
      </c>
      <c r="G556" s="1" t="s">
        <v>118</v>
      </c>
      <c r="H556" s="2">
        <v>0</v>
      </c>
      <c r="I556" s="2">
        <v>0</v>
      </c>
      <c r="J556" s="2">
        <v>0</v>
      </c>
      <c r="K556" s="2">
        <v>1</v>
      </c>
      <c r="L556" s="3" t="s">
        <v>80</v>
      </c>
      <c r="O556" s="4">
        <v>3</v>
      </c>
      <c r="P556" s="4" t="s">
        <v>81</v>
      </c>
      <c r="Q556" s="4"/>
      <c r="R556" s="5"/>
      <c r="S556" s="6"/>
      <c r="T556" s="17"/>
      <c r="U556" s="6"/>
      <c r="V556" s="4"/>
      <c r="W556" s="4"/>
      <c r="X556" s="4"/>
      <c r="Y556" s="7">
        <v>4</v>
      </c>
      <c r="Z556" s="8">
        <v>216356</v>
      </c>
      <c r="AA556" s="7" t="s">
        <v>82</v>
      </c>
      <c r="AB556" s="7"/>
      <c r="AC556" s="9">
        <v>4</v>
      </c>
      <c r="AD556" s="10">
        <v>216356</v>
      </c>
      <c r="AE556" s="9" t="s">
        <v>82</v>
      </c>
      <c r="AF556" s="9"/>
      <c r="AG556" s="11">
        <v>2</v>
      </c>
      <c r="AH556" s="11" t="s">
        <v>83</v>
      </c>
      <c r="AI556" s="11" t="s">
        <v>2578</v>
      </c>
      <c r="AJ556" s="11"/>
      <c r="AK556" s="11"/>
      <c r="AL556" s="12">
        <v>2</v>
      </c>
      <c r="AM556" s="12" t="s">
        <v>83</v>
      </c>
      <c r="AN556" s="12"/>
      <c r="AO556" s="12"/>
      <c r="AP556" s="12"/>
      <c r="AQ556" s="4">
        <v>2</v>
      </c>
      <c r="AR556" s="4" t="s">
        <v>83</v>
      </c>
      <c r="AS556" s="4"/>
      <c r="AT556" s="13"/>
      <c r="AU556" s="13"/>
      <c r="AV556" s="13"/>
      <c r="AW556" s="13"/>
      <c r="AX556" s="4"/>
      <c r="AY556" s="13"/>
      <c r="AZ556" s="13"/>
      <c r="BA556" s="13"/>
      <c r="BB556" s="13"/>
      <c r="BC556" s="4"/>
      <c r="BD556" s="4"/>
      <c r="BE556" s="4"/>
      <c r="BF556" s="13"/>
      <c r="BG556" s="4"/>
      <c r="BH556" s="13"/>
      <c r="BI556" s="13"/>
      <c r="BJ556" s="4"/>
      <c r="BK556" s="14">
        <v>11</v>
      </c>
      <c r="BL556" s="14">
        <v>11</v>
      </c>
      <c r="BM556" s="14">
        <v>11</v>
      </c>
      <c r="BP556" s="15"/>
      <c r="BQ556" s="15"/>
      <c r="BR556" s="2" t="s">
        <v>115</v>
      </c>
      <c r="BS556" s="2" t="s">
        <v>115</v>
      </c>
      <c r="BT556" s="7" t="s">
        <v>98</v>
      </c>
      <c r="BU556" s="7"/>
      <c r="BV556" s="9" t="s">
        <v>98</v>
      </c>
      <c r="BW556" s="9"/>
    </row>
    <row r="557" spans="1:75" ht="14.25" customHeight="1" x14ac:dyDescent="0.25">
      <c r="A557" s="1">
        <v>87</v>
      </c>
      <c r="B557" s="1" t="s">
        <v>2579</v>
      </c>
      <c r="C557" s="1" t="s">
        <v>2580</v>
      </c>
      <c r="D557" s="1" t="s">
        <v>77</v>
      </c>
      <c r="E557" s="1" t="s">
        <v>390</v>
      </c>
      <c r="F557" s="1" t="s">
        <v>391</v>
      </c>
      <c r="G557" s="1" t="s">
        <v>118</v>
      </c>
      <c r="H557" s="2">
        <v>0</v>
      </c>
      <c r="I557" s="2">
        <v>0</v>
      </c>
      <c r="J557" s="2">
        <v>1</v>
      </c>
      <c r="K557" s="2">
        <v>0</v>
      </c>
      <c r="L557" s="3" t="s">
        <v>80</v>
      </c>
      <c r="O557" s="4">
        <v>4</v>
      </c>
      <c r="P557" s="4" t="s">
        <v>112</v>
      </c>
      <c r="Q557" s="4"/>
      <c r="R557" s="5"/>
      <c r="S557" s="6"/>
      <c r="T557" s="17"/>
      <c r="U557" s="6"/>
      <c r="V557" s="4"/>
      <c r="W557" s="4"/>
      <c r="X557" s="4"/>
      <c r="Y557" s="7">
        <v>4</v>
      </c>
      <c r="Z557" s="8">
        <v>114255</v>
      </c>
      <c r="AA557" s="7" t="s">
        <v>92</v>
      </c>
      <c r="AB557" s="7"/>
      <c r="AC557" s="9">
        <v>4</v>
      </c>
      <c r="AD557" s="10">
        <v>114255</v>
      </c>
      <c r="AE557" s="9" t="s">
        <v>92</v>
      </c>
      <c r="AF557" s="9"/>
      <c r="AG557" s="11">
        <v>3</v>
      </c>
      <c r="AH557" s="11" t="s">
        <v>93</v>
      </c>
      <c r="AI557" s="11"/>
      <c r="AJ557" s="11"/>
      <c r="AK557" s="11"/>
      <c r="AL557" s="12">
        <v>3</v>
      </c>
      <c r="AM557" s="12" t="s">
        <v>93</v>
      </c>
      <c r="AN557" s="12" t="s">
        <v>805</v>
      </c>
      <c r="AO557" s="12"/>
      <c r="AP557" s="12"/>
      <c r="AQ557" s="4">
        <v>4</v>
      </c>
      <c r="AR557" s="4" t="s">
        <v>1480</v>
      </c>
      <c r="AS557" s="4" t="s">
        <v>2581</v>
      </c>
      <c r="AT557" s="13"/>
      <c r="AU557" s="13"/>
      <c r="AV557" s="13"/>
      <c r="AW557" s="13"/>
      <c r="AX557" s="4"/>
      <c r="AY557" s="13"/>
      <c r="AZ557" s="13"/>
      <c r="BA557" s="13"/>
      <c r="BB557" s="13"/>
      <c r="BC557" s="4"/>
      <c r="BD557" s="4"/>
      <c r="BE557" s="4"/>
      <c r="BF557" s="13"/>
      <c r="BG557" s="4"/>
      <c r="BH557" s="13"/>
      <c r="BI557" s="13"/>
      <c r="BJ557" s="4"/>
      <c r="BK557" s="14">
        <v>15</v>
      </c>
      <c r="BL557" s="14">
        <v>15</v>
      </c>
      <c r="BM557" s="14">
        <v>15</v>
      </c>
      <c r="BN557" s="3" t="s">
        <v>86</v>
      </c>
      <c r="BP557" s="15"/>
      <c r="BQ557" s="15"/>
      <c r="BR557" s="2" t="s">
        <v>108</v>
      </c>
      <c r="BS557" s="2" t="s">
        <v>108</v>
      </c>
      <c r="BT557" s="7" t="s">
        <v>109</v>
      </c>
      <c r="BU557" s="7"/>
      <c r="BV557" s="9" t="s">
        <v>109</v>
      </c>
      <c r="BW557" s="9"/>
    </row>
    <row r="558" spans="1:75" ht="14.25" customHeight="1" x14ac:dyDescent="0.25">
      <c r="A558" s="1">
        <v>88</v>
      </c>
      <c r="B558" s="1" t="s">
        <v>2582</v>
      </c>
      <c r="C558" s="1" t="s">
        <v>2583</v>
      </c>
      <c r="D558" s="1" t="s">
        <v>77</v>
      </c>
      <c r="E558" s="1" t="s">
        <v>390</v>
      </c>
      <c r="F558" s="1" t="s">
        <v>391</v>
      </c>
      <c r="G558" s="1" t="s">
        <v>118</v>
      </c>
      <c r="H558" s="2">
        <v>0</v>
      </c>
      <c r="I558" s="2">
        <v>0</v>
      </c>
      <c r="J558" s="2">
        <v>1</v>
      </c>
      <c r="K558" s="2">
        <v>0</v>
      </c>
      <c r="L558" s="3" t="s">
        <v>80</v>
      </c>
      <c r="O558" s="4">
        <v>4</v>
      </c>
      <c r="P558" s="4" t="s">
        <v>112</v>
      </c>
      <c r="Q558" s="4"/>
      <c r="R558" s="5"/>
      <c r="S558" s="6"/>
      <c r="T558" s="17"/>
      <c r="U558" s="6"/>
      <c r="V558" s="4"/>
      <c r="W558" s="4"/>
      <c r="X558" s="4"/>
      <c r="Y558" s="7">
        <v>4</v>
      </c>
      <c r="Z558" s="8">
        <v>200662</v>
      </c>
      <c r="AA558" s="7" t="s">
        <v>92</v>
      </c>
      <c r="AB558" s="7"/>
      <c r="AC558" s="9">
        <v>4</v>
      </c>
      <c r="AD558" s="10">
        <v>200662</v>
      </c>
      <c r="AE558" s="9" t="s">
        <v>92</v>
      </c>
      <c r="AF558" s="9"/>
      <c r="AG558" s="11">
        <v>3</v>
      </c>
      <c r="AH558" s="11" t="s">
        <v>93</v>
      </c>
      <c r="AI558" s="11" t="s">
        <v>393</v>
      </c>
      <c r="AJ558" s="11"/>
      <c r="AK558" s="11"/>
      <c r="AL558" s="12">
        <v>3</v>
      </c>
      <c r="AM558" s="12" t="s">
        <v>93</v>
      </c>
      <c r="AN558" s="12" t="s">
        <v>394</v>
      </c>
      <c r="AO558" s="12"/>
      <c r="AP558" s="12"/>
      <c r="AQ558" s="4">
        <v>4</v>
      </c>
      <c r="AR558" s="4" t="s">
        <v>441</v>
      </c>
      <c r="AS558" s="4" t="s">
        <v>2584</v>
      </c>
      <c r="AT558" s="13"/>
      <c r="AU558" s="13"/>
      <c r="AV558" s="13"/>
      <c r="AW558" s="13"/>
      <c r="AX558" s="4"/>
      <c r="AY558" s="13"/>
      <c r="AZ558" s="13"/>
      <c r="BA558" s="13"/>
      <c r="BB558" s="13"/>
      <c r="BC558" s="4"/>
      <c r="BD558" s="4"/>
      <c r="BE558" s="4"/>
      <c r="BF558" s="13"/>
      <c r="BG558" s="4"/>
      <c r="BH558" s="13"/>
      <c r="BI558" s="13"/>
      <c r="BJ558" s="4"/>
      <c r="BK558" s="14">
        <v>15</v>
      </c>
      <c r="BL558" s="14">
        <v>15</v>
      </c>
      <c r="BM558" s="14">
        <v>15</v>
      </c>
      <c r="BN558" s="3" t="s">
        <v>86</v>
      </c>
      <c r="BP558" s="15"/>
      <c r="BQ558" s="15"/>
      <c r="BR558" s="2" t="s">
        <v>108</v>
      </c>
      <c r="BS558" s="2" t="s">
        <v>108</v>
      </c>
      <c r="BT558" s="7" t="s">
        <v>109</v>
      </c>
      <c r="BU558" s="7"/>
      <c r="BV558" s="9" t="s">
        <v>109</v>
      </c>
      <c r="BW558" s="9"/>
    </row>
    <row r="559" spans="1:75" ht="14.25" customHeight="1" x14ac:dyDescent="0.25">
      <c r="A559" s="1">
        <v>110</v>
      </c>
      <c r="B559" s="1" t="s">
        <v>2585</v>
      </c>
      <c r="C559" s="1" t="s">
        <v>2586</v>
      </c>
      <c r="D559" s="1" t="s">
        <v>77</v>
      </c>
      <c r="E559" s="1" t="s">
        <v>390</v>
      </c>
      <c r="F559" s="1" t="s">
        <v>420</v>
      </c>
      <c r="G559" s="1" t="s">
        <v>118</v>
      </c>
      <c r="H559" s="2">
        <v>0</v>
      </c>
      <c r="I559" s="2">
        <v>0</v>
      </c>
      <c r="J559" s="2">
        <v>1</v>
      </c>
      <c r="K559" s="2">
        <v>1</v>
      </c>
      <c r="L559" s="3" t="s">
        <v>80</v>
      </c>
      <c r="O559" s="4">
        <v>5</v>
      </c>
      <c r="P559" s="4" t="s">
        <v>101</v>
      </c>
      <c r="Q559" s="4" t="s">
        <v>2587</v>
      </c>
      <c r="R559" s="5"/>
      <c r="S559" s="6"/>
      <c r="T559" s="17"/>
      <c r="U559" s="6"/>
      <c r="V559" s="4"/>
      <c r="W559" s="4"/>
      <c r="X559" s="4"/>
      <c r="Y559" s="7">
        <v>4</v>
      </c>
      <c r="Z559" s="8">
        <v>131285</v>
      </c>
      <c r="AA559" s="7" t="s">
        <v>92</v>
      </c>
      <c r="AB559" s="7"/>
      <c r="AC559" s="9">
        <v>4</v>
      </c>
      <c r="AD559" s="10">
        <v>131285</v>
      </c>
      <c r="AE559" s="9" t="s">
        <v>92</v>
      </c>
      <c r="AF559" s="9"/>
      <c r="AG559" s="11">
        <v>4</v>
      </c>
      <c r="AH559" s="11" t="s">
        <v>93</v>
      </c>
      <c r="AI559" s="11"/>
      <c r="AJ559" s="11"/>
      <c r="AK559" s="11"/>
      <c r="AL559" s="12">
        <v>4</v>
      </c>
      <c r="AM559" s="12" t="s">
        <v>93</v>
      </c>
      <c r="AN559" s="12" t="s">
        <v>398</v>
      </c>
      <c r="AO559" s="12"/>
      <c r="AP559" s="12"/>
      <c r="AQ559" s="4">
        <v>4</v>
      </c>
      <c r="AR559" s="4" t="s">
        <v>83</v>
      </c>
      <c r="AS559" s="4"/>
      <c r="AT559" s="13"/>
      <c r="AU559" s="13"/>
      <c r="AV559" s="13"/>
      <c r="AW559" s="13"/>
      <c r="AX559" s="4"/>
      <c r="AY559" s="13"/>
      <c r="AZ559" s="13"/>
      <c r="BA559" s="13"/>
      <c r="BB559" s="13"/>
      <c r="BC559" s="4"/>
      <c r="BD559" s="4"/>
      <c r="BE559" s="4"/>
      <c r="BF559" s="13"/>
      <c r="BG559" s="4"/>
      <c r="BH559" s="13"/>
      <c r="BI559" s="13"/>
      <c r="BJ559" s="4"/>
      <c r="BK559" s="14">
        <v>17</v>
      </c>
      <c r="BL559" s="14">
        <v>17</v>
      </c>
      <c r="BM559" s="14">
        <v>17</v>
      </c>
      <c r="BN559" s="3" t="s">
        <v>312</v>
      </c>
      <c r="BO559" s="3" t="s">
        <v>114</v>
      </c>
      <c r="BP559" s="15"/>
      <c r="BQ559" s="15"/>
      <c r="BR559" s="2" t="s">
        <v>409</v>
      </c>
      <c r="BS559" s="2" t="s">
        <v>409</v>
      </c>
      <c r="BT559" s="7" t="s">
        <v>438</v>
      </c>
      <c r="BU559" s="7"/>
      <c r="BV559" s="9" t="s">
        <v>438</v>
      </c>
      <c r="BW559" s="9"/>
    </row>
    <row r="560" spans="1:75" ht="14.25" customHeight="1" x14ac:dyDescent="0.25">
      <c r="A560" s="1">
        <v>111</v>
      </c>
      <c r="B560" s="1" t="s">
        <v>2588</v>
      </c>
      <c r="C560" s="1" t="s">
        <v>2589</v>
      </c>
      <c r="D560" s="1" t="s">
        <v>77</v>
      </c>
      <c r="E560" s="1" t="s">
        <v>390</v>
      </c>
      <c r="F560" s="1" t="s">
        <v>420</v>
      </c>
      <c r="G560" s="1"/>
      <c r="H560" s="2">
        <v>0</v>
      </c>
      <c r="I560" s="2">
        <v>0</v>
      </c>
      <c r="J560" s="2">
        <v>1</v>
      </c>
      <c r="K560" s="2">
        <v>1</v>
      </c>
      <c r="L560" s="3" t="s">
        <v>80</v>
      </c>
      <c r="O560" s="4">
        <v>4</v>
      </c>
      <c r="P560" s="4" t="s">
        <v>101</v>
      </c>
      <c r="Q560" s="4" t="s">
        <v>2590</v>
      </c>
      <c r="R560" s="5"/>
      <c r="S560" s="6"/>
      <c r="T560" s="17"/>
      <c r="U560" s="6"/>
      <c r="V560" s="4"/>
      <c r="W560" s="4"/>
      <c r="X560" s="4"/>
      <c r="Y560" s="7">
        <v>4</v>
      </c>
      <c r="Z560" s="8">
        <v>277049</v>
      </c>
      <c r="AA560" s="7" t="s">
        <v>92</v>
      </c>
      <c r="AB560" s="7"/>
      <c r="AC560" s="9">
        <v>4</v>
      </c>
      <c r="AD560" s="10">
        <v>277049</v>
      </c>
      <c r="AE560" s="9" t="s">
        <v>92</v>
      </c>
      <c r="AF560" s="9"/>
      <c r="AG560" s="11">
        <v>3</v>
      </c>
      <c r="AH560" s="11" t="s">
        <v>93</v>
      </c>
      <c r="AI560" s="11" t="s">
        <v>2591</v>
      </c>
      <c r="AJ560" s="11"/>
      <c r="AK560" s="11"/>
      <c r="AL560" s="12">
        <v>3</v>
      </c>
      <c r="AM560" s="12" t="s">
        <v>93</v>
      </c>
      <c r="AN560" s="12" t="s">
        <v>2592</v>
      </c>
      <c r="AO560" s="12"/>
      <c r="AP560" s="12"/>
      <c r="AQ560" s="4">
        <v>4</v>
      </c>
      <c r="AR560" s="4" t="s">
        <v>83</v>
      </c>
      <c r="AS560" s="4"/>
      <c r="AT560" s="13"/>
      <c r="AU560" s="13"/>
      <c r="AV560" s="13"/>
      <c r="AW560" s="13"/>
      <c r="AX560" s="4"/>
      <c r="AY560" s="13"/>
      <c r="AZ560" s="13"/>
      <c r="BA560" s="13"/>
      <c r="BB560" s="13"/>
      <c r="BC560" s="4"/>
      <c r="BD560" s="4"/>
      <c r="BE560" s="4"/>
      <c r="BF560" s="13"/>
      <c r="BG560" s="4"/>
      <c r="BH560" s="13"/>
      <c r="BI560" s="13"/>
      <c r="BJ560" s="4"/>
      <c r="BK560" s="14">
        <v>15</v>
      </c>
      <c r="BL560" s="14">
        <v>15</v>
      </c>
      <c r="BM560" s="14">
        <v>15</v>
      </c>
      <c r="BN560" s="3" t="s">
        <v>86</v>
      </c>
      <c r="BP560" s="15"/>
      <c r="BQ560" s="15"/>
      <c r="BR560" s="2" t="s">
        <v>409</v>
      </c>
      <c r="BS560" s="2" t="s">
        <v>409</v>
      </c>
      <c r="BT560" s="7" t="s">
        <v>88</v>
      </c>
      <c r="BU560" s="7"/>
      <c r="BV560" s="9" t="s">
        <v>88</v>
      </c>
      <c r="BW560" s="9"/>
    </row>
    <row r="561" spans="1:75" ht="14.25" customHeight="1" x14ac:dyDescent="0.25">
      <c r="A561" s="1">
        <v>112</v>
      </c>
      <c r="B561" s="1" t="s">
        <v>2593</v>
      </c>
      <c r="C561" s="1" t="s">
        <v>2594</v>
      </c>
      <c r="D561" s="1" t="s">
        <v>77</v>
      </c>
      <c r="E561" s="1" t="s">
        <v>390</v>
      </c>
      <c r="F561" s="1" t="s">
        <v>420</v>
      </c>
      <c r="G561" s="1"/>
      <c r="H561" s="2">
        <v>0</v>
      </c>
      <c r="I561" s="2">
        <v>0</v>
      </c>
      <c r="J561" s="2">
        <v>0</v>
      </c>
      <c r="K561" s="2">
        <v>1</v>
      </c>
      <c r="L561" s="3" t="s">
        <v>80</v>
      </c>
      <c r="O561" s="4">
        <v>3</v>
      </c>
      <c r="P561" s="4" t="s">
        <v>81</v>
      </c>
      <c r="Q561" s="4"/>
      <c r="R561" s="5"/>
      <c r="S561" s="6"/>
      <c r="T561" s="17"/>
      <c r="U561" s="6"/>
      <c r="V561" s="4"/>
      <c r="W561" s="4"/>
      <c r="X561" s="4"/>
      <c r="Y561" s="7">
        <v>1</v>
      </c>
      <c r="Z561" s="8">
        <v>6359898</v>
      </c>
      <c r="AA561" s="7" t="s">
        <v>82</v>
      </c>
      <c r="AB561" s="7"/>
      <c r="AC561" s="9">
        <v>1</v>
      </c>
      <c r="AD561" s="10">
        <v>6359898</v>
      </c>
      <c r="AE561" s="9" t="s">
        <v>82</v>
      </c>
      <c r="AF561" s="9"/>
      <c r="AG561" s="11">
        <v>4</v>
      </c>
      <c r="AH561" s="11" t="s">
        <v>83</v>
      </c>
      <c r="AI561" s="11"/>
      <c r="AJ561" s="11"/>
      <c r="AK561" s="11"/>
      <c r="AL561" s="12">
        <v>4</v>
      </c>
      <c r="AM561" s="12" t="s">
        <v>83</v>
      </c>
      <c r="AN561" s="12"/>
      <c r="AO561" s="12"/>
      <c r="AP561" s="12"/>
      <c r="AQ561" s="4">
        <v>4</v>
      </c>
      <c r="AR561" s="4" t="s">
        <v>83</v>
      </c>
      <c r="AS561" s="4" t="s">
        <v>2595</v>
      </c>
      <c r="AT561" s="13"/>
      <c r="AU561" s="13"/>
      <c r="AV561" s="13"/>
      <c r="AW561" s="13"/>
      <c r="AX561" s="4"/>
      <c r="AY561" s="13"/>
      <c r="AZ561" s="13"/>
      <c r="BA561" s="13"/>
      <c r="BB561" s="13"/>
      <c r="BC561" s="4"/>
      <c r="BD561" s="4"/>
      <c r="BE561" s="4"/>
      <c r="BF561" s="13"/>
      <c r="BG561" s="4"/>
      <c r="BH561" s="13"/>
      <c r="BI561" s="13"/>
      <c r="BJ561" s="4"/>
      <c r="BK561" s="14">
        <v>12</v>
      </c>
      <c r="BL561" s="14">
        <v>12</v>
      </c>
      <c r="BM561" s="14">
        <v>12</v>
      </c>
      <c r="BP561" s="15"/>
      <c r="BQ561" s="15"/>
      <c r="BR561" s="2" t="s">
        <v>740</v>
      </c>
      <c r="BS561" s="2" t="s">
        <v>740</v>
      </c>
      <c r="BT561" s="7" t="s">
        <v>98</v>
      </c>
      <c r="BU561" s="7"/>
      <c r="BV561" s="9" t="s">
        <v>98</v>
      </c>
      <c r="BW561" s="9"/>
    </row>
    <row r="562" spans="1:75" ht="14.25" customHeight="1" x14ac:dyDescent="0.25">
      <c r="A562" s="1">
        <v>113</v>
      </c>
      <c r="B562" s="1" t="s">
        <v>2596</v>
      </c>
      <c r="C562" s="1" t="s">
        <v>2597</v>
      </c>
      <c r="D562" s="1" t="s">
        <v>77</v>
      </c>
      <c r="E562" s="1" t="s">
        <v>390</v>
      </c>
      <c r="F562" s="1" t="s">
        <v>420</v>
      </c>
      <c r="G562" s="1"/>
      <c r="H562" s="2">
        <v>0</v>
      </c>
      <c r="I562" s="2">
        <v>0</v>
      </c>
      <c r="J562" s="2">
        <v>0</v>
      </c>
      <c r="K562" s="2">
        <v>1</v>
      </c>
      <c r="L562" s="3" t="s">
        <v>80</v>
      </c>
      <c r="O562" s="4">
        <v>4</v>
      </c>
      <c r="P562" s="4" t="s">
        <v>81</v>
      </c>
      <c r="Q562" s="4"/>
      <c r="R562" s="5"/>
      <c r="S562" s="6"/>
      <c r="T562" s="17"/>
      <c r="U562" s="6"/>
      <c r="V562" s="4"/>
      <c r="W562" s="4"/>
      <c r="X562" s="4"/>
      <c r="Y562" s="7">
        <v>4</v>
      </c>
      <c r="Z562" s="8">
        <v>127441</v>
      </c>
      <c r="AA562" s="7" t="s">
        <v>82</v>
      </c>
      <c r="AB562" s="7"/>
      <c r="AC562" s="9">
        <v>4</v>
      </c>
      <c r="AD562" s="10">
        <v>127441</v>
      </c>
      <c r="AE562" s="9" t="s">
        <v>82</v>
      </c>
      <c r="AF562" s="9"/>
      <c r="AG562" s="11">
        <v>5</v>
      </c>
      <c r="AH562" s="11" t="s">
        <v>83</v>
      </c>
      <c r="AI562" s="11"/>
      <c r="AJ562" s="11"/>
      <c r="AK562" s="11"/>
      <c r="AL562" s="12">
        <v>5</v>
      </c>
      <c r="AM562" s="12" t="s">
        <v>83</v>
      </c>
      <c r="AN562" s="12"/>
      <c r="AO562" s="12"/>
      <c r="AP562" s="12"/>
      <c r="AQ562" s="4">
        <v>5</v>
      </c>
      <c r="AR562" s="4" t="s">
        <v>83</v>
      </c>
      <c r="AS562" s="4" t="s">
        <v>2598</v>
      </c>
      <c r="AT562" s="13"/>
      <c r="AU562" s="13"/>
      <c r="AV562" s="13"/>
      <c r="AW562" s="13"/>
      <c r="AX562" s="4"/>
      <c r="AY562" s="13"/>
      <c r="AZ562" s="13"/>
      <c r="BA562" s="13"/>
      <c r="BB562" s="13"/>
      <c r="BC562" s="4"/>
      <c r="BD562" s="4"/>
      <c r="BE562" s="4"/>
      <c r="BF562" s="13"/>
      <c r="BG562" s="4"/>
      <c r="BH562" s="13"/>
      <c r="BI562" s="13"/>
      <c r="BJ562" s="4"/>
      <c r="BK562" s="14">
        <v>18</v>
      </c>
      <c r="BL562" s="14">
        <v>18</v>
      </c>
      <c r="BM562" s="14">
        <v>18</v>
      </c>
      <c r="BN562" s="3" t="s">
        <v>312</v>
      </c>
      <c r="BO562" s="3" t="s">
        <v>120</v>
      </c>
      <c r="BP562" s="15"/>
      <c r="BQ562" s="15"/>
      <c r="BR562" s="2" t="s">
        <v>115</v>
      </c>
      <c r="BS562" s="2" t="s">
        <v>115</v>
      </c>
      <c r="BT562" s="7" t="s">
        <v>98</v>
      </c>
      <c r="BU562" s="7"/>
      <c r="BV562" s="9" t="s">
        <v>98</v>
      </c>
      <c r="BW562" s="9"/>
    </row>
    <row r="563" spans="1:75" ht="14.25" customHeight="1" x14ac:dyDescent="0.25">
      <c r="A563" s="1">
        <v>114</v>
      </c>
      <c r="B563" s="1" t="s">
        <v>2599</v>
      </c>
      <c r="C563" s="1" t="s">
        <v>2600</v>
      </c>
      <c r="D563" s="1" t="s">
        <v>77</v>
      </c>
      <c r="E563" s="1" t="s">
        <v>390</v>
      </c>
      <c r="F563" s="1" t="s">
        <v>420</v>
      </c>
      <c r="G563" s="1" t="s">
        <v>118</v>
      </c>
      <c r="H563" s="2">
        <v>0</v>
      </c>
      <c r="I563" s="2">
        <v>0</v>
      </c>
      <c r="J563" s="2">
        <v>0</v>
      </c>
      <c r="K563" s="2">
        <v>1</v>
      </c>
      <c r="L563" s="3" t="s">
        <v>80</v>
      </c>
      <c r="O563" s="4">
        <v>5</v>
      </c>
      <c r="P563" s="4" t="s">
        <v>81</v>
      </c>
      <c r="Q563" s="4"/>
      <c r="R563" s="5"/>
      <c r="S563" s="6"/>
      <c r="T563" s="17"/>
      <c r="U563" s="6"/>
      <c r="V563" s="4"/>
      <c r="W563" s="4"/>
      <c r="X563" s="4"/>
      <c r="Y563" s="7">
        <v>5</v>
      </c>
      <c r="Z563" s="8">
        <v>182</v>
      </c>
      <c r="AA563" s="7" t="s">
        <v>82</v>
      </c>
      <c r="AB563" s="7"/>
      <c r="AC563" s="9">
        <v>5</v>
      </c>
      <c r="AD563" s="10">
        <v>182</v>
      </c>
      <c r="AE563" s="9" t="s">
        <v>82</v>
      </c>
      <c r="AF563" s="9"/>
      <c r="AG563" s="11">
        <v>5</v>
      </c>
      <c r="AH563" s="11" t="s">
        <v>83</v>
      </c>
      <c r="AI563" s="11"/>
      <c r="AJ563" s="11"/>
      <c r="AK563" s="11"/>
      <c r="AL563" s="12">
        <v>5</v>
      </c>
      <c r="AM563" s="12" t="s">
        <v>83</v>
      </c>
      <c r="AN563" s="12"/>
      <c r="AO563" s="12"/>
      <c r="AP563" s="12"/>
      <c r="AQ563" s="4">
        <v>5</v>
      </c>
      <c r="AR563" s="4" t="s">
        <v>83</v>
      </c>
      <c r="AS563" s="4"/>
      <c r="AT563" s="13"/>
      <c r="AU563" s="13"/>
      <c r="AV563" s="13"/>
      <c r="AW563" s="13"/>
      <c r="AX563" s="4"/>
      <c r="AY563" s="13"/>
      <c r="AZ563" s="13"/>
      <c r="BA563" s="13"/>
      <c r="BB563" s="13"/>
      <c r="BC563" s="4"/>
      <c r="BD563" s="4"/>
      <c r="BE563" s="4"/>
      <c r="BF563" s="13"/>
      <c r="BG563" s="4"/>
      <c r="BH563" s="13"/>
      <c r="BI563" s="13"/>
      <c r="BJ563" s="4"/>
      <c r="BK563" s="14">
        <v>20</v>
      </c>
      <c r="BL563" s="14">
        <v>20</v>
      </c>
      <c r="BM563" s="14">
        <v>20</v>
      </c>
      <c r="BN563" s="3" t="s">
        <v>312</v>
      </c>
      <c r="BP563" s="15"/>
      <c r="BQ563" s="15"/>
      <c r="BR563" s="2" t="s">
        <v>87</v>
      </c>
      <c r="BS563" s="2" t="s">
        <v>87</v>
      </c>
      <c r="BT563" s="7" t="s">
        <v>88</v>
      </c>
      <c r="BU563" s="7"/>
      <c r="BV563" s="9" t="s">
        <v>88</v>
      </c>
      <c r="BW563" s="9"/>
    </row>
    <row r="564" spans="1:75" ht="14.25" customHeight="1" x14ac:dyDescent="0.25">
      <c r="A564" s="1">
        <v>147</v>
      </c>
      <c r="B564" s="1" t="s">
        <v>2601</v>
      </c>
      <c r="C564" s="1" t="s">
        <v>2602</v>
      </c>
      <c r="D564" s="1" t="s">
        <v>616</v>
      </c>
      <c r="E564" s="1" t="s">
        <v>626</v>
      </c>
      <c r="F564" s="1" t="s">
        <v>627</v>
      </c>
      <c r="G564" s="1"/>
      <c r="H564" s="2">
        <v>1</v>
      </c>
      <c r="I564" s="2">
        <v>1</v>
      </c>
      <c r="J564" s="2">
        <v>1</v>
      </c>
      <c r="K564" s="2">
        <v>0</v>
      </c>
      <c r="L564" s="3" t="s">
        <v>127</v>
      </c>
      <c r="O564" s="4">
        <v>3</v>
      </c>
      <c r="P564" s="4" t="s">
        <v>639</v>
      </c>
      <c r="Q564" s="4" t="s">
        <v>169</v>
      </c>
      <c r="R564" s="16">
        <v>2500000</v>
      </c>
      <c r="S564" s="6">
        <v>2500000</v>
      </c>
      <c r="T564" s="16">
        <v>740000</v>
      </c>
      <c r="U564" s="6">
        <v>740000</v>
      </c>
      <c r="V564" s="4">
        <v>2010.5</v>
      </c>
      <c r="W564" s="4" t="s">
        <v>640</v>
      </c>
      <c r="X564" s="4"/>
      <c r="Y564" s="7">
        <v>1</v>
      </c>
      <c r="Z564" s="8">
        <v>17611357</v>
      </c>
      <c r="AA564" s="7" t="s">
        <v>154</v>
      </c>
      <c r="AB564" s="7"/>
      <c r="AC564" s="9">
        <v>2</v>
      </c>
      <c r="AD564" s="10">
        <v>1399860</v>
      </c>
      <c r="AE564" s="9" t="s">
        <v>155</v>
      </c>
      <c r="AF564" s="9"/>
      <c r="AG564" s="11">
        <v>4</v>
      </c>
      <c r="AH564" s="11" t="s">
        <v>630</v>
      </c>
      <c r="AI564" s="11" t="s">
        <v>641</v>
      </c>
      <c r="AJ564" s="11">
        <v>4</v>
      </c>
      <c r="AK564" s="11" t="s">
        <v>132</v>
      </c>
      <c r="AL564" s="12">
        <v>3</v>
      </c>
      <c r="AM564" s="12" t="s">
        <v>630</v>
      </c>
      <c r="AN564" s="12" t="s">
        <v>2603</v>
      </c>
      <c r="AO564" s="12">
        <v>2</v>
      </c>
      <c r="AP564" s="12" t="s">
        <v>132</v>
      </c>
      <c r="AQ564" s="4">
        <v>1</v>
      </c>
      <c r="AR564" s="4" t="s">
        <v>133</v>
      </c>
      <c r="AS564" s="4"/>
      <c r="AT564" s="13">
        <v>78.739616394042997</v>
      </c>
      <c r="AU564" s="13">
        <v>1.1452790498733501</v>
      </c>
      <c r="AV564" s="13">
        <v>-0.63700002431869496</v>
      </c>
      <c r="AW564" s="13">
        <v>3.2999999523162802</v>
      </c>
      <c r="AX564" s="4"/>
      <c r="AY564" s="13">
        <v>20.632080078125</v>
      </c>
      <c r="AZ564" s="13">
        <v>1.1091593503952</v>
      </c>
      <c r="BA564" s="13">
        <v>-2.9300000667571999</v>
      </c>
      <c r="BB564" s="13">
        <v>4.7060971260070801</v>
      </c>
      <c r="BC564" s="4"/>
      <c r="BD564" s="4">
        <v>17</v>
      </c>
      <c r="BE564" s="4" t="s">
        <v>134</v>
      </c>
      <c r="BF564" s="13">
        <v>3.93700003623962</v>
      </c>
      <c r="BG564" s="4">
        <v>264</v>
      </c>
      <c r="BH564" s="13">
        <v>0.59350001811981201</v>
      </c>
      <c r="BI564" s="13">
        <v>156.45050048828099</v>
      </c>
      <c r="BJ564" s="4"/>
      <c r="BK564" s="14">
        <v>9</v>
      </c>
      <c r="BL564" s="14">
        <v>9</v>
      </c>
      <c r="BM564" s="14">
        <v>9</v>
      </c>
      <c r="BP564" s="15"/>
      <c r="BQ564" s="15"/>
      <c r="BR564" s="2" t="s">
        <v>211</v>
      </c>
      <c r="BS564" s="2" t="s">
        <v>172</v>
      </c>
      <c r="BT564" s="7" t="s">
        <v>212</v>
      </c>
      <c r="BU564" s="7"/>
      <c r="BV564" s="9" t="s">
        <v>163</v>
      </c>
      <c r="BW564" s="9" t="s">
        <v>212</v>
      </c>
    </row>
    <row r="565" spans="1:75" ht="14.25" customHeight="1" x14ac:dyDescent="0.25">
      <c r="A565" s="1">
        <v>148</v>
      </c>
      <c r="B565" s="1" t="s">
        <v>2604</v>
      </c>
      <c r="C565" s="1" t="s">
        <v>2605</v>
      </c>
      <c r="D565" s="1" t="s">
        <v>616</v>
      </c>
      <c r="E565" s="1" t="s">
        <v>626</v>
      </c>
      <c r="F565" s="1" t="s">
        <v>627</v>
      </c>
      <c r="G565" s="1"/>
      <c r="H565" s="2">
        <v>1</v>
      </c>
      <c r="I565" s="2">
        <v>1</v>
      </c>
      <c r="J565" s="2">
        <v>1</v>
      </c>
      <c r="K565" s="2">
        <v>1</v>
      </c>
      <c r="L565" s="3" t="s">
        <v>127</v>
      </c>
      <c r="O565" s="4">
        <v>3</v>
      </c>
      <c r="P565" s="4" t="s">
        <v>1386</v>
      </c>
      <c r="Q565" s="4" t="s">
        <v>169</v>
      </c>
      <c r="R565" s="16">
        <v>3100000</v>
      </c>
      <c r="S565" s="6">
        <v>3100000</v>
      </c>
      <c r="T565" s="16">
        <v>2000000</v>
      </c>
      <c r="U565" s="6">
        <v>2000000</v>
      </c>
      <c r="V565" s="4">
        <v>2010.5</v>
      </c>
      <c r="W565" s="4" t="s">
        <v>425</v>
      </c>
      <c r="X565" s="4"/>
      <c r="Y565" s="7">
        <v>1</v>
      </c>
      <c r="Z565" s="8">
        <v>16435772</v>
      </c>
      <c r="AA565" s="7" t="s">
        <v>283</v>
      </c>
      <c r="AB565" s="7"/>
      <c r="AC565" s="9">
        <v>1</v>
      </c>
      <c r="AD565" s="10">
        <v>9485986</v>
      </c>
      <c r="AE565" s="9" t="s">
        <v>283</v>
      </c>
      <c r="AF565" s="9"/>
      <c r="AG565" s="11">
        <v>3</v>
      </c>
      <c r="AH565" s="11" t="s">
        <v>630</v>
      </c>
      <c r="AI565" s="11" t="s">
        <v>2606</v>
      </c>
      <c r="AJ565" s="11">
        <v>4</v>
      </c>
      <c r="AK565" s="11" t="s">
        <v>332</v>
      </c>
      <c r="AL565" s="12">
        <v>3</v>
      </c>
      <c r="AM565" s="12" t="s">
        <v>630</v>
      </c>
      <c r="AN565" s="12" t="s">
        <v>2607</v>
      </c>
      <c r="AO565" s="12">
        <v>2</v>
      </c>
      <c r="AP565" s="12" t="s">
        <v>132</v>
      </c>
      <c r="AQ565" s="4">
        <v>1</v>
      </c>
      <c r="AR565" s="4" t="s">
        <v>133</v>
      </c>
      <c r="AS565" s="4"/>
      <c r="AT565" s="13">
        <v>113.93938446044901</v>
      </c>
      <c r="AU565" s="13">
        <v>1.50359642505646</v>
      </c>
      <c r="AV565" s="13">
        <v>-0.38600000739097601</v>
      </c>
      <c r="AW565" s="13">
        <v>3.2400000095367401</v>
      </c>
      <c r="AX565" s="4"/>
      <c r="AY565" s="13">
        <v>86.110946655273395</v>
      </c>
      <c r="AZ565" s="13">
        <v>4.2282533645629901</v>
      </c>
      <c r="BA565" s="13">
        <v>-0.18400000035762801</v>
      </c>
      <c r="BB565" s="13">
        <v>9.6359014511108398</v>
      </c>
      <c r="BC565" s="4"/>
      <c r="BD565" s="4">
        <v>15</v>
      </c>
      <c r="BE565" s="4" t="s">
        <v>134</v>
      </c>
      <c r="BF565" s="13">
        <v>3.6259999275207502</v>
      </c>
      <c r="BG565" s="4">
        <v>350</v>
      </c>
      <c r="BH565" s="13">
        <v>1.4700000286102299</v>
      </c>
      <c r="BI565" s="13">
        <v>514.5</v>
      </c>
      <c r="BJ565" s="4"/>
      <c r="BK565" s="14">
        <v>8</v>
      </c>
      <c r="BL565" s="14">
        <v>8</v>
      </c>
      <c r="BM565" s="14">
        <v>8</v>
      </c>
      <c r="BP565" s="15"/>
      <c r="BQ565" s="15"/>
      <c r="BR565" s="2" t="s">
        <v>555</v>
      </c>
      <c r="BS565" s="2" t="s">
        <v>297</v>
      </c>
      <c r="BT565" s="7" t="s">
        <v>147</v>
      </c>
      <c r="BU565" s="7"/>
      <c r="BV565" s="9" t="s">
        <v>163</v>
      </c>
      <c r="BW565" s="9" t="s">
        <v>212</v>
      </c>
    </row>
    <row r="566" spans="1:75" ht="14.25" customHeight="1" x14ac:dyDescent="0.25">
      <c r="A566" s="1">
        <v>149</v>
      </c>
      <c r="B566" s="1" t="s">
        <v>2608</v>
      </c>
      <c r="C566" s="1" t="s">
        <v>2609</v>
      </c>
      <c r="D566" s="1" t="s">
        <v>616</v>
      </c>
      <c r="E566" s="1" t="s">
        <v>626</v>
      </c>
      <c r="F566" s="1" t="s">
        <v>627</v>
      </c>
      <c r="G566" s="1"/>
      <c r="H566" s="2">
        <v>1</v>
      </c>
      <c r="I566" s="2">
        <v>1</v>
      </c>
      <c r="J566" s="2">
        <v>1</v>
      </c>
      <c r="K566" s="2">
        <v>0</v>
      </c>
      <c r="L566" s="3" t="s">
        <v>127</v>
      </c>
      <c r="O566" s="4">
        <v>3</v>
      </c>
      <c r="P566" s="4" t="s">
        <v>635</v>
      </c>
      <c r="Q566" s="4" t="s">
        <v>169</v>
      </c>
      <c r="R566" s="16">
        <v>1000000</v>
      </c>
      <c r="S566" s="6">
        <v>1000000</v>
      </c>
      <c r="T566" s="16">
        <v>990000</v>
      </c>
      <c r="U566" s="6">
        <v>990000</v>
      </c>
      <c r="V566" s="4">
        <v>2010.5</v>
      </c>
      <c r="W566" s="4" t="s">
        <v>425</v>
      </c>
      <c r="X566" s="4"/>
      <c r="Y566" s="7">
        <v>1</v>
      </c>
      <c r="Z566" s="8">
        <v>4842206</v>
      </c>
      <c r="AA566" s="7" t="s">
        <v>130</v>
      </c>
      <c r="AB566" s="7"/>
      <c r="AC566" s="9">
        <v>2</v>
      </c>
      <c r="AD566" s="10">
        <v>1034087</v>
      </c>
      <c r="AE566" s="9" t="s">
        <v>130</v>
      </c>
      <c r="AF566" s="9"/>
      <c r="AG566" s="11">
        <v>3</v>
      </c>
      <c r="AH566" s="11" t="s">
        <v>630</v>
      </c>
      <c r="AI566" s="11" t="s">
        <v>2610</v>
      </c>
      <c r="AJ566" s="11">
        <v>3</v>
      </c>
      <c r="AK566" s="11" t="s">
        <v>143</v>
      </c>
      <c r="AL566" s="12">
        <v>3</v>
      </c>
      <c r="AM566" s="12" t="s">
        <v>630</v>
      </c>
      <c r="AN566" s="12"/>
      <c r="AO566" s="12">
        <v>3</v>
      </c>
      <c r="AP566" s="12" t="s">
        <v>143</v>
      </c>
      <c r="AQ566" s="4">
        <v>4</v>
      </c>
      <c r="AR566" s="4" t="s">
        <v>2611</v>
      </c>
      <c r="AS566" s="4"/>
      <c r="AT566" s="13">
        <v>-10.5</v>
      </c>
      <c r="AU566" s="13">
        <v>-0.356000006198883</v>
      </c>
      <c r="AV566" s="13">
        <v>-1.91999995708466</v>
      </c>
      <c r="AW566" s="13">
        <v>1.28999996185303</v>
      </c>
      <c r="AX566" s="4"/>
      <c r="AY566" s="13">
        <v>-33.799999237060497</v>
      </c>
      <c r="AZ566" s="13">
        <v>-2.5499999523162802</v>
      </c>
      <c r="BA566" s="13">
        <v>-5.3000001907348597</v>
      </c>
      <c r="BB566" s="13">
        <v>0.71399998664856001</v>
      </c>
      <c r="BC566" s="4"/>
      <c r="BD566" s="4">
        <v>16</v>
      </c>
      <c r="BE566" s="4"/>
      <c r="BF566" s="13">
        <v>3.21000003814697</v>
      </c>
      <c r="BG566" s="4">
        <v>214</v>
      </c>
      <c r="BH566" s="13">
        <v>134.60600280761699</v>
      </c>
      <c r="BI566" s="13">
        <v>28805.68359375</v>
      </c>
      <c r="BJ566" s="4"/>
      <c r="BK566" s="14">
        <v>11</v>
      </c>
      <c r="BL566" s="14">
        <v>12</v>
      </c>
      <c r="BM566" s="14">
        <v>12</v>
      </c>
      <c r="BN566" s="3" t="s">
        <v>917</v>
      </c>
      <c r="BP566" s="15"/>
      <c r="BQ566" s="15"/>
      <c r="BR566" s="2" t="s">
        <v>256</v>
      </c>
      <c r="BS566" s="2" t="s">
        <v>256</v>
      </c>
      <c r="BT566" s="7" t="s">
        <v>147</v>
      </c>
      <c r="BU566" s="7"/>
      <c r="BV566" s="9" t="s">
        <v>163</v>
      </c>
      <c r="BW566" s="9" t="s">
        <v>212</v>
      </c>
    </row>
    <row r="567" spans="1:75" ht="14.25" customHeight="1" x14ac:dyDescent="0.25">
      <c r="A567" s="1">
        <v>150</v>
      </c>
      <c r="B567" s="1" t="s">
        <v>2612</v>
      </c>
      <c r="C567" s="1" t="s">
        <v>2613</v>
      </c>
      <c r="D567" s="1" t="s">
        <v>616</v>
      </c>
      <c r="E567" s="1" t="s">
        <v>626</v>
      </c>
      <c r="F567" s="1" t="s">
        <v>627</v>
      </c>
      <c r="G567" s="1"/>
      <c r="H567" s="2">
        <v>1</v>
      </c>
      <c r="I567" s="2">
        <v>1</v>
      </c>
      <c r="J567" s="2">
        <v>1</v>
      </c>
      <c r="K567" s="2">
        <v>0</v>
      </c>
      <c r="L567" s="3" t="s">
        <v>127</v>
      </c>
      <c r="O567" s="4">
        <v>4</v>
      </c>
      <c r="P567" s="4" t="s">
        <v>1031</v>
      </c>
      <c r="Q567" s="4" t="s">
        <v>169</v>
      </c>
      <c r="R567" s="16">
        <v>81000</v>
      </c>
      <c r="S567" s="6">
        <v>81000</v>
      </c>
      <c r="T567" s="16">
        <v>72000</v>
      </c>
      <c r="U567" s="6">
        <v>72000</v>
      </c>
      <c r="V567" s="4">
        <v>2010.5</v>
      </c>
      <c r="W567" s="4" t="s">
        <v>640</v>
      </c>
      <c r="X567" s="4"/>
      <c r="Y567" s="7">
        <v>2</v>
      </c>
      <c r="Z567" s="8">
        <v>2111927</v>
      </c>
      <c r="AA567" s="7" t="s">
        <v>130</v>
      </c>
      <c r="AB567" s="7"/>
      <c r="AC567" s="9">
        <v>2</v>
      </c>
      <c r="AD567" s="10">
        <v>1264657</v>
      </c>
      <c r="AE567" s="9" t="s">
        <v>130</v>
      </c>
      <c r="AF567" s="9"/>
      <c r="AG567" s="11">
        <v>3</v>
      </c>
      <c r="AH567" s="11" t="s">
        <v>630</v>
      </c>
      <c r="AI567" s="11" t="s">
        <v>2614</v>
      </c>
      <c r="AJ567" s="11">
        <v>2</v>
      </c>
      <c r="AK567" s="11" t="s">
        <v>332</v>
      </c>
      <c r="AL567" s="12">
        <v>3</v>
      </c>
      <c r="AM567" s="12" t="s">
        <v>630</v>
      </c>
      <c r="AN567" s="12"/>
      <c r="AO567" s="12">
        <v>3</v>
      </c>
      <c r="AP567" s="12" t="s">
        <v>143</v>
      </c>
      <c r="AQ567" s="4">
        <v>2</v>
      </c>
      <c r="AR567" s="4" t="s">
        <v>2611</v>
      </c>
      <c r="AS567" s="4"/>
      <c r="AT567" s="13">
        <v>45.700000762939503</v>
      </c>
      <c r="AU567" s="13">
        <v>1.2200000286102299</v>
      </c>
      <c r="AV567" s="13">
        <v>-1.3600000143051101</v>
      </c>
      <c r="AW567" s="13">
        <v>4.0199999809265101</v>
      </c>
      <c r="AX567" s="4"/>
      <c r="AY567" s="13">
        <v>-23.899999618530298</v>
      </c>
      <c r="AZ567" s="13">
        <v>-1.9299999475479099</v>
      </c>
      <c r="BA567" s="13">
        <v>-7.8299999237060502</v>
      </c>
      <c r="BB567" s="13">
        <v>3.8399999141693102</v>
      </c>
      <c r="BC567" s="4"/>
      <c r="BD567" s="4">
        <v>14</v>
      </c>
      <c r="BE567" s="4"/>
      <c r="BF567" s="13">
        <v>5.3800001144409197</v>
      </c>
      <c r="BG567" s="4">
        <v>37</v>
      </c>
      <c r="BH567" s="13">
        <v>7.6220002174377397</v>
      </c>
      <c r="BI567" s="13">
        <v>282.01400756835898</v>
      </c>
      <c r="BJ567" s="4"/>
      <c r="BK567" s="14">
        <v>11</v>
      </c>
      <c r="BL567" s="14">
        <v>11</v>
      </c>
      <c r="BM567" s="14">
        <v>11</v>
      </c>
      <c r="BN567" s="3" t="s">
        <v>917</v>
      </c>
      <c r="BP567" s="15"/>
      <c r="BQ567" s="15"/>
      <c r="BR567" s="2" t="s">
        <v>256</v>
      </c>
      <c r="BS567" s="2" t="s">
        <v>256</v>
      </c>
      <c r="BT567" s="7" t="s">
        <v>147</v>
      </c>
      <c r="BU567" s="7"/>
      <c r="BV567" s="9" t="s">
        <v>163</v>
      </c>
      <c r="BW567" s="9" t="s">
        <v>212</v>
      </c>
    </row>
    <row r="568" spans="1:75" ht="14.25" customHeight="1" x14ac:dyDescent="0.25">
      <c r="A568" s="1">
        <v>152</v>
      </c>
      <c r="B568" s="1" t="s">
        <v>2615</v>
      </c>
      <c r="C568" s="1" t="s">
        <v>2616</v>
      </c>
      <c r="D568" s="1" t="s">
        <v>77</v>
      </c>
      <c r="E568" s="1" t="s">
        <v>645</v>
      </c>
      <c r="F568" s="1" t="s">
        <v>646</v>
      </c>
      <c r="G568" s="1"/>
      <c r="H568" s="2">
        <v>1</v>
      </c>
      <c r="I568" s="2">
        <v>1</v>
      </c>
      <c r="J568" s="2">
        <v>1</v>
      </c>
      <c r="K568" s="2">
        <v>1</v>
      </c>
      <c r="L568" s="3" t="s">
        <v>80</v>
      </c>
      <c r="M568" s="3">
        <v>1</v>
      </c>
      <c r="O568" s="4">
        <v>1</v>
      </c>
      <c r="P568" s="4" t="s">
        <v>1856</v>
      </c>
      <c r="Q568" s="4"/>
      <c r="R568" s="16">
        <v>140000000</v>
      </c>
      <c r="S568" s="6">
        <v>140000000</v>
      </c>
      <c r="T568" s="16">
        <v>16000000</v>
      </c>
      <c r="U568" s="6">
        <v>16000000</v>
      </c>
      <c r="V568" s="4">
        <v>2010.5</v>
      </c>
      <c r="W568" s="4" t="s">
        <v>425</v>
      </c>
      <c r="X568" s="4"/>
      <c r="Y568" s="7">
        <v>1</v>
      </c>
      <c r="Z568" s="8">
        <v>100948003</v>
      </c>
      <c r="AA568" s="7" t="s">
        <v>92</v>
      </c>
      <c r="AB568" s="7"/>
      <c r="AC568" s="9">
        <v>1</v>
      </c>
      <c r="AD568" s="10">
        <v>100948003</v>
      </c>
      <c r="AE568" s="9" t="s">
        <v>815</v>
      </c>
      <c r="AF568" s="9"/>
      <c r="AG568" s="11">
        <v>2</v>
      </c>
      <c r="AH568" s="11" t="s">
        <v>2617</v>
      </c>
      <c r="AI568" s="11"/>
      <c r="AJ568" s="11">
        <v>2</v>
      </c>
      <c r="AK568" s="11" t="s">
        <v>132</v>
      </c>
      <c r="AL568" s="12">
        <v>2</v>
      </c>
      <c r="AM568" s="12" t="s">
        <v>2617</v>
      </c>
      <c r="AN568" s="12"/>
      <c r="AO568" s="12">
        <v>2</v>
      </c>
      <c r="AP568" s="12" t="s">
        <v>132</v>
      </c>
      <c r="AQ568" s="4">
        <v>3</v>
      </c>
      <c r="AR568" s="4" t="s">
        <v>133</v>
      </c>
      <c r="AS568" s="4"/>
      <c r="AT568" s="13">
        <v>-25.879768371581999</v>
      </c>
      <c r="AU568" s="13">
        <v>-0.58547717332839999</v>
      </c>
      <c r="AV568" s="13">
        <v>-1.3336000442504901</v>
      </c>
      <c r="AW568" s="13">
        <v>0.30000001192092901</v>
      </c>
      <c r="AX568" s="4"/>
      <c r="AY568" s="13">
        <v>-1.56933677196503</v>
      </c>
      <c r="AZ568" s="13">
        <v>-0.131720095872879</v>
      </c>
      <c r="BA568" s="13">
        <v>-0.97320097684860196</v>
      </c>
      <c r="BB568" s="13">
        <v>0.96899998188018799</v>
      </c>
      <c r="BC568" s="4"/>
      <c r="BD568" s="4">
        <v>12</v>
      </c>
      <c r="BE568" s="4" t="s">
        <v>134</v>
      </c>
      <c r="BF568" s="13">
        <v>1.63359999656677</v>
      </c>
      <c r="BG568" s="4">
        <v>3581</v>
      </c>
      <c r="BH568" s="13">
        <v>7.2750000953674299</v>
      </c>
      <c r="BI568" s="13">
        <v>26035.724609375</v>
      </c>
      <c r="BJ568" s="4"/>
      <c r="BK568" s="14">
        <v>7</v>
      </c>
      <c r="BL568" s="14">
        <v>7</v>
      </c>
      <c r="BM568" s="14">
        <v>7</v>
      </c>
      <c r="BP568" s="15" t="s">
        <v>135</v>
      </c>
      <c r="BQ568" s="15" t="s">
        <v>146</v>
      </c>
      <c r="BR568" s="2" t="s">
        <v>12</v>
      </c>
      <c r="BS568" s="2" t="s">
        <v>12</v>
      </c>
      <c r="BT568" s="7" t="s">
        <v>603</v>
      </c>
      <c r="BU568" s="7"/>
      <c r="BV568" s="9" t="s">
        <v>603</v>
      </c>
      <c r="BW568" s="9"/>
    </row>
    <row r="569" spans="1:75" ht="14.25" customHeight="1" x14ac:dyDescent="0.25">
      <c r="A569" s="1">
        <v>154</v>
      </c>
      <c r="B569" s="1" t="s">
        <v>2618</v>
      </c>
      <c r="C569" s="1" t="s">
        <v>2619</v>
      </c>
      <c r="D569" s="1" t="s">
        <v>77</v>
      </c>
      <c r="E569" s="1" t="s">
        <v>645</v>
      </c>
      <c r="F569" s="1" t="s">
        <v>646</v>
      </c>
      <c r="G569" s="1"/>
      <c r="H569" s="2">
        <v>0</v>
      </c>
      <c r="I569" s="2">
        <v>0</v>
      </c>
      <c r="J569" s="2">
        <v>1</v>
      </c>
      <c r="K569" s="2">
        <v>1</v>
      </c>
      <c r="L569" s="3" t="s">
        <v>80</v>
      </c>
      <c r="O569" s="4">
        <v>2</v>
      </c>
      <c r="P569" s="4" t="s">
        <v>112</v>
      </c>
      <c r="Q569" s="4"/>
      <c r="R569" s="5"/>
      <c r="S569" s="6"/>
      <c r="T569" s="17"/>
      <c r="U569" s="6"/>
      <c r="V569" s="4"/>
      <c r="W569" s="4"/>
      <c r="X569" s="4"/>
      <c r="Y569" s="7">
        <v>1</v>
      </c>
      <c r="Z569" s="8">
        <v>13554238</v>
      </c>
      <c r="AA569" s="7" t="s">
        <v>92</v>
      </c>
      <c r="AB569" s="7"/>
      <c r="AC569" s="9">
        <v>1</v>
      </c>
      <c r="AD569" s="10">
        <v>13554238</v>
      </c>
      <c r="AE569" s="9" t="s">
        <v>92</v>
      </c>
      <c r="AF569" s="9"/>
      <c r="AG569" s="11">
        <v>3</v>
      </c>
      <c r="AH569" s="11" t="s">
        <v>93</v>
      </c>
      <c r="AI569" s="11"/>
      <c r="AJ569" s="11"/>
      <c r="AK569" s="11"/>
      <c r="AL569" s="12">
        <v>3</v>
      </c>
      <c r="AM569" s="12" t="s">
        <v>93</v>
      </c>
      <c r="AN569" s="12" t="s">
        <v>1879</v>
      </c>
      <c r="AO569" s="12"/>
      <c r="AP569" s="12"/>
      <c r="AQ569" s="4">
        <v>3</v>
      </c>
      <c r="AR569" s="4" t="s">
        <v>83</v>
      </c>
      <c r="AS569" s="4"/>
      <c r="AT569" s="13"/>
      <c r="AU569" s="13"/>
      <c r="AV569" s="13"/>
      <c r="AW569" s="13"/>
      <c r="AX569" s="4"/>
      <c r="AY569" s="13"/>
      <c r="AZ569" s="13"/>
      <c r="BA569" s="13"/>
      <c r="BB569" s="13"/>
      <c r="BC569" s="4"/>
      <c r="BD569" s="4"/>
      <c r="BE569" s="4"/>
      <c r="BF569" s="13"/>
      <c r="BG569" s="4"/>
      <c r="BH569" s="13"/>
      <c r="BI569" s="13"/>
      <c r="BJ569" s="4"/>
      <c r="BK569" s="14">
        <v>9</v>
      </c>
      <c r="BL569" s="14">
        <v>9</v>
      </c>
      <c r="BM569" s="14">
        <v>9</v>
      </c>
      <c r="BP569" s="15"/>
      <c r="BQ569" s="15"/>
      <c r="BR569" s="2" t="s">
        <v>97</v>
      </c>
      <c r="BS569" s="2" t="s">
        <v>97</v>
      </c>
      <c r="BT569" s="7" t="s">
        <v>98</v>
      </c>
      <c r="BU569" s="7"/>
      <c r="BV569" s="9" t="s">
        <v>98</v>
      </c>
      <c r="BW569" s="9"/>
    </row>
    <row r="570" spans="1:75" ht="14.25" customHeight="1" x14ac:dyDescent="0.25">
      <c r="A570" s="1">
        <v>155</v>
      </c>
      <c r="B570" s="1" t="s">
        <v>2620</v>
      </c>
      <c r="C570" s="1" t="s">
        <v>2621</v>
      </c>
      <c r="D570" s="1" t="s">
        <v>77</v>
      </c>
      <c r="E570" s="1" t="s">
        <v>645</v>
      </c>
      <c r="F570" s="1" t="s">
        <v>646</v>
      </c>
      <c r="G570" s="1" t="s">
        <v>118</v>
      </c>
      <c r="H570" s="2">
        <v>0</v>
      </c>
      <c r="I570" s="2">
        <v>0</v>
      </c>
      <c r="J570" s="2">
        <v>1</v>
      </c>
      <c r="K570" s="2">
        <v>1</v>
      </c>
      <c r="L570" s="3" t="s">
        <v>80</v>
      </c>
      <c r="O570" s="4">
        <v>3</v>
      </c>
      <c r="P570" s="4" t="s">
        <v>112</v>
      </c>
      <c r="Q570" s="4"/>
      <c r="R570" s="5"/>
      <c r="S570" s="6"/>
      <c r="T570" s="17"/>
      <c r="U570" s="6"/>
      <c r="V570" s="4"/>
      <c r="W570" s="4"/>
      <c r="X570" s="4"/>
      <c r="Y570" s="7">
        <v>1</v>
      </c>
      <c r="Z570" s="8">
        <v>9744306</v>
      </c>
      <c r="AA570" s="7" t="s">
        <v>92</v>
      </c>
      <c r="AB570" s="7"/>
      <c r="AC570" s="9">
        <v>1</v>
      </c>
      <c r="AD570" s="10">
        <v>9744306</v>
      </c>
      <c r="AE570" s="9" t="s">
        <v>92</v>
      </c>
      <c r="AF570" s="9"/>
      <c r="AG570" s="11">
        <v>3</v>
      </c>
      <c r="AH570" s="11" t="s">
        <v>93</v>
      </c>
      <c r="AI570" s="11"/>
      <c r="AJ570" s="11"/>
      <c r="AK570" s="11"/>
      <c r="AL570" s="12">
        <v>3</v>
      </c>
      <c r="AM570" s="12" t="s">
        <v>93</v>
      </c>
      <c r="AN570" s="12" t="s">
        <v>1879</v>
      </c>
      <c r="AO570" s="12"/>
      <c r="AP570" s="12"/>
      <c r="AQ570" s="4">
        <v>4</v>
      </c>
      <c r="AR570" s="4" t="s">
        <v>83</v>
      </c>
      <c r="AS570" s="4"/>
      <c r="AT570" s="13"/>
      <c r="AU570" s="13"/>
      <c r="AV570" s="13"/>
      <c r="AW570" s="13"/>
      <c r="AX570" s="4"/>
      <c r="AY570" s="13"/>
      <c r="AZ570" s="13"/>
      <c r="BA570" s="13"/>
      <c r="BB570" s="13"/>
      <c r="BC570" s="4"/>
      <c r="BD570" s="4"/>
      <c r="BE570" s="4"/>
      <c r="BF570" s="13"/>
      <c r="BG570" s="4"/>
      <c r="BH570" s="13"/>
      <c r="BI570" s="13"/>
      <c r="BJ570" s="4"/>
      <c r="BK570" s="14">
        <v>11</v>
      </c>
      <c r="BL570" s="14">
        <v>11</v>
      </c>
      <c r="BM570" s="14">
        <v>11</v>
      </c>
      <c r="BP570" s="15"/>
      <c r="BQ570" s="15"/>
      <c r="BR570" s="2" t="s">
        <v>97</v>
      </c>
      <c r="BS570" s="2" t="s">
        <v>97</v>
      </c>
      <c r="BT570" s="7" t="s">
        <v>98</v>
      </c>
      <c r="BU570" s="7"/>
      <c r="BV570" s="9" t="s">
        <v>98</v>
      </c>
      <c r="BW570" s="9"/>
    </row>
    <row r="571" spans="1:75" ht="14.25" customHeight="1" x14ac:dyDescent="0.25">
      <c r="A571" s="1">
        <v>157</v>
      </c>
      <c r="B571" s="1" t="s">
        <v>2622</v>
      </c>
      <c r="C571" s="1" t="s">
        <v>2623</v>
      </c>
      <c r="D571" s="1" t="s">
        <v>77</v>
      </c>
      <c r="E571" s="1" t="s">
        <v>645</v>
      </c>
      <c r="F571" s="1" t="s">
        <v>646</v>
      </c>
      <c r="G571" s="1" t="s">
        <v>118</v>
      </c>
      <c r="H571" s="2">
        <v>0</v>
      </c>
      <c r="I571" s="2">
        <v>1</v>
      </c>
      <c r="J571" s="2">
        <v>1</v>
      </c>
      <c r="K571" s="2">
        <v>1</v>
      </c>
      <c r="L571" s="3" t="s">
        <v>80</v>
      </c>
      <c r="O571" s="4">
        <v>3</v>
      </c>
      <c r="P571" s="4" t="s">
        <v>2624</v>
      </c>
      <c r="Q571" s="4" t="s">
        <v>2625</v>
      </c>
      <c r="R571" s="16">
        <v>550000</v>
      </c>
      <c r="S571" s="6">
        <v>550000</v>
      </c>
      <c r="T571" s="17" t="s">
        <v>2626</v>
      </c>
      <c r="U571" s="6">
        <v>12000</v>
      </c>
      <c r="V571" s="4"/>
      <c r="W571" s="4" t="s">
        <v>2627</v>
      </c>
      <c r="X571" s="4"/>
      <c r="Y571" s="7">
        <v>4</v>
      </c>
      <c r="Z571" s="8">
        <v>238447</v>
      </c>
      <c r="AA571" s="7" t="s">
        <v>537</v>
      </c>
      <c r="AB571" s="7" t="s">
        <v>788</v>
      </c>
      <c r="AC571" s="9">
        <v>4</v>
      </c>
      <c r="AD571" s="10">
        <v>238447</v>
      </c>
      <c r="AE571" s="9" t="s">
        <v>537</v>
      </c>
      <c r="AF571" s="9" t="s">
        <v>788</v>
      </c>
      <c r="AG571" s="11">
        <v>4</v>
      </c>
      <c r="AH571" s="11" t="s">
        <v>471</v>
      </c>
      <c r="AI571" s="11" t="s">
        <v>2628</v>
      </c>
      <c r="AJ571" s="11">
        <v>4</v>
      </c>
      <c r="AK571" s="11" t="s">
        <v>143</v>
      </c>
      <c r="AL571" s="12">
        <v>4</v>
      </c>
      <c r="AM571" s="12" t="s">
        <v>471</v>
      </c>
      <c r="AN571" s="12" t="s">
        <v>2629</v>
      </c>
      <c r="AO571" s="12">
        <v>2</v>
      </c>
      <c r="AP571" s="12" t="s">
        <v>132</v>
      </c>
      <c r="AQ571" s="4">
        <v>4</v>
      </c>
      <c r="AR571" s="4" t="s">
        <v>2630</v>
      </c>
      <c r="AS571" s="4" t="s">
        <v>2631</v>
      </c>
      <c r="AT571" s="13"/>
      <c r="AU571" s="13"/>
      <c r="AV571" s="13"/>
      <c r="AW571" s="13"/>
      <c r="AX571" s="4"/>
      <c r="AY571" s="13"/>
      <c r="AZ571" s="13"/>
      <c r="BA571" s="13"/>
      <c r="BB571" s="13"/>
      <c r="BC571" s="4"/>
      <c r="BD571" s="4"/>
      <c r="BE571" s="4"/>
      <c r="BF571" s="13"/>
      <c r="BG571" s="4"/>
      <c r="BH571" s="13"/>
      <c r="BI571" s="13"/>
      <c r="BJ571" s="4"/>
      <c r="BK571" s="14">
        <v>15</v>
      </c>
      <c r="BL571" s="14">
        <v>15</v>
      </c>
      <c r="BM571" s="14">
        <v>15</v>
      </c>
      <c r="BN571" s="3" t="s">
        <v>86</v>
      </c>
      <c r="BO571" s="3" t="s">
        <v>120</v>
      </c>
      <c r="BP571" s="15"/>
      <c r="BQ571" s="15"/>
      <c r="BR571" s="2" t="s">
        <v>791</v>
      </c>
      <c r="BS571" s="2" t="s">
        <v>791</v>
      </c>
      <c r="BT571" s="7" t="s">
        <v>623</v>
      </c>
      <c r="BU571" s="7"/>
      <c r="BV571" s="9" t="s">
        <v>623</v>
      </c>
      <c r="BW571" s="9"/>
    </row>
    <row r="572" spans="1:75" ht="14.25" customHeight="1" x14ac:dyDescent="0.25">
      <c r="A572" s="1">
        <v>158</v>
      </c>
      <c r="B572" s="1" t="s">
        <v>2632</v>
      </c>
      <c r="C572" s="1" t="s">
        <v>2633</v>
      </c>
      <c r="D572" s="1" t="s">
        <v>77</v>
      </c>
      <c r="E572" s="1" t="s">
        <v>645</v>
      </c>
      <c r="F572" s="1" t="s">
        <v>646</v>
      </c>
      <c r="G572" s="1"/>
      <c r="H572" s="2">
        <v>0</v>
      </c>
      <c r="I572" s="2">
        <v>1</v>
      </c>
      <c r="J572" s="2">
        <v>1</v>
      </c>
      <c r="K572" s="2">
        <v>1</v>
      </c>
      <c r="L572" s="3" t="s">
        <v>80</v>
      </c>
      <c r="O572" s="4">
        <v>3</v>
      </c>
      <c r="P572" s="4" t="s">
        <v>706</v>
      </c>
      <c r="Q572" s="4"/>
      <c r="R572" s="16">
        <v>2000000</v>
      </c>
      <c r="S572" s="6">
        <v>2000000</v>
      </c>
      <c r="T572" s="17" t="s">
        <v>1869</v>
      </c>
      <c r="U572" s="6">
        <v>500</v>
      </c>
      <c r="V572" s="4"/>
      <c r="W572" s="4" t="s">
        <v>543</v>
      </c>
      <c r="X572" s="4" t="s">
        <v>2634</v>
      </c>
      <c r="Y572" s="7">
        <v>3</v>
      </c>
      <c r="Z572" s="8">
        <v>919510</v>
      </c>
      <c r="AA572" s="7" t="s">
        <v>92</v>
      </c>
      <c r="AB572" s="7"/>
      <c r="AC572" s="9">
        <v>3</v>
      </c>
      <c r="AD572" s="10">
        <v>921172</v>
      </c>
      <c r="AE572" s="9" t="s">
        <v>92</v>
      </c>
      <c r="AF572" s="9" t="s">
        <v>669</v>
      </c>
      <c r="AG572" s="11">
        <v>3</v>
      </c>
      <c r="AH572" s="11" t="s">
        <v>271</v>
      </c>
      <c r="AI572" s="11" t="s">
        <v>2635</v>
      </c>
      <c r="AJ572" s="11"/>
      <c r="AK572" s="11"/>
      <c r="AL572" s="12">
        <v>3</v>
      </c>
      <c r="AM572" s="12" t="s">
        <v>271</v>
      </c>
      <c r="AN572" s="12" t="s">
        <v>2636</v>
      </c>
      <c r="AO572" s="12"/>
      <c r="AP572" s="12"/>
      <c r="AQ572" s="4">
        <v>3</v>
      </c>
      <c r="AR572" s="4" t="s">
        <v>93</v>
      </c>
      <c r="AS572" s="4"/>
      <c r="AT572" s="13"/>
      <c r="AU572" s="13"/>
      <c r="AV572" s="13"/>
      <c r="AW572" s="13"/>
      <c r="AX572" s="4"/>
      <c r="AY572" s="13"/>
      <c r="AZ572" s="13"/>
      <c r="BA572" s="13"/>
      <c r="BB572" s="13"/>
      <c r="BC572" s="4"/>
      <c r="BD572" s="4"/>
      <c r="BE572" s="4"/>
      <c r="BF572" s="13"/>
      <c r="BG572" s="4"/>
      <c r="BH572" s="13"/>
      <c r="BI572" s="13"/>
      <c r="BJ572" s="4"/>
      <c r="BK572" s="14">
        <v>12</v>
      </c>
      <c r="BL572" s="14">
        <v>12</v>
      </c>
      <c r="BM572" s="14">
        <v>12</v>
      </c>
      <c r="BP572" s="15"/>
      <c r="BQ572" s="15"/>
      <c r="BR572" s="2" t="s">
        <v>400</v>
      </c>
      <c r="BS572" s="2" t="s">
        <v>400</v>
      </c>
      <c r="BT572" s="7" t="s">
        <v>109</v>
      </c>
      <c r="BU572" s="7"/>
      <c r="BV572" s="9" t="s">
        <v>109</v>
      </c>
      <c r="BW572" s="9"/>
    </row>
    <row r="573" spans="1:75" ht="14.25" customHeight="1" x14ac:dyDescent="0.25">
      <c r="A573" s="1">
        <v>189</v>
      </c>
      <c r="B573" s="1" t="s">
        <v>2637</v>
      </c>
      <c r="C573" s="1" t="s">
        <v>2638</v>
      </c>
      <c r="D573" s="1" t="s">
        <v>77</v>
      </c>
      <c r="E573" s="1" t="s">
        <v>645</v>
      </c>
      <c r="F573" s="1" t="s">
        <v>646</v>
      </c>
      <c r="G573" s="1"/>
      <c r="H573" s="2">
        <v>0</v>
      </c>
      <c r="I573" s="2">
        <v>0</v>
      </c>
      <c r="J573" s="2">
        <v>1</v>
      </c>
      <c r="K573" s="2">
        <v>1</v>
      </c>
      <c r="L573" s="3" t="s">
        <v>80</v>
      </c>
      <c r="O573" s="4">
        <v>4</v>
      </c>
      <c r="P573" s="4" t="s">
        <v>81</v>
      </c>
      <c r="Q573" s="4" t="s">
        <v>1012</v>
      </c>
      <c r="R573" s="5"/>
      <c r="S573" s="6"/>
      <c r="T573" s="17"/>
      <c r="U573" s="6"/>
      <c r="V573" s="4"/>
      <c r="W573" s="4"/>
      <c r="X573" s="4"/>
      <c r="Y573" s="7">
        <v>4</v>
      </c>
      <c r="Z573" s="8">
        <v>92637</v>
      </c>
      <c r="AA573" s="7" t="s">
        <v>537</v>
      </c>
      <c r="AB573" s="7" t="s">
        <v>2639</v>
      </c>
      <c r="AC573" s="9">
        <v>4</v>
      </c>
      <c r="AD573" s="10">
        <v>92637</v>
      </c>
      <c r="AE573" s="9" t="s">
        <v>92</v>
      </c>
      <c r="AF573" s="9" t="s">
        <v>2640</v>
      </c>
      <c r="AG573" s="11">
        <v>3</v>
      </c>
      <c r="AH573" s="11" t="s">
        <v>93</v>
      </c>
      <c r="AI573" s="11"/>
      <c r="AJ573" s="11"/>
      <c r="AK573" s="11"/>
      <c r="AL573" s="12">
        <v>3</v>
      </c>
      <c r="AM573" s="12" t="s">
        <v>93</v>
      </c>
      <c r="AN573" s="12" t="s">
        <v>698</v>
      </c>
      <c r="AO573" s="12"/>
      <c r="AP573" s="12"/>
      <c r="AQ573" s="4">
        <v>3</v>
      </c>
      <c r="AR573" s="4" t="s">
        <v>83</v>
      </c>
      <c r="AS573" s="4" t="s">
        <v>2641</v>
      </c>
      <c r="AT573" s="13"/>
      <c r="AU573" s="13"/>
      <c r="AV573" s="13"/>
      <c r="AW573" s="13"/>
      <c r="AX573" s="4"/>
      <c r="AY573" s="13"/>
      <c r="AZ573" s="13"/>
      <c r="BA573" s="13"/>
      <c r="BB573" s="13"/>
      <c r="BC573" s="4"/>
      <c r="BD573" s="4"/>
      <c r="BE573" s="4"/>
      <c r="BF573" s="13"/>
      <c r="BG573" s="4"/>
      <c r="BH573" s="13"/>
      <c r="BI573" s="13"/>
      <c r="BJ573" s="4"/>
      <c r="BK573" s="14">
        <v>14</v>
      </c>
      <c r="BL573" s="14">
        <v>14</v>
      </c>
      <c r="BM573" s="14">
        <v>14</v>
      </c>
      <c r="BN573" s="3" t="s">
        <v>86</v>
      </c>
      <c r="BP573" s="15"/>
      <c r="BQ573" s="15"/>
      <c r="BR573" s="2" t="s">
        <v>791</v>
      </c>
      <c r="BS573" s="2" t="s">
        <v>791</v>
      </c>
      <c r="BT573" s="7" t="s">
        <v>109</v>
      </c>
      <c r="BU573" s="7" t="s">
        <v>760</v>
      </c>
      <c r="BV573" s="9" t="s">
        <v>109</v>
      </c>
      <c r="BW573" s="9" t="s">
        <v>760</v>
      </c>
    </row>
    <row r="574" spans="1:75" ht="14.25" customHeight="1" x14ac:dyDescent="0.25">
      <c r="A574" s="1">
        <v>190</v>
      </c>
      <c r="B574" s="1" t="s">
        <v>2642</v>
      </c>
      <c r="C574" s="1" t="s">
        <v>2643</v>
      </c>
      <c r="D574" s="1" t="s">
        <v>77</v>
      </c>
      <c r="E574" s="1" t="s">
        <v>645</v>
      </c>
      <c r="F574" s="1" t="s">
        <v>646</v>
      </c>
      <c r="G574" s="1"/>
      <c r="H574" s="2">
        <v>0</v>
      </c>
      <c r="I574" s="2">
        <v>0</v>
      </c>
      <c r="J574" s="2">
        <v>1</v>
      </c>
      <c r="K574" s="2">
        <v>1</v>
      </c>
      <c r="L574" s="3" t="s">
        <v>80</v>
      </c>
      <c r="O574" s="4">
        <v>4</v>
      </c>
      <c r="P574" s="4" t="s">
        <v>112</v>
      </c>
      <c r="Q574" s="4"/>
      <c r="R574" s="5"/>
      <c r="S574" s="6"/>
      <c r="T574" s="17"/>
      <c r="U574" s="6"/>
      <c r="V574" s="4"/>
      <c r="W574" s="4"/>
      <c r="X574" s="4"/>
      <c r="Y574" s="7">
        <v>3</v>
      </c>
      <c r="Z574" s="8">
        <v>313461</v>
      </c>
      <c r="AA574" s="7" t="s">
        <v>92</v>
      </c>
      <c r="AB574" s="7"/>
      <c r="AC574" s="9">
        <v>3</v>
      </c>
      <c r="AD574" s="10">
        <v>313461</v>
      </c>
      <c r="AE574" s="9" t="s">
        <v>92</v>
      </c>
      <c r="AF574" s="9"/>
      <c r="AG574" s="11">
        <v>3</v>
      </c>
      <c r="AH574" s="11" t="s">
        <v>93</v>
      </c>
      <c r="AI574" s="11" t="s">
        <v>2644</v>
      </c>
      <c r="AJ574" s="11"/>
      <c r="AK574" s="11"/>
      <c r="AL574" s="12">
        <v>3</v>
      </c>
      <c r="AM574" s="12" t="s">
        <v>93</v>
      </c>
      <c r="AN574" s="12" t="s">
        <v>698</v>
      </c>
      <c r="AO574" s="12"/>
      <c r="AP574" s="12"/>
      <c r="AQ574" s="4">
        <v>4</v>
      </c>
      <c r="AR574" s="4" t="s">
        <v>83</v>
      </c>
      <c r="AS574" s="4"/>
      <c r="AT574" s="13"/>
      <c r="AU574" s="13"/>
      <c r="AV574" s="13"/>
      <c r="AW574" s="13"/>
      <c r="AX574" s="4"/>
      <c r="AY574" s="13"/>
      <c r="AZ574" s="13"/>
      <c r="BA574" s="13"/>
      <c r="BB574" s="13"/>
      <c r="BC574" s="4"/>
      <c r="BD574" s="4"/>
      <c r="BE574" s="4"/>
      <c r="BF574" s="13"/>
      <c r="BG574" s="4"/>
      <c r="BH574" s="13"/>
      <c r="BI574" s="13"/>
      <c r="BJ574" s="4"/>
      <c r="BK574" s="14">
        <v>14</v>
      </c>
      <c r="BL574" s="14">
        <v>14</v>
      </c>
      <c r="BM574" s="14">
        <v>14</v>
      </c>
      <c r="BN574" s="3" t="s">
        <v>86</v>
      </c>
      <c r="BP574" s="15"/>
      <c r="BQ574" s="15"/>
      <c r="BR574" s="2" t="s">
        <v>115</v>
      </c>
      <c r="BS574" s="2" t="s">
        <v>115</v>
      </c>
      <c r="BT574" s="7" t="s">
        <v>98</v>
      </c>
      <c r="BU574" s="7"/>
      <c r="BV574" s="9" t="s">
        <v>98</v>
      </c>
      <c r="BW574" s="9"/>
    </row>
    <row r="575" spans="1:75" ht="14.25" customHeight="1" x14ac:dyDescent="0.25">
      <c r="A575" s="1">
        <v>191</v>
      </c>
      <c r="B575" s="1" t="s">
        <v>2645</v>
      </c>
      <c r="C575" s="1" t="s">
        <v>2646</v>
      </c>
      <c r="D575" s="1" t="s">
        <v>77</v>
      </c>
      <c r="E575" s="1" t="s">
        <v>645</v>
      </c>
      <c r="F575" s="1" t="s">
        <v>646</v>
      </c>
      <c r="G575" s="1"/>
      <c r="H575" s="2">
        <v>0</v>
      </c>
      <c r="I575" s="2">
        <v>0</v>
      </c>
      <c r="J575" s="2">
        <v>1</v>
      </c>
      <c r="K575" s="2">
        <v>1</v>
      </c>
      <c r="L575" s="3" t="s">
        <v>80</v>
      </c>
      <c r="O575" s="4">
        <v>4</v>
      </c>
      <c r="P575" s="4" t="s">
        <v>81</v>
      </c>
      <c r="Q575" s="4" t="s">
        <v>2647</v>
      </c>
      <c r="R575" s="5"/>
      <c r="S575" s="6"/>
      <c r="T575" s="17"/>
      <c r="U575" s="6"/>
      <c r="V575" s="4"/>
      <c r="W575" s="4"/>
      <c r="X575" s="4"/>
      <c r="Y575" s="7">
        <v>3</v>
      </c>
      <c r="Z575" s="8">
        <v>362096</v>
      </c>
      <c r="AA575" s="7" t="s">
        <v>92</v>
      </c>
      <c r="AB575" s="7"/>
      <c r="AC575" s="9">
        <v>3</v>
      </c>
      <c r="AD575" s="10">
        <v>362096</v>
      </c>
      <c r="AE575" s="9" t="s">
        <v>92</v>
      </c>
      <c r="AF575" s="9"/>
      <c r="AG575" s="11">
        <v>4</v>
      </c>
      <c r="AH575" s="11" t="s">
        <v>93</v>
      </c>
      <c r="AI575" s="11"/>
      <c r="AJ575" s="11"/>
      <c r="AK575" s="11"/>
      <c r="AL575" s="12">
        <v>4</v>
      </c>
      <c r="AM575" s="12" t="s">
        <v>93</v>
      </c>
      <c r="AN575" s="12" t="s">
        <v>408</v>
      </c>
      <c r="AO575" s="12"/>
      <c r="AP575" s="12"/>
      <c r="AQ575" s="4">
        <v>4</v>
      </c>
      <c r="AR575" s="4" t="s">
        <v>83</v>
      </c>
      <c r="AS575" s="4"/>
      <c r="AT575" s="13"/>
      <c r="AU575" s="13"/>
      <c r="AV575" s="13"/>
      <c r="AW575" s="13"/>
      <c r="AX575" s="4"/>
      <c r="AY575" s="13"/>
      <c r="AZ575" s="13"/>
      <c r="BA575" s="13"/>
      <c r="BB575" s="13"/>
      <c r="BC575" s="4"/>
      <c r="BD575" s="4"/>
      <c r="BE575" s="4"/>
      <c r="BF575" s="13"/>
      <c r="BG575" s="4"/>
      <c r="BH575" s="13"/>
      <c r="BI575" s="13"/>
      <c r="BJ575" s="4"/>
      <c r="BK575" s="14">
        <v>15</v>
      </c>
      <c r="BL575" s="14">
        <v>15</v>
      </c>
      <c r="BM575" s="14">
        <v>15</v>
      </c>
      <c r="BN575" s="3" t="s">
        <v>86</v>
      </c>
      <c r="BP575" s="15"/>
      <c r="BQ575" s="15"/>
      <c r="BR575" s="2" t="s">
        <v>115</v>
      </c>
      <c r="BS575" s="2" t="s">
        <v>115</v>
      </c>
      <c r="BT575" s="7" t="s">
        <v>98</v>
      </c>
      <c r="BU575" s="7"/>
      <c r="BV575" s="9" t="s">
        <v>98</v>
      </c>
      <c r="BW575" s="9"/>
    </row>
    <row r="576" spans="1:75" ht="14.25" customHeight="1" x14ac:dyDescent="0.25">
      <c r="A576" s="1">
        <v>193</v>
      </c>
      <c r="B576" s="1" t="s">
        <v>2648</v>
      </c>
      <c r="C576" s="1" t="s">
        <v>2649</v>
      </c>
      <c r="D576" s="1" t="s">
        <v>77</v>
      </c>
      <c r="E576" s="1" t="s">
        <v>645</v>
      </c>
      <c r="F576" s="1" t="s">
        <v>646</v>
      </c>
      <c r="G576" s="1" t="s">
        <v>118</v>
      </c>
      <c r="H576" s="2">
        <v>0</v>
      </c>
      <c r="I576" s="2">
        <v>0</v>
      </c>
      <c r="J576" s="2">
        <v>1</v>
      </c>
      <c r="K576" s="2">
        <v>0</v>
      </c>
      <c r="L576" s="3" t="s">
        <v>80</v>
      </c>
      <c r="O576" s="4">
        <v>5</v>
      </c>
      <c r="P576" s="4" t="s">
        <v>112</v>
      </c>
      <c r="Q576" s="4"/>
      <c r="R576" s="5"/>
      <c r="S576" s="6"/>
      <c r="T576" s="17"/>
      <c r="U576" s="6"/>
      <c r="V576" s="4"/>
      <c r="W576" s="4"/>
      <c r="X576" s="4"/>
      <c r="Y576" s="7">
        <v>5</v>
      </c>
      <c r="Z576" s="8">
        <v>2775</v>
      </c>
      <c r="AA576" s="7" t="s">
        <v>92</v>
      </c>
      <c r="AB576" s="7"/>
      <c r="AC576" s="9">
        <v>5</v>
      </c>
      <c r="AD576" s="10">
        <v>2775</v>
      </c>
      <c r="AE576" s="9" t="s">
        <v>92</v>
      </c>
      <c r="AF576" s="9"/>
      <c r="AG576" s="11">
        <v>5</v>
      </c>
      <c r="AH576" s="11" t="s">
        <v>93</v>
      </c>
      <c r="AI576" s="11"/>
      <c r="AJ576" s="11"/>
      <c r="AK576" s="11"/>
      <c r="AL576" s="12">
        <v>5</v>
      </c>
      <c r="AM576" s="12" t="s">
        <v>93</v>
      </c>
      <c r="AN576" s="12" t="s">
        <v>2650</v>
      </c>
      <c r="AO576" s="12"/>
      <c r="AP576" s="12"/>
      <c r="AQ576" s="4">
        <v>5</v>
      </c>
      <c r="AR576" s="4" t="s">
        <v>93</v>
      </c>
      <c r="AS576" s="4"/>
      <c r="AT576" s="13"/>
      <c r="AU576" s="13"/>
      <c r="AV576" s="13"/>
      <c r="AW576" s="13"/>
      <c r="AX576" s="4"/>
      <c r="AY576" s="13"/>
      <c r="AZ576" s="13"/>
      <c r="BA576" s="13"/>
      <c r="BB576" s="13"/>
      <c r="BC576" s="4"/>
      <c r="BD576" s="4"/>
      <c r="BE576" s="4"/>
      <c r="BF576" s="13"/>
      <c r="BG576" s="4"/>
      <c r="BH576" s="13"/>
      <c r="BI576" s="13"/>
      <c r="BJ576" s="4"/>
      <c r="BK576" s="14">
        <v>20</v>
      </c>
      <c r="BL576" s="14">
        <v>20</v>
      </c>
      <c r="BM576" s="14">
        <v>20</v>
      </c>
      <c r="BN576" s="3" t="s">
        <v>312</v>
      </c>
      <c r="BO576" s="3" t="s">
        <v>414</v>
      </c>
      <c r="BP576" s="15"/>
      <c r="BQ576" s="15"/>
      <c r="BR576" s="2" t="s">
        <v>115</v>
      </c>
      <c r="BS576" s="2" t="s">
        <v>115</v>
      </c>
      <c r="BT576" s="7" t="s">
        <v>88</v>
      </c>
      <c r="BU576" s="7" t="s">
        <v>98</v>
      </c>
      <c r="BV576" s="9" t="s">
        <v>88</v>
      </c>
      <c r="BW576" s="9" t="s">
        <v>98</v>
      </c>
    </row>
    <row r="577" spans="1:75" ht="14.25" customHeight="1" x14ac:dyDescent="0.25">
      <c r="A577" s="1">
        <v>194</v>
      </c>
      <c r="B577" s="1" t="s">
        <v>2651</v>
      </c>
      <c r="C577" s="1" t="s">
        <v>2652</v>
      </c>
      <c r="D577" s="1" t="s">
        <v>77</v>
      </c>
      <c r="E577" s="1" t="s">
        <v>645</v>
      </c>
      <c r="F577" s="1" t="s">
        <v>646</v>
      </c>
      <c r="G577" s="1"/>
      <c r="H577" s="2">
        <v>0</v>
      </c>
      <c r="I577" s="2">
        <v>0</v>
      </c>
      <c r="J577" s="2">
        <v>0</v>
      </c>
      <c r="K577" s="2">
        <v>1</v>
      </c>
      <c r="L577" s="3" t="s">
        <v>80</v>
      </c>
      <c r="O577" s="4">
        <v>5</v>
      </c>
      <c r="P577" s="4" t="s">
        <v>81</v>
      </c>
      <c r="Q577" s="4"/>
      <c r="R577" s="5"/>
      <c r="S577" s="6"/>
      <c r="T577" s="17"/>
      <c r="U577" s="6"/>
      <c r="V577" s="4"/>
      <c r="W577" s="4"/>
      <c r="X577" s="4"/>
      <c r="Y577" s="7">
        <v>5</v>
      </c>
      <c r="Z577" s="8">
        <v>16588</v>
      </c>
      <c r="AA577" s="7" t="s">
        <v>82</v>
      </c>
      <c r="AB577" s="7"/>
      <c r="AC577" s="9">
        <v>5</v>
      </c>
      <c r="AD577" s="10">
        <v>16588</v>
      </c>
      <c r="AE577" s="9" t="s">
        <v>82</v>
      </c>
      <c r="AF577" s="9"/>
      <c r="AG577" s="11">
        <v>4</v>
      </c>
      <c r="AH577" s="11" t="s">
        <v>83</v>
      </c>
      <c r="AI577" s="11" t="s">
        <v>2653</v>
      </c>
      <c r="AJ577" s="11"/>
      <c r="AK577" s="11"/>
      <c r="AL577" s="12">
        <v>4</v>
      </c>
      <c r="AM577" s="12" t="s">
        <v>83</v>
      </c>
      <c r="AN577" s="12"/>
      <c r="AO577" s="12"/>
      <c r="AP577" s="12"/>
      <c r="AQ577" s="4">
        <v>4</v>
      </c>
      <c r="AR577" s="4" t="s">
        <v>83</v>
      </c>
      <c r="AS577" s="4" t="s">
        <v>2654</v>
      </c>
      <c r="AT577" s="13"/>
      <c r="AU577" s="13"/>
      <c r="AV577" s="13"/>
      <c r="AW577" s="13"/>
      <c r="AX577" s="4"/>
      <c r="AY577" s="13"/>
      <c r="AZ577" s="13"/>
      <c r="BA577" s="13"/>
      <c r="BB577" s="13"/>
      <c r="BC577" s="4"/>
      <c r="BD577" s="4"/>
      <c r="BE577" s="4"/>
      <c r="BF577" s="13"/>
      <c r="BG577" s="4"/>
      <c r="BH577" s="13"/>
      <c r="BI577" s="13"/>
      <c r="BJ577" s="4"/>
      <c r="BK577" s="14">
        <v>18</v>
      </c>
      <c r="BL577" s="14">
        <v>18</v>
      </c>
      <c r="BM577" s="14">
        <v>18</v>
      </c>
      <c r="BN577" s="3" t="s">
        <v>312</v>
      </c>
      <c r="BP577" s="15"/>
      <c r="BQ577" s="15"/>
      <c r="BR577" s="2" t="s">
        <v>87</v>
      </c>
      <c r="BS577" s="2" t="s">
        <v>87</v>
      </c>
      <c r="BT577" s="7" t="s">
        <v>88</v>
      </c>
      <c r="BU577" s="7"/>
      <c r="BV577" s="9" t="s">
        <v>88</v>
      </c>
      <c r="BW577" s="9"/>
    </row>
    <row r="578" spans="1:75" ht="14.25" customHeight="1" x14ac:dyDescent="0.25">
      <c r="A578" s="1">
        <v>195</v>
      </c>
      <c r="B578" s="1" t="s">
        <v>2655</v>
      </c>
      <c r="C578" s="1" t="s">
        <v>2656</v>
      </c>
      <c r="D578" s="1" t="s">
        <v>77</v>
      </c>
      <c r="E578" s="1" t="s">
        <v>645</v>
      </c>
      <c r="F578" s="1" t="s">
        <v>646</v>
      </c>
      <c r="G578" s="1" t="s">
        <v>118</v>
      </c>
      <c r="H578" s="2">
        <v>0</v>
      </c>
      <c r="I578" s="2">
        <v>0</v>
      </c>
      <c r="J578" s="2">
        <v>0</v>
      </c>
      <c r="K578" s="2">
        <v>1</v>
      </c>
      <c r="L578" s="3" t="s">
        <v>80</v>
      </c>
      <c r="O578" s="4">
        <v>5</v>
      </c>
      <c r="P578" s="4" t="s">
        <v>81</v>
      </c>
      <c r="Q578" s="4"/>
      <c r="R578" s="5"/>
      <c r="S578" s="6"/>
      <c r="T578" s="17"/>
      <c r="U578" s="6"/>
      <c r="V578" s="4"/>
      <c r="W578" s="4"/>
      <c r="X578" s="4"/>
      <c r="Y578" s="7">
        <v>5</v>
      </c>
      <c r="Z578" s="8">
        <v>7993</v>
      </c>
      <c r="AA578" s="7" t="s">
        <v>82</v>
      </c>
      <c r="AB578" s="7"/>
      <c r="AC578" s="9">
        <v>5</v>
      </c>
      <c r="AD578" s="10">
        <v>7993</v>
      </c>
      <c r="AE578" s="9" t="s">
        <v>82</v>
      </c>
      <c r="AF578" s="9"/>
      <c r="AG578" s="11">
        <v>3</v>
      </c>
      <c r="AH578" s="11" t="s">
        <v>83</v>
      </c>
      <c r="AI578" s="11"/>
      <c r="AJ578" s="11"/>
      <c r="AK578" s="11"/>
      <c r="AL578" s="12">
        <v>3</v>
      </c>
      <c r="AM578" s="12" t="s">
        <v>83</v>
      </c>
      <c r="AN578" s="12"/>
      <c r="AO578" s="12"/>
      <c r="AP578" s="12"/>
      <c r="AQ578" s="4">
        <v>3</v>
      </c>
      <c r="AR578" s="4" t="s">
        <v>83</v>
      </c>
      <c r="AS578" s="4" t="s">
        <v>2657</v>
      </c>
      <c r="AT578" s="13"/>
      <c r="AU578" s="13"/>
      <c r="AV578" s="13"/>
      <c r="AW578" s="13"/>
      <c r="AX578" s="4"/>
      <c r="AY578" s="13"/>
      <c r="AZ578" s="13"/>
      <c r="BA578" s="13"/>
      <c r="BB578" s="13"/>
      <c r="BC578" s="4"/>
      <c r="BD578" s="4"/>
      <c r="BE578" s="4"/>
      <c r="BF578" s="13"/>
      <c r="BG578" s="4"/>
      <c r="BH578" s="13"/>
      <c r="BI578" s="13"/>
      <c r="BJ578" s="4"/>
      <c r="BK578" s="14">
        <v>16</v>
      </c>
      <c r="BL578" s="14">
        <v>16</v>
      </c>
      <c r="BM578" s="14">
        <v>16</v>
      </c>
      <c r="BN578" s="3" t="s">
        <v>86</v>
      </c>
      <c r="BP578" s="15"/>
      <c r="BQ578" s="15"/>
      <c r="BR578" s="2" t="s">
        <v>87</v>
      </c>
      <c r="BS578" s="2" t="s">
        <v>87</v>
      </c>
      <c r="BT578" s="7" t="s">
        <v>88</v>
      </c>
      <c r="BU578" s="7"/>
      <c r="BV578" s="9" t="s">
        <v>88</v>
      </c>
      <c r="BW578" s="9"/>
    </row>
    <row r="579" spans="1:75" ht="14.25" customHeight="1" x14ac:dyDescent="0.25">
      <c r="A579" s="1">
        <v>196</v>
      </c>
      <c r="B579" s="1" t="s">
        <v>2658</v>
      </c>
      <c r="C579" s="1" t="s">
        <v>2659</v>
      </c>
      <c r="D579" s="1" t="s">
        <v>77</v>
      </c>
      <c r="E579" s="1" t="s">
        <v>645</v>
      </c>
      <c r="F579" s="1" t="s">
        <v>646</v>
      </c>
      <c r="G579" s="1" t="s">
        <v>118</v>
      </c>
      <c r="H579" s="2">
        <v>0</v>
      </c>
      <c r="I579" s="2">
        <v>0</v>
      </c>
      <c r="J579" s="2">
        <v>1</v>
      </c>
      <c r="K579" s="2">
        <v>1</v>
      </c>
      <c r="L579" s="3" t="s">
        <v>80</v>
      </c>
      <c r="O579" s="4">
        <v>4</v>
      </c>
      <c r="P579" s="4" t="s">
        <v>101</v>
      </c>
      <c r="Q579" s="4" t="s">
        <v>2660</v>
      </c>
      <c r="R579" s="5"/>
      <c r="S579" s="6"/>
      <c r="T579" s="17"/>
      <c r="U579" s="6"/>
      <c r="V579" s="4"/>
      <c r="W579" s="4"/>
      <c r="X579" s="4"/>
      <c r="Y579" s="7">
        <v>4</v>
      </c>
      <c r="Z579" s="8">
        <v>192759</v>
      </c>
      <c r="AA579" s="7" t="s">
        <v>92</v>
      </c>
      <c r="AB579" s="7"/>
      <c r="AC579" s="9">
        <v>4</v>
      </c>
      <c r="AD579" s="10">
        <v>192759</v>
      </c>
      <c r="AE579" s="9" t="s">
        <v>92</v>
      </c>
      <c r="AF579" s="9"/>
      <c r="AG579" s="11">
        <v>4</v>
      </c>
      <c r="AH579" s="11" t="s">
        <v>93</v>
      </c>
      <c r="AI579" s="11" t="s">
        <v>393</v>
      </c>
      <c r="AJ579" s="11"/>
      <c r="AK579" s="11"/>
      <c r="AL579" s="12">
        <v>4</v>
      </c>
      <c r="AM579" s="12" t="s">
        <v>93</v>
      </c>
      <c r="AN579" s="12" t="s">
        <v>805</v>
      </c>
      <c r="AO579" s="12"/>
      <c r="AP579" s="12"/>
      <c r="AQ579" s="4">
        <v>4</v>
      </c>
      <c r="AR579" s="4" t="s">
        <v>83</v>
      </c>
      <c r="AS579" s="4"/>
      <c r="AT579" s="13"/>
      <c r="AU579" s="13"/>
      <c r="AV579" s="13"/>
      <c r="AW579" s="13"/>
      <c r="AX579" s="4"/>
      <c r="AY579" s="13"/>
      <c r="AZ579" s="13"/>
      <c r="BA579" s="13"/>
      <c r="BB579" s="13"/>
      <c r="BC579" s="4"/>
      <c r="BD579" s="4"/>
      <c r="BE579" s="4"/>
      <c r="BF579" s="13"/>
      <c r="BG579" s="4"/>
      <c r="BH579" s="13"/>
      <c r="BI579" s="13"/>
      <c r="BJ579" s="4"/>
      <c r="BK579" s="14">
        <v>16</v>
      </c>
      <c r="BL579" s="14">
        <v>16</v>
      </c>
      <c r="BM579" s="14">
        <v>16</v>
      </c>
      <c r="BN579" s="3" t="s">
        <v>86</v>
      </c>
      <c r="BP579" s="15"/>
      <c r="BQ579" s="15"/>
      <c r="BR579" s="2" t="s">
        <v>409</v>
      </c>
      <c r="BS579" s="2" t="s">
        <v>409</v>
      </c>
      <c r="BT579" s="7" t="s">
        <v>88</v>
      </c>
      <c r="BU579" s="7"/>
      <c r="BV579" s="9" t="s">
        <v>88</v>
      </c>
      <c r="BW579" s="9"/>
    </row>
    <row r="580" spans="1:75" ht="14.25" customHeight="1" x14ac:dyDescent="0.25">
      <c r="A580" s="1">
        <v>197</v>
      </c>
      <c r="B580" s="1" t="s">
        <v>2661</v>
      </c>
      <c r="C580" s="1" t="s">
        <v>2662</v>
      </c>
      <c r="D580" s="1" t="s">
        <v>77</v>
      </c>
      <c r="E580" s="1" t="s">
        <v>645</v>
      </c>
      <c r="F580" s="1" t="s">
        <v>646</v>
      </c>
      <c r="G580" s="1" t="s">
        <v>118</v>
      </c>
      <c r="H580" s="2">
        <v>0</v>
      </c>
      <c r="I580" s="2">
        <v>0</v>
      </c>
      <c r="J580" s="2">
        <v>0</v>
      </c>
      <c r="K580" s="2">
        <v>1</v>
      </c>
      <c r="L580" s="3" t="s">
        <v>80</v>
      </c>
      <c r="O580" s="4">
        <v>5</v>
      </c>
      <c r="P580" s="4" t="s">
        <v>81</v>
      </c>
      <c r="Q580" s="4"/>
      <c r="R580" s="5"/>
      <c r="S580" s="6"/>
      <c r="T580" s="17"/>
      <c r="U580" s="6"/>
      <c r="V580" s="4"/>
      <c r="W580" s="4"/>
      <c r="X580" s="4"/>
      <c r="Y580" s="7">
        <v>5</v>
      </c>
      <c r="Z580" s="8">
        <v>16463</v>
      </c>
      <c r="AA580" s="7" t="s">
        <v>82</v>
      </c>
      <c r="AB580" s="7"/>
      <c r="AC580" s="9">
        <v>5</v>
      </c>
      <c r="AD580" s="10">
        <v>16463</v>
      </c>
      <c r="AE580" s="9" t="s">
        <v>82</v>
      </c>
      <c r="AF580" s="9"/>
      <c r="AG580" s="11">
        <v>3</v>
      </c>
      <c r="AH580" s="11" t="s">
        <v>83</v>
      </c>
      <c r="AI580" s="11"/>
      <c r="AJ580" s="11"/>
      <c r="AK580" s="11"/>
      <c r="AL580" s="12">
        <v>3</v>
      </c>
      <c r="AM580" s="12" t="s">
        <v>83</v>
      </c>
      <c r="AN580" s="12"/>
      <c r="AO580" s="12"/>
      <c r="AP580" s="12"/>
      <c r="AQ580" s="4">
        <v>4</v>
      </c>
      <c r="AR580" s="4" t="s">
        <v>83</v>
      </c>
      <c r="AS580" s="4"/>
      <c r="AT580" s="13"/>
      <c r="AU580" s="13"/>
      <c r="AV580" s="13"/>
      <c r="AW580" s="13"/>
      <c r="AX580" s="4"/>
      <c r="AY580" s="13"/>
      <c r="AZ580" s="13"/>
      <c r="BA580" s="13"/>
      <c r="BB580" s="13"/>
      <c r="BC580" s="4"/>
      <c r="BD580" s="4"/>
      <c r="BE580" s="4"/>
      <c r="BF580" s="13"/>
      <c r="BG580" s="4"/>
      <c r="BH580" s="13"/>
      <c r="BI580" s="13"/>
      <c r="BJ580" s="4"/>
      <c r="BK580" s="14">
        <v>17</v>
      </c>
      <c r="BL580" s="14">
        <v>17</v>
      </c>
      <c r="BM580" s="14">
        <v>17</v>
      </c>
      <c r="BN580" s="3" t="s">
        <v>312</v>
      </c>
      <c r="BP580" s="15"/>
      <c r="BQ580" s="15"/>
      <c r="BR580" s="2" t="s">
        <v>87</v>
      </c>
      <c r="BS580" s="2" t="s">
        <v>87</v>
      </c>
      <c r="BT580" s="7" t="s">
        <v>88</v>
      </c>
      <c r="BU580" s="7"/>
      <c r="BV580" s="9" t="s">
        <v>88</v>
      </c>
      <c r="BW580" s="9"/>
    </row>
    <row r="581" spans="1:75" ht="14.25" customHeight="1" x14ac:dyDescent="0.25">
      <c r="A581" s="1">
        <v>198</v>
      </c>
      <c r="B581" s="1" t="s">
        <v>2663</v>
      </c>
      <c r="C581" s="1" t="s">
        <v>2664</v>
      </c>
      <c r="D581" s="1" t="s">
        <v>77</v>
      </c>
      <c r="E581" s="1" t="s">
        <v>645</v>
      </c>
      <c r="F581" s="1" t="s">
        <v>646</v>
      </c>
      <c r="G581" s="1"/>
      <c r="H581" s="2">
        <v>0</v>
      </c>
      <c r="I581" s="2">
        <v>0</v>
      </c>
      <c r="J581" s="2">
        <v>0</v>
      </c>
      <c r="K581" s="2">
        <v>1</v>
      </c>
      <c r="L581" s="3" t="s">
        <v>80</v>
      </c>
      <c r="O581" s="4">
        <v>5</v>
      </c>
      <c r="P581" s="4" t="s">
        <v>81</v>
      </c>
      <c r="Q581" s="4"/>
      <c r="R581" s="5"/>
      <c r="S581" s="6"/>
      <c r="T581" s="17"/>
      <c r="U581" s="6"/>
      <c r="V581" s="4"/>
      <c r="W581" s="4"/>
      <c r="X581" s="4"/>
      <c r="Y581" s="7">
        <v>5</v>
      </c>
      <c r="Z581" s="8">
        <v>6033</v>
      </c>
      <c r="AA581" s="7" t="s">
        <v>82</v>
      </c>
      <c r="AB581" s="7"/>
      <c r="AC581" s="9">
        <v>5</v>
      </c>
      <c r="AD581" s="10">
        <v>6033</v>
      </c>
      <c r="AE581" s="9" t="s">
        <v>82</v>
      </c>
      <c r="AF581" s="9"/>
      <c r="AG581" s="11">
        <v>3</v>
      </c>
      <c r="AH581" s="11" t="s">
        <v>83</v>
      </c>
      <c r="AI581" s="11"/>
      <c r="AJ581" s="11"/>
      <c r="AK581" s="11"/>
      <c r="AL581" s="12">
        <v>3</v>
      </c>
      <c r="AM581" s="12" t="s">
        <v>83</v>
      </c>
      <c r="AN581" s="12"/>
      <c r="AO581" s="12"/>
      <c r="AP581" s="12"/>
      <c r="AQ581" s="4">
        <v>3</v>
      </c>
      <c r="AR581" s="4" t="s">
        <v>83</v>
      </c>
      <c r="AS581" s="4"/>
      <c r="AT581" s="13"/>
      <c r="AU581" s="13"/>
      <c r="AV581" s="13"/>
      <c r="AW581" s="13"/>
      <c r="AX581" s="4"/>
      <c r="AY581" s="13"/>
      <c r="AZ581" s="13"/>
      <c r="BA581" s="13"/>
      <c r="BB581" s="13"/>
      <c r="BC581" s="4"/>
      <c r="BD581" s="4"/>
      <c r="BE581" s="4"/>
      <c r="BF581" s="13"/>
      <c r="BG581" s="4"/>
      <c r="BH581" s="13"/>
      <c r="BI581" s="13"/>
      <c r="BJ581" s="4"/>
      <c r="BK581" s="14">
        <v>16</v>
      </c>
      <c r="BL581" s="14">
        <v>16</v>
      </c>
      <c r="BM581" s="14">
        <v>16</v>
      </c>
      <c r="BN581" s="3" t="s">
        <v>86</v>
      </c>
      <c r="BO581" s="3" t="s">
        <v>120</v>
      </c>
      <c r="BP581" s="15"/>
      <c r="BQ581" s="15"/>
      <c r="BR581" s="2" t="s">
        <v>87</v>
      </c>
      <c r="BS581" s="2" t="s">
        <v>87</v>
      </c>
      <c r="BT581" s="7" t="s">
        <v>88</v>
      </c>
      <c r="BU581" s="7"/>
      <c r="BV581" s="9" t="s">
        <v>88</v>
      </c>
      <c r="BW581" s="9"/>
    </row>
    <row r="582" spans="1:75" ht="14.25" customHeight="1" x14ac:dyDescent="0.25">
      <c r="A582" s="1">
        <v>199</v>
      </c>
      <c r="B582" s="1" t="s">
        <v>2665</v>
      </c>
      <c r="C582" s="1" t="s">
        <v>2666</v>
      </c>
      <c r="D582" s="1" t="s">
        <v>77</v>
      </c>
      <c r="E582" s="1" t="s">
        <v>645</v>
      </c>
      <c r="F582" s="1" t="s">
        <v>646</v>
      </c>
      <c r="G582" s="1"/>
      <c r="H582" s="2">
        <v>0</v>
      </c>
      <c r="I582" s="2">
        <v>1</v>
      </c>
      <c r="J582" s="2">
        <v>1</v>
      </c>
      <c r="K582" s="2">
        <v>1</v>
      </c>
      <c r="L582" s="3" t="s">
        <v>127</v>
      </c>
      <c r="O582" s="4">
        <v>2</v>
      </c>
      <c r="P582" s="4" t="s">
        <v>470</v>
      </c>
      <c r="Q582" s="4" t="s">
        <v>2667</v>
      </c>
      <c r="R582" s="16">
        <v>14000000</v>
      </c>
      <c r="S582" s="6">
        <v>14000000</v>
      </c>
      <c r="T582" s="16">
        <v>5200000</v>
      </c>
      <c r="U582" s="6">
        <v>5200000</v>
      </c>
      <c r="V582" s="4">
        <v>2010.5</v>
      </c>
      <c r="W582" s="4" t="s">
        <v>425</v>
      </c>
      <c r="X582" s="4"/>
      <c r="Y582" s="7">
        <v>2</v>
      </c>
      <c r="Z582" s="8">
        <v>2758548</v>
      </c>
      <c r="AA582" s="7" t="s">
        <v>2668</v>
      </c>
      <c r="AB582" s="7" t="s">
        <v>2669</v>
      </c>
      <c r="AC582" s="9">
        <v>2</v>
      </c>
      <c r="AD582" s="10">
        <v>2274188</v>
      </c>
      <c r="AE582" s="9" t="s">
        <v>537</v>
      </c>
      <c r="AF582" s="9" t="s">
        <v>2670</v>
      </c>
      <c r="AG582" s="11">
        <v>2</v>
      </c>
      <c r="AH582" s="11" t="s">
        <v>131</v>
      </c>
      <c r="AI582" s="11" t="s">
        <v>2671</v>
      </c>
      <c r="AJ582" s="11">
        <v>2</v>
      </c>
      <c r="AK582" s="11" t="s">
        <v>132</v>
      </c>
      <c r="AL582" s="12">
        <v>2</v>
      </c>
      <c r="AM582" s="12" t="s">
        <v>131</v>
      </c>
      <c r="AN582" s="12"/>
      <c r="AO582" s="12">
        <v>2</v>
      </c>
      <c r="AP582" s="12" t="s">
        <v>132</v>
      </c>
      <c r="AQ582" s="4">
        <v>1</v>
      </c>
      <c r="AR582" s="4" t="s">
        <v>133</v>
      </c>
      <c r="AS582" s="4"/>
      <c r="AT582" s="13">
        <v>98.172111511230497</v>
      </c>
      <c r="AU582" s="13">
        <v>1.3520317077636701</v>
      </c>
      <c r="AV582" s="13">
        <v>0.38750201463699302</v>
      </c>
      <c r="AW582" s="13">
        <v>2.9300000667571999</v>
      </c>
      <c r="AX582" s="4">
        <v>1</v>
      </c>
      <c r="AY582" s="13">
        <v>15.937299728393601</v>
      </c>
      <c r="AZ582" s="13">
        <v>1.23927414417267</v>
      </c>
      <c r="BA582" s="13">
        <v>-1.11539995670319</v>
      </c>
      <c r="BB582" s="13">
        <v>4.4400000572204599</v>
      </c>
      <c r="BC582" s="4"/>
      <c r="BD582" s="4">
        <v>12</v>
      </c>
      <c r="BE582" s="4" t="s">
        <v>134</v>
      </c>
      <c r="BF582" s="13">
        <v>2.54249811172485</v>
      </c>
      <c r="BG582" s="4">
        <v>379</v>
      </c>
      <c r="BH582" s="13">
        <v>11.199999809265099</v>
      </c>
      <c r="BI582" s="13">
        <v>4255.64013671875</v>
      </c>
      <c r="BJ582" s="4"/>
      <c r="BK582" s="14">
        <v>7</v>
      </c>
      <c r="BL582" s="14">
        <v>7</v>
      </c>
      <c r="BM582" s="14">
        <v>7</v>
      </c>
      <c r="BP582" s="15" t="s">
        <v>135</v>
      </c>
      <c r="BQ582" s="15" t="s">
        <v>136</v>
      </c>
      <c r="BR582" s="2" t="s">
        <v>297</v>
      </c>
      <c r="BS582" s="2" t="s">
        <v>297</v>
      </c>
      <c r="BT582" s="7" t="s">
        <v>475</v>
      </c>
      <c r="BU582" s="7" t="s">
        <v>109</v>
      </c>
      <c r="BV582" s="9" t="s">
        <v>475</v>
      </c>
      <c r="BW582" s="9" t="s">
        <v>109</v>
      </c>
    </row>
    <row r="583" spans="1:75" ht="14.25" customHeight="1" x14ac:dyDescent="0.25">
      <c r="A583" s="1">
        <v>1222</v>
      </c>
      <c r="B583" s="1" t="s">
        <v>2672</v>
      </c>
      <c r="C583" s="1" t="s">
        <v>2673</v>
      </c>
      <c r="D583" s="1" t="s">
        <v>77</v>
      </c>
      <c r="E583" s="1" t="s">
        <v>2396</v>
      </c>
      <c r="F583" s="1" t="s">
        <v>2452</v>
      </c>
      <c r="G583" s="1"/>
      <c r="H583" s="2">
        <v>0</v>
      </c>
      <c r="I583" s="2">
        <v>0</v>
      </c>
      <c r="J583" s="2">
        <v>1</v>
      </c>
      <c r="K583" s="2">
        <v>1</v>
      </c>
      <c r="L583" s="3" t="s">
        <v>80</v>
      </c>
      <c r="O583" s="4">
        <v>5</v>
      </c>
      <c r="P583" s="4" t="s">
        <v>112</v>
      </c>
      <c r="Q583" s="4"/>
      <c r="R583" s="5"/>
      <c r="S583" s="6"/>
      <c r="T583" s="17"/>
      <c r="U583" s="6"/>
      <c r="V583" s="4"/>
      <c r="W583" s="4"/>
      <c r="X583" s="4"/>
      <c r="Y583" s="7">
        <v>5</v>
      </c>
      <c r="Z583" s="8">
        <v>56989</v>
      </c>
      <c r="AA583" s="7" t="s">
        <v>92</v>
      </c>
      <c r="AB583" s="7"/>
      <c r="AC583" s="9">
        <v>5</v>
      </c>
      <c r="AD583" s="10">
        <v>56989</v>
      </c>
      <c r="AE583" s="9" t="s">
        <v>92</v>
      </c>
      <c r="AF583" s="9"/>
      <c r="AG583" s="11">
        <v>5</v>
      </c>
      <c r="AH583" s="11" t="s">
        <v>93</v>
      </c>
      <c r="AI583" s="11" t="s">
        <v>393</v>
      </c>
      <c r="AJ583" s="11"/>
      <c r="AK583" s="11"/>
      <c r="AL583" s="12">
        <v>5</v>
      </c>
      <c r="AM583" s="12" t="s">
        <v>93</v>
      </c>
      <c r="AN583" s="12" t="s">
        <v>1005</v>
      </c>
      <c r="AO583" s="12"/>
      <c r="AP583" s="12"/>
      <c r="AQ583" s="4">
        <v>5</v>
      </c>
      <c r="AR583" s="4" t="s">
        <v>83</v>
      </c>
      <c r="AS583" s="4" t="s">
        <v>2674</v>
      </c>
      <c r="AT583" s="13"/>
      <c r="AU583" s="13"/>
      <c r="AV583" s="13"/>
      <c r="AW583" s="13"/>
      <c r="AX583" s="4"/>
      <c r="AY583" s="13"/>
      <c r="AZ583" s="13"/>
      <c r="BA583" s="13"/>
      <c r="BB583" s="13"/>
      <c r="BC583" s="4"/>
      <c r="BD583" s="4"/>
      <c r="BE583" s="4"/>
      <c r="BF583" s="13"/>
      <c r="BG583" s="4"/>
      <c r="BH583" s="13"/>
      <c r="BI583" s="13"/>
      <c r="BJ583" s="4"/>
      <c r="BK583" s="14">
        <v>20</v>
      </c>
      <c r="BL583" s="14">
        <v>20</v>
      </c>
      <c r="BM583" s="14">
        <v>20</v>
      </c>
      <c r="BN583" s="3" t="s">
        <v>312</v>
      </c>
      <c r="BP583" s="15"/>
      <c r="BQ583" s="15"/>
      <c r="BR583" s="2" t="s">
        <v>108</v>
      </c>
      <c r="BS583" s="2" t="s">
        <v>108</v>
      </c>
      <c r="BT583" s="7" t="s">
        <v>438</v>
      </c>
      <c r="BU583" s="7" t="s">
        <v>679</v>
      </c>
      <c r="BV583" s="9" t="s">
        <v>438</v>
      </c>
      <c r="BW583" s="9" t="s">
        <v>679</v>
      </c>
    </row>
    <row r="584" spans="1:75" ht="14.25" customHeight="1" x14ac:dyDescent="0.25">
      <c r="A584" s="1">
        <v>1223</v>
      </c>
      <c r="B584" s="1" t="s">
        <v>2675</v>
      </c>
      <c r="C584" s="1" t="s">
        <v>2676</v>
      </c>
      <c r="D584" s="1" t="s">
        <v>77</v>
      </c>
      <c r="E584" s="1" t="s">
        <v>2396</v>
      </c>
      <c r="F584" s="1" t="s">
        <v>2452</v>
      </c>
      <c r="G584" s="1" t="s">
        <v>118</v>
      </c>
      <c r="H584" s="2">
        <v>0</v>
      </c>
      <c r="I584" s="2">
        <v>0</v>
      </c>
      <c r="J584" s="2">
        <v>1</v>
      </c>
      <c r="K584" s="2">
        <v>0</v>
      </c>
      <c r="L584" s="3" t="s">
        <v>80</v>
      </c>
      <c r="O584" s="4">
        <v>5</v>
      </c>
      <c r="P584" s="4" t="s">
        <v>112</v>
      </c>
      <c r="Q584" s="4"/>
      <c r="R584" s="5"/>
      <c r="S584" s="6"/>
      <c r="T584" s="17"/>
      <c r="U584" s="6"/>
      <c r="V584" s="4"/>
      <c r="W584" s="4"/>
      <c r="X584" s="4"/>
      <c r="Y584" s="7">
        <v>4</v>
      </c>
      <c r="Z584" s="8">
        <v>112844</v>
      </c>
      <c r="AA584" s="7" t="s">
        <v>92</v>
      </c>
      <c r="AB584" s="7"/>
      <c r="AC584" s="9">
        <v>4</v>
      </c>
      <c r="AD584" s="10">
        <v>112844</v>
      </c>
      <c r="AE584" s="9" t="s">
        <v>92</v>
      </c>
      <c r="AF584" s="9"/>
      <c r="AG584" s="11">
        <v>3</v>
      </c>
      <c r="AH584" s="11" t="s">
        <v>93</v>
      </c>
      <c r="AI584" s="11"/>
      <c r="AJ584" s="11"/>
      <c r="AK584" s="11"/>
      <c r="AL584" s="12">
        <v>3</v>
      </c>
      <c r="AM584" s="12" t="s">
        <v>93</v>
      </c>
      <c r="AN584" s="12" t="s">
        <v>805</v>
      </c>
      <c r="AO584" s="12"/>
      <c r="AP584" s="12"/>
      <c r="AQ584" s="4">
        <v>4</v>
      </c>
      <c r="AR584" s="4" t="s">
        <v>93</v>
      </c>
      <c r="AS584" s="4"/>
      <c r="AT584" s="13"/>
      <c r="AU584" s="13"/>
      <c r="AV584" s="13"/>
      <c r="AW584" s="13"/>
      <c r="AX584" s="4"/>
      <c r="AY584" s="13"/>
      <c r="AZ584" s="13"/>
      <c r="BA584" s="13"/>
      <c r="BB584" s="13"/>
      <c r="BC584" s="4"/>
      <c r="BD584" s="4"/>
      <c r="BE584" s="4"/>
      <c r="BF584" s="13"/>
      <c r="BG584" s="4"/>
      <c r="BH584" s="13"/>
      <c r="BI584" s="13"/>
      <c r="BJ584" s="4"/>
      <c r="BK584" s="14">
        <v>16</v>
      </c>
      <c r="BL584" s="14">
        <v>16</v>
      </c>
      <c r="BM584" s="14">
        <v>16</v>
      </c>
      <c r="BN584" s="3" t="s">
        <v>86</v>
      </c>
      <c r="BP584" s="15"/>
      <c r="BQ584" s="15"/>
      <c r="BR584" s="2" t="s">
        <v>108</v>
      </c>
      <c r="BS584" s="2" t="s">
        <v>108</v>
      </c>
      <c r="BT584" s="7" t="s">
        <v>109</v>
      </c>
      <c r="BU584" s="7" t="s">
        <v>679</v>
      </c>
      <c r="BV584" s="9" t="s">
        <v>109</v>
      </c>
      <c r="BW584" s="9" t="s">
        <v>679</v>
      </c>
    </row>
    <row r="585" spans="1:75" ht="14.25" customHeight="1" x14ac:dyDescent="0.25">
      <c r="A585" s="1">
        <v>1224</v>
      </c>
      <c r="B585" s="1" t="s">
        <v>2677</v>
      </c>
      <c r="C585" s="1" t="s">
        <v>2678</v>
      </c>
      <c r="D585" s="1" t="s">
        <v>77</v>
      </c>
      <c r="E585" s="1" t="s">
        <v>2396</v>
      </c>
      <c r="F585" s="1" t="s">
        <v>2452</v>
      </c>
      <c r="G585" s="1"/>
      <c r="H585" s="2">
        <v>0</v>
      </c>
      <c r="I585" s="2">
        <v>0</v>
      </c>
      <c r="J585" s="2">
        <v>1</v>
      </c>
      <c r="K585" s="2">
        <v>1</v>
      </c>
      <c r="L585" s="3" t="s">
        <v>80</v>
      </c>
      <c r="O585" s="4">
        <v>3</v>
      </c>
      <c r="P585" s="4" t="s">
        <v>112</v>
      </c>
      <c r="Q585" s="4"/>
      <c r="R585" s="5"/>
      <c r="S585" s="6"/>
      <c r="T585" s="17"/>
      <c r="U585" s="6"/>
      <c r="V585" s="4"/>
      <c r="W585" s="4"/>
      <c r="X585" s="4"/>
      <c r="Y585" s="7">
        <v>3</v>
      </c>
      <c r="Z585" s="8">
        <v>599471</v>
      </c>
      <c r="AA585" s="7" t="s">
        <v>1300</v>
      </c>
      <c r="AB585" s="7"/>
      <c r="AC585" s="9">
        <v>3</v>
      </c>
      <c r="AD585" s="10">
        <v>646431</v>
      </c>
      <c r="AE585" s="9" t="s">
        <v>1300</v>
      </c>
      <c r="AF585" s="9"/>
      <c r="AG585" s="11">
        <v>3</v>
      </c>
      <c r="AH585" s="11" t="s">
        <v>93</v>
      </c>
      <c r="AI585" s="11"/>
      <c r="AJ585" s="11"/>
      <c r="AK585" s="11"/>
      <c r="AL585" s="12">
        <v>3</v>
      </c>
      <c r="AM585" s="12" t="s">
        <v>93</v>
      </c>
      <c r="AN585" s="12" t="s">
        <v>698</v>
      </c>
      <c r="AO585" s="12"/>
      <c r="AP585" s="12"/>
      <c r="AQ585" s="4">
        <v>4</v>
      </c>
      <c r="AR585" s="4" t="s">
        <v>83</v>
      </c>
      <c r="AS585" s="4" t="s">
        <v>2679</v>
      </c>
      <c r="AT585" s="13"/>
      <c r="AU585" s="13"/>
      <c r="AV585" s="13"/>
      <c r="AW585" s="13"/>
      <c r="AX585" s="4"/>
      <c r="AY585" s="13"/>
      <c r="AZ585" s="13"/>
      <c r="BA585" s="13"/>
      <c r="BB585" s="13"/>
      <c r="BC585" s="4"/>
      <c r="BD585" s="4"/>
      <c r="BE585" s="4"/>
      <c r="BF585" s="13"/>
      <c r="BG585" s="4"/>
      <c r="BH585" s="13"/>
      <c r="BI585" s="13"/>
      <c r="BJ585" s="4"/>
      <c r="BK585" s="14">
        <v>13</v>
      </c>
      <c r="BL585" s="14">
        <v>13</v>
      </c>
      <c r="BM585" s="14">
        <v>13</v>
      </c>
      <c r="BP585" s="15"/>
      <c r="BQ585" s="15"/>
      <c r="BR585" s="2" t="s">
        <v>87</v>
      </c>
      <c r="BS585" s="2" t="s">
        <v>87</v>
      </c>
      <c r="BT585" s="7" t="s">
        <v>438</v>
      </c>
      <c r="BU585" s="7" t="s">
        <v>88</v>
      </c>
      <c r="BV585" s="9" t="s">
        <v>438</v>
      </c>
      <c r="BW585" s="9" t="s">
        <v>88</v>
      </c>
    </row>
    <row r="586" spans="1:75" ht="14.25" customHeight="1" x14ac:dyDescent="0.25">
      <c r="A586" s="1">
        <v>1225</v>
      </c>
      <c r="B586" s="1" t="s">
        <v>2680</v>
      </c>
      <c r="C586" s="1" t="s">
        <v>2681</v>
      </c>
      <c r="D586" s="1" t="s">
        <v>77</v>
      </c>
      <c r="E586" s="1" t="s">
        <v>2396</v>
      </c>
      <c r="F586" s="1" t="s">
        <v>2452</v>
      </c>
      <c r="G586" s="1" t="s">
        <v>2682</v>
      </c>
      <c r="H586" s="2">
        <v>1</v>
      </c>
      <c r="I586" s="2">
        <v>1</v>
      </c>
      <c r="J586" s="2">
        <v>1</v>
      </c>
      <c r="K586" s="2">
        <v>1</v>
      </c>
      <c r="L586" s="3" t="s">
        <v>127</v>
      </c>
      <c r="O586" s="4">
        <v>3</v>
      </c>
      <c r="P586" s="4" t="s">
        <v>2683</v>
      </c>
      <c r="Q586" s="4"/>
      <c r="R586" s="16">
        <v>1900000</v>
      </c>
      <c r="S586" s="6">
        <v>1900000</v>
      </c>
      <c r="T586" s="16">
        <v>1900000</v>
      </c>
      <c r="U586" s="6">
        <v>1900000</v>
      </c>
      <c r="V586" s="4">
        <v>2010.5</v>
      </c>
      <c r="W586" s="4" t="s">
        <v>1919</v>
      </c>
      <c r="X586" s="4"/>
      <c r="Y586" s="7">
        <v>1</v>
      </c>
      <c r="Z586" s="8">
        <v>7478548</v>
      </c>
      <c r="AA586" s="7" t="s">
        <v>2325</v>
      </c>
      <c r="AB586" s="7" t="s">
        <v>2684</v>
      </c>
      <c r="AC586" s="9">
        <v>1</v>
      </c>
      <c r="AD586" s="10">
        <v>4142898</v>
      </c>
      <c r="AE586" s="9" t="s">
        <v>582</v>
      </c>
      <c r="AF586" s="9" t="s">
        <v>2685</v>
      </c>
      <c r="AG586" s="11">
        <v>3</v>
      </c>
      <c r="AH586" s="11" t="s">
        <v>131</v>
      </c>
      <c r="AI586" s="11" t="s">
        <v>2686</v>
      </c>
      <c r="AJ586" s="11">
        <v>3</v>
      </c>
      <c r="AK586" s="11" t="s">
        <v>143</v>
      </c>
      <c r="AL586" s="12">
        <v>4</v>
      </c>
      <c r="AM586" s="12" t="s">
        <v>271</v>
      </c>
      <c r="AN586" s="12" t="s">
        <v>2687</v>
      </c>
      <c r="AO586" s="12"/>
      <c r="AP586" s="12"/>
      <c r="AQ586" s="4">
        <v>5</v>
      </c>
      <c r="AR586" s="4" t="s">
        <v>133</v>
      </c>
      <c r="AS586" s="4"/>
      <c r="AT586" s="13">
        <v>-73.731803894042997</v>
      </c>
      <c r="AU586" s="13">
        <v>-2.5848171710968</v>
      </c>
      <c r="AV586" s="13">
        <v>-3.2999999523162802</v>
      </c>
      <c r="AW586" s="13">
        <v>-2.0999999046325701</v>
      </c>
      <c r="AX586" s="4">
        <v>1</v>
      </c>
      <c r="AY586" s="13">
        <v>-11.28307056427</v>
      </c>
      <c r="AZ586" s="13">
        <v>-1.1918630599975599</v>
      </c>
      <c r="BA586" s="13">
        <v>-2.3299999237060498</v>
      </c>
      <c r="BB586" s="13">
        <v>0.21899999678134899</v>
      </c>
      <c r="BC586" s="4"/>
      <c r="BD586" s="4">
        <v>10</v>
      </c>
      <c r="BE586" s="4" t="s">
        <v>134</v>
      </c>
      <c r="BF586" s="13">
        <v>1.20000004768372</v>
      </c>
      <c r="BG586" s="4">
        <v>1525.5</v>
      </c>
      <c r="BH586" s="13">
        <v>1.32500004768372</v>
      </c>
      <c r="BI586" s="13">
        <v>2022.18005371094</v>
      </c>
      <c r="BJ586" s="4"/>
      <c r="BK586" s="14">
        <v>12</v>
      </c>
      <c r="BL586" s="14">
        <v>13</v>
      </c>
      <c r="BM586" s="14">
        <v>13</v>
      </c>
      <c r="BN586" s="3" t="s">
        <v>113</v>
      </c>
      <c r="BO586" s="3" t="s">
        <v>120</v>
      </c>
      <c r="BP586" s="15"/>
      <c r="BQ586" s="15"/>
      <c r="BR586" s="2" t="s">
        <v>211</v>
      </c>
      <c r="BS586" s="2" t="s">
        <v>87</v>
      </c>
      <c r="BT586" s="7" t="s">
        <v>527</v>
      </c>
      <c r="BU586" s="7" t="s">
        <v>428</v>
      </c>
      <c r="BV586" s="9" t="s">
        <v>88</v>
      </c>
      <c r="BW586" s="9" t="s">
        <v>98</v>
      </c>
    </row>
    <row r="587" spans="1:75" ht="14.25" customHeight="1" x14ac:dyDescent="0.25">
      <c r="A587" s="1">
        <v>1226</v>
      </c>
      <c r="B587" s="1" t="s">
        <v>2688</v>
      </c>
      <c r="C587" s="1" t="s">
        <v>2689</v>
      </c>
      <c r="D587" s="1" t="s">
        <v>77</v>
      </c>
      <c r="E587" s="1" t="s">
        <v>2396</v>
      </c>
      <c r="F587" s="1" t="s">
        <v>2452</v>
      </c>
      <c r="G587" s="1"/>
      <c r="H587" s="2">
        <v>0</v>
      </c>
      <c r="I587" s="2">
        <v>1</v>
      </c>
      <c r="J587" s="2">
        <v>1</v>
      </c>
      <c r="K587" s="2">
        <v>1</v>
      </c>
      <c r="L587" s="3" t="s">
        <v>127</v>
      </c>
      <c r="O587" s="4">
        <v>3</v>
      </c>
      <c r="P587" s="4" t="s">
        <v>706</v>
      </c>
      <c r="Q587" s="4" t="s">
        <v>2690</v>
      </c>
      <c r="R587" s="16">
        <v>2000000</v>
      </c>
      <c r="S587" s="6">
        <v>2000000</v>
      </c>
      <c r="T587" s="16">
        <v>6400</v>
      </c>
      <c r="U587" s="6">
        <v>6400</v>
      </c>
      <c r="V587" s="4">
        <v>2010.5</v>
      </c>
      <c r="W587" s="4" t="s">
        <v>425</v>
      </c>
      <c r="X587" s="4"/>
      <c r="Y587" s="7">
        <v>3</v>
      </c>
      <c r="Z587" s="8">
        <v>857789</v>
      </c>
      <c r="AA587" s="7" t="s">
        <v>92</v>
      </c>
      <c r="AB587" s="7"/>
      <c r="AC587" s="9">
        <v>3</v>
      </c>
      <c r="AD587" s="10">
        <v>631680</v>
      </c>
      <c r="AE587" s="9" t="s">
        <v>92</v>
      </c>
      <c r="AF587" s="9"/>
      <c r="AG587" s="11">
        <v>3</v>
      </c>
      <c r="AH587" s="11" t="s">
        <v>271</v>
      </c>
      <c r="AI587" s="11"/>
      <c r="AJ587" s="11"/>
      <c r="AK587" s="11"/>
      <c r="AL587" s="12">
        <v>3</v>
      </c>
      <c r="AM587" s="12" t="s">
        <v>271</v>
      </c>
      <c r="AN587" s="12" t="s">
        <v>698</v>
      </c>
      <c r="AO587" s="12"/>
      <c r="AP587" s="12"/>
      <c r="AQ587" s="4">
        <v>3</v>
      </c>
      <c r="AR587" s="4" t="s">
        <v>93</v>
      </c>
      <c r="AS587" s="4"/>
      <c r="AT587" s="13"/>
      <c r="AU587" s="13"/>
      <c r="AV587" s="13"/>
      <c r="AW587" s="13"/>
      <c r="AX587" s="4"/>
      <c r="AY587" s="13"/>
      <c r="AZ587" s="13"/>
      <c r="BA587" s="13"/>
      <c r="BB587" s="13"/>
      <c r="BC587" s="4"/>
      <c r="BD587" s="4"/>
      <c r="BE587" s="4"/>
      <c r="BF587" s="13"/>
      <c r="BG587" s="4"/>
      <c r="BH587" s="13"/>
      <c r="BI587" s="13"/>
      <c r="BJ587" s="4"/>
      <c r="BK587" s="14">
        <v>12</v>
      </c>
      <c r="BL587" s="14">
        <v>12</v>
      </c>
      <c r="BM587" s="14">
        <v>12</v>
      </c>
      <c r="BP587" s="15"/>
      <c r="BQ587" s="15"/>
      <c r="BR587" s="2" t="s">
        <v>409</v>
      </c>
      <c r="BS587" s="2" t="s">
        <v>409</v>
      </c>
      <c r="BT587" s="7" t="s">
        <v>438</v>
      </c>
      <c r="BU587" s="7"/>
      <c r="BV587" s="9" t="s">
        <v>438</v>
      </c>
      <c r="BW587" s="9"/>
    </row>
    <row r="588" spans="1:75" ht="14.25" customHeight="1" x14ac:dyDescent="0.25">
      <c r="A588" s="1">
        <v>1236</v>
      </c>
      <c r="B588" s="1" t="s">
        <v>2691</v>
      </c>
      <c r="C588" s="1" t="s">
        <v>2692</v>
      </c>
      <c r="D588" s="1" t="s">
        <v>77</v>
      </c>
      <c r="E588" s="1" t="s">
        <v>2396</v>
      </c>
      <c r="F588" s="1" t="s">
        <v>2452</v>
      </c>
      <c r="G588" s="1" t="s">
        <v>118</v>
      </c>
      <c r="H588" s="2">
        <v>1</v>
      </c>
      <c r="I588" s="2">
        <v>1</v>
      </c>
      <c r="J588" s="2">
        <v>1</v>
      </c>
      <c r="K588" s="2">
        <v>1</v>
      </c>
      <c r="L588" s="3" t="s">
        <v>127</v>
      </c>
      <c r="O588" s="4">
        <v>2</v>
      </c>
      <c r="P588" s="4" t="s">
        <v>2693</v>
      </c>
      <c r="Q588" s="4"/>
      <c r="R588" s="16">
        <v>13000000</v>
      </c>
      <c r="S588" s="6">
        <v>13000000</v>
      </c>
      <c r="T588" s="16">
        <v>13000000</v>
      </c>
      <c r="U588" s="6">
        <v>13000000</v>
      </c>
      <c r="V588" s="4">
        <v>2010.5</v>
      </c>
      <c r="W588" s="4" t="s">
        <v>579</v>
      </c>
      <c r="X588" s="4"/>
      <c r="Y588" s="7">
        <v>1</v>
      </c>
      <c r="Z588" s="8">
        <v>5308917</v>
      </c>
      <c r="AA588" s="7" t="s">
        <v>92</v>
      </c>
      <c r="AB588" s="7"/>
      <c r="AC588" s="9">
        <v>3</v>
      </c>
      <c r="AD588" s="10">
        <v>682678</v>
      </c>
      <c r="AE588" s="9" t="s">
        <v>92</v>
      </c>
      <c r="AF588" s="9"/>
      <c r="AG588" s="11">
        <v>4</v>
      </c>
      <c r="AH588" s="11" t="s">
        <v>131</v>
      </c>
      <c r="AI588" s="11"/>
      <c r="AJ588" s="11">
        <v>4</v>
      </c>
      <c r="AK588" s="11" t="s">
        <v>143</v>
      </c>
      <c r="AL588" s="12">
        <v>4</v>
      </c>
      <c r="AM588" s="12" t="s">
        <v>131</v>
      </c>
      <c r="AN588" s="12" t="s">
        <v>2694</v>
      </c>
      <c r="AO588" s="12">
        <v>5</v>
      </c>
      <c r="AP588" s="12" t="s">
        <v>143</v>
      </c>
      <c r="AQ588" s="4">
        <v>1</v>
      </c>
      <c r="AR588" s="4" t="s">
        <v>133</v>
      </c>
      <c r="AS588" s="4"/>
      <c r="AT588" s="13">
        <v>183.86984252929699</v>
      </c>
      <c r="AU588" s="13">
        <v>2.0667200088500999</v>
      </c>
      <c r="AV588" s="13">
        <v>0.423000007867813</v>
      </c>
      <c r="AW588" s="13">
        <v>3.9400000572204599</v>
      </c>
      <c r="AX588" s="4">
        <v>1</v>
      </c>
      <c r="AY588" s="13">
        <v>65.348655700683594</v>
      </c>
      <c r="AZ588" s="13">
        <v>5.1541857719421396</v>
      </c>
      <c r="BA588" s="13">
        <v>1.48220098018646</v>
      </c>
      <c r="BB588" s="13">
        <v>14</v>
      </c>
      <c r="BC588" s="4">
        <v>1</v>
      </c>
      <c r="BD588" s="4">
        <v>10</v>
      </c>
      <c r="BE588" s="4" t="s">
        <v>134</v>
      </c>
      <c r="BF588" s="13">
        <v>3.51699995994568</v>
      </c>
      <c r="BG588" s="4">
        <v>652.5</v>
      </c>
      <c r="BH588" s="13">
        <v>1.2649999856948899</v>
      </c>
      <c r="BI588" s="13">
        <v>826.70501708984398</v>
      </c>
      <c r="BJ588" s="4"/>
      <c r="BK588" s="14">
        <v>8</v>
      </c>
      <c r="BL588" s="14">
        <v>10</v>
      </c>
      <c r="BM588" s="14">
        <v>10</v>
      </c>
      <c r="BP588" s="15"/>
      <c r="BQ588" s="15"/>
      <c r="BR588" s="2" t="s">
        <v>211</v>
      </c>
      <c r="BS588" s="2" t="s">
        <v>115</v>
      </c>
      <c r="BT588" s="7" t="s">
        <v>527</v>
      </c>
      <c r="BU588" s="7"/>
      <c r="BV588" s="9" t="s">
        <v>98</v>
      </c>
      <c r="BW588" s="9" t="s">
        <v>88</v>
      </c>
    </row>
    <row r="589" spans="1:75" ht="14.25" customHeight="1" x14ac:dyDescent="0.25">
      <c r="A589" s="1">
        <v>1237</v>
      </c>
      <c r="B589" s="1" t="s">
        <v>2695</v>
      </c>
      <c r="C589" s="1" t="s">
        <v>2696</v>
      </c>
      <c r="D589" s="1" t="s">
        <v>77</v>
      </c>
      <c r="E589" s="1" t="s">
        <v>2396</v>
      </c>
      <c r="F589" s="1" t="s">
        <v>2452</v>
      </c>
      <c r="G589" s="1" t="s">
        <v>118</v>
      </c>
      <c r="H589" s="2">
        <v>1</v>
      </c>
      <c r="I589" s="2">
        <v>1</v>
      </c>
      <c r="J589" s="2">
        <v>1</v>
      </c>
      <c r="K589" s="2">
        <v>1</v>
      </c>
      <c r="L589" s="3" t="s">
        <v>127</v>
      </c>
      <c r="O589" s="4">
        <v>2</v>
      </c>
      <c r="P589" s="4" t="s">
        <v>425</v>
      </c>
      <c r="Q589" s="4"/>
      <c r="R589" s="16">
        <v>5200000</v>
      </c>
      <c r="S589" s="6">
        <v>5200000</v>
      </c>
      <c r="T589" s="16">
        <v>5200000</v>
      </c>
      <c r="U589" s="6">
        <v>5200000</v>
      </c>
      <c r="V589" s="4">
        <v>2010.5</v>
      </c>
      <c r="W589" s="4" t="s">
        <v>425</v>
      </c>
      <c r="X589" s="4"/>
      <c r="Y589" s="7">
        <v>2</v>
      </c>
      <c r="Z589" s="8">
        <v>2461383</v>
      </c>
      <c r="AA589" s="7" t="s">
        <v>92</v>
      </c>
      <c r="AB589" s="7"/>
      <c r="AC589" s="9">
        <v>3</v>
      </c>
      <c r="AD589" s="10">
        <v>659279</v>
      </c>
      <c r="AE589" s="9" t="s">
        <v>92</v>
      </c>
      <c r="AF589" s="9"/>
      <c r="AG589" s="11">
        <v>3</v>
      </c>
      <c r="AH589" s="11" t="s">
        <v>131</v>
      </c>
      <c r="AI589" s="11" t="s">
        <v>2697</v>
      </c>
      <c r="AJ589" s="11">
        <v>3</v>
      </c>
      <c r="AK589" s="11" t="s">
        <v>143</v>
      </c>
      <c r="AL589" s="12">
        <v>3</v>
      </c>
      <c r="AM589" s="12" t="s">
        <v>271</v>
      </c>
      <c r="AN589" s="12" t="s">
        <v>2698</v>
      </c>
      <c r="AO589" s="12"/>
      <c r="AP589" s="12"/>
      <c r="AQ589" s="4">
        <v>2</v>
      </c>
      <c r="AR589" s="4" t="s">
        <v>133</v>
      </c>
      <c r="AS589" s="4"/>
      <c r="AT589" s="13">
        <v>-0.54068607091903698</v>
      </c>
      <c r="AU589" s="13">
        <v>-1.0658740065991899E-2</v>
      </c>
      <c r="AV589" s="13">
        <v>-0.16409799456596399</v>
      </c>
      <c r="AW589" s="13">
        <v>0.193000003695488</v>
      </c>
      <c r="AX589" s="4"/>
      <c r="AY589" s="13">
        <v>9.8049459457397496</v>
      </c>
      <c r="AZ589" s="13">
        <v>0.93796813488006603</v>
      </c>
      <c r="BA589" s="13">
        <v>0.37790501117706299</v>
      </c>
      <c r="BB589" s="13">
        <v>1.6499999761581401</v>
      </c>
      <c r="BC589" s="4">
        <v>1</v>
      </c>
      <c r="BD589" s="4">
        <v>10</v>
      </c>
      <c r="BE589" s="4" t="s">
        <v>134</v>
      </c>
      <c r="BF589" s="13">
        <v>0.35709801316261303</v>
      </c>
      <c r="BG589" s="4">
        <v>1353.5</v>
      </c>
      <c r="BH589" s="13">
        <v>1.74500000476837</v>
      </c>
      <c r="BI589" s="13">
        <v>2361.02490234375</v>
      </c>
      <c r="BJ589" s="4"/>
      <c r="BK589" s="14">
        <v>9</v>
      </c>
      <c r="BL589" s="14">
        <v>10</v>
      </c>
      <c r="BM589" s="14">
        <v>10</v>
      </c>
      <c r="BP589" s="15"/>
      <c r="BQ589" s="15"/>
      <c r="BR589" s="2" t="s">
        <v>239</v>
      </c>
      <c r="BS589" s="2" t="s">
        <v>121</v>
      </c>
      <c r="BT589" s="7" t="s">
        <v>241</v>
      </c>
      <c r="BU589" s="7"/>
      <c r="BV589" s="9" t="s">
        <v>98</v>
      </c>
      <c r="BW589" s="9"/>
    </row>
    <row r="590" spans="1:75" ht="14.25" customHeight="1" x14ac:dyDescent="0.25">
      <c r="A590" s="1">
        <v>1238</v>
      </c>
      <c r="B590" s="1" t="s">
        <v>2699</v>
      </c>
      <c r="C590" s="1" t="s">
        <v>2700</v>
      </c>
      <c r="D590" s="1" t="s">
        <v>77</v>
      </c>
      <c r="E590" s="1" t="s">
        <v>2396</v>
      </c>
      <c r="F590" s="1" t="s">
        <v>2452</v>
      </c>
      <c r="G590" s="1" t="s">
        <v>118</v>
      </c>
      <c r="H590" s="2">
        <v>1</v>
      </c>
      <c r="I590" s="2">
        <v>1</v>
      </c>
      <c r="J590" s="2">
        <v>1</v>
      </c>
      <c r="K590" s="2">
        <v>1</v>
      </c>
      <c r="L590" s="3" t="s">
        <v>127</v>
      </c>
      <c r="O590" s="4">
        <v>1</v>
      </c>
      <c r="P590" s="4" t="s">
        <v>2683</v>
      </c>
      <c r="Q590" s="4"/>
      <c r="R590" s="16">
        <v>120000000</v>
      </c>
      <c r="S590" s="6">
        <v>120000000</v>
      </c>
      <c r="T590" s="16">
        <v>120000000</v>
      </c>
      <c r="U590" s="6">
        <v>120000000</v>
      </c>
      <c r="V590" s="4">
        <v>2010.5</v>
      </c>
      <c r="W590" s="4" t="s">
        <v>1919</v>
      </c>
      <c r="X590" s="4"/>
      <c r="Y590" s="7">
        <v>1</v>
      </c>
      <c r="Z590" s="8">
        <v>7077860</v>
      </c>
      <c r="AA590" s="7" t="s">
        <v>92</v>
      </c>
      <c r="AB590" s="7"/>
      <c r="AC590" s="9">
        <v>2</v>
      </c>
      <c r="AD590" s="10">
        <v>3404220</v>
      </c>
      <c r="AE590" s="9" t="s">
        <v>92</v>
      </c>
      <c r="AF590" s="9"/>
      <c r="AG590" s="11">
        <v>3</v>
      </c>
      <c r="AH590" s="11" t="s">
        <v>131</v>
      </c>
      <c r="AI590" s="11"/>
      <c r="AJ590" s="11">
        <v>3</v>
      </c>
      <c r="AK590" s="11" t="s">
        <v>143</v>
      </c>
      <c r="AL590" s="12">
        <v>2</v>
      </c>
      <c r="AM590" s="12" t="s">
        <v>271</v>
      </c>
      <c r="AN590" s="12"/>
      <c r="AO590" s="12"/>
      <c r="AP590" s="12"/>
      <c r="AQ590" s="4">
        <v>3</v>
      </c>
      <c r="AR590" s="4" t="s">
        <v>2701</v>
      </c>
      <c r="AS590" s="4"/>
      <c r="AT590" s="13">
        <v>-5.9800000190734899</v>
      </c>
      <c r="AU590" s="13">
        <v>-0.14300000667571999</v>
      </c>
      <c r="AV590" s="13">
        <v>-0.63599997758865401</v>
      </c>
      <c r="AW590" s="13">
        <v>0.36700001358985901</v>
      </c>
      <c r="AX590" s="4"/>
      <c r="AY590" s="13">
        <v>-11.300000190734901</v>
      </c>
      <c r="AZ590" s="13">
        <v>-1.1900000572204601</v>
      </c>
      <c r="BA590" s="13">
        <v>-2.2000000476837198</v>
      </c>
      <c r="BB590" s="13">
        <v>-8.5000000894069699E-2</v>
      </c>
      <c r="BC590" s="4">
        <v>1</v>
      </c>
      <c r="BD590" s="4">
        <v>10</v>
      </c>
      <c r="BE590" s="4"/>
      <c r="BF590" s="13">
        <v>1.0030000209808301</v>
      </c>
      <c r="BG590" s="4">
        <v>1640</v>
      </c>
      <c r="BH590" s="13">
        <v>17876</v>
      </c>
      <c r="BI590" s="13">
        <v>29316640</v>
      </c>
      <c r="BJ590" s="4"/>
      <c r="BK590" s="14">
        <v>8</v>
      </c>
      <c r="BL590" s="14">
        <v>8</v>
      </c>
      <c r="BM590" s="14">
        <v>8</v>
      </c>
      <c r="BP590" s="15"/>
      <c r="BQ590" s="15"/>
      <c r="BR590" s="2" t="s">
        <v>211</v>
      </c>
      <c r="BS590" s="2" t="s">
        <v>740</v>
      </c>
      <c r="BT590" s="7" t="s">
        <v>303</v>
      </c>
      <c r="BU590" s="7" t="s">
        <v>240</v>
      </c>
      <c r="BV590" s="9" t="s">
        <v>797</v>
      </c>
      <c r="BW590" s="9"/>
    </row>
    <row r="591" spans="1:75" ht="14.25" customHeight="1" x14ac:dyDescent="0.25">
      <c r="A591" s="1">
        <v>1239</v>
      </c>
      <c r="B591" s="1" t="s">
        <v>2702</v>
      </c>
      <c r="C591" s="1" t="s">
        <v>2703</v>
      </c>
      <c r="D591" s="1" t="s">
        <v>77</v>
      </c>
      <c r="E591" s="1" t="s">
        <v>2396</v>
      </c>
      <c r="F591" s="1" t="s">
        <v>2452</v>
      </c>
      <c r="G591" s="1"/>
      <c r="H591" s="2">
        <v>1</v>
      </c>
      <c r="I591" s="2">
        <v>1</v>
      </c>
      <c r="J591" s="2">
        <v>1</v>
      </c>
      <c r="K591" s="2">
        <v>1</v>
      </c>
      <c r="L591" s="3" t="s">
        <v>127</v>
      </c>
      <c r="O591" s="4">
        <v>2</v>
      </c>
      <c r="P591" s="4" t="s">
        <v>2704</v>
      </c>
      <c r="Q591" s="4" t="s">
        <v>2705</v>
      </c>
      <c r="R591" s="16">
        <v>8100000</v>
      </c>
      <c r="S591" s="6">
        <v>8100000</v>
      </c>
      <c r="T591" s="16">
        <v>8100000</v>
      </c>
      <c r="U591" s="6">
        <v>8100000</v>
      </c>
      <c r="V591" s="4">
        <v>2010.5</v>
      </c>
      <c r="W591" s="4" t="s">
        <v>425</v>
      </c>
      <c r="X591" s="4"/>
      <c r="Y591" s="7">
        <v>1</v>
      </c>
      <c r="Z591" s="8">
        <v>7289251</v>
      </c>
      <c r="AA591" s="7" t="s">
        <v>92</v>
      </c>
      <c r="AB591" s="7"/>
      <c r="AC591" s="9">
        <v>2</v>
      </c>
      <c r="AD591" s="10">
        <v>1308798</v>
      </c>
      <c r="AE591" s="9" t="s">
        <v>92</v>
      </c>
      <c r="AF591" s="9"/>
      <c r="AG591" s="11">
        <v>3</v>
      </c>
      <c r="AH591" s="11" t="s">
        <v>518</v>
      </c>
      <c r="AI591" s="11" t="s">
        <v>2706</v>
      </c>
      <c r="AJ591" s="11">
        <v>3</v>
      </c>
      <c r="AK591" s="11" t="s">
        <v>132</v>
      </c>
      <c r="AL591" s="12">
        <v>2</v>
      </c>
      <c r="AM591" s="12" t="s">
        <v>131</v>
      </c>
      <c r="AN591" s="12" t="s">
        <v>2707</v>
      </c>
      <c r="AO591" s="12">
        <v>2</v>
      </c>
      <c r="AP591" s="12" t="s">
        <v>143</v>
      </c>
      <c r="AQ591" s="4">
        <v>4</v>
      </c>
      <c r="AR591" s="4" t="s">
        <v>2701</v>
      </c>
      <c r="AS591" s="4"/>
      <c r="AT591" s="13">
        <v>-37.900001525878899</v>
      </c>
      <c r="AU591" s="13">
        <v>-1.1000000238418599</v>
      </c>
      <c r="AV591" s="13">
        <v>-1.3099999427795399</v>
      </c>
      <c r="AW591" s="13">
        <v>-0.875</v>
      </c>
      <c r="AX591" s="4">
        <v>1</v>
      </c>
      <c r="AY591" s="13">
        <v>-3.4400000572204599</v>
      </c>
      <c r="AZ591" s="13">
        <v>-0.34900000691413902</v>
      </c>
      <c r="BA591" s="13">
        <v>-1.0099999904632599</v>
      </c>
      <c r="BB591" s="13">
        <v>0.29399999976158098</v>
      </c>
      <c r="BC591" s="4"/>
      <c r="BD591" s="4">
        <v>10</v>
      </c>
      <c r="BE591" s="4"/>
      <c r="BF591" s="13">
        <v>0.43500000238418601</v>
      </c>
      <c r="BG591" s="4">
        <v>1834</v>
      </c>
      <c r="BH591" s="13">
        <v>2182.4599609375</v>
      </c>
      <c r="BI591" s="13">
        <v>4002631.75</v>
      </c>
      <c r="BJ591" s="4"/>
      <c r="BK591" s="14">
        <v>10</v>
      </c>
      <c r="BL591" s="14">
        <v>10</v>
      </c>
      <c r="BM591" s="14">
        <v>10</v>
      </c>
      <c r="BP591" s="15"/>
      <c r="BQ591" s="15"/>
      <c r="BR591" s="2" t="s">
        <v>172</v>
      </c>
      <c r="BS591" s="2" t="s">
        <v>400</v>
      </c>
      <c r="BT591" s="7" t="s">
        <v>458</v>
      </c>
      <c r="BU591" s="7" t="s">
        <v>428</v>
      </c>
      <c r="BV591" s="9" t="s">
        <v>458</v>
      </c>
      <c r="BW591" s="9"/>
    </row>
    <row r="592" spans="1:75" ht="14.25" customHeight="1" x14ac:dyDescent="0.25">
      <c r="A592" s="1">
        <v>1240</v>
      </c>
      <c r="B592" s="1" t="s">
        <v>2708</v>
      </c>
      <c r="C592" s="1" t="s">
        <v>2709</v>
      </c>
      <c r="D592" s="1" t="s">
        <v>77</v>
      </c>
      <c r="E592" s="1" t="s">
        <v>2396</v>
      </c>
      <c r="F592" s="1" t="s">
        <v>2452</v>
      </c>
      <c r="G592" s="1"/>
      <c r="H592" s="2">
        <v>0</v>
      </c>
      <c r="I592" s="2">
        <v>0</v>
      </c>
      <c r="J592" s="2">
        <v>1</v>
      </c>
      <c r="K592" s="2">
        <v>1</v>
      </c>
      <c r="L592" s="3" t="s">
        <v>127</v>
      </c>
      <c r="O592" s="4">
        <v>4</v>
      </c>
      <c r="P592" s="4" t="s">
        <v>112</v>
      </c>
      <c r="Q592" s="4"/>
      <c r="R592" s="5"/>
      <c r="S592" s="6"/>
      <c r="T592" s="17"/>
      <c r="U592" s="6"/>
      <c r="V592" s="4"/>
      <c r="W592" s="4"/>
      <c r="X592" s="4"/>
      <c r="Y592" s="7">
        <v>3</v>
      </c>
      <c r="Z592" s="8">
        <v>420118</v>
      </c>
      <c r="AA592" s="7" t="s">
        <v>92</v>
      </c>
      <c r="AB592" s="7"/>
      <c r="AC592" s="9">
        <v>3</v>
      </c>
      <c r="AD592" s="10">
        <v>646231</v>
      </c>
      <c r="AE592" s="9" t="s">
        <v>92</v>
      </c>
      <c r="AF592" s="9"/>
      <c r="AG592" s="11">
        <v>3</v>
      </c>
      <c r="AH592" s="11" t="s">
        <v>93</v>
      </c>
      <c r="AI592" s="11" t="s">
        <v>393</v>
      </c>
      <c r="AJ592" s="11"/>
      <c r="AK592" s="11"/>
      <c r="AL592" s="12">
        <v>2</v>
      </c>
      <c r="AM592" s="12" t="s">
        <v>93</v>
      </c>
      <c r="AN592" s="12" t="s">
        <v>394</v>
      </c>
      <c r="AO592" s="12"/>
      <c r="AP592" s="12"/>
      <c r="AQ592" s="4">
        <v>3</v>
      </c>
      <c r="AR592" s="4" t="s">
        <v>83</v>
      </c>
      <c r="AS592" s="4"/>
      <c r="AT592" s="13"/>
      <c r="AU592" s="13"/>
      <c r="AV592" s="13"/>
      <c r="AW592" s="13"/>
      <c r="AX592" s="4"/>
      <c r="AY592" s="13"/>
      <c r="AZ592" s="13"/>
      <c r="BA592" s="13"/>
      <c r="BB592" s="13"/>
      <c r="BC592" s="4"/>
      <c r="BD592" s="4"/>
      <c r="BE592" s="4"/>
      <c r="BF592" s="13"/>
      <c r="BG592" s="4"/>
      <c r="BH592" s="13"/>
      <c r="BI592" s="13"/>
      <c r="BJ592" s="4"/>
      <c r="BK592" s="14">
        <v>13</v>
      </c>
      <c r="BL592" s="14">
        <v>12</v>
      </c>
      <c r="BM592" s="14">
        <v>13</v>
      </c>
      <c r="BP592" s="15"/>
      <c r="BQ592" s="15"/>
      <c r="BR592" s="2" t="s">
        <v>400</v>
      </c>
      <c r="BS592" s="2" t="s">
        <v>400</v>
      </c>
      <c r="BT592" s="7" t="s">
        <v>458</v>
      </c>
      <c r="BU592" s="7"/>
      <c r="BV592" s="9" t="s">
        <v>147</v>
      </c>
      <c r="BW592" s="9" t="s">
        <v>248</v>
      </c>
    </row>
    <row r="593" spans="1:75" ht="14.25" customHeight="1" x14ac:dyDescent="0.25">
      <c r="A593" s="1">
        <v>1241</v>
      </c>
      <c r="B593" s="1" t="s">
        <v>2710</v>
      </c>
      <c r="C593" s="1" t="s">
        <v>2711</v>
      </c>
      <c r="D593" s="1" t="s">
        <v>77</v>
      </c>
      <c r="E593" s="1" t="s">
        <v>2396</v>
      </c>
      <c r="F593" s="1" t="s">
        <v>2452</v>
      </c>
      <c r="G593" s="1" t="s">
        <v>118</v>
      </c>
      <c r="H593" s="2">
        <v>1</v>
      </c>
      <c r="I593" s="2">
        <v>1</v>
      </c>
      <c r="J593" s="2">
        <v>1</v>
      </c>
      <c r="K593" s="2">
        <v>1</v>
      </c>
      <c r="L593" s="3" t="s">
        <v>127</v>
      </c>
      <c r="O593" s="4">
        <v>2</v>
      </c>
      <c r="P593" s="4" t="s">
        <v>2693</v>
      </c>
      <c r="Q593" s="4"/>
      <c r="R593" s="16">
        <v>27000000</v>
      </c>
      <c r="S593" s="6">
        <v>27000000</v>
      </c>
      <c r="T593" s="16">
        <v>27000000</v>
      </c>
      <c r="U593" s="6">
        <v>27000000</v>
      </c>
      <c r="V593" s="4">
        <v>2010.5</v>
      </c>
      <c r="W593" s="4" t="s">
        <v>579</v>
      </c>
      <c r="X593" s="4"/>
      <c r="Y593" s="7">
        <v>1</v>
      </c>
      <c r="Z593" s="8">
        <v>6129659</v>
      </c>
      <c r="AA593" s="7" t="s">
        <v>92</v>
      </c>
      <c r="AB593" s="7"/>
      <c r="AC593" s="9">
        <v>2</v>
      </c>
      <c r="AD593" s="10">
        <v>1025774</v>
      </c>
      <c r="AE593" s="9" t="s">
        <v>92</v>
      </c>
      <c r="AF593" s="9"/>
      <c r="AG593" s="11">
        <v>3</v>
      </c>
      <c r="AH593" s="11" t="s">
        <v>454</v>
      </c>
      <c r="AI593" s="11" t="s">
        <v>2712</v>
      </c>
      <c r="AJ593" s="11">
        <v>3</v>
      </c>
      <c r="AK593" s="11" t="s">
        <v>143</v>
      </c>
      <c r="AL593" s="12">
        <v>2</v>
      </c>
      <c r="AM593" s="12" t="s">
        <v>131</v>
      </c>
      <c r="AN593" s="12"/>
      <c r="AO593" s="12">
        <v>2</v>
      </c>
      <c r="AP593" s="12" t="s">
        <v>132</v>
      </c>
      <c r="AQ593" s="4">
        <v>5</v>
      </c>
      <c r="AR593" s="4" t="s">
        <v>133</v>
      </c>
      <c r="AS593" s="4"/>
      <c r="AT593" s="13">
        <v>-53.2180786132813</v>
      </c>
      <c r="AU593" s="13">
        <v>-1.4800566434860201</v>
      </c>
      <c r="AV593" s="13">
        <v>-1.6825970411300699</v>
      </c>
      <c r="AW593" s="13">
        <v>-1.16999995708466</v>
      </c>
      <c r="AX593" s="4">
        <v>1</v>
      </c>
      <c r="AY593" s="13">
        <v>-12.852654457092299</v>
      </c>
      <c r="AZ593" s="13">
        <v>-1.3633474111557</v>
      </c>
      <c r="BA593" s="13">
        <v>-2.1900000572204599</v>
      </c>
      <c r="BB593" s="13">
        <v>-0.61820101737976096</v>
      </c>
      <c r="BC593" s="4">
        <v>1</v>
      </c>
      <c r="BD593" s="4">
        <v>10</v>
      </c>
      <c r="BE593" s="4" t="s">
        <v>134</v>
      </c>
      <c r="BF593" s="13">
        <v>0.51259702444076505</v>
      </c>
      <c r="BG593" s="4">
        <v>2048</v>
      </c>
      <c r="BH593" s="13">
        <v>5.4299998283386204</v>
      </c>
      <c r="BI593" s="13">
        <v>11103.6298828125</v>
      </c>
      <c r="BJ593" s="4"/>
      <c r="BK593" s="14">
        <v>11</v>
      </c>
      <c r="BL593" s="14">
        <v>11</v>
      </c>
      <c r="BM593" s="14">
        <v>11</v>
      </c>
      <c r="BN593" s="3" t="s">
        <v>302</v>
      </c>
      <c r="BP593" s="15"/>
      <c r="BQ593" s="15"/>
      <c r="BR593" s="2" t="s">
        <v>211</v>
      </c>
      <c r="BS593" s="2" t="s">
        <v>400</v>
      </c>
      <c r="BT593" s="7" t="s">
        <v>241</v>
      </c>
      <c r="BU593" s="7" t="s">
        <v>428</v>
      </c>
      <c r="BV593" s="9" t="s">
        <v>797</v>
      </c>
      <c r="BW593" s="9"/>
    </row>
    <row r="594" spans="1:75" ht="14.25" customHeight="1" x14ac:dyDescent="0.25">
      <c r="A594" s="1">
        <v>1242</v>
      </c>
      <c r="B594" s="1" t="s">
        <v>2713</v>
      </c>
      <c r="C594" s="1" t="s">
        <v>2714</v>
      </c>
      <c r="D594" s="1" t="s">
        <v>77</v>
      </c>
      <c r="E594" s="1" t="s">
        <v>2396</v>
      </c>
      <c r="F594" s="1" t="s">
        <v>2452</v>
      </c>
      <c r="G594" s="1" t="s">
        <v>118</v>
      </c>
      <c r="H594" s="2">
        <v>1</v>
      </c>
      <c r="I594" s="2">
        <v>1</v>
      </c>
      <c r="J594" s="2">
        <v>1</v>
      </c>
      <c r="K594" s="2">
        <v>1</v>
      </c>
      <c r="L594" s="3" t="s">
        <v>127</v>
      </c>
      <c r="O594" s="4">
        <v>2</v>
      </c>
      <c r="P594" s="4" t="s">
        <v>425</v>
      </c>
      <c r="Q594" s="4"/>
      <c r="R594" s="16">
        <v>20000000</v>
      </c>
      <c r="S594" s="6">
        <v>20000000</v>
      </c>
      <c r="T594" s="16">
        <v>20000000</v>
      </c>
      <c r="U594" s="6">
        <v>20000000</v>
      </c>
      <c r="V594" s="4">
        <v>2010.5</v>
      </c>
      <c r="W594" s="4" t="s">
        <v>425</v>
      </c>
      <c r="X594" s="4"/>
      <c r="Y594" s="7">
        <v>2</v>
      </c>
      <c r="Z594" s="8">
        <v>2753247</v>
      </c>
      <c r="AA594" s="7" t="s">
        <v>92</v>
      </c>
      <c r="AB594" s="7"/>
      <c r="AC594" s="9">
        <v>3</v>
      </c>
      <c r="AD594" s="10">
        <v>783623</v>
      </c>
      <c r="AE594" s="9" t="s">
        <v>92</v>
      </c>
      <c r="AF594" s="9"/>
      <c r="AG594" s="11">
        <v>3</v>
      </c>
      <c r="AH594" s="11" t="s">
        <v>518</v>
      </c>
      <c r="AI594" s="11" t="s">
        <v>519</v>
      </c>
      <c r="AJ594" s="11">
        <v>3</v>
      </c>
      <c r="AK594" s="11" t="s">
        <v>143</v>
      </c>
      <c r="AL594" s="12">
        <v>3</v>
      </c>
      <c r="AM594" s="12" t="s">
        <v>131</v>
      </c>
      <c r="AN594" s="12" t="s">
        <v>2715</v>
      </c>
      <c r="AO594" s="12">
        <v>3</v>
      </c>
      <c r="AP594" s="12" t="s">
        <v>143</v>
      </c>
      <c r="AQ594" s="4">
        <v>2</v>
      </c>
      <c r="AR594" s="4" t="s">
        <v>133</v>
      </c>
      <c r="AS594" s="4"/>
      <c r="AT594" s="13">
        <v>30.097496032714801</v>
      </c>
      <c r="AU594" s="13">
        <v>0.51709830760955799</v>
      </c>
      <c r="AV594" s="13">
        <v>-0.153999999165535</v>
      </c>
      <c r="AW594" s="13">
        <v>1.12999999523163</v>
      </c>
      <c r="AX594" s="4"/>
      <c r="AY594" s="13">
        <v>-13.5894622802734</v>
      </c>
      <c r="AZ594" s="13">
        <v>-1.4501470327377299</v>
      </c>
      <c r="BA594" s="13">
        <v>-2.9852991104125999</v>
      </c>
      <c r="BB594" s="13">
        <v>2.71000005304813E-2</v>
      </c>
      <c r="BC594" s="4"/>
      <c r="BD594" s="4">
        <v>10</v>
      </c>
      <c r="BE594" s="4" t="s">
        <v>134</v>
      </c>
      <c r="BF594" s="13">
        <v>1.2840000391006501</v>
      </c>
      <c r="BG594" s="4">
        <v>585</v>
      </c>
      <c r="BH594" s="13">
        <v>4.3200001716613796</v>
      </c>
      <c r="BI594" s="13">
        <v>2527.19995117188</v>
      </c>
      <c r="BJ594" s="4"/>
      <c r="BK594" s="14">
        <v>9</v>
      </c>
      <c r="BL594" s="14">
        <v>10</v>
      </c>
      <c r="BM594" s="14">
        <v>10</v>
      </c>
      <c r="BP594" s="15"/>
      <c r="BQ594" s="15"/>
      <c r="BR594" s="2" t="s">
        <v>555</v>
      </c>
      <c r="BS594" s="2" t="s">
        <v>409</v>
      </c>
      <c r="BT594" s="7" t="s">
        <v>428</v>
      </c>
      <c r="BU594" s="7"/>
      <c r="BV594" s="9" t="s">
        <v>438</v>
      </c>
      <c r="BW594" s="9" t="s">
        <v>437</v>
      </c>
    </row>
    <row r="595" spans="1:75" ht="14.25" customHeight="1" x14ac:dyDescent="0.25">
      <c r="A595" s="1">
        <v>1243</v>
      </c>
      <c r="B595" s="1" t="s">
        <v>2716</v>
      </c>
      <c r="C595" s="1" t="s">
        <v>2717</v>
      </c>
      <c r="D595" s="1" t="s">
        <v>77</v>
      </c>
      <c r="E595" s="1" t="s">
        <v>2396</v>
      </c>
      <c r="F595" s="1" t="s">
        <v>2452</v>
      </c>
      <c r="G595" s="1" t="s">
        <v>118</v>
      </c>
      <c r="H595" s="2">
        <v>1</v>
      </c>
      <c r="I595" s="2">
        <v>1</v>
      </c>
      <c r="J595" s="2">
        <v>1</v>
      </c>
      <c r="K595" s="2">
        <v>0</v>
      </c>
      <c r="L595" s="3" t="s">
        <v>127</v>
      </c>
      <c r="O595" s="4">
        <v>3</v>
      </c>
      <c r="P595" s="4" t="s">
        <v>425</v>
      </c>
      <c r="Q595" s="4"/>
      <c r="R595" s="16">
        <v>2900000</v>
      </c>
      <c r="S595" s="6">
        <v>2900000</v>
      </c>
      <c r="T595" s="16">
        <v>2900000</v>
      </c>
      <c r="U595" s="6">
        <v>2900000</v>
      </c>
      <c r="V595" s="4">
        <v>2010.5</v>
      </c>
      <c r="W595" s="4" t="s">
        <v>425</v>
      </c>
      <c r="X595" s="4"/>
      <c r="Y595" s="7">
        <v>2</v>
      </c>
      <c r="Z595" s="8">
        <v>1143266</v>
      </c>
      <c r="AA595" s="7" t="s">
        <v>92</v>
      </c>
      <c r="AB595" s="7"/>
      <c r="AC595" s="9">
        <v>3</v>
      </c>
      <c r="AD595" s="10">
        <v>961381</v>
      </c>
      <c r="AE595" s="9" t="s">
        <v>92</v>
      </c>
      <c r="AF595" s="9"/>
      <c r="AG595" s="11">
        <v>4</v>
      </c>
      <c r="AH595" s="11" t="s">
        <v>131</v>
      </c>
      <c r="AI595" s="11" t="s">
        <v>2718</v>
      </c>
      <c r="AJ595" s="11">
        <v>4</v>
      </c>
      <c r="AK595" s="11" t="s">
        <v>143</v>
      </c>
      <c r="AL595" s="12">
        <v>2</v>
      </c>
      <c r="AM595" s="12" t="s">
        <v>131</v>
      </c>
      <c r="AN595" s="12" t="s">
        <v>2719</v>
      </c>
      <c r="AO595" s="12">
        <v>2</v>
      </c>
      <c r="AP595" s="12" t="s">
        <v>132</v>
      </c>
      <c r="AQ595" s="4">
        <v>1</v>
      </c>
      <c r="AR595" s="4" t="s">
        <v>133</v>
      </c>
      <c r="AS595" s="4"/>
      <c r="AT595" s="13">
        <v>162.17555236816401</v>
      </c>
      <c r="AU595" s="13">
        <v>1.9062542915344201</v>
      </c>
      <c r="AV595" s="13">
        <v>1.03550004959106</v>
      </c>
      <c r="AW595" s="13">
        <v>2.9700000286102299</v>
      </c>
      <c r="AX595" s="4">
        <v>1</v>
      </c>
      <c r="AY595" s="13">
        <v>-5.1712985038757298</v>
      </c>
      <c r="AZ595" s="13">
        <v>-0.529896199703217</v>
      </c>
      <c r="BA595" s="13">
        <v>-2</v>
      </c>
      <c r="BB595" s="13">
        <v>0.92900002002716098</v>
      </c>
      <c r="BC595" s="4"/>
      <c r="BD595" s="4">
        <v>10</v>
      </c>
      <c r="BE595" s="4" t="s">
        <v>134</v>
      </c>
      <c r="BF595" s="13">
        <v>1.9344999790191699</v>
      </c>
      <c r="BG595" s="4">
        <v>283.5</v>
      </c>
      <c r="BH595" s="13">
        <v>1.4299999475479099</v>
      </c>
      <c r="BI595" s="13">
        <v>406.00500488281301</v>
      </c>
      <c r="BJ595" s="4"/>
      <c r="BK595" s="14">
        <v>10</v>
      </c>
      <c r="BL595" s="14">
        <v>9</v>
      </c>
      <c r="BM595" s="14">
        <v>10</v>
      </c>
      <c r="BP595" s="15"/>
      <c r="BQ595" s="15"/>
      <c r="BR595" s="2" t="s">
        <v>555</v>
      </c>
      <c r="BS595" s="2" t="s">
        <v>297</v>
      </c>
      <c r="BT595" s="7" t="s">
        <v>428</v>
      </c>
      <c r="BU595" s="7"/>
      <c r="BV595" s="9" t="s">
        <v>475</v>
      </c>
      <c r="BW595" s="9" t="s">
        <v>109</v>
      </c>
    </row>
    <row r="596" spans="1:75" ht="14.25" customHeight="1" x14ac:dyDescent="0.25">
      <c r="A596" s="1">
        <v>1244</v>
      </c>
      <c r="B596" s="1" t="s">
        <v>2720</v>
      </c>
      <c r="C596" s="1" t="s">
        <v>2721</v>
      </c>
      <c r="D596" s="1" t="s">
        <v>77</v>
      </c>
      <c r="E596" s="1" t="s">
        <v>2396</v>
      </c>
      <c r="F596" s="1" t="s">
        <v>2452</v>
      </c>
      <c r="G596" s="1" t="s">
        <v>118</v>
      </c>
      <c r="H596" s="2">
        <v>1</v>
      </c>
      <c r="I596" s="2">
        <v>1</v>
      </c>
      <c r="J596" s="2">
        <v>1</v>
      </c>
      <c r="K596" s="2">
        <v>1</v>
      </c>
      <c r="L596" s="3" t="s">
        <v>127</v>
      </c>
      <c r="O596" s="4">
        <v>2</v>
      </c>
      <c r="P596" s="4" t="s">
        <v>424</v>
      </c>
      <c r="Q596" s="4"/>
      <c r="R596" s="16">
        <v>8800000</v>
      </c>
      <c r="S596" s="6">
        <v>8800000</v>
      </c>
      <c r="T596" s="16">
        <v>8800000</v>
      </c>
      <c r="U596" s="6">
        <v>8800000</v>
      </c>
      <c r="V596" s="4">
        <v>2010.5</v>
      </c>
      <c r="W596" s="4" t="s">
        <v>425</v>
      </c>
      <c r="X596" s="4"/>
      <c r="Y596" s="7">
        <v>2</v>
      </c>
      <c r="Z596" s="8">
        <v>2675533</v>
      </c>
      <c r="AA596" s="7" t="s">
        <v>92</v>
      </c>
      <c r="AB596" s="7"/>
      <c r="AC596" s="9">
        <v>3</v>
      </c>
      <c r="AD596" s="10">
        <v>954474</v>
      </c>
      <c r="AE596" s="9" t="s">
        <v>92</v>
      </c>
      <c r="AF596" s="9"/>
      <c r="AG596" s="11">
        <v>4</v>
      </c>
      <c r="AH596" s="11" t="s">
        <v>131</v>
      </c>
      <c r="AI596" s="11"/>
      <c r="AJ596" s="11">
        <v>5</v>
      </c>
      <c r="AK596" s="11" t="s">
        <v>143</v>
      </c>
      <c r="AL596" s="12">
        <v>2</v>
      </c>
      <c r="AM596" s="12" t="s">
        <v>131</v>
      </c>
      <c r="AN596" s="12"/>
      <c r="AO596" s="12">
        <v>2</v>
      </c>
      <c r="AP596" s="12" t="s">
        <v>132</v>
      </c>
      <c r="AQ596" s="4">
        <v>2</v>
      </c>
      <c r="AR596" s="4" t="s">
        <v>133</v>
      </c>
      <c r="AS596" s="4"/>
      <c r="AT596" s="13">
        <v>-0.91666007041931197</v>
      </c>
      <c r="AU596" s="13">
        <v>-1.8478704616427401E-2</v>
      </c>
      <c r="AV596" s="13">
        <v>-0.74599999189376798</v>
      </c>
      <c r="AW596" s="13">
        <v>1.08000004291534</v>
      </c>
      <c r="AX596" s="4"/>
      <c r="AY596" s="13">
        <v>2.64713788032532</v>
      </c>
      <c r="AZ596" s="13">
        <v>0.26116752624511702</v>
      </c>
      <c r="BA596" s="13">
        <v>-2.1900000572204599</v>
      </c>
      <c r="BB596" s="13">
        <v>2.1110060214996298</v>
      </c>
      <c r="BC596" s="4"/>
      <c r="BD596" s="4">
        <v>10</v>
      </c>
      <c r="BE596" s="4" t="s">
        <v>134</v>
      </c>
      <c r="BF596" s="13">
        <v>1.82599997520447</v>
      </c>
      <c r="BG596" s="4">
        <v>650</v>
      </c>
      <c r="BH596" s="13">
        <v>4.0599999427795401</v>
      </c>
      <c r="BI596" s="13">
        <v>2634.78002929688</v>
      </c>
      <c r="BJ596" s="4"/>
      <c r="BK596" s="14">
        <v>10</v>
      </c>
      <c r="BL596" s="14">
        <v>9</v>
      </c>
      <c r="BM596" s="14">
        <v>10</v>
      </c>
      <c r="BP596" s="15"/>
      <c r="BQ596" s="15"/>
      <c r="BR596" s="2" t="s">
        <v>555</v>
      </c>
      <c r="BS596" s="2" t="s">
        <v>409</v>
      </c>
      <c r="BT596" s="7" t="s">
        <v>428</v>
      </c>
      <c r="BU596" s="7"/>
      <c r="BV596" s="9" t="s">
        <v>109</v>
      </c>
      <c r="BW596" s="9" t="s">
        <v>438</v>
      </c>
    </row>
    <row r="597" spans="1:75" ht="14.25" customHeight="1" x14ac:dyDescent="0.25">
      <c r="A597" s="1">
        <v>1245</v>
      </c>
      <c r="B597" s="1" t="s">
        <v>2722</v>
      </c>
      <c r="C597" s="1" t="s">
        <v>2723</v>
      </c>
      <c r="D597" s="1" t="s">
        <v>77</v>
      </c>
      <c r="E597" s="1" t="s">
        <v>2396</v>
      </c>
      <c r="F597" s="1" t="s">
        <v>2452</v>
      </c>
      <c r="G597" s="1"/>
      <c r="H597" s="2">
        <v>0</v>
      </c>
      <c r="I597" s="2">
        <v>0</v>
      </c>
      <c r="J597" s="2">
        <v>1</v>
      </c>
      <c r="K597" s="2">
        <v>1</v>
      </c>
      <c r="L597" s="3" t="s">
        <v>80</v>
      </c>
      <c r="O597" s="4">
        <v>4</v>
      </c>
      <c r="P597" s="4" t="s">
        <v>112</v>
      </c>
      <c r="Q597" s="4"/>
      <c r="R597" s="5"/>
      <c r="S597" s="6"/>
      <c r="T597" s="17"/>
      <c r="U597" s="6"/>
      <c r="V597" s="4"/>
      <c r="W597" s="4"/>
      <c r="X597" s="4"/>
      <c r="Y597" s="7">
        <v>3</v>
      </c>
      <c r="Z597" s="8">
        <v>481529</v>
      </c>
      <c r="AA597" s="7" t="s">
        <v>92</v>
      </c>
      <c r="AB597" s="7"/>
      <c r="AC597" s="9">
        <v>3</v>
      </c>
      <c r="AD597" s="10">
        <v>481529</v>
      </c>
      <c r="AE597" s="9" t="s">
        <v>92</v>
      </c>
      <c r="AF597" s="9"/>
      <c r="AG597" s="11">
        <v>3</v>
      </c>
      <c r="AH597" s="11" t="s">
        <v>93</v>
      </c>
      <c r="AI597" s="11"/>
      <c r="AJ597" s="11"/>
      <c r="AK597" s="11"/>
      <c r="AL597" s="12">
        <v>3</v>
      </c>
      <c r="AM597" s="12" t="s">
        <v>93</v>
      </c>
      <c r="AN597" s="12" t="s">
        <v>698</v>
      </c>
      <c r="AO597" s="12"/>
      <c r="AP597" s="12"/>
      <c r="AQ597" s="4">
        <v>3</v>
      </c>
      <c r="AR597" s="4" t="s">
        <v>83</v>
      </c>
      <c r="AS597" s="4"/>
      <c r="AT597" s="13"/>
      <c r="AU597" s="13"/>
      <c r="AV597" s="13"/>
      <c r="AW597" s="13"/>
      <c r="AX597" s="4"/>
      <c r="AY597" s="13"/>
      <c r="AZ597" s="13"/>
      <c r="BA597" s="13"/>
      <c r="BB597" s="13"/>
      <c r="BC597" s="4"/>
      <c r="BD597" s="4"/>
      <c r="BE597" s="4"/>
      <c r="BF597" s="13"/>
      <c r="BG597" s="4"/>
      <c r="BH597" s="13"/>
      <c r="BI597" s="13"/>
      <c r="BJ597" s="4"/>
      <c r="BK597" s="14">
        <v>13</v>
      </c>
      <c r="BL597" s="14">
        <v>13</v>
      </c>
      <c r="BM597" s="14">
        <v>13</v>
      </c>
      <c r="BP597" s="15"/>
      <c r="BQ597" s="15"/>
      <c r="BR597" s="2" t="s">
        <v>409</v>
      </c>
      <c r="BS597" s="2" t="s">
        <v>409</v>
      </c>
      <c r="BT597" s="7" t="s">
        <v>438</v>
      </c>
      <c r="BU597" s="7"/>
      <c r="BV597" s="9" t="s">
        <v>438</v>
      </c>
      <c r="BW597" s="9"/>
    </row>
    <row r="598" spans="1:75" ht="14.25" customHeight="1" x14ac:dyDescent="0.25">
      <c r="A598" s="1">
        <v>1246</v>
      </c>
      <c r="B598" s="1" t="s">
        <v>2724</v>
      </c>
      <c r="C598" s="1" t="s">
        <v>2725</v>
      </c>
      <c r="D598" s="1" t="s">
        <v>77</v>
      </c>
      <c r="E598" s="1" t="s">
        <v>2396</v>
      </c>
      <c r="F598" s="1" t="s">
        <v>2452</v>
      </c>
      <c r="G598" s="1"/>
      <c r="H598" s="2">
        <v>1</v>
      </c>
      <c r="I598" s="2">
        <v>1</v>
      </c>
      <c r="J598" s="2">
        <v>1</v>
      </c>
      <c r="K598" s="2">
        <v>0</v>
      </c>
      <c r="L598" s="3" t="s">
        <v>127</v>
      </c>
      <c r="O598" s="4">
        <v>2</v>
      </c>
      <c r="P598" s="4" t="s">
        <v>424</v>
      </c>
      <c r="Q598" s="4"/>
      <c r="R598" s="16">
        <v>9500000</v>
      </c>
      <c r="S598" s="6">
        <v>9500000</v>
      </c>
      <c r="T598" s="16">
        <v>9000000</v>
      </c>
      <c r="U598" s="6">
        <v>9000000</v>
      </c>
      <c r="V598" s="4">
        <v>2010.5</v>
      </c>
      <c r="W598" s="4" t="s">
        <v>425</v>
      </c>
      <c r="X598" s="4"/>
      <c r="Y598" s="7">
        <v>3</v>
      </c>
      <c r="Z598" s="8">
        <v>862278</v>
      </c>
      <c r="AA598" s="7" t="s">
        <v>92</v>
      </c>
      <c r="AB598" s="7"/>
      <c r="AC598" s="9">
        <v>4</v>
      </c>
      <c r="AD598" s="10">
        <v>299354</v>
      </c>
      <c r="AE598" s="9" t="s">
        <v>92</v>
      </c>
      <c r="AF598" s="9"/>
      <c r="AG598" s="11">
        <v>2</v>
      </c>
      <c r="AH598" s="11" t="s">
        <v>518</v>
      </c>
      <c r="AI598" s="11" t="s">
        <v>519</v>
      </c>
      <c r="AJ598" s="11">
        <v>2</v>
      </c>
      <c r="AK598" s="11" t="s">
        <v>132</v>
      </c>
      <c r="AL598" s="12">
        <v>3</v>
      </c>
      <c r="AM598" s="12" t="s">
        <v>131</v>
      </c>
      <c r="AN598" s="12" t="s">
        <v>2726</v>
      </c>
      <c r="AO598" s="12">
        <v>2</v>
      </c>
      <c r="AP598" s="12" t="s">
        <v>132</v>
      </c>
      <c r="AQ598" s="4">
        <v>2</v>
      </c>
      <c r="AR598" s="4" t="s">
        <v>2727</v>
      </c>
      <c r="AS598" s="4"/>
      <c r="AT598" s="13">
        <v>2.3099999427795401</v>
      </c>
      <c r="AU598" s="13">
        <v>4.4799998402595499E-2</v>
      </c>
      <c r="AV598" s="13">
        <v>-0.317999988794327</v>
      </c>
      <c r="AW598" s="13">
        <v>0.442999988794327</v>
      </c>
      <c r="AX598" s="4"/>
      <c r="AY598" s="13">
        <v>-5.5799999237060502</v>
      </c>
      <c r="AZ598" s="13">
        <v>-0.57300001382827803</v>
      </c>
      <c r="BA598" s="13">
        <v>-1.62999999523163</v>
      </c>
      <c r="BB598" s="13">
        <v>0.49799999594688399</v>
      </c>
      <c r="BC598" s="4"/>
      <c r="BD598" s="4">
        <v>10</v>
      </c>
      <c r="BE598" s="4"/>
      <c r="BF598" s="13">
        <v>0.76099997758865401</v>
      </c>
      <c r="BG598" s="4">
        <v>443</v>
      </c>
      <c r="BH598" s="13">
        <v>2144.1201171875</v>
      </c>
      <c r="BI598" s="13">
        <v>949845.1875</v>
      </c>
      <c r="BJ598" s="4"/>
      <c r="BK598" s="14">
        <v>9</v>
      </c>
      <c r="BL598" s="14">
        <v>11</v>
      </c>
      <c r="BM598" s="14">
        <v>11</v>
      </c>
      <c r="BP598" s="15"/>
      <c r="BQ598" s="15"/>
      <c r="BR598" s="2" t="s">
        <v>162</v>
      </c>
      <c r="BS598" s="2" t="s">
        <v>108</v>
      </c>
      <c r="BT598" s="7" t="s">
        <v>428</v>
      </c>
      <c r="BU598" s="7"/>
      <c r="BV598" s="9" t="s">
        <v>109</v>
      </c>
      <c r="BW598" s="9"/>
    </row>
    <row r="599" spans="1:75" ht="14.25" customHeight="1" x14ac:dyDescent="0.25">
      <c r="A599" s="1">
        <v>1247</v>
      </c>
      <c r="B599" s="1" t="s">
        <v>2728</v>
      </c>
      <c r="C599" s="1" t="s">
        <v>2729</v>
      </c>
      <c r="D599" s="1" t="s">
        <v>77</v>
      </c>
      <c r="E599" s="1" t="s">
        <v>2396</v>
      </c>
      <c r="F599" s="1" t="s">
        <v>2452</v>
      </c>
      <c r="G599" s="1"/>
      <c r="H599" s="2">
        <v>1</v>
      </c>
      <c r="I599" s="2">
        <v>1</v>
      </c>
      <c r="J599" s="2">
        <v>1</v>
      </c>
      <c r="K599" s="2">
        <v>0</v>
      </c>
      <c r="L599" s="3" t="s">
        <v>127</v>
      </c>
      <c r="O599" s="4">
        <v>3</v>
      </c>
      <c r="P599" s="4" t="s">
        <v>424</v>
      </c>
      <c r="Q599" s="4"/>
      <c r="R599" s="16">
        <v>3600000</v>
      </c>
      <c r="S599" s="6">
        <v>3600000</v>
      </c>
      <c r="T599" s="16">
        <v>2200000</v>
      </c>
      <c r="U599" s="6">
        <v>2200000</v>
      </c>
      <c r="V599" s="4">
        <v>2010.5</v>
      </c>
      <c r="W599" s="4" t="s">
        <v>425</v>
      </c>
      <c r="X599" s="4"/>
      <c r="Y599" s="7">
        <v>2</v>
      </c>
      <c r="Z599" s="8">
        <v>2344835</v>
      </c>
      <c r="AA599" s="7" t="s">
        <v>92</v>
      </c>
      <c r="AB599" s="7"/>
      <c r="AC599" s="9">
        <v>3</v>
      </c>
      <c r="AD599" s="10">
        <v>594604</v>
      </c>
      <c r="AE599" s="9" t="s">
        <v>92</v>
      </c>
      <c r="AF599" s="9"/>
      <c r="AG599" s="11">
        <v>4</v>
      </c>
      <c r="AH599" s="11" t="s">
        <v>131</v>
      </c>
      <c r="AI599" s="11" t="s">
        <v>2730</v>
      </c>
      <c r="AJ599" s="11">
        <v>4</v>
      </c>
      <c r="AK599" s="11" t="s">
        <v>143</v>
      </c>
      <c r="AL599" s="12">
        <v>4</v>
      </c>
      <c r="AM599" s="12" t="s">
        <v>131</v>
      </c>
      <c r="AN599" s="12" t="s">
        <v>2731</v>
      </c>
      <c r="AO599" s="12">
        <v>4</v>
      </c>
      <c r="AP599" s="12" t="s">
        <v>132</v>
      </c>
      <c r="AQ599" s="4">
        <v>3</v>
      </c>
      <c r="AR599" s="4" t="s">
        <v>2727</v>
      </c>
      <c r="AS599" s="4"/>
      <c r="AT599" s="13">
        <v>-19.799999237060501</v>
      </c>
      <c r="AU599" s="13">
        <v>-0.43099999427795399</v>
      </c>
      <c r="AV599" s="13">
        <v>-1.0900000333786</v>
      </c>
      <c r="AW599" s="13">
        <v>0.25099998712539701</v>
      </c>
      <c r="AX599" s="4"/>
      <c r="AY599" s="13">
        <v>-5.7800002098083496</v>
      </c>
      <c r="AZ599" s="13">
        <v>-0.59399998188018799</v>
      </c>
      <c r="BA599" s="13">
        <v>-1.87999999523163</v>
      </c>
      <c r="BB599" s="13">
        <v>0.70999997854232799</v>
      </c>
      <c r="BC599" s="4"/>
      <c r="BD599" s="4">
        <v>10</v>
      </c>
      <c r="BE599" s="4"/>
      <c r="BF599" s="13">
        <v>1.3409999608993499</v>
      </c>
      <c r="BG599" s="4">
        <v>308</v>
      </c>
      <c r="BH599" s="13">
        <v>222.99200439453099</v>
      </c>
      <c r="BI599" s="13">
        <v>68681.5390625</v>
      </c>
      <c r="BJ599" s="4"/>
      <c r="BK599" s="14">
        <v>12</v>
      </c>
      <c r="BL599" s="14">
        <v>13</v>
      </c>
      <c r="BM599" s="14">
        <v>13</v>
      </c>
      <c r="BP599" s="15"/>
      <c r="BQ599" s="15"/>
      <c r="BR599" s="2" t="s">
        <v>555</v>
      </c>
      <c r="BS599" s="2" t="s">
        <v>409</v>
      </c>
      <c r="BT599" s="7" t="s">
        <v>428</v>
      </c>
      <c r="BU599" s="7" t="s">
        <v>438</v>
      </c>
      <c r="BV599" s="9" t="s">
        <v>438</v>
      </c>
      <c r="BW599" s="9"/>
    </row>
    <row r="600" spans="1:75" ht="14.25" customHeight="1" x14ac:dyDescent="0.25">
      <c r="A600" s="1">
        <v>1248</v>
      </c>
      <c r="B600" s="1" t="s">
        <v>2732</v>
      </c>
      <c r="C600" s="1" t="s">
        <v>2733</v>
      </c>
      <c r="D600" s="1" t="s">
        <v>77</v>
      </c>
      <c r="E600" s="1" t="s">
        <v>2396</v>
      </c>
      <c r="F600" s="1" t="s">
        <v>2452</v>
      </c>
      <c r="G600" s="1"/>
      <c r="H600" s="2">
        <v>0</v>
      </c>
      <c r="I600" s="2">
        <v>0</v>
      </c>
      <c r="J600" s="2">
        <v>1</v>
      </c>
      <c r="K600" s="2">
        <v>1</v>
      </c>
      <c r="L600" s="3" t="s">
        <v>80</v>
      </c>
      <c r="O600" s="4">
        <v>4</v>
      </c>
      <c r="P600" s="4" t="s">
        <v>112</v>
      </c>
      <c r="Q600" s="4"/>
      <c r="R600" s="5"/>
      <c r="S600" s="6"/>
      <c r="T600" s="17"/>
      <c r="U600" s="6"/>
      <c r="V600" s="4"/>
      <c r="W600" s="4"/>
      <c r="X600" s="4"/>
      <c r="Y600" s="7">
        <v>4</v>
      </c>
      <c r="Z600" s="8">
        <v>165887</v>
      </c>
      <c r="AA600" s="7" t="s">
        <v>92</v>
      </c>
      <c r="AB600" s="7"/>
      <c r="AC600" s="9">
        <v>4</v>
      </c>
      <c r="AD600" s="10">
        <v>165887</v>
      </c>
      <c r="AE600" s="9" t="s">
        <v>92</v>
      </c>
      <c r="AF600" s="9"/>
      <c r="AG600" s="11">
        <v>4</v>
      </c>
      <c r="AH600" s="11" t="s">
        <v>93</v>
      </c>
      <c r="AI600" s="11"/>
      <c r="AJ600" s="11"/>
      <c r="AK600" s="11"/>
      <c r="AL600" s="12">
        <v>4</v>
      </c>
      <c r="AM600" s="12" t="s">
        <v>93</v>
      </c>
      <c r="AN600" s="12" t="s">
        <v>2734</v>
      </c>
      <c r="AO600" s="12"/>
      <c r="AP600" s="12"/>
      <c r="AQ600" s="4">
        <v>5</v>
      </c>
      <c r="AR600" s="4" t="s">
        <v>83</v>
      </c>
      <c r="AS600" s="4"/>
      <c r="AT600" s="13"/>
      <c r="AU600" s="13"/>
      <c r="AV600" s="13"/>
      <c r="AW600" s="13"/>
      <c r="AX600" s="4"/>
      <c r="AY600" s="13"/>
      <c r="AZ600" s="13"/>
      <c r="BA600" s="13"/>
      <c r="BB600" s="13"/>
      <c r="BC600" s="4"/>
      <c r="BD600" s="4"/>
      <c r="BE600" s="4"/>
      <c r="BF600" s="13"/>
      <c r="BG600" s="4"/>
      <c r="BH600" s="13"/>
      <c r="BI600" s="13"/>
      <c r="BJ600" s="4"/>
      <c r="BK600" s="14">
        <v>17</v>
      </c>
      <c r="BL600" s="14">
        <v>17</v>
      </c>
      <c r="BM600" s="14">
        <v>17</v>
      </c>
      <c r="BN600" s="3" t="s">
        <v>312</v>
      </c>
      <c r="BP600" s="15"/>
      <c r="BQ600" s="15"/>
      <c r="BR600" s="2" t="s">
        <v>409</v>
      </c>
      <c r="BS600" s="2" t="s">
        <v>409</v>
      </c>
      <c r="BT600" s="7" t="s">
        <v>88</v>
      </c>
      <c r="BU600" s="7"/>
      <c r="BV600" s="9" t="s">
        <v>88</v>
      </c>
      <c r="BW600" s="9"/>
    </row>
    <row r="601" spans="1:75" ht="14.25" customHeight="1" x14ac:dyDescent="0.25">
      <c r="A601" s="1">
        <v>1249</v>
      </c>
      <c r="B601" s="1" t="s">
        <v>2735</v>
      </c>
      <c r="C601" s="1" t="s">
        <v>2736</v>
      </c>
      <c r="D601" s="1" t="s">
        <v>77</v>
      </c>
      <c r="E601" s="1" t="s">
        <v>2396</v>
      </c>
      <c r="F601" s="1" t="s">
        <v>2452</v>
      </c>
      <c r="G601" s="1"/>
      <c r="H601" s="2">
        <v>0</v>
      </c>
      <c r="I601" s="2">
        <v>1</v>
      </c>
      <c r="J601" s="2">
        <v>1</v>
      </c>
      <c r="K601" s="2">
        <v>1</v>
      </c>
      <c r="L601" s="3" t="s">
        <v>127</v>
      </c>
      <c r="O601" s="4">
        <v>3</v>
      </c>
      <c r="P601" s="4" t="s">
        <v>706</v>
      </c>
      <c r="Q601" s="4"/>
      <c r="R601" s="16">
        <v>2000000</v>
      </c>
      <c r="S601" s="6">
        <v>2000000</v>
      </c>
      <c r="T601" s="17" t="s">
        <v>1869</v>
      </c>
      <c r="U601" s="6">
        <v>500</v>
      </c>
      <c r="V601" s="4"/>
      <c r="W601" s="4" t="s">
        <v>543</v>
      </c>
      <c r="X601" s="4" t="s">
        <v>787</v>
      </c>
      <c r="Y601" s="7">
        <v>3</v>
      </c>
      <c r="Z601" s="8">
        <v>512211</v>
      </c>
      <c r="AA601" s="7" t="s">
        <v>92</v>
      </c>
      <c r="AB601" s="7"/>
      <c r="AC601" s="9">
        <v>3</v>
      </c>
      <c r="AD601" s="10">
        <v>500516</v>
      </c>
      <c r="AE601" s="9" t="s">
        <v>92</v>
      </c>
      <c r="AF601" s="9"/>
      <c r="AG601" s="11">
        <v>3</v>
      </c>
      <c r="AH601" s="11" t="s">
        <v>537</v>
      </c>
      <c r="AI601" s="11" t="s">
        <v>2737</v>
      </c>
      <c r="AJ601" s="11"/>
      <c r="AK601" s="11"/>
      <c r="AL601" s="12">
        <v>2</v>
      </c>
      <c r="AM601" s="12" t="s">
        <v>537</v>
      </c>
      <c r="AN601" s="12" t="s">
        <v>2738</v>
      </c>
      <c r="AO601" s="12"/>
      <c r="AP601" s="12"/>
      <c r="AQ601" s="4">
        <v>3</v>
      </c>
      <c r="AR601" s="4" t="s">
        <v>93</v>
      </c>
      <c r="AS601" s="4"/>
      <c r="AT601" s="13"/>
      <c r="AU601" s="13"/>
      <c r="AV601" s="13"/>
      <c r="AW601" s="13"/>
      <c r="AX601" s="4"/>
      <c r="AY601" s="13"/>
      <c r="AZ601" s="13"/>
      <c r="BA601" s="13"/>
      <c r="BB601" s="13"/>
      <c r="BC601" s="4"/>
      <c r="BD601" s="4"/>
      <c r="BE601" s="4"/>
      <c r="BF601" s="13"/>
      <c r="BG601" s="4"/>
      <c r="BH601" s="13"/>
      <c r="BI601" s="13"/>
      <c r="BJ601" s="4"/>
      <c r="BK601" s="14">
        <v>12</v>
      </c>
      <c r="BL601" s="14">
        <v>11</v>
      </c>
      <c r="BM601" s="14">
        <v>12</v>
      </c>
      <c r="BP601" s="15"/>
      <c r="BQ601" s="15"/>
      <c r="BR601" s="2" t="s">
        <v>409</v>
      </c>
      <c r="BS601" s="2" t="s">
        <v>409</v>
      </c>
      <c r="BT601" s="7" t="s">
        <v>438</v>
      </c>
      <c r="BU601" s="7" t="s">
        <v>437</v>
      </c>
      <c r="BV601" s="9" t="s">
        <v>438</v>
      </c>
      <c r="BW601" s="9" t="s">
        <v>109</v>
      </c>
    </row>
    <row r="602" spans="1:75" ht="14.25" customHeight="1" x14ac:dyDescent="0.25">
      <c r="A602" s="1">
        <v>1250</v>
      </c>
      <c r="B602" s="1" t="s">
        <v>2739</v>
      </c>
      <c r="C602" s="1" t="s">
        <v>2740</v>
      </c>
      <c r="D602" s="1" t="s">
        <v>77</v>
      </c>
      <c r="E602" s="1" t="s">
        <v>2396</v>
      </c>
      <c r="F602" s="1" t="s">
        <v>2452</v>
      </c>
      <c r="G602" s="1" t="s">
        <v>118</v>
      </c>
      <c r="H602" s="2">
        <v>0</v>
      </c>
      <c r="I602" s="2">
        <v>0</v>
      </c>
      <c r="J602" s="2">
        <v>0</v>
      </c>
      <c r="K602" s="2">
        <v>1</v>
      </c>
      <c r="L602" s="3" t="s">
        <v>80</v>
      </c>
      <c r="O602" s="4">
        <v>5</v>
      </c>
      <c r="P602" s="4" t="s">
        <v>81</v>
      </c>
      <c r="Q602" s="4"/>
      <c r="R602" s="5"/>
      <c r="S602" s="6"/>
      <c r="T602" s="17"/>
      <c r="U602" s="6"/>
      <c r="V602" s="4"/>
      <c r="W602" s="4"/>
      <c r="X602" s="4"/>
      <c r="Y602" s="7">
        <v>5</v>
      </c>
      <c r="Z602" s="8">
        <v>3668</v>
      </c>
      <c r="AA602" s="7" t="s">
        <v>82</v>
      </c>
      <c r="AB602" s="7"/>
      <c r="AC602" s="9">
        <v>5</v>
      </c>
      <c r="AD602" s="10">
        <v>3668</v>
      </c>
      <c r="AE602" s="9" t="s">
        <v>82</v>
      </c>
      <c r="AF602" s="9"/>
      <c r="AG602" s="11">
        <v>4</v>
      </c>
      <c r="AH602" s="11" t="s">
        <v>83</v>
      </c>
      <c r="AI602" s="11" t="s">
        <v>2741</v>
      </c>
      <c r="AJ602" s="11"/>
      <c r="AK602" s="11"/>
      <c r="AL602" s="12">
        <v>4</v>
      </c>
      <c r="AM602" s="12" t="s">
        <v>83</v>
      </c>
      <c r="AN602" s="12"/>
      <c r="AO602" s="12"/>
      <c r="AP602" s="12"/>
      <c r="AQ602" s="4">
        <v>3</v>
      </c>
      <c r="AR602" s="4" t="s">
        <v>83</v>
      </c>
      <c r="AS602" s="4"/>
      <c r="AT602" s="13"/>
      <c r="AU602" s="13"/>
      <c r="AV602" s="13"/>
      <c r="AW602" s="13"/>
      <c r="AX602" s="4"/>
      <c r="AY602" s="13"/>
      <c r="AZ602" s="13"/>
      <c r="BA602" s="13"/>
      <c r="BB602" s="13"/>
      <c r="BC602" s="4"/>
      <c r="BD602" s="4"/>
      <c r="BE602" s="4"/>
      <c r="BF602" s="13"/>
      <c r="BG602" s="4"/>
      <c r="BH602" s="13"/>
      <c r="BI602" s="13"/>
      <c r="BJ602" s="4"/>
      <c r="BK602" s="14">
        <v>17</v>
      </c>
      <c r="BL602" s="14">
        <v>17</v>
      </c>
      <c r="BM602" s="14">
        <v>17</v>
      </c>
      <c r="BN602" s="3" t="s">
        <v>312</v>
      </c>
      <c r="BP602" s="15"/>
      <c r="BQ602" s="15"/>
      <c r="BR602" s="2" t="s">
        <v>87</v>
      </c>
      <c r="BS602" s="2" t="s">
        <v>87</v>
      </c>
      <c r="BT602" s="7" t="s">
        <v>88</v>
      </c>
      <c r="BU602" s="7"/>
      <c r="BV602" s="9" t="s">
        <v>88</v>
      </c>
      <c r="BW602" s="9"/>
    </row>
    <row r="603" spans="1:75" ht="14.25" customHeight="1" x14ac:dyDescent="0.25">
      <c r="A603" s="1">
        <v>1251</v>
      </c>
      <c r="B603" s="1" t="s">
        <v>2742</v>
      </c>
      <c r="C603" s="1" t="s">
        <v>2743</v>
      </c>
      <c r="D603" s="1" t="s">
        <v>77</v>
      </c>
      <c r="E603" s="1" t="s">
        <v>2396</v>
      </c>
      <c r="F603" s="1" t="s">
        <v>2452</v>
      </c>
      <c r="G603" s="1"/>
      <c r="H603" s="2">
        <v>0</v>
      </c>
      <c r="I603" s="2">
        <v>1</v>
      </c>
      <c r="J603" s="2">
        <v>1</v>
      </c>
      <c r="K603" s="2">
        <v>1</v>
      </c>
      <c r="L603" s="3" t="s">
        <v>127</v>
      </c>
      <c r="O603" s="4">
        <v>2</v>
      </c>
      <c r="P603" s="4" t="s">
        <v>470</v>
      </c>
      <c r="Q603" s="4"/>
      <c r="R603" s="16">
        <v>5000000</v>
      </c>
      <c r="S603" s="6">
        <v>5000000</v>
      </c>
      <c r="T603" s="16">
        <v>1200000</v>
      </c>
      <c r="U603" s="6">
        <v>1200000</v>
      </c>
      <c r="V603" s="4">
        <v>2010.5</v>
      </c>
      <c r="W603" s="4" t="s">
        <v>425</v>
      </c>
      <c r="X603" s="4"/>
      <c r="Y603" s="7">
        <v>2</v>
      </c>
      <c r="Z603" s="8">
        <v>2973225</v>
      </c>
      <c r="AA603" s="7" t="s">
        <v>92</v>
      </c>
      <c r="AB603" s="7"/>
      <c r="AC603" s="9">
        <v>2</v>
      </c>
      <c r="AD603" s="10">
        <v>3157556</v>
      </c>
      <c r="AE603" s="9" t="s">
        <v>92</v>
      </c>
      <c r="AF603" s="9"/>
      <c r="AG603" s="11">
        <v>2</v>
      </c>
      <c r="AH603" s="11" t="s">
        <v>454</v>
      </c>
      <c r="AI603" s="11" t="s">
        <v>2744</v>
      </c>
      <c r="AJ603" s="11">
        <v>2</v>
      </c>
      <c r="AK603" s="11" t="s">
        <v>132</v>
      </c>
      <c r="AL603" s="12">
        <v>2</v>
      </c>
      <c r="AM603" s="12" t="s">
        <v>131</v>
      </c>
      <c r="AN603" s="12"/>
      <c r="AO603" s="12">
        <v>2</v>
      </c>
      <c r="AP603" s="12" t="s">
        <v>132</v>
      </c>
      <c r="AQ603" s="4">
        <v>2</v>
      </c>
      <c r="AR603" s="4" t="s">
        <v>673</v>
      </c>
      <c r="AS603" s="4"/>
      <c r="AT603" s="13"/>
      <c r="AU603" s="13"/>
      <c r="AV603" s="13"/>
      <c r="AW603" s="13"/>
      <c r="AX603" s="4"/>
      <c r="AY603" s="13"/>
      <c r="AZ603" s="13"/>
      <c r="BA603" s="13"/>
      <c r="BB603" s="13"/>
      <c r="BC603" s="4"/>
      <c r="BD603" s="4"/>
      <c r="BE603" s="4"/>
      <c r="BF603" s="13"/>
      <c r="BG603" s="4"/>
      <c r="BH603" s="13"/>
      <c r="BI603" s="13"/>
      <c r="BJ603" s="4"/>
      <c r="BK603" s="14">
        <v>8</v>
      </c>
      <c r="BL603" s="14">
        <v>8</v>
      </c>
      <c r="BM603" s="14">
        <v>8</v>
      </c>
      <c r="BP603" s="15" t="s">
        <v>135</v>
      </c>
      <c r="BQ603" s="15"/>
      <c r="BR603" s="2" t="s">
        <v>256</v>
      </c>
      <c r="BS603" s="2" t="s">
        <v>256</v>
      </c>
      <c r="BT603" s="7" t="s">
        <v>137</v>
      </c>
      <c r="BU603" s="7"/>
      <c r="BV603" s="9" t="s">
        <v>137</v>
      </c>
      <c r="BW603" s="9"/>
    </row>
    <row r="604" spans="1:75" ht="14.25" customHeight="1" x14ac:dyDescent="0.25">
      <c r="A604" s="1">
        <v>1252</v>
      </c>
      <c r="B604" s="1" t="s">
        <v>2745</v>
      </c>
      <c r="C604" s="1" t="s">
        <v>2746</v>
      </c>
      <c r="D604" s="1" t="s">
        <v>77</v>
      </c>
      <c r="E604" s="1" t="s">
        <v>2396</v>
      </c>
      <c r="F604" s="1" t="s">
        <v>2452</v>
      </c>
      <c r="G604" s="1" t="s">
        <v>118</v>
      </c>
      <c r="H604" s="2">
        <v>1</v>
      </c>
      <c r="I604" s="2">
        <v>1</v>
      </c>
      <c r="J604" s="2">
        <v>1</v>
      </c>
      <c r="K604" s="2">
        <v>0</v>
      </c>
      <c r="L604" s="3" t="s">
        <v>127</v>
      </c>
      <c r="O604" s="4">
        <v>2</v>
      </c>
      <c r="P604" s="4" t="s">
        <v>424</v>
      </c>
      <c r="Q604" s="4"/>
      <c r="R604" s="16">
        <v>35000000</v>
      </c>
      <c r="S604" s="6">
        <v>35000000</v>
      </c>
      <c r="T604" s="16">
        <v>35000000</v>
      </c>
      <c r="U604" s="6">
        <v>35000000</v>
      </c>
      <c r="V604" s="4">
        <v>2010.5</v>
      </c>
      <c r="W604" s="4" t="s">
        <v>425</v>
      </c>
      <c r="X604" s="4"/>
      <c r="Y604" s="7">
        <v>1</v>
      </c>
      <c r="Z604" s="8">
        <v>6222068</v>
      </c>
      <c r="AA604" s="7" t="s">
        <v>92</v>
      </c>
      <c r="AB604" s="7"/>
      <c r="AC604" s="9">
        <v>2</v>
      </c>
      <c r="AD604" s="10">
        <v>2648749</v>
      </c>
      <c r="AE604" s="9" t="s">
        <v>92</v>
      </c>
      <c r="AF604" s="9"/>
      <c r="AG604" s="11">
        <v>2</v>
      </c>
      <c r="AH604" s="11" t="s">
        <v>131</v>
      </c>
      <c r="AI604" s="11" t="s">
        <v>2747</v>
      </c>
      <c r="AJ604" s="11">
        <v>2</v>
      </c>
      <c r="AK604" s="11" t="s">
        <v>143</v>
      </c>
      <c r="AL604" s="12">
        <v>2</v>
      </c>
      <c r="AM604" s="12" t="s">
        <v>131</v>
      </c>
      <c r="AN604" s="12" t="s">
        <v>2748</v>
      </c>
      <c r="AO604" s="12">
        <v>2</v>
      </c>
      <c r="AP604" s="12" t="s">
        <v>143</v>
      </c>
      <c r="AQ604" s="4">
        <v>3</v>
      </c>
      <c r="AR604" s="4" t="s">
        <v>133</v>
      </c>
      <c r="AS604" s="4"/>
      <c r="AT604" s="13">
        <v>11.492479324340801</v>
      </c>
      <c r="AU604" s="13">
        <v>0.21384379267692599</v>
      </c>
      <c r="AV604" s="13">
        <v>-0.61699998378753695</v>
      </c>
      <c r="AW604" s="13">
        <v>0.85079699754714999</v>
      </c>
      <c r="AX604" s="4"/>
      <c r="AY604" s="13">
        <v>-16.588178634643601</v>
      </c>
      <c r="AZ604" s="13">
        <v>-1.7992057800293</v>
      </c>
      <c r="BA604" s="13">
        <v>-3.0099999904632599</v>
      </c>
      <c r="BB604" s="13">
        <v>-0.82560199499130205</v>
      </c>
      <c r="BC604" s="4">
        <v>1</v>
      </c>
      <c r="BD604" s="4">
        <v>10</v>
      </c>
      <c r="BE604" s="4" t="s">
        <v>134</v>
      </c>
      <c r="BF604" s="13">
        <v>1.4677970409393299</v>
      </c>
      <c r="BG604" s="4">
        <v>2696.5</v>
      </c>
      <c r="BH604" s="13">
        <v>1.7799999713897701</v>
      </c>
      <c r="BI604" s="13">
        <v>4797.490234375</v>
      </c>
      <c r="BJ604" s="4"/>
      <c r="BK604" s="14">
        <v>8</v>
      </c>
      <c r="BL604" s="14">
        <v>9</v>
      </c>
      <c r="BM604" s="14">
        <v>9</v>
      </c>
      <c r="BP604" s="15" t="s">
        <v>135</v>
      </c>
      <c r="BQ604" s="15"/>
      <c r="BR604" s="2" t="s">
        <v>239</v>
      </c>
      <c r="BS604" s="2" t="s">
        <v>239</v>
      </c>
      <c r="BT604" s="7" t="s">
        <v>458</v>
      </c>
      <c r="BU604" s="7" t="s">
        <v>241</v>
      </c>
      <c r="BV604" s="9" t="s">
        <v>458</v>
      </c>
      <c r="BW604" s="9"/>
    </row>
    <row r="605" spans="1:75" ht="14.25" customHeight="1" x14ac:dyDescent="0.25">
      <c r="A605" s="1">
        <v>1253</v>
      </c>
      <c r="B605" s="1" t="s">
        <v>2749</v>
      </c>
      <c r="C605" s="1" t="s">
        <v>2750</v>
      </c>
      <c r="D605" s="1" t="s">
        <v>77</v>
      </c>
      <c r="E605" s="1" t="s">
        <v>2396</v>
      </c>
      <c r="F605" s="1" t="s">
        <v>2452</v>
      </c>
      <c r="G605" s="1"/>
      <c r="H605" s="2">
        <v>1</v>
      </c>
      <c r="I605" s="2">
        <v>1</v>
      </c>
      <c r="J605" s="2">
        <v>1</v>
      </c>
      <c r="K605" s="2">
        <v>0</v>
      </c>
      <c r="L605" s="3" t="s">
        <v>127</v>
      </c>
      <c r="O605" s="4">
        <v>2</v>
      </c>
      <c r="P605" s="4" t="s">
        <v>1905</v>
      </c>
      <c r="Q605" s="4"/>
      <c r="R605" s="16">
        <v>5900000</v>
      </c>
      <c r="S605" s="6">
        <v>5900000</v>
      </c>
      <c r="T605" s="16">
        <v>5000000</v>
      </c>
      <c r="U605" s="6">
        <v>5000000</v>
      </c>
      <c r="V605" s="4">
        <v>2010.5</v>
      </c>
      <c r="W605" s="4" t="s">
        <v>1906</v>
      </c>
      <c r="X605" s="4"/>
      <c r="Y605" s="7">
        <v>1</v>
      </c>
      <c r="Z605" s="8">
        <v>7183637</v>
      </c>
      <c r="AA605" s="7" t="s">
        <v>92</v>
      </c>
      <c r="AB605" s="7"/>
      <c r="AC605" s="9">
        <v>2</v>
      </c>
      <c r="AD605" s="10">
        <v>2033276</v>
      </c>
      <c r="AE605" s="9" t="s">
        <v>582</v>
      </c>
      <c r="AF605" s="9" t="s">
        <v>2751</v>
      </c>
      <c r="AG605" s="11">
        <v>3</v>
      </c>
      <c r="AH605" s="11" t="s">
        <v>131</v>
      </c>
      <c r="AI605" s="11"/>
      <c r="AJ605" s="11">
        <v>2</v>
      </c>
      <c r="AK605" s="11" t="s">
        <v>332</v>
      </c>
      <c r="AL605" s="12">
        <v>2</v>
      </c>
      <c r="AM605" s="12" t="s">
        <v>131</v>
      </c>
      <c r="AN605" s="12"/>
      <c r="AO605" s="12">
        <v>2</v>
      </c>
      <c r="AP605" s="12" t="s">
        <v>143</v>
      </c>
      <c r="AQ605" s="4">
        <v>1</v>
      </c>
      <c r="AR605" s="4" t="s">
        <v>133</v>
      </c>
      <c r="AS605" s="4"/>
      <c r="AT605" s="13">
        <v>52.179210662841797</v>
      </c>
      <c r="AU605" s="13">
        <v>0.82666772603988603</v>
      </c>
      <c r="AV605" s="13">
        <v>0.47390499711036699</v>
      </c>
      <c r="AW605" s="13">
        <v>1.33000004291534</v>
      </c>
      <c r="AX605" s="4">
        <v>1</v>
      </c>
      <c r="AY605" s="13">
        <v>-3.27024602890015</v>
      </c>
      <c r="AZ605" s="13">
        <v>-0.33202248811721802</v>
      </c>
      <c r="BA605" s="13">
        <v>-1.5299999713897701</v>
      </c>
      <c r="BB605" s="13">
        <v>0.64430201053619396</v>
      </c>
      <c r="BC605" s="4"/>
      <c r="BD605" s="4">
        <v>10</v>
      </c>
      <c r="BE605" s="4" t="s">
        <v>134</v>
      </c>
      <c r="BF605" s="13">
        <v>0.85609501600265503</v>
      </c>
      <c r="BG605" s="4">
        <v>1152</v>
      </c>
      <c r="BH605" s="13">
        <v>0.783500015735626</v>
      </c>
      <c r="BI605" s="13">
        <v>902.59197998046898</v>
      </c>
      <c r="BJ605" s="4"/>
      <c r="BK605" s="14">
        <v>7</v>
      </c>
      <c r="BL605" s="14">
        <v>7</v>
      </c>
      <c r="BM605" s="14">
        <v>7</v>
      </c>
      <c r="BP605" s="15" t="s">
        <v>135</v>
      </c>
      <c r="BQ605" s="15" t="s">
        <v>136</v>
      </c>
      <c r="BR605" s="2" t="s">
        <v>555</v>
      </c>
      <c r="BS605" s="2" t="s">
        <v>297</v>
      </c>
      <c r="BT605" s="7" t="s">
        <v>475</v>
      </c>
      <c r="BU605" s="7" t="s">
        <v>428</v>
      </c>
      <c r="BV605" s="9" t="s">
        <v>458</v>
      </c>
      <c r="BW605" s="9"/>
    </row>
    <row r="606" spans="1:75" ht="14.25" customHeight="1" x14ac:dyDescent="0.25">
      <c r="A606" s="1">
        <v>1254</v>
      </c>
      <c r="B606" s="1" t="s">
        <v>2752</v>
      </c>
      <c r="C606" s="1" t="s">
        <v>2753</v>
      </c>
      <c r="D606" s="1" t="s">
        <v>77</v>
      </c>
      <c r="E606" s="1" t="s">
        <v>2396</v>
      </c>
      <c r="F606" s="1" t="s">
        <v>2452</v>
      </c>
      <c r="G606" s="1"/>
      <c r="H606" s="2">
        <v>0</v>
      </c>
      <c r="I606" s="2">
        <v>1</v>
      </c>
      <c r="J606" s="2">
        <v>1</v>
      </c>
      <c r="K606" s="2">
        <v>1</v>
      </c>
      <c r="L606" s="3" t="s">
        <v>127</v>
      </c>
      <c r="O606" s="4">
        <v>2</v>
      </c>
      <c r="P606" s="4" t="s">
        <v>2754</v>
      </c>
      <c r="Q606" s="4" t="s">
        <v>2755</v>
      </c>
      <c r="R606" s="16">
        <v>15000000</v>
      </c>
      <c r="S606" s="6">
        <v>15000000</v>
      </c>
      <c r="T606" s="16">
        <v>540000</v>
      </c>
      <c r="U606" s="6">
        <v>540000</v>
      </c>
      <c r="V606" s="4">
        <v>2010.5</v>
      </c>
      <c r="W606" s="4" t="s">
        <v>425</v>
      </c>
      <c r="X606" s="4" t="s">
        <v>2756</v>
      </c>
      <c r="Y606" s="7">
        <v>1</v>
      </c>
      <c r="Z606" s="8">
        <v>8462405</v>
      </c>
      <c r="AA606" s="7" t="s">
        <v>1264</v>
      </c>
      <c r="AB606" s="7" t="s">
        <v>2757</v>
      </c>
      <c r="AC606" s="9">
        <v>1</v>
      </c>
      <c r="AD606" s="10">
        <v>14639043</v>
      </c>
      <c r="AE606" s="9" t="s">
        <v>1264</v>
      </c>
      <c r="AF606" s="9" t="s">
        <v>2757</v>
      </c>
      <c r="AG606" s="11">
        <v>2</v>
      </c>
      <c r="AH606" s="11" t="s">
        <v>471</v>
      </c>
      <c r="AI606" s="11"/>
      <c r="AJ606" s="11">
        <v>2</v>
      </c>
      <c r="AK606" s="11" t="s">
        <v>132</v>
      </c>
      <c r="AL606" s="12">
        <v>2</v>
      </c>
      <c r="AM606" s="12" t="s">
        <v>471</v>
      </c>
      <c r="AN606" s="12" t="s">
        <v>2464</v>
      </c>
      <c r="AO606" s="12">
        <v>2</v>
      </c>
      <c r="AP606" s="12" t="s">
        <v>132</v>
      </c>
      <c r="AQ606" s="4">
        <v>1</v>
      </c>
      <c r="AR606" s="4" t="s">
        <v>2190</v>
      </c>
      <c r="AS606" s="4"/>
      <c r="AT606" s="13"/>
      <c r="AU606" s="13"/>
      <c r="AV606" s="13"/>
      <c r="AW606" s="13"/>
      <c r="AX606" s="4"/>
      <c r="AY606" s="13"/>
      <c r="AZ606" s="13"/>
      <c r="BA606" s="13"/>
      <c r="BB606" s="13"/>
      <c r="BC606" s="4"/>
      <c r="BD606" s="4"/>
      <c r="BE606" s="4"/>
      <c r="BF606" s="13"/>
      <c r="BG606" s="4"/>
      <c r="BH606" s="13"/>
      <c r="BI606" s="13"/>
      <c r="BJ606" s="4"/>
      <c r="BK606" s="14">
        <v>6</v>
      </c>
      <c r="BL606" s="14">
        <v>6</v>
      </c>
      <c r="BM606" s="14">
        <v>6</v>
      </c>
      <c r="BP606" s="15"/>
      <c r="BQ606" s="15"/>
      <c r="BR606" s="2" t="s">
        <v>97</v>
      </c>
      <c r="BS606" s="2" t="s">
        <v>97</v>
      </c>
      <c r="BT606" s="7" t="s">
        <v>458</v>
      </c>
      <c r="BU606" s="7"/>
      <c r="BV606" s="9" t="s">
        <v>458</v>
      </c>
      <c r="BW606" s="9" t="s">
        <v>475</v>
      </c>
    </row>
    <row r="607" spans="1:75" ht="14.25" customHeight="1" x14ac:dyDescent="0.25">
      <c r="A607" s="1">
        <v>1255</v>
      </c>
      <c r="B607" s="1" t="s">
        <v>2758</v>
      </c>
      <c r="C607" s="1" t="s">
        <v>2759</v>
      </c>
      <c r="D607" s="1" t="s">
        <v>77</v>
      </c>
      <c r="E607" s="1" t="s">
        <v>2396</v>
      </c>
      <c r="F607" s="1" t="s">
        <v>2452</v>
      </c>
      <c r="G607" s="1"/>
      <c r="H607" s="2">
        <v>0</v>
      </c>
      <c r="I607" s="2">
        <v>0</v>
      </c>
      <c r="J607" s="2">
        <v>0</v>
      </c>
      <c r="K607" s="2">
        <v>1</v>
      </c>
      <c r="L607" s="3" t="s">
        <v>80</v>
      </c>
      <c r="O607" s="4">
        <v>3</v>
      </c>
      <c r="P607" s="4" t="s">
        <v>2760</v>
      </c>
      <c r="Q607" s="4" t="s">
        <v>2761</v>
      </c>
      <c r="R607" s="5"/>
      <c r="S607" s="6"/>
      <c r="T607" s="17"/>
      <c r="U607" s="6"/>
      <c r="V607" s="4"/>
      <c r="W607" s="4"/>
      <c r="X607" s="4"/>
      <c r="Y607" s="7">
        <v>2</v>
      </c>
      <c r="Z607" s="8">
        <v>1658563</v>
      </c>
      <c r="AA607" s="7" t="s">
        <v>1300</v>
      </c>
      <c r="AB607" s="7"/>
      <c r="AC607" s="9">
        <v>2</v>
      </c>
      <c r="AD607" s="10">
        <v>1658659</v>
      </c>
      <c r="AE607" s="9" t="s">
        <v>1300</v>
      </c>
      <c r="AF607" s="9"/>
      <c r="AG607" s="11">
        <v>5</v>
      </c>
      <c r="AH607" s="11" t="s">
        <v>83</v>
      </c>
      <c r="AI607" s="11"/>
      <c r="AJ607" s="11"/>
      <c r="AK607" s="11"/>
      <c r="AL607" s="12">
        <v>5</v>
      </c>
      <c r="AM607" s="12" t="s">
        <v>83</v>
      </c>
      <c r="AN607" s="12"/>
      <c r="AO607" s="12"/>
      <c r="AP607" s="12"/>
      <c r="AQ607" s="4">
        <v>5</v>
      </c>
      <c r="AR607" s="4" t="s">
        <v>83</v>
      </c>
      <c r="AS607" s="4"/>
      <c r="AT607" s="13"/>
      <c r="AU607" s="13"/>
      <c r="AV607" s="13"/>
      <c r="AW607" s="13"/>
      <c r="AX607" s="4"/>
      <c r="AY607" s="13"/>
      <c r="AZ607" s="13"/>
      <c r="BA607" s="13"/>
      <c r="BB607" s="13"/>
      <c r="BC607" s="4"/>
      <c r="BD607" s="4"/>
      <c r="BE607" s="4"/>
      <c r="BF607" s="13"/>
      <c r="BG607" s="4"/>
      <c r="BH607" s="13"/>
      <c r="BI607" s="13"/>
      <c r="BJ607" s="4"/>
      <c r="BK607" s="14">
        <v>15</v>
      </c>
      <c r="BL607" s="14">
        <v>15</v>
      </c>
      <c r="BM607" s="14">
        <v>15</v>
      </c>
      <c r="BN607" s="3" t="s">
        <v>375</v>
      </c>
      <c r="BP607" s="15"/>
      <c r="BQ607" s="15"/>
      <c r="BR607" s="2" t="s">
        <v>740</v>
      </c>
      <c r="BS607" s="2" t="s">
        <v>740</v>
      </c>
      <c r="BT607" s="7" t="s">
        <v>147</v>
      </c>
      <c r="BU607" s="7"/>
      <c r="BV607" s="9" t="s">
        <v>147</v>
      </c>
      <c r="BW607" s="9"/>
    </row>
    <row r="608" spans="1:75" ht="14.25" customHeight="1" x14ac:dyDescent="0.25">
      <c r="A608" s="1">
        <v>1256</v>
      </c>
      <c r="B608" s="1" t="s">
        <v>2762</v>
      </c>
      <c r="C608" s="1" t="s">
        <v>2763</v>
      </c>
      <c r="D608" s="1" t="s">
        <v>77</v>
      </c>
      <c r="E608" s="1" t="s">
        <v>2396</v>
      </c>
      <c r="F608" s="1" t="s">
        <v>2452</v>
      </c>
      <c r="G608" s="1"/>
      <c r="H608" s="2">
        <v>0</v>
      </c>
      <c r="I608" s="2">
        <v>0</v>
      </c>
      <c r="J608" s="2">
        <v>0</v>
      </c>
      <c r="K608" s="2">
        <v>1</v>
      </c>
      <c r="L608" s="3" t="s">
        <v>80</v>
      </c>
      <c r="O608" s="4">
        <v>3</v>
      </c>
      <c r="P608" s="4" t="s">
        <v>81</v>
      </c>
      <c r="Q608" s="4"/>
      <c r="R608" s="5"/>
      <c r="S608" s="6"/>
      <c r="T608" s="17"/>
      <c r="U608" s="6"/>
      <c r="V608" s="4"/>
      <c r="W608" s="4"/>
      <c r="X608" s="4"/>
      <c r="Y608" s="7">
        <v>3</v>
      </c>
      <c r="Z608" s="8">
        <v>941312</v>
      </c>
      <c r="AA608" s="7" t="s">
        <v>82</v>
      </c>
      <c r="AB608" s="7"/>
      <c r="AC608" s="9">
        <v>3</v>
      </c>
      <c r="AD608" s="10">
        <v>941312</v>
      </c>
      <c r="AE608" s="9" t="s">
        <v>82</v>
      </c>
      <c r="AF608" s="9"/>
      <c r="AG608" s="11">
        <v>3</v>
      </c>
      <c r="AH608" s="11" t="s">
        <v>83</v>
      </c>
      <c r="AI608" s="11"/>
      <c r="AJ608" s="11"/>
      <c r="AK608" s="11"/>
      <c r="AL608" s="12">
        <v>3</v>
      </c>
      <c r="AM608" s="12" t="s">
        <v>83</v>
      </c>
      <c r="AN608" s="12"/>
      <c r="AO608" s="12"/>
      <c r="AP608" s="12"/>
      <c r="AQ608" s="4">
        <v>3</v>
      </c>
      <c r="AR608" s="4" t="s">
        <v>83</v>
      </c>
      <c r="AS608" s="4"/>
      <c r="AT608" s="13"/>
      <c r="AU608" s="13"/>
      <c r="AV608" s="13"/>
      <c r="AW608" s="13"/>
      <c r="AX608" s="4"/>
      <c r="AY608" s="13"/>
      <c r="AZ608" s="13"/>
      <c r="BA608" s="13"/>
      <c r="BB608" s="13"/>
      <c r="BC608" s="4"/>
      <c r="BD608" s="4"/>
      <c r="BE608" s="4"/>
      <c r="BF608" s="13"/>
      <c r="BG608" s="4"/>
      <c r="BH608" s="13"/>
      <c r="BI608" s="13"/>
      <c r="BJ608" s="4"/>
      <c r="BK608" s="14">
        <v>12</v>
      </c>
      <c r="BL608" s="14">
        <v>12</v>
      </c>
      <c r="BM608" s="14">
        <v>12</v>
      </c>
      <c r="BP608" s="15"/>
      <c r="BQ608" s="15"/>
      <c r="BR608" s="2" t="s">
        <v>740</v>
      </c>
      <c r="BS608" s="2" t="s">
        <v>740</v>
      </c>
      <c r="BT608" s="7" t="s">
        <v>623</v>
      </c>
      <c r="BU608" s="7" t="s">
        <v>109</v>
      </c>
      <c r="BV608" s="9" t="s">
        <v>623</v>
      </c>
      <c r="BW608" s="9" t="s">
        <v>109</v>
      </c>
    </row>
    <row r="609" spans="1:75" ht="14.25" customHeight="1" x14ac:dyDescent="0.25">
      <c r="A609" s="1">
        <v>1257</v>
      </c>
      <c r="B609" s="1" t="s">
        <v>2764</v>
      </c>
      <c r="C609" s="1" t="s">
        <v>2765</v>
      </c>
      <c r="D609" s="1" t="s">
        <v>77</v>
      </c>
      <c r="E609" s="1" t="s">
        <v>2396</v>
      </c>
      <c r="F609" s="1" t="s">
        <v>2452</v>
      </c>
      <c r="G609" s="1"/>
      <c r="H609" s="2">
        <v>0</v>
      </c>
      <c r="I609" s="2">
        <v>0</v>
      </c>
      <c r="J609" s="2">
        <v>0</v>
      </c>
      <c r="K609" s="2">
        <v>1</v>
      </c>
      <c r="L609" s="3" t="s">
        <v>80</v>
      </c>
      <c r="O609" s="4">
        <v>2</v>
      </c>
      <c r="P609" s="4" t="s">
        <v>81</v>
      </c>
      <c r="Q609" s="4"/>
      <c r="R609" s="5"/>
      <c r="S609" s="6"/>
      <c r="T609" s="17"/>
      <c r="U609" s="6"/>
      <c r="V609" s="4"/>
      <c r="W609" s="4"/>
      <c r="X609" s="4"/>
      <c r="Y609" s="7">
        <v>1</v>
      </c>
      <c r="Z609" s="8">
        <v>6391540</v>
      </c>
      <c r="AA609" s="7" t="s">
        <v>82</v>
      </c>
      <c r="AB609" s="7"/>
      <c r="AC609" s="9">
        <v>1</v>
      </c>
      <c r="AD609" s="10">
        <v>6391540</v>
      </c>
      <c r="AE609" s="9" t="s">
        <v>82</v>
      </c>
      <c r="AF609" s="9"/>
      <c r="AG609" s="11">
        <v>3</v>
      </c>
      <c r="AH609" s="11" t="s">
        <v>83</v>
      </c>
      <c r="AI609" s="11"/>
      <c r="AJ609" s="11"/>
      <c r="AK609" s="11"/>
      <c r="AL609" s="12">
        <v>3</v>
      </c>
      <c r="AM609" s="12" t="s">
        <v>83</v>
      </c>
      <c r="AN609" s="12"/>
      <c r="AO609" s="12"/>
      <c r="AP609" s="12"/>
      <c r="AQ609" s="4">
        <v>3</v>
      </c>
      <c r="AR609" s="4" t="s">
        <v>83</v>
      </c>
      <c r="AS609" s="4"/>
      <c r="AT609" s="13"/>
      <c r="AU609" s="13"/>
      <c r="AV609" s="13"/>
      <c r="AW609" s="13"/>
      <c r="AX609" s="4"/>
      <c r="AY609" s="13"/>
      <c r="AZ609" s="13"/>
      <c r="BA609" s="13"/>
      <c r="BB609" s="13"/>
      <c r="BC609" s="4"/>
      <c r="BD609" s="4"/>
      <c r="BE609" s="4"/>
      <c r="BF609" s="13"/>
      <c r="BG609" s="4"/>
      <c r="BH609" s="13"/>
      <c r="BI609" s="13"/>
      <c r="BJ609" s="4"/>
      <c r="BK609" s="14">
        <v>9</v>
      </c>
      <c r="BL609" s="14">
        <v>9</v>
      </c>
      <c r="BM609" s="14">
        <v>9</v>
      </c>
      <c r="BP609" s="15"/>
      <c r="BQ609" s="15"/>
      <c r="BR609" s="2" t="s">
        <v>97</v>
      </c>
      <c r="BS609" s="2" t="s">
        <v>97</v>
      </c>
      <c r="BT609" s="7" t="s">
        <v>98</v>
      </c>
      <c r="BU609" s="7"/>
      <c r="BV609" s="9" t="s">
        <v>98</v>
      </c>
      <c r="BW609" s="9"/>
    </row>
    <row r="610" spans="1:75" ht="14.25" customHeight="1" x14ac:dyDescent="0.25">
      <c r="A610" s="1">
        <v>1258</v>
      </c>
      <c r="B610" s="1" t="s">
        <v>2766</v>
      </c>
      <c r="C610" s="1" t="s">
        <v>2767</v>
      </c>
      <c r="D610" s="1" t="s">
        <v>77</v>
      </c>
      <c r="E610" s="1" t="s">
        <v>2396</v>
      </c>
      <c r="F610" s="1" t="s">
        <v>2768</v>
      </c>
      <c r="G610" s="1"/>
      <c r="H610" s="2">
        <v>0</v>
      </c>
      <c r="I610" s="2">
        <v>0</v>
      </c>
      <c r="J610" s="2">
        <v>0</v>
      </c>
      <c r="K610" s="2">
        <v>1</v>
      </c>
      <c r="L610" s="3" t="s">
        <v>80</v>
      </c>
      <c r="O610" s="4">
        <v>5</v>
      </c>
      <c r="P610" s="4" t="s">
        <v>81</v>
      </c>
      <c r="Q610" s="4"/>
      <c r="R610" s="5"/>
      <c r="S610" s="6"/>
      <c r="T610" s="17"/>
      <c r="U610" s="6"/>
      <c r="V610" s="4"/>
      <c r="W610" s="4"/>
      <c r="X610" s="4"/>
      <c r="Y610" s="7">
        <v>5</v>
      </c>
      <c r="Z610" s="8">
        <v>49370</v>
      </c>
      <c r="AA610" s="7" t="s">
        <v>82</v>
      </c>
      <c r="AB610" s="7"/>
      <c r="AC610" s="9">
        <v>5</v>
      </c>
      <c r="AD610" s="10">
        <v>49370</v>
      </c>
      <c r="AE610" s="9" t="s">
        <v>82</v>
      </c>
      <c r="AF610" s="9"/>
      <c r="AG610" s="11">
        <v>4</v>
      </c>
      <c r="AH610" s="11" t="s">
        <v>83</v>
      </c>
      <c r="AI610" s="11"/>
      <c r="AJ610" s="11"/>
      <c r="AK610" s="11"/>
      <c r="AL610" s="12">
        <v>4</v>
      </c>
      <c r="AM610" s="12" t="s">
        <v>83</v>
      </c>
      <c r="AN610" s="12"/>
      <c r="AO610" s="12"/>
      <c r="AP610" s="12"/>
      <c r="AQ610" s="4">
        <v>4</v>
      </c>
      <c r="AR610" s="4" t="s">
        <v>83</v>
      </c>
      <c r="AS610" s="4"/>
      <c r="AT610" s="13"/>
      <c r="AU610" s="13"/>
      <c r="AV610" s="13"/>
      <c r="AW610" s="13"/>
      <c r="AX610" s="4"/>
      <c r="AY610" s="13"/>
      <c r="AZ610" s="13"/>
      <c r="BA610" s="13"/>
      <c r="BB610" s="13"/>
      <c r="BC610" s="4"/>
      <c r="BD610" s="4"/>
      <c r="BE610" s="4"/>
      <c r="BF610" s="13"/>
      <c r="BG610" s="4"/>
      <c r="BH610" s="13"/>
      <c r="BI610" s="13"/>
      <c r="BJ610" s="4"/>
      <c r="BK610" s="14">
        <v>18</v>
      </c>
      <c r="BL610" s="14">
        <v>18</v>
      </c>
      <c r="BM610" s="14">
        <v>18</v>
      </c>
      <c r="BN610" s="3" t="s">
        <v>312</v>
      </c>
      <c r="BP610" s="15"/>
      <c r="BQ610" s="15"/>
      <c r="BR610" s="2" t="s">
        <v>115</v>
      </c>
      <c r="BS610" s="2" t="s">
        <v>115</v>
      </c>
      <c r="BT610" s="7" t="s">
        <v>98</v>
      </c>
      <c r="BU610" s="7"/>
      <c r="BV610" s="9" t="s">
        <v>98</v>
      </c>
      <c r="BW610" s="9"/>
    </row>
    <row r="611" spans="1:75" ht="14.25" customHeight="1" x14ac:dyDescent="0.25">
      <c r="A611" s="1">
        <v>1259</v>
      </c>
      <c r="B611" s="1" t="s">
        <v>2769</v>
      </c>
      <c r="C611" s="1" t="s">
        <v>2770</v>
      </c>
      <c r="D611" s="1" t="s">
        <v>77</v>
      </c>
      <c r="E611" s="1" t="s">
        <v>2396</v>
      </c>
      <c r="F611" s="1" t="s">
        <v>2771</v>
      </c>
      <c r="G611" s="1" t="s">
        <v>118</v>
      </c>
      <c r="H611" s="2">
        <v>0</v>
      </c>
      <c r="I611" s="2">
        <v>0</v>
      </c>
      <c r="J611" s="2">
        <v>0</v>
      </c>
      <c r="K611" s="2">
        <v>1</v>
      </c>
      <c r="L611" s="3" t="s">
        <v>80</v>
      </c>
      <c r="O611" s="4">
        <v>3</v>
      </c>
      <c r="P611" s="4" t="s">
        <v>81</v>
      </c>
      <c r="Q611" s="4"/>
      <c r="R611" s="5"/>
      <c r="S611" s="6"/>
      <c r="T611" s="17"/>
      <c r="U611" s="6"/>
      <c r="V611" s="4"/>
      <c r="W611" s="4"/>
      <c r="X611" s="4"/>
      <c r="Y611" s="7">
        <v>1</v>
      </c>
      <c r="Z611" s="8">
        <v>6664911</v>
      </c>
      <c r="AA611" s="7" t="s">
        <v>82</v>
      </c>
      <c r="AB611" s="7"/>
      <c r="AC611" s="9">
        <v>1</v>
      </c>
      <c r="AD611" s="10">
        <v>6664911</v>
      </c>
      <c r="AE611" s="9" t="s">
        <v>82</v>
      </c>
      <c r="AF611" s="9"/>
      <c r="AG611" s="11">
        <v>4</v>
      </c>
      <c r="AH611" s="11" t="s">
        <v>83</v>
      </c>
      <c r="AI611" s="11"/>
      <c r="AJ611" s="11"/>
      <c r="AK611" s="11"/>
      <c r="AL611" s="12">
        <v>4</v>
      </c>
      <c r="AM611" s="12" t="s">
        <v>83</v>
      </c>
      <c r="AN611" s="12"/>
      <c r="AO611" s="12"/>
      <c r="AP611" s="12"/>
      <c r="AQ611" s="4">
        <v>5</v>
      </c>
      <c r="AR611" s="4" t="s">
        <v>83</v>
      </c>
      <c r="AS611" s="4"/>
      <c r="AT611" s="13"/>
      <c r="AU611" s="13"/>
      <c r="AV611" s="13"/>
      <c r="AW611" s="13"/>
      <c r="AX611" s="4"/>
      <c r="AY611" s="13"/>
      <c r="AZ611" s="13"/>
      <c r="BA611" s="13"/>
      <c r="BB611" s="13"/>
      <c r="BC611" s="4"/>
      <c r="BD611" s="4"/>
      <c r="BE611" s="4"/>
      <c r="BF611" s="13"/>
      <c r="BG611" s="4"/>
      <c r="BH611" s="13"/>
      <c r="BI611" s="13"/>
      <c r="BJ611" s="4"/>
      <c r="BK611" s="14">
        <v>13</v>
      </c>
      <c r="BL611" s="14">
        <v>13</v>
      </c>
      <c r="BM611" s="14">
        <v>13</v>
      </c>
      <c r="BN611" s="3" t="s">
        <v>113</v>
      </c>
      <c r="BP611" s="15"/>
      <c r="BQ611" s="15"/>
      <c r="BR611" s="2" t="s">
        <v>97</v>
      </c>
      <c r="BS611" s="2" t="s">
        <v>97</v>
      </c>
      <c r="BT611" s="7" t="s">
        <v>98</v>
      </c>
      <c r="BU611" s="7"/>
      <c r="BV611" s="9" t="s">
        <v>98</v>
      </c>
      <c r="BW611" s="9"/>
    </row>
    <row r="612" spans="1:75" ht="14.25" customHeight="1" x14ac:dyDescent="0.25">
      <c r="A612" s="1">
        <v>1260</v>
      </c>
      <c r="B612" s="1" t="s">
        <v>2772</v>
      </c>
      <c r="C612" s="1" t="s">
        <v>2773</v>
      </c>
      <c r="D612" s="1" t="s">
        <v>77</v>
      </c>
      <c r="E612" s="1" t="s">
        <v>2396</v>
      </c>
      <c r="F612" s="1" t="s">
        <v>2771</v>
      </c>
      <c r="G612" s="1"/>
      <c r="H612" s="2">
        <v>0</v>
      </c>
      <c r="I612" s="2">
        <v>0</v>
      </c>
      <c r="J612" s="2">
        <v>1</v>
      </c>
      <c r="K612" s="2">
        <v>1</v>
      </c>
      <c r="L612" s="3" t="s">
        <v>80</v>
      </c>
      <c r="O612" s="4">
        <v>2</v>
      </c>
      <c r="P612" s="4" t="s">
        <v>81</v>
      </c>
      <c r="Q612" s="4" t="s">
        <v>91</v>
      </c>
      <c r="R612" s="5"/>
      <c r="S612" s="6"/>
      <c r="T612" s="17"/>
      <c r="U612" s="6"/>
      <c r="V612" s="4"/>
      <c r="W612" s="4"/>
      <c r="X612" s="4"/>
      <c r="Y612" s="7">
        <v>1</v>
      </c>
      <c r="Z612" s="8">
        <v>12815681</v>
      </c>
      <c r="AA612" s="7" t="s">
        <v>92</v>
      </c>
      <c r="AB612" s="7"/>
      <c r="AC612" s="9">
        <v>1</v>
      </c>
      <c r="AD612" s="10">
        <v>12815681</v>
      </c>
      <c r="AE612" s="9" t="s">
        <v>92</v>
      </c>
      <c r="AF612" s="9"/>
      <c r="AG612" s="11">
        <v>3</v>
      </c>
      <c r="AH612" s="11" t="s">
        <v>93</v>
      </c>
      <c r="AI612" s="11"/>
      <c r="AJ612" s="11"/>
      <c r="AK612" s="11"/>
      <c r="AL612" s="12">
        <v>3</v>
      </c>
      <c r="AM612" s="12" t="s">
        <v>93</v>
      </c>
      <c r="AN612" s="12" t="s">
        <v>2774</v>
      </c>
      <c r="AO612" s="12"/>
      <c r="AP612" s="12"/>
      <c r="AQ612" s="4">
        <v>3</v>
      </c>
      <c r="AR612" s="4" t="s">
        <v>83</v>
      </c>
      <c r="AS612" s="4"/>
      <c r="AT612" s="13"/>
      <c r="AU612" s="13"/>
      <c r="AV612" s="13"/>
      <c r="AW612" s="13"/>
      <c r="AX612" s="4"/>
      <c r="AY612" s="13"/>
      <c r="AZ612" s="13"/>
      <c r="BA612" s="13"/>
      <c r="BB612" s="13"/>
      <c r="BC612" s="4"/>
      <c r="BD612" s="4"/>
      <c r="BE612" s="4"/>
      <c r="BF612" s="13"/>
      <c r="BG612" s="4"/>
      <c r="BH612" s="13"/>
      <c r="BI612" s="13"/>
      <c r="BJ612" s="4"/>
      <c r="BK612" s="14">
        <v>9</v>
      </c>
      <c r="BL612" s="14">
        <v>9</v>
      </c>
      <c r="BM612" s="14">
        <v>9</v>
      </c>
      <c r="BP612" s="15"/>
      <c r="BQ612" s="15"/>
      <c r="BR612" s="2" t="s">
        <v>97</v>
      </c>
      <c r="BS612" s="2" t="s">
        <v>97</v>
      </c>
      <c r="BT612" s="7" t="s">
        <v>98</v>
      </c>
      <c r="BU612" s="7"/>
      <c r="BV612" s="9" t="s">
        <v>98</v>
      </c>
      <c r="BW612" s="9"/>
    </row>
    <row r="613" spans="1:75" ht="14.25" customHeight="1" x14ac:dyDescent="0.25">
      <c r="A613" s="1">
        <v>1261</v>
      </c>
      <c r="B613" s="1" t="s">
        <v>2775</v>
      </c>
      <c r="C613" s="1" t="s">
        <v>2776</v>
      </c>
      <c r="D613" s="1" t="s">
        <v>77</v>
      </c>
      <c r="E613" s="1" t="s">
        <v>2396</v>
      </c>
      <c r="F613" s="1" t="s">
        <v>2771</v>
      </c>
      <c r="G613" s="1"/>
      <c r="H613" s="2">
        <v>0</v>
      </c>
      <c r="I613" s="2">
        <v>0</v>
      </c>
      <c r="J613" s="2">
        <v>1</v>
      </c>
      <c r="K613" s="2">
        <v>1</v>
      </c>
      <c r="L613" s="3" t="s">
        <v>80</v>
      </c>
      <c r="O613" s="4">
        <v>1</v>
      </c>
      <c r="P613" s="4" t="s">
        <v>81</v>
      </c>
      <c r="Q613" s="4" t="s">
        <v>2777</v>
      </c>
      <c r="R613" s="5"/>
      <c r="S613" s="6"/>
      <c r="T613" s="17"/>
      <c r="U613" s="6"/>
      <c r="V613" s="4"/>
      <c r="W613" s="4"/>
      <c r="X613" s="4"/>
      <c r="Y613" s="7">
        <v>1</v>
      </c>
      <c r="Z613" s="8">
        <v>10689071</v>
      </c>
      <c r="AA613" s="7" t="s">
        <v>92</v>
      </c>
      <c r="AB613" s="7"/>
      <c r="AC613" s="9">
        <v>1</v>
      </c>
      <c r="AD613" s="10">
        <v>10689071</v>
      </c>
      <c r="AE613" s="9" t="s">
        <v>92</v>
      </c>
      <c r="AF613" s="9"/>
      <c r="AG613" s="11">
        <v>2</v>
      </c>
      <c r="AH613" s="11" t="s">
        <v>93</v>
      </c>
      <c r="AI613" s="11"/>
      <c r="AJ613" s="11"/>
      <c r="AK613" s="11"/>
      <c r="AL613" s="12">
        <v>2</v>
      </c>
      <c r="AM613" s="12" t="s">
        <v>93</v>
      </c>
      <c r="AN613" s="12" t="s">
        <v>2778</v>
      </c>
      <c r="AO613" s="12"/>
      <c r="AP613" s="12"/>
      <c r="AQ613" s="4">
        <v>2</v>
      </c>
      <c r="AR613" s="4" t="s">
        <v>83</v>
      </c>
      <c r="AS613" s="4" t="s">
        <v>941</v>
      </c>
      <c r="AT613" s="13"/>
      <c r="AU613" s="13"/>
      <c r="AV613" s="13"/>
      <c r="AW613" s="13"/>
      <c r="AX613" s="4"/>
      <c r="AY613" s="13"/>
      <c r="AZ613" s="13"/>
      <c r="BA613" s="13"/>
      <c r="BB613" s="13"/>
      <c r="BC613" s="4"/>
      <c r="BD613" s="4"/>
      <c r="BE613" s="4"/>
      <c r="BF613" s="13"/>
      <c r="BG613" s="4"/>
      <c r="BH613" s="13"/>
      <c r="BI613" s="13"/>
      <c r="BJ613" s="4"/>
      <c r="BK613" s="14">
        <v>6</v>
      </c>
      <c r="BL613" s="14">
        <v>6</v>
      </c>
      <c r="BM613" s="14">
        <v>6</v>
      </c>
      <c r="BP613" s="15"/>
      <c r="BQ613" s="15"/>
      <c r="BR613" s="2" t="s">
        <v>97</v>
      </c>
      <c r="BS613" s="2" t="s">
        <v>97</v>
      </c>
      <c r="BT613" s="7" t="s">
        <v>98</v>
      </c>
      <c r="BU613" s="7"/>
      <c r="BV613" s="9" t="s">
        <v>98</v>
      </c>
      <c r="BW613" s="9"/>
    </row>
    <row r="614" spans="1:75" ht="14.25" customHeight="1" x14ac:dyDescent="0.25">
      <c r="A614" s="1">
        <v>1262</v>
      </c>
      <c r="B614" s="1" t="s">
        <v>2779</v>
      </c>
      <c r="C614" s="1" t="s">
        <v>2780</v>
      </c>
      <c r="D614" s="1" t="s">
        <v>77</v>
      </c>
      <c r="E614" s="1" t="s">
        <v>2396</v>
      </c>
      <c r="F614" s="1" t="s">
        <v>2771</v>
      </c>
      <c r="G614" s="1"/>
      <c r="H614" s="2">
        <v>0</v>
      </c>
      <c r="I614" s="2">
        <v>0</v>
      </c>
      <c r="J614" s="2">
        <v>0</v>
      </c>
      <c r="K614" s="2">
        <v>1</v>
      </c>
      <c r="L614" s="3" t="s">
        <v>80</v>
      </c>
      <c r="O614" s="4">
        <v>5</v>
      </c>
      <c r="P614" s="4" t="s">
        <v>81</v>
      </c>
      <c r="Q614" s="4"/>
      <c r="R614" s="5"/>
      <c r="S614" s="6"/>
      <c r="T614" s="17"/>
      <c r="U614" s="6"/>
      <c r="V614" s="4"/>
      <c r="W614" s="4"/>
      <c r="X614" s="4"/>
      <c r="Y614" s="7">
        <v>4</v>
      </c>
      <c r="Z614" s="8">
        <v>210710</v>
      </c>
      <c r="AA614" s="7" t="s">
        <v>82</v>
      </c>
      <c r="AB614" s="7"/>
      <c r="AC614" s="9">
        <v>4</v>
      </c>
      <c r="AD614" s="10">
        <v>210710</v>
      </c>
      <c r="AE614" s="9" t="s">
        <v>82</v>
      </c>
      <c r="AF614" s="9"/>
      <c r="AG614" s="11">
        <v>3</v>
      </c>
      <c r="AH614" s="11" t="s">
        <v>83</v>
      </c>
      <c r="AI614" s="11"/>
      <c r="AJ614" s="11"/>
      <c r="AK614" s="11"/>
      <c r="AL614" s="12">
        <v>3</v>
      </c>
      <c r="AM614" s="12" t="s">
        <v>83</v>
      </c>
      <c r="AN614" s="12"/>
      <c r="AO614" s="12"/>
      <c r="AP614" s="12"/>
      <c r="AQ614" s="4">
        <v>5</v>
      </c>
      <c r="AR614" s="4" t="s">
        <v>83</v>
      </c>
      <c r="AS614" s="4"/>
      <c r="AT614" s="13"/>
      <c r="AU614" s="13"/>
      <c r="AV614" s="13"/>
      <c r="AW614" s="13"/>
      <c r="AX614" s="4"/>
      <c r="AY614" s="13"/>
      <c r="AZ614" s="13"/>
      <c r="BA614" s="13"/>
      <c r="BB614" s="13"/>
      <c r="BC614" s="4"/>
      <c r="BD614" s="4"/>
      <c r="BE614" s="4"/>
      <c r="BF614" s="13"/>
      <c r="BG614" s="4"/>
      <c r="BH614" s="13"/>
      <c r="BI614" s="13"/>
      <c r="BJ614" s="4"/>
      <c r="BK614" s="14">
        <v>17</v>
      </c>
      <c r="BL614" s="14">
        <v>17</v>
      </c>
      <c r="BM614" s="14">
        <v>17</v>
      </c>
      <c r="BN614" s="3" t="s">
        <v>312</v>
      </c>
      <c r="BP614" s="15"/>
      <c r="BQ614" s="15"/>
      <c r="BR614" s="2" t="s">
        <v>121</v>
      </c>
      <c r="BS614" s="2" t="s">
        <v>121</v>
      </c>
      <c r="BT614" s="7" t="s">
        <v>98</v>
      </c>
      <c r="BU614" s="7"/>
      <c r="BV614" s="9" t="s">
        <v>98</v>
      </c>
      <c r="BW614" s="9"/>
    </row>
    <row r="615" spans="1:75" ht="14.25" customHeight="1" x14ac:dyDescent="0.25">
      <c r="A615" s="1">
        <v>1263</v>
      </c>
      <c r="B615" s="1" t="s">
        <v>2781</v>
      </c>
      <c r="C615" s="1" t="s">
        <v>2782</v>
      </c>
      <c r="D615" s="1" t="s">
        <v>77</v>
      </c>
      <c r="E615" s="1" t="s">
        <v>2396</v>
      </c>
      <c r="F615" s="1" t="s">
        <v>2771</v>
      </c>
      <c r="G615" s="1" t="s">
        <v>118</v>
      </c>
      <c r="H615" s="2">
        <v>0</v>
      </c>
      <c r="I615" s="2">
        <v>0</v>
      </c>
      <c r="J615" s="2">
        <v>0</v>
      </c>
      <c r="K615" s="2">
        <v>1</v>
      </c>
      <c r="L615" s="3" t="s">
        <v>80</v>
      </c>
      <c r="O615" s="4">
        <v>4</v>
      </c>
      <c r="P615" s="4" t="s">
        <v>81</v>
      </c>
      <c r="Q615" s="4"/>
      <c r="R615" s="5"/>
      <c r="S615" s="6"/>
      <c r="T615" s="17"/>
      <c r="U615" s="6"/>
      <c r="V615" s="4"/>
      <c r="W615" s="4"/>
      <c r="X615" s="4"/>
      <c r="Y615" s="7">
        <v>5</v>
      </c>
      <c r="Z615" s="8">
        <v>28322</v>
      </c>
      <c r="AA615" s="7" t="s">
        <v>82</v>
      </c>
      <c r="AB615" s="7"/>
      <c r="AC615" s="9">
        <v>5</v>
      </c>
      <c r="AD615" s="10">
        <v>28322</v>
      </c>
      <c r="AE615" s="9" t="s">
        <v>82</v>
      </c>
      <c r="AF615" s="9"/>
      <c r="AG615" s="11">
        <v>3</v>
      </c>
      <c r="AH615" s="11" t="s">
        <v>83</v>
      </c>
      <c r="AI615" s="11"/>
      <c r="AJ615" s="11"/>
      <c r="AK615" s="11"/>
      <c r="AL615" s="12">
        <v>3</v>
      </c>
      <c r="AM615" s="12" t="s">
        <v>83</v>
      </c>
      <c r="AN615" s="12"/>
      <c r="AO615" s="12"/>
      <c r="AP615" s="12"/>
      <c r="AQ615" s="4">
        <v>4</v>
      </c>
      <c r="AR615" s="4" t="s">
        <v>83</v>
      </c>
      <c r="AS615" s="4"/>
      <c r="AT615" s="13"/>
      <c r="AU615" s="13"/>
      <c r="AV615" s="13"/>
      <c r="AW615" s="13"/>
      <c r="AX615" s="4"/>
      <c r="AY615" s="13"/>
      <c r="AZ615" s="13"/>
      <c r="BA615" s="13"/>
      <c r="BB615" s="13"/>
      <c r="BC615" s="4"/>
      <c r="BD615" s="4"/>
      <c r="BE615" s="4"/>
      <c r="BF615" s="13"/>
      <c r="BG615" s="4"/>
      <c r="BH615" s="13"/>
      <c r="BI615" s="13"/>
      <c r="BJ615" s="4"/>
      <c r="BK615" s="14">
        <v>16</v>
      </c>
      <c r="BL615" s="14">
        <v>16</v>
      </c>
      <c r="BM615" s="14">
        <v>16</v>
      </c>
      <c r="BN615" s="3" t="s">
        <v>86</v>
      </c>
      <c r="BP615" s="15"/>
      <c r="BQ615" s="15"/>
      <c r="BR615" s="2" t="s">
        <v>108</v>
      </c>
      <c r="BS615" s="2" t="s">
        <v>108</v>
      </c>
      <c r="BT615" s="7" t="s">
        <v>98</v>
      </c>
      <c r="BU615" s="7"/>
      <c r="BV615" s="9" t="s">
        <v>98</v>
      </c>
      <c r="BW615" s="9"/>
    </row>
    <row r="616" spans="1:75" ht="14.25" customHeight="1" x14ac:dyDescent="0.25">
      <c r="A616" s="1">
        <v>1264</v>
      </c>
      <c r="B616" s="1" t="s">
        <v>2783</v>
      </c>
      <c r="C616" s="1" t="s">
        <v>2784</v>
      </c>
      <c r="D616" s="1" t="s">
        <v>77</v>
      </c>
      <c r="E616" s="1" t="s">
        <v>2396</v>
      </c>
      <c r="F616" s="1" t="s">
        <v>2771</v>
      </c>
      <c r="G616" s="1" t="s">
        <v>2785</v>
      </c>
      <c r="H616" s="2">
        <v>0</v>
      </c>
      <c r="I616" s="2">
        <v>0</v>
      </c>
      <c r="J616" s="2">
        <v>0</v>
      </c>
      <c r="K616" s="2">
        <v>1</v>
      </c>
      <c r="L616" s="3" t="s">
        <v>80</v>
      </c>
      <c r="O616" s="4">
        <v>3</v>
      </c>
      <c r="P616" s="4" t="s">
        <v>81</v>
      </c>
      <c r="Q616" s="4"/>
      <c r="R616" s="5"/>
      <c r="S616" s="6"/>
      <c r="T616" s="17"/>
      <c r="U616" s="6"/>
      <c r="V616" s="4"/>
      <c r="W616" s="4"/>
      <c r="X616" s="4"/>
      <c r="Y616" s="7">
        <v>3</v>
      </c>
      <c r="Z616" s="8">
        <v>550111</v>
      </c>
      <c r="AA616" s="7" t="s">
        <v>82</v>
      </c>
      <c r="AB616" s="7"/>
      <c r="AC616" s="9">
        <v>3</v>
      </c>
      <c r="AD616" s="10">
        <v>550111</v>
      </c>
      <c r="AE616" s="9" t="s">
        <v>82</v>
      </c>
      <c r="AF616" s="9"/>
      <c r="AG616" s="11">
        <v>4</v>
      </c>
      <c r="AH616" s="11" t="s">
        <v>83</v>
      </c>
      <c r="AI616" s="11"/>
      <c r="AJ616" s="11"/>
      <c r="AK616" s="11"/>
      <c r="AL616" s="12">
        <v>4</v>
      </c>
      <c r="AM616" s="12" t="s">
        <v>83</v>
      </c>
      <c r="AN616" s="12"/>
      <c r="AO616" s="12"/>
      <c r="AP616" s="12"/>
      <c r="AQ616" s="4">
        <v>5</v>
      </c>
      <c r="AR616" s="4" t="s">
        <v>83</v>
      </c>
      <c r="AS616" s="4"/>
      <c r="AT616" s="13"/>
      <c r="AU616" s="13"/>
      <c r="AV616" s="13"/>
      <c r="AW616" s="13"/>
      <c r="AX616" s="4"/>
      <c r="AY616" s="13"/>
      <c r="AZ616" s="13"/>
      <c r="BA616" s="13"/>
      <c r="BB616" s="13"/>
      <c r="BC616" s="4"/>
      <c r="BD616" s="4"/>
      <c r="BE616" s="4"/>
      <c r="BF616" s="13"/>
      <c r="BG616" s="4"/>
      <c r="BH616" s="13"/>
      <c r="BI616" s="13"/>
      <c r="BJ616" s="4"/>
      <c r="BK616" s="14">
        <v>15</v>
      </c>
      <c r="BL616" s="14">
        <v>15</v>
      </c>
      <c r="BM616" s="14">
        <v>15</v>
      </c>
      <c r="BN616" s="3" t="s">
        <v>113</v>
      </c>
      <c r="BP616" s="15"/>
      <c r="BQ616" s="15"/>
      <c r="BR616" s="2" t="s">
        <v>121</v>
      </c>
      <c r="BS616" s="2" t="s">
        <v>121</v>
      </c>
      <c r="BT616" s="7" t="s">
        <v>98</v>
      </c>
      <c r="BU616" s="7"/>
      <c r="BV616" s="9" t="s">
        <v>98</v>
      </c>
      <c r="BW616" s="9"/>
    </row>
    <row r="617" spans="1:75" ht="14.25" customHeight="1" x14ac:dyDescent="0.25">
      <c r="A617" s="1">
        <v>1265</v>
      </c>
      <c r="B617" s="1" t="s">
        <v>2786</v>
      </c>
      <c r="C617" s="1" t="s">
        <v>2787</v>
      </c>
      <c r="D617" s="1" t="s">
        <v>77</v>
      </c>
      <c r="E617" s="1" t="s">
        <v>2396</v>
      </c>
      <c r="F617" s="1" t="s">
        <v>2771</v>
      </c>
      <c r="G617" s="1" t="s">
        <v>118</v>
      </c>
      <c r="H617" s="2">
        <v>0</v>
      </c>
      <c r="I617" s="2">
        <v>0</v>
      </c>
      <c r="J617" s="2">
        <v>0</v>
      </c>
      <c r="K617" s="2">
        <v>1</v>
      </c>
      <c r="L617" s="3" t="s">
        <v>80</v>
      </c>
      <c r="O617" s="4">
        <v>5</v>
      </c>
      <c r="P617" s="4" t="s">
        <v>81</v>
      </c>
      <c r="Q617" s="4"/>
      <c r="R617" s="5"/>
      <c r="S617" s="6"/>
      <c r="T617" s="17"/>
      <c r="U617" s="6"/>
      <c r="V617" s="4"/>
      <c r="W617" s="4"/>
      <c r="X617" s="4"/>
      <c r="Y617" s="7">
        <v>5</v>
      </c>
      <c r="Z617" s="8">
        <v>5494</v>
      </c>
      <c r="AA617" s="7" t="s">
        <v>82</v>
      </c>
      <c r="AB617" s="7"/>
      <c r="AC617" s="9">
        <v>5</v>
      </c>
      <c r="AD617" s="10">
        <v>5494</v>
      </c>
      <c r="AE617" s="9" t="s">
        <v>82</v>
      </c>
      <c r="AF617" s="9"/>
      <c r="AG617" s="11">
        <v>4</v>
      </c>
      <c r="AH617" s="11" t="s">
        <v>83</v>
      </c>
      <c r="AI617" s="11"/>
      <c r="AJ617" s="11"/>
      <c r="AK617" s="11"/>
      <c r="AL617" s="12">
        <v>4</v>
      </c>
      <c r="AM617" s="12" t="s">
        <v>83</v>
      </c>
      <c r="AN617" s="12"/>
      <c r="AO617" s="12"/>
      <c r="AP617" s="12"/>
      <c r="AQ617" s="4">
        <v>4</v>
      </c>
      <c r="AR617" s="4" t="s">
        <v>83</v>
      </c>
      <c r="AS617" s="4"/>
      <c r="AT617" s="13"/>
      <c r="AU617" s="13"/>
      <c r="AV617" s="13"/>
      <c r="AW617" s="13"/>
      <c r="AX617" s="4"/>
      <c r="AY617" s="13"/>
      <c r="AZ617" s="13"/>
      <c r="BA617" s="13"/>
      <c r="BB617" s="13"/>
      <c r="BC617" s="4"/>
      <c r="BD617" s="4"/>
      <c r="BE617" s="4"/>
      <c r="BF617" s="13"/>
      <c r="BG617" s="4"/>
      <c r="BH617" s="13"/>
      <c r="BI617" s="13"/>
      <c r="BJ617" s="4"/>
      <c r="BK617" s="14">
        <v>18</v>
      </c>
      <c r="BL617" s="14">
        <v>18</v>
      </c>
      <c r="BM617" s="14">
        <v>18</v>
      </c>
      <c r="BN617" s="3" t="s">
        <v>312</v>
      </c>
      <c r="BO617" s="3" t="s">
        <v>120</v>
      </c>
      <c r="BP617" s="15"/>
      <c r="BQ617" s="15"/>
      <c r="BR617" s="2" t="s">
        <v>121</v>
      </c>
      <c r="BS617" s="2" t="s">
        <v>121</v>
      </c>
      <c r="BT617" s="7" t="s">
        <v>98</v>
      </c>
      <c r="BU617" s="7"/>
      <c r="BV617" s="9" t="s">
        <v>98</v>
      </c>
      <c r="BW617" s="9"/>
    </row>
    <row r="618" spans="1:75" ht="14.25" customHeight="1" x14ac:dyDescent="0.25">
      <c r="A618" s="1">
        <v>1266</v>
      </c>
      <c r="B618" s="1" t="s">
        <v>2788</v>
      </c>
      <c r="C618" s="1" t="s">
        <v>2789</v>
      </c>
      <c r="D618" s="1" t="s">
        <v>77</v>
      </c>
      <c r="E618" s="1" t="s">
        <v>2396</v>
      </c>
      <c r="F618" s="1" t="s">
        <v>2771</v>
      </c>
      <c r="G618" s="1"/>
      <c r="H618" s="2">
        <v>0</v>
      </c>
      <c r="I618" s="2">
        <v>0</v>
      </c>
      <c r="J618" s="2">
        <v>1</v>
      </c>
      <c r="K618" s="2">
        <v>1</v>
      </c>
      <c r="L618" s="3" t="s">
        <v>80</v>
      </c>
      <c r="O618" s="4">
        <v>4</v>
      </c>
      <c r="P618" s="4" t="s">
        <v>2790</v>
      </c>
      <c r="Q618" s="4" t="s">
        <v>2791</v>
      </c>
      <c r="R618" s="5"/>
      <c r="S618" s="6"/>
      <c r="T618" s="17"/>
      <c r="U618" s="6"/>
      <c r="V618" s="4"/>
      <c r="W618" s="4"/>
      <c r="X618" s="4"/>
      <c r="Y618" s="7">
        <v>3</v>
      </c>
      <c r="Z618" s="8">
        <v>398111</v>
      </c>
      <c r="AA618" s="7" t="s">
        <v>283</v>
      </c>
      <c r="AB618" s="7" t="s">
        <v>2792</v>
      </c>
      <c r="AC618" s="9">
        <v>3</v>
      </c>
      <c r="AD618" s="10">
        <v>398111</v>
      </c>
      <c r="AE618" s="9" t="s">
        <v>283</v>
      </c>
      <c r="AF618" s="9" t="s">
        <v>2792</v>
      </c>
      <c r="AG618" s="11">
        <v>4</v>
      </c>
      <c r="AH618" s="11" t="s">
        <v>93</v>
      </c>
      <c r="AI618" s="11"/>
      <c r="AJ618" s="11"/>
      <c r="AK618" s="11"/>
      <c r="AL618" s="12">
        <v>4</v>
      </c>
      <c r="AM618" s="12" t="s">
        <v>93</v>
      </c>
      <c r="AN618" s="12" t="s">
        <v>2440</v>
      </c>
      <c r="AO618" s="12"/>
      <c r="AP618" s="12"/>
      <c r="AQ618" s="4">
        <v>5</v>
      </c>
      <c r="AR618" s="4" t="s">
        <v>83</v>
      </c>
      <c r="AS618" s="4" t="s">
        <v>2423</v>
      </c>
      <c r="AT618" s="13"/>
      <c r="AU618" s="13"/>
      <c r="AV618" s="13"/>
      <c r="AW618" s="13"/>
      <c r="AX618" s="4"/>
      <c r="AY618" s="13"/>
      <c r="AZ618" s="13"/>
      <c r="BA618" s="13"/>
      <c r="BB618" s="13"/>
      <c r="BC618" s="4"/>
      <c r="BD618" s="4"/>
      <c r="BE618" s="4"/>
      <c r="BF618" s="13"/>
      <c r="BG618" s="4"/>
      <c r="BH618" s="13"/>
      <c r="BI618" s="13"/>
      <c r="BJ618" s="4"/>
      <c r="BK618" s="14">
        <v>16</v>
      </c>
      <c r="BL618" s="14">
        <v>16</v>
      </c>
      <c r="BM618" s="14">
        <v>16</v>
      </c>
      <c r="BN618" s="3" t="s">
        <v>312</v>
      </c>
      <c r="BP618" s="15"/>
      <c r="BQ618" s="15"/>
      <c r="BR618" s="2" t="s">
        <v>87</v>
      </c>
      <c r="BS618" s="2" t="s">
        <v>87</v>
      </c>
      <c r="BT618" s="7" t="s">
        <v>88</v>
      </c>
      <c r="BU618" s="7" t="s">
        <v>98</v>
      </c>
      <c r="BV618" s="9" t="s">
        <v>88</v>
      </c>
      <c r="BW618" s="9" t="s">
        <v>98</v>
      </c>
    </row>
    <row r="619" spans="1:75" ht="14.25" customHeight="1" x14ac:dyDescent="0.25">
      <c r="A619" s="1">
        <v>1267</v>
      </c>
      <c r="B619" s="1" t="s">
        <v>2793</v>
      </c>
      <c r="C619" s="1" t="s">
        <v>2794</v>
      </c>
      <c r="D619" s="1" t="s">
        <v>77</v>
      </c>
      <c r="E619" s="1" t="s">
        <v>2396</v>
      </c>
      <c r="F619" s="1" t="s">
        <v>2771</v>
      </c>
      <c r="G619" s="1"/>
      <c r="H619" s="2">
        <v>0</v>
      </c>
      <c r="I619" s="2">
        <v>0</v>
      </c>
      <c r="J619" s="2">
        <v>1</v>
      </c>
      <c r="K619" s="2">
        <v>1</v>
      </c>
      <c r="L619" s="3" t="s">
        <v>80</v>
      </c>
      <c r="O619" s="4">
        <v>3</v>
      </c>
      <c r="P619" s="4" t="s">
        <v>112</v>
      </c>
      <c r="Q619" s="4"/>
      <c r="R619" s="5"/>
      <c r="S619" s="6"/>
      <c r="T619" s="17"/>
      <c r="U619" s="6"/>
      <c r="V619" s="4"/>
      <c r="W619" s="4"/>
      <c r="X619" s="4"/>
      <c r="Y619" s="7">
        <v>1</v>
      </c>
      <c r="Z619" s="8">
        <v>4423384</v>
      </c>
      <c r="AA619" s="7" t="s">
        <v>92</v>
      </c>
      <c r="AB619" s="7"/>
      <c r="AC619" s="9">
        <v>1</v>
      </c>
      <c r="AD619" s="10">
        <v>4423384</v>
      </c>
      <c r="AE619" s="9" t="s">
        <v>92</v>
      </c>
      <c r="AF619" s="9"/>
      <c r="AG619" s="11">
        <v>4</v>
      </c>
      <c r="AH619" s="11" t="s">
        <v>93</v>
      </c>
      <c r="AI619" s="11"/>
      <c r="AJ619" s="11"/>
      <c r="AK619" s="11"/>
      <c r="AL619" s="12">
        <v>4</v>
      </c>
      <c r="AM619" s="12" t="s">
        <v>93</v>
      </c>
      <c r="AN619" s="12" t="s">
        <v>2440</v>
      </c>
      <c r="AO619" s="12"/>
      <c r="AP619" s="12"/>
      <c r="AQ619" s="4">
        <v>4</v>
      </c>
      <c r="AR619" s="4" t="s">
        <v>83</v>
      </c>
      <c r="AS619" s="4" t="s">
        <v>2795</v>
      </c>
      <c r="AT619" s="13"/>
      <c r="AU619" s="13"/>
      <c r="AV619" s="13"/>
      <c r="AW619" s="13"/>
      <c r="AX619" s="4"/>
      <c r="AY619" s="13"/>
      <c r="AZ619" s="13"/>
      <c r="BA619" s="13"/>
      <c r="BB619" s="13"/>
      <c r="BC619" s="4"/>
      <c r="BD619" s="4"/>
      <c r="BE619" s="4"/>
      <c r="BF619" s="13"/>
      <c r="BG619" s="4"/>
      <c r="BH619" s="13"/>
      <c r="BI619" s="13"/>
      <c r="BJ619" s="4"/>
      <c r="BK619" s="14">
        <v>12</v>
      </c>
      <c r="BL619" s="14">
        <v>12</v>
      </c>
      <c r="BM619" s="14">
        <v>12</v>
      </c>
      <c r="BP619" s="15"/>
      <c r="BQ619" s="15"/>
      <c r="BR619" s="2" t="s">
        <v>97</v>
      </c>
      <c r="BS619" s="2" t="s">
        <v>97</v>
      </c>
      <c r="BT619" s="7" t="s">
        <v>98</v>
      </c>
      <c r="BU619" s="7"/>
      <c r="BV619" s="9" t="s">
        <v>98</v>
      </c>
      <c r="BW619" s="9"/>
    </row>
    <row r="620" spans="1:75" ht="14.25" customHeight="1" x14ac:dyDescent="0.25">
      <c r="A620" s="1">
        <v>1268</v>
      </c>
      <c r="B620" s="1" t="s">
        <v>2796</v>
      </c>
      <c r="C620" s="1" t="s">
        <v>2797</v>
      </c>
      <c r="D620" s="1" t="s">
        <v>77</v>
      </c>
      <c r="E620" s="1" t="s">
        <v>2396</v>
      </c>
      <c r="F620" s="1" t="s">
        <v>2771</v>
      </c>
      <c r="G620" s="1" t="s">
        <v>118</v>
      </c>
      <c r="H620" s="2">
        <v>0</v>
      </c>
      <c r="I620" s="2">
        <v>0</v>
      </c>
      <c r="J620" s="2">
        <v>0</v>
      </c>
      <c r="K620" s="2">
        <v>1</v>
      </c>
      <c r="L620" s="3" t="s">
        <v>80</v>
      </c>
      <c r="O620" s="4">
        <v>4</v>
      </c>
      <c r="P620" s="4" t="s">
        <v>81</v>
      </c>
      <c r="Q620" s="4"/>
      <c r="R620" s="5"/>
      <c r="S620" s="6"/>
      <c r="T620" s="17"/>
      <c r="U620" s="6"/>
      <c r="V620" s="4"/>
      <c r="W620" s="4"/>
      <c r="X620" s="4"/>
      <c r="Y620" s="7">
        <v>4</v>
      </c>
      <c r="Z620" s="8">
        <v>88493</v>
      </c>
      <c r="AA620" s="7" t="s">
        <v>82</v>
      </c>
      <c r="AB620" s="7"/>
      <c r="AC620" s="9">
        <v>4</v>
      </c>
      <c r="AD620" s="10">
        <v>88493</v>
      </c>
      <c r="AE620" s="9" t="s">
        <v>82</v>
      </c>
      <c r="AF620" s="9"/>
      <c r="AG620" s="11">
        <v>4</v>
      </c>
      <c r="AH620" s="11" t="s">
        <v>83</v>
      </c>
      <c r="AI620" s="11"/>
      <c r="AJ620" s="11"/>
      <c r="AK620" s="11"/>
      <c r="AL620" s="12">
        <v>4</v>
      </c>
      <c r="AM620" s="12" t="s">
        <v>83</v>
      </c>
      <c r="AN620" s="12"/>
      <c r="AO620" s="12"/>
      <c r="AP620" s="12"/>
      <c r="AQ620" s="4">
        <v>5</v>
      </c>
      <c r="AR620" s="4" t="s">
        <v>83</v>
      </c>
      <c r="AS620" s="4"/>
      <c r="AT620" s="13"/>
      <c r="AU620" s="13"/>
      <c r="AV620" s="13"/>
      <c r="AW620" s="13"/>
      <c r="AX620" s="4"/>
      <c r="AY620" s="13"/>
      <c r="AZ620" s="13"/>
      <c r="BA620" s="13"/>
      <c r="BB620" s="13"/>
      <c r="BC620" s="4"/>
      <c r="BD620" s="4"/>
      <c r="BE620" s="4"/>
      <c r="BF620" s="13"/>
      <c r="BG620" s="4"/>
      <c r="BH620" s="13"/>
      <c r="BI620" s="13"/>
      <c r="BJ620" s="4"/>
      <c r="BK620" s="14">
        <v>17</v>
      </c>
      <c r="BL620" s="14">
        <v>17</v>
      </c>
      <c r="BM620" s="14">
        <v>17</v>
      </c>
      <c r="BN620" s="3" t="s">
        <v>312</v>
      </c>
      <c r="BP620" s="15"/>
      <c r="BQ620" s="15"/>
      <c r="BR620" s="2" t="s">
        <v>115</v>
      </c>
      <c r="BS620" s="2" t="s">
        <v>115</v>
      </c>
      <c r="BT620" s="7" t="s">
        <v>98</v>
      </c>
      <c r="BU620" s="7"/>
      <c r="BV620" s="9" t="s">
        <v>98</v>
      </c>
      <c r="BW620" s="9"/>
    </row>
    <row r="621" spans="1:75" ht="14.25" customHeight="1" x14ac:dyDescent="0.25">
      <c r="A621" s="1">
        <v>1269</v>
      </c>
      <c r="B621" s="1" t="s">
        <v>2798</v>
      </c>
      <c r="C621" s="1" t="s">
        <v>2799</v>
      </c>
      <c r="D621" s="1" t="s">
        <v>77</v>
      </c>
      <c r="E621" s="1" t="s">
        <v>2396</v>
      </c>
      <c r="F621" s="1" t="s">
        <v>2771</v>
      </c>
      <c r="G621" s="1"/>
      <c r="H621" s="2">
        <v>0</v>
      </c>
      <c r="I621" s="2">
        <v>0</v>
      </c>
      <c r="J621" s="2">
        <v>0</v>
      </c>
      <c r="K621" s="2">
        <v>1</v>
      </c>
      <c r="L621" s="3" t="s">
        <v>80</v>
      </c>
      <c r="O621" s="4">
        <v>4</v>
      </c>
      <c r="P621" s="4" t="s">
        <v>81</v>
      </c>
      <c r="Q621" s="4"/>
      <c r="R621" s="5"/>
      <c r="S621" s="6"/>
      <c r="T621" s="17"/>
      <c r="U621" s="6"/>
      <c r="V621" s="4"/>
      <c r="W621" s="4"/>
      <c r="X621" s="4"/>
      <c r="Y621" s="7">
        <v>4</v>
      </c>
      <c r="Z621" s="8">
        <v>127462</v>
      </c>
      <c r="AA621" s="7" t="s">
        <v>82</v>
      </c>
      <c r="AB621" s="7"/>
      <c r="AC621" s="9">
        <v>4</v>
      </c>
      <c r="AD621" s="10">
        <v>127462</v>
      </c>
      <c r="AE621" s="9" t="s">
        <v>82</v>
      </c>
      <c r="AF621" s="9"/>
      <c r="AG621" s="11">
        <v>4</v>
      </c>
      <c r="AH621" s="11" t="s">
        <v>83</v>
      </c>
      <c r="AI621" s="11"/>
      <c r="AJ621" s="11"/>
      <c r="AK621" s="11"/>
      <c r="AL621" s="12">
        <v>4</v>
      </c>
      <c r="AM621" s="12" t="s">
        <v>83</v>
      </c>
      <c r="AN621" s="12"/>
      <c r="AO621" s="12"/>
      <c r="AP621" s="12"/>
      <c r="AQ621" s="4">
        <v>4</v>
      </c>
      <c r="AR621" s="4" t="s">
        <v>83</v>
      </c>
      <c r="AS621" s="4"/>
      <c r="AT621" s="13"/>
      <c r="AU621" s="13"/>
      <c r="AV621" s="13"/>
      <c r="AW621" s="13"/>
      <c r="AX621" s="4"/>
      <c r="AY621" s="13"/>
      <c r="AZ621" s="13"/>
      <c r="BA621" s="13"/>
      <c r="BB621" s="13"/>
      <c r="BC621" s="4"/>
      <c r="BD621" s="4"/>
      <c r="BE621" s="4"/>
      <c r="BF621" s="13"/>
      <c r="BG621" s="4"/>
      <c r="BH621" s="13"/>
      <c r="BI621" s="13"/>
      <c r="BJ621" s="4"/>
      <c r="BK621" s="14">
        <v>16</v>
      </c>
      <c r="BL621" s="14">
        <v>16</v>
      </c>
      <c r="BM621" s="14">
        <v>16</v>
      </c>
      <c r="BN621" s="3" t="s">
        <v>86</v>
      </c>
      <c r="BP621" s="15"/>
      <c r="BQ621" s="15"/>
      <c r="BR621" s="2" t="s">
        <v>121</v>
      </c>
      <c r="BS621" s="2" t="s">
        <v>121</v>
      </c>
      <c r="BT621" s="7" t="s">
        <v>98</v>
      </c>
      <c r="BU621" s="7"/>
      <c r="BV621" s="9" t="s">
        <v>98</v>
      </c>
      <c r="BW621" s="9"/>
    </row>
    <row r="622" spans="1:75" ht="14.25" customHeight="1" x14ac:dyDescent="0.25">
      <c r="A622" s="1">
        <v>1270</v>
      </c>
      <c r="B622" s="1" t="s">
        <v>2800</v>
      </c>
      <c r="C622" s="1" t="s">
        <v>2801</v>
      </c>
      <c r="D622" s="1" t="s">
        <v>77</v>
      </c>
      <c r="E622" s="1" t="s">
        <v>2396</v>
      </c>
      <c r="F622" s="1" t="s">
        <v>2771</v>
      </c>
      <c r="G622" s="1" t="s">
        <v>118</v>
      </c>
      <c r="H622" s="2">
        <v>0</v>
      </c>
      <c r="I622" s="2">
        <v>0</v>
      </c>
      <c r="J622" s="2">
        <v>0</v>
      </c>
      <c r="K622" s="2">
        <v>1</v>
      </c>
      <c r="L622" s="3" t="s">
        <v>80</v>
      </c>
      <c r="O622" s="4">
        <v>3</v>
      </c>
      <c r="P622" s="4" t="s">
        <v>81</v>
      </c>
      <c r="Q622" s="4"/>
      <c r="R622" s="5"/>
      <c r="S622" s="6"/>
      <c r="T622" s="17"/>
      <c r="U622" s="6"/>
      <c r="V622" s="4"/>
      <c r="W622" s="4"/>
      <c r="X622" s="4"/>
      <c r="Y622" s="7">
        <v>2</v>
      </c>
      <c r="Z622" s="8">
        <v>1434499</v>
      </c>
      <c r="AA622" s="7" t="s">
        <v>82</v>
      </c>
      <c r="AB622" s="7"/>
      <c r="AC622" s="9">
        <v>2</v>
      </c>
      <c r="AD622" s="10">
        <v>1434499</v>
      </c>
      <c r="AE622" s="9" t="s">
        <v>82</v>
      </c>
      <c r="AF622" s="9"/>
      <c r="AG622" s="11">
        <v>4</v>
      </c>
      <c r="AH622" s="11" t="s">
        <v>83</v>
      </c>
      <c r="AI622" s="11"/>
      <c r="AJ622" s="11"/>
      <c r="AK622" s="11"/>
      <c r="AL622" s="12">
        <v>4</v>
      </c>
      <c r="AM622" s="12" t="s">
        <v>83</v>
      </c>
      <c r="AN622" s="12"/>
      <c r="AO622" s="12"/>
      <c r="AP622" s="12"/>
      <c r="AQ622" s="4">
        <v>4</v>
      </c>
      <c r="AR622" s="4" t="s">
        <v>83</v>
      </c>
      <c r="AS622" s="4"/>
      <c r="AT622" s="13"/>
      <c r="AU622" s="13"/>
      <c r="AV622" s="13"/>
      <c r="AW622" s="13"/>
      <c r="AX622" s="4"/>
      <c r="AY622" s="13"/>
      <c r="AZ622" s="13"/>
      <c r="BA622" s="13"/>
      <c r="BB622" s="13"/>
      <c r="BC622" s="4"/>
      <c r="BD622" s="4"/>
      <c r="BE622" s="4"/>
      <c r="BF622" s="13"/>
      <c r="BG622" s="4"/>
      <c r="BH622" s="13"/>
      <c r="BI622" s="13"/>
      <c r="BJ622" s="4"/>
      <c r="BK622" s="14">
        <v>13</v>
      </c>
      <c r="BL622" s="14">
        <v>13</v>
      </c>
      <c r="BM622" s="14">
        <v>13</v>
      </c>
      <c r="BP622" s="15"/>
      <c r="BQ622" s="15"/>
      <c r="BR622" s="2" t="s">
        <v>740</v>
      </c>
      <c r="BS622" s="2" t="s">
        <v>740</v>
      </c>
      <c r="BT622" s="7" t="s">
        <v>98</v>
      </c>
      <c r="BU622" s="7"/>
      <c r="BV622" s="9" t="s">
        <v>98</v>
      </c>
      <c r="BW622" s="9"/>
    </row>
    <row r="623" spans="1:75" ht="14.25" customHeight="1" x14ac:dyDescent="0.25">
      <c r="A623" s="1">
        <v>1271</v>
      </c>
      <c r="B623" s="1" t="s">
        <v>2802</v>
      </c>
      <c r="C623" s="1" t="s">
        <v>2803</v>
      </c>
      <c r="D623" s="1" t="s">
        <v>77</v>
      </c>
      <c r="E623" s="1" t="s">
        <v>2396</v>
      </c>
      <c r="F623" s="1" t="s">
        <v>2771</v>
      </c>
      <c r="G623" s="1" t="s">
        <v>118</v>
      </c>
      <c r="H623" s="2">
        <v>0</v>
      </c>
      <c r="I623" s="2">
        <v>0</v>
      </c>
      <c r="J623" s="2">
        <v>0</v>
      </c>
      <c r="K623" s="2">
        <v>1</v>
      </c>
      <c r="L623" s="3" t="s">
        <v>80</v>
      </c>
      <c r="O623" s="4">
        <v>4</v>
      </c>
      <c r="P623" s="4" t="s">
        <v>81</v>
      </c>
      <c r="Q623" s="4"/>
      <c r="R623" s="5"/>
      <c r="S623" s="6"/>
      <c r="T623" s="17"/>
      <c r="U623" s="6"/>
      <c r="V623" s="4"/>
      <c r="W623" s="4"/>
      <c r="X623" s="4"/>
      <c r="Y623" s="7">
        <v>4</v>
      </c>
      <c r="Z623" s="8">
        <v>235991</v>
      </c>
      <c r="AA623" s="7" t="s">
        <v>82</v>
      </c>
      <c r="AB623" s="7"/>
      <c r="AC623" s="9">
        <v>4</v>
      </c>
      <c r="AD623" s="10">
        <v>235991</v>
      </c>
      <c r="AE623" s="9" t="s">
        <v>82</v>
      </c>
      <c r="AF623" s="9"/>
      <c r="AG623" s="11">
        <v>4</v>
      </c>
      <c r="AH623" s="11" t="s">
        <v>83</v>
      </c>
      <c r="AI623" s="11"/>
      <c r="AJ623" s="11"/>
      <c r="AK623" s="11"/>
      <c r="AL623" s="12">
        <v>4</v>
      </c>
      <c r="AM623" s="12" t="s">
        <v>83</v>
      </c>
      <c r="AN623" s="12"/>
      <c r="AO623" s="12"/>
      <c r="AP623" s="12"/>
      <c r="AQ623" s="4">
        <v>4</v>
      </c>
      <c r="AR623" s="4" t="s">
        <v>83</v>
      </c>
      <c r="AS623" s="4"/>
      <c r="AT623" s="13"/>
      <c r="AU623" s="13"/>
      <c r="AV623" s="13"/>
      <c r="AW623" s="13"/>
      <c r="AX623" s="4"/>
      <c r="AY623" s="13"/>
      <c r="AZ623" s="13"/>
      <c r="BA623" s="13"/>
      <c r="BB623" s="13"/>
      <c r="BC623" s="4"/>
      <c r="BD623" s="4"/>
      <c r="BE623" s="4"/>
      <c r="BF623" s="13"/>
      <c r="BG623" s="4"/>
      <c r="BH623" s="13"/>
      <c r="BI623" s="13"/>
      <c r="BJ623" s="4"/>
      <c r="BK623" s="14">
        <v>16</v>
      </c>
      <c r="BL623" s="14">
        <v>16</v>
      </c>
      <c r="BM623" s="14">
        <v>16</v>
      </c>
      <c r="BN623" s="3" t="s">
        <v>86</v>
      </c>
      <c r="BP623" s="15"/>
      <c r="BQ623" s="15"/>
      <c r="BR623" s="2" t="s">
        <v>121</v>
      </c>
      <c r="BS623" s="2" t="s">
        <v>121</v>
      </c>
      <c r="BT623" s="7" t="s">
        <v>98</v>
      </c>
      <c r="BU623" s="7"/>
      <c r="BV623" s="9" t="s">
        <v>98</v>
      </c>
      <c r="BW623" s="9"/>
    </row>
    <row r="624" spans="1:75" ht="14.25" customHeight="1" x14ac:dyDescent="0.25">
      <c r="A624" s="1">
        <v>1272</v>
      </c>
      <c r="B624" s="1" t="s">
        <v>2804</v>
      </c>
      <c r="C624" s="1" t="s">
        <v>2805</v>
      </c>
      <c r="D624" s="1" t="s">
        <v>77</v>
      </c>
      <c r="E624" s="1" t="s">
        <v>2396</v>
      </c>
      <c r="F624" s="1" t="s">
        <v>2771</v>
      </c>
      <c r="G624" s="1"/>
      <c r="H624" s="2">
        <v>0</v>
      </c>
      <c r="I624" s="2">
        <v>0</v>
      </c>
      <c r="J624" s="2">
        <v>0</v>
      </c>
      <c r="K624" s="2">
        <v>1</v>
      </c>
      <c r="L624" s="3" t="s">
        <v>80</v>
      </c>
      <c r="O624" s="4">
        <v>2</v>
      </c>
      <c r="P624" s="4" t="s">
        <v>81</v>
      </c>
      <c r="Q624" s="4"/>
      <c r="R624" s="5"/>
      <c r="S624" s="6"/>
      <c r="T624" s="17"/>
      <c r="U624" s="6"/>
      <c r="V624" s="4"/>
      <c r="W624" s="4"/>
      <c r="X624" s="4"/>
      <c r="Y624" s="7">
        <v>1</v>
      </c>
      <c r="Z624" s="8">
        <v>8006238</v>
      </c>
      <c r="AA624" s="7" t="s">
        <v>82</v>
      </c>
      <c r="AB624" s="7"/>
      <c r="AC624" s="9">
        <v>1</v>
      </c>
      <c r="AD624" s="10">
        <v>8006238</v>
      </c>
      <c r="AE624" s="9" t="s">
        <v>82</v>
      </c>
      <c r="AF624" s="9"/>
      <c r="AG624" s="11">
        <v>4</v>
      </c>
      <c r="AH624" s="11" t="s">
        <v>83</v>
      </c>
      <c r="AI624" s="11"/>
      <c r="AJ624" s="11"/>
      <c r="AK624" s="11"/>
      <c r="AL624" s="12">
        <v>4</v>
      </c>
      <c r="AM624" s="12" t="s">
        <v>83</v>
      </c>
      <c r="AN624" s="12"/>
      <c r="AO624" s="12"/>
      <c r="AP624" s="12"/>
      <c r="AQ624" s="4">
        <v>5</v>
      </c>
      <c r="AR624" s="4" t="s">
        <v>83</v>
      </c>
      <c r="AS624" s="4"/>
      <c r="AT624" s="13"/>
      <c r="AU624" s="13"/>
      <c r="AV624" s="13"/>
      <c r="AW624" s="13"/>
      <c r="AX624" s="4"/>
      <c r="AY624" s="13"/>
      <c r="AZ624" s="13"/>
      <c r="BA624" s="13"/>
      <c r="BB624" s="13"/>
      <c r="BC624" s="4"/>
      <c r="BD624" s="4"/>
      <c r="BE624" s="4"/>
      <c r="BF624" s="13"/>
      <c r="BG624" s="4"/>
      <c r="BH624" s="13"/>
      <c r="BI624" s="13"/>
      <c r="BJ624" s="4"/>
      <c r="BK624" s="14">
        <v>12</v>
      </c>
      <c r="BL624" s="14">
        <v>12</v>
      </c>
      <c r="BM624" s="14">
        <v>12</v>
      </c>
      <c r="BN624" s="3" t="s">
        <v>302</v>
      </c>
      <c r="BP624" s="15"/>
      <c r="BQ624" s="15"/>
      <c r="BR624" s="2" t="s">
        <v>97</v>
      </c>
      <c r="BS624" s="2" t="s">
        <v>97</v>
      </c>
      <c r="BT624" s="7" t="s">
        <v>98</v>
      </c>
      <c r="BU624" s="7"/>
      <c r="BV624" s="9" t="s">
        <v>98</v>
      </c>
      <c r="BW624" s="9"/>
    </row>
    <row r="625" spans="1:75" ht="14.25" customHeight="1" x14ac:dyDescent="0.25">
      <c r="A625" s="1">
        <v>1273</v>
      </c>
      <c r="B625" s="1" t="s">
        <v>2806</v>
      </c>
      <c r="C625" s="1" t="s">
        <v>2807</v>
      </c>
      <c r="D625" s="1" t="s">
        <v>77</v>
      </c>
      <c r="E625" s="1" t="s">
        <v>2396</v>
      </c>
      <c r="F625" s="1" t="s">
        <v>2771</v>
      </c>
      <c r="G625" s="1"/>
      <c r="H625" s="2">
        <v>0</v>
      </c>
      <c r="I625" s="2">
        <v>0</v>
      </c>
      <c r="J625" s="2">
        <v>1</v>
      </c>
      <c r="K625" s="2">
        <v>1</v>
      </c>
      <c r="L625" s="3" t="s">
        <v>80</v>
      </c>
      <c r="O625" s="4">
        <v>4</v>
      </c>
      <c r="P625" s="4" t="s">
        <v>112</v>
      </c>
      <c r="Q625" s="4"/>
      <c r="R625" s="5"/>
      <c r="S625" s="6"/>
      <c r="T625" s="17"/>
      <c r="U625" s="6"/>
      <c r="V625" s="4"/>
      <c r="W625" s="4"/>
      <c r="X625" s="4"/>
      <c r="Y625" s="7">
        <v>3</v>
      </c>
      <c r="Z625" s="8">
        <v>490764</v>
      </c>
      <c r="AA625" s="7" t="s">
        <v>92</v>
      </c>
      <c r="AB625" s="7"/>
      <c r="AC625" s="9">
        <v>3</v>
      </c>
      <c r="AD625" s="10">
        <v>490764</v>
      </c>
      <c r="AE625" s="9" t="s">
        <v>92</v>
      </c>
      <c r="AF625" s="9"/>
      <c r="AG625" s="11">
        <v>4</v>
      </c>
      <c r="AH625" s="11" t="s">
        <v>93</v>
      </c>
      <c r="AI625" s="11" t="s">
        <v>2808</v>
      </c>
      <c r="AJ625" s="11"/>
      <c r="AK625" s="11"/>
      <c r="AL625" s="12">
        <v>4</v>
      </c>
      <c r="AM625" s="12" t="s">
        <v>93</v>
      </c>
      <c r="AN625" s="12" t="s">
        <v>2809</v>
      </c>
      <c r="AO625" s="12"/>
      <c r="AP625" s="12"/>
      <c r="AQ625" s="4">
        <v>4</v>
      </c>
      <c r="AR625" s="4" t="s">
        <v>83</v>
      </c>
      <c r="AS625" s="4"/>
      <c r="AT625" s="13"/>
      <c r="AU625" s="13"/>
      <c r="AV625" s="13"/>
      <c r="AW625" s="13"/>
      <c r="AX625" s="4"/>
      <c r="AY625" s="13"/>
      <c r="AZ625" s="13"/>
      <c r="BA625" s="13"/>
      <c r="BB625" s="13"/>
      <c r="BC625" s="4"/>
      <c r="BD625" s="4"/>
      <c r="BE625" s="4"/>
      <c r="BF625" s="13"/>
      <c r="BG625" s="4"/>
      <c r="BH625" s="13"/>
      <c r="BI625" s="13"/>
      <c r="BJ625" s="4"/>
      <c r="BK625" s="14">
        <v>15</v>
      </c>
      <c r="BL625" s="14">
        <v>15</v>
      </c>
      <c r="BM625" s="14">
        <v>15</v>
      </c>
      <c r="BN625" s="3" t="s">
        <v>86</v>
      </c>
      <c r="BP625" s="15"/>
      <c r="BQ625" s="15"/>
      <c r="BR625" s="2" t="s">
        <v>87</v>
      </c>
      <c r="BS625" s="2" t="s">
        <v>87</v>
      </c>
      <c r="BT625" s="7" t="s">
        <v>88</v>
      </c>
      <c r="BU625" s="7" t="s">
        <v>98</v>
      </c>
      <c r="BV625" s="9" t="s">
        <v>88</v>
      </c>
      <c r="BW625" s="9" t="s">
        <v>98</v>
      </c>
    </row>
    <row r="626" spans="1:75" ht="14.25" customHeight="1" x14ac:dyDescent="0.25">
      <c r="A626" s="1">
        <v>1274</v>
      </c>
      <c r="B626" s="1" t="s">
        <v>2810</v>
      </c>
      <c r="C626" s="1" t="s">
        <v>2811</v>
      </c>
      <c r="D626" s="1" t="s">
        <v>77</v>
      </c>
      <c r="E626" s="1" t="s">
        <v>2396</v>
      </c>
      <c r="F626" s="1" t="s">
        <v>2771</v>
      </c>
      <c r="G626" s="1"/>
      <c r="H626" s="2">
        <v>0</v>
      </c>
      <c r="I626" s="2">
        <v>0</v>
      </c>
      <c r="J626" s="2">
        <v>0</v>
      </c>
      <c r="K626" s="2">
        <v>1</v>
      </c>
      <c r="L626" s="3" t="s">
        <v>80</v>
      </c>
      <c r="O626" s="4">
        <v>3</v>
      </c>
      <c r="P626" s="4" t="s">
        <v>81</v>
      </c>
      <c r="Q626" s="4"/>
      <c r="R626" s="5"/>
      <c r="S626" s="6"/>
      <c r="T626" s="17"/>
      <c r="U626" s="6"/>
      <c r="V626" s="4"/>
      <c r="W626" s="4"/>
      <c r="X626" s="4"/>
      <c r="Y626" s="7">
        <v>4</v>
      </c>
      <c r="Z626" s="8">
        <v>280375</v>
      </c>
      <c r="AA626" s="7" t="s">
        <v>82</v>
      </c>
      <c r="AB626" s="7"/>
      <c r="AC626" s="9">
        <v>4</v>
      </c>
      <c r="AD626" s="10">
        <v>280375</v>
      </c>
      <c r="AE626" s="9" t="s">
        <v>82</v>
      </c>
      <c r="AF626" s="9"/>
      <c r="AG626" s="11">
        <v>4</v>
      </c>
      <c r="AH626" s="11" t="s">
        <v>83</v>
      </c>
      <c r="AI626" s="11"/>
      <c r="AJ626" s="11"/>
      <c r="AK626" s="11"/>
      <c r="AL626" s="12">
        <v>4</v>
      </c>
      <c r="AM626" s="12" t="s">
        <v>83</v>
      </c>
      <c r="AN626" s="12"/>
      <c r="AO626" s="12"/>
      <c r="AP626" s="12"/>
      <c r="AQ626" s="4">
        <v>5</v>
      </c>
      <c r="AR626" s="4" t="s">
        <v>83</v>
      </c>
      <c r="AS626" s="4"/>
      <c r="AT626" s="13"/>
      <c r="AU626" s="13"/>
      <c r="AV626" s="13"/>
      <c r="AW626" s="13"/>
      <c r="AX626" s="4"/>
      <c r="AY626" s="13"/>
      <c r="AZ626" s="13"/>
      <c r="BA626" s="13"/>
      <c r="BB626" s="13"/>
      <c r="BC626" s="4"/>
      <c r="BD626" s="4"/>
      <c r="BE626" s="4"/>
      <c r="BF626" s="13"/>
      <c r="BG626" s="4"/>
      <c r="BH626" s="13"/>
      <c r="BI626" s="13"/>
      <c r="BJ626" s="4"/>
      <c r="BK626" s="14">
        <v>16</v>
      </c>
      <c r="BL626" s="14">
        <v>16</v>
      </c>
      <c r="BM626" s="14">
        <v>16</v>
      </c>
      <c r="BN626" s="3" t="s">
        <v>312</v>
      </c>
      <c r="BP626" s="15"/>
      <c r="BQ626" s="15"/>
      <c r="BR626" s="2" t="s">
        <v>121</v>
      </c>
      <c r="BS626" s="2" t="s">
        <v>121</v>
      </c>
      <c r="BT626" s="7" t="s">
        <v>98</v>
      </c>
      <c r="BU626" s="7"/>
      <c r="BV626" s="9" t="s">
        <v>98</v>
      </c>
      <c r="BW626" s="9"/>
    </row>
    <row r="627" spans="1:75" ht="14.25" customHeight="1" x14ac:dyDescent="0.25">
      <c r="A627" s="1">
        <v>1275</v>
      </c>
      <c r="B627" s="1" t="s">
        <v>2812</v>
      </c>
      <c r="C627" s="1" t="s">
        <v>2813</v>
      </c>
      <c r="D627" s="1" t="s">
        <v>77</v>
      </c>
      <c r="E627" s="1" t="s">
        <v>2396</v>
      </c>
      <c r="F627" s="1" t="s">
        <v>2771</v>
      </c>
      <c r="G627" s="1" t="s">
        <v>2814</v>
      </c>
      <c r="H627" s="2">
        <v>0</v>
      </c>
      <c r="I627" s="2">
        <v>0</v>
      </c>
      <c r="J627" s="2">
        <v>0</v>
      </c>
      <c r="K627" s="2">
        <v>1</v>
      </c>
      <c r="L627" s="3" t="s">
        <v>80</v>
      </c>
      <c r="O627" s="4">
        <v>2</v>
      </c>
      <c r="P627" s="4" t="s">
        <v>2815</v>
      </c>
      <c r="Q627" s="4" t="s">
        <v>2816</v>
      </c>
      <c r="R627" s="5"/>
      <c r="S627" s="6"/>
      <c r="T627" s="17"/>
      <c r="U627" s="6"/>
      <c r="V627" s="4"/>
      <c r="W627" s="4"/>
      <c r="X627" s="4"/>
      <c r="Y627" s="7">
        <v>2</v>
      </c>
      <c r="Z627" s="8">
        <v>2478489</v>
      </c>
      <c r="AA627" s="7" t="s">
        <v>1264</v>
      </c>
      <c r="AB627" s="7" t="s">
        <v>2817</v>
      </c>
      <c r="AC627" s="9">
        <v>2</v>
      </c>
      <c r="AD627" s="10">
        <v>2478489</v>
      </c>
      <c r="AE627" s="9" t="s">
        <v>1264</v>
      </c>
      <c r="AF627" s="9" t="s">
        <v>2817</v>
      </c>
      <c r="AG627" s="11">
        <v>4</v>
      </c>
      <c r="AH627" s="11" t="s">
        <v>83</v>
      </c>
      <c r="AI627" s="11"/>
      <c r="AJ627" s="11"/>
      <c r="AK627" s="11"/>
      <c r="AL627" s="12">
        <v>4</v>
      </c>
      <c r="AM627" s="12" t="s">
        <v>83</v>
      </c>
      <c r="AN627" s="12"/>
      <c r="AO627" s="12"/>
      <c r="AP627" s="12"/>
      <c r="AQ627" s="4">
        <v>5</v>
      </c>
      <c r="AR627" s="4" t="s">
        <v>83</v>
      </c>
      <c r="AS627" s="4"/>
      <c r="AT627" s="13"/>
      <c r="AU627" s="13"/>
      <c r="AV627" s="13"/>
      <c r="AW627" s="13"/>
      <c r="AX627" s="4"/>
      <c r="AY627" s="13"/>
      <c r="AZ627" s="13"/>
      <c r="BA627" s="13"/>
      <c r="BB627" s="13"/>
      <c r="BC627" s="4"/>
      <c r="BD627" s="4"/>
      <c r="BE627" s="4"/>
      <c r="BF627" s="13"/>
      <c r="BG627" s="4"/>
      <c r="BH627" s="13"/>
      <c r="BI627" s="13"/>
      <c r="BJ627" s="4"/>
      <c r="BK627" s="14">
        <v>13</v>
      </c>
      <c r="BL627" s="14">
        <v>13</v>
      </c>
      <c r="BM627" s="14">
        <v>13</v>
      </c>
      <c r="BN627" s="3" t="s">
        <v>113</v>
      </c>
      <c r="BP627" s="15"/>
      <c r="BQ627" s="15"/>
      <c r="BR627" s="2" t="s">
        <v>740</v>
      </c>
      <c r="BS627" s="2" t="s">
        <v>740</v>
      </c>
      <c r="BT627" s="7" t="s">
        <v>98</v>
      </c>
      <c r="BU627" s="7"/>
      <c r="BV627" s="9" t="s">
        <v>98</v>
      </c>
      <c r="BW627" s="9"/>
    </row>
    <row r="628" spans="1:75" ht="14.25" customHeight="1" x14ac:dyDescent="0.25">
      <c r="A628" s="1">
        <v>1276</v>
      </c>
      <c r="B628" s="1" t="s">
        <v>2818</v>
      </c>
      <c r="C628" s="1" t="s">
        <v>2819</v>
      </c>
      <c r="D628" s="1" t="s">
        <v>77</v>
      </c>
      <c r="E628" s="1" t="s">
        <v>2396</v>
      </c>
      <c r="F628" s="1" t="s">
        <v>2771</v>
      </c>
      <c r="G628" s="1"/>
      <c r="H628" s="2">
        <v>0</v>
      </c>
      <c r="I628" s="2">
        <v>0</v>
      </c>
      <c r="J628" s="2">
        <v>1</v>
      </c>
      <c r="K628" s="2">
        <v>1</v>
      </c>
      <c r="L628" s="3" t="s">
        <v>80</v>
      </c>
      <c r="O628" s="4">
        <v>3</v>
      </c>
      <c r="P628" s="4" t="s">
        <v>112</v>
      </c>
      <c r="Q628" s="4"/>
      <c r="R628" s="5"/>
      <c r="S628" s="6"/>
      <c r="T628" s="17"/>
      <c r="U628" s="6"/>
      <c r="V628" s="4"/>
      <c r="W628" s="4"/>
      <c r="X628" s="4"/>
      <c r="Y628" s="7">
        <v>1</v>
      </c>
      <c r="Z628" s="8">
        <v>4116974</v>
      </c>
      <c r="AA628" s="7" t="s">
        <v>92</v>
      </c>
      <c r="AB628" s="7"/>
      <c r="AC628" s="9">
        <v>1</v>
      </c>
      <c r="AD628" s="10">
        <v>4116974</v>
      </c>
      <c r="AE628" s="9" t="s">
        <v>92</v>
      </c>
      <c r="AF628" s="9"/>
      <c r="AG628" s="11">
        <v>4</v>
      </c>
      <c r="AH628" s="11" t="s">
        <v>93</v>
      </c>
      <c r="AI628" s="11"/>
      <c r="AJ628" s="11"/>
      <c r="AK628" s="11"/>
      <c r="AL628" s="12">
        <v>4</v>
      </c>
      <c r="AM628" s="12" t="s">
        <v>93</v>
      </c>
      <c r="AN628" s="12" t="s">
        <v>2440</v>
      </c>
      <c r="AO628" s="12"/>
      <c r="AP628" s="12"/>
      <c r="AQ628" s="4">
        <v>4</v>
      </c>
      <c r="AR628" s="4" t="s">
        <v>83</v>
      </c>
      <c r="AS628" s="4" t="s">
        <v>2820</v>
      </c>
      <c r="AT628" s="13"/>
      <c r="AU628" s="13"/>
      <c r="AV628" s="13"/>
      <c r="AW628" s="13"/>
      <c r="AX628" s="4"/>
      <c r="AY628" s="13"/>
      <c r="AZ628" s="13"/>
      <c r="BA628" s="13"/>
      <c r="BB628" s="13"/>
      <c r="BC628" s="4"/>
      <c r="BD628" s="4"/>
      <c r="BE628" s="4"/>
      <c r="BF628" s="13"/>
      <c r="BG628" s="4"/>
      <c r="BH628" s="13"/>
      <c r="BI628" s="13"/>
      <c r="BJ628" s="4"/>
      <c r="BK628" s="14">
        <v>12</v>
      </c>
      <c r="BL628" s="14">
        <v>12</v>
      </c>
      <c r="BM628" s="14">
        <v>12</v>
      </c>
      <c r="BP628" s="15"/>
      <c r="BQ628" s="15"/>
      <c r="BR628" s="2" t="s">
        <v>97</v>
      </c>
      <c r="BS628" s="2" t="s">
        <v>97</v>
      </c>
      <c r="BT628" s="7" t="s">
        <v>98</v>
      </c>
      <c r="BU628" s="7"/>
      <c r="BV628" s="9" t="s">
        <v>98</v>
      </c>
      <c r="BW628" s="9"/>
    </row>
    <row r="629" spans="1:75" ht="14.25" customHeight="1" x14ac:dyDescent="0.25">
      <c r="A629" s="1">
        <v>1277</v>
      </c>
      <c r="B629" s="1" t="s">
        <v>2821</v>
      </c>
      <c r="C629" s="1" t="s">
        <v>2822</v>
      </c>
      <c r="D629" s="1" t="s">
        <v>77</v>
      </c>
      <c r="E629" s="1" t="s">
        <v>2396</v>
      </c>
      <c r="F629" s="1" t="s">
        <v>2771</v>
      </c>
      <c r="G629" s="1"/>
      <c r="H629" s="2">
        <v>0</v>
      </c>
      <c r="I629" s="2">
        <v>0</v>
      </c>
      <c r="J629" s="2">
        <v>0</v>
      </c>
      <c r="K629" s="2">
        <v>1</v>
      </c>
      <c r="L629" s="3" t="s">
        <v>80</v>
      </c>
      <c r="O629" s="4">
        <v>2</v>
      </c>
      <c r="P629" s="4" t="s">
        <v>81</v>
      </c>
      <c r="Q629" s="4"/>
      <c r="R629" s="5"/>
      <c r="S629" s="6"/>
      <c r="T629" s="17"/>
      <c r="U629" s="6"/>
      <c r="V629" s="4"/>
      <c r="W629" s="4"/>
      <c r="X629" s="4"/>
      <c r="Y629" s="7">
        <v>1</v>
      </c>
      <c r="Z629" s="8">
        <v>6007249</v>
      </c>
      <c r="AA629" s="7" t="s">
        <v>82</v>
      </c>
      <c r="AB629" s="7"/>
      <c r="AC629" s="9">
        <v>1</v>
      </c>
      <c r="AD629" s="10">
        <v>6007249</v>
      </c>
      <c r="AE629" s="9" t="s">
        <v>82</v>
      </c>
      <c r="AF629" s="9"/>
      <c r="AG629" s="11">
        <v>4</v>
      </c>
      <c r="AH629" s="11" t="s">
        <v>83</v>
      </c>
      <c r="AI629" s="11" t="s">
        <v>2823</v>
      </c>
      <c r="AJ629" s="11"/>
      <c r="AK629" s="11"/>
      <c r="AL629" s="12">
        <v>4</v>
      </c>
      <c r="AM629" s="12" t="s">
        <v>83</v>
      </c>
      <c r="AN629" s="12"/>
      <c r="AO629" s="12"/>
      <c r="AP629" s="12"/>
      <c r="AQ629" s="4">
        <v>5</v>
      </c>
      <c r="AR629" s="4" t="s">
        <v>83</v>
      </c>
      <c r="AS629" s="4"/>
      <c r="AT629" s="13"/>
      <c r="AU629" s="13"/>
      <c r="AV629" s="13"/>
      <c r="AW629" s="13"/>
      <c r="AX629" s="4"/>
      <c r="AY629" s="13"/>
      <c r="AZ629" s="13"/>
      <c r="BA629" s="13"/>
      <c r="BB629" s="13"/>
      <c r="BC629" s="4"/>
      <c r="BD629" s="4"/>
      <c r="BE629" s="4"/>
      <c r="BF629" s="13"/>
      <c r="BG629" s="4"/>
      <c r="BH629" s="13"/>
      <c r="BI629" s="13"/>
      <c r="BJ629" s="4"/>
      <c r="BK629" s="14">
        <v>12</v>
      </c>
      <c r="BL629" s="14">
        <v>12</v>
      </c>
      <c r="BM629" s="14">
        <v>12</v>
      </c>
      <c r="BN629" s="3" t="s">
        <v>302</v>
      </c>
      <c r="BP629" s="15"/>
      <c r="BQ629" s="15"/>
      <c r="BR629" s="2" t="s">
        <v>740</v>
      </c>
      <c r="BS629" s="2" t="s">
        <v>740</v>
      </c>
      <c r="BT629" s="7" t="s">
        <v>109</v>
      </c>
      <c r="BU629" s="7"/>
      <c r="BV629" s="9" t="s">
        <v>109</v>
      </c>
      <c r="BW629" s="9"/>
    </row>
    <row r="630" spans="1:75" ht="14.25" customHeight="1" x14ac:dyDescent="0.25">
      <c r="A630" s="1">
        <v>1278</v>
      </c>
      <c r="B630" s="1" t="s">
        <v>2824</v>
      </c>
      <c r="C630" s="1" t="s">
        <v>2825</v>
      </c>
      <c r="D630" s="1" t="s">
        <v>77</v>
      </c>
      <c r="E630" s="1" t="s">
        <v>2396</v>
      </c>
      <c r="F630" s="1" t="s">
        <v>2771</v>
      </c>
      <c r="G630" s="1" t="s">
        <v>2826</v>
      </c>
      <c r="H630" s="2">
        <v>0</v>
      </c>
      <c r="I630" s="2">
        <v>0</v>
      </c>
      <c r="J630" s="2">
        <v>0</v>
      </c>
      <c r="K630" s="2">
        <v>1</v>
      </c>
      <c r="L630" s="3" t="s">
        <v>80</v>
      </c>
      <c r="O630" s="4">
        <v>4</v>
      </c>
      <c r="P630" s="4" t="s">
        <v>81</v>
      </c>
      <c r="Q630" s="4"/>
      <c r="R630" s="5"/>
      <c r="S630" s="6"/>
      <c r="T630" s="17"/>
      <c r="U630" s="6"/>
      <c r="V630" s="4"/>
      <c r="W630" s="4"/>
      <c r="X630" s="4"/>
      <c r="Y630" s="7">
        <v>5</v>
      </c>
      <c r="Z630" s="8">
        <v>62732</v>
      </c>
      <c r="AA630" s="7" t="s">
        <v>82</v>
      </c>
      <c r="AB630" s="7"/>
      <c r="AC630" s="9">
        <v>5</v>
      </c>
      <c r="AD630" s="10">
        <v>62732</v>
      </c>
      <c r="AE630" s="9" t="s">
        <v>82</v>
      </c>
      <c r="AF630" s="9"/>
      <c r="AG630" s="11">
        <v>3</v>
      </c>
      <c r="AH630" s="11" t="s">
        <v>83</v>
      </c>
      <c r="AI630" s="11"/>
      <c r="AJ630" s="11"/>
      <c r="AK630" s="11"/>
      <c r="AL630" s="12">
        <v>3</v>
      </c>
      <c r="AM630" s="12" t="s">
        <v>83</v>
      </c>
      <c r="AN630" s="12"/>
      <c r="AO630" s="12"/>
      <c r="AP630" s="12"/>
      <c r="AQ630" s="4">
        <v>3</v>
      </c>
      <c r="AR630" s="4" t="s">
        <v>83</v>
      </c>
      <c r="AS630" s="4"/>
      <c r="AT630" s="13"/>
      <c r="AU630" s="13"/>
      <c r="AV630" s="13"/>
      <c r="AW630" s="13"/>
      <c r="AX630" s="4"/>
      <c r="AY630" s="13"/>
      <c r="AZ630" s="13"/>
      <c r="BA630" s="13"/>
      <c r="BB630" s="13"/>
      <c r="BC630" s="4"/>
      <c r="BD630" s="4"/>
      <c r="BE630" s="4"/>
      <c r="BF630" s="13"/>
      <c r="BG630" s="4"/>
      <c r="BH630" s="13"/>
      <c r="BI630" s="13"/>
      <c r="BJ630" s="4"/>
      <c r="BK630" s="14">
        <v>15</v>
      </c>
      <c r="BL630" s="14">
        <v>15</v>
      </c>
      <c r="BM630" s="14">
        <v>15</v>
      </c>
      <c r="BN630" s="3" t="s">
        <v>86</v>
      </c>
      <c r="BP630" s="15"/>
      <c r="BQ630" s="15"/>
      <c r="BR630" s="2" t="s">
        <v>87</v>
      </c>
      <c r="BS630" s="2" t="s">
        <v>87</v>
      </c>
      <c r="BT630" s="7" t="s">
        <v>88</v>
      </c>
      <c r="BU630" s="7"/>
      <c r="BV630" s="9" t="s">
        <v>88</v>
      </c>
      <c r="BW630" s="9"/>
    </row>
    <row r="631" spans="1:75" ht="14.25" customHeight="1" x14ac:dyDescent="0.25">
      <c r="A631" s="1">
        <v>1279</v>
      </c>
      <c r="B631" s="1" t="s">
        <v>2827</v>
      </c>
      <c r="C631" s="1" t="s">
        <v>2828</v>
      </c>
      <c r="D631" s="1" t="s">
        <v>77</v>
      </c>
      <c r="E631" s="1" t="s">
        <v>2396</v>
      </c>
      <c r="F631" s="1" t="s">
        <v>2771</v>
      </c>
      <c r="G631" s="1"/>
      <c r="H631" s="2">
        <v>0</v>
      </c>
      <c r="I631" s="2">
        <v>0</v>
      </c>
      <c r="J631" s="2">
        <v>1</v>
      </c>
      <c r="K631" s="2">
        <v>1</v>
      </c>
      <c r="L631" s="3" t="s">
        <v>80</v>
      </c>
      <c r="O631" s="4">
        <v>3</v>
      </c>
      <c r="P631" s="4" t="s">
        <v>112</v>
      </c>
      <c r="Q631" s="4"/>
      <c r="R631" s="5"/>
      <c r="S631" s="6"/>
      <c r="T631" s="17"/>
      <c r="U631" s="6"/>
      <c r="V631" s="4"/>
      <c r="W631" s="4"/>
      <c r="X631" s="4"/>
      <c r="Y631" s="7">
        <v>2</v>
      </c>
      <c r="Z631" s="8">
        <v>3176374</v>
      </c>
      <c r="AA631" s="7" t="s">
        <v>92</v>
      </c>
      <c r="AB631" s="7"/>
      <c r="AC631" s="9">
        <v>2</v>
      </c>
      <c r="AD631" s="10">
        <v>3176374</v>
      </c>
      <c r="AE631" s="9" t="s">
        <v>92</v>
      </c>
      <c r="AF631" s="9"/>
      <c r="AG631" s="11">
        <v>3</v>
      </c>
      <c r="AH631" s="11" t="s">
        <v>93</v>
      </c>
      <c r="AI631" s="11"/>
      <c r="AJ631" s="11"/>
      <c r="AK631" s="11"/>
      <c r="AL631" s="12">
        <v>3</v>
      </c>
      <c r="AM631" s="12" t="s">
        <v>93</v>
      </c>
      <c r="AN631" s="12" t="s">
        <v>2829</v>
      </c>
      <c r="AO631" s="12"/>
      <c r="AP631" s="12"/>
      <c r="AQ631" s="4">
        <v>4</v>
      </c>
      <c r="AR631" s="4" t="s">
        <v>83</v>
      </c>
      <c r="AS631" s="4"/>
      <c r="AT631" s="13"/>
      <c r="AU631" s="13"/>
      <c r="AV631" s="13"/>
      <c r="AW631" s="13"/>
      <c r="AX631" s="4"/>
      <c r="AY631" s="13"/>
      <c r="AZ631" s="13"/>
      <c r="BA631" s="13"/>
      <c r="BB631" s="13"/>
      <c r="BC631" s="4"/>
      <c r="BD631" s="4"/>
      <c r="BE631" s="4"/>
      <c r="BF631" s="13"/>
      <c r="BG631" s="4"/>
      <c r="BH631" s="13"/>
      <c r="BI631" s="13"/>
      <c r="BJ631" s="4"/>
      <c r="BK631" s="14">
        <v>12</v>
      </c>
      <c r="BL631" s="14">
        <v>12</v>
      </c>
      <c r="BM631" s="14">
        <v>12</v>
      </c>
      <c r="BP631" s="15"/>
      <c r="BQ631" s="15"/>
      <c r="BR631" s="2" t="s">
        <v>97</v>
      </c>
      <c r="BS631" s="2" t="s">
        <v>97</v>
      </c>
      <c r="BT631" s="7" t="s">
        <v>98</v>
      </c>
      <c r="BU631" s="7"/>
      <c r="BV631" s="9" t="s">
        <v>98</v>
      </c>
      <c r="BW631" s="9"/>
    </row>
    <row r="632" spans="1:75" ht="14.25" customHeight="1" x14ac:dyDescent="0.25">
      <c r="A632" s="1">
        <v>1280</v>
      </c>
      <c r="B632" s="1" t="s">
        <v>2830</v>
      </c>
      <c r="C632" s="1" t="s">
        <v>2831</v>
      </c>
      <c r="D632" s="1" t="s">
        <v>77</v>
      </c>
      <c r="E632" s="1" t="s">
        <v>2396</v>
      </c>
      <c r="F632" s="1" t="s">
        <v>2771</v>
      </c>
      <c r="G632" s="1"/>
      <c r="H632" s="2">
        <v>0</v>
      </c>
      <c r="I632" s="2">
        <v>0</v>
      </c>
      <c r="J632" s="2">
        <v>0</v>
      </c>
      <c r="K632" s="2">
        <v>1</v>
      </c>
      <c r="L632" s="3" t="s">
        <v>80</v>
      </c>
      <c r="O632" s="4">
        <v>3</v>
      </c>
      <c r="P632" s="4" t="s">
        <v>81</v>
      </c>
      <c r="Q632" s="4"/>
      <c r="R632" s="5"/>
      <c r="S632" s="6"/>
      <c r="T632" s="17"/>
      <c r="U632" s="6"/>
      <c r="V632" s="4"/>
      <c r="W632" s="4"/>
      <c r="X632" s="4"/>
      <c r="Y632" s="7">
        <v>3</v>
      </c>
      <c r="Z632" s="8">
        <v>546144</v>
      </c>
      <c r="AA632" s="7" t="s">
        <v>82</v>
      </c>
      <c r="AB632" s="7"/>
      <c r="AC632" s="9">
        <v>3</v>
      </c>
      <c r="AD632" s="10">
        <v>546144</v>
      </c>
      <c r="AE632" s="9" t="s">
        <v>82</v>
      </c>
      <c r="AF632" s="9"/>
      <c r="AG632" s="11">
        <v>4</v>
      </c>
      <c r="AH632" s="11" t="s">
        <v>83</v>
      </c>
      <c r="AI632" s="11"/>
      <c r="AJ632" s="11"/>
      <c r="AK632" s="11"/>
      <c r="AL632" s="12">
        <v>4</v>
      </c>
      <c r="AM632" s="12" t="s">
        <v>83</v>
      </c>
      <c r="AN632" s="12"/>
      <c r="AO632" s="12"/>
      <c r="AP632" s="12"/>
      <c r="AQ632" s="4">
        <v>5</v>
      </c>
      <c r="AR632" s="4" t="s">
        <v>83</v>
      </c>
      <c r="AS632" s="4"/>
      <c r="AT632" s="13"/>
      <c r="AU632" s="13"/>
      <c r="AV632" s="13"/>
      <c r="AW632" s="13"/>
      <c r="AX632" s="4"/>
      <c r="AY632" s="13"/>
      <c r="AZ632" s="13"/>
      <c r="BA632" s="13"/>
      <c r="BB632" s="13"/>
      <c r="BC632" s="4"/>
      <c r="BD632" s="4"/>
      <c r="BE632" s="4"/>
      <c r="BF632" s="13"/>
      <c r="BG632" s="4"/>
      <c r="BH632" s="13"/>
      <c r="BI632" s="13"/>
      <c r="BJ632" s="4"/>
      <c r="BK632" s="14">
        <v>15</v>
      </c>
      <c r="BL632" s="14">
        <v>15</v>
      </c>
      <c r="BM632" s="14">
        <v>15</v>
      </c>
      <c r="BN632" s="3" t="s">
        <v>113</v>
      </c>
      <c r="BP632" s="15"/>
      <c r="BQ632" s="15"/>
      <c r="BR632" s="2" t="s">
        <v>121</v>
      </c>
      <c r="BS632" s="2" t="s">
        <v>121</v>
      </c>
      <c r="BT632" s="7" t="s">
        <v>98</v>
      </c>
      <c r="BU632" s="7"/>
      <c r="BV632" s="9" t="s">
        <v>98</v>
      </c>
      <c r="BW632" s="9"/>
    </row>
    <row r="633" spans="1:75" ht="14.25" customHeight="1" x14ac:dyDescent="0.25">
      <c r="A633" s="1">
        <v>1281</v>
      </c>
      <c r="B633" s="1" t="s">
        <v>2832</v>
      </c>
      <c r="C633" s="1" t="s">
        <v>2833</v>
      </c>
      <c r="D633" s="1" t="s">
        <v>77</v>
      </c>
      <c r="E633" s="1" t="s">
        <v>2396</v>
      </c>
      <c r="F633" s="1" t="s">
        <v>2771</v>
      </c>
      <c r="G633" s="1"/>
      <c r="H633" s="2">
        <v>0</v>
      </c>
      <c r="I633" s="2">
        <v>0</v>
      </c>
      <c r="J633" s="2">
        <v>0</v>
      </c>
      <c r="K633" s="2">
        <v>1</v>
      </c>
      <c r="L633" s="3" t="s">
        <v>80</v>
      </c>
      <c r="O633" s="4">
        <v>3</v>
      </c>
      <c r="P633" s="4" t="s">
        <v>81</v>
      </c>
      <c r="Q633" s="4"/>
      <c r="R633" s="5"/>
      <c r="S633" s="6"/>
      <c r="T633" s="17"/>
      <c r="U633" s="6"/>
      <c r="V633" s="4"/>
      <c r="W633" s="4"/>
      <c r="X633" s="4"/>
      <c r="Y633" s="7">
        <v>3</v>
      </c>
      <c r="Z633" s="8">
        <v>356290</v>
      </c>
      <c r="AA633" s="7" t="s">
        <v>82</v>
      </c>
      <c r="AB633" s="7"/>
      <c r="AC633" s="9">
        <v>3</v>
      </c>
      <c r="AD633" s="10">
        <v>356290</v>
      </c>
      <c r="AE633" s="9" t="s">
        <v>82</v>
      </c>
      <c r="AF633" s="9"/>
      <c r="AG633" s="11">
        <v>4</v>
      </c>
      <c r="AH633" s="11" t="s">
        <v>83</v>
      </c>
      <c r="AI633" s="11"/>
      <c r="AJ633" s="11"/>
      <c r="AK633" s="11"/>
      <c r="AL633" s="12">
        <v>4</v>
      </c>
      <c r="AM633" s="12" t="s">
        <v>83</v>
      </c>
      <c r="AN633" s="12"/>
      <c r="AO633" s="12"/>
      <c r="AP633" s="12"/>
      <c r="AQ633" s="4">
        <v>5</v>
      </c>
      <c r="AR633" s="4" t="s">
        <v>83</v>
      </c>
      <c r="AS633" s="4"/>
      <c r="AT633" s="13"/>
      <c r="AU633" s="13"/>
      <c r="AV633" s="13"/>
      <c r="AW633" s="13"/>
      <c r="AX633" s="4"/>
      <c r="AY633" s="13"/>
      <c r="AZ633" s="13"/>
      <c r="BA633" s="13"/>
      <c r="BB633" s="13"/>
      <c r="BC633" s="4"/>
      <c r="BD633" s="4"/>
      <c r="BE633" s="4"/>
      <c r="BF633" s="13"/>
      <c r="BG633" s="4"/>
      <c r="BH633" s="13"/>
      <c r="BI633" s="13"/>
      <c r="BJ633" s="4"/>
      <c r="BK633" s="14">
        <v>15</v>
      </c>
      <c r="BL633" s="14">
        <v>15</v>
      </c>
      <c r="BM633" s="14">
        <v>15</v>
      </c>
      <c r="BN633" s="3" t="s">
        <v>113</v>
      </c>
      <c r="BP633" s="15"/>
      <c r="BQ633" s="15"/>
      <c r="BR633" s="2" t="s">
        <v>121</v>
      </c>
      <c r="BS633" s="2" t="s">
        <v>121</v>
      </c>
      <c r="BT633" s="7" t="s">
        <v>98</v>
      </c>
      <c r="BU633" s="7"/>
      <c r="BV633" s="9" t="s">
        <v>98</v>
      </c>
      <c r="BW633" s="9"/>
    </row>
    <row r="634" spans="1:75" ht="14.25" customHeight="1" x14ac:dyDescent="0.25">
      <c r="A634" s="1">
        <v>1282</v>
      </c>
      <c r="B634" s="1" t="s">
        <v>2834</v>
      </c>
      <c r="C634" s="1" t="s">
        <v>2835</v>
      </c>
      <c r="D634" s="1" t="s">
        <v>77</v>
      </c>
      <c r="E634" s="1" t="s">
        <v>2396</v>
      </c>
      <c r="F634" s="1" t="s">
        <v>2771</v>
      </c>
      <c r="G634" s="1" t="s">
        <v>2836</v>
      </c>
      <c r="H634" s="2">
        <v>0</v>
      </c>
      <c r="I634" s="2">
        <v>0</v>
      </c>
      <c r="J634" s="2">
        <v>0</v>
      </c>
      <c r="K634" s="2">
        <v>1</v>
      </c>
      <c r="L634" s="3" t="s">
        <v>80</v>
      </c>
      <c r="O634" s="4">
        <v>4</v>
      </c>
      <c r="P634" s="4" t="s">
        <v>81</v>
      </c>
      <c r="Q634" s="4"/>
      <c r="R634" s="5"/>
      <c r="S634" s="6"/>
      <c r="T634" s="17"/>
      <c r="U634" s="6"/>
      <c r="V634" s="4"/>
      <c r="W634" s="4"/>
      <c r="X634" s="4"/>
      <c r="Y634" s="7">
        <v>4</v>
      </c>
      <c r="Z634" s="8">
        <v>210370</v>
      </c>
      <c r="AA634" s="7" t="s">
        <v>82</v>
      </c>
      <c r="AB634" s="7"/>
      <c r="AC634" s="9">
        <v>4</v>
      </c>
      <c r="AD634" s="10">
        <v>210370</v>
      </c>
      <c r="AE634" s="9" t="s">
        <v>82</v>
      </c>
      <c r="AF634" s="9"/>
      <c r="AG634" s="11">
        <v>3</v>
      </c>
      <c r="AH634" s="11" t="s">
        <v>83</v>
      </c>
      <c r="AI634" s="11"/>
      <c r="AJ634" s="11"/>
      <c r="AK634" s="11"/>
      <c r="AL634" s="12">
        <v>3</v>
      </c>
      <c r="AM634" s="12" t="s">
        <v>83</v>
      </c>
      <c r="AN634" s="12"/>
      <c r="AO634" s="12"/>
      <c r="AP634" s="12"/>
      <c r="AQ634" s="4">
        <v>4</v>
      </c>
      <c r="AR634" s="4" t="s">
        <v>83</v>
      </c>
      <c r="AS634" s="4"/>
      <c r="AT634" s="13"/>
      <c r="AU634" s="13"/>
      <c r="AV634" s="13"/>
      <c r="AW634" s="13"/>
      <c r="AX634" s="4"/>
      <c r="AY634" s="13"/>
      <c r="AZ634" s="13"/>
      <c r="BA634" s="13"/>
      <c r="BB634" s="13"/>
      <c r="BC634" s="4"/>
      <c r="BD634" s="4"/>
      <c r="BE634" s="4"/>
      <c r="BF634" s="13"/>
      <c r="BG634" s="4"/>
      <c r="BH634" s="13"/>
      <c r="BI634" s="13"/>
      <c r="BJ634" s="4"/>
      <c r="BK634" s="14">
        <v>15</v>
      </c>
      <c r="BL634" s="14">
        <v>15</v>
      </c>
      <c r="BM634" s="14">
        <v>15</v>
      </c>
      <c r="BN634" s="3" t="s">
        <v>86</v>
      </c>
      <c r="BP634" s="15"/>
      <c r="BQ634" s="15"/>
      <c r="BR634" s="2" t="s">
        <v>121</v>
      </c>
      <c r="BS634" s="2" t="s">
        <v>121</v>
      </c>
      <c r="BT634" s="7" t="s">
        <v>98</v>
      </c>
      <c r="BU634" s="7"/>
      <c r="BV634" s="9" t="s">
        <v>98</v>
      </c>
      <c r="BW634" s="9"/>
    </row>
    <row r="635" spans="1:75" ht="14.25" customHeight="1" x14ac:dyDescent="0.25">
      <c r="A635" s="1">
        <v>1283</v>
      </c>
      <c r="B635" s="1" t="s">
        <v>2837</v>
      </c>
      <c r="C635" s="1" t="s">
        <v>2838</v>
      </c>
      <c r="D635" s="1" t="s">
        <v>77</v>
      </c>
      <c r="E635" s="1" t="s">
        <v>2396</v>
      </c>
      <c r="F635" s="1" t="s">
        <v>2771</v>
      </c>
      <c r="G635" s="1"/>
      <c r="H635" s="2">
        <v>0</v>
      </c>
      <c r="I635" s="2">
        <v>0</v>
      </c>
      <c r="J635" s="2">
        <v>0</v>
      </c>
      <c r="K635" s="2">
        <v>1</v>
      </c>
      <c r="L635" s="3" t="s">
        <v>80</v>
      </c>
      <c r="O635" s="4">
        <v>3</v>
      </c>
      <c r="P635" s="4" t="s">
        <v>81</v>
      </c>
      <c r="Q635" s="4"/>
      <c r="R635" s="5"/>
      <c r="S635" s="6"/>
      <c r="T635" s="17"/>
      <c r="U635" s="6"/>
      <c r="V635" s="4"/>
      <c r="W635" s="4"/>
      <c r="X635" s="4"/>
      <c r="Y635" s="7">
        <v>2</v>
      </c>
      <c r="Z635" s="8">
        <v>1405668</v>
      </c>
      <c r="AA635" s="7" t="s">
        <v>82</v>
      </c>
      <c r="AB635" s="7"/>
      <c r="AC635" s="9">
        <v>2</v>
      </c>
      <c r="AD635" s="10">
        <v>1405668</v>
      </c>
      <c r="AE635" s="9" t="s">
        <v>82</v>
      </c>
      <c r="AF635" s="9"/>
      <c r="AG635" s="11">
        <v>3</v>
      </c>
      <c r="AH635" s="11" t="s">
        <v>83</v>
      </c>
      <c r="AI635" s="11"/>
      <c r="AJ635" s="11"/>
      <c r="AK635" s="11"/>
      <c r="AL635" s="12">
        <v>3</v>
      </c>
      <c r="AM635" s="12" t="s">
        <v>83</v>
      </c>
      <c r="AN635" s="12"/>
      <c r="AO635" s="12"/>
      <c r="AP635" s="12"/>
      <c r="AQ635" s="4">
        <v>4</v>
      </c>
      <c r="AR635" s="4" t="s">
        <v>83</v>
      </c>
      <c r="AS635" s="4"/>
      <c r="AT635" s="13"/>
      <c r="AU635" s="13"/>
      <c r="AV635" s="13"/>
      <c r="AW635" s="13"/>
      <c r="AX635" s="4"/>
      <c r="AY635" s="13"/>
      <c r="AZ635" s="13"/>
      <c r="BA635" s="13"/>
      <c r="BB635" s="13"/>
      <c r="BC635" s="4"/>
      <c r="BD635" s="4"/>
      <c r="BE635" s="4"/>
      <c r="BF635" s="13"/>
      <c r="BG635" s="4"/>
      <c r="BH635" s="13"/>
      <c r="BI635" s="13"/>
      <c r="BJ635" s="4"/>
      <c r="BK635" s="14">
        <v>12</v>
      </c>
      <c r="BL635" s="14">
        <v>12</v>
      </c>
      <c r="BM635" s="14">
        <v>12</v>
      </c>
      <c r="BP635" s="15"/>
      <c r="BQ635" s="15"/>
      <c r="BR635" s="2" t="s">
        <v>740</v>
      </c>
      <c r="BS635" s="2" t="s">
        <v>740</v>
      </c>
      <c r="BT635" s="7" t="s">
        <v>109</v>
      </c>
      <c r="BU635" s="7" t="s">
        <v>98</v>
      </c>
      <c r="BV635" s="9" t="s">
        <v>109</v>
      </c>
      <c r="BW635" s="9" t="s">
        <v>98</v>
      </c>
    </row>
    <row r="636" spans="1:75" ht="14.25" customHeight="1" x14ac:dyDescent="0.25">
      <c r="A636" s="1">
        <v>1284</v>
      </c>
      <c r="B636" s="1" t="s">
        <v>2839</v>
      </c>
      <c r="C636" s="1" t="s">
        <v>2840</v>
      </c>
      <c r="D636" s="1" t="s">
        <v>77</v>
      </c>
      <c r="E636" s="1" t="s">
        <v>2396</v>
      </c>
      <c r="F636" s="1" t="s">
        <v>2771</v>
      </c>
      <c r="G636" s="1" t="s">
        <v>2836</v>
      </c>
      <c r="H636" s="2">
        <v>0</v>
      </c>
      <c r="I636" s="2">
        <v>0</v>
      </c>
      <c r="J636" s="2">
        <v>0</v>
      </c>
      <c r="K636" s="2">
        <v>1</v>
      </c>
      <c r="L636" s="3" t="s">
        <v>80</v>
      </c>
      <c r="O636" s="4">
        <v>3</v>
      </c>
      <c r="P636" s="4" t="s">
        <v>81</v>
      </c>
      <c r="Q636" s="4"/>
      <c r="R636" s="5"/>
      <c r="S636" s="6"/>
      <c r="T636" s="17"/>
      <c r="U636" s="6"/>
      <c r="V636" s="4"/>
      <c r="W636" s="4"/>
      <c r="X636" s="4"/>
      <c r="Y636" s="7">
        <v>3</v>
      </c>
      <c r="Z636" s="8">
        <v>356302</v>
      </c>
      <c r="AA636" s="7" t="s">
        <v>82</v>
      </c>
      <c r="AB636" s="7"/>
      <c r="AC636" s="9">
        <v>3</v>
      </c>
      <c r="AD636" s="10">
        <v>356302</v>
      </c>
      <c r="AE636" s="9" t="s">
        <v>82</v>
      </c>
      <c r="AF636" s="9"/>
      <c r="AG636" s="11">
        <v>4</v>
      </c>
      <c r="AH636" s="11" t="s">
        <v>83</v>
      </c>
      <c r="AI636" s="11"/>
      <c r="AJ636" s="11"/>
      <c r="AK636" s="11"/>
      <c r="AL636" s="12">
        <v>4</v>
      </c>
      <c r="AM636" s="12" t="s">
        <v>83</v>
      </c>
      <c r="AN636" s="12"/>
      <c r="AO636" s="12"/>
      <c r="AP636" s="12"/>
      <c r="AQ636" s="4">
        <v>5</v>
      </c>
      <c r="AR636" s="4" t="s">
        <v>83</v>
      </c>
      <c r="AS636" s="4"/>
      <c r="AT636" s="13"/>
      <c r="AU636" s="13"/>
      <c r="AV636" s="13"/>
      <c r="AW636" s="13"/>
      <c r="AX636" s="4"/>
      <c r="AY636" s="13"/>
      <c r="AZ636" s="13"/>
      <c r="BA636" s="13"/>
      <c r="BB636" s="13"/>
      <c r="BC636" s="4"/>
      <c r="BD636" s="4"/>
      <c r="BE636" s="4"/>
      <c r="BF636" s="13"/>
      <c r="BG636" s="4"/>
      <c r="BH636" s="13"/>
      <c r="BI636" s="13"/>
      <c r="BJ636" s="4"/>
      <c r="BK636" s="14">
        <v>15</v>
      </c>
      <c r="BL636" s="14">
        <v>15</v>
      </c>
      <c r="BM636" s="14">
        <v>15</v>
      </c>
      <c r="BN636" s="3" t="s">
        <v>113</v>
      </c>
      <c r="BP636" s="15"/>
      <c r="BQ636" s="15"/>
      <c r="BR636" s="2" t="s">
        <v>121</v>
      </c>
      <c r="BS636" s="2" t="s">
        <v>121</v>
      </c>
      <c r="BT636" s="7" t="s">
        <v>98</v>
      </c>
      <c r="BU636" s="7"/>
      <c r="BV636" s="9" t="s">
        <v>98</v>
      </c>
      <c r="BW636" s="9"/>
    </row>
    <row r="637" spans="1:75" ht="14.25" customHeight="1" x14ac:dyDescent="0.25">
      <c r="A637" s="1">
        <v>1285</v>
      </c>
      <c r="B637" s="1" t="s">
        <v>2841</v>
      </c>
      <c r="C637" s="1" t="s">
        <v>2842</v>
      </c>
      <c r="D637" s="1" t="s">
        <v>77</v>
      </c>
      <c r="E637" s="1" t="s">
        <v>2396</v>
      </c>
      <c r="F637" s="1" t="s">
        <v>2771</v>
      </c>
      <c r="G637" s="1" t="s">
        <v>2836</v>
      </c>
      <c r="H637" s="2">
        <v>0</v>
      </c>
      <c r="I637" s="2">
        <v>0</v>
      </c>
      <c r="J637" s="2">
        <v>0</v>
      </c>
      <c r="K637" s="2">
        <v>1</v>
      </c>
      <c r="L637" s="3" t="s">
        <v>80</v>
      </c>
      <c r="O637" s="4">
        <v>4</v>
      </c>
      <c r="P637" s="4" t="s">
        <v>2843</v>
      </c>
      <c r="Q637" s="4" t="s">
        <v>2844</v>
      </c>
      <c r="R637" s="5"/>
      <c r="S637" s="6"/>
      <c r="T637" s="17"/>
      <c r="U637" s="6"/>
      <c r="V637" s="4"/>
      <c r="W637" s="4"/>
      <c r="X637" s="4"/>
      <c r="Y637" s="7">
        <v>5</v>
      </c>
      <c r="Z637" s="8">
        <v>36690</v>
      </c>
      <c r="AA637" s="7" t="s">
        <v>1264</v>
      </c>
      <c r="AB637" s="7" t="s">
        <v>2845</v>
      </c>
      <c r="AC637" s="9">
        <v>5</v>
      </c>
      <c r="AD637" s="10">
        <v>36690</v>
      </c>
      <c r="AE637" s="9" t="s">
        <v>1264</v>
      </c>
      <c r="AF637" s="9" t="s">
        <v>2845</v>
      </c>
      <c r="AG637" s="11">
        <v>4</v>
      </c>
      <c r="AH637" s="11" t="s">
        <v>83</v>
      </c>
      <c r="AI637" s="11"/>
      <c r="AJ637" s="11"/>
      <c r="AK637" s="11"/>
      <c r="AL637" s="12">
        <v>4</v>
      </c>
      <c r="AM637" s="12" t="s">
        <v>83</v>
      </c>
      <c r="AN637" s="12"/>
      <c r="AO637" s="12"/>
      <c r="AP637" s="12"/>
      <c r="AQ637" s="4">
        <v>4</v>
      </c>
      <c r="AR637" s="4" t="s">
        <v>83</v>
      </c>
      <c r="AS637" s="4"/>
      <c r="AT637" s="13"/>
      <c r="AU637" s="13"/>
      <c r="AV637" s="13"/>
      <c r="AW637" s="13"/>
      <c r="AX637" s="4"/>
      <c r="AY637" s="13"/>
      <c r="AZ637" s="13"/>
      <c r="BA637" s="13"/>
      <c r="BB637" s="13"/>
      <c r="BC637" s="4"/>
      <c r="BD637" s="4"/>
      <c r="BE637" s="4"/>
      <c r="BF637" s="13"/>
      <c r="BG637" s="4"/>
      <c r="BH637" s="13"/>
      <c r="BI637" s="13"/>
      <c r="BJ637" s="4"/>
      <c r="BK637" s="14">
        <v>17</v>
      </c>
      <c r="BL637" s="14">
        <v>17</v>
      </c>
      <c r="BM637" s="14">
        <v>17</v>
      </c>
      <c r="BN637" s="3" t="s">
        <v>312</v>
      </c>
      <c r="BP637" s="15"/>
      <c r="BQ637" s="15"/>
      <c r="BR637" s="2" t="s">
        <v>115</v>
      </c>
      <c r="BS637" s="2" t="s">
        <v>115</v>
      </c>
      <c r="BT637" s="7" t="s">
        <v>98</v>
      </c>
      <c r="BU637" s="7"/>
      <c r="BV637" s="9" t="s">
        <v>98</v>
      </c>
      <c r="BW637" s="9"/>
    </row>
    <row r="638" spans="1:75" ht="14.25" customHeight="1" x14ac:dyDescent="0.25">
      <c r="A638" s="1">
        <v>1286</v>
      </c>
      <c r="B638" s="1" t="s">
        <v>2846</v>
      </c>
      <c r="C638" s="1" t="s">
        <v>2847</v>
      </c>
      <c r="D638" s="1" t="s">
        <v>77</v>
      </c>
      <c r="E638" s="1" t="s">
        <v>2396</v>
      </c>
      <c r="F638" s="1" t="s">
        <v>2771</v>
      </c>
      <c r="G638" s="1"/>
      <c r="H638" s="2">
        <v>0</v>
      </c>
      <c r="I638" s="2">
        <v>0</v>
      </c>
      <c r="J638" s="2">
        <v>0</v>
      </c>
      <c r="K638" s="2">
        <v>1</v>
      </c>
      <c r="L638" s="3" t="s">
        <v>80</v>
      </c>
      <c r="O638" s="4">
        <v>3</v>
      </c>
      <c r="P638" s="4" t="s">
        <v>81</v>
      </c>
      <c r="Q638" s="4"/>
      <c r="R638" s="5"/>
      <c r="S638" s="6"/>
      <c r="T638" s="17"/>
      <c r="U638" s="6"/>
      <c r="V638" s="4"/>
      <c r="W638" s="4"/>
      <c r="X638" s="4"/>
      <c r="Y638" s="7">
        <v>3</v>
      </c>
      <c r="Z638" s="8">
        <v>362775</v>
      </c>
      <c r="AA638" s="7" t="s">
        <v>82</v>
      </c>
      <c r="AB638" s="7"/>
      <c r="AC638" s="9">
        <v>3</v>
      </c>
      <c r="AD638" s="10">
        <v>362775</v>
      </c>
      <c r="AE638" s="9" t="s">
        <v>82</v>
      </c>
      <c r="AF638" s="9"/>
      <c r="AG638" s="11">
        <v>4</v>
      </c>
      <c r="AH638" s="11" t="s">
        <v>83</v>
      </c>
      <c r="AI638" s="11"/>
      <c r="AJ638" s="11"/>
      <c r="AK638" s="11"/>
      <c r="AL638" s="12">
        <v>4</v>
      </c>
      <c r="AM638" s="12" t="s">
        <v>83</v>
      </c>
      <c r="AN638" s="12"/>
      <c r="AO638" s="12"/>
      <c r="AP638" s="12"/>
      <c r="AQ638" s="4">
        <v>5</v>
      </c>
      <c r="AR638" s="4" t="s">
        <v>83</v>
      </c>
      <c r="AS638" s="4"/>
      <c r="AT638" s="13"/>
      <c r="AU638" s="13"/>
      <c r="AV638" s="13"/>
      <c r="AW638" s="13"/>
      <c r="AX638" s="4"/>
      <c r="AY638" s="13"/>
      <c r="AZ638" s="13"/>
      <c r="BA638" s="13"/>
      <c r="BB638" s="13"/>
      <c r="BC638" s="4"/>
      <c r="BD638" s="4"/>
      <c r="BE638" s="4"/>
      <c r="BF638" s="13"/>
      <c r="BG638" s="4"/>
      <c r="BH638" s="13"/>
      <c r="BI638" s="13"/>
      <c r="BJ638" s="4"/>
      <c r="BK638" s="14">
        <v>15</v>
      </c>
      <c r="BL638" s="14">
        <v>15</v>
      </c>
      <c r="BM638" s="14">
        <v>15</v>
      </c>
      <c r="BN638" s="3" t="s">
        <v>113</v>
      </c>
      <c r="BP638" s="15"/>
      <c r="BQ638" s="15"/>
      <c r="BR638" s="2" t="s">
        <v>121</v>
      </c>
      <c r="BS638" s="2" t="s">
        <v>121</v>
      </c>
      <c r="BT638" s="7" t="s">
        <v>98</v>
      </c>
      <c r="BU638" s="7"/>
      <c r="BV638" s="9" t="s">
        <v>98</v>
      </c>
      <c r="BW638" s="9"/>
    </row>
    <row r="639" spans="1:75" ht="14.25" customHeight="1" x14ac:dyDescent="0.25">
      <c r="A639" s="1">
        <v>1287</v>
      </c>
      <c r="B639" s="1" t="s">
        <v>2848</v>
      </c>
      <c r="C639" s="1" t="s">
        <v>2849</v>
      </c>
      <c r="D639" s="1" t="s">
        <v>77</v>
      </c>
      <c r="E639" s="1" t="s">
        <v>2396</v>
      </c>
      <c r="F639" s="1" t="s">
        <v>2771</v>
      </c>
      <c r="G639" s="1"/>
      <c r="H639" s="2">
        <v>0</v>
      </c>
      <c r="I639" s="2">
        <v>0</v>
      </c>
      <c r="J639" s="2">
        <v>0</v>
      </c>
      <c r="K639" s="2">
        <v>1</v>
      </c>
      <c r="L639" s="3" t="s">
        <v>80</v>
      </c>
      <c r="O639" s="4">
        <v>3</v>
      </c>
      <c r="P639" s="4" t="s">
        <v>81</v>
      </c>
      <c r="Q639" s="4"/>
      <c r="R639" s="5"/>
      <c r="S639" s="6"/>
      <c r="T639" s="17"/>
      <c r="U639" s="6"/>
      <c r="V639" s="4"/>
      <c r="W639" s="4"/>
      <c r="X639" s="4"/>
      <c r="Y639" s="7">
        <v>2</v>
      </c>
      <c r="Z639" s="8">
        <v>3116273</v>
      </c>
      <c r="AA639" s="7" t="s">
        <v>82</v>
      </c>
      <c r="AB639" s="7"/>
      <c r="AC639" s="9">
        <v>2</v>
      </c>
      <c r="AD639" s="10">
        <v>3116273</v>
      </c>
      <c r="AE639" s="9" t="s">
        <v>82</v>
      </c>
      <c r="AF639" s="9"/>
      <c r="AG639" s="11">
        <v>5</v>
      </c>
      <c r="AH639" s="11" t="s">
        <v>83</v>
      </c>
      <c r="AI639" s="11" t="s">
        <v>2850</v>
      </c>
      <c r="AJ639" s="11"/>
      <c r="AK639" s="11"/>
      <c r="AL639" s="12">
        <v>5</v>
      </c>
      <c r="AM639" s="12" t="s">
        <v>83</v>
      </c>
      <c r="AN639" s="12"/>
      <c r="AO639" s="12"/>
      <c r="AP639" s="12"/>
      <c r="AQ639" s="4">
        <v>5</v>
      </c>
      <c r="AR639" s="4" t="s">
        <v>83</v>
      </c>
      <c r="AS639" s="4"/>
      <c r="AT639" s="13"/>
      <c r="AU639" s="13"/>
      <c r="AV639" s="13"/>
      <c r="AW639" s="13"/>
      <c r="AX639" s="4"/>
      <c r="AY639" s="13"/>
      <c r="AZ639" s="13"/>
      <c r="BA639" s="13"/>
      <c r="BB639" s="13"/>
      <c r="BC639" s="4"/>
      <c r="BD639" s="4"/>
      <c r="BE639" s="4"/>
      <c r="BF639" s="13"/>
      <c r="BG639" s="4"/>
      <c r="BH639" s="13"/>
      <c r="BI639" s="13"/>
      <c r="BJ639" s="4"/>
      <c r="BK639" s="14">
        <v>15</v>
      </c>
      <c r="BL639" s="14">
        <v>15</v>
      </c>
      <c r="BM639" s="14">
        <v>15</v>
      </c>
      <c r="BN639" s="3" t="s">
        <v>375</v>
      </c>
      <c r="BP639" s="15"/>
      <c r="BQ639" s="15"/>
      <c r="BR639" s="2" t="s">
        <v>740</v>
      </c>
      <c r="BS639" s="2" t="s">
        <v>740</v>
      </c>
      <c r="BT639" s="7" t="s">
        <v>98</v>
      </c>
      <c r="BU639" s="7"/>
      <c r="BV639" s="9" t="s">
        <v>98</v>
      </c>
      <c r="BW639" s="9"/>
    </row>
    <row r="640" spans="1:75" ht="14.25" customHeight="1" x14ac:dyDescent="0.25">
      <c r="A640" s="1">
        <v>200</v>
      </c>
      <c r="B640" s="1" t="s">
        <v>2851</v>
      </c>
      <c r="C640" s="1" t="s">
        <v>2852</v>
      </c>
      <c r="D640" s="1" t="s">
        <v>77</v>
      </c>
      <c r="E640" s="1" t="s">
        <v>645</v>
      </c>
      <c r="F640" s="1" t="s">
        <v>646</v>
      </c>
      <c r="G640" s="1"/>
      <c r="H640" s="2">
        <v>0</v>
      </c>
      <c r="I640" s="2">
        <v>0</v>
      </c>
      <c r="J640" s="2">
        <v>1</v>
      </c>
      <c r="K640" s="2">
        <v>0</v>
      </c>
      <c r="L640" s="3" t="s">
        <v>80</v>
      </c>
      <c r="O640" s="4">
        <v>3</v>
      </c>
      <c r="P640" s="4" t="s">
        <v>112</v>
      </c>
      <c r="Q640" s="4"/>
      <c r="R640" s="5"/>
      <c r="S640" s="6"/>
      <c r="T640" s="17"/>
      <c r="U640" s="6"/>
      <c r="V640" s="4"/>
      <c r="W640" s="4"/>
      <c r="X640" s="4"/>
      <c r="Y640" s="7">
        <v>4</v>
      </c>
      <c r="Z640" s="8">
        <v>225522</v>
      </c>
      <c r="AA640" s="7" t="s">
        <v>537</v>
      </c>
      <c r="AB640" s="7" t="s">
        <v>788</v>
      </c>
      <c r="AC640" s="9">
        <v>4</v>
      </c>
      <c r="AD640" s="10">
        <v>225522</v>
      </c>
      <c r="AE640" s="9" t="s">
        <v>537</v>
      </c>
      <c r="AF640" s="9" t="s">
        <v>788</v>
      </c>
      <c r="AG640" s="11">
        <v>4</v>
      </c>
      <c r="AH640" s="11" t="s">
        <v>93</v>
      </c>
      <c r="AI640" s="11" t="s">
        <v>393</v>
      </c>
      <c r="AJ640" s="11"/>
      <c r="AK640" s="11"/>
      <c r="AL640" s="12">
        <v>4</v>
      </c>
      <c r="AM640" s="12" t="s">
        <v>93</v>
      </c>
      <c r="AN640" s="12" t="s">
        <v>2853</v>
      </c>
      <c r="AO640" s="12"/>
      <c r="AP640" s="12"/>
      <c r="AQ640" s="4">
        <v>2</v>
      </c>
      <c r="AR640" s="4" t="s">
        <v>441</v>
      </c>
      <c r="AS640" s="4" t="s">
        <v>2854</v>
      </c>
      <c r="AT640" s="13"/>
      <c r="AU640" s="13"/>
      <c r="AV640" s="13"/>
      <c r="AW640" s="13"/>
      <c r="AX640" s="4"/>
      <c r="AY640" s="13"/>
      <c r="AZ640" s="13"/>
      <c r="BA640" s="13"/>
      <c r="BB640" s="13"/>
      <c r="BC640" s="4"/>
      <c r="BD640" s="4"/>
      <c r="BE640" s="4"/>
      <c r="BF640" s="13"/>
      <c r="BG640" s="4"/>
      <c r="BH640" s="13"/>
      <c r="BI640" s="13"/>
      <c r="BJ640" s="4"/>
      <c r="BK640" s="14">
        <v>13</v>
      </c>
      <c r="BL640" s="14">
        <v>13</v>
      </c>
      <c r="BM640" s="14">
        <v>13</v>
      </c>
      <c r="BP640" s="15"/>
      <c r="BQ640" s="15"/>
      <c r="BR640" s="2" t="s">
        <v>791</v>
      </c>
      <c r="BS640" s="2" t="s">
        <v>791</v>
      </c>
      <c r="BT640" s="7" t="s">
        <v>760</v>
      </c>
      <c r="BU640" s="7" t="s">
        <v>109</v>
      </c>
      <c r="BV640" s="9" t="s">
        <v>760</v>
      </c>
      <c r="BW640" s="9" t="s">
        <v>109</v>
      </c>
    </row>
    <row r="641" spans="1:75" ht="14.25" customHeight="1" x14ac:dyDescent="0.25">
      <c r="A641" s="1">
        <v>202</v>
      </c>
      <c r="B641" s="1" t="s">
        <v>2855</v>
      </c>
      <c r="C641" s="1" t="s">
        <v>2856</v>
      </c>
      <c r="D641" s="1" t="s">
        <v>77</v>
      </c>
      <c r="E641" s="1" t="s">
        <v>645</v>
      </c>
      <c r="F641" s="1" t="s">
        <v>646</v>
      </c>
      <c r="G641" s="1"/>
      <c r="H641" s="2">
        <v>1</v>
      </c>
      <c r="I641" s="2">
        <v>1</v>
      </c>
      <c r="J641" s="2">
        <v>1</v>
      </c>
      <c r="K641" s="2">
        <v>1</v>
      </c>
      <c r="L641" s="3" t="s">
        <v>127</v>
      </c>
      <c r="O641" s="4">
        <v>1</v>
      </c>
      <c r="P641" s="4" t="s">
        <v>1840</v>
      </c>
      <c r="Q641" s="4"/>
      <c r="R641" s="16">
        <v>150000000</v>
      </c>
      <c r="S641" s="6">
        <v>150000000</v>
      </c>
      <c r="T641" s="16">
        <v>130000000</v>
      </c>
      <c r="U641" s="6">
        <v>130000000</v>
      </c>
      <c r="V641" s="4">
        <v>2010.5</v>
      </c>
      <c r="W641" s="4" t="s">
        <v>579</v>
      </c>
      <c r="X641" s="4"/>
      <c r="Y641" s="7">
        <v>1</v>
      </c>
      <c r="Z641" s="8">
        <v>11104581</v>
      </c>
      <c r="AA641" s="7" t="s">
        <v>92</v>
      </c>
      <c r="AB641" s="7"/>
      <c r="AC641" s="9">
        <v>1</v>
      </c>
      <c r="AD641" s="10">
        <v>10031136</v>
      </c>
      <c r="AE641" s="9" t="s">
        <v>92</v>
      </c>
      <c r="AF641" s="9"/>
      <c r="AG641" s="11">
        <v>2</v>
      </c>
      <c r="AH641" s="11" t="s">
        <v>131</v>
      </c>
      <c r="AI641" s="11"/>
      <c r="AJ641" s="11">
        <v>2</v>
      </c>
      <c r="AK641" s="11" t="s">
        <v>132</v>
      </c>
      <c r="AL641" s="12">
        <v>1</v>
      </c>
      <c r="AM641" s="12" t="s">
        <v>131</v>
      </c>
      <c r="AN641" s="12"/>
      <c r="AO641" s="12">
        <v>1</v>
      </c>
      <c r="AP641" s="12" t="s">
        <v>132</v>
      </c>
      <c r="AQ641" s="4">
        <v>3</v>
      </c>
      <c r="AR641" s="4" t="s">
        <v>133</v>
      </c>
      <c r="AS641" s="4"/>
      <c r="AT641" s="13">
        <v>-18.324434280395501</v>
      </c>
      <c r="AU641" s="13">
        <v>-0.39654287695884699</v>
      </c>
      <c r="AV641" s="13">
        <v>-0.54699802398681596</v>
      </c>
      <c r="AW641" s="13">
        <v>-0.23199999332428001</v>
      </c>
      <c r="AX641" s="4">
        <v>1</v>
      </c>
      <c r="AY641" s="13">
        <v>-13.748248100280801</v>
      </c>
      <c r="AZ641" s="13">
        <v>-0.921367287635803</v>
      </c>
      <c r="BA641" s="13">
        <v>-1.0806980133056601</v>
      </c>
      <c r="BB641" s="13">
        <v>-0.68800002336502097</v>
      </c>
      <c r="BC641" s="4">
        <v>1</v>
      </c>
      <c r="BD641" s="4">
        <v>16</v>
      </c>
      <c r="BE641" s="4" t="s">
        <v>134</v>
      </c>
      <c r="BF641" s="13">
        <v>0.31499800086021401</v>
      </c>
      <c r="BG641" s="4">
        <v>4545.5</v>
      </c>
      <c r="BH641" s="13">
        <v>25.995000839233398</v>
      </c>
      <c r="BI641" s="13">
        <v>118153.09375</v>
      </c>
      <c r="BJ641" s="4"/>
      <c r="BK641" s="14">
        <v>7</v>
      </c>
      <c r="BL641" s="14">
        <v>6</v>
      </c>
      <c r="BM641" s="14">
        <v>7</v>
      </c>
      <c r="BP641" s="15" t="s">
        <v>135</v>
      </c>
      <c r="BQ641" s="15" t="s">
        <v>146</v>
      </c>
      <c r="BR641" s="2" t="s">
        <v>247</v>
      </c>
      <c r="BS641" s="2" t="s">
        <v>247</v>
      </c>
      <c r="BT641" s="7" t="s">
        <v>458</v>
      </c>
      <c r="BU641" s="7" t="s">
        <v>603</v>
      </c>
      <c r="BV641" s="9" t="s">
        <v>603</v>
      </c>
      <c r="BW641" s="9" t="s">
        <v>458</v>
      </c>
    </row>
    <row r="642" spans="1:75" ht="14.25" customHeight="1" x14ac:dyDescent="0.25">
      <c r="A642" s="1">
        <v>203</v>
      </c>
      <c r="B642" s="1" t="s">
        <v>2857</v>
      </c>
      <c r="C642" s="1" t="s">
        <v>2858</v>
      </c>
      <c r="D642" s="1" t="s">
        <v>77</v>
      </c>
      <c r="E642" s="1" t="s">
        <v>645</v>
      </c>
      <c r="F642" s="1" t="s">
        <v>646</v>
      </c>
      <c r="G642" s="1" t="s">
        <v>118</v>
      </c>
      <c r="H642" s="2">
        <v>0</v>
      </c>
      <c r="I642" s="2">
        <v>0</v>
      </c>
      <c r="J642" s="2">
        <v>1</v>
      </c>
      <c r="K642" s="2">
        <v>0</v>
      </c>
      <c r="L642" s="3" t="s">
        <v>80</v>
      </c>
      <c r="O642" s="4">
        <v>5</v>
      </c>
      <c r="P642" s="4" t="s">
        <v>537</v>
      </c>
      <c r="Q642" s="4" t="s">
        <v>2859</v>
      </c>
      <c r="R642" s="5"/>
      <c r="S642" s="6"/>
      <c r="T642" s="17"/>
      <c r="U642" s="6"/>
      <c r="V642" s="4"/>
      <c r="W642" s="4"/>
      <c r="X642" s="4"/>
      <c r="Y642" s="7">
        <v>5</v>
      </c>
      <c r="Z642" s="8"/>
      <c r="AA642" s="7" t="s">
        <v>93</v>
      </c>
      <c r="AB642" s="7" t="s">
        <v>2860</v>
      </c>
      <c r="AC642" s="9">
        <v>5</v>
      </c>
      <c r="AD642" s="10"/>
      <c r="AE642" s="9" t="s">
        <v>92</v>
      </c>
      <c r="AF642" s="9" t="s">
        <v>2861</v>
      </c>
      <c r="AG642" s="11">
        <v>5</v>
      </c>
      <c r="AH642" s="11" t="s">
        <v>93</v>
      </c>
      <c r="AI642" s="11"/>
      <c r="AJ642" s="11"/>
      <c r="AK642" s="11"/>
      <c r="AL642" s="12">
        <v>5</v>
      </c>
      <c r="AM642" s="12" t="s">
        <v>93</v>
      </c>
      <c r="AN642" s="12" t="s">
        <v>2862</v>
      </c>
      <c r="AO642" s="12"/>
      <c r="AP642" s="12"/>
      <c r="AQ642" s="4">
        <v>5</v>
      </c>
      <c r="AR642" s="4" t="s">
        <v>93</v>
      </c>
      <c r="AS642" s="4"/>
      <c r="AT642" s="13"/>
      <c r="AU642" s="13"/>
      <c r="AV642" s="13"/>
      <c r="AW642" s="13"/>
      <c r="AX642" s="4"/>
      <c r="AY642" s="13"/>
      <c r="AZ642" s="13"/>
      <c r="BA642" s="13"/>
      <c r="BB642" s="13"/>
      <c r="BC642" s="4"/>
      <c r="BD642" s="4"/>
      <c r="BE642" s="4"/>
      <c r="BF642" s="13"/>
      <c r="BG642" s="4"/>
      <c r="BH642" s="13"/>
      <c r="BI642" s="13"/>
      <c r="BJ642" s="4"/>
      <c r="BK642" s="14">
        <v>20</v>
      </c>
      <c r="BL642" s="14">
        <v>20</v>
      </c>
      <c r="BM642" s="14">
        <v>20</v>
      </c>
      <c r="BN642" s="3" t="s">
        <v>312</v>
      </c>
      <c r="BO642" s="3" t="s">
        <v>2863</v>
      </c>
      <c r="BP642" s="15"/>
      <c r="BQ642" s="15"/>
      <c r="BR642" s="2" t="s">
        <v>108</v>
      </c>
      <c r="BS642" s="2" t="s">
        <v>108</v>
      </c>
      <c r="BT642" s="7" t="s">
        <v>760</v>
      </c>
      <c r="BU642" s="7"/>
      <c r="BV642" s="9" t="s">
        <v>760</v>
      </c>
      <c r="BW642" s="9"/>
    </row>
    <row r="643" spans="1:75" ht="14.25" customHeight="1" x14ac:dyDescent="0.25">
      <c r="A643" s="1">
        <v>204</v>
      </c>
      <c r="B643" s="1" t="s">
        <v>2864</v>
      </c>
      <c r="C643" s="1" t="s">
        <v>2865</v>
      </c>
      <c r="D643" s="1" t="s">
        <v>77</v>
      </c>
      <c r="E643" s="1" t="s">
        <v>713</v>
      </c>
      <c r="F643" s="1" t="s">
        <v>714</v>
      </c>
      <c r="G643" s="1" t="s">
        <v>118</v>
      </c>
      <c r="H643" s="2">
        <v>0</v>
      </c>
      <c r="I643" s="2">
        <v>0</v>
      </c>
      <c r="J643" s="2">
        <v>0</v>
      </c>
      <c r="K643" s="2">
        <v>1</v>
      </c>
      <c r="L643" s="3" t="s">
        <v>80</v>
      </c>
      <c r="O643" s="4">
        <v>3</v>
      </c>
      <c r="P643" s="4" t="s">
        <v>81</v>
      </c>
      <c r="Q643" s="4"/>
      <c r="R643" s="5"/>
      <c r="S643" s="6"/>
      <c r="T643" s="17"/>
      <c r="U643" s="6"/>
      <c r="V643" s="4"/>
      <c r="W643" s="4"/>
      <c r="X643" s="4"/>
      <c r="Y643" s="7">
        <v>1</v>
      </c>
      <c r="Z643" s="8">
        <v>12151246</v>
      </c>
      <c r="AA643" s="7" t="s">
        <v>82</v>
      </c>
      <c r="AB643" s="7"/>
      <c r="AC643" s="9">
        <v>1</v>
      </c>
      <c r="AD643" s="10">
        <v>12151246</v>
      </c>
      <c r="AE643" s="9" t="s">
        <v>82</v>
      </c>
      <c r="AF643" s="9"/>
      <c r="AG643" s="11">
        <v>2</v>
      </c>
      <c r="AH643" s="11" t="s">
        <v>83</v>
      </c>
      <c r="AI643" s="11"/>
      <c r="AJ643" s="11"/>
      <c r="AK643" s="11"/>
      <c r="AL643" s="12">
        <v>2</v>
      </c>
      <c r="AM643" s="12" t="s">
        <v>83</v>
      </c>
      <c r="AN643" s="12"/>
      <c r="AO643" s="12"/>
      <c r="AP643" s="12"/>
      <c r="AQ643" s="4">
        <v>2</v>
      </c>
      <c r="AR643" s="4" t="s">
        <v>83</v>
      </c>
      <c r="AS643" s="4"/>
      <c r="AT643" s="13"/>
      <c r="AU643" s="13"/>
      <c r="AV643" s="13"/>
      <c r="AW643" s="13"/>
      <c r="AX643" s="4"/>
      <c r="AY643" s="13"/>
      <c r="AZ643" s="13"/>
      <c r="BA643" s="13"/>
      <c r="BB643" s="13"/>
      <c r="BC643" s="4"/>
      <c r="BD643" s="4"/>
      <c r="BE643" s="4"/>
      <c r="BF643" s="13"/>
      <c r="BG643" s="4"/>
      <c r="BH643" s="13"/>
      <c r="BI643" s="13"/>
      <c r="BJ643" s="4"/>
      <c r="BK643" s="14">
        <v>8</v>
      </c>
      <c r="BL643" s="14">
        <v>8</v>
      </c>
      <c r="BM643" s="14">
        <v>8</v>
      </c>
      <c r="BP643" s="15"/>
      <c r="BQ643" s="15"/>
      <c r="BR643" s="2" t="s">
        <v>740</v>
      </c>
      <c r="BS643" s="2" t="s">
        <v>740</v>
      </c>
      <c r="BT643" s="7" t="s">
        <v>98</v>
      </c>
      <c r="BU643" s="7" t="s">
        <v>240</v>
      </c>
      <c r="BV643" s="9" t="s">
        <v>98</v>
      </c>
      <c r="BW643" s="9" t="s">
        <v>240</v>
      </c>
    </row>
    <row r="644" spans="1:75" ht="14.25" customHeight="1" x14ac:dyDescent="0.25">
      <c r="A644" s="1">
        <v>205</v>
      </c>
      <c r="B644" s="1" t="s">
        <v>2866</v>
      </c>
      <c r="C644" s="1" t="s">
        <v>2867</v>
      </c>
      <c r="D644" s="1" t="s">
        <v>77</v>
      </c>
      <c r="E644" s="1" t="s">
        <v>713</v>
      </c>
      <c r="F644" s="1" t="s">
        <v>714</v>
      </c>
      <c r="G644" s="1" t="s">
        <v>118</v>
      </c>
      <c r="H644" s="2">
        <v>0</v>
      </c>
      <c r="I644" s="2">
        <v>1</v>
      </c>
      <c r="J644" s="2">
        <v>1</v>
      </c>
      <c r="K644" s="2">
        <v>1</v>
      </c>
      <c r="L644" s="3" t="s">
        <v>80</v>
      </c>
      <c r="O644" s="4">
        <v>2</v>
      </c>
      <c r="P644" s="4" t="s">
        <v>706</v>
      </c>
      <c r="Q644" s="4"/>
      <c r="R644" s="16">
        <v>20000000</v>
      </c>
      <c r="S644" s="6">
        <v>20000000</v>
      </c>
      <c r="T644" s="17" t="s">
        <v>682</v>
      </c>
      <c r="U644" s="6">
        <v>50</v>
      </c>
      <c r="V644" s="4"/>
      <c r="W644" s="4" t="s">
        <v>543</v>
      </c>
      <c r="X644" s="4"/>
      <c r="Y644" s="7">
        <v>1</v>
      </c>
      <c r="Z644" s="8">
        <v>14154643</v>
      </c>
      <c r="AA644" s="7" t="s">
        <v>92</v>
      </c>
      <c r="AB644" s="7"/>
      <c r="AC644" s="9">
        <v>1</v>
      </c>
      <c r="AD644" s="10">
        <v>14154643</v>
      </c>
      <c r="AE644" s="9" t="s">
        <v>92</v>
      </c>
      <c r="AF644" s="9"/>
      <c r="AG644" s="11">
        <v>2</v>
      </c>
      <c r="AH644" s="11" t="s">
        <v>2868</v>
      </c>
      <c r="AI644" s="11" t="s">
        <v>2869</v>
      </c>
      <c r="AJ644" s="11"/>
      <c r="AK644" s="11"/>
      <c r="AL644" s="12">
        <v>2</v>
      </c>
      <c r="AM644" s="12" t="s">
        <v>271</v>
      </c>
      <c r="AN644" s="12" t="s">
        <v>2870</v>
      </c>
      <c r="AO644" s="12"/>
      <c r="AP644" s="12"/>
      <c r="AQ644" s="4">
        <v>3</v>
      </c>
      <c r="AR644" s="4" t="s">
        <v>2871</v>
      </c>
      <c r="AS644" s="4" t="s">
        <v>2872</v>
      </c>
      <c r="AT644" s="13"/>
      <c r="AU644" s="13"/>
      <c r="AV644" s="13"/>
      <c r="AW644" s="13"/>
      <c r="AX644" s="4"/>
      <c r="AY644" s="13"/>
      <c r="AZ644" s="13"/>
      <c r="BA644" s="13"/>
      <c r="BB644" s="13"/>
      <c r="BC644" s="4"/>
      <c r="BD644" s="4"/>
      <c r="BE644" s="4"/>
      <c r="BF644" s="13"/>
      <c r="BG644" s="4"/>
      <c r="BH644" s="13"/>
      <c r="BI644" s="13"/>
      <c r="BJ644" s="4"/>
      <c r="BK644" s="14">
        <v>8</v>
      </c>
      <c r="BL644" s="14">
        <v>8</v>
      </c>
      <c r="BM644" s="14">
        <v>8</v>
      </c>
      <c r="BP644" s="15" t="s">
        <v>135</v>
      </c>
      <c r="BQ644" s="15" t="s">
        <v>146</v>
      </c>
      <c r="BR644" s="2" t="s">
        <v>97</v>
      </c>
      <c r="BS644" s="2" t="s">
        <v>97</v>
      </c>
      <c r="BT644" s="7" t="s">
        <v>603</v>
      </c>
      <c r="BU644" s="7"/>
      <c r="BV644" s="9" t="s">
        <v>603</v>
      </c>
      <c r="BW644" s="9"/>
    </row>
    <row r="645" spans="1:75" ht="14.25" customHeight="1" x14ac:dyDescent="0.25">
      <c r="A645" s="1">
        <v>246</v>
      </c>
      <c r="B645" s="1" t="s">
        <v>2873</v>
      </c>
      <c r="C645" s="1" t="s">
        <v>2874</v>
      </c>
      <c r="D645" s="1" t="s">
        <v>77</v>
      </c>
      <c r="E645" s="1" t="s">
        <v>768</v>
      </c>
      <c r="F645" s="1" t="s">
        <v>769</v>
      </c>
      <c r="G645" s="1" t="s">
        <v>118</v>
      </c>
      <c r="H645" s="2">
        <v>0</v>
      </c>
      <c r="I645" s="2">
        <v>0</v>
      </c>
      <c r="J645" s="2">
        <v>1</v>
      </c>
      <c r="K645" s="2">
        <v>1</v>
      </c>
      <c r="L645" s="3" t="s">
        <v>127</v>
      </c>
      <c r="O645" s="4">
        <v>4</v>
      </c>
      <c r="P645" s="4" t="s">
        <v>101</v>
      </c>
      <c r="Q645" s="4" t="s">
        <v>2875</v>
      </c>
      <c r="R645" s="5"/>
      <c r="S645" s="6"/>
      <c r="T645" s="17"/>
      <c r="U645" s="6"/>
      <c r="V645" s="4"/>
      <c r="W645" s="4"/>
      <c r="X645" s="4"/>
      <c r="Y645" s="7">
        <v>4</v>
      </c>
      <c r="Z645" s="8">
        <v>110330</v>
      </c>
      <c r="AA645" s="7" t="s">
        <v>92</v>
      </c>
      <c r="AB645" s="7"/>
      <c r="AC645" s="9">
        <v>4</v>
      </c>
      <c r="AD645" s="10">
        <v>138927</v>
      </c>
      <c r="AE645" s="9" t="s">
        <v>92</v>
      </c>
      <c r="AF645" s="9"/>
      <c r="AG645" s="11">
        <v>3</v>
      </c>
      <c r="AH645" s="11" t="s">
        <v>93</v>
      </c>
      <c r="AI645" s="11"/>
      <c r="AJ645" s="11"/>
      <c r="AK645" s="11"/>
      <c r="AL645" s="12">
        <v>3</v>
      </c>
      <c r="AM645" s="12" t="s">
        <v>93</v>
      </c>
      <c r="AN645" s="12" t="s">
        <v>805</v>
      </c>
      <c r="AO645" s="12"/>
      <c r="AP645" s="12"/>
      <c r="AQ645" s="4">
        <v>3</v>
      </c>
      <c r="AR645" s="4" t="s">
        <v>83</v>
      </c>
      <c r="AS645" s="4"/>
      <c r="AT645" s="13"/>
      <c r="AU645" s="13"/>
      <c r="AV645" s="13"/>
      <c r="AW645" s="13"/>
      <c r="AX645" s="4"/>
      <c r="AY645" s="13"/>
      <c r="AZ645" s="13"/>
      <c r="BA645" s="13"/>
      <c r="BB645" s="13"/>
      <c r="BC645" s="4"/>
      <c r="BD645" s="4"/>
      <c r="BE645" s="4"/>
      <c r="BF645" s="13"/>
      <c r="BG645" s="4"/>
      <c r="BH645" s="13"/>
      <c r="BI645" s="13"/>
      <c r="BJ645" s="4"/>
      <c r="BK645" s="14">
        <v>14</v>
      </c>
      <c r="BL645" s="14">
        <v>14</v>
      </c>
      <c r="BM645" s="14">
        <v>14</v>
      </c>
      <c r="BN645" s="3" t="s">
        <v>86</v>
      </c>
      <c r="BP645" s="15"/>
      <c r="BQ645" s="15"/>
      <c r="BR645" s="2" t="s">
        <v>115</v>
      </c>
      <c r="BS645" s="2" t="s">
        <v>115</v>
      </c>
      <c r="BT645" s="7" t="s">
        <v>109</v>
      </c>
      <c r="BU645" s="7" t="s">
        <v>98</v>
      </c>
      <c r="BV645" s="9" t="s">
        <v>109</v>
      </c>
      <c r="BW645" s="9" t="s">
        <v>98</v>
      </c>
    </row>
    <row r="646" spans="1:75" ht="14.25" customHeight="1" x14ac:dyDescent="0.25">
      <c r="A646" s="1">
        <v>247</v>
      </c>
      <c r="B646" s="1" t="s">
        <v>2876</v>
      </c>
      <c r="C646" s="1" t="s">
        <v>2877</v>
      </c>
      <c r="D646" s="1" t="s">
        <v>77</v>
      </c>
      <c r="E646" s="1" t="s">
        <v>768</v>
      </c>
      <c r="F646" s="1" t="s">
        <v>769</v>
      </c>
      <c r="G646" s="1"/>
      <c r="H646" s="2">
        <v>0</v>
      </c>
      <c r="I646" s="2">
        <v>1</v>
      </c>
      <c r="J646" s="2">
        <v>1</v>
      </c>
      <c r="K646" s="2">
        <v>1</v>
      </c>
      <c r="L646" s="3" t="s">
        <v>127</v>
      </c>
      <c r="O646" s="4">
        <v>3</v>
      </c>
      <c r="P646" s="4" t="s">
        <v>706</v>
      </c>
      <c r="Q646" s="4"/>
      <c r="R646" s="16">
        <v>2000000</v>
      </c>
      <c r="S646" s="6">
        <v>2000000</v>
      </c>
      <c r="T646" s="17" t="s">
        <v>682</v>
      </c>
      <c r="U646" s="6">
        <v>50</v>
      </c>
      <c r="V646" s="4"/>
      <c r="W646" s="4" t="s">
        <v>543</v>
      </c>
      <c r="X646" s="4" t="s">
        <v>2878</v>
      </c>
      <c r="Y646" s="7">
        <v>3</v>
      </c>
      <c r="Z646" s="8">
        <v>608026</v>
      </c>
      <c r="AA646" s="7" t="s">
        <v>92</v>
      </c>
      <c r="AB646" s="7"/>
      <c r="AC646" s="9">
        <v>3</v>
      </c>
      <c r="AD646" s="10">
        <v>343316</v>
      </c>
      <c r="AE646" s="9" t="s">
        <v>92</v>
      </c>
      <c r="AF646" s="9"/>
      <c r="AG646" s="11">
        <v>3</v>
      </c>
      <c r="AH646" s="11" t="s">
        <v>271</v>
      </c>
      <c r="AI646" s="11"/>
      <c r="AJ646" s="11"/>
      <c r="AK646" s="11"/>
      <c r="AL646" s="12">
        <v>3</v>
      </c>
      <c r="AM646" s="12" t="s">
        <v>271</v>
      </c>
      <c r="AN646" s="12" t="s">
        <v>805</v>
      </c>
      <c r="AO646" s="12"/>
      <c r="AP646" s="12"/>
      <c r="AQ646" s="4">
        <v>3</v>
      </c>
      <c r="AR646" s="4" t="s">
        <v>93</v>
      </c>
      <c r="AS646" s="4"/>
      <c r="AT646" s="13"/>
      <c r="AU646" s="13"/>
      <c r="AV646" s="13"/>
      <c r="AW646" s="13"/>
      <c r="AX646" s="4"/>
      <c r="AY646" s="13"/>
      <c r="AZ646" s="13"/>
      <c r="BA646" s="13"/>
      <c r="BB646" s="13"/>
      <c r="BC646" s="4"/>
      <c r="BD646" s="4"/>
      <c r="BE646" s="4"/>
      <c r="BF646" s="13"/>
      <c r="BG646" s="4"/>
      <c r="BH646" s="13"/>
      <c r="BI646" s="13"/>
      <c r="BJ646" s="4"/>
      <c r="BK646" s="14">
        <v>12</v>
      </c>
      <c r="BL646" s="14">
        <v>12</v>
      </c>
      <c r="BM646" s="14">
        <v>12</v>
      </c>
      <c r="BP646" s="15"/>
      <c r="BQ646" s="15"/>
      <c r="BR646" s="2" t="s">
        <v>108</v>
      </c>
      <c r="BS646" s="2" t="s">
        <v>108</v>
      </c>
      <c r="BT646" s="7" t="s">
        <v>109</v>
      </c>
      <c r="BU646" s="7" t="s">
        <v>438</v>
      </c>
      <c r="BV646" s="9" t="s">
        <v>109</v>
      </c>
      <c r="BW646" s="9" t="s">
        <v>438</v>
      </c>
    </row>
    <row r="647" spans="1:75" ht="14.25" customHeight="1" x14ac:dyDescent="0.25">
      <c r="A647" s="1">
        <v>248</v>
      </c>
      <c r="B647" s="1" t="s">
        <v>2879</v>
      </c>
      <c r="C647" s="1" t="s">
        <v>2880</v>
      </c>
      <c r="D647" s="1" t="s">
        <v>77</v>
      </c>
      <c r="E647" s="1" t="s">
        <v>768</v>
      </c>
      <c r="F647" s="1" t="s">
        <v>769</v>
      </c>
      <c r="G647" s="1" t="s">
        <v>118</v>
      </c>
      <c r="H647" s="2">
        <v>1</v>
      </c>
      <c r="I647" s="2">
        <v>1</v>
      </c>
      <c r="J647" s="2">
        <v>1</v>
      </c>
      <c r="K647" s="2">
        <v>1</v>
      </c>
      <c r="L647" s="3" t="s">
        <v>127</v>
      </c>
      <c r="O647" s="4">
        <v>3</v>
      </c>
      <c r="P647" s="4" t="s">
        <v>425</v>
      </c>
      <c r="Q647" s="4" t="s">
        <v>2881</v>
      </c>
      <c r="R647" s="16">
        <v>1800000</v>
      </c>
      <c r="S647" s="6">
        <v>1800000</v>
      </c>
      <c r="T647" s="16">
        <v>1800000</v>
      </c>
      <c r="U647" s="6">
        <v>1800000</v>
      </c>
      <c r="V647" s="4">
        <v>2010.5</v>
      </c>
      <c r="W647" s="4" t="s">
        <v>425</v>
      </c>
      <c r="X647" s="4"/>
      <c r="Y647" s="7">
        <v>2</v>
      </c>
      <c r="Z647" s="8">
        <v>2772111</v>
      </c>
      <c r="AA647" s="7" t="s">
        <v>92</v>
      </c>
      <c r="AB647" s="7"/>
      <c r="AC647" s="9">
        <v>3</v>
      </c>
      <c r="AD647" s="10">
        <v>882960</v>
      </c>
      <c r="AE647" s="9" t="s">
        <v>92</v>
      </c>
      <c r="AF647" s="9"/>
      <c r="AG647" s="11">
        <v>4</v>
      </c>
      <c r="AH647" s="11" t="s">
        <v>131</v>
      </c>
      <c r="AI647" s="11" t="s">
        <v>2882</v>
      </c>
      <c r="AJ647" s="11">
        <v>4</v>
      </c>
      <c r="AK647" s="11" t="s">
        <v>143</v>
      </c>
      <c r="AL647" s="12">
        <v>3</v>
      </c>
      <c r="AM647" s="12" t="s">
        <v>131</v>
      </c>
      <c r="AN647" s="12" t="s">
        <v>2883</v>
      </c>
      <c r="AO647" s="12">
        <v>2</v>
      </c>
      <c r="AP647" s="12" t="s">
        <v>143</v>
      </c>
      <c r="AQ647" s="4">
        <v>5</v>
      </c>
      <c r="AR647" s="4" t="s">
        <v>133</v>
      </c>
      <c r="AS647" s="4"/>
      <c r="AT647" s="13">
        <v>-73.306877136230497</v>
      </c>
      <c r="AU647" s="13">
        <v>-2.5556805133819598</v>
      </c>
      <c r="AV647" s="13">
        <v>-3.0499999523162802</v>
      </c>
      <c r="AW647" s="13">
        <v>-2.16010189056396</v>
      </c>
      <c r="AX647" s="4">
        <v>1</v>
      </c>
      <c r="AY647" s="13">
        <v>-5.1016168594360396</v>
      </c>
      <c r="AZ647" s="13">
        <v>-0.474854916334152</v>
      </c>
      <c r="BA647" s="13">
        <v>-2.1800000667571999</v>
      </c>
      <c r="BB647" s="13">
        <v>0.92199999094009399</v>
      </c>
      <c r="BC647" s="4"/>
      <c r="BD647" s="4">
        <v>11</v>
      </c>
      <c r="BE647" s="4" t="s">
        <v>134</v>
      </c>
      <c r="BF647" s="13">
        <v>0.889898002147675</v>
      </c>
      <c r="BG647" s="4">
        <v>831</v>
      </c>
      <c r="BH647" s="13">
        <v>0.19949999451637301</v>
      </c>
      <c r="BI647" s="13">
        <v>165.49749755859401</v>
      </c>
      <c r="BJ647" s="4"/>
      <c r="BK647" s="14">
        <v>14</v>
      </c>
      <c r="BL647" s="14">
        <v>14</v>
      </c>
      <c r="BM647" s="14">
        <v>14</v>
      </c>
      <c r="BN647" s="3" t="s">
        <v>113</v>
      </c>
      <c r="BO647" s="3" t="s">
        <v>120</v>
      </c>
      <c r="BP647" s="15"/>
      <c r="BQ647" s="15"/>
      <c r="BR647" s="2" t="s">
        <v>239</v>
      </c>
      <c r="BS647" s="2" t="s">
        <v>115</v>
      </c>
      <c r="BT647" s="7" t="s">
        <v>241</v>
      </c>
      <c r="BU647" s="7"/>
      <c r="BV647" s="9" t="s">
        <v>98</v>
      </c>
      <c r="BW647" s="9" t="s">
        <v>241</v>
      </c>
    </row>
    <row r="648" spans="1:75" ht="14.25" customHeight="1" x14ac:dyDescent="0.25">
      <c r="A648" s="1">
        <v>249</v>
      </c>
      <c r="B648" s="1" t="s">
        <v>2884</v>
      </c>
      <c r="C648" s="1" t="s">
        <v>2885</v>
      </c>
      <c r="D648" s="1" t="s">
        <v>77</v>
      </c>
      <c r="E648" s="1" t="s">
        <v>768</v>
      </c>
      <c r="F648" s="1" t="s">
        <v>769</v>
      </c>
      <c r="G648" s="1" t="s">
        <v>118</v>
      </c>
      <c r="H648" s="2">
        <v>0</v>
      </c>
      <c r="I648" s="2">
        <v>0</v>
      </c>
      <c r="J648" s="2">
        <v>0</v>
      </c>
      <c r="K648" s="2">
        <v>1</v>
      </c>
      <c r="L648" s="3" t="s">
        <v>80</v>
      </c>
      <c r="O648" s="4">
        <v>5</v>
      </c>
      <c r="P648" s="4" t="s">
        <v>81</v>
      </c>
      <c r="Q648" s="4"/>
      <c r="R648" s="5"/>
      <c r="S648" s="6"/>
      <c r="T648" s="17"/>
      <c r="U648" s="6"/>
      <c r="V648" s="4"/>
      <c r="W648" s="4"/>
      <c r="X648" s="4"/>
      <c r="Y648" s="7">
        <v>5</v>
      </c>
      <c r="Z648" s="8">
        <v>5391</v>
      </c>
      <c r="AA648" s="7" t="s">
        <v>82</v>
      </c>
      <c r="AB648" s="7"/>
      <c r="AC648" s="9">
        <v>5</v>
      </c>
      <c r="AD648" s="10">
        <v>5391</v>
      </c>
      <c r="AE648" s="9" t="s">
        <v>82</v>
      </c>
      <c r="AF648" s="9"/>
      <c r="AG648" s="11">
        <v>3</v>
      </c>
      <c r="AH648" s="11" t="s">
        <v>83</v>
      </c>
      <c r="AI648" s="11" t="s">
        <v>2886</v>
      </c>
      <c r="AJ648" s="11"/>
      <c r="AK648" s="11"/>
      <c r="AL648" s="12">
        <v>3</v>
      </c>
      <c r="AM648" s="12" t="s">
        <v>83</v>
      </c>
      <c r="AN648" s="12"/>
      <c r="AO648" s="12"/>
      <c r="AP648" s="12"/>
      <c r="AQ648" s="4">
        <v>2</v>
      </c>
      <c r="AR648" s="4" t="s">
        <v>83</v>
      </c>
      <c r="AS648" s="4"/>
      <c r="AT648" s="13"/>
      <c r="AU648" s="13"/>
      <c r="AV648" s="13"/>
      <c r="AW648" s="13"/>
      <c r="AX648" s="4"/>
      <c r="AY648" s="13"/>
      <c r="AZ648" s="13"/>
      <c r="BA648" s="13"/>
      <c r="BB648" s="13"/>
      <c r="BC648" s="4"/>
      <c r="BD648" s="4"/>
      <c r="BE648" s="4"/>
      <c r="BF648" s="13"/>
      <c r="BG648" s="4"/>
      <c r="BH648" s="13"/>
      <c r="BI648" s="13"/>
      <c r="BJ648" s="4"/>
      <c r="BK648" s="14">
        <v>15</v>
      </c>
      <c r="BL648" s="14">
        <v>15</v>
      </c>
      <c r="BM648" s="14">
        <v>15</v>
      </c>
      <c r="BN648" s="3" t="s">
        <v>86</v>
      </c>
      <c r="BP648" s="15"/>
      <c r="BQ648" s="15"/>
      <c r="BR648" s="2" t="s">
        <v>87</v>
      </c>
      <c r="BS648" s="2" t="s">
        <v>87</v>
      </c>
      <c r="BT648" s="7" t="s">
        <v>88</v>
      </c>
      <c r="BU648" s="7"/>
      <c r="BV648" s="9" t="s">
        <v>88</v>
      </c>
      <c r="BW648" s="9"/>
    </row>
    <row r="649" spans="1:75" ht="14.25" customHeight="1" x14ac:dyDescent="0.25">
      <c r="A649" s="1">
        <v>250</v>
      </c>
      <c r="B649" s="1" t="s">
        <v>2887</v>
      </c>
      <c r="C649" s="1" t="s">
        <v>2888</v>
      </c>
      <c r="D649" s="1" t="s">
        <v>77</v>
      </c>
      <c r="E649" s="1" t="s">
        <v>768</v>
      </c>
      <c r="F649" s="1" t="s">
        <v>769</v>
      </c>
      <c r="G649" s="1"/>
      <c r="H649" s="2">
        <v>0</v>
      </c>
      <c r="I649" s="2">
        <v>1</v>
      </c>
      <c r="J649" s="2">
        <v>1</v>
      </c>
      <c r="K649" s="2">
        <v>1</v>
      </c>
      <c r="L649" s="3" t="s">
        <v>127</v>
      </c>
      <c r="O649" s="4">
        <v>4</v>
      </c>
      <c r="P649" s="4" t="s">
        <v>470</v>
      </c>
      <c r="Q649" s="4"/>
      <c r="R649" s="5">
        <v>190000</v>
      </c>
      <c r="S649" s="6">
        <v>190000</v>
      </c>
      <c r="T649" s="5">
        <v>33000</v>
      </c>
      <c r="U649" s="6">
        <v>33000</v>
      </c>
      <c r="V649" s="4">
        <v>2010.5</v>
      </c>
      <c r="W649" s="4" t="s">
        <v>425</v>
      </c>
      <c r="X649" s="4"/>
      <c r="Y649" s="7">
        <v>3</v>
      </c>
      <c r="Z649" s="8">
        <v>733259</v>
      </c>
      <c r="AA649" s="7" t="s">
        <v>92</v>
      </c>
      <c r="AB649" s="7"/>
      <c r="AC649" s="9">
        <v>3</v>
      </c>
      <c r="AD649" s="10">
        <v>789528</v>
      </c>
      <c r="AE649" s="9" t="s">
        <v>92</v>
      </c>
      <c r="AF649" s="9"/>
      <c r="AG649" s="11">
        <v>3</v>
      </c>
      <c r="AH649" s="11" t="s">
        <v>1348</v>
      </c>
      <c r="AI649" s="11" t="s">
        <v>2889</v>
      </c>
      <c r="AJ649" s="11"/>
      <c r="AK649" s="11"/>
      <c r="AL649" s="12">
        <v>3</v>
      </c>
      <c r="AM649" s="12" t="s">
        <v>1348</v>
      </c>
      <c r="AN649" s="12"/>
      <c r="AO649" s="12"/>
      <c r="AP649" s="12"/>
      <c r="AQ649" s="4">
        <v>4</v>
      </c>
      <c r="AR649" s="4" t="s">
        <v>93</v>
      </c>
      <c r="AS649" s="4"/>
      <c r="AT649" s="13"/>
      <c r="AU649" s="13"/>
      <c r="AV649" s="13"/>
      <c r="AW649" s="13"/>
      <c r="AX649" s="4"/>
      <c r="AY649" s="13"/>
      <c r="AZ649" s="13"/>
      <c r="BA649" s="13"/>
      <c r="BB649" s="13"/>
      <c r="BC649" s="4"/>
      <c r="BD649" s="4"/>
      <c r="BE649" s="4"/>
      <c r="BF649" s="13"/>
      <c r="BG649" s="4"/>
      <c r="BH649" s="13"/>
      <c r="BI649" s="13"/>
      <c r="BJ649" s="4"/>
      <c r="BK649" s="14">
        <v>14</v>
      </c>
      <c r="BL649" s="14">
        <v>14</v>
      </c>
      <c r="BM649" s="14">
        <v>14</v>
      </c>
      <c r="BN649" s="3" t="s">
        <v>86</v>
      </c>
      <c r="BP649" s="15"/>
      <c r="BQ649" s="15"/>
      <c r="BR649" s="2" t="s">
        <v>409</v>
      </c>
      <c r="BS649" s="2" t="s">
        <v>409</v>
      </c>
      <c r="BT649" s="7" t="s">
        <v>438</v>
      </c>
      <c r="BU649" s="7" t="s">
        <v>437</v>
      </c>
      <c r="BV649" s="9" t="s">
        <v>438</v>
      </c>
      <c r="BW649" s="9"/>
    </row>
    <row r="650" spans="1:75" ht="14.25" customHeight="1" x14ac:dyDescent="0.25">
      <c r="A650" s="1">
        <v>252</v>
      </c>
      <c r="B650" s="1" t="s">
        <v>2890</v>
      </c>
      <c r="C650" s="1" t="s">
        <v>2891</v>
      </c>
      <c r="D650" s="1" t="s">
        <v>77</v>
      </c>
      <c r="E650" s="1" t="s">
        <v>768</v>
      </c>
      <c r="F650" s="1" t="s">
        <v>769</v>
      </c>
      <c r="G650" s="1"/>
      <c r="H650" s="2">
        <v>0</v>
      </c>
      <c r="I650" s="2">
        <v>0</v>
      </c>
      <c r="J650" s="2">
        <v>0</v>
      </c>
      <c r="K650" s="2">
        <v>1</v>
      </c>
      <c r="L650" s="3" t="s">
        <v>80</v>
      </c>
      <c r="O650" s="4">
        <v>3</v>
      </c>
      <c r="P650" s="4" t="s">
        <v>81</v>
      </c>
      <c r="Q650" s="4"/>
      <c r="R650" s="5"/>
      <c r="S650" s="6"/>
      <c r="T650" s="17"/>
      <c r="U650" s="6"/>
      <c r="V650" s="4"/>
      <c r="W650" s="4"/>
      <c r="X650" s="4"/>
      <c r="Y650" s="7">
        <v>2</v>
      </c>
      <c r="Z650" s="8">
        <v>1525811</v>
      </c>
      <c r="AA650" s="7" t="s">
        <v>82</v>
      </c>
      <c r="AB650" s="7"/>
      <c r="AC650" s="9">
        <v>2</v>
      </c>
      <c r="AD650" s="10">
        <v>1525811</v>
      </c>
      <c r="AE650" s="9" t="s">
        <v>82</v>
      </c>
      <c r="AF650" s="9"/>
      <c r="AG650" s="11">
        <v>3</v>
      </c>
      <c r="AH650" s="11" t="s">
        <v>83</v>
      </c>
      <c r="AI650" s="11" t="s">
        <v>2892</v>
      </c>
      <c r="AJ650" s="11"/>
      <c r="AK650" s="11"/>
      <c r="AL650" s="12">
        <v>3</v>
      </c>
      <c r="AM650" s="12" t="s">
        <v>83</v>
      </c>
      <c r="AN650" s="12"/>
      <c r="AO650" s="12"/>
      <c r="AP650" s="12"/>
      <c r="AQ650" s="4">
        <v>3</v>
      </c>
      <c r="AR650" s="4" t="s">
        <v>83</v>
      </c>
      <c r="AS650" s="4" t="s">
        <v>2893</v>
      </c>
      <c r="AT650" s="13"/>
      <c r="AU650" s="13"/>
      <c r="AV650" s="13"/>
      <c r="AW650" s="13"/>
      <c r="AX650" s="4"/>
      <c r="AY650" s="13"/>
      <c r="AZ650" s="13"/>
      <c r="BA650" s="13"/>
      <c r="BB650" s="13"/>
      <c r="BC650" s="4"/>
      <c r="BD650" s="4"/>
      <c r="BE650" s="4"/>
      <c r="BF650" s="13"/>
      <c r="BG650" s="4"/>
      <c r="BH650" s="13"/>
      <c r="BI650" s="13"/>
      <c r="BJ650" s="4"/>
      <c r="BK650" s="14">
        <v>11</v>
      </c>
      <c r="BL650" s="14">
        <v>11</v>
      </c>
      <c r="BM650" s="14">
        <v>11</v>
      </c>
      <c r="BP650" s="15"/>
      <c r="BQ650" s="15"/>
      <c r="BR650" s="2" t="s">
        <v>97</v>
      </c>
      <c r="BS650" s="2" t="s">
        <v>97</v>
      </c>
      <c r="BT650" s="7" t="s">
        <v>463</v>
      </c>
      <c r="BU650" s="7"/>
      <c r="BV650" s="9" t="s">
        <v>463</v>
      </c>
      <c r="BW650" s="9"/>
    </row>
    <row r="651" spans="1:75" ht="14.25" customHeight="1" x14ac:dyDescent="0.25">
      <c r="A651" s="1">
        <v>253</v>
      </c>
      <c r="B651" s="1" t="s">
        <v>2894</v>
      </c>
      <c r="C651" s="1" t="s">
        <v>2895</v>
      </c>
      <c r="D651" s="1" t="s">
        <v>77</v>
      </c>
      <c r="E651" s="1" t="s">
        <v>768</v>
      </c>
      <c r="F651" s="1" t="s">
        <v>769</v>
      </c>
      <c r="G651" s="1" t="s">
        <v>118</v>
      </c>
      <c r="H651" s="2">
        <v>0</v>
      </c>
      <c r="I651" s="2">
        <v>0</v>
      </c>
      <c r="J651" s="2">
        <v>1</v>
      </c>
      <c r="K651" s="2">
        <v>1</v>
      </c>
      <c r="L651" s="3" t="s">
        <v>127</v>
      </c>
      <c r="O651" s="4">
        <v>4</v>
      </c>
      <c r="P651" s="4" t="s">
        <v>112</v>
      </c>
      <c r="Q651" s="4"/>
      <c r="R651" s="5"/>
      <c r="S651" s="6"/>
      <c r="T651" s="17"/>
      <c r="U651" s="6"/>
      <c r="V651" s="4"/>
      <c r="W651" s="4"/>
      <c r="X651" s="4"/>
      <c r="Y651" s="7">
        <v>2</v>
      </c>
      <c r="Z651" s="8">
        <v>3316102</v>
      </c>
      <c r="AA651" s="7" t="s">
        <v>92</v>
      </c>
      <c r="AB651" s="7"/>
      <c r="AC651" s="9">
        <v>2</v>
      </c>
      <c r="AD651" s="10">
        <v>3212739</v>
      </c>
      <c r="AE651" s="9" t="s">
        <v>92</v>
      </c>
      <c r="AF651" s="9"/>
      <c r="AG651" s="11">
        <v>2</v>
      </c>
      <c r="AH651" s="11" t="s">
        <v>93</v>
      </c>
      <c r="AI651" s="11" t="s">
        <v>445</v>
      </c>
      <c r="AJ651" s="11"/>
      <c r="AK651" s="11"/>
      <c r="AL651" s="12">
        <v>3</v>
      </c>
      <c r="AM651" s="12" t="s">
        <v>93</v>
      </c>
      <c r="AN651" s="12" t="s">
        <v>2896</v>
      </c>
      <c r="AO651" s="12"/>
      <c r="AP651" s="12"/>
      <c r="AQ651" s="4">
        <v>2</v>
      </c>
      <c r="AR651" s="4" t="s">
        <v>83</v>
      </c>
      <c r="AS651" s="4" t="s">
        <v>2897</v>
      </c>
      <c r="AT651" s="13"/>
      <c r="AU651" s="13"/>
      <c r="AV651" s="13"/>
      <c r="AW651" s="13"/>
      <c r="AX651" s="4"/>
      <c r="AY651" s="13"/>
      <c r="AZ651" s="13"/>
      <c r="BA651" s="13"/>
      <c r="BB651" s="13"/>
      <c r="BC651" s="4"/>
      <c r="BD651" s="4"/>
      <c r="BE651" s="4"/>
      <c r="BF651" s="13"/>
      <c r="BG651" s="4"/>
      <c r="BH651" s="13"/>
      <c r="BI651" s="13"/>
      <c r="BJ651" s="4"/>
      <c r="BK651" s="14">
        <v>10</v>
      </c>
      <c r="BL651" s="14">
        <v>11</v>
      </c>
      <c r="BM651" s="14">
        <v>11</v>
      </c>
      <c r="BP651" s="15"/>
      <c r="BQ651" s="15" t="s">
        <v>136</v>
      </c>
      <c r="BR651" s="2" t="s">
        <v>740</v>
      </c>
      <c r="BS651" s="2" t="s">
        <v>740</v>
      </c>
      <c r="BT651" s="7" t="s">
        <v>463</v>
      </c>
      <c r="BU651" s="7"/>
      <c r="BV651" s="9" t="s">
        <v>463</v>
      </c>
      <c r="BW651" s="9"/>
    </row>
    <row r="652" spans="1:75" ht="14.25" customHeight="1" x14ac:dyDescent="0.25">
      <c r="A652" s="1">
        <v>255</v>
      </c>
      <c r="B652" s="1" t="s">
        <v>2898</v>
      </c>
      <c r="C652" s="1" t="s">
        <v>2899</v>
      </c>
      <c r="D652" s="1" t="s">
        <v>77</v>
      </c>
      <c r="E652" s="1" t="s">
        <v>2900</v>
      </c>
      <c r="F652" s="1" t="s">
        <v>2901</v>
      </c>
      <c r="G652" s="1" t="s">
        <v>118</v>
      </c>
      <c r="H652" s="2">
        <v>0</v>
      </c>
      <c r="I652" s="2">
        <v>0</v>
      </c>
      <c r="J652" s="2">
        <v>0</v>
      </c>
      <c r="K652" s="2">
        <v>1</v>
      </c>
      <c r="L652" s="3" t="s">
        <v>80</v>
      </c>
      <c r="O652" s="4">
        <v>5</v>
      </c>
      <c r="P652" s="4" t="s">
        <v>81</v>
      </c>
      <c r="Q652" s="4" t="s">
        <v>2902</v>
      </c>
      <c r="R652" s="5"/>
      <c r="S652" s="6"/>
      <c r="T652" s="17"/>
      <c r="U652" s="6"/>
      <c r="V652" s="4"/>
      <c r="W652" s="4"/>
      <c r="X652" s="4"/>
      <c r="Y652" s="7">
        <v>2</v>
      </c>
      <c r="Z652" s="8">
        <v>1040000</v>
      </c>
      <c r="AA652" s="7" t="s">
        <v>812</v>
      </c>
      <c r="AB652" s="7"/>
      <c r="AC652" s="9">
        <v>2</v>
      </c>
      <c r="AD652" s="10">
        <v>1040000</v>
      </c>
      <c r="AE652" s="9" t="s">
        <v>812</v>
      </c>
      <c r="AF652" s="9"/>
      <c r="AG652" s="11">
        <v>3</v>
      </c>
      <c r="AH652" s="11" t="s">
        <v>83</v>
      </c>
      <c r="AI652" s="11" t="s">
        <v>2903</v>
      </c>
      <c r="AJ652" s="11"/>
      <c r="AK652" s="11"/>
      <c r="AL652" s="12">
        <v>3</v>
      </c>
      <c r="AM652" s="12" t="s">
        <v>83</v>
      </c>
      <c r="AN652" s="12"/>
      <c r="AO652" s="12"/>
      <c r="AP652" s="12"/>
      <c r="AQ652" s="4">
        <v>3</v>
      </c>
      <c r="AR652" s="4" t="s">
        <v>83</v>
      </c>
      <c r="AS652" s="4" t="s">
        <v>2904</v>
      </c>
      <c r="AT652" s="13"/>
      <c r="AU652" s="13"/>
      <c r="AV652" s="13"/>
      <c r="AW652" s="13"/>
      <c r="AX652" s="4"/>
      <c r="AY652" s="13"/>
      <c r="AZ652" s="13"/>
      <c r="BA652" s="13"/>
      <c r="BB652" s="13"/>
      <c r="BC652" s="4"/>
      <c r="BD652" s="4"/>
      <c r="BE652" s="4"/>
      <c r="BF652" s="13"/>
      <c r="BG652" s="4"/>
      <c r="BH652" s="13"/>
      <c r="BI652" s="13"/>
      <c r="BJ652" s="4"/>
      <c r="BK652" s="14">
        <v>13</v>
      </c>
      <c r="BL652" s="14">
        <v>13</v>
      </c>
      <c r="BM652" s="14">
        <v>13</v>
      </c>
      <c r="BP652" s="15"/>
      <c r="BQ652" s="15"/>
      <c r="BR652" s="2" t="s">
        <v>97</v>
      </c>
      <c r="BS652" s="2" t="s">
        <v>97</v>
      </c>
      <c r="BT652" s="7" t="s">
        <v>98</v>
      </c>
      <c r="BU652" s="7"/>
      <c r="BV652" s="9" t="s">
        <v>98</v>
      </c>
      <c r="BW652" s="9"/>
    </row>
    <row r="653" spans="1:75" ht="14.25" customHeight="1" x14ac:dyDescent="0.25">
      <c r="A653" s="1">
        <v>256</v>
      </c>
      <c r="B653" s="1" t="s">
        <v>2905</v>
      </c>
      <c r="C653" s="1" t="s">
        <v>2906</v>
      </c>
      <c r="D653" s="1" t="s">
        <v>77</v>
      </c>
      <c r="E653" s="1" t="s">
        <v>2907</v>
      </c>
      <c r="F653" s="1" t="s">
        <v>2908</v>
      </c>
      <c r="G653" s="1"/>
      <c r="H653" s="2">
        <v>0</v>
      </c>
      <c r="I653" s="2">
        <v>0</v>
      </c>
      <c r="J653" s="2">
        <v>1</v>
      </c>
      <c r="K653" s="2">
        <v>1</v>
      </c>
      <c r="L653" s="3" t="s">
        <v>80</v>
      </c>
      <c r="O653" s="4">
        <v>3</v>
      </c>
      <c r="P653" s="4" t="s">
        <v>112</v>
      </c>
      <c r="Q653" s="4"/>
      <c r="R653" s="5"/>
      <c r="S653" s="6"/>
      <c r="T653" s="17"/>
      <c r="U653" s="6"/>
      <c r="V653" s="4"/>
      <c r="W653" s="4"/>
      <c r="X653" s="4"/>
      <c r="Y653" s="7">
        <v>1</v>
      </c>
      <c r="Z653" s="8">
        <v>8503959</v>
      </c>
      <c r="AA653" s="7" t="s">
        <v>92</v>
      </c>
      <c r="AB653" s="7"/>
      <c r="AC653" s="9">
        <v>1</v>
      </c>
      <c r="AD653" s="10">
        <v>8503959</v>
      </c>
      <c r="AE653" s="9" t="s">
        <v>92</v>
      </c>
      <c r="AF653" s="9"/>
      <c r="AG653" s="11">
        <v>3</v>
      </c>
      <c r="AH653" s="11" t="s">
        <v>93</v>
      </c>
      <c r="AI653" s="11"/>
      <c r="AJ653" s="11"/>
      <c r="AK653" s="11"/>
      <c r="AL653" s="12">
        <v>3</v>
      </c>
      <c r="AM653" s="12" t="s">
        <v>93</v>
      </c>
      <c r="AN653" s="12" t="s">
        <v>2909</v>
      </c>
      <c r="AO653" s="12"/>
      <c r="AP653" s="12"/>
      <c r="AQ653" s="4">
        <v>3</v>
      </c>
      <c r="AR653" s="4" t="s">
        <v>83</v>
      </c>
      <c r="AS653" s="4"/>
      <c r="AT653" s="13"/>
      <c r="AU653" s="13"/>
      <c r="AV653" s="13"/>
      <c r="AW653" s="13"/>
      <c r="AX653" s="4"/>
      <c r="AY653" s="13"/>
      <c r="AZ653" s="13"/>
      <c r="BA653" s="13"/>
      <c r="BB653" s="13"/>
      <c r="BC653" s="4"/>
      <c r="BD653" s="4"/>
      <c r="BE653" s="4"/>
      <c r="BF653" s="13"/>
      <c r="BG653" s="4"/>
      <c r="BH653" s="13"/>
      <c r="BI653" s="13"/>
      <c r="BJ653" s="4"/>
      <c r="BK653" s="14">
        <v>10</v>
      </c>
      <c r="BL653" s="14">
        <v>10</v>
      </c>
      <c r="BM653" s="14">
        <v>10</v>
      </c>
      <c r="BP653" s="15"/>
      <c r="BQ653" s="15"/>
      <c r="BR653" s="2" t="s">
        <v>97</v>
      </c>
      <c r="BS653" s="2" t="s">
        <v>97</v>
      </c>
      <c r="BT653" s="7" t="s">
        <v>98</v>
      </c>
      <c r="BU653" s="7"/>
      <c r="BV653" s="9" t="s">
        <v>98</v>
      </c>
      <c r="BW653" s="9"/>
    </row>
    <row r="654" spans="1:75" ht="14.25" customHeight="1" x14ac:dyDescent="0.25">
      <c r="A654" s="1">
        <v>257</v>
      </c>
      <c r="B654" s="1" t="s">
        <v>2910</v>
      </c>
      <c r="C654" s="1" t="s">
        <v>2911</v>
      </c>
      <c r="D654" s="1" t="s">
        <v>77</v>
      </c>
      <c r="E654" s="1" t="s">
        <v>2907</v>
      </c>
      <c r="F654" s="1" t="s">
        <v>2908</v>
      </c>
      <c r="G654" s="1"/>
      <c r="H654" s="2">
        <v>0</v>
      </c>
      <c r="I654" s="2">
        <v>0</v>
      </c>
      <c r="J654" s="2">
        <v>0</v>
      </c>
      <c r="K654" s="2">
        <v>1</v>
      </c>
      <c r="L654" s="3" t="s">
        <v>127</v>
      </c>
      <c r="O654" s="4">
        <v>3</v>
      </c>
      <c r="P654" s="4" t="s">
        <v>81</v>
      </c>
      <c r="Q654" s="4"/>
      <c r="R654" s="5"/>
      <c r="S654" s="6"/>
      <c r="T654" s="17"/>
      <c r="U654" s="6"/>
      <c r="V654" s="4"/>
      <c r="W654" s="4"/>
      <c r="X654" s="4"/>
      <c r="Y654" s="7">
        <v>1</v>
      </c>
      <c r="Z654" s="8">
        <v>13729415</v>
      </c>
      <c r="AA654" s="7" t="s">
        <v>82</v>
      </c>
      <c r="AB654" s="7"/>
      <c r="AC654" s="9">
        <v>1</v>
      </c>
      <c r="AD654" s="10">
        <v>13729415</v>
      </c>
      <c r="AE654" s="9" t="s">
        <v>82</v>
      </c>
      <c r="AF654" s="9"/>
      <c r="AG654" s="11">
        <v>3</v>
      </c>
      <c r="AH654" s="11" t="s">
        <v>83</v>
      </c>
      <c r="AI654" s="11" t="s">
        <v>2886</v>
      </c>
      <c r="AJ654" s="11"/>
      <c r="AK654" s="11"/>
      <c r="AL654" s="12">
        <v>3</v>
      </c>
      <c r="AM654" s="12" t="s">
        <v>83</v>
      </c>
      <c r="AN654" s="12"/>
      <c r="AO654" s="12"/>
      <c r="AP654" s="12"/>
      <c r="AQ654" s="4">
        <v>3</v>
      </c>
      <c r="AR654" s="4" t="s">
        <v>83</v>
      </c>
      <c r="AS654" s="4"/>
      <c r="AT654" s="13"/>
      <c r="AU654" s="13"/>
      <c r="AV654" s="13"/>
      <c r="AW654" s="13"/>
      <c r="AX654" s="4"/>
      <c r="AY654" s="13"/>
      <c r="AZ654" s="13"/>
      <c r="BA654" s="13"/>
      <c r="BB654" s="13"/>
      <c r="BC654" s="4"/>
      <c r="BD654" s="4"/>
      <c r="BE654" s="4"/>
      <c r="BF654" s="13"/>
      <c r="BG654" s="4"/>
      <c r="BH654" s="13"/>
      <c r="BI654" s="13"/>
      <c r="BJ654" s="4"/>
      <c r="BK654" s="14">
        <v>10</v>
      </c>
      <c r="BL654" s="14">
        <v>10</v>
      </c>
      <c r="BM654" s="14">
        <v>10</v>
      </c>
      <c r="BP654" s="15"/>
      <c r="BQ654" s="15"/>
      <c r="BR654" s="2" t="s">
        <v>97</v>
      </c>
      <c r="BS654" s="2" t="s">
        <v>97</v>
      </c>
      <c r="BT654" s="7" t="s">
        <v>98</v>
      </c>
      <c r="BU654" s="7"/>
      <c r="BV654" s="9" t="s">
        <v>98</v>
      </c>
      <c r="BW654" s="9"/>
    </row>
    <row r="655" spans="1:75" ht="14.25" customHeight="1" x14ac:dyDescent="0.25">
      <c r="A655" s="1">
        <v>258</v>
      </c>
      <c r="B655" s="1" t="s">
        <v>2912</v>
      </c>
      <c r="C655" s="1" t="s">
        <v>2913</v>
      </c>
      <c r="D655" s="1" t="s">
        <v>77</v>
      </c>
      <c r="E655" s="1" t="s">
        <v>2907</v>
      </c>
      <c r="F655" s="1" t="s">
        <v>2908</v>
      </c>
      <c r="G655" s="1"/>
      <c r="H655" s="2">
        <v>0</v>
      </c>
      <c r="I655" s="2">
        <v>0</v>
      </c>
      <c r="J655" s="2">
        <v>1</v>
      </c>
      <c r="K655" s="2">
        <v>1</v>
      </c>
      <c r="L655" s="3" t="s">
        <v>80</v>
      </c>
      <c r="O655" s="4">
        <v>4</v>
      </c>
      <c r="P655" s="4" t="s">
        <v>112</v>
      </c>
      <c r="Q655" s="4"/>
      <c r="R655" s="5"/>
      <c r="S655" s="6"/>
      <c r="T655" s="17"/>
      <c r="U655" s="6"/>
      <c r="V655" s="4"/>
      <c r="W655" s="4"/>
      <c r="X655" s="4"/>
      <c r="Y655" s="7">
        <v>3</v>
      </c>
      <c r="Z655" s="8">
        <v>781439</v>
      </c>
      <c r="AA655" s="7" t="s">
        <v>92</v>
      </c>
      <c r="AB655" s="7"/>
      <c r="AC655" s="9">
        <v>3</v>
      </c>
      <c r="AD655" s="10">
        <v>781439</v>
      </c>
      <c r="AE655" s="9" t="s">
        <v>92</v>
      </c>
      <c r="AF655" s="9"/>
      <c r="AG655" s="11">
        <v>3</v>
      </c>
      <c r="AH655" s="11" t="s">
        <v>93</v>
      </c>
      <c r="AI655" s="11"/>
      <c r="AJ655" s="11"/>
      <c r="AK655" s="11"/>
      <c r="AL655" s="12">
        <v>3</v>
      </c>
      <c r="AM655" s="12" t="s">
        <v>93</v>
      </c>
      <c r="AN655" s="12" t="s">
        <v>2914</v>
      </c>
      <c r="AO655" s="12"/>
      <c r="AP655" s="12"/>
      <c r="AQ655" s="4">
        <v>4</v>
      </c>
      <c r="AR655" s="4" t="s">
        <v>83</v>
      </c>
      <c r="AS655" s="4"/>
      <c r="AT655" s="13"/>
      <c r="AU655" s="13"/>
      <c r="AV655" s="13"/>
      <c r="AW655" s="13"/>
      <c r="AX655" s="4"/>
      <c r="AY655" s="13"/>
      <c r="AZ655" s="13"/>
      <c r="BA655" s="13"/>
      <c r="BB655" s="13"/>
      <c r="BC655" s="4"/>
      <c r="BD655" s="4"/>
      <c r="BE655" s="4"/>
      <c r="BF655" s="13"/>
      <c r="BG655" s="4"/>
      <c r="BH655" s="13"/>
      <c r="BI655" s="13"/>
      <c r="BJ655" s="4"/>
      <c r="BK655" s="14">
        <v>14</v>
      </c>
      <c r="BL655" s="14">
        <v>14</v>
      </c>
      <c r="BM655" s="14">
        <v>14</v>
      </c>
      <c r="BN655" s="3" t="s">
        <v>86</v>
      </c>
      <c r="BP655" s="15"/>
      <c r="BQ655" s="15"/>
      <c r="BR655" s="2" t="s">
        <v>97</v>
      </c>
      <c r="BS655" s="2" t="s">
        <v>97</v>
      </c>
      <c r="BT655" s="7" t="s">
        <v>98</v>
      </c>
      <c r="BU655" s="7" t="s">
        <v>623</v>
      </c>
      <c r="BV655" s="9" t="s">
        <v>98</v>
      </c>
      <c r="BW655" s="9" t="s">
        <v>623</v>
      </c>
    </row>
    <row r="656" spans="1:75" ht="14.25" customHeight="1" x14ac:dyDescent="0.25">
      <c r="A656" s="1">
        <v>264</v>
      </c>
      <c r="B656" s="1" t="s">
        <v>2915</v>
      </c>
      <c r="C656" s="1" t="s">
        <v>2916</v>
      </c>
      <c r="D656" s="1" t="s">
        <v>77</v>
      </c>
      <c r="E656" s="1" t="s">
        <v>827</v>
      </c>
      <c r="F656" s="1" t="s">
        <v>828</v>
      </c>
      <c r="G656" s="1"/>
      <c r="H656" s="2">
        <v>0</v>
      </c>
      <c r="I656" s="2">
        <v>0</v>
      </c>
      <c r="J656" s="2">
        <v>1</v>
      </c>
      <c r="K656" s="2">
        <v>1</v>
      </c>
      <c r="L656" s="3" t="s">
        <v>80</v>
      </c>
      <c r="O656" s="4">
        <v>2</v>
      </c>
      <c r="P656" s="4" t="s">
        <v>81</v>
      </c>
      <c r="Q656" s="4" t="s">
        <v>91</v>
      </c>
      <c r="R656" s="5"/>
      <c r="S656" s="6"/>
      <c r="T656" s="17"/>
      <c r="U656" s="6"/>
      <c r="V656" s="4"/>
      <c r="W656" s="4"/>
      <c r="X656" s="4"/>
      <c r="Y656" s="7">
        <v>1</v>
      </c>
      <c r="Z656" s="8">
        <v>8335354</v>
      </c>
      <c r="AA656" s="7" t="s">
        <v>92</v>
      </c>
      <c r="AB656" s="7"/>
      <c r="AC656" s="9">
        <v>1</v>
      </c>
      <c r="AD656" s="10">
        <v>8335354</v>
      </c>
      <c r="AE656" s="9" t="s">
        <v>92</v>
      </c>
      <c r="AF656" s="9"/>
      <c r="AG656" s="11">
        <v>3</v>
      </c>
      <c r="AH656" s="11" t="s">
        <v>93</v>
      </c>
      <c r="AI656" s="11"/>
      <c r="AJ656" s="11"/>
      <c r="AK656" s="11"/>
      <c r="AL656" s="12">
        <v>3</v>
      </c>
      <c r="AM656" s="12" t="s">
        <v>93</v>
      </c>
      <c r="AN656" s="12" t="s">
        <v>839</v>
      </c>
      <c r="AO656" s="12"/>
      <c r="AP656" s="12"/>
      <c r="AQ656" s="4">
        <v>3</v>
      </c>
      <c r="AR656" s="4" t="s">
        <v>83</v>
      </c>
      <c r="AS656" s="4"/>
      <c r="AT656" s="13"/>
      <c r="AU656" s="13"/>
      <c r="AV656" s="13"/>
      <c r="AW656" s="13"/>
      <c r="AX656" s="4"/>
      <c r="AY656" s="13"/>
      <c r="AZ656" s="13"/>
      <c r="BA656" s="13"/>
      <c r="BB656" s="13"/>
      <c r="BC656" s="4"/>
      <c r="BD656" s="4"/>
      <c r="BE656" s="4"/>
      <c r="BF656" s="13"/>
      <c r="BG656" s="4"/>
      <c r="BH656" s="13"/>
      <c r="BI656" s="13"/>
      <c r="BJ656" s="4"/>
      <c r="BK656" s="14">
        <v>9</v>
      </c>
      <c r="BL656" s="14">
        <v>9</v>
      </c>
      <c r="BM656" s="14">
        <v>9</v>
      </c>
      <c r="BP656" s="15"/>
      <c r="BQ656" s="15"/>
      <c r="BR656" s="2" t="s">
        <v>97</v>
      </c>
      <c r="BS656" s="2" t="s">
        <v>97</v>
      </c>
      <c r="BT656" s="7" t="s">
        <v>846</v>
      </c>
      <c r="BU656" s="7" t="s">
        <v>851</v>
      </c>
      <c r="BV656" s="9" t="s">
        <v>846</v>
      </c>
      <c r="BW656" s="9" t="s">
        <v>2917</v>
      </c>
    </row>
    <row r="657" spans="1:75" ht="14.25" customHeight="1" x14ac:dyDescent="0.25">
      <c r="A657" s="1">
        <v>265</v>
      </c>
      <c r="B657" s="1" t="s">
        <v>2918</v>
      </c>
      <c r="C657" s="1" t="s">
        <v>2919</v>
      </c>
      <c r="D657" s="1" t="s">
        <v>77</v>
      </c>
      <c r="E657" s="1" t="s">
        <v>827</v>
      </c>
      <c r="F657" s="1" t="s">
        <v>828</v>
      </c>
      <c r="G657" s="1" t="s">
        <v>2547</v>
      </c>
      <c r="H657" s="2">
        <v>0</v>
      </c>
      <c r="I657" s="2">
        <v>0</v>
      </c>
      <c r="J657" s="2">
        <v>1</v>
      </c>
      <c r="K657" s="2">
        <v>0</v>
      </c>
      <c r="L657" s="3" t="s">
        <v>80</v>
      </c>
      <c r="O657" s="4">
        <v>4</v>
      </c>
      <c r="P657" s="4" t="s">
        <v>112</v>
      </c>
      <c r="Q657" s="4"/>
      <c r="R657" s="5"/>
      <c r="S657" s="6"/>
      <c r="T657" s="17"/>
      <c r="U657" s="6"/>
      <c r="V657" s="4"/>
      <c r="W657" s="4"/>
      <c r="X657" s="4"/>
      <c r="Y657" s="7">
        <v>4</v>
      </c>
      <c r="Z657" s="8">
        <v>232337</v>
      </c>
      <c r="AA657" s="7" t="s">
        <v>92</v>
      </c>
      <c r="AB657" s="7"/>
      <c r="AC657" s="9">
        <v>4</v>
      </c>
      <c r="AD657" s="10">
        <v>232337</v>
      </c>
      <c r="AE657" s="9" t="s">
        <v>92</v>
      </c>
      <c r="AF657" s="9"/>
      <c r="AG657" s="11">
        <v>3</v>
      </c>
      <c r="AH657" s="11" t="s">
        <v>1987</v>
      </c>
      <c r="AI657" s="11" t="s">
        <v>2920</v>
      </c>
      <c r="AJ657" s="11"/>
      <c r="AK657" s="11"/>
      <c r="AL657" s="12">
        <v>3</v>
      </c>
      <c r="AM657" s="12" t="s">
        <v>93</v>
      </c>
      <c r="AN657" s="12" t="s">
        <v>2921</v>
      </c>
      <c r="AO657" s="12"/>
      <c r="AP657" s="12"/>
      <c r="AQ657" s="4">
        <v>3</v>
      </c>
      <c r="AR657" s="4" t="s">
        <v>93</v>
      </c>
      <c r="AS657" s="4"/>
      <c r="AT657" s="13"/>
      <c r="AU657" s="13"/>
      <c r="AV657" s="13"/>
      <c r="AW657" s="13"/>
      <c r="AX657" s="4"/>
      <c r="AY657" s="13"/>
      <c r="AZ657" s="13"/>
      <c r="BA657" s="13"/>
      <c r="BB657" s="13"/>
      <c r="BC657" s="4"/>
      <c r="BD657" s="4"/>
      <c r="BE657" s="4"/>
      <c r="BF657" s="13"/>
      <c r="BG657" s="4"/>
      <c r="BH657" s="13"/>
      <c r="BI657" s="13"/>
      <c r="BJ657" s="4"/>
      <c r="BK657" s="14">
        <v>14</v>
      </c>
      <c r="BL657" s="14">
        <v>14</v>
      </c>
      <c r="BM657" s="14">
        <v>14</v>
      </c>
      <c r="BN657" s="3" t="s">
        <v>86</v>
      </c>
      <c r="BP657" s="15"/>
      <c r="BQ657" s="15"/>
      <c r="BR657" s="2" t="s">
        <v>409</v>
      </c>
      <c r="BS657" s="2" t="s">
        <v>409</v>
      </c>
      <c r="BT657" s="7" t="s">
        <v>2922</v>
      </c>
      <c r="BU657" s="7" t="s">
        <v>2923</v>
      </c>
      <c r="BV657" s="9" t="s">
        <v>2922</v>
      </c>
      <c r="BW657" s="9" t="s">
        <v>2924</v>
      </c>
    </row>
    <row r="658" spans="1:75" ht="14.25" customHeight="1" x14ac:dyDescent="0.25">
      <c r="A658" s="1">
        <v>266</v>
      </c>
      <c r="B658" s="1" t="s">
        <v>2925</v>
      </c>
      <c r="C658" s="1" t="s">
        <v>2926</v>
      </c>
      <c r="D658" s="1" t="s">
        <v>77</v>
      </c>
      <c r="E658" s="1" t="s">
        <v>827</v>
      </c>
      <c r="F658" s="1" t="s">
        <v>828</v>
      </c>
      <c r="G658" s="1"/>
      <c r="H658" s="2">
        <v>0</v>
      </c>
      <c r="I658" s="2">
        <v>0</v>
      </c>
      <c r="J658" s="2">
        <v>0</v>
      </c>
      <c r="K658" s="2">
        <v>1</v>
      </c>
      <c r="L658" s="3" t="s">
        <v>80</v>
      </c>
      <c r="O658" s="4">
        <v>1</v>
      </c>
      <c r="P658" s="4" t="s">
        <v>81</v>
      </c>
      <c r="Q658" s="4"/>
      <c r="R658" s="5"/>
      <c r="S658" s="6"/>
      <c r="T658" s="17"/>
      <c r="U658" s="6"/>
      <c r="V658" s="4"/>
      <c r="W658" s="4"/>
      <c r="X658" s="4"/>
      <c r="Y658" s="7">
        <v>1</v>
      </c>
      <c r="Z658" s="8">
        <v>6113635</v>
      </c>
      <c r="AA658" s="7" t="s">
        <v>82</v>
      </c>
      <c r="AB658" s="7"/>
      <c r="AC658" s="9">
        <v>1</v>
      </c>
      <c r="AD658" s="10">
        <v>6113635</v>
      </c>
      <c r="AE658" s="9" t="s">
        <v>82</v>
      </c>
      <c r="AF658" s="9"/>
      <c r="AG658" s="11">
        <v>3</v>
      </c>
      <c r="AH658" s="11" t="s">
        <v>83</v>
      </c>
      <c r="AI658" s="11"/>
      <c r="AJ658" s="11"/>
      <c r="AK658" s="11"/>
      <c r="AL658" s="12">
        <v>3</v>
      </c>
      <c r="AM658" s="12" t="s">
        <v>83</v>
      </c>
      <c r="AN658" s="12"/>
      <c r="AO658" s="12"/>
      <c r="AP658" s="12"/>
      <c r="AQ658" s="4">
        <v>3</v>
      </c>
      <c r="AR658" s="4" t="s">
        <v>83</v>
      </c>
      <c r="AS658" s="4"/>
      <c r="AT658" s="13"/>
      <c r="AU658" s="13"/>
      <c r="AV658" s="13"/>
      <c r="AW658" s="13"/>
      <c r="AX658" s="4"/>
      <c r="AY658" s="13"/>
      <c r="AZ658" s="13"/>
      <c r="BA658" s="13"/>
      <c r="BB658" s="13"/>
      <c r="BC658" s="4"/>
      <c r="BD658" s="4"/>
      <c r="BE658" s="4"/>
      <c r="BF658" s="13"/>
      <c r="BG658" s="4"/>
      <c r="BH658" s="13"/>
      <c r="BI658" s="13"/>
      <c r="BJ658" s="4"/>
      <c r="BK658" s="14">
        <v>8</v>
      </c>
      <c r="BL658" s="14">
        <v>8</v>
      </c>
      <c r="BM658" s="14">
        <v>8</v>
      </c>
      <c r="BP658" s="15"/>
      <c r="BQ658" s="15"/>
      <c r="BR658" s="2" t="s">
        <v>97</v>
      </c>
      <c r="BS658" s="2" t="s">
        <v>97</v>
      </c>
      <c r="BT658" s="7" t="s">
        <v>2917</v>
      </c>
      <c r="BU658" s="7"/>
      <c r="BV658" s="9" t="s">
        <v>2917</v>
      </c>
      <c r="BW658" s="9"/>
    </row>
    <row r="659" spans="1:75" ht="14.25" customHeight="1" x14ac:dyDescent="0.25">
      <c r="A659" s="1">
        <v>267</v>
      </c>
      <c r="B659" s="1" t="s">
        <v>2927</v>
      </c>
      <c r="C659" s="1" t="s">
        <v>2928</v>
      </c>
      <c r="D659" s="1" t="s">
        <v>77</v>
      </c>
      <c r="E659" s="1" t="s">
        <v>827</v>
      </c>
      <c r="F659" s="1" t="s">
        <v>828</v>
      </c>
      <c r="G659" s="1"/>
      <c r="H659" s="2">
        <v>0</v>
      </c>
      <c r="I659" s="2">
        <v>0</v>
      </c>
      <c r="J659" s="2">
        <v>0</v>
      </c>
      <c r="K659" s="2">
        <v>1</v>
      </c>
      <c r="L659" s="3" t="s">
        <v>80</v>
      </c>
      <c r="O659" s="4">
        <v>3</v>
      </c>
      <c r="P659" s="4" t="s">
        <v>81</v>
      </c>
      <c r="Q659" s="4" t="s">
        <v>2929</v>
      </c>
      <c r="R659" s="5"/>
      <c r="S659" s="6"/>
      <c r="T659" s="17"/>
      <c r="U659" s="6"/>
      <c r="V659" s="4"/>
      <c r="W659" s="4"/>
      <c r="X659" s="4"/>
      <c r="Y659" s="7">
        <v>2</v>
      </c>
      <c r="Z659" s="8">
        <v>3149755</v>
      </c>
      <c r="AA659" s="7" t="s">
        <v>82</v>
      </c>
      <c r="AB659" s="7"/>
      <c r="AC659" s="9">
        <v>2</v>
      </c>
      <c r="AD659" s="10">
        <v>3149755</v>
      </c>
      <c r="AE659" s="9" t="s">
        <v>82</v>
      </c>
      <c r="AF659" s="9"/>
      <c r="AG659" s="11">
        <v>3</v>
      </c>
      <c r="AH659" s="11" t="s">
        <v>83</v>
      </c>
      <c r="AI659" s="11"/>
      <c r="AJ659" s="11"/>
      <c r="AK659" s="11"/>
      <c r="AL659" s="12">
        <v>3</v>
      </c>
      <c r="AM659" s="12" t="s">
        <v>83</v>
      </c>
      <c r="AN659" s="12"/>
      <c r="AO659" s="12"/>
      <c r="AP659" s="12"/>
      <c r="AQ659" s="4">
        <v>3</v>
      </c>
      <c r="AR659" s="4" t="s">
        <v>83</v>
      </c>
      <c r="AS659" s="4"/>
      <c r="AT659" s="13"/>
      <c r="AU659" s="13"/>
      <c r="AV659" s="13"/>
      <c r="AW659" s="13"/>
      <c r="AX659" s="4"/>
      <c r="AY659" s="13"/>
      <c r="AZ659" s="13"/>
      <c r="BA659" s="13"/>
      <c r="BB659" s="13"/>
      <c r="BC659" s="4"/>
      <c r="BD659" s="4"/>
      <c r="BE659" s="4"/>
      <c r="BF659" s="13"/>
      <c r="BG659" s="4"/>
      <c r="BH659" s="13"/>
      <c r="BI659" s="13"/>
      <c r="BJ659" s="4"/>
      <c r="BK659" s="14">
        <v>11</v>
      </c>
      <c r="BL659" s="14">
        <v>11</v>
      </c>
      <c r="BM659" s="14">
        <v>11</v>
      </c>
      <c r="BP659" s="15"/>
      <c r="BQ659" s="15"/>
      <c r="BR659" s="2" t="s">
        <v>97</v>
      </c>
      <c r="BS659" s="2" t="s">
        <v>97</v>
      </c>
      <c r="BT659" s="7" t="s">
        <v>2917</v>
      </c>
      <c r="BU659" s="7"/>
      <c r="BV659" s="9" t="s">
        <v>2917</v>
      </c>
      <c r="BW659" s="9"/>
    </row>
    <row r="660" spans="1:75" ht="14.25" customHeight="1" x14ac:dyDescent="0.25">
      <c r="A660" s="1">
        <v>268</v>
      </c>
      <c r="B660" s="1" t="s">
        <v>2930</v>
      </c>
      <c r="C660" s="1" t="s">
        <v>2931</v>
      </c>
      <c r="D660" s="1" t="s">
        <v>77</v>
      </c>
      <c r="E660" s="1" t="s">
        <v>827</v>
      </c>
      <c r="F660" s="1" t="s">
        <v>828</v>
      </c>
      <c r="G660" s="1" t="s">
        <v>118</v>
      </c>
      <c r="H660" s="2">
        <v>0</v>
      </c>
      <c r="I660" s="2">
        <v>0</v>
      </c>
      <c r="J660" s="2">
        <v>0</v>
      </c>
      <c r="K660" s="2">
        <v>1</v>
      </c>
      <c r="L660" s="3" t="s">
        <v>80</v>
      </c>
      <c r="O660" s="4">
        <v>5</v>
      </c>
      <c r="P660" s="4" t="s">
        <v>81</v>
      </c>
      <c r="Q660" s="4"/>
      <c r="R660" s="5"/>
      <c r="S660" s="6"/>
      <c r="T660" s="17"/>
      <c r="U660" s="6"/>
      <c r="V660" s="4"/>
      <c r="W660" s="4"/>
      <c r="X660" s="4"/>
      <c r="Y660" s="7">
        <v>5</v>
      </c>
      <c r="Z660" s="8">
        <v>13110</v>
      </c>
      <c r="AA660" s="7" t="s">
        <v>82</v>
      </c>
      <c r="AB660" s="7"/>
      <c r="AC660" s="9">
        <v>5</v>
      </c>
      <c r="AD660" s="10">
        <v>13110</v>
      </c>
      <c r="AE660" s="9" t="s">
        <v>82</v>
      </c>
      <c r="AF660" s="9"/>
      <c r="AG660" s="11">
        <v>3</v>
      </c>
      <c r="AH660" s="11" t="s">
        <v>83</v>
      </c>
      <c r="AI660" s="11"/>
      <c r="AJ660" s="11"/>
      <c r="AK660" s="11"/>
      <c r="AL660" s="12">
        <v>3</v>
      </c>
      <c r="AM660" s="12" t="s">
        <v>83</v>
      </c>
      <c r="AN660" s="12"/>
      <c r="AO660" s="12"/>
      <c r="AP660" s="12"/>
      <c r="AQ660" s="4">
        <v>3</v>
      </c>
      <c r="AR660" s="4" t="s">
        <v>83</v>
      </c>
      <c r="AS660" s="4"/>
      <c r="AT660" s="13"/>
      <c r="AU660" s="13"/>
      <c r="AV660" s="13"/>
      <c r="AW660" s="13"/>
      <c r="AX660" s="4"/>
      <c r="AY660" s="13"/>
      <c r="AZ660" s="13"/>
      <c r="BA660" s="13"/>
      <c r="BB660" s="13"/>
      <c r="BC660" s="4"/>
      <c r="BD660" s="4"/>
      <c r="BE660" s="4"/>
      <c r="BF660" s="13"/>
      <c r="BG660" s="4"/>
      <c r="BH660" s="13"/>
      <c r="BI660" s="13"/>
      <c r="BJ660" s="4"/>
      <c r="BK660" s="14">
        <v>16</v>
      </c>
      <c r="BL660" s="14">
        <v>16</v>
      </c>
      <c r="BM660" s="14">
        <v>16</v>
      </c>
      <c r="BN660" s="3" t="s">
        <v>86</v>
      </c>
      <c r="BP660" s="15"/>
      <c r="BQ660" s="15"/>
      <c r="BR660" s="2" t="s">
        <v>108</v>
      </c>
      <c r="BS660" s="2" t="s">
        <v>108</v>
      </c>
      <c r="BT660" s="7" t="s">
        <v>2917</v>
      </c>
      <c r="BU660" s="7"/>
      <c r="BV660" s="9" t="s">
        <v>2917</v>
      </c>
      <c r="BW660" s="9"/>
    </row>
    <row r="661" spans="1:75" ht="14.25" customHeight="1" x14ac:dyDescent="0.25">
      <c r="A661" s="1">
        <v>270</v>
      </c>
      <c r="B661" s="1" t="s">
        <v>2932</v>
      </c>
      <c r="C661" s="1" t="s">
        <v>2933</v>
      </c>
      <c r="D661" s="1" t="s">
        <v>77</v>
      </c>
      <c r="E661" s="1" t="s">
        <v>827</v>
      </c>
      <c r="F661" s="1" t="s">
        <v>828</v>
      </c>
      <c r="G661" s="1" t="s">
        <v>118</v>
      </c>
      <c r="H661" s="2">
        <v>1</v>
      </c>
      <c r="I661" s="2">
        <v>1</v>
      </c>
      <c r="J661" s="2">
        <v>1</v>
      </c>
      <c r="K661" s="2">
        <v>1</v>
      </c>
      <c r="L661" s="3" t="s">
        <v>127</v>
      </c>
      <c r="O661" s="4">
        <v>2</v>
      </c>
      <c r="P661" s="4" t="s">
        <v>424</v>
      </c>
      <c r="Q661" s="4"/>
      <c r="R661" s="16">
        <v>8800000</v>
      </c>
      <c r="S661" s="6">
        <v>8800000</v>
      </c>
      <c r="T661" s="16">
        <v>8800000</v>
      </c>
      <c r="U661" s="6">
        <v>8800000</v>
      </c>
      <c r="V661" s="4">
        <v>2010.5</v>
      </c>
      <c r="W661" s="4" t="s">
        <v>425</v>
      </c>
      <c r="X661" s="4"/>
      <c r="Y661" s="7">
        <v>1</v>
      </c>
      <c r="Z661" s="8">
        <v>5185119</v>
      </c>
      <c r="AA661" s="7" t="s">
        <v>92</v>
      </c>
      <c r="AB661" s="7"/>
      <c r="AC661" s="9">
        <v>3</v>
      </c>
      <c r="AD661" s="10">
        <v>513613</v>
      </c>
      <c r="AE661" s="9" t="s">
        <v>2934</v>
      </c>
      <c r="AF661" s="9" t="s">
        <v>2935</v>
      </c>
      <c r="AG661" s="11">
        <v>4</v>
      </c>
      <c r="AH661" s="11" t="s">
        <v>454</v>
      </c>
      <c r="AI661" s="11" t="s">
        <v>2936</v>
      </c>
      <c r="AJ661" s="11">
        <v>2</v>
      </c>
      <c r="AK661" s="11" t="s">
        <v>143</v>
      </c>
      <c r="AL661" s="12">
        <v>3</v>
      </c>
      <c r="AM661" s="12" t="s">
        <v>271</v>
      </c>
      <c r="AN661" s="12" t="s">
        <v>2937</v>
      </c>
      <c r="AO661" s="12"/>
      <c r="AP661" s="12"/>
      <c r="AQ661" s="4">
        <v>5</v>
      </c>
      <c r="AR661" s="4" t="s">
        <v>133</v>
      </c>
      <c r="AS661" s="4"/>
      <c r="AT661" s="13">
        <v>-72.210884094238295</v>
      </c>
      <c r="AU661" s="13">
        <v>-2.4788646697997998</v>
      </c>
      <c r="AV661" s="13">
        <v>-2.73060202598572</v>
      </c>
      <c r="AW661" s="13">
        <v>-2.1800000667571999</v>
      </c>
      <c r="AX661" s="4">
        <v>1</v>
      </c>
      <c r="AY661" s="13">
        <v>-23.4967231750488</v>
      </c>
      <c r="AZ661" s="13">
        <v>-2.6461994647979701</v>
      </c>
      <c r="BA661" s="13">
        <v>-3.0799999237060498</v>
      </c>
      <c r="BB661" s="13">
        <v>-2.1700000762939502</v>
      </c>
      <c r="BC661" s="4">
        <v>1</v>
      </c>
      <c r="BD661" s="4">
        <v>10</v>
      </c>
      <c r="BE661" s="4" t="s">
        <v>134</v>
      </c>
      <c r="BF661" s="13">
        <v>0.55060201883315996</v>
      </c>
      <c r="BG661" s="4">
        <v>2634.5</v>
      </c>
      <c r="BH661" s="13">
        <v>6.5450000762939498</v>
      </c>
      <c r="BI661" s="13">
        <v>17234.64453125</v>
      </c>
      <c r="BJ661" s="4">
        <v>26</v>
      </c>
      <c r="BK661" s="14">
        <v>12</v>
      </c>
      <c r="BL661" s="14">
        <v>13</v>
      </c>
      <c r="BM661" s="14">
        <v>13</v>
      </c>
      <c r="BN661" s="3" t="s">
        <v>375</v>
      </c>
      <c r="BO661" s="3" t="s">
        <v>114</v>
      </c>
      <c r="BP661" s="15" t="s">
        <v>135</v>
      </c>
      <c r="BQ661" s="15"/>
      <c r="BR661" s="2" t="s">
        <v>239</v>
      </c>
      <c r="BS661" s="2" t="s">
        <v>740</v>
      </c>
      <c r="BT661" s="7" t="s">
        <v>2938</v>
      </c>
      <c r="BU661" s="7" t="s">
        <v>777</v>
      </c>
      <c r="BV661" s="9" t="s">
        <v>2917</v>
      </c>
      <c r="BW661" s="9"/>
    </row>
    <row r="662" spans="1:75" ht="14.25" customHeight="1" x14ac:dyDescent="0.25">
      <c r="A662" s="1">
        <v>271</v>
      </c>
      <c r="B662" s="1" t="s">
        <v>2939</v>
      </c>
      <c r="C662" s="1" t="s">
        <v>2940</v>
      </c>
      <c r="D662" s="1" t="s">
        <v>77</v>
      </c>
      <c r="E662" s="1" t="s">
        <v>827</v>
      </c>
      <c r="F662" s="1" t="s">
        <v>828</v>
      </c>
      <c r="G662" s="1"/>
      <c r="H662" s="2">
        <v>1</v>
      </c>
      <c r="I662" s="2">
        <v>1</v>
      </c>
      <c r="J662" s="2">
        <v>1</v>
      </c>
      <c r="K662" s="2">
        <v>1</v>
      </c>
      <c r="L662" s="3" t="s">
        <v>127</v>
      </c>
      <c r="O662" s="4">
        <v>3</v>
      </c>
      <c r="P662" s="4" t="s">
        <v>470</v>
      </c>
      <c r="Q662" s="4"/>
      <c r="R662" s="16">
        <v>870000</v>
      </c>
      <c r="S662" s="6">
        <v>870000</v>
      </c>
      <c r="T662" s="16">
        <v>420000</v>
      </c>
      <c r="U662" s="6">
        <v>420000</v>
      </c>
      <c r="V662" s="4">
        <v>2010.5</v>
      </c>
      <c r="W662" s="4" t="s">
        <v>425</v>
      </c>
      <c r="X662" s="4"/>
      <c r="Y662" s="7">
        <v>2</v>
      </c>
      <c r="Z662" s="8">
        <v>2217902</v>
      </c>
      <c r="AA662" s="7" t="s">
        <v>92</v>
      </c>
      <c r="AB662" s="7"/>
      <c r="AC662" s="9">
        <v>3</v>
      </c>
      <c r="AD662" s="10">
        <v>993326</v>
      </c>
      <c r="AE662" s="9" t="s">
        <v>92</v>
      </c>
      <c r="AF662" s="9"/>
      <c r="AG662" s="11">
        <v>4</v>
      </c>
      <c r="AH662" s="11" t="s">
        <v>131</v>
      </c>
      <c r="AI662" s="11" t="s">
        <v>2941</v>
      </c>
      <c r="AJ662" s="11">
        <v>4</v>
      </c>
      <c r="AK662" s="11" t="s">
        <v>143</v>
      </c>
      <c r="AL662" s="12">
        <v>4</v>
      </c>
      <c r="AM662" s="12" t="s">
        <v>131</v>
      </c>
      <c r="AN662" s="12" t="s">
        <v>2942</v>
      </c>
      <c r="AO662" s="12">
        <v>5</v>
      </c>
      <c r="AP662" s="12" t="s">
        <v>132</v>
      </c>
      <c r="AQ662" s="4">
        <v>4</v>
      </c>
      <c r="AR662" s="4" t="s">
        <v>133</v>
      </c>
      <c r="AS662" s="4"/>
      <c r="AT662" s="13">
        <v>-37.064586639404297</v>
      </c>
      <c r="AU662" s="13">
        <v>-0.90093463659286499</v>
      </c>
      <c r="AV662" s="13">
        <v>-1.83000004291534</v>
      </c>
      <c r="AW662" s="13">
        <v>-0.26499998569488498</v>
      </c>
      <c r="AX662" s="4">
        <v>1</v>
      </c>
      <c r="AY662" s="13">
        <v>-14.6601457595825</v>
      </c>
      <c r="AZ662" s="13">
        <v>-1.5742775201797501</v>
      </c>
      <c r="BA662" s="13">
        <v>-5.2699999809265101</v>
      </c>
      <c r="BB662" s="13">
        <v>1.30239701271057</v>
      </c>
      <c r="BC662" s="4"/>
      <c r="BD662" s="4">
        <v>10</v>
      </c>
      <c r="BE662" s="4" t="s">
        <v>134</v>
      </c>
      <c r="BF662" s="13">
        <v>1.5650000572204601</v>
      </c>
      <c r="BG662" s="4">
        <v>295</v>
      </c>
      <c r="BH662" s="13">
        <v>0.54350000619888295</v>
      </c>
      <c r="BI662" s="13">
        <v>160.225997924805</v>
      </c>
      <c r="BJ662" s="4"/>
      <c r="BK662" s="14">
        <v>13</v>
      </c>
      <c r="BL662" s="14">
        <v>14</v>
      </c>
      <c r="BM662" s="14">
        <v>14</v>
      </c>
      <c r="BN662" s="3" t="s">
        <v>86</v>
      </c>
      <c r="BP662" s="15"/>
      <c r="BQ662" s="15"/>
      <c r="BR662" s="2" t="s">
        <v>162</v>
      </c>
      <c r="BS662" s="2" t="s">
        <v>400</v>
      </c>
      <c r="BT662" s="7" t="s">
        <v>834</v>
      </c>
      <c r="BU662" s="7" t="s">
        <v>835</v>
      </c>
      <c r="BV662" s="9" t="s">
        <v>836</v>
      </c>
      <c r="BW662" s="9"/>
    </row>
    <row r="663" spans="1:75" ht="14.25" customHeight="1" x14ac:dyDescent="0.25">
      <c r="A663" s="1">
        <v>272</v>
      </c>
      <c r="B663" s="1" t="s">
        <v>2943</v>
      </c>
      <c r="C663" s="1" t="s">
        <v>2944</v>
      </c>
      <c r="D663" s="1" t="s">
        <v>77</v>
      </c>
      <c r="E663" s="1" t="s">
        <v>827</v>
      </c>
      <c r="F663" s="1" t="s">
        <v>828</v>
      </c>
      <c r="G663" s="1"/>
      <c r="H663" s="2">
        <v>0</v>
      </c>
      <c r="I663" s="2">
        <v>0</v>
      </c>
      <c r="J663" s="2">
        <v>0</v>
      </c>
      <c r="K663" s="2">
        <v>1</v>
      </c>
      <c r="L663" s="3" t="s">
        <v>80</v>
      </c>
      <c r="O663" s="4">
        <v>4</v>
      </c>
      <c r="P663" s="4" t="s">
        <v>81</v>
      </c>
      <c r="Q663" s="4" t="s">
        <v>2945</v>
      </c>
      <c r="R663" s="5"/>
      <c r="S663" s="6"/>
      <c r="T663" s="17"/>
      <c r="U663" s="6"/>
      <c r="V663" s="4"/>
      <c r="W663" s="4"/>
      <c r="X663" s="4"/>
      <c r="Y663" s="7">
        <v>2</v>
      </c>
      <c r="Z663" s="8">
        <v>2312099.4500000002</v>
      </c>
      <c r="AA663" s="7" t="s">
        <v>82</v>
      </c>
      <c r="AB663" s="7"/>
      <c r="AC663" s="9">
        <v>2</v>
      </c>
      <c r="AD663" s="10">
        <v>2720117</v>
      </c>
      <c r="AE663" s="9" t="s">
        <v>82</v>
      </c>
      <c r="AF663" s="9"/>
      <c r="AG663" s="11">
        <v>3</v>
      </c>
      <c r="AH663" s="11" t="s">
        <v>83</v>
      </c>
      <c r="AI663" s="11"/>
      <c r="AJ663" s="11"/>
      <c r="AK663" s="11"/>
      <c r="AL663" s="12">
        <v>3</v>
      </c>
      <c r="AM663" s="12" t="s">
        <v>83</v>
      </c>
      <c r="AN663" s="12"/>
      <c r="AO663" s="12"/>
      <c r="AP663" s="12"/>
      <c r="AQ663" s="4">
        <v>3</v>
      </c>
      <c r="AR663" s="4" t="s">
        <v>83</v>
      </c>
      <c r="AS663" s="4" t="s">
        <v>845</v>
      </c>
      <c r="AT663" s="13"/>
      <c r="AU663" s="13"/>
      <c r="AV663" s="13"/>
      <c r="AW663" s="13"/>
      <c r="AX663" s="4"/>
      <c r="AY663" s="13"/>
      <c r="AZ663" s="13"/>
      <c r="BA663" s="13"/>
      <c r="BB663" s="13"/>
      <c r="BC663" s="4"/>
      <c r="BD663" s="4"/>
      <c r="BE663" s="4"/>
      <c r="BF663" s="13"/>
      <c r="BG663" s="4"/>
      <c r="BH663" s="13"/>
      <c r="BI663" s="13"/>
      <c r="BJ663" s="4"/>
      <c r="BK663" s="14">
        <v>12</v>
      </c>
      <c r="BL663" s="14">
        <v>12</v>
      </c>
      <c r="BM663" s="14">
        <v>12</v>
      </c>
      <c r="BP663" s="15"/>
      <c r="BQ663" s="15"/>
      <c r="BR663" s="2" t="s">
        <v>740</v>
      </c>
      <c r="BS663" s="2" t="s">
        <v>740</v>
      </c>
      <c r="BT663" s="7" t="s">
        <v>2917</v>
      </c>
      <c r="BU663" s="7"/>
      <c r="BV663" s="9" t="s">
        <v>2917</v>
      </c>
      <c r="BW663" s="9"/>
    </row>
    <row r="664" spans="1:75" ht="14.25" customHeight="1" x14ac:dyDescent="0.25">
      <c r="A664" s="1">
        <v>274</v>
      </c>
      <c r="B664" s="1" t="s">
        <v>2946</v>
      </c>
      <c r="C664" s="1" t="s">
        <v>2947</v>
      </c>
      <c r="D664" s="1" t="s">
        <v>77</v>
      </c>
      <c r="E664" s="1" t="s">
        <v>827</v>
      </c>
      <c r="F664" s="1" t="s">
        <v>828</v>
      </c>
      <c r="G664" s="1"/>
      <c r="H664" s="2">
        <v>0</v>
      </c>
      <c r="I664" s="2">
        <v>0</v>
      </c>
      <c r="J664" s="2">
        <v>0</v>
      </c>
      <c r="K664" s="2">
        <v>1</v>
      </c>
      <c r="L664" s="3" t="s">
        <v>80</v>
      </c>
      <c r="O664" s="4">
        <v>2</v>
      </c>
      <c r="P664" s="4" t="s">
        <v>81</v>
      </c>
      <c r="Q664" s="4"/>
      <c r="R664" s="5"/>
      <c r="S664" s="6"/>
      <c r="T664" s="17"/>
      <c r="U664" s="6"/>
      <c r="V664" s="4"/>
      <c r="W664" s="4"/>
      <c r="X664" s="4"/>
      <c r="Y664" s="7">
        <v>1</v>
      </c>
      <c r="Z664" s="8">
        <v>7490972</v>
      </c>
      <c r="AA664" s="7" t="s">
        <v>82</v>
      </c>
      <c r="AB664" s="7"/>
      <c r="AC664" s="9">
        <v>1</v>
      </c>
      <c r="AD664" s="10">
        <v>7490972</v>
      </c>
      <c r="AE664" s="9" t="s">
        <v>82</v>
      </c>
      <c r="AF664" s="9"/>
      <c r="AG664" s="11">
        <v>3</v>
      </c>
      <c r="AH664" s="11" t="s">
        <v>83</v>
      </c>
      <c r="AI664" s="11" t="s">
        <v>2948</v>
      </c>
      <c r="AJ664" s="11"/>
      <c r="AK664" s="11"/>
      <c r="AL664" s="12">
        <v>3</v>
      </c>
      <c r="AM664" s="12" t="s">
        <v>83</v>
      </c>
      <c r="AN664" s="12"/>
      <c r="AO664" s="12"/>
      <c r="AP664" s="12"/>
      <c r="AQ664" s="4">
        <v>2</v>
      </c>
      <c r="AR664" s="4" t="s">
        <v>83</v>
      </c>
      <c r="AS664" s="4"/>
      <c r="AT664" s="13"/>
      <c r="AU664" s="13"/>
      <c r="AV664" s="13"/>
      <c r="AW664" s="13"/>
      <c r="AX664" s="4"/>
      <c r="AY664" s="13"/>
      <c r="AZ664" s="13"/>
      <c r="BA664" s="13"/>
      <c r="BB664" s="13"/>
      <c r="BC664" s="4"/>
      <c r="BD664" s="4"/>
      <c r="BE664" s="4"/>
      <c r="BF664" s="13"/>
      <c r="BG664" s="4"/>
      <c r="BH664" s="13"/>
      <c r="BI664" s="13"/>
      <c r="BJ664" s="4"/>
      <c r="BK664" s="14">
        <v>8</v>
      </c>
      <c r="BL664" s="14">
        <v>8</v>
      </c>
      <c r="BM664" s="14">
        <v>8</v>
      </c>
      <c r="BP664" s="15"/>
      <c r="BQ664" s="15"/>
      <c r="BR664" s="2" t="s">
        <v>740</v>
      </c>
      <c r="BS664" s="2" t="s">
        <v>740</v>
      </c>
      <c r="BT664" s="7" t="s">
        <v>2917</v>
      </c>
      <c r="BU664" s="7"/>
      <c r="BV664" s="9" t="s">
        <v>2917</v>
      </c>
      <c r="BW664" s="9"/>
    </row>
    <row r="665" spans="1:75" ht="14.25" customHeight="1" x14ac:dyDescent="0.25">
      <c r="A665" s="1">
        <v>280</v>
      </c>
      <c r="B665" s="1" t="s">
        <v>2949</v>
      </c>
      <c r="C665" s="1" t="s">
        <v>2950</v>
      </c>
      <c r="D665" s="1" t="s">
        <v>77</v>
      </c>
      <c r="E665" s="1" t="s">
        <v>827</v>
      </c>
      <c r="F665" s="1" t="s">
        <v>828</v>
      </c>
      <c r="G665" s="1"/>
      <c r="H665" s="2">
        <v>1</v>
      </c>
      <c r="I665" s="2">
        <v>1</v>
      </c>
      <c r="J665" s="2">
        <v>1</v>
      </c>
      <c r="K665" s="2">
        <v>1</v>
      </c>
      <c r="L665" s="3" t="s">
        <v>127</v>
      </c>
      <c r="O665" s="4">
        <v>3</v>
      </c>
      <c r="P665" s="4" t="s">
        <v>424</v>
      </c>
      <c r="Q665" s="4"/>
      <c r="R665" s="16">
        <v>3200000</v>
      </c>
      <c r="S665" s="6">
        <v>3200000</v>
      </c>
      <c r="T665" s="16">
        <v>2400000</v>
      </c>
      <c r="U665" s="6">
        <v>2400000</v>
      </c>
      <c r="V665" s="4">
        <v>2010.5</v>
      </c>
      <c r="W665" s="4" t="s">
        <v>425</v>
      </c>
      <c r="X665" s="4"/>
      <c r="Y665" s="7">
        <v>2</v>
      </c>
      <c r="Z665" s="8">
        <v>3393948</v>
      </c>
      <c r="AA665" s="7" t="s">
        <v>92</v>
      </c>
      <c r="AB665" s="7"/>
      <c r="AC665" s="9">
        <v>2</v>
      </c>
      <c r="AD665" s="10">
        <v>1567235</v>
      </c>
      <c r="AE665" s="9" t="s">
        <v>92</v>
      </c>
      <c r="AF665" s="9"/>
      <c r="AG665" s="11">
        <v>2</v>
      </c>
      <c r="AH665" s="11" t="s">
        <v>131</v>
      </c>
      <c r="AI665" s="11"/>
      <c r="AJ665" s="11">
        <v>2</v>
      </c>
      <c r="AK665" s="11" t="s">
        <v>143</v>
      </c>
      <c r="AL665" s="12">
        <v>2</v>
      </c>
      <c r="AM665" s="12" t="s">
        <v>131</v>
      </c>
      <c r="AN665" s="12"/>
      <c r="AO665" s="12">
        <v>2</v>
      </c>
      <c r="AP665" s="12" t="s">
        <v>143</v>
      </c>
      <c r="AQ665" s="4">
        <v>4</v>
      </c>
      <c r="AR665" s="4" t="s">
        <v>133</v>
      </c>
      <c r="AS665" s="4"/>
      <c r="AT665" s="13">
        <v>-41.860172271728501</v>
      </c>
      <c r="AU665" s="13">
        <v>-1.05819988250732</v>
      </c>
      <c r="AV665" s="13">
        <v>-1.87999999523163</v>
      </c>
      <c r="AW665" s="13">
        <v>-0.23299999535083801</v>
      </c>
      <c r="AX665" s="4">
        <v>1</v>
      </c>
      <c r="AY665" s="13">
        <v>-14.127424240112299</v>
      </c>
      <c r="AZ665" s="13">
        <v>-1.5072450637817401</v>
      </c>
      <c r="BA665" s="13">
        <v>-3.7105979919433598</v>
      </c>
      <c r="BB665" s="13">
        <v>1</v>
      </c>
      <c r="BC665" s="4"/>
      <c r="BD665" s="4">
        <v>10</v>
      </c>
      <c r="BE665" s="4" t="s">
        <v>134</v>
      </c>
      <c r="BF665" s="13">
        <v>1.64699995517731</v>
      </c>
      <c r="BG665" s="4">
        <v>416.5</v>
      </c>
      <c r="BH665" s="13">
        <v>1.83500003814697</v>
      </c>
      <c r="BI665" s="13">
        <v>763.489990234375</v>
      </c>
      <c r="BJ665" s="4"/>
      <c r="BK665" s="14">
        <v>11</v>
      </c>
      <c r="BL665" s="14">
        <v>11</v>
      </c>
      <c r="BM665" s="14">
        <v>11</v>
      </c>
      <c r="BP665" s="15"/>
      <c r="BQ665" s="15"/>
      <c r="BR665" s="2" t="s">
        <v>297</v>
      </c>
      <c r="BS665" s="2" t="s">
        <v>297</v>
      </c>
      <c r="BT665" s="7" t="s">
        <v>777</v>
      </c>
      <c r="BU665" s="7"/>
      <c r="BV665" s="9" t="s">
        <v>777</v>
      </c>
      <c r="BW665" s="9"/>
    </row>
    <row r="666" spans="1:75" ht="14.25" customHeight="1" x14ac:dyDescent="0.25">
      <c r="A666" s="1">
        <v>281</v>
      </c>
      <c r="B666" s="1" t="s">
        <v>2951</v>
      </c>
      <c r="C666" s="1" t="s">
        <v>2952</v>
      </c>
      <c r="D666" s="1" t="s">
        <v>77</v>
      </c>
      <c r="E666" s="1" t="s">
        <v>827</v>
      </c>
      <c r="F666" s="1" t="s">
        <v>828</v>
      </c>
      <c r="G666" s="1"/>
      <c r="H666" s="2">
        <v>0</v>
      </c>
      <c r="I666" s="2">
        <v>0</v>
      </c>
      <c r="J666" s="2">
        <v>1</v>
      </c>
      <c r="K666" s="2">
        <v>1</v>
      </c>
      <c r="L666" s="3" t="s">
        <v>80</v>
      </c>
      <c r="O666" s="4">
        <v>3</v>
      </c>
      <c r="P666" s="4" t="s">
        <v>112</v>
      </c>
      <c r="Q666" s="4"/>
      <c r="R666" s="5"/>
      <c r="S666" s="6"/>
      <c r="T666" s="17"/>
      <c r="U666" s="6"/>
      <c r="V666" s="4"/>
      <c r="W666" s="4"/>
      <c r="X666" s="4"/>
      <c r="Y666" s="7">
        <v>1</v>
      </c>
      <c r="Z666" s="8">
        <v>8565537</v>
      </c>
      <c r="AA666" s="7" t="s">
        <v>92</v>
      </c>
      <c r="AB666" s="7"/>
      <c r="AC666" s="9">
        <v>1</v>
      </c>
      <c r="AD666" s="10">
        <v>8565537</v>
      </c>
      <c r="AE666" s="9" t="s">
        <v>92</v>
      </c>
      <c r="AF666" s="9"/>
      <c r="AG666" s="11">
        <v>4</v>
      </c>
      <c r="AH666" s="11" t="s">
        <v>93</v>
      </c>
      <c r="AI666" s="11" t="s">
        <v>393</v>
      </c>
      <c r="AJ666" s="11"/>
      <c r="AK666" s="11"/>
      <c r="AL666" s="12">
        <v>2</v>
      </c>
      <c r="AM666" s="12" t="s">
        <v>93</v>
      </c>
      <c r="AN666" s="12" t="s">
        <v>839</v>
      </c>
      <c r="AO666" s="12"/>
      <c r="AP666" s="12"/>
      <c r="AQ666" s="4">
        <v>4</v>
      </c>
      <c r="AR666" s="4" t="s">
        <v>83</v>
      </c>
      <c r="AS666" s="4" t="s">
        <v>2953</v>
      </c>
      <c r="AT666" s="13"/>
      <c r="AU666" s="13"/>
      <c r="AV666" s="13"/>
      <c r="AW666" s="13"/>
      <c r="AX666" s="4"/>
      <c r="AY666" s="13"/>
      <c r="AZ666" s="13"/>
      <c r="BA666" s="13"/>
      <c r="BB666" s="13"/>
      <c r="BC666" s="4"/>
      <c r="BD666" s="4"/>
      <c r="BE666" s="4"/>
      <c r="BF666" s="13"/>
      <c r="BG666" s="4"/>
      <c r="BH666" s="13"/>
      <c r="BI666" s="13"/>
      <c r="BJ666" s="4"/>
      <c r="BK666" s="14">
        <v>12</v>
      </c>
      <c r="BL666" s="14">
        <v>10</v>
      </c>
      <c r="BM666" s="14">
        <v>12</v>
      </c>
      <c r="BP666" s="15"/>
      <c r="BQ666" s="15"/>
      <c r="BR666" s="2" t="s">
        <v>97</v>
      </c>
      <c r="BS666" s="2" t="s">
        <v>97</v>
      </c>
      <c r="BT666" s="7" t="s">
        <v>2917</v>
      </c>
      <c r="BU666" s="7"/>
      <c r="BV666" s="9" t="s">
        <v>2917</v>
      </c>
      <c r="BW666" s="9"/>
    </row>
    <row r="667" spans="1:75" ht="14.25" customHeight="1" x14ac:dyDescent="0.25">
      <c r="A667" s="1">
        <v>282</v>
      </c>
      <c r="B667" s="1" t="s">
        <v>2954</v>
      </c>
      <c r="C667" s="1" t="s">
        <v>2955</v>
      </c>
      <c r="D667" s="1" t="s">
        <v>77</v>
      </c>
      <c r="E667" s="1" t="s">
        <v>827</v>
      </c>
      <c r="F667" s="1" t="s">
        <v>828</v>
      </c>
      <c r="G667" s="1" t="s">
        <v>118</v>
      </c>
      <c r="H667" s="2">
        <v>0</v>
      </c>
      <c r="I667" s="2">
        <v>0</v>
      </c>
      <c r="J667" s="2">
        <v>1</v>
      </c>
      <c r="K667" s="2">
        <v>1</v>
      </c>
      <c r="L667" s="3" t="s">
        <v>80</v>
      </c>
      <c r="O667" s="4">
        <v>5</v>
      </c>
      <c r="P667" s="4" t="s">
        <v>112</v>
      </c>
      <c r="Q667" s="4"/>
      <c r="R667" s="5"/>
      <c r="S667" s="6"/>
      <c r="T667" s="17"/>
      <c r="U667" s="6"/>
      <c r="V667" s="4"/>
      <c r="W667" s="4"/>
      <c r="X667" s="4"/>
      <c r="Y667" s="7">
        <v>3</v>
      </c>
      <c r="Z667" s="8">
        <v>368094</v>
      </c>
      <c r="AA667" s="7" t="s">
        <v>92</v>
      </c>
      <c r="AB667" s="7"/>
      <c r="AC667" s="9">
        <v>3</v>
      </c>
      <c r="AD667" s="10">
        <v>368094</v>
      </c>
      <c r="AE667" s="9" t="s">
        <v>92</v>
      </c>
      <c r="AF667" s="9"/>
      <c r="AG667" s="11">
        <v>3</v>
      </c>
      <c r="AH667" s="11" t="s">
        <v>93</v>
      </c>
      <c r="AI667" s="11"/>
      <c r="AJ667" s="11"/>
      <c r="AK667" s="11"/>
      <c r="AL667" s="12">
        <v>3</v>
      </c>
      <c r="AM667" s="12" t="s">
        <v>93</v>
      </c>
      <c r="AN667" s="12" t="s">
        <v>839</v>
      </c>
      <c r="AO667" s="12"/>
      <c r="AP667" s="12"/>
      <c r="AQ667" s="4">
        <v>3</v>
      </c>
      <c r="AR667" s="4" t="s">
        <v>83</v>
      </c>
      <c r="AS667" s="4"/>
      <c r="AT667" s="13"/>
      <c r="AU667" s="13"/>
      <c r="AV667" s="13"/>
      <c r="AW667" s="13"/>
      <c r="AX667" s="4"/>
      <c r="AY667" s="13"/>
      <c r="AZ667" s="13"/>
      <c r="BA667" s="13"/>
      <c r="BB667" s="13"/>
      <c r="BC667" s="4"/>
      <c r="BD667" s="4"/>
      <c r="BE667" s="4"/>
      <c r="BF667" s="13"/>
      <c r="BG667" s="4"/>
      <c r="BH667" s="13"/>
      <c r="BI667" s="13"/>
      <c r="BJ667" s="4"/>
      <c r="BK667" s="14">
        <v>14</v>
      </c>
      <c r="BL667" s="14">
        <v>14</v>
      </c>
      <c r="BM667" s="14">
        <v>14</v>
      </c>
      <c r="BN667" s="3" t="s">
        <v>86</v>
      </c>
      <c r="BP667" s="15"/>
      <c r="BQ667" s="15"/>
      <c r="BR667" s="2" t="s">
        <v>409</v>
      </c>
      <c r="BS667" s="2" t="s">
        <v>409</v>
      </c>
      <c r="BT667" s="7" t="s">
        <v>841</v>
      </c>
      <c r="BU667" s="7" t="s">
        <v>851</v>
      </c>
      <c r="BV667" s="9" t="s">
        <v>841</v>
      </c>
      <c r="BW667" s="9" t="s">
        <v>846</v>
      </c>
    </row>
    <row r="668" spans="1:75" ht="14.25" customHeight="1" x14ac:dyDescent="0.25">
      <c r="A668" s="1">
        <v>284</v>
      </c>
      <c r="B668" s="1" t="s">
        <v>2956</v>
      </c>
      <c r="C668" s="1" t="s">
        <v>2957</v>
      </c>
      <c r="D668" s="1" t="s">
        <v>77</v>
      </c>
      <c r="E668" s="1" t="s">
        <v>827</v>
      </c>
      <c r="F668" s="1" t="s">
        <v>854</v>
      </c>
      <c r="G668" s="1"/>
      <c r="H668" s="2">
        <v>0</v>
      </c>
      <c r="I668" s="2">
        <v>0</v>
      </c>
      <c r="J668" s="2">
        <v>1</v>
      </c>
      <c r="K668" s="2">
        <v>1</v>
      </c>
      <c r="L668" s="3" t="s">
        <v>80</v>
      </c>
      <c r="O668" s="4">
        <v>2</v>
      </c>
      <c r="P668" s="4" t="s">
        <v>112</v>
      </c>
      <c r="Q668" s="4"/>
      <c r="R668" s="5"/>
      <c r="S668" s="6"/>
      <c r="T668" s="17"/>
      <c r="U668" s="6"/>
      <c r="V668" s="4"/>
      <c r="W668" s="4"/>
      <c r="X668" s="4"/>
      <c r="Y668" s="7">
        <v>1</v>
      </c>
      <c r="Z668" s="8">
        <v>8129733</v>
      </c>
      <c r="AA668" s="7" t="s">
        <v>92</v>
      </c>
      <c r="AB668" s="7"/>
      <c r="AC668" s="9">
        <v>1</v>
      </c>
      <c r="AD668" s="10">
        <v>8129733</v>
      </c>
      <c r="AE668" s="9" t="s">
        <v>92</v>
      </c>
      <c r="AF668" s="9"/>
      <c r="AG668" s="11">
        <v>3</v>
      </c>
      <c r="AH668" s="11" t="s">
        <v>93</v>
      </c>
      <c r="AI668" s="11"/>
      <c r="AJ668" s="11"/>
      <c r="AK668" s="11"/>
      <c r="AL668" s="12">
        <v>3</v>
      </c>
      <c r="AM668" s="12" t="s">
        <v>93</v>
      </c>
      <c r="AN668" s="12" t="s">
        <v>698</v>
      </c>
      <c r="AO668" s="12"/>
      <c r="AP668" s="12"/>
      <c r="AQ668" s="4">
        <v>4</v>
      </c>
      <c r="AR668" s="4" t="s">
        <v>83</v>
      </c>
      <c r="AS668" s="4" t="s">
        <v>2958</v>
      </c>
      <c r="AT668" s="13"/>
      <c r="AU668" s="13"/>
      <c r="AV668" s="13"/>
      <c r="AW668" s="13"/>
      <c r="AX668" s="4"/>
      <c r="AY668" s="13"/>
      <c r="AZ668" s="13"/>
      <c r="BA668" s="13"/>
      <c r="BB668" s="13"/>
      <c r="BC668" s="4"/>
      <c r="BD668" s="4"/>
      <c r="BE668" s="4"/>
      <c r="BF668" s="13"/>
      <c r="BG668" s="4"/>
      <c r="BH668" s="13"/>
      <c r="BI668" s="13"/>
      <c r="BJ668" s="4"/>
      <c r="BK668" s="14">
        <v>10</v>
      </c>
      <c r="BL668" s="14">
        <v>10</v>
      </c>
      <c r="BM668" s="14">
        <v>10</v>
      </c>
      <c r="BP668" s="15" t="s">
        <v>135</v>
      </c>
      <c r="BQ668" s="15"/>
      <c r="BR668" s="2" t="s">
        <v>97</v>
      </c>
      <c r="BS668" s="2" t="s">
        <v>97</v>
      </c>
      <c r="BT668" s="7" t="s">
        <v>98</v>
      </c>
      <c r="BU668" s="7"/>
      <c r="BV668" s="9" t="s">
        <v>98</v>
      </c>
      <c r="BW668" s="9"/>
    </row>
    <row r="669" spans="1:75" ht="14.25" customHeight="1" x14ac:dyDescent="0.25">
      <c r="A669" s="1">
        <v>285</v>
      </c>
      <c r="B669" s="1" t="s">
        <v>2959</v>
      </c>
      <c r="C669" s="1" t="s">
        <v>2960</v>
      </c>
      <c r="D669" s="1" t="s">
        <v>77</v>
      </c>
      <c r="E669" s="1" t="s">
        <v>827</v>
      </c>
      <c r="F669" s="1" t="s">
        <v>854</v>
      </c>
      <c r="G669" s="1"/>
      <c r="H669" s="2">
        <v>0</v>
      </c>
      <c r="I669" s="2">
        <v>0</v>
      </c>
      <c r="J669" s="2">
        <v>0</v>
      </c>
      <c r="K669" s="2">
        <v>1</v>
      </c>
      <c r="L669" s="3" t="s">
        <v>80</v>
      </c>
      <c r="O669" s="4">
        <v>4</v>
      </c>
      <c r="P669" s="4" t="s">
        <v>81</v>
      </c>
      <c r="Q669" s="4"/>
      <c r="R669" s="5"/>
      <c r="S669" s="6"/>
      <c r="T669" s="17"/>
      <c r="U669" s="6"/>
      <c r="V669" s="4"/>
      <c r="W669" s="4"/>
      <c r="X669" s="4"/>
      <c r="Y669" s="7">
        <v>4</v>
      </c>
      <c r="Z669" s="8">
        <v>250205</v>
      </c>
      <c r="AA669" s="7" t="s">
        <v>82</v>
      </c>
      <c r="AB669" s="7"/>
      <c r="AC669" s="9">
        <v>4</v>
      </c>
      <c r="AD669" s="10">
        <v>250205</v>
      </c>
      <c r="AE669" s="9" t="s">
        <v>82</v>
      </c>
      <c r="AF669" s="9"/>
      <c r="AG669" s="11">
        <v>3</v>
      </c>
      <c r="AH669" s="11" t="s">
        <v>83</v>
      </c>
      <c r="AI669" s="11"/>
      <c r="AJ669" s="11"/>
      <c r="AK669" s="11"/>
      <c r="AL669" s="12">
        <v>3</v>
      </c>
      <c r="AM669" s="12" t="s">
        <v>83</v>
      </c>
      <c r="AN669" s="12"/>
      <c r="AO669" s="12"/>
      <c r="AP669" s="12"/>
      <c r="AQ669" s="4">
        <v>4</v>
      </c>
      <c r="AR669" s="4" t="s">
        <v>83</v>
      </c>
      <c r="AS669" s="4" t="s">
        <v>2961</v>
      </c>
      <c r="AT669" s="13"/>
      <c r="AU669" s="13"/>
      <c r="AV669" s="13"/>
      <c r="AW669" s="13"/>
      <c r="AX669" s="4"/>
      <c r="AY669" s="13"/>
      <c r="AZ669" s="13"/>
      <c r="BA669" s="13"/>
      <c r="BB669" s="13"/>
      <c r="BC669" s="4"/>
      <c r="BD669" s="4"/>
      <c r="BE669" s="4"/>
      <c r="BF669" s="13"/>
      <c r="BG669" s="4"/>
      <c r="BH669" s="13"/>
      <c r="BI669" s="13"/>
      <c r="BJ669" s="4"/>
      <c r="BK669" s="14">
        <v>15</v>
      </c>
      <c r="BL669" s="14">
        <v>15</v>
      </c>
      <c r="BM669" s="14">
        <v>15</v>
      </c>
      <c r="BN669" s="3" t="s">
        <v>86</v>
      </c>
      <c r="BP669" s="15"/>
      <c r="BQ669" s="15"/>
      <c r="BR669" s="2" t="s">
        <v>87</v>
      </c>
      <c r="BS669" s="2" t="s">
        <v>87</v>
      </c>
      <c r="BT669" s="7" t="s">
        <v>88</v>
      </c>
      <c r="BU669" s="7"/>
      <c r="BV669" s="9" t="s">
        <v>88</v>
      </c>
      <c r="BW669" s="9"/>
    </row>
    <row r="670" spans="1:75" ht="14.25" customHeight="1" x14ac:dyDescent="0.25">
      <c r="A670" s="1">
        <v>286</v>
      </c>
      <c r="B670" s="1" t="s">
        <v>2962</v>
      </c>
      <c r="C670" s="1" t="s">
        <v>2963</v>
      </c>
      <c r="D670" s="1" t="s">
        <v>77</v>
      </c>
      <c r="E670" s="1" t="s">
        <v>827</v>
      </c>
      <c r="F670" s="1" t="s">
        <v>854</v>
      </c>
      <c r="G670" s="1" t="s">
        <v>118</v>
      </c>
      <c r="H670" s="2">
        <v>0</v>
      </c>
      <c r="I670" s="2">
        <v>0</v>
      </c>
      <c r="J670" s="2">
        <v>0</v>
      </c>
      <c r="K670" s="2">
        <v>1</v>
      </c>
      <c r="L670" s="3" t="s">
        <v>80</v>
      </c>
      <c r="O670" s="4">
        <v>3</v>
      </c>
      <c r="P670" s="4" t="s">
        <v>81</v>
      </c>
      <c r="Q670" s="4"/>
      <c r="R670" s="5"/>
      <c r="S670" s="6"/>
      <c r="T670" s="17"/>
      <c r="U670" s="6"/>
      <c r="V670" s="4"/>
      <c r="W670" s="4"/>
      <c r="X670" s="4"/>
      <c r="Y670" s="7">
        <v>4</v>
      </c>
      <c r="Z670" s="8">
        <v>127159</v>
      </c>
      <c r="AA670" s="7" t="s">
        <v>82</v>
      </c>
      <c r="AB670" s="7"/>
      <c r="AC670" s="9">
        <v>4</v>
      </c>
      <c r="AD670" s="10">
        <v>127159</v>
      </c>
      <c r="AE670" s="9" t="s">
        <v>82</v>
      </c>
      <c r="AF670" s="9"/>
      <c r="AG670" s="11">
        <v>2</v>
      </c>
      <c r="AH670" s="11" t="s">
        <v>83</v>
      </c>
      <c r="AI670" s="11"/>
      <c r="AJ670" s="11"/>
      <c r="AK670" s="11"/>
      <c r="AL670" s="12">
        <v>2</v>
      </c>
      <c r="AM670" s="12" t="s">
        <v>83</v>
      </c>
      <c r="AN670" s="12"/>
      <c r="AO670" s="12"/>
      <c r="AP670" s="12"/>
      <c r="AQ670" s="4">
        <v>3</v>
      </c>
      <c r="AR670" s="4" t="s">
        <v>83</v>
      </c>
      <c r="AS670" s="4"/>
      <c r="AT670" s="13"/>
      <c r="AU670" s="13"/>
      <c r="AV670" s="13"/>
      <c r="AW670" s="13"/>
      <c r="AX670" s="4"/>
      <c r="AY670" s="13"/>
      <c r="AZ670" s="13"/>
      <c r="BA670" s="13"/>
      <c r="BB670" s="13"/>
      <c r="BC670" s="4"/>
      <c r="BD670" s="4"/>
      <c r="BE670" s="4"/>
      <c r="BF670" s="13"/>
      <c r="BG670" s="4"/>
      <c r="BH670" s="13"/>
      <c r="BI670" s="13"/>
      <c r="BJ670" s="4"/>
      <c r="BK670" s="14">
        <v>12</v>
      </c>
      <c r="BL670" s="14">
        <v>12</v>
      </c>
      <c r="BM670" s="14">
        <v>12</v>
      </c>
      <c r="BP670" s="15"/>
      <c r="BQ670" s="15"/>
      <c r="BR670" s="2" t="s">
        <v>115</v>
      </c>
      <c r="BS670" s="2" t="s">
        <v>115</v>
      </c>
      <c r="BT670" s="7" t="s">
        <v>98</v>
      </c>
      <c r="BU670" s="7"/>
      <c r="BV670" s="9" t="s">
        <v>98</v>
      </c>
      <c r="BW670" s="9"/>
    </row>
    <row r="671" spans="1:75" ht="14.25" customHeight="1" x14ac:dyDescent="0.25">
      <c r="A671" s="1">
        <v>287</v>
      </c>
      <c r="B671" s="1" t="s">
        <v>2964</v>
      </c>
      <c r="C671" s="1" t="s">
        <v>2965</v>
      </c>
      <c r="D671" s="1" t="s">
        <v>77</v>
      </c>
      <c r="E671" s="1" t="s">
        <v>827</v>
      </c>
      <c r="F671" s="1" t="s">
        <v>854</v>
      </c>
      <c r="G671" s="1"/>
      <c r="H671" s="2">
        <v>0</v>
      </c>
      <c r="I671" s="2">
        <v>0</v>
      </c>
      <c r="J671" s="2">
        <v>0</v>
      </c>
      <c r="K671" s="2">
        <v>1</v>
      </c>
      <c r="L671" s="3" t="s">
        <v>80</v>
      </c>
      <c r="O671" s="4">
        <v>2</v>
      </c>
      <c r="P671" s="4" t="s">
        <v>81</v>
      </c>
      <c r="Q671" s="4"/>
      <c r="R671" s="5"/>
      <c r="S671" s="6"/>
      <c r="T671" s="17"/>
      <c r="U671" s="6"/>
      <c r="V671" s="4"/>
      <c r="W671" s="4"/>
      <c r="X671" s="4"/>
      <c r="Y671" s="7">
        <v>1</v>
      </c>
      <c r="Z671" s="8">
        <v>7845978</v>
      </c>
      <c r="AA671" s="7" t="s">
        <v>82</v>
      </c>
      <c r="AB671" s="7"/>
      <c r="AC671" s="9">
        <v>1</v>
      </c>
      <c r="AD671" s="10">
        <v>7845978</v>
      </c>
      <c r="AE671" s="9" t="s">
        <v>82</v>
      </c>
      <c r="AF671" s="9"/>
      <c r="AG671" s="11">
        <v>4</v>
      </c>
      <c r="AH671" s="11" t="s">
        <v>83</v>
      </c>
      <c r="AI671" s="11" t="s">
        <v>2966</v>
      </c>
      <c r="AJ671" s="11"/>
      <c r="AK671" s="11"/>
      <c r="AL671" s="12">
        <v>4</v>
      </c>
      <c r="AM671" s="12" t="s">
        <v>83</v>
      </c>
      <c r="AN671" s="12"/>
      <c r="AO671" s="12"/>
      <c r="AP671" s="12"/>
      <c r="AQ671" s="4">
        <v>4</v>
      </c>
      <c r="AR671" s="4" t="s">
        <v>83</v>
      </c>
      <c r="AS671" s="4" t="s">
        <v>866</v>
      </c>
      <c r="AT671" s="13"/>
      <c r="AU671" s="13"/>
      <c r="AV671" s="13"/>
      <c r="AW671" s="13"/>
      <c r="AX671" s="4"/>
      <c r="AY671" s="13"/>
      <c r="AZ671" s="13"/>
      <c r="BA671" s="13"/>
      <c r="BB671" s="13"/>
      <c r="BC671" s="4"/>
      <c r="BD671" s="4"/>
      <c r="BE671" s="4"/>
      <c r="BF671" s="13"/>
      <c r="BG671" s="4"/>
      <c r="BH671" s="13"/>
      <c r="BI671" s="13"/>
      <c r="BJ671" s="4"/>
      <c r="BK671" s="14">
        <v>11</v>
      </c>
      <c r="BL671" s="14">
        <v>11</v>
      </c>
      <c r="BM671" s="14">
        <v>11</v>
      </c>
      <c r="BP671" s="15"/>
      <c r="BQ671" s="15"/>
      <c r="BR671" s="2" t="s">
        <v>740</v>
      </c>
      <c r="BS671" s="2" t="s">
        <v>740</v>
      </c>
      <c r="BT671" s="7" t="s">
        <v>98</v>
      </c>
      <c r="BU671" s="7"/>
      <c r="BV671" s="9" t="s">
        <v>98</v>
      </c>
      <c r="BW671" s="9"/>
    </row>
    <row r="672" spans="1:75" ht="14.25" customHeight="1" x14ac:dyDescent="0.25">
      <c r="A672" s="1">
        <v>288</v>
      </c>
      <c r="B672" s="1" t="s">
        <v>2967</v>
      </c>
      <c r="C672" s="1" t="s">
        <v>2968</v>
      </c>
      <c r="D672" s="1" t="s">
        <v>77</v>
      </c>
      <c r="E672" s="1" t="s">
        <v>827</v>
      </c>
      <c r="F672" s="1" t="s">
        <v>854</v>
      </c>
      <c r="G672" s="1"/>
      <c r="H672" s="2">
        <v>0</v>
      </c>
      <c r="I672" s="2">
        <v>0</v>
      </c>
      <c r="J672" s="2">
        <v>0</v>
      </c>
      <c r="K672" s="2">
        <v>1</v>
      </c>
      <c r="L672" s="3" t="s">
        <v>80</v>
      </c>
      <c r="O672" s="4">
        <v>3</v>
      </c>
      <c r="P672" s="4" t="s">
        <v>81</v>
      </c>
      <c r="Q672" s="4"/>
      <c r="R672" s="5"/>
      <c r="S672" s="6"/>
      <c r="T672" s="17"/>
      <c r="U672" s="6"/>
      <c r="V672" s="4"/>
      <c r="W672" s="4"/>
      <c r="X672" s="4"/>
      <c r="Y672" s="7">
        <v>3</v>
      </c>
      <c r="Z672" s="8">
        <v>480880</v>
      </c>
      <c r="AA672" s="7" t="s">
        <v>82</v>
      </c>
      <c r="AB672" s="7"/>
      <c r="AC672" s="9">
        <v>3</v>
      </c>
      <c r="AD672" s="10">
        <v>480880</v>
      </c>
      <c r="AE672" s="9" t="s">
        <v>82</v>
      </c>
      <c r="AF672" s="9"/>
      <c r="AG672" s="11">
        <v>4</v>
      </c>
      <c r="AH672" s="11" t="s">
        <v>83</v>
      </c>
      <c r="AI672" s="11" t="s">
        <v>2969</v>
      </c>
      <c r="AJ672" s="11"/>
      <c r="AK672" s="11"/>
      <c r="AL672" s="12">
        <v>4</v>
      </c>
      <c r="AM672" s="12" t="s">
        <v>83</v>
      </c>
      <c r="AN672" s="12"/>
      <c r="AO672" s="12"/>
      <c r="AP672" s="12"/>
      <c r="AQ672" s="4">
        <v>4</v>
      </c>
      <c r="AR672" s="4" t="s">
        <v>83</v>
      </c>
      <c r="AS672" s="4"/>
      <c r="AT672" s="13"/>
      <c r="AU672" s="13"/>
      <c r="AV672" s="13"/>
      <c r="AW672" s="13"/>
      <c r="AX672" s="4"/>
      <c r="AY672" s="13"/>
      <c r="AZ672" s="13"/>
      <c r="BA672" s="13"/>
      <c r="BB672" s="13"/>
      <c r="BC672" s="4"/>
      <c r="BD672" s="4"/>
      <c r="BE672" s="4"/>
      <c r="BF672" s="13"/>
      <c r="BG672" s="4"/>
      <c r="BH672" s="13"/>
      <c r="BI672" s="13"/>
      <c r="BJ672" s="4"/>
      <c r="BK672" s="14">
        <v>14</v>
      </c>
      <c r="BL672" s="14">
        <v>14</v>
      </c>
      <c r="BM672" s="14">
        <v>14</v>
      </c>
      <c r="BN672" s="3" t="s">
        <v>86</v>
      </c>
      <c r="BP672" s="15"/>
      <c r="BQ672" s="15"/>
      <c r="BR672" s="2" t="s">
        <v>121</v>
      </c>
      <c r="BS672" s="2" t="s">
        <v>121</v>
      </c>
      <c r="BT672" s="7" t="s">
        <v>98</v>
      </c>
      <c r="BU672" s="7"/>
      <c r="BV672" s="9" t="s">
        <v>98</v>
      </c>
      <c r="BW672" s="9"/>
    </row>
    <row r="673" spans="1:75" ht="14.25" customHeight="1" x14ac:dyDescent="0.25">
      <c r="A673" s="1">
        <v>289</v>
      </c>
      <c r="B673" s="1" t="s">
        <v>2970</v>
      </c>
      <c r="C673" s="1" t="s">
        <v>2971</v>
      </c>
      <c r="D673" s="1" t="s">
        <v>77</v>
      </c>
      <c r="E673" s="1" t="s">
        <v>827</v>
      </c>
      <c r="F673" s="1" t="s">
        <v>854</v>
      </c>
      <c r="G673" s="1"/>
      <c r="H673" s="2">
        <v>0</v>
      </c>
      <c r="I673" s="2">
        <v>0</v>
      </c>
      <c r="J673" s="2">
        <v>0</v>
      </c>
      <c r="K673" s="2">
        <v>1</v>
      </c>
      <c r="L673" s="3" t="s">
        <v>80</v>
      </c>
      <c r="O673" s="4">
        <v>3</v>
      </c>
      <c r="P673" s="4" t="s">
        <v>81</v>
      </c>
      <c r="Q673" s="4"/>
      <c r="R673" s="5"/>
      <c r="S673" s="6"/>
      <c r="T673" s="17"/>
      <c r="U673" s="6"/>
      <c r="V673" s="4"/>
      <c r="W673" s="4"/>
      <c r="X673" s="4"/>
      <c r="Y673" s="7">
        <v>3</v>
      </c>
      <c r="Z673" s="8">
        <v>340372</v>
      </c>
      <c r="AA673" s="7" t="s">
        <v>82</v>
      </c>
      <c r="AB673" s="7"/>
      <c r="AC673" s="9">
        <v>3</v>
      </c>
      <c r="AD673" s="10">
        <v>340372</v>
      </c>
      <c r="AE673" s="9" t="s">
        <v>82</v>
      </c>
      <c r="AF673" s="9"/>
      <c r="AG673" s="11">
        <v>3</v>
      </c>
      <c r="AH673" s="11" t="s">
        <v>83</v>
      </c>
      <c r="AI673" s="11"/>
      <c r="AJ673" s="11"/>
      <c r="AK673" s="11"/>
      <c r="AL673" s="12">
        <v>3</v>
      </c>
      <c r="AM673" s="12" t="s">
        <v>83</v>
      </c>
      <c r="AN673" s="12"/>
      <c r="AO673" s="12"/>
      <c r="AP673" s="12"/>
      <c r="AQ673" s="4">
        <v>3</v>
      </c>
      <c r="AR673" s="4" t="s">
        <v>83</v>
      </c>
      <c r="AS673" s="4"/>
      <c r="AT673" s="13"/>
      <c r="AU673" s="13"/>
      <c r="AV673" s="13"/>
      <c r="AW673" s="13"/>
      <c r="AX673" s="4"/>
      <c r="AY673" s="13"/>
      <c r="AZ673" s="13"/>
      <c r="BA673" s="13"/>
      <c r="BB673" s="13"/>
      <c r="BC673" s="4"/>
      <c r="BD673" s="4"/>
      <c r="BE673" s="4"/>
      <c r="BF673" s="13"/>
      <c r="BG673" s="4"/>
      <c r="BH673" s="13"/>
      <c r="BI673" s="13"/>
      <c r="BJ673" s="4"/>
      <c r="BK673" s="14">
        <v>12</v>
      </c>
      <c r="BL673" s="14">
        <v>12</v>
      </c>
      <c r="BM673" s="14">
        <v>12</v>
      </c>
      <c r="BP673" s="15"/>
      <c r="BQ673" s="15"/>
      <c r="BR673" s="2" t="s">
        <v>87</v>
      </c>
      <c r="BS673" s="2" t="s">
        <v>87</v>
      </c>
      <c r="BT673" s="7" t="s">
        <v>88</v>
      </c>
      <c r="BU673" s="7"/>
      <c r="BV673" s="9" t="s">
        <v>88</v>
      </c>
      <c r="BW673" s="9"/>
    </row>
    <row r="674" spans="1:75" ht="14.25" customHeight="1" x14ac:dyDescent="0.25">
      <c r="A674" s="1">
        <v>290</v>
      </c>
      <c r="B674" s="1" t="s">
        <v>2972</v>
      </c>
      <c r="C674" s="1" t="s">
        <v>2973</v>
      </c>
      <c r="D674" s="1" t="s">
        <v>77</v>
      </c>
      <c r="E674" s="1" t="s">
        <v>827</v>
      </c>
      <c r="F674" s="1" t="s">
        <v>854</v>
      </c>
      <c r="G674" s="1" t="s">
        <v>2974</v>
      </c>
      <c r="H674" s="2">
        <v>0</v>
      </c>
      <c r="I674" s="2">
        <v>0</v>
      </c>
      <c r="J674" s="2">
        <v>1</v>
      </c>
      <c r="K674" s="2">
        <v>0</v>
      </c>
      <c r="L674" s="3" t="s">
        <v>80</v>
      </c>
      <c r="O674" s="4">
        <v>5</v>
      </c>
      <c r="P674" s="4" t="s">
        <v>2975</v>
      </c>
      <c r="Q674" s="4"/>
      <c r="R674" s="5"/>
      <c r="S674" s="6"/>
      <c r="T674" s="17"/>
      <c r="U674" s="6"/>
      <c r="V674" s="4"/>
      <c r="W674" s="4"/>
      <c r="X674" s="4"/>
      <c r="Y674" s="7">
        <v>4</v>
      </c>
      <c r="Z674" s="8">
        <v>91128</v>
      </c>
      <c r="AA674" s="7" t="s">
        <v>283</v>
      </c>
      <c r="AB674" s="7"/>
      <c r="AC674" s="9">
        <v>4</v>
      </c>
      <c r="AD674" s="10">
        <v>91128</v>
      </c>
      <c r="AE674" s="9" t="s">
        <v>283</v>
      </c>
      <c r="AF674" s="9"/>
      <c r="AG674" s="11">
        <v>3</v>
      </c>
      <c r="AH674" s="11" t="s">
        <v>2976</v>
      </c>
      <c r="AI674" s="11"/>
      <c r="AJ674" s="11"/>
      <c r="AK674" s="11"/>
      <c r="AL674" s="12">
        <v>3</v>
      </c>
      <c r="AM674" s="12" t="s">
        <v>2976</v>
      </c>
      <c r="AN674" s="12"/>
      <c r="AO674" s="12"/>
      <c r="AP674" s="12"/>
      <c r="AQ674" s="4">
        <v>4</v>
      </c>
      <c r="AR674" s="4" t="s">
        <v>93</v>
      </c>
      <c r="AS674" s="4"/>
      <c r="AT674" s="13"/>
      <c r="AU674" s="13"/>
      <c r="AV674" s="13"/>
      <c r="AW674" s="13"/>
      <c r="AX674" s="4"/>
      <c r="AY674" s="13"/>
      <c r="AZ674" s="13"/>
      <c r="BA674" s="13"/>
      <c r="BB674" s="13"/>
      <c r="BC674" s="4"/>
      <c r="BD674" s="4"/>
      <c r="BE674" s="4"/>
      <c r="BF674" s="13"/>
      <c r="BG674" s="4"/>
      <c r="BH674" s="13"/>
      <c r="BI674" s="13"/>
      <c r="BJ674" s="4"/>
      <c r="BK674" s="14">
        <v>16</v>
      </c>
      <c r="BL674" s="14">
        <v>16</v>
      </c>
      <c r="BM674" s="14">
        <v>16</v>
      </c>
      <c r="BN674" s="3" t="s">
        <v>86</v>
      </c>
      <c r="BP674" s="15"/>
      <c r="BQ674" s="15"/>
      <c r="BR674" s="2" t="s">
        <v>108</v>
      </c>
      <c r="BS674" s="2" t="s">
        <v>108</v>
      </c>
      <c r="BT674" s="7" t="s">
        <v>98</v>
      </c>
      <c r="BU674" s="7"/>
      <c r="BV674" s="9" t="s">
        <v>98</v>
      </c>
      <c r="BW674" s="9"/>
    </row>
    <row r="675" spans="1:75" ht="14.25" customHeight="1" x14ac:dyDescent="0.25">
      <c r="A675" s="1">
        <v>291</v>
      </c>
      <c r="B675" s="1" t="s">
        <v>2977</v>
      </c>
      <c r="C675" s="1" t="s">
        <v>2978</v>
      </c>
      <c r="D675" s="1" t="s">
        <v>77</v>
      </c>
      <c r="E675" s="1" t="s">
        <v>827</v>
      </c>
      <c r="F675" s="1" t="s">
        <v>854</v>
      </c>
      <c r="G675" s="1"/>
      <c r="H675" s="2">
        <v>0</v>
      </c>
      <c r="I675" s="2">
        <v>0</v>
      </c>
      <c r="J675" s="2">
        <v>1</v>
      </c>
      <c r="K675" s="2">
        <v>1</v>
      </c>
      <c r="L675" s="3" t="s">
        <v>80</v>
      </c>
      <c r="O675" s="4">
        <v>4</v>
      </c>
      <c r="P675" s="4" t="s">
        <v>2868</v>
      </c>
      <c r="Q675" s="4" t="s">
        <v>2979</v>
      </c>
      <c r="R675" s="5"/>
      <c r="S675" s="6"/>
      <c r="T675" s="17"/>
      <c r="U675" s="6"/>
      <c r="V675" s="4"/>
      <c r="W675" s="4"/>
      <c r="X675" s="4"/>
      <c r="Y675" s="7">
        <v>3</v>
      </c>
      <c r="Z675" s="8">
        <v>533595</v>
      </c>
      <c r="AA675" s="7" t="s">
        <v>283</v>
      </c>
      <c r="AB675" s="7"/>
      <c r="AC675" s="9">
        <v>3</v>
      </c>
      <c r="AD675" s="10">
        <v>533595</v>
      </c>
      <c r="AE675" s="9" t="s">
        <v>283</v>
      </c>
      <c r="AF675" s="9"/>
      <c r="AG675" s="11">
        <v>3</v>
      </c>
      <c r="AH675" s="11" t="s">
        <v>93</v>
      </c>
      <c r="AI675" s="11"/>
      <c r="AJ675" s="11"/>
      <c r="AK675" s="11"/>
      <c r="AL675" s="12">
        <v>3</v>
      </c>
      <c r="AM675" s="12" t="s">
        <v>93</v>
      </c>
      <c r="AN675" s="12" t="s">
        <v>698</v>
      </c>
      <c r="AO675" s="12"/>
      <c r="AP675" s="12"/>
      <c r="AQ675" s="4">
        <v>4</v>
      </c>
      <c r="AR675" s="4" t="s">
        <v>83</v>
      </c>
      <c r="AS675" s="4" t="s">
        <v>2980</v>
      </c>
      <c r="AT675" s="13"/>
      <c r="AU675" s="13"/>
      <c r="AV675" s="13"/>
      <c r="AW675" s="13"/>
      <c r="AX675" s="4"/>
      <c r="AY675" s="13"/>
      <c r="AZ675" s="13"/>
      <c r="BA675" s="13"/>
      <c r="BB675" s="13"/>
      <c r="BC675" s="4"/>
      <c r="BD675" s="4"/>
      <c r="BE675" s="4"/>
      <c r="BF675" s="13"/>
      <c r="BG675" s="4"/>
      <c r="BH675" s="13"/>
      <c r="BI675" s="13"/>
      <c r="BJ675" s="4"/>
      <c r="BK675" s="14">
        <v>14</v>
      </c>
      <c r="BL675" s="14">
        <v>14</v>
      </c>
      <c r="BM675" s="14">
        <v>14</v>
      </c>
      <c r="BN675" s="3" t="s">
        <v>86</v>
      </c>
      <c r="BP675" s="15"/>
      <c r="BQ675" s="15"/>
      <c r="BR675" s="2" t="s">
        <v>121</v>
      </c>
      <c r="BS675" s="2" t="s">
        <v>121</v>
      </c>
      <c r="BT675" s="7" t="s">
        <v>98</v>
      </c>
      <c r="BU675" s="7"/>
      <c r="BV675" s="9" t="s">
        <v>98</v>
      </c>
      <c r="BW675" s="9"/>
    </row>
    <row r="676" spans="1:75" ht="14.25" customHeight="1" x14ac:dyDescent="0.25">
      <c r="A676" s="1">
        <v>313</v>
      </c>
      <c r="B676" s="1" t="s">
        <v>2981</v>
      </c>
      <c r="C676" s="1" t="s">
        <v>2982</v>
      </c>
      <c r="D676" s="1" t="s">
        <v>77</v>
      </c>
      <c r="E676" s="1" t="s">
        <v>827</v>
      </c>
      <c r="F676" s="1" t="s">
        <v>854</v>
      </c>
      <c r="G676" s="1" t="s">
        <v>118</v>
      </c>
      <c r="H676" s="2">
        <v>0</v>
      </c>
      <c r="I676" s="2">
        <v>0</v>
      </c>
      <c r="J676" s="2">
        <v>1</v>
      </c>
      <c r="K676" s="2">
        <v>1</v>
      </c>
      <c r="L676" s="3" t="s">
        <v>80</v>
      </c>
      <c r="O676" s="4">
        <v>5</v>
      </c>
      <c r="P676" s="4" t="s">
        <v>112</v>
      </c>
      <c r="Q676" s="4"/>
      <c r="R676" s="5"/>
      <c r="S676" s="6"/>
      <c r="T676" s="17"/>
      <c r="U676" s="6"/>
      <c r="V676" s="4"/>
      <c r="W676" s="4"/>
      <c r="X676" s="4"/>
      <c r="Y676" s="7">
        <v>4</v>
      </c>
      <c r="Z676" s="8">
        <v>254077</v>
      </c>
      <c r="AA676" s="7" t="s">
        <v>92</v>
      </c>
      <c r="AB676" s="7"/>
      <c r="AC676" s="9">
        <v>4</v>
      </c>
      <c r="AD676" s="10">
        <v>254077</v>
      </c>
      <c r="AE676" s="9" t="s">
        <v>92</v>
      </c>
      <c r="AF676" s="9"/>
      <c r="AG676" s="11">
        <v>3</v>
      </c>
      <c r="AH676" s="11" t="s">
        <v>93</v>
      </c>
      <c r="AI676" s="11" t="s">
        <v>445</v>
      </c>
      <c r="AJ676" s="11"/>
      <c r="AK676" s="11"/>
      <c r="AL676" s="12">
        <v>3</v>
      </c>
      <c r="AM676" s="12" t="s">
        <v>93</v>
      </c>
      <c r="AN676" s="12" t="s">
        <v>2983</v>
      </c>
      <c r="AO676" s="12"/>
      <c r="AP676" s="12"/>
      <c r="AQ676" s="4">
        <v>4</v>
      </c>
      <c r="AR676" s="4" t="s">
        <v>83</v>
      </c>
      <c r="AS676" s="4"/>
      <c r="AT676" s="13"/>
      <c r="AU676" s="13"/>
      <c r="AV676" s="13"/>
      <c r="AW676" s="13"/>
      <c r="AX676" s="4"/>
      <c r="AY676" s="13"/>
      <c r="AZ676" s="13"/>
      <c r="BA676" s="13"/>
      <c r="BB676" s="13"/>
      <c r="BC676" s="4"/>
      <c r="BD676" s="4"/>
      <c r="BE676" s="4"/>
      <c r="BF676" s="13"/>
      <c r="BG676" s="4"/>
      <c r="BH676" s="13"/>
      <c r="BI676" s="13"/>
      <c r="BJ676" s="4"/>
      <c r="BK676" s="14">
        <v>16</v>
      </c>
      <c r="BL676" s="14">
        <v>16</v>
      </c>
      <c r="BM676" s="14">
        <v>16</v>
      </c>
      <c r="BN676" s="3" t="s">
        <v>86</v>
      </c>
      <c r="BP676" s="15"/>
      <c r="BQ676" s="15"/>
      <c r="BR676" s="2" t="s">
        <v>409</v>
      </c>
      <c r="BS676" s="2" t="s">
        <v>409</v>
      </c>
      <c r="BT676" s="7" t="s">
        <v>88</v>
      </c>
      <c r="BU676" s="7" t="s">
        <v>98</v>
      </c>
      <c r="BV676" s="9" t="s">
        <v>88</v>
      </c>
      <c r="BW676" s="9" t="s">
        <v>98</v>
      </c>
    </row>
    <row r="677" spans="1:75" ht="14.25" customHeight="1" x14ac:dyDescent="0.25">
      <c r="A677" s="1">
        <v>314</v>
      </c>
      <c r="B677" s="1" t="s">
        <v>2984</v>
      </c>
      <c r="C677" s="1" t="s">
        <v>2985</v>
      </c>
      <c r="D677" s="1" t="s">
        <v>77</v>
      </c>
      <c r="E677" s="1" t="s">
        <v>827</v>
      </c>
      <c r="F677" s="1" t="s">
        <v>854</v>
      </c>
      <c r="G677" s="1" t="s">
        <v>118</v>
      </c>
      <c r="H677" s="2">
        <v>0</v>
      </c>
      <c r="I677" s="2">
        <v>0</v>
      </c>
      <c r="J677" s="2">
        <v>0</v>
      </c>
      <c r="K677" s="2">
        <v>1</v>
      </c>
      <c r="L677" s="3" t="s">
        <v>80</v>
      </c>
      <c r="O677" s="4">
        <v>5</v>
      </c>
      <c r="P677" s="4" t="s">
        <v>81</v>
      </c>
      <c r="Q677" s="4"/>
      <c r="R677" s="5"/>
      <c r="S677" s="6"/>
      <c r="T677" s="17"/>
      <c r="U677" s="6"/>
      <c r="V677" s="4"/>
      <c r="W677" s="4"/>
      <c r="X677" s="4"/>
      <c r="Y677" s="7">
        <v>5</v>
      </c>
      <c r="Z677" s="8">
        <v>16857</v>
      </c>
      <c r="AA677" s="7" t="s">
        <v>82</v>
      </c>
      <c r="AB677" s="7"/>
      <c r="AC677" s="9">
        <v>5</v>
      </c>
      <c r="AD677" s="10">
        <v>16857</v>
      </c>
      <c r="AE677" s="9" t="s">
        <v>82</v>
      </c>
      <c r="AF677" s="9"/>
      <c r="AG677" s="11">
        <v>3</v>
      </c>
      <c r="AH677" s="11" t="s">
        <v>83</v>
      </c>
      <c r="AI677" s="11"/>
      <c r="AJ677" s="11"/>
      <c r="AK677" s="11"/>
      <c r="AL677" s="12">
        <v>3</v>
      </c>
      <c r="AM677" s="12" t="s">
        <v>83</v>
      </c>
      <c r="AN677" s="12"/>
      <c r="AO677" s="12"/>
      <c r="AP677" s="12"/>
      <c r="AQ677" s="4">
        <v>4</v>
      </c>
      <c r="AR677" s="4" t="s">
        <v>83</v>
      </c>
      <c r="AS677" s="4"/>
      <c r="AT677" s="13"/>
      <c r="AU677" s="13"/>
      <c r="AV677" s="13"/>
      <c r="AW677" s="13"/>
      <c r="AX677" s="4"/>
      <c r="AY677" s="13"/>
      <c r="AZ677" s="13"/>
      <c r="BA677" s="13"/>
      <c r="BB677" s="13"/>
      <c r="BC677" s="4"/>
      <c r="BD677" s="4"/>
      <c r="BE677" s="4"/>
      <c r="BF677" s="13"/>
      <c r="BG677" s="4"/>
      <c r="BH677" s="13"/>
      <c r="BI677" s="13"/>
      <c r="BJ677" s="4"/>
      <c r="BK677" s="14">
        <v>17</v>
      </c>
      <c r="BL677" s="14">
        <v>17</v>
      </c>
      <c r="BM677" s="14">
        <v>17</v>
      </c>
      <c r="BN677" s="3" t="s">
        <v>312</v>
      </c>
      <c r="BP677" s="15"/>
      <c r="BQ677" s="15"/>
      <c r="BR677" s="2" t="s">
        <v>108</v>
      </c>
      <c r="BS677" s="2" t="s">
        <v>108</v>
      </c>
      <c r="BT677" s="7" t="s">
        <v>98</v>
      </c>
      <c r="BU677" s="7"/>
      <c r="BV677" s="9" t="s">
        <v>98</v>
      </c>
      <c r="BW677" s="9"/>
    </row>
    <row r="678" spans="1:75" ht="14.25" customHeight="1" x14ac:dyDescent="0.25">
      <c r="A678" s="1">
        <v>315</v>
      </c>
      <c r="B678" s="1" t="s">
        <v>2986</v>
      </c>
      <c r="C678" s="1" t="s">
        <v>2987</v>
      </c>
      <c r="D678" s="1" t="s">
        <v>77</v>
      </c>
      <c r="E678" s="1" t="s">
        <v>827</v>
      </c>
      <c r="F678" s="1" t="s">
        <v>854</v>
      </c>
      <c r="G678" s="1"/>
      <c r="H678" s="2">
        <v>0</v>
      </c>
      <c r="I678" s="2">
        <v>0</v>
      </c>
      <c r="J678" s="2">
        <v>0</v>
      </c>
      <c r="K678" s="2">
        <v>1</v>
      </c>
      <c r="L678" s="3" t="s">
        <v>80</v>
      </c>
      <c r="O678" s="4">
        <v>4</v>
      </c>
      <c r="P678" s="4" t="s">
        <v>2988</v>
      </c>
      <c r="Q678" s="4" t="s">
        <v>2989</v>
      </c>
      <c r="R678" s="5"/>
      <c r="S678" s="6"/>
      <c r="T678" s="17"/>
      <c r="U678" s="6"/>
      <c r="V678" s="4"/>
      <c r="W678" s="4"/>
      <c r="X678" s="4"/>
      <c r="Y678" s="7">
        <v>4</v>
      </c>
      <c r="Z678" s="8">
        <v>222992</v>
      </c>
      <c r="AA678" s="7" t="s">
        <v>1264</v>
      </c>
      <c r="AB678" s="7" t="s">
        <v>2990</v>
      </c>
      <c r="AC678" s="9">
        <v>4</v>
      </c>
      <c r="AD678" s="10">
        <v>222992</v>
      </c>
      <c r="AE678" s="9" t="s">
        <v>1264</v>
      </c>
      <c r="AF678" s="9" t="s">
        <v>2990</v>
      </c>
      <c r="AG678" s="11">
        <v>3</v>
      </c>
      <c r="AH678" s="11" t="s">
        <v>83</v>
      </c>
      <c r="AI678" s="11"/>
      <c r="AJ678" s="11"/>
      <c r="AK678" s="11"/>
      <c r="AL678" s="12">
        <v>3</v>
      </c>
      <c r="AM678" s="12" t="s">
        <v>83</v>
      </c>
      <c r="AN678" s="12"/>
      <c r="AO678" s="12"/>
      <c r="AP678" s="12"/>
      <c r="AQ678" s="4">
        <v>3</v>
      </c>
      <c r="AR678" s="4" t="s">
        <v>83</v>
      </c>
      <c r="AS678" s="4"/>
      <c r="AT678" s="13"/>
      <c r="AU678" s="13"/>
      <c r="AV678" s="13"/>
      <c r="AW678" s="13"/>
      <c r="AX678" s="4"/>
      <c r="AY678" s="13"/>
      <c r="AZ678" s="13"/>
      <c r="BA678" s="13"/>
      <c r="BB678" s="13"/>
      <c r="BC678" s="4"/>
      <c r="BD678" s="4"/>
      <c r="BE678" s="4"/>
      <c r="BF678" s="13"/>
      <c r="BG678" s="4"/>
      <c r="BH678" s="13"/>
      <c r="BI678" s="13"/>
      <c r="BJ678" s="4"/>
      <c r="BK678" s="14">
        <v>14</v>
      </c>
      <c r="BL678" s="14">
        <v>14</v>
      </c>
      <c r="BM678" s="14">
        <v>14</v>
      </c>
      <c r="BN678" s="3" t="s">
        <v>86</v>
      </c>
      <c r="BP678" s="15"/>
      <c r="BQ678" s="15"/>
      <c r="BR678" s="2" t="s">
        <v>87</v>
      </c>
      <c r="BS678" s="2" t="s">
        <v>87</v>
      </c>
      <c r="BT678" s="7" t="s">
        <v>88</v>
      </c>
      <c r="BU678" s="7"/>
      <c r="BV678" s="9" t="s">
        <v>88</v>
      </c>
      <c r="BW678" s="9"/>
    </row>
    <row r="679" spans="1:75" ht="14.25" customHeight="1" x14ac:dyDescent="0.25">
      <c r="A679" s="1">
        <v>316</v>
      </c>
      <c r="B679" s="1" t="s">
        <v>2991</v>
      </c>
      <c r="C679" s="1" t="s">
        <v>2992</v>
      </c>
      <c r="D679" s="1" t="s">
        <v>77</v>
      </c>
      <c r="E679" s="1" t="s">
        <v>827</v>
      </c>
      <c r="F679" s="1" t="s">
        <v>854</v>
      </c>
      <c r="G679" s="1"/>
      <c r="H679" s="2">
        <v>0</v>
      </c>
      <c r="I679" s="2">
        <v>0</v>
      </c>
      <c r="J679" s="2">
        <v>0</v>
      </c>
      <c r="K679" s="2">
        <v>1</v>
      </c>
      <c r="L679" s="3" t="s">
        <v>80</v>
      </c>
      <c r="O679" s="4">
        <v>3</v>
      </c>
      <c r="P679" s="4" t="s">
        <v>81</v>
      </c>
      <c r="Q679" s="4" t="s">
        <v>2993</v>
      </c>
      <c r="R679" s="5"/>
      <c r="S679" s="6"/>
      <c r="T679" s="17"/>
      <c r="U679" s="6"/>
      <c r="V679" s="4"/>
      <c r="W679" s="4"/>
      <c r="X679" s="4"/>
      <c r="Y679" s="7">
        <v>5</v>
      </c>
      <c r="Z679" s="8">
        <v>76143.600000000006</v>
      </c>
      <c r="AA679" s="7" t="s">
        <v>82</v>
      </c>
      <c r="AB679" s="7"/>
      <c r="AC679" s="9">
        <v>5</v>
      </c>
      <c r="AD679" s="10">
        <v>63453</v>
      </c>
      <c r="AE679" s="9" t="s">
        <v>82</v>
      </c>
      <c r="AF679" s="9"/>
      <c r="AG679" s="11">
        <v>3</v>
      </c>
      <c r="AH679" s="11" t="s">
        <v>83</v>
      </c>
      <c r="AI679" s="11"/>
      <c r="AJ679" s="11"/>
      <c r="AK679" s="11"/>
      <c r="AL679" s="12">
        <v>3</v>
      </c>
      <c r="AM679" s="12" t="s">
        <v>83</v>
      </c>
      <c r="AN679" s="12"/>
      <c r="AO679" s="12"/>
      <c r="AP679" s="12"/>
      <c r="AQ679" s="4">
        <v>4</v>
      </c>
      <c r="AR679" s="4" t="s">
        <v>83</v>
      </c>
      <c r="AS679" s="4"/>
      <c r="AT679" s="13"/>
      <c r="AU679" s="13"/>
      <c r="AV679" s="13"/>
      <c r="AW679" s="13"/>
      <c r="AX679" s="4"/>
      <c r="AY679" s="13"/>
      <c r="AZ679" s="13"/>
      <c r="BA679" s="13"/>
      <c r="BB679" s="13"/>
      <c r="BC679" s="4"/>
      <c r="BD679" s="4"/>
      <c r="BE679" s="4"/>
      <c r="BF679" s="13"/>
      <c r="BG679" s="4"/>
      <c r="BH679" s="13"/>
      <c r="BI679" s="13"/>
      <c r="BJ679" s="4"/>
      <c r="BK679" s="14">
        <v>15</v>
      </c>
      <c r="BL679" s="14">
        <v>15</v>
      </c>
      <c r="BM679" s="14">
        <v>15</v>
      </c>
      <c r="BN679" s="3" t="s">
        <v>86</v>
      </c>
      <c r="BP679" s="15"/>
      <c r="BQ679" s="15"/>
      <c r="BR679" s="2" t="s">
        <v>87</v>
      </c>
      <c r="BS679" s="2" t="s">
        <v>87</v>
      </c>
      <c r="BT679" s="7" t="s">
        <v>88</v>
      </c>
      <c r="BU679" s="7"/>
      <c r="BV679" s="9" t="s">
        <v>88</v>
      </c>
      <c r="BW679" s="9"/>
    </row>
    <row r="680" spans="1:75" ht="14.25" customHeight="1" x14ac:dyDescent="0.25">
      <c r="A680" s="1">
        <v>317</v>
      </c>
      <c r="B680" s="1" t="s">
        <v>2994</v>
      </c>
      <c r="C680" s="1" t="s">
        <v>2995</v>
      </c>
      <c r="D680" s="1" t="s">
        <v>77</v>
      </c>
      <c r="E680" s="1" t="s">
        <v>827</v>
      </c>
      <c r="F680" s="1" t="s">
        <v>854</v>
      </c>
      <c r="G680" s="1" t="s">
        <v>2996</v>
      </c>
      <c r="H680" s="2">
        <v>0</v>
      </c>
      <c r="I680" s="2">
        <v>1</v>
      </c>
      <c r="J680" s="2">
        <v>1</v>
      </c>
      <c r="K680" s="2">
        <v>1</v>
      </c>
      <c r="L680" s="3" t="s">
        <v>127</v>
      </c>
      <c r="O680" s="4">
        <v>3</v>
      </c>
      <c r="P680" s="4" t="s">
        <v>715</v>
      </c>
      <c r="Q680" s="4" t="s">
        <v>2997</v>
      </c>
      <c r="R680" s="16">
        <v>2000000</v>
      </c>
      <c r="S680" s="6">
        <v>2000000</v>
      </c>
      <c r="T680" s="17" t="s">
        <v>795</v>
      </c>
      <c r="U680" s="6">
        <v>5000</v>
      </c>
      <c r="V680" s="4"/>
      <c r="W680" s="4" t="s">
        <v>543</v>
      </c>
      <c r="X680" s="4"/>
      <c r="Y680" s="7">
        <v>3</v>
      </c>
      <c r="Z680" s="8">
        <v>851048</v>
      </c>
      <c r="AA680" s="7" t="s">
        <v>2998</v>
      </c>
      <c r="AB680" s="7"/>
      <c r="AC680" s="9">
        <v>3</v>
      </c>
      <c r="AD680" s="10">
        <v>641565</v>
      </c>
      <c r="AE680" s="9" t="s">
        <v>2999</v>
      </c>
      <c r="AF680" s="9" t="s">
        <v>3000</v>
      </c>
      <c r="AG680" s="11">
        <v>3</v>
      </c>
      <c r="AH680" s="11" t="s">
        <v>271</v>
      </c>
      <c r="AI680" s="11" t="s">
        <v>3001</v>
      </c>
      <c r="AJ680" s="11"/>
      <c r="AK680" s="11"/>
      <c r="AL680" s="12">
        <v>3</v>
      </c>
      <c r="AM680" s="12" t="s">
        <v>271</v>
      </c>
      <c r="AN680" s="12" t="s">
        <v>3002</v>
      </c>
      <c r="AO680" s="12"/>
      <c r="AP680" s="12"/>
      <c r="AQ680" s="4">
        <v>3</v>
      </c>
      <c r="AR680" s="4" t="s">
        <v>673</v>
      </c>
      <c r="AS680" s="4"/>
      <c r="AT680" s="13"/>
      <c r="AU680" s="13"/>
      <c r="AV680" s="13"/>
      <c r="AW680" s="13"/>
      <c r="AX680" s="4"/>
      <c r="AY680" s="13"/>
      <c r="AZ680" s="13"/>
      <c r="BA680" s="13"/>
      <c r="BB680" s="13"/>
      <c r="BC680" s="4"/>
      <c r="BD680" s="4"/>
      <c r="BE680" s="4"/>
      <c r="BF680" s="13"/>
      <c r="BG680" s="4"/>
      <c r="BH680" s="13"/>
      <c r="BI680" s="13"/>
      <c r="BJ680" s="4"/>
      <c r="BK680" s="14">
        <v>12</v>
      </c>
      <c r="BL680" s="14">
        <v>12</v>
      </c>
      <c r="BM680" s="14">
        <v>12</v>
      </c>
      <c r="BP680" s="15"/>
      <c r="BQ680" s="15"/>
      <c r="BR680" s="2" t="s">
        <v>409</v>
      </c>
      <c r="BS680" s="2" t="s">
        <v>409</v>
      </c>
      <c r="BT680" s="7" t="s">
        <v>438</v>
      </c>
      <c r="BU680" s="7" t="s">
        <v>88</v>
      </c>
      <c r="BV680" s="9" t="s">
        <v>438</v>
      </c>
      <c r="BW680" s="9" t="s">
        <v>88</v>
      </c>
    </row>
    <row r="681" spans="1:75" ht="14.25" customHeight="1" x14ac:dyDescent="0.25">
      <c r="A681" s="1">
        <v>1288</v>
      </c>
      <c r="B681" s="1" t="s">
        <v>3003</v>
      </c>
      <c r="C681" s="1" t="s">
        <v>3004</v>
      </c>
      <c r="D681" s="1" t="s">
        <v>77</v>
      </c>
      <c r="E681" s="1" t="s">
        <v>2396</v>
      </c>
      <c r="F681" s="1" t="s">
        <v>2771</v>
      </c>
      <c r="G681" s="1" t="s">
        <v>3005</v>
      </c>
      <c r="H681" s="2">
        <v>0</v>
      </c>
      <c r="I681" s="2">
        <v>0</v>
      </c>
      <c r="J681" s="2">
        <v>0</v>
      </c>
      <c r="K681" s="2">
        <v>1</v>
      </c>
      <c r="L681" s="3" t="s">
        <v>80</v>
      </c>
      <c r="O681" s="4">
        <v>3</v>
      </c>
      <c r="P681" s="4" t="s">
        <v>81</v>
      </c>
      <c r="Q681" s="4"/>
      <c r="R681" s="5"/>
      <c r="S681" s="6"/>
      <c r="T681" s="17"/>
      <c r="U681" s="6"/>
      <c r="V681" s="4"/>
      <c r="W681" s="4"/>
      <c r="X681" s="4"/>
      <c r="Y681" s="7">
        <v>2</v>
      </c>
      <c r="Z681" s="8">
        <v>1536262</v>
      </c>
      <c r="AA681" s="7" t="s">
        <v>82</v>
      </c>
      <c r="AB681" s="7"/>
      <c r="AC681" s="9">
        <v>2</v>
      </c>
      <c r="AD681" s="10">
        <v>1536262</v>
      </c>
      <c r="AE681" s="9" t="s">
        <v>82</v>
      </c>
      <c r="AF681" s="9"/>
      <c r="AG681" s="11">
        <v>4</v>
      </c>
      <c r="AH681" s="11" t="s">
        <v>83</v>
      </c>
      <c r="AI681" s="11"/>
      <c r="AJ681" s="11"/>
      <c r="AK681" s="11"/>
      <c r="AL681" s="12">
        <v>4</v>
      </c>
      <c r="AM681" s="12" t="s">
        <v>83</v>
      </c>
      <c r="AN681" s="12"/>
      <c r="AO681" s="12"/>
      <c r="AP681" s="12"/>
      <c r="AQ681" s="4">
        <v>5</v>
      </c>
      <c r="AR681" s="4" t="s">
        <v>83</v>
      </c>
      <c r="AS681" s="4"/>
      <c r="AT681" s="13"/>
      <c r="AU681" s="13"/>
      <c r="AV681" s="13"/>
      <c r="AW681" s="13"/>
      <c r="AX681" s="4"/>
      <c r="AY681" s="13"/>
      <c r="AZ681" s="13"/>
      <c r="BA681" s="13"/>
      <c r="BB681" s="13"/>
      <c r="BC681" s="4"/>
      <c r="BD681" s="4"/>
      <c r="BE681" s="4"/>
      <c r="BF681" s="13"/>
      <c r="BG681" s="4"/>
      <c r="BH681" s="13"/>
      <c r="BI681" s="13"/>
      <c r="BJ681" s="4"/>
      <c r="BK681" s="14">
        <v>14</v>
      </c>
      <c r="BL681" s="14">
        <v>14</v>
      </c>
      <c r="BM681" s="14">
        <v>14</v>
      </c>
      <c r="BN681" s="3" t="s">
        <v>113</v>
      </c>
      <c r="BP681" s="15"/>
      <c r="BQ681" s="15"/>
      <c r="BR681" s="2" t="s">
        <v>121</v>
      </c>
      <c r="BS681" s="2" t="s">
        <v>121</v>
      </c>
      <c r="BT681" s="7" t="s">
        <v>98</v>
      </c>
      <c r="BU681" s="7"/>
      <c r="BV681" s="9" t="s">
        <v>98</v>
      </c>
      <c r="BW681" s="9"/>
    </row>
    <row r="682" spans="1:75" ht="14.25" customHeight="1" x14ac:dyDescent="0.25">
      <c r="A682" s="1">
        <v>1289</v>
      </c>
      <c r="B682" s="1" t="s">
        <v>3006</v>
      </c>
      <c r="C682" s="1" t="s">
        <v>3007</v>
      </c>
      <c r="D682" s="1" t="s">
        <v>77</v>
      </c>
      <c r="E682" s="1" t="s">
        <v>2396</v>
      </c>
      <c r="F682" s="1" t="s">
        <v>2771</v>
      </c>
      <c r="G682" s="1"/>
      <c r="H682" s="2">
        <v>0</v>
      </c>
      <c r="I682" s="2">
        <v>0</v>
      </c>
      <c r="J682" s="2">
        <v>0</v>
      </c>
      <c r="K682" s="2">
        <v>1</v>
      </c>
      <c r="L682" s="3" t="s">
        <v>80</v>
      </c>
      <c r="O682" s="4">
        <v>4</v>
      </c>
      <c r="P682" s="4" t="s">
        <v>81</v>
      </c>
      <c r="Q682" s="4"/>
      <c r="R682" s="5"/>
      <c r="S682" s="6"/>
      <c r="T682" s="17"/>
      <c r="U682" s="6"/>
      <c r="V682" s="4"/>
      <c r="W682" s="4"/>
      <c r="X682" s="4"/>
      <c r="Y682" s="7">
        <v>4</v>
      </c>
      <c r="Z682" s="8">
        <v>245158</v>
      </c>
      <c r="AA682" s="7" t="s">
        <v>82</v>
      </c>
      <c r="AB682" s="7"/>
      <c r="AC682" s="9">
        <v>4</v>
      </c>
      <c r="AD682" s="10">
        <v>245158</v>
      </c>
      <c r="AE682" s="9" t="s">
        <v>82</v>
      </c>
      <c r="AF682" s="9"/>
      <c r="AG682" s="11">
        <v>4</v>
      </c>
      <c r="AH682" s="11" t="s">
        <v>83</v>
      </c>
      <c r="AI682" s="11"/>
      <c r="AJ682" s="11"/>
      <c r="AK682" s="11"/>
      <c r="AL682" s="12">
        <v>4</v>
      </c>
      <c r="AM682" s="12" t="s">
        <v>83</v>
      </c>
      <c r="AN682" s="12"/>
      <c r="AO682" s="12"/>
      <c r="AP682" s="12"/>
      <c r="AQ682" s="4">
        <v>5</v>
      </c>
      <c r="AR682" s="4" t="s">
        <v>83</v>
      </c>
      <c r="AS682" s="4"/>
      <c r="AT682" s="13"/>
      <c r="AU682" s="13"/>
      <c r="AV682" s="13"/>
      <c r="AW682" s="13"/>
      <c r="AX682" s="4"/>
      <c r="AY682" s="13"/>
      <c r="AZ682" s="13"/>
      <c r="BA682" s="13"/>
      <c r="BB682" s="13"/>
      <c r="BC682" s="4"/>
      <c r="BD682" s="4"/>
      <c r="BE682" s="4"/>
      <c r="BF682" s="13"/>
      <c r="BG682" s="4"/>
      <c r="BH682" s="13"/>
      <c r="BI682" s="13"/>
      <c r="BJ682" s="4"/>
      <c r="BK682" s="14">
        <v>17</v>
      </c>
      <c r="BL682" s="14">
        <v>17</v>
      </c>
      <c r="BM682" s="14">
        <v>17</v>
      </c>
      <c r="BN682" s="3" t="s">
        <v>312</v>
      </c>
      <c r="BP682" s="15"/>
      <c r="BQ682" s="15"/>
      <c r="BR682" s="2" t="s">
        <v>121</v>
      </c>
      <c r="BS682" s="2" t="s">
        <v>121</v>
      </c>
      <c r="BT682" s="7" t="s">
        <v>98</v>
      </c>
      <c r="BU682" s="7"/>
      <c r="BV682" s="9" t="s">
        <v>98</v>
      </c>
      <c r="BW682" s="9"/>
    </row>
    <row r="683" spans="1:75" ht="14.25" customHeight="1" x14ac:dyDescent="0.25">
      <c r="A683" s="1">
        <v>1290</v>
      </c>
      <c r="B683" s="1" t="s">
        <v>3008</v>
      </c>
      <c r="C683" s="1" t="s">
        <v>3009</v>
      </c>
      <c r="D683" s="1" t="s">
        <v>77</v>
      </c>
      <c r="E683" s="1" t="s">
        <v>2396</v>
      </c>
      <c r="F683" s="1" t="s">
        <v>3010</v>
      </c>
      <c r="G683" s="1"/>
      <c r="H683" s="2">
        <v>0</v>
      </c>
      <c r="I683" s="2">
        <v>0</v>
      </c>
      <c r="J683" s="2">
        <v>1</v>
      </c>
      <c r="K683" s="2">
        <v>1</v>
      </c>
      <c r="L683" s="3" t="s">
        <v>80</v>
      </c>
      <c r="O683" s="4">
        <v>4</v>
      </c>
      <c r="P683" s="4" t="s">
        <v>112</v>
      </c>
      <c r="Q683" s="4"/>
      <c r="R683" s="5"/>
      <c r="S683" s="6"/>
      <c r="T683" s="17"/>
      <c r="U683" s="6"/>
      <c r="V683" s="4"/>
      <c r="W683" s="4"/>
      <c r="X683" s="4"/>
      <c r="Y683" s="7">
        <v>2</v>
      </c>
      <c r="Z683" s="8">
        <v>1071830</v>
      </c>
      <c r="AA683" s="7" t="s">
        <v>92</v>
      </c>
      <c r="AB683" s="7"/>
      <c r="AC683" s="9">
        <v>2</v>
      </c>
      <c r="AD683" s="10">
        <v>1071830</v>
      </c>
      <c r="AE683" s="9" t="s">
        <v>92</v>
      </c>
      <c r="AF683" s="9"/>
      <c r="AG683" s="11">
        <v>4</v>
      </c>
      <c r="AH683" s="11" t="s">
        <v>93</v>
      </c>
      <c r="AI683" s="11"/>
      <c r="AJ683" s="11"/>
      <c r="AK683" s="11"/>
      <c r="AL683" s="12">
        <v>4</v>
      </c>
      <c r="AM683" s="12" t="s">
        <v>93</v>
      </c>
      <c r="AN683" s="12" t="s">
        <v>3011</v>
      </c>
      <c r="AO683" s="12"/>
      <c r="AP683" s="12"/>
      <c r="AQ683" s="4">
        <v>5</v>
      </c>
      <c r="AR683" s="4" t="s">
        <v>83</v>
      </c>
      <c r="AS683" s="4" t="s">
        <v>3012</v>
      </c>
      <c r="AT683" s="13"/>
      <c r="AU683" s="13"/>
      <c r="AV683" s="13"/>
      <c r="AW683" s="13"/>
      <c r="AX683" s="4"/>
      <c r="AY683" s="13"/>
      <c r="AZ683" s="13"/>
      <c r="BA683" s="13"/>
      <c r="BB683" s="13"/>
      <c r="BC683" s="4"/>
      <c r="BD683" s="4"/>
      <c r="BE683" s="4"/>
      <c r="BF683" s="13"/>
      <c r="BG683" s="4"/>
      <c r="BH683" s="13"/>
      <c r="BI683" s="13"/>
      <c r="BJ683" s="4"/>
      <c r="BK683" s="14">
        <v>15</v>
      </c>
      <c r="BL683" s="14">
        <v>15</v>
      </c>
      <c r="BM683" s="14">
        <v>15</v>
      </c>
      <c r="BN683" s="3" t="s">
        <v>113</v>
      </c>
      <c r="BP683" s="15"/>
      <c r="BQ683" s="15"/>
      <c r="BR683" s="2" t="s">
        <v>87</v>
      </c>
      <c r="BS683" s="2" t="s">
        <v>87</v>
      </c>
      <c r="BT683" s="7" t="s">
        <v>88</v>
      </c>
      <c r="BU683" s="7" t="s">
        <v>437</v>
      </c>
      <c r="BV683" s="9" t="s">
        <v>88</v>
      </c>
      <c r="BW683" s="9" t="s">
        <v>437</v>
      </c>
    </row>
    <row r="684" spans="1:75" ht="14.25" customHeight="1" x14ac:dyDescent="0.25">
      <c r="A684" s="1">
        <v>1291</v>
      </c>
      <c r="B684" s="1" t="s">
        <v>3013</v>
      </c>
      <c r="C684" s="1" t="s">
        <v>3014</v>
      </c>
      <c r="D684" s="1" t="s">
        <v>77</v>
      </c>
      <c r="E684" s="1" t="s">
        <v>2396</v>
      </c>
      <c r="F684" s="1" t="s">
        <v>3010</v>
      </c>
      <c r="G684" s="1"/>
      <c r="H684" s="2">
        <v>0</v>
      </c>
      <c r="I684" s="2">
        <v>0</v>
      </c>
      <c r="J684" s="2">
        <v>0</v>
      </c>
      <c r="K684" s="2">
        <v>1</v>
      </c>
      <c r="L684" s="3" t="s">
        <v>80</v>
      </c>
      <c r="O684" s="4">
        <v>4</v>
      </c>
      <c r="P684" s="4" t="s">
        <v>81</v>
      </c>
      <c r="Q684" s="4"/>
      <c r="R684" s="5"/>
      <c r="S684" s="6"/>
      <c r="T684" s="17"/>
      <c r="U684" s="6"/>
      <c r="V684" s="4"/>
      <c r="W684" s="4"/>
      <c r="X684" s="4"/>
      <c r="Y684" s="7">
        <v>4</v>
      </c>
      <c r="Z684" s="8">
        <v>263022</v>
      </c>
      <c r="AA684" s="7" t="s">
        <v>82</v>
      </c>
      <c r="AB684" s="7"/>
      <c r="AC684" s="9">
        <v>4</v>
      </c>
      <c r="AD684" s="10">
        <v>263022</v>
      </c>
      <c r="AE684" s="9" t="s">
        <v>82</v>
      </c>
      <c r="AF684" s="9"/>
      <c r="AG684" s="11">
        <v>4</v>
      </c>
      <c r="AH684" s="11" t="s">
        <v>83</v>
      </c>
      <c r="AI684" s="11"/>
      <c r="AJ684" s="11"/>
      <c r="AK684" s="11"/>
      <c r="AL684" s="12">
        <v>4</v>
      </c>
      <c r="AM684" s="12" t="s">
        <v>83</v>
      </c>
      <c r="AN684" s="12"/>
      <c r="AO684" s="12"/>
      <c r="AP684" s="12"/>
      <c r="AQ684" s="4">
        <v>5</v>
      </c>
      <c r="AR684" s="4" t="s">
        <v>83</v>
      </c>
      <c r="AS684" s="4"/>
      <c r="AT684" s="13"/>
      <c r="AU684" s="13"/>
      <c r="AV684" s="13"/>
      <c r="AW684" s="13"/>
      <c r="AX684" s="4"/>
      <c r="AY684" s="13"/>
      <c r="AZ684" s="13"/>
      <c r="BA684" s="13"/>
      <c r="BB684" s="13"/>
      <c r="BC684" s="4"/>
      <c r="BD684" s="4"/>
      <c r="BE684" s="4"/>
      <c r="BF684" s="13"/>
      <c r="BG684" s="4"/>
      <c r="BH684" s="13"/>
      <c r="BI684" s="13"/>
      <c r="BJ684" s="4"/>
      <c r="BK684" s="14">
        <v>17</v>
      </c>
      <c r="BL684" s="14">
        <v>17</v>
      </c>
      <c r="BM684" s="14">
        <v>17</v>
      </c>
      <c r="BN684" s="3" t="s">
        <v>312</v>
      </c>
      <c r="BP684" s="15"/>
      <c r="BQ684" s="15"/>
      <c r="BR684" s="2" t="s">
        <v>121</v>
      </c>
      <c r="BS684" s="2" t="s">
        <v>121</v>
      </c>
      <c r="BT684" s="7" t="s">
        <v>98</v>
      </c>
      <c r="BU684" s="7"/>
      <c r="BV684" s="9" t="s">
        <v>98</v>
      </c>
      <c r="BW684" s="9"/>
    </row>
    <row r="685" spans="1:75" ht="14.25" customHeight="1" x14ac:dyDescent="0.25">
      <c r="A685" s="1">
        <v>1292</v>
      </c>
      <c r="B685" s="1" t="s">
        <v>3015</v>
      </c>
      <c r="C685" s="1" t="s">
        <v>3016</v>
      </c>
      <c r="D685" s="1" t="s">
        <v>77</v>
      </c>
      <c r="E685" s="1" t="s">
        <v>2396</v>
      </c>
      <c r="F685" s="1" t="s">
        <v>3010</v>
      </c>
      <c r="G685" s="1"/>
      <c r="H685" s="2">
        <v>0</v>
      </c>
      <c r="I685" s="2">
        <v>0</v>
      </c>
      <c r="J685" s="2">
        <v>0</v>
      </c>
      <c r="K685" s="2">
        <v>1</v>
      </c>
      <c r="L685" s="3" t="s">
        <v>80</v>
      </c>
      <c r="O685" s="4">
        <v>4</v>
      </c>
      <c r="P685" s="4" t="s">
        <v>81</v>
      </c>
      <c r="Q685" s="4"/>
      <c r="R685" s="5"/>
      <c r="S685" s="6"/>
      <c r="T685" s="17"/>
      <c r="U685" s="6"/>
      <c r="V685" s="4"/>
      <c r="W685" s="4"/>
      <c r="X685" s="4"/>
      <c r="Y685" s="7">
        <v>4</v>
      </c>
      <c r="Z685" s="8">
        <v>175237</v>
      </c>
      <c r="AA685" s="7" t="s">
        <v>82</v>
      </c>
      <c r="AB685" s="7"/>
      <c r="AC685" s="9">
        <v>4</v>
      </c>
      <c r="AD685" s="10">
        <v>175237</v>
      </c>
      <c r="AE685" s="9" t="s">
        <v>82</v>
      </c>
      <c r="AF685" s="9"/>
      <c r="AG685" s="11">
        <v>4</v>
      </c>
      <c r="AH685" s="11" t="s">
        <v>83</v>
      </c>
      <c r="AI685" s="11"/>
      <c r="AJ685" s="11"/>
      <c r="AK685" s="11"/>
      <c r="AL685" s="12">
        <v>4</v>
      </c>
      <c r="AM685" s="12" t="s">
        <v>83</v>
      </c>
      <c r="AN685" s="12"/>
      <c r="AO685" s="12"/>
      <c r="AP685" s="12"/>
      <c r="AQ685" s="4">
        <v>5</v>
      </c>
      <c r="AR685" s="4" t="s">
        <v>83</v>
      </c>
      <c r="AS685" s="4"/>
      <c r="AT685" s="13"/>
      <c r="AU685" s="13"/>
      <c r="AV685" s="13"/>
      <c r="AW685" s="13"/>
      <c r="AX685" s="4"/>
      <c r="AY685" s="13"/>
      <c r="AZ685" s="13"/>
      <c r="BA685" s="13"/>
      <c r="BB685" s="13"/>
      <c r="BC685" s="4"/>
      <c r="BD685" s="4"/>
      <c r="BE685" s="4"/>
      <c r="BF685" s="13"/>
      <c r="BG685" s="4"/>
      <c r="BH685" s="13"/>
      <c r="BI685" s="13"/>
      <c r="BJ685" s="4"/>
      <c r="BK685" s="14">
        <v>17</v>
      </c>
      <c r="BL685" s="14">
        <v>17</v>
      </c>
      <c r="BM685" s="14">
        <v>17</v>
      </c>
      <c r="BN685" s="3" t="s">
        <v>312</v>
      </c>
      <c r="BP685" s="15"/>
      <c r="BQ685" s="15"/>
      <c r="BR685" s="2" t="s">
        <v>121</v>
      </c>
      <c r="BS685" s="2" t="s">
        <v>121</v>
      </c>
      <c r="BT685" s="7" t="s">
        <v>98</v>
      </c>
      <c r="BU685" s="7"/>
      <c r="BV685" s="9" t="s">
        <v>98</v>
      </c>
      <c r="BW685" s="9"/>
    </row>
    <row r="686" spans="1:75" ht="14.25" customHeight="1" x14ac:dyDescent="0.25">
      <c r="A686" s="1">
        <v>1293</v>
      </c>
      <c r="B686" s="1" t="s">
        <v>3017</v>
      </c>
      <c r="C686" s="1" t="s">
        <v>3018</v>
      </c>
      <c r="D686" s="1" t="s">
        <v>77</v>
      </c>
      <c r="E686" s="1" t="s">
        <v>2396</v>
      </c>
      <c r="F686" s="1" t="s">
        <v>3010</v>
      </c>
      <c r="G686" s="1"/>
      <c r="H686" s="2">
        <v>0</v>
      </c>
      <c r="I686" s="2">
        <v>0</v>
      </c>
      <c r="J686" s="2">
        <v>0</v>
      </c>
      <c r="K686" s="2">
        <v>1</v>
      </c>
      <c r="L686" s="3" t="s">
        <v>80</v>
      </c>
      <c r="O686" s="4">
        <v>3</v>
      </c>
      <c r="P686" s="4" t="s">
        <v>81</v>
      </c>
      <c r="Q686" s="4"/>
      <c r="R686" s="5"/>
      <c r="S686" s="6"/>
      <c r="T686" s="17"/>
      <c r="U686" s="6"/>
      <c r="V686" s="4"/>
      <c r="W686" s="4"/>
      <c r="X686" s="4"/>
      <c r="Y686" s="7">
        <v>4</v>
      </c>
      <c r="Z686" s="8">
        <v>198937</v>
      </c>
      <c r="AA686" s="7" t="s">
        <v>82</v>
      </c>
      <c r="AB686" s="7"/>
      <c r="AC686" s="9">
        <v>4</v>
      </c>
      <c r="AD686" s="10">
        <v>198937</v>
      </c>
      <c r="AE686" s="9" t="s">
        <v>82</v>
      </c>
      <c r="AF686" s="9"/>
      <c r="AG686" s="11">
        <v>4</v>
      </c>
      <c r="AH686" s="11" t="s">
        <v>83</v>
      </c>
      <c r="AI686" s="11"/>
      <c r="AJ686" s="11"/>
      <c r="AK686" s="11"/>
      <c r="AL686" s="12">
        <v>4</v>
      </c>
      <c r="AM686" s="12" t="s">
        <v>83</v>
      </c>
      <c r="AN686" s="12"/>
      <c r="AO686" s="12"/>
      <c r="AP686" s="12"/>
      <c r="AQ686" s="4">
        <v>4</v>
      </c>
      <c r="AR686" s="4" t="s">
        <v>83</v>
      </c>
      <c r="AS686" s="4"/>
      <c r="AT686" s="13"/>
      <c r="AU686" s="13"/>
      <c r="AV686" s="13"/>
      <c r="AW686" s="13"/>
      <c r="AX686" s="4"/>
      <c r="AY686" s="13"/>
      <c r="AZ686" s="13"/>
      <c r="BA686" s="13"/>
      <c r="BB686" s="13"/>
      <c r="BC686" s="4"/>
      <c r="BD686" s="4"/>
      <c r="BE686" s="4"/>
      <c r="BF686" s="13"/>
      <c r="BG686" s="4"/>
      <c r="BH686" s="13"/>
      <c r="BI686" s="13"/>
      <c r="BJ686" s="4"/>
      <c r="BK686" s="14">
        <v>15</v>
      </c>
      <c r="BL686" s="14">
        <v>15</v>
      </c>
      <c r="BM686" s="14">
        <v>15</v>
      </c>
      <c r="BN686" s="3" t="s">
        <v>86</v>
      </c>
      <c r="BP686" s="15"/>
      <c r="BQ686" s="15"/>
      <c r="BR686" s="2" t="s">
        <v>87</v>
      </c>
      <c r="BS686" s="2" t="s">
        <v>87</v>
      </c>
      <c r="BT686" s="7" t="s">
        <v>88</v>
      </c>
      <c r="BU686" s="7"/>
      <c r="BV686" s="9" t="s">
        <v>88</v>
      </c>
      <c r="BW686" s="9"/>
    </row>
    <row r="687" spans="1:75" ht="14.25" customHeight="1" x14ac:dyDescent="0.25">
      <c r="A687" s="1">
        <v>1294</v>
      </c>
      <c r="B687" s="1" t="s">
        <v>3019</v>
      </c>
      <c r="C687" s="1" t="s">
        <v>3020</v>
      </c>
      <c r="D687" s="1" t="s">
        <v>77</v>
      </c>
      <c r="E687" s="1" t="s">
        <v>2396</v>
      </c>
      <c r="F687" s="1" t="s">
        <v>3021</v>
      </c>
      <c r="G687" s="1" t="s">
        <v>118</v>
      </c>
      <c r="H687" s="2">
        <v>0</v>
      </c>
      <c r="I687" s="2">
        <v>0</v>
      </c>
      <c r="J687" s="2">
        <v>0</v>
      </c>
      <c r="K687" s="2">
        <v>1</v>
      </c>
      <c r="L687" s="3" t="s">
        <v>80</v>
      </c>
      <c r="O687" s="4">
        <v>5</v>
      </c>
      <c r="P687" s="4" t="s">
        <v>81</v>
      </c>
      <c r="Q687" s="4"/>
      <c r="R687" s="5"/>
      <c r="S687" s="6"/>
      <c r="T687" s="17"/>
      <c r="U687" s="6"/>
      <c r="V687" s="4"/>
      <c r="W687" s="4"/>
      <c r="X687" s="4"/>
      <c r="Y687" s="7">
        <v>5</v>
      </c>
      <c r="Z687" s="8">
        <v>212</v>
      </c>
      <c r="AA687" s="7" t="s">
        <v>82</v>
      </c>
      <c r="AB687" s="7"/>
      <c r="AC687" s="9">
        <v>5</v>
      </c>
      <c r="AD687" s="10">
        <v>212</v>
      </c>
      <c r="AE687" s="9" t="s">
        <v>82</v>
      </c>
      <c r="AF687" s="9"/>
      <c r="AG687" s="11">
        <v>4</v>
      </c>
      <c r="AH687" s="11" t="s">
        <v>83</v>
      </c>
      <c r="AI687" s="11"/>
      <c r="AJ687" s="11"/>
      <c r="AK687" s="11"/>
      <c r="AL687" s="12">
        <v>4</v>
      </c>
      <c r="AM687" s="12" t="s">
        <v>83</v>
      </c>
      <c r="AN687" s="12"/>
      <c r="AO687" s="12"/>
      <c r="AP687" s="12"/>
      <c r="AQ687" s="4">
        <v>3</v>
      </c>
      <c r="AR687" s="4" t="s">
        <v>83</v>
      </c>
      <c r="AS687" s="4"/>
      <c r="AT687" s="13"/>
      <c r="AU687" s="13"/>
      <c r="AV687" s="13"/>
      <c r="AW687" s="13"/>
      <c r="AX687" s="4"/>
      <c r="AY687" s="13"/>
      <c r="AZ687" s="13"/>
      <c r="BA687" s="13"/>
      <c r="BB687" s="13"/>
      <c r="BC687" s="4"/>
      <c r="BD687" s="4"/>
      <c r="BE687" s="4"/>
      <c r="BF687" s="13"/>
      <c r="BG687" s="4"/>
      <c r="BH687" s="13"/>
      <c r="BI687" s="13"/>
      <c r="BJ687" s="4"/>
      <c r="BK687" s="14">
        <v>17</v>
      </c>
      <c r="BL687" s="14">
        <v>17</v>
      </c>
      <c r="BM687" s="14">
        <v>17</v>
      </c>
      <c r="BN687" s="3" t="s">
        <v>312</v>
      </c>
      <c r="BO687" s="3" t="s">
        <v>120</v>
      </c>
      <c r="BP687" s="15"/>
      <c r="BQ687" s="15"/>
      <c r="BR687" s="2" t="s">
        <v>87</v>
      </c>
      <c r="BS687" s="2" t="s">
        <v>87</v>
      </c>
      <c r="BT687" s="7" t="s">
        <v>88</v>
      </c>
      <c r="BU687" s="7"/>
      <c r="BV687" s="9" t="s">
        <v>88</v>
      </c>
      <c r="BW687" s="9"/>
    </row>
    <row r="688" spans="1:75" ht="14.25" customHeight="1" x14ac:dyDescent="0.25">
      <c r="A688" s="1">
        <v>1296</v>
      </c>
      <c r="B688" s="1" t="s">
        <v>3022</v>
      </c>
      <c r="C688" s="1" t="s">
        <v>3023</v>
      </c>
      <c r="D688" s="1" t="s">
        <v>77</v>
      </c>
      <c r="E688" s="1" t="s">
        <v>2396</v>
      </c>
      <c r="F688" s="1" t="s">
        <v>3021</v>
      </c>
      <c r="G688" s="1"/>
      <c r="H688" s="2">
        <v>0</v>
      </c>
      <c r="I688" s="2">
        <v>0</v>
      </c>
      <c r="J688" s="2">
        <v>0</v>
      </c>
      <c r="K688" s="2">
        <v>1</v>
      </c>
      <c r="L688" s="3" t="s">
        <v>80</v>
      </c>
      <c r="O688" s="4">
        <v>4</v>
      </c>
      <c r="P688" s="4" t="s">
        <v>81</v>
      </c>
      <c r="Q688" s="4"/>
      <c r="R688" s="5"/>
      <c r="S688" s="6"/>
      <c r="T688" s="17"/>
      <c r="U688" s="6"/>
      <c r="V688" s="4"/>
      <c r="W688" s="4"/>
      <c r="X688" s="4"/>
      <c r="Y688" s="7">
        <v>5</v>
      </c>
      <c r="Z688" s="8">
        <v>15621</v>
      </c>
      <c r="AA688" s="7" t="s">
        <v>82</v>
      </c>
      <c r="AB688" s="7"/>
      <c r="AC688" s="9">
        <v>5</v>
      </c>
      <c r="AD688" s="10">
        <v>15621</v>
      </c>
      <c r="AE688" s="9" t="s">
        <v>82</v>
      </c>
      <c r="AF688" s="9"/>
      <c r="AG688" s="11">
        <v>3</v>
      </c>
      <c r="AH688" s="11" t="s">
        <v>83</v>
      </c>
      <c r="AI688" s="11"/>
      <c r="AJ688" s="11"/>
      <c r="AK688" s="11"/>
      <c r="AL688" s="12">
        <v>3</v>
      </c>
      <c r="AM688" s="12" t="s">
        <v>83</v>
      </c>
      <c r="AN688" s="12"/>
      <c r="AO688" s="12"/>
      <c r="AP688" s="12"/>
      <c r="AQ688" s="4">
        <v>4</v>
      </c>
      <c r="AR688" s="4" t="s">
        <v>83</v>
      </c>
      <c r="AS688" s="4"/>
      <c r="AT688" s="13"/>
      <c r="AU688" s="13"/>
      <c r="AV688" s="13"/>
      <c r="AW688" s="13"/>
      <c r="AX688" s="4"/>
      <c r="AY688" s="13"/>
      <c r="AZ688" s="13"/>
      <c r="BA688" s="13"/>
      <c r="BB688" s="13"/>
      <c r="BC688" s="4"/>
      <c r="BD688" s="4"/>
      <c r="BE688" s="4"/>
      <c r="BF688" s="13"/>
      <c r="BG688" s="4"/>
      <c r="BH688" s="13"/>
      <c r="BI688" s="13"/>
      <c r="BJ688" s="4"/>
      <c r="BK688" s="14">
        <v>16</v>
      </c>
      <c r="BL688" s="14">
        <v>16</v>
      </c>
      <c r="BM688" s="14">
        <v>16</v>
      </c>
      <c r="BN688" s="3" t="s">
        <v>86</v>
      </c>
      <c r="BP688" s="15"/>
      <c r="BQ688" s="15"/>
      <c r="BR688" s="2" t="s">
        <v>87</v>
      </c>
      <c r="BS688" s="2" t="s">
        <v>87</v>
      </c>
      <c r="BT688" s="7" t="s">
        <v>88</v>
      </c>
      <c r="BU688" s="7"/>
      <c r="BV688" s="9" t="s">
        <v>88</v>
      </c>
      <c r="BW688" s="9"/>
    </row>
    <row r="689" spans="1:75" ht="14.25" customHeight="1" x14ac:dyDescent="0.25">
      <c r="A689" s="1">
        <v>1297</v>
      </c>
      <c r="B689" s="1" t="s">
        <v>3024</v>
      </c>
      <c r="C689" s="1" t="s">
        <v>3025</v>
      </c>
      <c r="D689" s="1" t="s">
        <v>77</v>
      </c>
      <c r="E689" s="1" t="s">
        <v>2396</v>
      </c>
      <c r="F689" s="1" t="s">
        <v>3026</v>
      </c>
      <c r="G689" s="1" t="s">
        <v>3027</v>
      </c>
      <c r="H689" s="2">
        <v>0</v>
      </c>
      <c r="I689" s="2">
        <v>0</v>
      </c>
      <c r="J689" s="2">
        <v>1</v>
      </c>
      <c r="K689" s="2">
        <v>1</v>
      </c>
      <c r="L689" s="3" t="s">
        <v>80</v>
      </c>
      <c r="O689" s="4">
        <v>3</v>
      </c>
      <c r="P689" s="4" t="s">
        <v>3028</v>
      </c>
      <c r="Q689" s="4" t="s">
        <v>3029</v>
      </c>
      <c r="R689" s="5"/>
      <c r="S689" s="6"/>
      <c r="T689" s="17"/>
      <c r="U689" s="6"/>
      <c r="V689" s="4"/>
      <c r="W689" s="4"/>
      <c r="X689" s="4"/>
      <c r="Y689" s="7">
        <v>3</v>
      </c>
      <c r="Z689" s="8">
        <v>316048</v>
      </c>
      <c r="AA689" s="7" t="s">
        <v>283</v>
      </c>
      <c r="AB689" s="7"/>
      <c r="AC689" s="9">
        <v>3</v>
      </c>
      <c r="AD689" s="10">
        <v>316048</v>
      </c>
      <c r="AE689" s="9" t="s">
        <v>283</v>
      </c>
      <c r="AF689" s="9"/>
      <c r="AG689" s="11">
        <v>3</v>
      </c>
      <c r="AH689" s="11" t="s">
        <v>3030</v>
      </c>
      <c r="AI689" s="11" t="s">
        <v>3031</v>
      </c>
      <c r="AJ689" s="11"/>
      <c r="AK689" s="11"/>
      <c r="AL689" s="12">
        <v>3</v>
      </c>
      <c r="AM689" s="12" t="s">
        <v>3032</v>
      </c>
      <c r="AN689" s="12" t="s">
        <v>3033</v>
      </c>
      <c r="AO689" s="12"/>
      <c r="AP689" s="12"/>
      <c r="AQ689" s="4">
        <v>4</v>
      </c>
      <c r="AR689" s="4" t="s">
        <v>3030</v>
      </c>
      <c r="AS689" s="4" t="s">
        <v>3031</v>
      </c>
      <c r="AT689" s="13"/>
      <c r="AU689" s="13"/>
      <c r="AV689" s="13"/>
      <c r="AW689" s="13"/>
      <c r="AX689" s="4"/>
      <c r="AY689" s="13"/>
      <c r="AZ689" s="13"/>
      <c r="BA689" s="13"/>
      <c r="BB689" s="13"/>
      <c r="BC689" s="4"/>
      <c r="BD689" s="4"/>
      <c r="BE689" s="4"/>
      <c r="BF689" s="13"/>
      <c r="BG689" s="4"/>
      <c r="BH689" s="13"/>
      <c r="BI689" s="13"/>
      <c r="BJ689" s="4"/>
      <c r="BK689" s="14">
        <v>13</v>
      </c>
      <c r="BL689" s="14">
        <v>13</v>
      </c>
      <c r="BM689" s="14">
        <v>13</v>
      </c>
      <c r="BP689" s="15"/>
      <c r="BQ689" s="15" t="s">
        <v>146</v>
      </c>
      <c r="BR689" s="2" t="s">
        <v>115</v>
      </c>
      <c r="BS689" s="2" t="s">
        <v>115</v>
      </c>
      <c r="BT689" s="7" t="s">
        <v>98</v>
      </c>
      <c r="BU689" s="7" t="s">
        <v>88</v>
      </c>
      <c r="BV689" s="9" t="s">
        <v>98</v>
      </c>
      <c r="BW689" s="9" t="s">
        <v>88</v>
      </c>
    </row>
    <row r="690" spans="1:75" ht="14.25" customHeight="1" x14ac:dyDescent="0.25">
      <c r="A690" s="1">
        <v>1298</v>
      </c>
      <c r="B690" s="1" t="s">
        <v>3034</v>
      </c>
      <c r="C690" s="1" t="s">
        <v>3035</v>
      </c>
      <c r="D690" s="1" t="s">
        <v>77</v>
      </c>
      <c r="E690" s="1" t="s">
        <v>2396</v>
      </c>
      <c r="F690" s="1" t="s">
        <v>3026</v>
      </c>
      <c r="G690" s="1"/>
      <c r="H690" s="2">
        <v>0</v>
      </c>
      <c r="I690" s="2">
        <v>0</v>
      </c>
      <c r="J690" s="2">
        <v>0</v>
      </c>
      <c r="K690" s="2">
        <v>1</v>
      </c>
      <c r="L690" s="3" t="s">
        <v>80</v>
      </c>
      <c r="O690" s="4">
        <v>2</v>
      </c>
      <c r="P690" s="4" t="s">
        <v>112</v>
      </c>
      <c r="Q690" s="4" t="s">
        <v>3036</v>
      </c>
      <c r="R690" s="5"/>
      <c r="S690" s="6"/>
      <c r="T690" s="17"/>
      <c r="U690" s="6"/>
      <c r="V690" s="4"/>
      <c r="W690" s="4"/>
      <c r="X690" s="4"/>
      <c r="Y690" s="7">
        <v>1</v>
      </c>
      <c r="Z690" s="8">
        <v>5715309</v>
      </c>
      <c r="AA690" s="7" t="s">
        <v>283</v>
      </c>
      <c r="AB690" s="7"/>
      <c r="AC690" s="9">
        <v>1</v>
      </c>
      <c r="AD690" s="10">
        <v>5715309</v>
      </c>
      <c r="AE690" s="9" t="s">
        <v>283</v>
      </c>
      <c r="AF690" s="9"/>
      <c r="AG690" s="11">
        <v>3</v>
      </c>
      <c r="AH690" s="11" t="s">
        <v>3032</v>
      </c>
      <c r="AI690" s="11" t="s">
        <v>3037</v>
      </c>
      <c r="AJ690" s="11"/>
      <c r="AK690" s="11"/>
      <c r="AL690" s="12">
        <v>3</v>
      </c>
      <c r="AM690" s="12" t="s">
        <v>3032</v>
      </c>
      <c r="AN690" s="12" t="s">
        <v>3038</v>
      </c>
      <c r="AO690" s="12"/>
      <c r="AP690" s="12"/>
      <c r="AQ690" s="4">
        <v>4</v>
      </c>
      <c r="AR690" s="4" t="s">
        <v>3032</v>
      </c>
      <c r="AS690" s="4" t="s">
        <v>3039</v>
      </c>
      <c r="AT690" s="13"/>
      <c r="AU690" s="13"/>
      <c r="AV690" s="13"/>
      <c r="AW690" s="13"/>
      <c r="AX690" s="4"/>
      <c r="AY690" s="13"/>
      <c r="AZ690" s="13"/>
      <c r="BA690" s="13"/>
      <c r="BB690" s="13"/>
      <c r="BC690" s="4"/>
      <c r="BD690" s="4"/>
      <c r="BE690" s="4"/>
      <c r="BF690" s="13"/>
      <c r="BG690" s="4"/>
      <c r="BH690" s="13"/>
      <c r="BI690" s="13"/>
      <c r="BJ690" s="4"/>
      <c r="BK690" s="14">
        <v>10</v>
      </c>
      <c r="BL690" s="14">
        <v>10</v>
      </c>
      <c r="BM690" s="14">
        <v>10</v>
      </c>
      <c r="BP690" s="15"/>
      <c r="BQ690" s="15"/>
      <c r="BR690" s="2" t="s">
        <v>97</v>
      </c>
      <c r="BS690" s="2" t="s">
        <v>97</v>
      </c>
      <c r="BT690" s="7" t="s">
        <v>98</v>
      </c>
      <c r="BU690" s="7"/>
      <c r="BV690" s="9" t="s">
        <v>98</v>
      </c>
      <c r="BW690" s="9"/>
    </row>
    <row r="691" spans="1:75" ht="14.25" customHeight="1" x14ac:dyDescent="0.25">
      <c r="A691" s="1">
        <v>1304</v>
      </c>
      <c r="B691" s="1" t="s">
        <v>3040</v>
      </c>
      <c r="C691" s="1" t="s">
        <v>3041</v>
      </c>
      <c r="D691" s="1" t="s">
        <v>77</v>
      </c>
      <c r="E691" s="1" t="s">
        <v>2396</v>
      </c>
      <c r="F691" s="1" t="s">
        <v>3042</v>
      </c>
      <c r="G691" s="1"/>
      <c r="H691" s="2">
        <v>0</v>
      </c>
      <c r="I691" s="2">
        <v>0</v>
      </c>
      <c r="J691" s="2">
        <v>1</v>
      </c>
      <c r="K691" s="2">
        <v>1</v>
      </c>
      <c r="L691" s="3" t="s">
        <v>80</v>
      </c>
      <c r="O691" s="4">
        <v>2</v>
      </c>
      <c r="P691" s="4" t="s">
        <v>112</v>
      </c>
      <c r="Q691" s="4"/>
      <c r="R691" s="5"/>
      <c r="S691" s="6"/>
      <c r="T691" s="17"/>
      <c r="U691" s="6"/>
      <c r="V691" s="4"/>
      <c r="W691" s="4"/>
      <c r="X691" s="4"/>
      <c r="Y691" s="7">
        <v>1</v>
      </c>
      <c r="Z691" s="8">
        <v>12029294</v>
      </c>
      <c r="AA691" s="7" t="s">
        <v>92</v>
      </c>
      <c r="AB691" s="7"/>
      <c r="AC691" s="9">
        <v>1</v>
      </c>
      <c r="AD691" s="10">
        <v>12029294</v>
      </c>
      <c r="AE691" s="9" t="s">
        <v>92</v>
      </c>
      <c r="AF691" s="9"/>
      <c r="AG691" s="11">
        <v>3</v>
      </c>
      <c r="AH691" s="11" t="s">
        <v>93</v>
      </c>
      <c r="AI691" s="11"/>
      <c r="AJ691" s="11"/>
      <c r="AK691" s="11"/>
      <c r="AL691" s="12">
        <v>3</v>
      </c>
      <c r="AM691" s="12" t="s">
        <v>93</v>
      </c>
      <c r="AN691" s="12" t="s">
        <v>655</v>
      </c>
      <c r="AO691" s="12"/>
      <c r="AP691" s="12"/>
      <c r="AQ691" s="4">
        <v>3</v>
      </c>
      <c r="AR691" s="4" t="s">
        <v>83</v>
      </c>
      <c r="AS691" s="4" t="s">
        <v>3043</v>
      </c>
      <c r="AT691" s="13"/>
      <c r="AU691" s="13"/>
      <c r="AV691" s="13"/>
      <c r="AW691" s="13"/>
      <c r="AX691" s="4"/>
      <c r="AY691" s="13"/>
      <c r="AZ691" s="13"/>
      <c r="BA691" s="13"/>
      <c r="BB691" s="13"/>
      <c r="BC691" s="4"/>
      <c r="BD691" s="4"/>
      <c r="BE691" s="4"/>
      <c r="BF691" s="13"/>
      <c r="BG691" s="4"/>
      <c r="BH691" s="13"/>
      <c r="BI691" s="13"/>
      <c r="BJ691" s="4"/>
      <c r="BK691" s="14">
        <v>9</v>
      </c>
      <c r="BL691" s="14">
        <v>9</v>
      </c>
      <c r="BM691" s="14">
        <v>9</v>
      </c>
      <c r="BP691" s="15"/>
      <c r="BQ691" s="15"/>
      <c r="BR691" s="2" t="s">
        <v>97</v>
      </c>
      <c r="BS691" s="2" t="s">
        <v>97</v>
      </c>
      <c r="BT691" s="7" t="s">
        <v>98</v>
      </c>
      <c r="BU691" s="7"/>
      <c r="BV691" s="9" t="s">
        <v>98</v>
      </c>
      <c r="BW691" s="9"/>
    </row>
    <row r="692" spans="1:75" ht="14.25" customHeight="1" x14ac:dyDescent="0.25">
      <c r="A692" s="1">
        <v>1305</v>
      </c>
      <c r="B692" s="1" t="s">
        <v>3044</v>
      </c>
      <c r="C692" s="1" t="s">
        <v>3045</v>
      </c>
      <c r="D692" s="1" t="s">
        <v>77</v>
      </c>
      <c r="E692" s="1" t="s">
        <v>2396</v>
      </c>
      <c r="F692" s="1" t="s">
        <v>3042</v>
      </c>
      <c r="G692" s="1"/>
      <c r="H692" s="2">
        <v>0</v>
      </c>
      <c r="I692" s="2">
        <v>0</v>
      </c>
      <c r="J692" s="2">
        <v>0</v>
      </c>
      <c r="K692" s="2">
        <v>1</v>
      </c>
      <c r="L692" s="3" t="s">
        <v>80</v>
      </c>
      <c r="O692" s="4">
        <v>3</v>
      </c>
      <c r="P692" s="4" t="s">
        <v>81</v>
      </c>
      <c r="Q692" s="4"/>
      <c r="R692" s="5"/>
      <c r="S692" s="6"/>
      <c r="T692" s="17"/>
      <c r="U692" s="6"/>
      <c r="V692" s="4"/>
      <c r="W692" s="4"/>
      <c r="X692" s="4"/>
      <c r="Y692" s="7">
        <v>1</v>
      </c>
      <c r="Z692" s="8">
        <v>5138392</v>
      </c>
      <c r="AA692" s="7" t="s">
        <v>82</v>
      </c>
      <c r="AB692" s="7"/>
      <c r="AC692" s="9">
        <v>1</v>
      </c>
      <c r="AD692" s="10">
        <v>5138392</v>
      </c>
      <c r="AE692" s="9" t="s">
        <v>82</v>
      </c>
      <c r="AF692" s="9"/>
      <c r="AG692" s="11">
        <v>4</v>
      </c>
      <c r="AH692" s="11" t="s">
        <v>83</v>
      </c>
      <c r="AI692" s="11"/>
      <c r="AJ692" s="11"/>
      <c r="AK692" s="11"/>
      <c r="AL692" s="12">
        <v>4</v>
      </c>
      <c r="AM692" s="12" t="s">
        <v>83</v>
      </c>
      <c r="AN692" s="12"/>
      <c r="AO692" s="12"/>
      <c r="AP692" s="12"/>
      <c r="AQ692" s="4">
        <v>5</v>
      </c>
      <c r="AR692" s="4" t="s">
        <v>83</v>
      </c>
      <c r="AS692" s="4"/>
      <c r="AT692" s="13"/>
      <c r="AU692" s="13"/>
      <c r="AV692" s="13"/>
      <c r="AW692" s="13"/>
      <c r="AX692" s="4"/>
      <c r="AY692" s="13"/>
      <c r="AZ692" s="13"/>
      <c r="BA692" s="13"/>
      <c r="BB692" s="13"/>
      <c r="BC692" s="4"/>
      <c r="BD692" s="4"/>
      <c r="BE692" s="4"/>
      <c r="BF692" s="13"/>
      <c r="BG692" s="4"/>
      <c r="BH692" s="13"/>
      <c r="BI692" s="13"/>
      <c r="BJ692" s="4"/>
      <c r="BK692" s="14">
        <v>13</v>
      </c>
      <c r="BL692" s="14">
        <v>13</v>
      </c>
      <c r="BM692" s="14">
        <v>13</v>
      </c>
      <c r="BN692" s="3" t="s">
        <v>113</v>
      </c>
      <c r="BP692" s="15"/>
      <c r="BQ692" s="15"/>
      <c r="BR692" s="2" t="s">
        <v>97</v>
      </c>
      <c r="BS692" s="2" t="s">
        <v>97</v>
      </c>
      <c r="BT692" s="7" t="s">
        <v>98</v>
      </c>
      <c r="BU692" s="7"/>
      <c r="BV692" s="9" t="s">
        <v>98</v>
      </c>
      <c r="BW692" s="9"/>
    </row>
    <row r="693" spans="1:75" ht="14.25" customHeight="1" x14ac:dyDescent="0.25">
      <c r="A693" s="1">
        <v>1306</v>
      </c>
      <c r="B693" s="1" t="s">
        <v>3046</v>
      </c>
      <c r="C693" s="1" t="s">
        <v>3047</v>
      </c>
      <c r="D693" s="1" t="s">
        <v>77</v>
      </c>
      <c r="E693" s="1" t="s">
        <v>2396</v>
      </c>
      <c r="F693" s="1" t="s">
        <v>3042</v>
      </c>
      <c r="G693" s="1"/>
      <c r="H693" s="2">
        <v>0</v>
      </c>
      <c r="I693" s="2">
        <v>0</v>
      </c>
      <c r="J693" s="2">
        <v>1</v>
      </c>
      <c r="K693" s="2">
        <v>1</v>
      </c>
      <c r="L693" s="3" t="s">
        <v>80</v>
      </c>
      <c r="O693" s="4">
        <v>4</v>
      </c>
      <c r="P693" s="4" t="s">
        <v>112</v>
      </c>
      <c r="Q693" s="4"/>
      <c r="R693" s="5"/>
      <c r="S693" s="6"/>
      <c r="T693" s="17"/>
      <c r="U693" s="6"/>
      <c r="V693" s="4"/>
      <c r="W693" s="4"/>
      <c r="X693" s="4"/>
      <c r="Y693" s="7">
        <v>3</v>
      </c>
      <c r="Z693" s="8">
        <v>492554</v>
      </c>
      <c r="AA693" s="7" t="s">
        <v>92</v>
      </c>
      <c r="AB693" s="7"/>
      <c r="AC693" s="9">
        <v>3</v>
      </c>
      <c r="AD693" s="10">
        <v>492554</v>
      </c>
      <c r="AE693" s="9" t="s">
        <v>92</v>
      </c>
      <c r="AF693" s="9"/>
      <c r="AG693" s="11">
        <v>4</v>
      </c>
      <c r="AH693" s="11" t="s">
        <v>743</v>
      </c>
      <c r="AI693" s="11" t="s">
        <v>3048</v>
      </c>
      <c r="AJ693" s="11"/>
      <c r="AK693" s="11"/>
      <c r="AL693" s="12">
        <v>4</v>
      </c>
      <c r="AM693" s="12" t="s">
        <v>93</v>
      </c>
      <c r="AN693" s="12" t="s">
        <v>3049</v>
      </c>
      <c r="AO693" s="12"/>
      <c r="AP693" s="12"/>
      <c r="AQ693" s="4">
        <v>4</v>
      </c>
      <c r="AR693" s="4" t="s">
        <v>83</v>
      </c>
      <c r="AS693" s="4" t="s">
        <v>2423</v>
      </c>
      <c r="AT693" s="13"/>
      <c r="AU693" s="13"/>
      <c r="AV693" s="13"/>
      <c r="AW693" s="13"/>
      <c r="AX693" s="4"/>
      <c r="AY693" s="13"/>
      <c r="AZ693" s="13"/>
      <c r="BA693" s="13"/>
      <c r="BB693" s="13"/>
      <c r="BC693" s="4"/>
      <c r="BD693" s="4"/>
      <c r="BE693" s="4"/>
      <c r="BF693" s="13"/>
      <c r="BG693" s="4"/>
      <c r="BH693" s="13"/>
      <c r="BI693" s="13"/>
      <c r="BJ693" s="4"/>
      <c r="BK693" s="14">
        <v>15</v>
      </c>
      <c r="BL693" s="14">
        <v>15</v>
      </c>
      <c r="BM693" s="14">
        <v>15</v>
      </c>
      <c r="BN693" s="3" t="s">
        <v>86</v>
      </c>
      <c r="BP693" s="15"/>
      <c r="BQ693" s="15"/>
      <c r="BR693" s="2" t="s">
        <v>400</v>
      </c>
      <c r="BS693" s="2" t="s">
        <v>400</v>
      </c>
      <c r="BT693" s="7" t="s">
        <v>98</v>
      </c>
      <c r="BU693" s="7"/>
      <c r="BV693" s="9" t="s">
        <v>98</v>
      </c>
      <c r="BW693" s="9"/>
    </row>
    <row r="694" spans="1:75" ht="14.25" customHeight="1" x14ac:dyDescent="0.25">
      <c r="A694" s="1">
        <v>1307</v>
      </c>
      <c r="B694" s="1" t="s">
        <v>3050</v>
      </c>
      <c r="C694" s="1" t="s">
        <v>3051</v>
      </c>
      <c r="D694" s="1" t="s">
        <v>77</v>
      </c>
      <c r="E694" s="1" t="s">
        <v>2396</v>
      </c>
      <c r="F694" s="1" t="s">
        <v>3042</v>
      </c>
      <c r="G694" s="1"/>
      <c r="H694" s="2">
        <v>0</v>
      </c>
      <c r="I694" s="2">
        <v>0</v>
      </c>
      <c r="J694" s="2">
        <v>1</v>
      </c>
      <c r="K694" s="2">
        <v>1</v>
      </c>
      <c r="L694" s="3" t="s">
        <v>80</v>
      </c>
      <c r="O694" s="4">
        <v>4</v>
      </c>
      <c r="P694" s="4" t="s">
        <v>112</v>
      </c>
      <c r="Q694" s="4"/>
      <c r="R694" s="5"/>
      <c r="S694" s="6"/>
      <c r="T694" s="17"/>
      <c r="U694" s="6"/>
      <c r="V694" s="4"/>
      <c r="W694" s="4"/>
      <c r="X694" s="4"/>
      <c r="Y694" s="7">
        <v>3</v>
      </c>
      <c r="Z694" s="8">
        <v>380137</v>
      </c>
      <c r="AA694" s="7" t="s">
        <v>92</v>
      </c>
      <c r="AB694" s="7"/>
      <c r="AC694" s="9">
        <v>3</v>
      </c>
      <c r="AD694" s="10">
        <v>380137</v>
      </c>
      <c r="AE694" s="9" t="s">
        <v>92</v>
      </c>
      <c r="AF694" s="9"/>
      <c r="AG694" s="11">
        <v>4</v>
      </c>
      <c r="AH694" s="11" t="s">
        <v>93</v>
      </c>
      <c r="AI694" s="11"/>
      <c r="AJ694" s="11"/>
      <c r="AK694" s="11"/>
      <c r="AL694" s="12">
        <v>4</v>
      </c>
      <c r="AM694" s="12" t="s">
        <v>93</v>
      </c>
      <c r="AN694" s="12" t="s">
        <v>3052</v>
      </c>
      <c r="AO694" s="12"/>
      <c r="AP694" s="12"/>
      <c r="AQ694" s="4">
        <v>4</v>
      </c>
      <c r="AR694" s="4" t="s">
        <v>83</v>
      </c>
      <c r="AS694" s="4" t="s">
        <v>3053</v>
      </c>
      <c r="AT694" s="13"/>
      <c r="AU694" s="13"/>
      <c r="AV694" s="13"/>
      <c r="AW694" s="13"/>
      <c r="AX694" s="4"/>
      <c r="AY694" s="13"/>
      <c r="AZ694" s="13"/>
      <c r="BA694" s="13"/>
      <c r="BB694" s="13"/>
      <c r="BC694" s="4"/>
      <c r="BD694" s="4"/>
      <c r="BE694" s="4"/>
      <c r="BF694" s="13"/>
      <c r="BG694" s="4"/>
      <c r="BH694" s="13"/>
      <c r="BI694" s="13"/>
      <c r="BJ694" s="4"/>
      <c r="BK694" s="14">
        <v>15</v>
      </c>
      <c r="BL694" s="14">
        <v>15</v>
      </c>
      <c r="BM694" s="14">
        <v>15</v>
      </c>
      <c r="BN694" s="3" t="s">
        <v>86</v>
      </c>
      <c r="BP694" s="15"/>
      <c r="BQ694" s="15"/>
      <c r="BR694" s="2" t="s">
        <v>115</v>
      </c>
      <c r="BS694" s="2" t="s">
        <v>115</v>
      </c>
      <c r="BT694" s="7" t="s">
        <v>98</v>
      </c>
      <c r="BU694" s="7"/>
      <c r="BV694" s="9" t="s">
        <v>98</v>
      </c>
      <c r="BW694" s="9"/>
    </row>
    <row r="695" spans="1:75" ht="14.25" customHeight="1" x14ac:dyDescent="0.25">
      <c r="A695" s="1">
        <v>1308</v>
      </c>
      <c r="B695" s="1" t="s">
        <v>3054</v>
      </c>
      <c r="C695" s="1" t="s">
        <v>3055</v>
      </c>
      <c r="D695" s="1" t="s">
        <v>77</v>
      </c>
      <c r="E695" s="1" t="s">
        <v>2396</v>
      </c>
      <c r="F695" s="1" t="s">
        <v>3042</v>
      </c>
      <c r="G695" s="1"/>
      <c r="H695" s="2">
        <v>0</v>
      </c>
      <c r="I695" s="2">
        <v>0</v>
      </c>
      <c r="J695" s="2">
        <v>0</v>
      </c>
      <c r="K695" s="2">
        <v>1</v>
      </c>
      <c r="L695" s="3" t="s">
        <v>80</v>
      </c>
      <c r="O695" s="4">
        <v>2</v>
      </c>
      <c r="P695" s="4" t="s">
        <v>81</v>
      </c>
      <c r="Q695" s="4"/>
      <c r="R695" s="5"/>
      <c r="S695" s="6"/>
      <c r="T695" s="17"/>
      <c r="U695" s="6"/>
      <c r="V695" s="4"/>
      <c r="W695" s="4"/>
      <c r="X695" s="4"/>
      <c r="Y695" s="7">
        <v>1</v>
      </c>
      <c r="Z695" s="8">
        <v>8485672</v>
      </c>
      <c r="AA695" s="7" t="s">
        <v>283</v>
      </c>
      <c r="AB695" s="7"/>
      <c r="AC695" s="9">
        <v>1</v>
      </c>
      <c r="AD695" s="10">
        <v>8485672</v>
      </c>
      <c r="AE695" s="9" t="s">
        <v>283</v>
      </c>
      <c r="AF695" s="9"/>
      <c r="AG695" s="11">
        <v>4</v>
      </c>
      <c r="AH695" s="11" t="s">
        <v>83</v>
      </c>
      <c r="AI695" s="11"/>
      <c r="AJ695" s="11"/>
      <c r="AK695" s="11"/>
      <c r="AL695" s="12">
        <v>4</v>
      </c>
      <c r="AM695" s="12" t="s">
        <v>83</v>
      </c>
      <c r="AN695" s="12"/>
      <c r="AO695" s="12"/>
      <c r="AP695" s="12"/>
      <c r="AQ695" s="4">
        <v>5</v>
      </c>
      <c r="AR695" s="4" t="s">
        <v>83</v>
      </c>
      <c r="AS695" s="4"/>
      <c r="AT695" s="13"/>
      <c r="AU695" s="13"/>
      <c r="AV695" s="13"/>
      <c r="AW695" s="13"/>
      <c r="AX695" s="4"/>
      <c r="AY695" s="13"/>
      <c r="AZ695" s="13"/>
      <c r="BA695" s="13"/>
      <c r="BB695" s="13"/>
      <c r="BC695" s="4"/>
      <c r="BD695" s="4"/>
      <c r="BE695" s="4"/>
      <c r="BF695" s="13"/>
      <c r="BG695" s="4"/>
      <c r="BH695" s="13"/>
      <c r="BI695" s="13"/>
      <c r="BJ695" s="4"/>
      <c r="BK695" s="14">
        <v>12</v>
      </c>
      <c r="BL695" s="14">
        <v>12</v>
      </c>
      <c r="BM695" s="14">
        <v>12</v>
      </c>
      <c r="BN695" s="3" t="s">
        <v>302</v>
      </c>
      <c r="BP695" s="15"/>
      <c r="BQ695" s="15"/>
      <c r="BR695" s="2" t="s">
        <v>97</v>
      </c>
      <c r="BS695" s="2" t="s">
        <v>97</v>
      </c>
      <c r="BT695" s="7" t="s">
        <v>98</v>
      </c>
      <c r="BU695" s="7"/>
      <c r="BV695" s="9" t="s">
        <v>98</v>
      </c>
      <c r="BW695" s="9"/>
    </row>
    <row r="696" spans="1:75" ht="14.25" customHeight="1" x14ac:dyDescent="0.25">
      <c r="A696" s="1">
        <v>1309</v>
      </c>
      <c r="B696" s="1" t="s">
        <v>3056</v>
      </c>
      <c r="C696" s="1" t="s">
        <v>3057</v>
      </c>
      <c r="D696" s="1" t="s">
        <v>77</v>
      </c>
      <c r="E696" s="1" t="s">
        <v>2396</v>
      </c>
      <c r="F696" s="1" t="s">
        <v>3042</v>
      </c>
      <c r="G696" s="1"/>
      <c r="H696" s="2">
        <v>0</v>
      </c>
      <c r="I696" s="2">
        <v>0</v>
      </c>
      <c r="J696" s="2">
        <v>1</v>
      </c>
      <c r="K696" s="2">
        <v>1</v>
      </c>
      <c r="L696" s="3" t="s">
        <v>80</v>
      </c>
      <c r="O696" s="4">
        <v>3</v>
      </c>
      <c r="P696" s="4" t="s">
        <v>112</v>
      </c>
      <c r="Q696" s="4"/>
      <c r="R696" s="5"/>
      <c r="S696" s="6"/>
      <c r="T696" s="17"/>
      <c r="U696" s="6"/>
      <c r="V696" s="4"/>
      <c r="W696" s="4"/>
      <c r="X696" s="4"/>
      <c r="Y696" s="7">
        <v>1</v>
      </c>
      <c r="Z696" s="8">
        <v>7219022</v>
      </c>
      <c r="AA696" s="7" t="s">
        <v>92</v>
      </c>
      <c r="AB696" s="7"/>
      <c r="AC696" s="9">
        <v>1</v>
      </c>
      <c r="AD696" s="10">
        <v>7219022</v>
      </c>
      <c r="AE696" s="9" t="s">
        <v>92</v>
      </c>
      <c r="AF696" s="9"/>
      <c r="AG696" s="11">
        <v>4</v>
      </c>
      <c r="AH696" s="11" t="s">
        <v>93</v>
      </c>
      <c r="AI696" s="11"/>
      <c r="AJ696" s="11"/>
      <c r="AK696" s="11"/>
      <c r="AL696" s="12">
        <v>4</v>
      </c>
      <c r="AM696" s="12" t="s">
        <v>93</v>
      </c>
      <c r="AN696" s="12" t="s">
        <v>3052</v>
      </c>
      <c r="AO696" s="12"/>
      <c r="AP696" s="12"/>
      <c r="AQ696" s="4">
        <v>4</v>
      </c>
      <c r="AR696" s="4" t="s">
        <v>83</v>
      </c>
      <c r="AS696" s="4"/>
      <c r="AT696" s="13"/>
      <c r="AU696" s="13"/>
      <c r="AV696" s="13"/>
      <c r="AW696" s="13"/>
      <c r="AX696" s="4"/>
      <c r="AY696" s="13"/>
      <c r="AZ696" s="13"/>
      <c r="BA696" s="13"/>
      <c r="BB696" s="13"/>
      <c r="BC696" s="4"/>
      <c r="BD696" s="4"/>
      <c r="BE696" s="4"/>
      <c r="BF696" s="13"/>
      <c r="BG696" s="4"/>
      <c r="BH696" s="13"/>
      <c r="BI696" s="13"/>
      <c r="BJ696" s="4"/>
      <c r="BK696" s="14">
        <v>12</v>
      </c>
      <c r="BL696" s="14">
        <v>12</v>
      </c>
      <c r="BM696" s="14">
        <v>12</v>
      </c>
      <c r="BP696" s="15"/>
      <c r="BQ696" s="15"/>
      <c r="BR696" s="2" t="s">
        <v>97</v>
      </c>
      <c r="BS696" s="2" t="s">
        <v>97</v>
      </c>
      <c r="BT696" s="7" t="s">
        <v>98</v>
      </c>
      <c r="BU696" s="7"/>
      <c r="BV696" s="9" t="s">
        <v>98</v>
      </c>
      <c r="BW696" s="9"/>
    </row>
    <row r="697" spans="1:75" ht="14.25" customHeight="1" x14ac:dyDescent="0.25">
      <c r="A697" s="1">
        <v>1325</v>
      </c>
      <c r="B697" s="1" t="s">
        <v>3058</v>
      </c>
      <c r="C697" s="1" t="s">
        <v>3059</v>
      </c>
      <c r="D697" s="1" t="s">
        <v>77</v>
      </c>
      <c r="E697" s="1" t="s">
        <v>2396</v>
      </c>
      <c r="F697" s="1" t="s">
        <v>3042</v>
      </c>
      <c r="G697" s="1"/>
      <c r="H697" s="2">
        <v>0</v>
      </c>
      <c r="I697" s="2">
        <v>0</v>
      </c>
      <c r="J697" s="2">
        <v>0</v>
      </c>
      <c r="K697" s="2">
        <v>1</v>
      </c>
      <c r="L697" s="3" t="s">
        <v>80</v>
      </c>
      <c r="O697" s="4">
        <v>5</v>
      </c>
      <c r="P697" s="4" t="s">
        <v>2988</v>
      </c>
      <c r="Q697" s="4" t="s">
        <v>3060</v>
      </c>
      <c r="R697" s="5"/>
      <c r="S697" s="6"/>
      <c r="T697" s="17"/>
      <c r="U697" s="6"/>
      <c r="V697" s="4"/>
      <c r="W697" s="4"/>
      <c r="X697" s="4"/>
      <c r="Y697" s="7">
        <v>5</v>
      </c>
      <c r="Z697" s="8">
        <v>6602</v>
      </c>
      <c r="AA697" s="7" t="s">
        <v>1264</v>
      </c>
      <c r="AB697" s="7" t="s">
        <v>3061</v>
      </c>
      <c r="AC697" s="9">
        <v>5</v>
      </c>
      <c r="AD697" s="10">
        <v>6602</v>
      </c>
      <c r="AE697" s="9" t="s">
        <v>1264</v>
      </c>
      <c r="AF697" s="9" t="s">
        <v>3061</v>
      </c>
      <c r="AG697" s="11">
        <v>4</v>
      </c>
      <c r="AH697" s="11" t="s">
        <v>83</v>
      </c>
      <c r="AI697" s="11"/>
      <c r="AJ697" s="11"/>
      <c r="AK697" s="11"/>
      <c r="AL697" s="12">
        <v>4</v>
      </c>
      <c r="AM697" s="12" t="s">
        <v>83</v>
      </c>
      <c r="AN697" s="12"/>
      <c r="AO697" s="12"/>
      <c r="AP697" s="12"/>
      <c r="AQ697" s="4">
        <v>3</v>
      </c>
      <c r="AR697" s="4" t="s">
        <v>83</v>
      </c>
      <c r="AS697" s="4"/>
      <c r="AT697" s="13"/>
      <c r="AU697" s="13"/>
      <c r="AV697" s="13"/>
      <c r="AW697" s="13"/>
      <c r="AX697" s="4"/>
      <c r="AY697" s="13"/>
      <c r="AZ697" s="13"/>
      <c r="BA697" s="13"/>
      <c r="BB697" s="13"/>
      <c r="BC697" s="4"/>
      <c r="BD697" s="4"/>
      <c r="BE697" s="4"/>
      <c r="BF697" s="13"/>
      <c r="BG697" s="4"/>
      <c r="BH697" s="13"/>
      <c r="BI697" s="13"/>
      <c r="BJ697" s="4"/>
      <c r="BK697" s="14">
        <v>17</v>
      </c>
      <c r="BL697" s="14">
        <v>17</v>
      </c>
      <c r="BM697" s="14">
        <v>17</v>
      </c>
      <c r="BN697" s="3" t="s">
        <v>312</v>
      </c>
      <c r="BP697" s="15"/>
      <c r="BQ697" s="15"/>
      <c r="BR697" s="2" t="s">
        <v>87</v>
      </c>
      <c r="BS697" s="2" t="s">
        <v>87</v>
      </c>
      <c r="BT697" s="7" t="s">
        <v>88</v>
      </c>
      <c r="BU697" s="7"/>
      <c r="BV697" s="9" t="s">
        <v>88</v>
      </c>
      <c r="BW697" s="9"/>
    </row>
    <row r="698" spans="1:75" ht="14.25" customHeight="1" x14ac:dyDescent="0.25">
      <c r="A698" s="1">
        <v>1326</v>
      </c>
      <c r="B698" s="1" t="s">
        <v>3062</v>
      </c>
      <c r="C698" s="1" t="s">
        <v>3063</v>
      </c>
      <c r="D698" s="1" t="s">
        <v>77</v>
      </c>
      <c r="E698" s="1" t="s">
        <v>2396</v>
      </c>
      <c r="F698" s="1" t="s">
        <v>3042</v>
      </c>
      <c r="G698" s="1"/>
      <c r="H698" s="2">
        <v>0</v>
      </c>
      <c r="I698" s="2">
        <v>0</v>
      </c>
      <c r="J698" s="2">
        <v>0</v>
      </c>
      <c r="K698" s="2">
        <v>1</v>
      </c>
      <c r="L698" s="3" t="s">
        <v>80</v>
      </c>
      <c r="O698" s="4">
        <v>3</v>
      </c>
      <c r="P698" s="4" t="s">
        <v>81</v>
      </c>
      <c r="Q698" s="4"/>
      <c r="R698" s="5"/>
      <c r="S698" s="6"/>
      <c r="T698" s="17"/>
      <c r="U698" s="6"/>
      <c r="V698" s="4"/>
      <c r="W698" s="4"/>
      <c r="X698" s="4"/>
      <c r="Y698" s="7">
        <v>2</v>
      </c>
      <c r="Z698" s="8">
        <v>2654770</v>
      </c>
      <c r="AA698" s="7" t="s">
        <v>82</v>
      </c>
      <c r="AB698" s="7"/>
      <c r="AC698" s="9">
        <v>2</v>
      </c>
      <c r="AD698" s="10">
        <v>2654770</v>
      </c>
      <c r="AE698" s="9" t="s">
        <v>82</v>
      </c>
      <c r="AF698" s="9"/>
      <c r="AG698" s="11">
        <v>4</v>
      </c>
      <c r="AH698" s="11" t="s">
        <v>83</v>
      </c>
      <c r="AI698" s="11"/>
      <c r="AJ698" s="11"/>
      <c r="AK698" s="11"/>
      <c r="AL698" s="12">
        <v>4</v>
      </c>
      <c r="AM698" s="12" t="s">
        <v>83</v>
      </c>
      <c r="AN698" s="12"/>
      <c r="AO698" s="12"/>
      <c r="AP698" s="12"/>
      <c r="AQ698" s="4">
        <v>3</v>
      </c>
      <c r="AR698" s="4" t="s">
        <v>83</v>
      </c>
      <c r="AS698" s="4" t="s">
        <v>3064</v>
      </c>
      <c r="AT698" s="13"/>
      <c r="AU698" s="13"/>
      <c r="AV698" s="13"/>
      <c r="AW698" s="13"/>
      <c r="AX698" s="4"/>
      <c r="AY698" s="13"/>
      <c r="AZ698" s="13"/>
      <c r="BA698" s="13"/>
      <c r="BB698" s="13"/>
      <c r="BC698" s="4"/>
      <c r="BD698" s="4"/>
      <c r="BE698" s="4"/>
      <c r="BF698" s="13"/>
      <c r="BG698" s="4"/>
      <c r="BH698" s="13"/>
      <c r="BI698" s="13"/>
      <c r="BJ698" s="4"/>
      <c r="BK698" s="14">
        <v>12</v>
      </c>
      <c r="BL698" s="14">
        <v>12</v>
      </c>
      <c r="BM698" s="14">
        <v>12</v>
      </c>
      <c r="BP698" s="15"/>
      <c r="BQ698" s="15"/>
      <c r="BR698" s="2" t="s">
        <v>87</v>
      </c>
      <c r="BS698" s="2" t="s">
        <v>87</v>
      </c>
      <c r="BT698" s="7" t="s">
        <v>88</v>
      </c>
      <c r="BU698" s="7"/>
      <c r="BV698" s="9" t="s">
        <v>88</v>
      </c>
      <c r="BW698" s="9"/>
    </row>
    <row r="699" spans="1:75" ht="14.25" customHeight="1" x14ac:dyDescent="0.25">
      <c r="A699" s="1">
        <v>1327</v>
      </c>
      <c r="B699" s="1" t="s">
        <v>3065</v>
      </c>
      <c r="C699" s="1" t="s">
        <v>3066</v>
      </c>
      <c r="D699" s="1" t="s">
        <v>77</v>
      </c>
      <c r="E699" s="1" t="s">
        <v>2396</v>
      </c>
      <c r="F699" s="1" t="s">
        <v>3042</v>
      </c>
      <c r="G699" s="1"/>
      <c r="H699" s="2">
        <v>0</v>
      </c>
      <c r="I699" s="2">
        <v>0</v>
      </c>
      <c r="J699" s="2">
        <v>0</v>
      </c>
      <c r="K699" s="2">
        <v>1</v>
      </c>
      <c r="L699" s="3" t="s">
        <v>80</v>
      </c>
      <c r="O699" s="4">
        <v>5</v>
      </c>
      <c r="P699" s="4" t="s">
        <v>81</v>
      </c>
      <c r="Q699" s="4"/>
      <c r="R699" s="5"/>
      <c r="S699" s="6"/>
      <c r="T699" s="17"/>
      <c r="U699" s="6"/>
      <c r="V699" s="4"/>
      <c r="W699" s="4"/>
      <c r="X699" s="4"/>
      <c r="Y699" s="7">
        <v>4</v>
      </c>
      <c r="Z699" s="8">
        <v>140861</v>
      </c>
      <c r="AA699" s="7" t="s">
        <v>82</v>
      </c>
      <c r="AB699" s="7"/>
      <c r="AC699" s="9">
        <v>4</v>
      </c>
      <c r="AD699" s="10">
        <v>140861</v>
      </c>
      <c r="AE699" s="9" t="s">
        <v>82</v>
      </c>
      <c r="AF699" s="9"/>
      <c r="AG699" s="11">
        <v>4</v>
      </c>
      <c r="AH699" s="11" t="s">
        <v>83</v>
      </c>
      <c r="AI699" s="11"/>
      <c r="AJ699" s="11"/>
      <c r="AK699" s="11"/>
      <c r="AL699" s="12">
        <v>4</v>
      </c>
      <c r="AM699" s="12" t="s">
        <v>83</v>
      </c>
      <c r="AN699" s="12"/>
      <c r="AO699" s="12"/>
      <c r="AP699" s="12"/>
      <c r="AQ699" s="4">
        <v>4</v>
      </c>
      <c r="AR699" s="4" t="s">
        <v>83</v>
      </c>
      <c r="AS699" s="4"/>
      <c r="AT699" s="13"/>
      <c r="AU699" s="13"/>
      <c r="AV699" s="13"/>
      <c r="AW699" s="13"/>
      <c r="AX699" s="4"/>
      <c r="AY699" s="13"/>
      <c r="AZ699" s="13"/>
      <c r="BA699" s="13"/>
      <c r="BB699" s="13"/>
      <c r="BC699" s="4"/>
      <c r="BD699" s="4"/>
      <c r="BE699" s="4"/>
      <c r="BF699" s="13"/>
      <c r="BG699" s="4"/>
      <c r="BH699" s="13"/>
      <c r="BI699" s="13"/>
      <c r="BJ699" s="4"/>
      <c r="BK699" s="14">
        <v>17</v>
      </c>
      <c r="BL699" s="14">
        <v>17</v>
      </c>
      <c r="BM699" s="14">
        <v>17</v>
      </c>
      <c r="BN699" s="3" t="s">
        <v>312</v>
      </c>
      <c r="BP699" s="15"/>
      <c r="BQ699" s="15"/>
      <c r="BR699" s="2" t="s">
        <v>121</v>
      </c>
      <c r="BS699" s="2" t="s">
        <v>121</v>
      </c>
      <c r="BT699" s="7" t="s">
        <v>98</v>
      </c>
      <c r="BU699" s="7"/>
      <c r="BV699" s="9" t="s">
        <v>98</v>
      </c>
      <c r="BW699" s="9"/>
    </row>
    <row r="700" spans="1:75" ht="14.25" customHeight="1" x14ac:dyDescent="0.25">
      <c r="A700" s="1">
        <v>1328</v>
      </c>
      <c r="B700" s="1" t="s">
        <v>3067</v>
      </c>
      <c r="C700" s="1" t="s">
        <v>3068</v>
      </c>
      <c r="D700" s="1" t="s">
        <v>77</v>
      </c>
      <c r="E700" s="1" t="s">
        <v>2396</v>
      </c>
      <c r="F700" s="1" t="s">
        <v>3042</v>
      </c>
      <c r="G700" s="1" t="s">
        <v>3069</v>
      </c>
      <c r="H700" s="2">
        <v>0</v>
      </c>
      <c r="I700" s="2">
        <v>0</v>
      </c>
      <c r="J700" s="2">
        <v>0</v>
      </c>
      <c r="K700" s="2">
        <v>1</v>
      </c>
      <c r="L700" s="3" t="s">
        <v>80</v>
      </c>
      <c r="O700" s="4">
        <v>3</v>
      </c>
      <c r="P700" s="4" t="s">
        <v>81</v>
      </c>
      <c r="Q700" s="4"/>
      <c r="R700" s="5"/>
      <c r="S700" s="6"/>
      <c r="T700" s="17"/>
      <c r="U700" s="6"/>
      <c r="V700" s="4"/>
      <c r="W700" s="4"/>
      <c r="X700" s="4"/>
      <c r="Y700" s="7">
        <v>2</v>
      </c>
      <c r="Z700" s="8">
        <v>2193451</v>
      </c>
      <c r="AA700" s="7" t="s">
        <v>82</v>
      </c>
      <c r="AB700" s="7"/>
      <c r="AC700" s="9">
        <v>2</v>
      </c>
      <c r="AD700" s="10">
        <v>2193451</v>
      </c>
      <c r="AE700" s="9" t="s">
        <v>82</v>
      </c>
      <c r="AF700" s="9"/>
      <c r="AG700" s="11">
        <v>3</v>
      </c>
      <c r="AH700" s="11" t="s">
        <v>83</v>
      </c>
      <c r="AI700" s="11"/>
      <c r="AJ700" s="11"/>
      <c r="AK700" s="11"/>
      <c r="AL700" s="12">
        <v>3</v>
      </c>
      <c r="AM700" s="12" t="s">
        <v>83</v>
      </c>
      <c r="AN700" s="12"/>
      <c r="AO700" s="12"/>
      <c r="AP700" s="12"/>
      <c r="AQ700" s="4">
        <v>3</v>
      </c>
      <c r="AR700" s="4" t="s">
        <v>83</v>
      </c>
      <c r="AS700" s="4"/>
      <c r="AT700" s="13"/>
      <c r="AU700" s="13"/>
      <c r="AV700" s="13"/>
      <c r="AW700" s="13"/>
      <c r="AX700" s="4"/>
      <c r="AY700" s="13"/>
      <c r="AZ700" s="13"/>
      <c r="BA700" s="13"/>
      <c r="BB700" s="13"/>
      <c r="BC700" s="4"/>
      <c r="BD700" s="4"/>
      <c r="BE700" s="4"/>
      <c r="BF700" s="13"/>
      <c r="BG700" s="4"/>
      <c r="BH700" s="13"/>
      <c r="BI700" s="13"/>
      <c r="BJ700" s="4"/>
      <c r="BK700" s="14">
        <v>11</v>
      </c>
      <c r="BL700" s="14">
        <v>11</v>
      </c>
      <c r="BM700" s="14">
        <v>11</v>
      </c>
      <c r="BP700" s="15"/>
      <c r="BQ700" s="15"/>
      <c r="BR700" s="2" t="s">
        <v>740</v>
      </c>
      <c r="BS700" s="2" t="s">
        <v>740</v>
      </c>
      <c r="BT700" s="7" t="s">
        <v>88</v>
      </c>
      <c r="BU700" s="7"/>
      <c r="BV700" s="9" t="s">
        <v>88</v>
      </c>
      <c r="BW700" s="9"/>
    </row>
    <row r="701" spans="1:75" ht="14.25" customHeight="1" x14ac:dyDescent="0.25">
      <c r="A701" s="1">
        <v>1329</v>
      </c>
      <c r="B701" s="1" t="s">
        <v>3070</v>
      </c>
      <c r="C701" s="1" t="s">
        <v>3071</v>
      </c>
      <c r="D701" s="1" t="s">
        <v>77</v>
      </c>
      <c r="E701" s="1" t="s">
        <v>2396</v>
      </c>
      <c r="F701" s="1" t="s">
        <v>3042</v>
      </c>
      <c r="G701" s="1"/>
      <c r="H701" s="2">
        <v>0</v>
      </c>
      <c r="I701" s="2">
        <v>0</v>
      </c>
      <c r="J701" s="2">
        <v>1</v>
      </c>
      <c r="K701" s="2">
        <v>1</v>
      </c>
      <c r="L701" s="3" t="s">
        <v>80</v>
      </c>
      <c r="O701" s="4">
        <v>4</v>
      </c>
      <c r="P701" s="4" t="s">
        <v>112</v>
      </c>
      <c r="Q701" s="4"/>
      <c r="R701" s="5"/>
      <c r="S701" s="6"/>
      <c r="T701" s="17"/>
      <c r="U701" s="6"/>
      <c r="V701" s="4"/>
      <c r="W701" s="4"/>
      <c r="X701" s="4"/>
      <c r="Y701" s="7">
        <v>4</v>
      </c>
      <c r="Z701" s="8">
        <v>216212</v>
      </c>
      <c r="AA701" s="7" t="s">
        <v>92</v>
      </c>
      <c r="AB701" s="7"/>
      <c r="AC701" s="9">
        <v>4</v>
      </c>
      <c r="AD701" s="10">
        <v>216212</v>
      </c>
      <c r="AE701" s="9" t="s">
        <v>92</v>
      </c>
      <c r="AF701" s="9"/>
      <c r="AG701" s="11">
        <v>4</v>
      </c>
      <c r="AH701" s="11" t="s">
        <v>93</v>
      </c>
      <c r="AI701" s="11"/>
      <c r="AJ701" s="11"/>
      <c r="AK701" s="11"/>
      <c r="AL701" s="12">
        <v>4</v>
      </c>
      <c r="AM701" s="12" t="s">
        <v>93</v>
      </c>
      <c r="AN701" s="12" t="s">
        <v>923</v>
      </c>
      <c r="AO701" s="12"/>
      <c r="AP701" s="12"/>
      <c r="AQ701" s="4">
        <v>4</v>
      </c>
      <c r="AR701" s="4" t="s">
        <v>83</v>
      </c>
      <c r="AS701" s="4"/>
      <c r="AT701" s="13"/>
      <c r="AU701" s="13"/>
      <c r="AV701" s="13"/>
      <c r="AW701" s="13"/>
      <c r="AX701" s="4"/>
      <c r="AY701" s="13"/>
      <c r="AZ701" s="13"/>
      <c r="BA701" s="13"/>
      <c r="BB701" s="13"/>
      <c r="BC701" s="4"/>
      <c r="BD701" s="4"/>
      <c r="BE701" s="4"/>
      <c r="BF701" s="13"/>
      <c r="BG701" s="4"/>
      <c r="BH701" s="13"/>
      <c r="BI701" s="13"/>
      <c r="BJ701" s="4"/>
      <c r="BK701" s="14">
        <v>16</v>
      </c>
      <c r="BL701" s="14">
        <v>16</v>
      </c>
      <c r="BM701" s="14">
        <v>16</v>
      </c>
      <c r="BN701" s="3" t="s">
        <v>86</v>
      </c>
      <c r="BP701" s="15"/>
      <c r="BQ701" s="15"/>
      <c r="BR701" s="2" t="s">
        <v>87</v>
      </c>
      <c r="BS701" s="2" t="s">
        <v>87</v>
      </c>
      <c r="BT701" s="7" t="s">
        <v>88</v>
      </c>
      <c r="BU701" s="7"/>
      <c r="BV701" s="9" t="s">
        <v>88</v>
      </c>
      <c r="BW701" s="9"/>
    </row>
    <row r="702" spans="1:75" ht="14.25" customHeight="1" x14ac:dyDescent="0.25">
      <c r="A702" s="1">
        <v>1330</v>
      </c>
      <c r="B702" s="1" t="s">
        <v>3072</v>
      </c>
      <c r="C702" s="1" t="s">
        <v>3073</v>
      </c>
      <c r="D702" s="1" t="s">
        <v>77</v>
      </c>
      <c r="E702" s="1" t="s">
        <v>2396</v>
      </c>
      <c r="F702" s="1" t="s">
        <v>3042</v>
      </c>
      <c r="G702" s="1"/>
      <c r="H702" s="2">
        <v>0</v>
      </c>
      <c r="I702" s="2">
        <v>0</v>
      </c>
      <c r="J702" s="2">
        <v>0</v>
      </c>
      <c r="K702" s="2">
        <v>1</v>
      </c>
      <c r="L702" s="3" t="s">
        <v>80</v>
      </c>
      <c r="O702" s="4">
        <v>3</v>
      </c>
      <c r="P702" s="4" t="s">
        <v>81</v>
      </c>
      <c r="Q702" s="4"/>
      <c r="R702" s="5"/>
      <c r="S702" s="6"/>
      <c r="T702" s="17"/>
      <c r="U702" s="6"/>
      <c r="V702" s="4"/>
      <c r="W702" s="4"/>
      <c r="X702" s="4"/>
      <c r="Y702" s="7">
        <v>4</v>
      </c>
      <c r="Z702" s="8">
        <v>251675</v>
      </c>
      <c r="AA702" s="7" t="s">
        <v>82</v>
      </c>
      <c r="AB702" s="7"/>
      <c r="AC702" s="9">
        <v>4</v>
      </c>
      <c r="AD702" s="10">
        <v>251675</v>
      </c>
      <c r="AE702" s="9" t="s">
        <v>82</v>
      </c>
      <c r="AF702" s="9"/>
      <c r="AG702" s="11">
        <v>3</v>
      </c>
      <c r="AH702" s="11" t="s">
        <v>83</v>
      </c>
      <c r="AI702" s="11"/>
      <c r="AJ702" s="11"/>
      <c r="AK702" s="11"/>
      <c r="AL702" s="12">
        <v>3</v>
      </c>
      <c r="AM702" s="12" t="s">
        <v>83</v>
      </c>
      <c r="AN702" s="12"/>
      <c r="AO702" s="12"/>
      <c r="AP702" s="12"/>
      <c r="AQ702" s="4">
        <v>3</v>
      </c>
      <c r="AR702" s="4" t="s">
        <v>83</v>
      </c>
      <c r="AS702" s="4"/>
      <c r="AT702" s="13"/>
      <c r="AU702" s="13"/>
      <c r="AV702" s="13"/>
      <c r="AW702" s="13"/>
      <c r="AX702" s="4"/>
      <c r="AY702" s="13"/>
      <c r="AZ702" s="13"/>
      <c r="BA702" s="13"/>
      <c r="BB702" s="13"/>
      <c r="BC702" s="4"/>
      <c r="BD702" s="4"/>
      <c r="BE702" s="4"/>
      <c r="BF702" s="13"/>
      <c r="BG702" s="4"/>
      <c r="BH702" s="13"/>
      <c r="BI702" s="13"/>
      <c r="BJ702" s="4"/>
      <c r="BK702" s="14">
        <v>13</v>
      </c>
      <c r="BL702" s="14">
        <v>13</v>
      </c>
      <c r="BM702" s="14">
        <v>13</v>
      </c>
      <c r="BP702" s="15"/>
      <c r="BQ702" s="15"/>
      <c r="BR702" s="2" t="s">
        <v>87</v>
      </c>
      <c r="BS702" s="2" t="s">
        <v>87</v>
      </c>
      <c r="BT702" s="7" t="s">
        <v>88</v>
      </c>
      <c r="BU702" s="7"/>
      <c r="BV702" s="9" t="s">
        <v>88</v>
      </c>
      <c r="BW702" s="9"/>
    </row>
    <row r="703" spans="1:75" ht="14.25" customHeight="1" x14ac:dyDescent="0.25">
      <c r="A703" s="1">
        <v>1331</v>
      </c>
      <c r="B703" s="1" t="s">
        <v>3074</v>
      </c>
      <c r="C703" s="1" t="s">
        <v>3075</v>
      </c>
      <c r="D703" s="1" t="s">
        <v>77</v>
      </c>
      <c r="E703" s="1" t="s">
        <v>2396</v>
      </c>
      <c r="F703" s="1" t="s">
        <v>3042</v>
      </c>
      <c r="G703" s="1" t="s">
        <v>3076</v>
      </c>
      <c r="H703" s="2">
        <v>0</v>
      </c>
      <c r="I703" s="2">
        <v>0</v>
      </c>
      <c r="J703" s="2">
        <v>1</v>
      </c>
      <c r="K703" s="2">
        <v>1</v>
      </c>
      <c r="L703" s="3" t="s">
        <v>80</v>
      </c>
      <c r="O703" s="4">
        <v>3</v>
      </c>
      <c r="P703" s="4" t="s">
        <v>112</v>
      </c>
      <c r="Q703" s="4"/>
      <c r="R703" s="5"/>
      <c r="S703" s="6"/>
      <c r="T703" s="17"/>
      <c r="U703" s="6"/>
      <c r="V703" s="4"/>
      <c r="W703" s="4"/>
      <c r="X703" s="4"/>
      <c r="Y703" s="7">
        <v>2</v>
      </c>
      <c r="Z703" s="8">
        <v>2137046</v>
      </c>
      <c r="AA703" s="7" t="s">
        <v>283</v>
      </c>
      <c r="AB703" s="7"/>
      <c r="AC703" s="9">
        <v>2</v>
      </c>
      <c r="AD703" s="10">
        <v>2137046</v>
      </c>
      <c r="AE703" s="9" t="s">
        <v>283</v>
      </c>
      <c r="AF703" s="9"/>
      <c r="AG703" s="11">
        <v>4</v>
      </c>
      <c r="AH703" s="11" t="s">
        <v>93</v>
      </c>
      <c r="AI703" s="11"/>
      <c r="AJ703" s="11"/>
      <c r="AK703" s="11"/>
      <c r="AL703" s="12">
        <v>4</v>
      </c>
      <c r="AM703" s="12" t="s">
        <v>93</v>
      </c>
      <c r="AN703" s="12" t="s">
        <v>3077</v>
      </c>
      <c r="AO703" s="12"/>
      <c r="AP703" s="12"/>
      <c r="AQ703" s="4">
        <v>5</v>
      </c>
      <c r="AR703" s="4" t="s">
        <v>83</v>
      </c>
      <c r="AS703" s="4" t="s">
        <v>3078</v>
      </c>
      <c r="AT703" s="13"/>
      <c r="AU703" s="13"/>
      <c r="AV703" s="13"/>
      <c r="AW703" s="13"/>
      <c r="AX703" s="4"/>
      <c r="AY703" s="13"/>
      <c r="AZ703" s="13"/>
      <c r="BA703" s="13"/>
      <c r="BB703" s="13"/>
      <c r="BC703" s="4"/>
      <c r="BD703" s="4"/>
      <c r="BE703" s="4"/>
      <c r="BF703" s="13"/>
      <c r="BG703" s="4"/>
      <c r="BH703" s="13"/>
      <c r="BI703" s="13"/>
      <c r="BJ703" s="4"/>
      <c r="BK703" s="14">
        <v>14</v>
      </c>
      <c r="BL703" s="14">
        <v>14</v>
      </c>
      <c r="BM703" s="14">
        <v>14</v>
      </c>
      <c r="BN703" s="3" t="s">
        <v>113</v>
      </c>
      <c r="BP703" s="15"/>
      <c r="BQ703" s="15"/>
      <c r="BR703" s="2" t="s">
        <v>97</v>
      </c>
      <c r="BS703" s="2" t="s">
        <v>97</v>
      </c>
      <c r="BT703" s="7" t="s">
        <v>88</v>
      </c>
      <c r="BU703" s="7"/>
      <c r="BV703" s="9" t="s">
        <v>88</v>
      </c>
      <c r="BW703" s="9"/>
    </row>
    <row r="704" spans="1:75" ht="14.25" customHeight="1" x14ac:dyDescent="0.25">
      <c r="A704" s="1">
        <v>1332</v>
      </c>
      <c r="B704" s="1" t="s">
        <v>3079</v>
      </c>
      <c r="C704" s="1" t="s">
        <v>3080</v>
      </c>
      <c r="D704" s="1" t="s">
        <v>77</v>
      </c>
      <c r="E704" s="1" t="s">
        <v>2396</v>
      </c>
      <c r="F704" s="1" t="s">
        <v>3042</v>
      </c>
      <c r="G704" s="1" t="s">
        <v>118</v>
      </c>
      <c r="H704" s="2">
        <v>0</v>
      </c>
      <c r="I704" s="2">
        <v>0</v>
      </c>
      <c r="J704" s="2">
        <v>0</v>
      </c>
      <c r="K704" s="2">
        <v>1</v>
      </c>
      <c r="L704" s="3" t="s">
        <v>80</v>
      </c>
      <c r="O704" s="4">
        <v>5</v>
      </c>
      <c r="P704" s="4" t="s">
        <v>81</v>
      </c>
      <c r="Q704" s="4"/>
      <c r="R704" s="5"/>
      <c r="S704" s="6"/>
      <c r="T704" s="17"/>
      <c r="U704" s="6"/>
      <c r="V704" s="4"/>
      <c r="W704" s="4"/>
      <c r="X704" s="4"/>
      <c r="Y704" s="7">
        <v>5</v>
      </c>
      <c r="Z704" s="8">
        <v>17652</v>
      </c>
      <c r="AA704" s="7" t="s">
        <v>82</v>
      </c>
      <c r="AB704" s="7"/>
      <c r="AC704" s="9">
        <v>5</v>
      </c>
      <c r="AD704" s="10">
        <v>17652</v>
      </c>
      <c r="AE704" s="9" t="s">
        <v>82</v>
      </c>
      <c r="AF704" s="9"/>
      <c r="AG704" s="11">
        <v>3</v>
      </c>
      <c r="AH704" s="11" t="s">
        <v>83</v>
      </c>
      <c r="AI704" s="11"/>
      <c r="AJ704" s="11"/>
      <c r="AK704" s="11"/>
      <c r="AL704" s="12">
        <v>3</v>
      </c>
      <c r="AM704" s="12" t="s">
        <v>83</v>
      </c>
      <c r="AN704" s="12"/>
      <c r="AO704" s="12"/>
      <c r="AP704" s="12"/>
      <c r="AQ704" s="4">
        <v>3</v>
      </c>
      <c r="AR704" s="4" t="s">
        <v>83</v>
      </c>
      <c r="AS704" s="4"/>
      <c r="AT704" s="13"/>
      <c r="AU704" s="13"/>
      <c r="AV704" s="13"/>
      <c r="AW704" s="13"/>
      <c r="AX704" s="4"/>
      <c r="AY704" s="13"/>
      <c r="AZ704" s="13"/>
      <c r="BA704" s="13"/>
      <c r="BB704" s="13"/>
      <c r="BC704" s="4"/>
      <c r="BD704" s="4"/>
      <c r="BE704" s="4"/>
      <c r="BF704" s="13"/>
      <c r="BG704" s="4"/>
      <c r="BH704" s="13"/>
      <c r="BI704" s="13"/>
      <c r="BJ704" s="4"/>
      <c r="BK704" s="14">
        <v>16</v>
      </c>
      <c r="BL704" s="14">
        <v>16</v>
      </c>
      <c r="BM704" s="14">
        <v>16</v>
      </c>
      <c r="BN704" s="3" t="s">
        <v>86</v>
      </c>
      <c r="BP704" s="15"/>
      <c r="BQ704" s="15"/>
      <c r="BR704" s="2" t="s">
        <v>87</v>
      </c>
      <c r="BS704" s="2" t="s">
        <v>87</v>
      </c>
      <c r="BT704" s="7" t="s">
        <v>88</v>
      </c>
      <c r="BU704" s="7"/>
      <c r="BV704" s="9" t="s">
        <v>88</v>
      </c>
      <c r="BW704" s="9"/>
    </row>
    <row r="705" spans="1:75" ht="14.25" customHeight="1" x14ac:dyDescent="0.25">
      <c r="A705" s="1">
        <v>1333</v>
      </c>
      <c r="B705" s="1" t="s">
        <v>3081</v>
      </c>
      <c r="C705" s="1" t="s">
        <v>3082</v>
      </c>
      <c r="D705" s="1" t="s">
        <v>77</v>
      </c>
      <c r="E705" s="1" t="s">
        <v>2396</v>
      </c>
      <c r="F705" s="1" t="s">
        <v>3042</v>
      </c>
      <c r="G705" s="1"/>
      <c r="H705" s="2">
        <v>0</v>
      </c>
      <c r="I705" s="2">
        <v>0</v>
      </c>
      <c r="J705" s="2">
        <v>1</v>
      </c>
      <c r="K705" s="2">
        <v>1</v>
      </c>
      <c r="L705" s="3" t="s">
        <v>80</v>
      </c>
      <c r="O705" s="4">
        <v>3</v>
      </c>
      <c r="P705" s="4" t="s">
        <v>112</v>
      </c>
      <c r="Q705" s="4" t="s">
        <v>3083</v>
      </c>
      <c r="R705" s="5"/>
      <c r="S705" s="6"/>
      <c r="T705" s="17"/>
      <c r="U705" s="6"/>
      <c r="V705" s="4"/>
      <c r="W705" s="4"/>
      <c r="X705" s="4"/>
      <c r="Y705" s="7">
        <v>1</v>
      </c>
      <c r="Z705" s="8">
        <v>6428834</v>
      </c>
      <c r="AA705" s="7" t="s">
        <v>2131</v>
      </c>
      <c r="AB705" s="7" t="s">
        <v>3084</v>
      </c>
      <c r="AC705" s="9">
        <v>1</v>
      </c>
      <c r="AD705" s="10">
        <v>6428834</v>
      </c>
      <c r="AE705" s="9" t="s">
        <v>2131</v>
      </c>
      <c r="AF705" s="9" t="s">
        <v>3085</v>
      </c>
      <c r="AG705" s="11">
        <v>4</v>
      </c>
      <c r="AH705" s="11" t="s">
        <v>93</v>
      </c>
      <c r="AI705" s="11"/>
      <c r="AJ705" s="11"/>
      <c r="AK705" s="11"/>
      <c r="AL705" s="12">
        <v>4</v>
      </c>
      <c r="AM705" s="12" t="s">
        <v>93</v>
      </c>
      <c r="AN705" s="12" t="s">
        <v>3052</v>
      </c>
      <c r="AO705" s="12"/>
      <c r="AP705" s="12"/>
      <c r="AQ705" s="4">
        <v>4</v>
      </c>
      <c r="AR705" s="4" t="s">
        <v>83</v>
      </c>
      <c r="AS705" s="4"/>
      <c r="AT705" s="13"/>
      <c r="AU705" s="13"/>
      <c r="AV705" s="13"/>
      <c r="AW705" s="13"/>
      <c r="AX705" s="4"/>
      <c r="AY705" s="13"/>
      <c r="AZ705" s="13"/>
      <c r="BA705" s="13"/>
      <c r="BB705" s="13"/>
      <c r="BC705" s="4"/>
      <c r="BD705" s="4"/>
      <c r="BE705" s="4"/>
      <c r="BF705" s="13"/>
      <c r="BG705" s="4"/>
      <c r="BH705" s="13"/>
      <c r="BI705" s="13"/>
      <c r="BJ705" s="4"/>
      <c r="BK705" s="14">
        <v>12</v>
      </c>
      <c r="BL705" s="14">
        <v>12</v>
      </c>
      <c r="BM705" s="14">
        <v>12</v>
      </c>
      <c r="BP705" s="15"/>
      <c r="BQ705" s="15"/>
      <c r="BR705" s="2" t="s">
        <v>97</v>
      </c>
      <c r="BS705" s="2" t="s">
        <v>97</v>
      </c>
      <c r="BT705" s="7" t="s">
        <v>98</v>
      </c>
      <c r="BU705" s="7"/>
      <c r="BV705" s="9" t="s">
        <v>98</v>
      </c>
      <c r="BW705" s="9"/>
    </row>
    <row r="706" spans="1:75" ht="14.25" customHeight="1" x14ac:dyDescent="0.25">
      <c r="A706" s="1">
        <v>1334</v>
      </c>
      <c r="B706" s="1" t="s">
        <v>3086</v>
      </c>
      <c r="C706" s="1" t="s">
        <v>3087</v>
      </c>
      <c r="D706" s="1" t="s">
        <v>77</v>
      </c>
      <c r="E706" s="1" t="s">
        <v>2396</v>
      </c>
      <c r="F706" s="1" t="s">
        <v>3042</v>
      </c>
      <c r="G706" s="1" t="s">
        <v>3088</v>
      </c>
      <c r="H706" s="2">
        <v>0</v>
      </c>
      <c r="I706" s="2">
        <v>0</v>
      </c>
      <c r="J706" s="2">
        <v>0</v>
      </c>
      <c r="K706" s="2">
        <v>1</v>
      </c>
      <c r="L706" s="3" t="s">
        <v>80</v>
      </c>
      <c r="O706" s="4">
        <v>5</v>
      </c>
      <c r="P706" s="4" t="s">
        <v>3089</v>
      </c>
      <c r="Q706" s="4" t="s">
        <v>3090</v>
      </c>
      <c r="R706" s="5"/>
      <c r="S706" s="6"/>
      <c r="T706" s="17"/>
      <c r="U706" s="6"/>
      <c r="V706" s="4"/>
      <c r="W706" s="4"/>
      <c r="X706" s="4"/>
      <c r="Y706" s="7">
        <v>5</v>
      </c>
      <c r="Z706" s="8">
        <v>12168</v>
      </c>
      <c r="AA706" s="7" t="s">
        <v>3091</v>
      </c>
      <c r="AB706" s="7" t="s">
        <v>3092</v>
      </c>
      <c r="AC706" s="9">
        <v>5</v>
      </c>
      <c r="AD706" s="10">
        <v>12168</v>
      </c>
      <c r="AE706" s="9" t="s">
        <v>2131</v>
      </c>
      <c r="AF706" s="9" t="s">
        <v>3093</v>
      </c>
      <c r="AG706" s="11">
        <v>4</v>
      </c>
      <c r="AH706" s="11" t="s">
        <v>93</v>
      </c>
      <c r="AI706" s="11"/>
      <c r="AJ706" s="11"/>
      <c r="AK706" s="11"/>
      <c r="AL706" s="12">
        <v>4</v>
      </c>
      <c r="AM706" s="12" t="s">
        <v>93</v>
      </c>
      <c r="AN706" s="12"/>
      <c r="AO706" s="12"/>
      <c r="AP706" s="12"/>
      <c r="AQ706" s="4">
        <v>4</v>
      </c>
      <c r="AR706" s="4" t="s">
        <v>83</v>
      </c>
      <c r="AS706" s="4"/>
      <c r="AT706" s="13"/>
      <c r="AU706" s="13"/>
      <c r="AV706" s="13"/>
      <c r="AW706" s="13"/>
      <c r="AX706" s="4"/>
      <c r="AY706" s="13"/>
      <c r="AZ706" s="13"/>
      <c r="BA706" s="13"/>
      <c r="BB706" s="13"/>
      <c r="BC706" s="4"/>
      <c r="BD706" s="4"/>
      <c r="BE706" s="4"/>
      <c r="BF706" s="13"/>
      <c r="BG706" s="4"/>
      <c r="BH706" s="13"/>
      <c r="BI706" s="13"/>
      <c r="BJ706" s="4"/>
      <c r="BK706" s="14">
        <v>18</v>
      </c>
      <c r="BL706" s="14">
        <v>18</v>
      </c>
      <c r="BM706" s="14">
        <v>18</v>
      </c>
      <c r="BN706" s="3" t="s">
        <v>312</v>
      </c>
      <c r="BP706" s="15"/>
      <c r="BQ706" s="15"/>
      <c r="BR706" s="2" t="s">
        <v>108</v>
      </c>
      <c r="BS706" s="2" t="s">
        <v>108</v>
      </c>
      <c r="BT706" s="7" t="s">
        <v>98</v>
      </c>
      <c r="BU706" s="7"/>
      <c r="BV706" s="9" t="s">
        <v>98</v>
      </c>
      <c r="BW706" s="9"/>
    </row>
    <row r="707" spans="1:75" ht="14.25" customHeight="1" x14ac:dyDescent="0.25">
      <c r="A707" s="1">
        <v>1335</v>
      </c>
      <c r="B707" s="1" t="s">
        <v>3094</v>
      </c>
      <c r="C707" s="1" t="s">
        <v>3095</v>
      </c>
      <c r="D707" s="1" t="s">
        <v>77</v>
      </c>
      <c r="E707" s="1" t="s">
        <v>2396</v>
      </c>
      <c r="F707" s="1" t="s">
        <v>3042</v>
      </c>
      <c r="G707" s="1" t="s">
        <v>3096</v>
      </c>
      <c r="H707" s="2">
        <v>0</v>
      </c>
      <c r="I707" s="2">
        <v>0</v>
      </c>
      <c r="J707" s="2">
        <v>0</v>
      </c>
      <c r="K707" s="2">
        <v>1</v>
      </c>
      <c r="L707" s="3" t="s">
        <v>80</v>
      </c>
      <c r="O707" s="4">
        <v>3</v>
      </c>
      <c r="P707" s="4" t="s">
        <v>81</v>
      </c>
      <c r="Q707" s="4"/>
      <c r="R707" s="5"/>
      <c r="S707" s="6"/>
      <c r="T707" s="17"/>
      <c r="U707" s="6"/>
      <c r="V707" s="4"/>
      <c r="W707" s="4"/>
      <c r="X707" s="4"/>
      <c r="Y707" s="7">
        <v>2</v>
      </c>
      <c r="Z707" s="8">
        <v>3490261</v>
      </c>
      <c r="AA707" s="7" t="s">
        <v>82</v>
      </c>
      <c r="AB707" s="7"/>
      <c r="AC707" s="9">
        <v>2</v>
      </c>
      <c r="AD707" s="10">
        <v>3490261</v>
      </c>
      <c r="AE707" s="9" t="s">
        <v>82</v>
      </c>
      <c r="AF707" s="9"/>
      <c r="AG707" s="11">
        <v>4</v>
      </c>
      <c r="AH707" s="11" t="s">
        <v>83</v>
      </c>
      <c r="AI707" s="11"/>
      <c r="AJ707" s="11"/>
      <c r="AK707" s="11"/>
      <c r="AL707" s="12">
        <v>4</v>
      </c>
      <c r="AM707" s="12" t="s">
        <v>83</v>
      </c>
      <c r="AN707" s="12"/>
      <c r="AO707" s="12"/>
      <c r="AP707" s="12"/>
      <c r="AQ707" s="4">
        <v>5</v>
      </c>
      <c r="AR707" s="4" t="s">
        <v>83</v>
      </c>
      <c r="AS707" s="4"/>
      <c r="AT707" s="13"/>
      <c r="AU707" s="13"/>
      <c r="AV707" s="13"/>
      <c r="AW707" s="13"/>
      <c r="AX707" s="4"/>
      <c r="AY707" s="13"/>
      <c r="AZ707" s="13"/>
      <c r="BA707" s="13"/>
      <c r="BB707" s="13"/>
      <c r="BC707" s="4"/>
      <c r="BD707" s="4"/>
      <c r="BE707" s="4"/>
      <c r="BF707" s="13"/>
      <c r="BG707" s="4"/>
      <c r="BH707" s="13"/>
      <c r="BI707" s="13"/>
      <c r="BJ707" s="4"/>
      <c r="BK707" s="14">
        <v>14</v>
      </c>
      <c r="BL707" s="14">
        <v>14</v>
      </c>
      <c r="BM707" s="14">
        <v>14</v>
      </c>
      <c r="BN707" s="3" t="s">
        <v>113</v>
      </c>
      <c r="BP707" s="15"/>
      <c r="BQ707" s="15"/>
      <c r="BR707" s="2" t="s">
        <v>97</v>
      </c>
      <c r="BS707" s="2" t="s">
        <v>97</v>
      </c>
      <c r="BT707" s="7" t="s">
        <v>98</v>
      </c>
      <c r="BU707" s="7"/>
      <c r="BV707" s="9" t="s">
        <v>98</v>
      </c>
      <c r="BW707" s="9"/>
    </row>
    <row r="708" spans="1:75" ht="14.25" customHeight="1" x14ac:dyDescent="0.25">
      <c r="A708" s="1">
        <v>1336</v>
      </c>
      <c r="B708" s="1" t="s">
        <v>3097</v>
      </c>
      <c r="C708" s="1" t="s">
        <v>3098</v>
      </c>
      <c r="D708" s="1" t="s">
        <v>77</v>
      </c>
      <c r="E708" s="1" t="s">
        <v>2396</v>
      </c>
      <c r="F708" s="1" t="s">
        <v>3042</v>
      </c>
      <c r="G708" s="1"/>
      <c r="H708" s="2">
        <v>0</v>
      </c>
      <c r="I708" s="2">
        <v>0</v>
      </c>
      <c r="J708" s="2">
        <v>0</v>
      </c>
      <c r="K708" s="2">
        <v>1</v>
      </c>
      <c r="L708" s="3" t="s">
        <v>80</v>
      </c>
      <c r="O708" s="4">
        <v>3</v>
      </c>
      <c r="P708" s="4" t="s">
        <v>81</v>
      </c>
      <c r="Q708" s="4"/>
      <c r="R708" s="5"/>
      <c r="S708" s="6"/>
      <c r="T708" s="17"/>
      <c r="U708" s="6"/>
      <c r="V708" s="4"/>
      <c r="W708" s="4"/>
      <c r="X708" s="4"/>
      <c r="Y708" s="7">
        <v>3</v>
      </c>
      <c r="Z708" s="8">
        <v>407903</v>
      </c>
      <c r="AA708" s="7" t="s">
        <v>82</v>
      </c>
      <c r="AB708" s="7"/>
      <c r="AC708" s="9">
        <v>3</v>
      </c>
      <c r="AD708" s="10">
        <v>407903</v>
      </c>
      <c r="AE708" s="9" t="s">
        <v>82</v>
      </c>
      <c r="AF708" s="9"/>
      <c r="AG708" s="11">
        <v>3</v>
      </c>
      <c r="AH708" s="11" t="s">
        <v>83</v>
      </c>
      <c r="AI708" s="11"/>
      <c r="AJ708" s="11"/>
      <c r="AK708" s="11"/>
      <c r="AL708" s="12">
        <v>3</v>
      </c>
      <c r="AM708" s="12" t="s">
        <v>83</v>
      </c>
      <c r="AN708" s="12"/>
      <c r="AO708" s="12"/>
      <c r="AP708" s="12"/>
      <c r="AQ708" s="4">
        <v>4</v>
      </c>
      <c r="AR708" s="4" t="s">
        <v>83</v>
      </c>
      <c r="AS708" s="4"/>
      <c r="AT708" s="13"/>
      <c r="AU708" s="13"/>
      <c r="AV708" s="13"/>
      <c r="AW708" s="13"/>
      <c r="AX708" s="4"/>
      <c r="AY708" s="13"/>
      <c r="AZ708" s="13"/>
      <c r="BA708" s="13"/>
      <c r="BB708" s="13"/>
      <c r="BC708" s="4"/>
      <c r="BD708" s="4"/>
      <c r="BE708" s="4"/>
      <c r="BF708" s="13"/>
      <c r="BG708" s="4"/>
      <c r="BH708" s="13"/>
      <c r="BI708" s="13"/>
      <c r="BJ708" s="4"/>
      <c r="BK708" s="14">
        <v>13</v>
      </c>
      <c r="BL708" s="14">
        <v>13</v>
      </c>
      <c r="BM708" s="14">
        <v>13</v>
      </c>
      <c r="BP708" s="15"/>
      <c r="BQ708" s="15"/>
      <c r="BR708" s="2" t="s">
        <v>87</v>
      </c>
      <c r="BS708" s="2" t="s">
        <v>87</v>
      </c>
      <c r="BT708" s="7" t="s">
        <v>88</v>
      </c>
      <c r="BU708" s="7"/>
      <c r="BV708" s="9" t="s">
        <v>88</v>
      </c>
      <c r="BW708" s="9"/>
    </row>
    <row r="709" spans="1:75" ht="14.25" customHeight="1" x14ac:dyDescent="0.25">
      <c r="A709" s="1">
        <v>1337</v>
      </c>
      <c r="B709" s="1" t="s">
        <v>3099</v>
      </c>
      <c r="C709" s="1" t="s">
        <v>3100</v>
      </c>
      <c r="D709" s="1" t="s">
        <v>77</v>
      </c>
      <c r="E709" s="1" t="s">
        <v>2396</v>
      </c>
      <c r="F709" s="1" t="s">
        <v>3042</v>
      </c>
      <c r="G709" s="1" t="s">
        <v>118</v>
      </c>
      <c r="H709" s="2">
        <v>0</v>
      </c>
      <c r="I709" s="2">
        <v>0</v>
      </c>
      <c r="J709" s="2">
        <v>0</v>
      </c>
      <c r="K709" s="2">
        <v>1</v>
      </c>
      <c r="L709" s="3" t="s">
        <v>80</v>
      </c>
      <c r="O709" s="4">
        <v>5</v>
      </c>
      <c r="P709" s="4" t="s">
        <v>81</v>
      </c>
      <c r="Q709" s="4"/>
      <c r="R709" s="5"/>
      <c r="S709" s="6"/>
      <c r="T709" s="17"/>
      <c r="U709" s="6"/>
      <c r="V709" s="4"/>
      <c r="W709" s="4"/>
      <c r="X709" s="4"/>
      <c r="Y709" s="7">
        <v>5</v>
      </c>
      <c r="Z709" s="8">
        <v>484</v>
      </c>
      <c r="AA709" s="7" t="s">
        <v>82</v>
      </c>
      <c r="AB709" s="7"/>
      <c r="AC709" s="9">
        <v>5</v>
      </c>
      <c r="AD709" s="10">
        <v>484</v>
      </c>
      <c r="AE709" s="9" t="s">
        <v>82</v>
      </c>
      <c r="AF709" s="9"/>
      <c r="AG709" s="11">
        <v>4</v>
      </c>
      <c r="AH709" s="11" t="s">
        <v>83</v>
      </c>
      <c r="AI709" s="11"/>
      <c r="AJ709" s="11"/>
      <c r="AK709" s="11"/>
      <c r="AL709" s="12">
        <v>4</v>
      </c>
      <c r="AM709" s="12" t="s">
        <v>83</v>
      </c>
      <c r="AN709" s="12"/>
      <c r="AO709" s="12"/>
      <c r="AP709" s="12"/>
      <c r="AQ709" s="4">
        <v>5</v>
      </c>
      <c r="AR709" s="4" t="s">
        <v>83</v>
      </c>
      <c r="AS709" s="4"/>
      <c r="AT709" s="13"/>
      <c r="AU709" s="13"/>
      <c r="AV709" s="13"/>
      <c r="AW709" s="13"/>
      <c r="AX709" s="4"/>
      <c r="AY709" s="13"/>
      <c r="AZ709" s="13"/>
      <c r="BA709" s="13"/>
      <c r="BB709" s="13"/>
      <c r="BC709" s="4"/>
      <c r="BD709" s="4"/>
      <c r="BE709" s="4"/>
      <c r="BF709" s="13"/>
      <c r="BG709" s="4"/>
      <c r="BH709" s="13"/>
      <c r="BI709" s="13"/>
      <c r="BJ709" s="4"/>
      <c r="BK709" s="14">
        <v>19</v>
      </c>
      <c r="BL709" s="14">
        <v>19</v>
      </c>
      <c r="BM709" s="14">
        <v>19</v>
      </c>
      <c r="BN709" s="3" t="s">
        <v>312</v>
      </c>
      <c r="BO709" s="3" t="s">
        <v>120</v>
      </c>
      <c r="BP709" s="15"/>
      <c r="BQ709" s="15"/>
      <c r="BR709" s="2" t="s">
        <v>87</v>
      </c>
      <c r="BS709" s="2" t="s">
        <v>87</v>
      </c>
      <c r="BT709" s="7" t="s">
        <v>88</v>
      </c>
      <c r="BU709" s="7"/>
      <c r="BV709" s="9" t="s">
        <v>88</v>
      </c>
      <c r="BW709" s="9"/>
    </row>
    <row r="710" spans="1:75" ht="14.25" customHeight="1" x14ac:dyDescent="0.25">
      <c r="A710" s="1">
        <v>1338</v>
      </c>
      <c r="B710" s="1" t="s">
        <v>3101</v>
      </c>
      <c r="C710" s="1" t="s">
        <v>3102</v>
      </c>
      <c r="D710" s="1" t="s">
        <v>77</v>
      </c>
      <c r="E710" s="1" t="s">
        <v>2396</v>
      </c>
      <c r="F710" s="1" t="s">
        <v>3042</v>
      </c>
      <c r="G710" s="1"/>
      <c r="H710" s="2">
        <v>0</v>
      </c>
      <c r="I710" s="2">
        <v>0</v>
      </c>
      <c r="J710" s="2">
        <v>0</v>
      </c>
      <c r="K710" s="2">
        <v>1</v>
      </c>
      <c r="L710" s="3" t="s">
        <v>80</v>
      </c>
      <c r="O710" s="4">
        <v>5</v>
      </c>
      <c r="P710" s="4" t="s">
        <v>81</v>
      </c>
      <c r="Q710" s="4"/>
      <c r="R710" s="5"/>
      <c r="S710" s="6"/>
      <c r="T710" s="17"/>
      <c r="U710" s="6"/>
      <c r="V710" s="4"/>
      <c r="W710" s="4"/>
      <c r="X710" s="4"/>
      <c r="Y710" s="7">
        <v>5</v>
      </c>
      <c r="Z710" s="8">
        <v>5635</v>
      </c>
      <c r="AA710" s="7" t="s">
        <v>82</v>
      </c>
      <c r="AB710" s="7"/>
      <c r="AC710" s="9">
        <v>5</v>
      </c>
      <c r="AD710" s="10">
        <v>5635</v>
      </c>
      <c r="AE710" s="9" t="s">
        <v>82</v>
      </c>
      <c r="AF710" s="9"/>
      <c r="AG710" s="11">
        <v>4</v>
      </c>
      <c r="AH710" s="11" t="s">
        <v>83</v>
      </c>
      <c r="AI710" s="11"/>
      <c r="AJ710" s="11"/>
      <c r="AK710" s="11"/>
      <c r="AL710" s="12">
        <v>4</v>
      </c>
      <c r="AM710" s="12" t="s">
        <v>83</v>
      </c>
      <c r="AN710" s="12"/>
      <c r="AO710" s="12"/>
      <c r="AP710" s="12"/>
      <c r="AQ710" s="4">
        <v>3</v>
      </c>
      <c r="AR710" s="4" t="s">
        <v>83</v>
      </c>
      <c r="AS710" s="4"/>
      <c r="AT710" s="13"/>
      <c r="AU710" s="13"/>
      <c r="AV710" s="13"/>
      <c r="AW710" s="13"/>
      <c r="AX710" s="4"/>
      <c r="AY710" s="13"/>
      <c r="AZ710" s="13"/>
      <c r="BA710" s="13"/>
      <c r="BB710" s="13"/>
      <c r="BC710" s="4"/>
      <c r="BD710" s="4"/>
      <c r="BE710" s="4"/>
      <c r="BF710" s="13"/>
      <c r="BG710" s="4"/>
      <c r="BH710" s="13"/>
      <c r="BI710" s="13"/>
      <c r="BJ710" s="4"/>
      <c r="BK710" s="14">
        <v>17</v>
      </c>
      <c r="BL710" s="14">
        <v>17</v>
      </c>
      <c r="BM710" s="14">
        <v>17</v>
      </c>
      <c r="BN710" s="3" t="s">
        <v>312</v>
      </c>
      <c r="BP710" s="15"/>
      <c r="BQ710" s="15"/>
      <c r="BR710" s="2" t="s">
        <v>87</v>
      </c>
      <c r="BS710" s="2" t="s">
        <v>87</v>
      </c>
      <c r="BT710" s="7" t="s">
        <v>88</v>
      </c>
      <c r="BU710" s="7"/>
      <c r="BV710" s="9" t="s">
        <v>88</v>
      </c>
      <c r="BW710" s="9"/>
    </row>
    <row r="711" spans="1:75" ht="14.25" customHeight="1" x14ac:dyDescent="0.25">
      <c r="A711" s="1">
        <v>1339</v>
      </c>
      <c r="B711" s="1" t="s">
        <v>3103</v>
      </c>
      <c r="C711" s="1" t="s">
        <v>3104</v>
      </c>
      <c r="D711" s="1" t="s">
        <v>77</v>
      </c>
      <c r="E711" s="1" t="s">
        <v>2396</v>
      </c>
      <c r="F711" s="1" t="s">
        <v>3042</v>
      </c>
      <c r="G711" s="1"/>
      <c r="H711" s="2">
        <v>0</v>
      </c>
      <c r="I711" s="2">
        <v>0</v>
      </c>
      <c r="J711" s="2">
        <v>0</v>
      </c>
      <c r="K711" s="2">
        <v>1</v>
      </c>
      <c r="L711" s="3" t="s">
        <v>80</v>
      </c>
      <c r="O711" s="4">
        <v>4</v>
      </c>
      <c r="P711" s="4" t="s">
        <v>81</v>
      </c>
      <c r="Q711" s="4"/>
      <c r="R711" s="5"/>
      <c r="S711" s="6"/>
      <c r="T711" s="17"/>
      <c r="U711" s="6"/>
      <c r="V711" s="4"/>
      <c r="W711" s="4"/>
      <c r="X711" s="4"/>
      <c r="Y711" s="7">
        <v>4</v>
      </c>
      <c r="Z711" s="8">
        <v>108472</v>
      </c>
      <c r="AA711" s="7" t="s">
        <v>82</v>
      </c>
      <c r="AB711" s="7"/>
      <c r="AC711" s="9">
        <v>4</v>
      </c>
      <c r="AD711" s="10">
        <v>108472</v>
      </c>
      <c r="AE711" s="9" t="s">
        <v>82</v>
      </c>
      <c r="AF711" s="9"/>
      <c r="AG711" s="11">
        <v>3</v>
      </c>
      <c r="AH711" s="11" t="s">
        <v>83</v>
      </c>
      <c r="AI711" s="11"/>
      <c r="AJ711" s="11"/>
      <c r="AK711" s="11"/>
      <c r="AL711" s="12">
        <v>3</v>
      </c>
      <c r="AM711" s="12" t="s">
        <v>83</v>
      </c>
      <c r="AN711" s="12"/>
      <c r="AO711" s="12"/>
      <c r="AP711" s="12"/>
      <c r="AQ711" s="4">
        <v>3</v>
      </c>
      <c r="AR711" s="4" t="s">
        <v>83</v>
      </c>
      <c r="AS711" s="4"/>
      <c r="AT711" s="13"/>
      <c r="AU711" s="13"/>
      <c r="AV711" s="13"/>
      <c r="AW711" s="13"/>
      <c r="AX711" s="4"/>
      <c r="AY711" s="13"/>
      <c r="AZ711" s="13"/>
      <c r="BA711" s="13"/>
      <c r="BB711" s="13"/>
      <c r="BC711" s="4"/>
      <c r="BD711" s="4"/>
      <c r="BE711" s="4"/>
      <c r="BF711" s="13"/>
      <c r="BG711" s="4"/>
      <c r="BH711" s="13"/>
      <c r="BI711" s="13"/>
      <c r="BJ711" s="4"/>
      <c r="BK711" s="14">
        <v>14</v>
      </c>
      <c r="BL711" s="14">
        <v>14</v>
      </c>
      <c r="BM711" s="14">
        <v>14</v>
      </c>
      <c r="BN711" s="3" t="s">
        <v>86</v>
      </c>
      <c r="BP711" s="15"/>
      <c r="BQ711" s="15"/>
      <c r="BR711" s="2" t="s">
        <v>121</v>
      </c>
      <c r="BS711" s="2" t="s">
        <v>121</v>
      </c>
      <c r="BT711" s="7" t="s">
        <v>98</v>
      </c>
      <c r="BU711" s="7"/>
      <c r="BV711" s="9" t="s">
        <v>98</v>
      </c>
      <c r="BW711" s="9"/>
    </row>
    <row r="712" spans="1:75" ht="14.25" customHeight="1" x14ac:dyDescent="0.25">
      <c r="A712" s="1">
        <v>1340</v>
      </c>
      <c r="B712" s="1" t="s">
        <v>3105</v>
      </c>
      <c r="C712" s="1" t="s">
        <v>3106</v>
      </c>
      <c r="D712" s="1" t="s">
        <v>77</v>
      </c>
      <c r="E712" s="1" t="s">
        <v>2396</v>
      </c>
      <c r="F712" s="1" t="s">
        <v>3042</v>
      </c>
      <c r="G712" s="1"/>
      <c r="H712" s="2">
        <v>0</v>
      </c>
      <c r="I712" s="2">
        <v>0</v>
      </c>
      <c r="J712" s="2">
        <v>0</v>
      </c>
      <c r="K712" s="2">
        <v>1</v>
      </c>
      <c r="L712" s="3" t="s">
        <v>80</v>
      </c>
      <c r="O712" s="4">
        <v>4</v>
      </c>
      <c r="P712" s="4" t="s">
        <v>81</v>
      </c>
      <c r="Q712" s="4"/>
      <c r="R712" s="5"/>
      <c r="S712" s="6"/>
      <c r="T712" s="17"/>
      <c r="U712" s="6"/>
      <c r="V712" s="4"/>
      <c r="W712" s="4"/>
      <c r="X712" s="4"/>
      <c r="Y712" s="7">
        <v>5</v>
      </c>
      <c r="Z712" s="8">
        <v>70458</v>
      </c>
      <c r="AA712" s="7" t="s">
        <v>82</v>
      </c>
      <c r="AB712" s="7"/>
      <c r="AC712" s="9">
        <v>5</v>
      </c>
      <c r="AD712" s="10">
        <v>70458</v>
      </c>
      <c r="AE712" s="9" t="s">
        <v>82</v>
      </c>
      <c r="AF712" s="9"/>
      <c r="AG712" s="11">
        <v>3</v>
      </c>
      <c r="AH712" s="11" t="s">
        <v>83</v>
      </c>
      <c r="AI712" s="11"/>
      <c r="AJ712" s="11"/>
      <c r="AK712" s="11"/>
      <c r="AL712" s="12">
        <v>3</v>
      </c>
      <c r="AM712" s="12" t="s">
        <v>83</v>
      </c>
      <c r="AN712" s="12"/>
      <c r="AO712" s="12"/>
      <c r="AP712" s="12"/>
      <c r="AQ712" s="4">
        <v>3</v>
      </c>
      <c r="AR712" s="4" t="s">
        <v>83</v>
      </c>
      <c r="AS712" s="4"/>
      <c r="AT712" s="13"/>
      <c r="AU712" s="13"/>
      <c r="AV712" s="13"/>
      <c r="AW712" s="13"/>
      <c r="AX712" s="4"/>
      <c r="AY712" s="13"/>
      <c r="AZ712" s="13"/>
      <c r="BA712" s="13"/>
      <c r="BB712" s="13"/>
      <c r="BC712" s="4"/>
      <c r="BD712" s="4"/>
      <c r="BE712" s="4"/>
      <c r="BF712" s="13"/>
      <c r="BG712" s="4"/>
      <c r="BH712" s="13"/>
      <c r="BI712" s="13"/>
      <c r="BJ712" s="4"/>
      <c r="BK712" s="14">
        <v>15</v>
      </c>
      <c r="BL712" s="14">
        <v>15</v>
      </c>
      <c r="BM712" s="14">
        <v>15</v>
      </c>
      <c r="BN712" s="3" t="s">
        <v>86</v>
      </c>
      <c r="BP712" s="15"/>
      <c r="BQ712" s="15"/>
      <c r="BR712" s="2" t="s">
        <v>87</v>
      </c>
      <c r="BS712" s="2" t="s">
        <v>87</v>
      </c>
      <c r="BT712" s="7" t="s">
        <v>88</v>
      </c>
      <c r="BU712" s="7"/>
      <c r="BV712" s="9" t="s">
        <v>88</v>
      </c>
      <c r="BW712" s="9"/>
    </row>
    <row r="713" spans="1:75" ht="14.25" customHeight="1" x14ac:dyDescent="0.25">
      <c r="A713" s="1">
        <v>1341</v>
      </c>
      <c r="B713" s="1" t="s">
        <v>3107</v>
      </c>
      <c r="C713" s="1" t="s">
        <v>3108</v>
      </c>
      <c r="D713" s="1" t="s">
        <v>77</v>
      </c>
      <c r="E713" s="1" t="s">
        <v>2396</v>
      </c>
      <c r="F713" s="1" t="s">
        <v>3042</v>
      </c>
      <c r="G713" s="1" t="s">
        <v>3109</v>
      </c>
      <c r="H713" s="2">
        <v>0</v>
      </c>
      <c r="I713" s="2">
        <v>0</v>
      </c>
      <c r="J713" s="2">
        <v>0</v>
      </c>
      <c r="K713" s="2">
        <v>1</v>
      </c>
      <c r="L713" s="3" t="s">
        <v>80</v>
      </c>
      <c r="O713" s="4">
        <v>5</v>
      </c>
      <c r="P713" s="4" t="s">
        <v>81</v>
      </c>
      <c r="Q713" s="4" t="s">
        <v>3110</v>
      </c>
      <c r="R713" s="5"/>
      <c r="S713" s="6"/>
      <c r="T713" s="17"/>
      <c r="U713" s="6"/>
      <c r="V713" s="4"/>
      <c r="W713" s="4"/>
      <c r="X713" s="4"/>
      <c r="Y713" s="7">
        <v>5</v>
      </c>
      <c r="Z713" s="8">
        <v>502</v>
      </c>
      <c r="AA713" s="7" t="s">
        <v>283</v>
      </c>
      <c r="AB713" s="7"/>
      <c r="AC713" s="9">
        <v>5</v>
      </c>
      <c r="AD713" s="10">
        <v>502</v>
      </c>
      <c r="AE713" s="9" t="s">
        <v>283</v>
      </c>
      <c r="AF713" s="9"/>
      <c r="AG713" s="11">
        <v>2</v>
      </c>
      <c r="AH713" s="11" t="s">
        <v>83</v>
      </c>
      <c r="AI713" s="11"/>
      <c r="AJ713" s="11"/>
      <c r="AK713" s="11"/>
      <c r="AL713" s="12">
        <v>2</v>
      </c>
      <c r="AM713" s="12" t="s">
        <v>83</v>
      </c>
      <c r="AN713" s="12"/>
      <c r="AO713" s="12"/>
      <c r="AP713" s="12"/>
      <c r="AQ713" s="4">
        <v>3</v>
      </c>
      <c r="AR713" s="4" t="s">
        <v>83</v>
      </c>
      <c r="AS713" s="4"/>
      <c r="AT713" s="13"/>
      <c r="AU713" s="13"/>
      <c r="AV713" s="13"/>
      <c r="AW713" s="13"/>
      <c r="AX713" s="4"/>
      <c r="AY713" s="13"/>
      <c r="AZ713" s="13"/>
      <c r="BA713" s="13"/>
      <c r="BB713" s="13"/>
      <c r="BC713" s="4"/>
      <c r="BD713" s="4"/>
      <c r="BE713" s="4"/>
      <c r="BF713" s="13"/>
      <c r="BG713" s="4"/>
      <c r="BH713" s="13"/>
      <c r="BI713" s="13"/>
      <c r="BJ713" s="4"/>
      <c r="BK713" s="14">
        <v>15</v>
      </c>
      <c r="BL713" s="14">
        <v>15</v>
      </c>
      <c r="BM713" s="14">
        <v>15</v>
      </c>
      <c r="BN713" s="3" t="s">
        <v>86</v>
      </c>
      <c r="BP713" s="15"/>
      <c r="BQ713" s="15"/>
      <c r="BR713" s="2" t="s">
        <v>108</v>
      </c>
      <c r="BS713" s="2" t="s">
        <v>108</v>
      </c>
      <c r="BT713" s="7" t="s">
        <v>760</v>
      </c>
      <c r="BU713" s="7"/>
      <c r="BV713" s="9" t="s">
        <v>760</v>
      </c>
      <c r="BW713" s="9"/>
    </row>
    <row r="714" spans="1:75" ht="14.25" customHeight="1" x14ac:dyDescent="0.25">
      <c r="A714" s="1">
        <v>1342</v>
      </c>
      <c r="B714" s="1" t="s">
        <v>3111</v>
      </c>
      <c r="C714" s="1" t="s">
        <v>3112</v>
      </c>
      <c r="D714" s="1" t="s">
        <v>77</v>
      </c>
      <c r="E714" s="1" t="s">
        <v>2396</v>
      </c>
      <c r="F714" s="1" t="s">
        <v>3042</v>
      </c>
      <c r="G714" s="1"/>
      <c r="H714" s="2">
        <v>0</v>
      </c>
      <c r="I714" s="2">
        <v>0</v>
      </c>
      <c r="J714" s="2">
        <v>0</v>
      </c>
      <c r="K714" s="2">
        <v>1</v>
      </c>
      <c r="L714" s="3" t="s">
        <v>80</v>
      </c>
      <c r="O714" s="4">
        <v>1</v>
      </c>
      <c r="P714" s="4" t="s">
        <v>81</v>
      </c>
      <c r="Q714" s="4"/>
      <c r="R714" s="5"/>
      <c r="S714" s="6"/>
      <c r="T714" s="17"/>
      <c r="U714" s="6"/>
      <c r="V714" s="4"/>
      <c r="W714" s="4"/>
      <c r="X714" s="4"/>
      <c r="Y714" s="7">
        <v>1</v>
      </c>
      <c r="Z714" s="8">
        <v>9914795</v>
      </c>
      <c r="AA714" s="7" t="s">
        <v>82</v>
      </c>
      <c r="AB714" s="7"/>
      <c r="AC714" s="9">
        <v>1</v>
      </c>
      <c r="AD714" s="10">
        <v>9914795</v>
      </c>
      <c r="AE714" s="9" t="s">
        <v>82</v>
      </c>
      <c r="AF714" s="9"/>
      <c r="AG714" s="11">
        <v>2</v>
      </c>
      <c r="AH714" s="11" t="s">
        <v>83</v>
      </c>
      <c r="AI714" s="11"/>
      <c r="AJ714" s="11"/>
      <c r="AK714" s="11"/>
      <c r="AL714" s="12">
        <v>2</v>
      </c>
      <c r="AM714" s="12" t="s">
        <v>83</v>
      </c>
      <c r="AN714" s="12"/>
      <c r="AO714" s="12"/>
      <c r="AP714" s="12"/>
      <c r="AQ714" s="4">
        <v>2</v>
      </c>
      <c r="AR714" s="4" t="s">
        <v>83</v>
      </c>
      <c r="AS714" s="4"/>
      <c r="AT714" s="13"/>
      <c r="AU714" s="13"/>
      <c r="AV714" s="13"/>
      <c r="AW714" s="13"/>
      <c r="AX714" s="4"/>
      <c r="AY714" s="13"/>
      <c r="AZ714" s="13"/>
      <c r="BA714" s="13"/>
      <c r="BB714" s="13"/>
      <c r="BC714" s="4"/>
      <c r="BD714" s="4"/>
      <c r="BE714" s="4"/>
      <c r="BF714" s="13"/>
      <c r="BG714" s="4"/>
      <c r="BH714" s="13"/>
      <c r="BI714" s="13"/>
      <c r="BJ714" s="4"/>
      <c r="BK714" s="14">
        <v>6</v>
      </c>
      <c r="BL714" s="14">
        <v>6</v>
      </c>
      <c r="BM714" s="14">
        <v>6</v>
      </c>
      <c r="BP714" s="15"/>
      <c r="BQ714" s="15"/>
      <c r="BR714" s="2" t="s">
        <v>97</v>
      </c>
      <c r="BS714" s="2" t="s">
        <v>97</v>
      </c>
      <c r="BT714" s="7" t="s">
        <v>458</v>
      </c>
      <c r="BU714" s="7"/>
      <c r="BV714" s="9" t="s">
        <v>458</v>
      </c>
      <c r="BW714" s="9"/>
    </row>
    <row r="715" spans="1:75" ht="14.25" customHeight="1" x14ac:dyDescent="0.25">
      <c r="A715" s="1">
        <v>1343</v>
      </c>
      <c r="B715" s="1" t="s">
        <v>3113</v>
      </c>
      <c r="C715" s="1" t="s">
        <v>3114</v>
      </c>
      <c r="D715" s="1" t="s">
        <v>77</v>
      </c>
      <c r="E715" s="1" t="s">
        <v>2396</v>
      </c>
      <c r="F715" s="1" t="s">
        <v>3042</v>
      </c>
      <c r="G715" s="1"/>
      <c r="H715" s="2">
        <v>0</v>
      </c>
      <c r="I715" s="2">
        <v>0</v>
      </c>
      <c r="J715" s="2">
        <v>0</v>
      </c>
      <c r="K715" s="2">
        <v>1</v>
      </c>
      <c r="L715" s="3" t="s">
        <v>80</v>
      </c>
      <c r="O715" s="4">
        <v>3</v>
      </c>
      <c r="P715" s="4" t="s">
        <v>81</v>
      </c>
      <c r="Q715" s="4"/>
      <c r="R715" s="5"/>
      <c r="S715" s="6"/>
      <c r="T715" s="17"/>
      <c r="U715" s="6"/>
      <c r="V715" s="4"/>
      <c r="W715" s="4"/>
      <c r="X715" s="4"/>
      <c r="Y715" s="7">
        <v>3</v>
      </c>
      <c r="Z715" s="8">
        <v>402185</v>
      </c>
      <c r="AA715" s="7" t="s">
        <v>82</v>
      </c>
      <c r="AB715" s="7"/>
      <c r="AC715" s="9">
        <v>3</v>
      </c>
      <c r="AD715" s="10">
        <v>402185</v>
      </c>
      <c r="AE715" s="9" t="s">
        <v>82</v>
      </c>
      <c r="AF715" s="9"/>
      <c r="AG715" s="11">
        <v>2</v>
      </c>
      <c r="AH715" s="11" t="s">
        <v>83</v>
      </c>
      <c r="AI715" s="11"/>
      <c r="AJ715" s="11"/>
      <c r="AK715" s="11"/>
      <c r="AL715" s="12">
        <v>2</v>
      </c>
      <c r="AM715" s="12" t="s">
        <v>83</v>
      </c>
      <c r="AN715" s="12"/>
      <c r="AO715" s="12"/>
      <c r="AP715" s="12"/>
      <c r="AQ715" s="4">
        <v>3</v>
      </c>
      <c r="AR715" s="4" t="s">
        <v>83</v>
      </c>
      <c r="AS715" s="4"/>
      <c r="AT715" s="13"/>
      <c r="AU715" s="13"/>
      <c r="AV715" s="13"/>
      <c r="AW715" s="13"/>
      <c r="AX715" s="4"/>
      <c r="AY715" s="13"/>
      <c r="AZ715" s="13"/>
      <c r="BA715" s="13"/>
      <c r="BB715" s="13"/>
      <c r="BC715" s="4"/>
      <c r="BD715" s="4"/>
      <c r="BE715" s="4"/>
      <c r="BF715" s="13"/>
      <c r="BG715" s="4"/>
      <c r="BH715" s="13"/>
      <c r="BI715" s="13"/>
      <c r="BJ715" s="4"/>
      <c r="BK715" s="14">
        <v>11</v>
      </c>
      <c r="BL715" s="14">
        <v>11</v>
      </c>
      <c r="BM715" s="14">
        <v>11</v>
      </c>
      <c r="BP715" s="15"/>
      <c r="BQ715" s="15"/>
      <c r="BR715" s="2" t="s">
        <v>121</v>
      </c>
      <c r="BS715" s="2" t="s">
        <v>121</v>
      </c>
      <c r="BT715" s="7" t="s">
        <v>98</v>
      </c>
      <c r="BU715" s="7" t="s">
        <v>88</v>
      </c>
      <c r="BV715" s="9" t="s">
        <v>98</v>
      </c>
      <c r="BW715" s="9" t="s">
        <v>88</v>
      </c>
    </row>
    <row r="716" spans="1:75" ht="14.25" customHeight="1" x14ac:dyDescent="0.25">
      <c r="A716" s="1">
        <v>1344</v>
      </c>
      <c r="B716" s="1" t="s">
        <v>3115</v>
      </c>
      <c r="C716" s="1" t="s">
        <v>3116</v>
      </c>
      <c r="D716" s="1" t="s">
        <v>77</v>
      </c>
      <c r="E716" s="1" t="s">
        <v>2396</v>
      </c>
      <c r="F716" s="1" t="s">
        <v>3042</v>
      </c>
      <c r="G716" s="1"/>
      <c r="H716" s="2">
        <v>0</v>
      </c>
      <c r="I716" s="2">
        <v>0</v>
      </c>
      <c r="J716" s="2">
        <v>1</v>
      </c>
      <c r="K716" s="2">
        <v>1</v>
      </c>
      <c r="L716" s="3" t="s">
        <v>80</v>
      </c>
      <c r="O716" s="4">
        <v>4</v>
      </c>
      <c r="P716" s="4" t="s">
        <v>112</v>
      </c>
      <c r="Q716" s="4"/>
      <c r="R716" s="5"/>
      <c r="S716" s="6"/>
      <c r="T716" s="17"/>
      <c r="U716" s="6"/>
      <c r="V716" s="4"/>
      <c r="W716" s="4"/>
      <c r="X716" s="4"/>
      <c r="Y716" s="7">
        <v>3</v>
      </c>
      <c r="Z716" s="8">
        <v>360041</v>
      </c>
      <c r="AA716" s="7" t="s">
        <v>92</v>
      </c>
      <c r="AB716" s="7"/>
      <c r="AC716" s="9">
        <v>3</v>
      </c>
      <c r="AD716" s="10">
        <v>360041</v>
      </c>
      <c r="AE716" s="9" t="s">
        <v>92</v>
      </c>
      <c r="AF716" s="9"/>
      <c r="AG716" s="11">
        <v>3</v>
      </c>
      <c r="AH716" s="11" t="s">
        <v>93</v>
      </c>
      <c r="AI716" s="11" t="s">
        <v>393</v>
      </c>
      <c r="AJ716" s="11"/>
      <c r="AK716" s="11"/>
      <c r="AL716" s="12">
        <v>3</v>
      </c>
      <c r="AM716" s="12" t="s">
        <v>93</v>
      </c>
      <c r="AN716" s="12" t="s">
        <v>394</v>
      </c>
      <c r="AO716" s="12"/>
      <c r="AP716" s="12"/>
      <c r="AQ716" s="4">
        <v>3</v>
      </c>
      <c r="AR716" s="4" t="s">
        <v>83</v>
      </c>
      <c r="AS716" s="4"/>
      <c r="AT716" s="13"/>
      <c r="AU716" s="13"/>
      <c r="AV716" s="13"/>
      <c r="AW716" s="13"/>
      <c r="AX716" s="4"/>
      <c r="AY716" s="13"/>
      <c r="AZ716" s="13"/>
      <c r="BA716" s="13"/>
      <c r="BB716" s="13"/>
      <c r="BC716" s="4"/>
      <c r="BD716" s="4"/>
      <c r="BE716" s="4"/>
      <c r="BF716" s="13"/>
      <c r="BG716" s="4"/>
      <c r="BH716" s="13"/>
      <c r="BI716" s="13"/>
      <c r="BJ716" s="4"/>
      <c r="BK716" s="14">
        <v>13</v>
      </c>
      <c r="BL716" s="14">
        <v>13</v>
      </c>
      <c r="BM716" s="14">
        <v>13</v>
      </c>
      <c r="BP716" s="15"/>
      <c r="BQ716" s="15"/>
      <c r="BR716" s="2" t="s">
        <v>115</v>
      </c>
      <c r="BS716" s="2" t="s">
        <v>115</v>
      </c>
      <c r="BT716" s="7" t="s">
        <v>98</v>
      </c>
      <c r="BU716" s="7"/>
      <c r="BV716" s="9" t="s">
        <v>98</v>
      </c>
      <c r="BW716" s="9"/>
    </row>
    <row r="717" spans="1:75" ht="14.25" customHeight="1" x14ac:dyDescent="0.25">
      <c r="A717" s="1">
        <v>1345</v>
      </c>
      <c r="B717" s="1" t="s">
        <v>3117</v>
      </c>
      <c r="C717" s="1" t="s">
        <v>3118</v>
      </c>
      <c r="D717" s="1" t="s">
        <v>77</v>
      </c>
      <c r="E717" s="1" t="s">
        <v>2396</v>
      </c>
      <c r="F717" s="1" t="s">
        <v>3119</v>
      </c>
      <c r="G717" s="1"/>
      <c r="H717" s="2">
        <v>0</v>
      </c>
      <c r="I717" s="2">
        <v>0</v>
      </c>
      <c r="J717" s="2">
        <v>1</v>
      </c>
      <c r="K717" s="2">
        <v>1</v>
      </c>
      <c r="L717" s="3" t="s">
        <v>80</v>
      </c>
      <c r="O717" s="4">
        <v>2</v>
      </c>
      <c r="P717" s="4" t="s">
        <v>112</v>
      </c>
      <c r="Q717" s="4"/>
      <c r="R717" s="5"/>
      <c r="S717" s="6"/>
      <c r="T717" s="17"/>
      <c r="U717" s="6"/>
      <c r="V717" s="4"/>
      <c r="W717" s="4"/>
      <c r="X717" s="4"/>
      <c r="Y717" s="7">
        <v>1</v>
      </c>
      <c r="Z717" s="8">
        <v>13521175</v>
      </c>
      <c r="AA717" s="7" t="s">
        <v>92</v>
      </c>
      <c r="AB717" s="7"/>
      <c r="AC717" s="9">
        <v>1</v>
      </c>
      <c r="AD717" s="10">
        <v>13521175</v>
      </c>
      <c r="AE717" s="9" t="s">
        <v>92</v>
      </c>
      <c r="AF717" s="9"/>
      <c r="AG717" s="11">
        <v>2</v>
      </c>
      <c r="AH717" s="11" t="s">
        <v>93</v>
      </c>
      <c r="AI717" s="11"/>
      <c r="AJ717" s="11"/>
      <c r="AK717" s="11"/>
      <c r="AL717" s="12">
        <v>2</v>
      </c>
      <c r="AM717" s="12" t="s">
        <v>93</v>
      </c>
      <c r="AN717" s="12" t="s">
        <v>3120</v>
      </c>
      <c r="AO717" s="12"/>
      <c r="AP717" s="12"/>
      <c r="AQ717" s="4">
        <v>3</v>
      </c>
      <c r="AR717" s="4" t="s">
        <v>83</v>
      </c>
      <c r="AS717" s="4"/>
      <c r="AT717" s="13"/>
      <c r="AU717" s="13"/>
      <c r="AV717" s="13"/>
      <c r="AW717" s="13"/>
      <c r="AX717" s="4"/>
      <c r="AY717" s="13"/>
      <c r="AZ717" s="13"/>
      <c r="BA717" s="13"/>
      <c r="BB717" s="13"/>
      <c r="BC717" s="4"/>
      <c r="BD717" s="4"/>
      <c r="BE717" s="4"/>
      <c r="BF717" s="13"/>
      <c r="BG717" s="4"/>
      <c r="BH717" s="13"/>
      <c r="BI717" s="13"/>
      <c r="BJ717" s="4"/>
      <c r="BK717" s="14">
        <v>8</v>
      </c>
      <c r="BL717" s="14">
        <v>8</v>
      </c>
      <c r="BM717" s="14">
        <v>8</v>
      </c>
      <c r="BP717" s="15"/>
      <c r="BQ717" s="15"/>
      <c r="BR717" s="2" t="s">
        <v>97</v>
      </c>
      <c r="BS717" s="2" t="s">
        <v>97</v>
      </c>
      <c r="BT717" s="7" t="s">
        <v>98</v>
      </c>
      <c r="BU717" s="7"/>
      <c r="BV717" s="9" t="s">
        <v>98</v>
      </c>
      <c r="BW717" s="9"/>
    </row>
    <row r="718" spans="1:75" ht="14.25" customHeight="1" x14ac:dyDescent="0.25">
      <c r="A718" s="1">
        <v>1346</v>
      </c>
      <c r="B718" s="1" t="s">
        <v>3121</v>
      </c>
      <c r="C718" s="1" t="s">
        <v>3122</v>
      </c>
      <c r="D718" s="1" t="s">
        <v>77</v>
      </c>
      <c r="E718" s="1" t="s">
        <v>2396</v>
      </c>
      <c r="F718" s="1" t="s">
        <v>3119</v>
      </c>
      <c r="G718" s="1"/>
      <c r="H718" s="2">
        <v>0</v>
      </c>
      <c r="I718" s="2">
        <v>0</v>
      </c>
      <c r="J718" s="2">
        <v>0</v>
      </c>
      <c r="K718" s="2">
        <v>1</v>
      </c>
      <c r="L718" s="3" t="s">
        <v>80</v>
      </c>
      <c r="O718" s="4">
        <v>2</v>
      </c>
      <c r="P718" s="4" t="s">
        <v>81</v>
      </c>
      <c r="Q718" s="4"/>
      <c r="R718" s="5"/>
      <c r="S718" s="6"/>
      <c r="T718" s="17"/>
      <c r="U718" s="6"/>
      <c r="V718" s="4"/>
      <c r="W718" s="4"/>
      <c r="X718" s="4"/>
      <c r="Y718" s="7">
        <v>3</v>
      </c>
      <c r="Z718" s="8">
        <v>837073</v>
      </c>
      <c r="AA718" s="7" t="s">
        <v>82</v>
      </c>
      <c r="AB718" s="7"/>
      <c r="AC718" s="9">
        <v>3</v>
      </c>
      <c r="AD718" s="10">
        <v>837073</v>
      </c>
      <c r="AE718" s="9" t="s">
        <v>82</v>
      </c>
      <c r="AF718" s="9"/>
      <c r="AG718" s="11">
        <v>2</v>
      </c>
      <c r="AH718" s="11" t="s">
        <v>83</v>
      </c>
      <c r="AI718" s="11"/>
      <c r="AJ718" s="11"/>
      <c r="AK718" s="11"/>
      <c r="AL718" s="12">
        <v>2</v>
      </c>
      <c r="AM718" s="12" t="s">
        <v>83</v>
      </c>
      <c r="AN718" s="12"/>
      <c r="AO718" s="12"/>
      <c r="AP718" s="12"/>
      <c r="AQ718" s="4">
        <v>3</v>
      </c>
      <c r="AR718" s="4" t="s">
        <v>83</v>
      </c>
      <c r="AS718" s="4"/>
      <c r="AT718" s="13"/>
      <c r="AU718" s="13"/>
      <c r="AV718" s="13"/>
      <c r="AW718" s="13"/>
      <c r="AX718" s="4"/>
      <c r="AY718" s="13"/>
      <c r="AZ718" s="13"/>
      <c r="BA718" s="13"/>
      <c r="BB718" s="13"/>
      <c r="BC718" s="4"/>
      <c r="BD718" s="4"/>
      <c r="BE718" s="4"/>
      <c r="BF718" s="13"/>
      <c r="BG718" s="4"/>
      <c r="BH718" s="13"/>
      <c r="BI718" s="13"/>
      <c r="BJ718" s="4"/>
      <c r="BK718" s="14">
        <v>10</v>
      </c>
      <c r="BL718" s="14">
        <v>10</v>
      </c>
      <c r="BM718" s="14">
        <v>10</v>
      </c>
      <c r="BP718" s="15"/>
      <c r="BQ718" s="15"/>
      <c r="BR718" s="2" t="s">
        <v>740</v>
      </c>
      <c r="BS718" s="2" t="s">
        <v>740</v>
      </c>
      <c r="BT718" s="7" t="s">
        <v>109</v>
      </c>
      <c r="BU718" s="7"/>
      <c r="BV718" s="9" t="s">
        <v>109</v>
      </c>
      <c r="BW718" s="9"/>
    </row>
    <row r="719" spans="1:75" ht="14.25" customHeight="1" x14ac:dyDescent="0.25">
      <c r="A719" s="1">
        <v>1347</v>
      </c>
      <c r="B719" s="1" t="s">
        <v>3123</v>
      </c>
      <c r="C719" s="1" t="s">
        <v>3124</v>
      </c>
      <c r="D719" s="1" t="s">
        <v>77</v>
      </c>
      <c r="E719" s="1" t="s">
        <v>2396</v>
      </c>
      <c r="F719" s="1" t="s">
        <v>3119</v>
      </c>
      <c r="G719" s="1"/>
      <c r="H719" s="2">
        <v>0</v>
      </c>
      <c r="I719" s="2">
        <v>0</v>
      </c>
      <c r="J719" s="2">
        <v>1</v>
      </c>
      <c r="K719" s="2">
        <v>1</v>
      </c>
      <c r="L719" s="3" t="s">
        <v>80</v>
      </c>
      <c r="O719" s="4">
        <v>5</v>
      </c>
      <c r="P719" s="4" t="s">
        <v>112</v>
      </c>
      <c r="Q719" s="4" t="s">
        <v>3125</v>
      </c>
      <c r="R719" s="5"/>
      <c r="S719" s="6"/>
      <c r="T719" s="17"/>
      <c r="U719" s="6"/>
      <c r="V719" s="4"/>
      <c r="W719" s="4"/>
      <c r="X719" s="4"/>
      <c r="Y719" s="7">
        <v>4</v>
      </c>
      <c r="Z719" s="8">
        <v>171428</v>
      </c>
      <c r="AA719" s="7" t="s">
        <v>92</v>
      </c>
      <c r="AB719" s="7"/>
      <c r="AC719" s="9">
        <v>4</v>
      </c>
      <c r="AD719" s="10">
        <v>171428</v>
      </c>
      <c r="AE719" s="9" t="s">
        <v>92</v>
      </c>
      <c r="AF719" s="9"/>
      <c r="AG719" s="11">
        <v>4</v>
      </c>
      <c r="AH719" s="11" t="s">
        <v>93</v>
      </c>
      <c r="AI719" s="11"/>
      <c r="AJ719" s="11"/>
      <c r="AK719" s="11"/>
      <c r="AL719" s="12">
        <v>4</v>
      </c>
      <c r="AM719" s="12" t="s">
        <v>93</v>
      </c>
      <c r="AN719" s="12" t="s">
        <v>805</v>
      </c>
      <c r="AO719" s="12"/>
      <c r="AP719" s="12"/>
      <c r="AQ719" s="4">
        <v>4</v>
      </c>
      <c r="AR719" s="4" t="s">
        <v>83</v>
      </c>
      <c r="AS719" s="4"/>
      <c r="AT719" s="13"/>
      <c r="AU719" s="13"/>
      <c r="AV719" s="13"/>
      <c r="AW719" s="13"/>
      <c r="AX719" s="4"/>
      <c r="AY719" s="13"/>
      <c r="AZ719" s="13"/>
      <c r="BA719" s="13"/>
      <c r="BB719" s="13"/>
      <c r="BC719" s="4"/>
      <c r="BD719" s="4"/>
      <c r="BE719" s="4"/>
      <c r="BF719" s="13"/>
      <c r="BG719" s="4"/>
      <c r="BH719" s="13"/>
      <c r="BI719" s="13"/>
      <c r="BJ719" s="4"/>
      <c r="BK719" s="14">
        <v>17</v>
      </c>
      <c r="BL719" s="14">
        <v>17</v>
      </c>
      <c r="BM719" s="14">
        <v>17</v>
      </c>
      <c r="BN719" s="3" t="s">
        <v>312</v>
      </c>
      <c r="BP719" s="15"/>
      <c r="BQ719" s="15"/>
      <c r="BR719" s="2" t="s">
        <v>409</v>
      </c>
      <c r="BS719" s="2" t="s">
        <v>409</v>
      </c>
      <c r="BT719" s="7" t="s">
        <v>438</v>
      </c>
      <c r="BU719" s="7" t="s">
        <v>437</v>
      </c>
      <c r="BV719" s="9" t="s">
        <v>438</v>
      </c>
      <c r="BW719" s="9" t="s">
        <v>437</v>
      </c>
    </row>
    <row r="720" spans="1:75" ht="14.25" customHeight="1" x14ac:dyDescent="0.25">
      <c r="A720" s="1">
        <v>1348</v>
      </c>
      <c r="B720" s="1" t="s">
        <v>3126</v>
      </c>
      <c r="C720" s="1" t="s">
        <v>3127</v>
      </c>
      <c r="D720" s="1" t="s">
        <v>77</v>
      </c>
      <c r="E720" s="1" t="s">
        <v>2396</v>
      </c>
      <c r="F720" s="1" t="s">
        <v>3119</v>
      </c>
      <c r="G720" s="1"/>
      <c r="H720" s="2">
        <v>0</v>
      </c>
      <c r="I720" s="2">
        <v>0</v>
      </c>
      <c r="J720" s="2">
        <v>1</v>
      </c>
      <c r="K720" s="2">
        <v>1</v>
      </c>
      <c r="L720" s="3" t="s">
        <v>80</v>
      </c>
      <c r="O720" s="4">
        <v>4</v>
      </c>
      <c r="P720" s="4" t="s">
        <v>112</v>
      </c>
      <c r="Q720" s="4"/>
      <c r="R720" s="5"/>
      <c r="S720" s="6"/>
      <c r="T720" s="17"/>
      <c r="U720" s="6"/>
      <c r="V720" s="4"/>
      <c r="W720" s="4"/>
      <c r="X720" s="4"/>
      <c r="Y720" s="7">
        <v>3</v>
      </c>
      <c r="Z720" s="8">
        <v>373849</v>
      </c>
      <c r="AA720" s="7" t="s">
        <v>92</v>
      </c>
      <c r="AB720" s="7"/>
      <c r="AC720" s="9">
        <v>3</v>
      </c>
      <c r="AD720" s="10">
        <v>373849</v>
      </c>
      <c r="AE720" s="9" t="s">
        <v>92</v>
      </c>
      <c r="AF720" s="9" t="s">
        <v>3128</v>
      </c>
      <c r="AG720" s="11">
        <v>4</v>
      </c>
      <c r="AH720" s="11" t="s">
        <v>93</v>
      </c>
      <c r="AI720" s="11"/>
      <c r="AJ720" s="11"/>
      <c r="AK720" s="11"/>
      <c r="AL720" s="12">
        <v>4</v>
      </c>
      <c r="AM720" s="12" t="s">
        <v>93</v>
      </c>
      <c r="AN720" s="12" t="s">
        <v>408</v>
      </c>
      <c r="AO720" s="12"/>
      <c r="AP720" s="12"/>
      <c r="AQ720" s="4">
        <v>4</v>
      </c>
      <c r="AR720" s="4" t="s">
        <v>83</v>
      </c>
      <c r="AS720" s="4" t="s">
        <v>3129</v>
      </c>
      <c r="AT720" s="13"/>
      <c r="AU720" s="13"/>
      <c r="AV720" s="13"/>
      <c r="AW720" s="13"/>
      <c r="AX720" s="4"/>
      <c r="AY720" s="13"/>
      <c r="AZ720" s="13"/>
      <c r="BA720" s="13"/>
      <c r="BB720" s="13"/>
      <c r="BC720" s="4"/>
      <c r="BD720" s="4"/>
      <c r="BE720" s="4"/>
      <c r="BF720" s="13"/>
      <c r="BG720" s="4"/>
      <c r="BH720" s="13"/>
      <c r="BI720" s="13"/>
      <c r="BJ720" s="4"/>
      <c r="BK720" s="14">
        <v>15</v>
      </c>
      <c r="BL720" s="14">
        <v>15</v>
      </c>
      <c r="BM720" s="14">
        <v>15</v>
      </c>
      <c r="BN720" s="3" t="s">
        <v>86</v>
      </c>
      <c r="BP720" s="15"/>
      <c r="BQ720" s="15"/>
      <c r="BR720" s="2" t="s">
        <v>400</v>
      </c>
      <c r="BS720" s="2" t="s">
        <v>400</v>
      </c>
      <c r="BT720" s="7" t="s">
        <v>98</v>
      </c>
      <c r="BU720" s="7"/>
      <c r="BV720" s="9" t="s">
        <v>98</v>
      </c>
      <c r="BW720" s="9"/>
    </row>
    <row r="721" spans="1:75" ht="14.25" customHeight="1" x14ac:dyDescent="0.25">
      <c r="A721" s="1">
        <v>1349</v>
      </c>
      <c r="B721" s="1" t="s">
        <v>3130</v>
      </c>
      <c r="C721" s="1" t="s">
        <v>3131</v>
      </c>
      <c r="D721" s="1" t="s">
        <v>77</v>
      </c>
      <c r="E721" s="1" t="s">
        <v>2396</v>
      </c>
      <c r="F721" s="1" t="s">
        <v>3119</v>
      </c>
      <c r="G721" s="1"/>
      <c r="H721" s="2">
        <v>0</v>
      </c>
      <c r="I721" s="2">
        <v>0</v>
      </c>
      <c r="J721" s="2">
        <v>0</v>
      </c>
      <c r="K721" s="2">
        <v>1</v>
      </c>
      <c r="L721" s="3" t="s">
        <v>80</v>
      </c>
      <c r="O721" s="4">
        <v>5</v>
      </c>
      <c r="P721" s="4" t="s">
        <v>81</v>
      </c>
      <c r="Q721" s="4"/>
      <c r="R721" s="5"/>
      <c r="S721" s="6"/>
      <c r="T721" s="17"/>
      <c r="U721" s="6"/>
      <c r="V721" s="4"/>
      <c r="W721" s="4"/>
      <c r="X721" s="4"/>
      <c r="Y721" s="7">
        <v>4</v>
      </c>
      <c r="Z721" s="8">
        <v>192165</v>
      </c>
      <c r="AA721" s="7" t="s">
        <v>82</v>
      </c>
      <c r="AB721" s="7"/>
      <c r="AC721" s="9">
        <v>4</v>
      </c>
      <c r="AD721" s="10">
        <v>192165</v>
      </c>
      <c r="AE721" s="9" t="s">
        <v>82</v>
      </c>
      <c r="AF721" s="9"/>
      <c r="AG721" s="11">
        <v>3</v>
      </c>
      <c r="AH721" s="11" t="s">
        <v>83</v>
      </c>
      <c r="AI721" s="11"/>
      <c r="AJ721" s="11"/>
      <c r="AK721" s="11"/>
      <c r="AL721" s="12">
        <v>3</v>
      </c>
      <c r="AM721" s="12" t="s">
        <v>83</v>
      </c>
      <c r="AN721" s="12"/>
      <c r="AO721" s="12"/>
      <c r="AP721" s="12"/>
      <c r="AQ721" s="4">
        <v>3</v>
      </c>
      <c r="AR721" s="4" t="s">
        <v>83</v>
      </c>
      <c r="AS721" s="4" t="s">
        <v>3132</v>
      </c>
      <c r="AT721" s="13"/>
      <c r="AU721" s="13"/>
      <c r="AV721" s="13"/>
      <c r="AW721" s="13"/>
      <c r="AX721" s="4"/>
      <c r="AY721" s="13"/>
      <c r="AZ721" s="13"/>
      <c r="BA721" s="13"/>
      <c r="BB721" s="13"/>
      <c r="BC721" s="4"/>
      <c r="BD721" s="4"/>
      <c r="BE721" s="4"/>
      <c r="BF721" s="13"/>
      <c r="BG721" s="4"/>
      <c r="BH721" s="13"/>
      <c r="BI721" s="13"/>
      <c r="BJ721" s="4"/>
      <c r="BK721" s="14">
        <v>15</v>
      </c>
      <c r="BL721" s="14">
        <v>15</v>
      </c>
      <c r="BM721" s="14">
        <v>15</v>
      </c>
      <c r="BN721" s="3" t="s">
        <v>86</v>
      </c>
      <c r="BP721" s="15"/>
      <c r="BQ721" s="15"/>
      <c r="BR721" s="2" t="s">
        <v>121</v>
      </c>
      <c r="BS721" s="2" t="s">
        <v>121</v>
      </c>
      <c r="BT721" s="7" t="s">
        <v>98</v>
      </c>
      <c r="BU721" s="7"/>
      <c r="BV721" s="9" t="s">
        <v>98</v>
      </c>
      <c r="BW721" s="9"/>
    </row>
    <row r="722" spans="1:75" ht="14.25" customHeight="1" x14ac:dyDescent="0.25">
      <c r="A722" s="1">
        <v>1350</v>
      </c>
      <c r="B722" s="1" t="s">
        <v>3133</v>
      </c>
      <c r="C722" s="1" t="s">
        <v>3134</v>
      </c>
      <c r="D722" s="1" t="s">
        <v>77</v>
      </c>
      <c r="E722" s="1" t="s">
        <v>2396</v>
      </c>
      <c r="F722" s="1" t="s">
        <v>3119</v>
      </c>
      <c r="G722" s="1" t="s">
        <v>3135</v>
      </c>
      <c r="H722" s="2">
        <v>0</v>
      </c>
      <c r="I722" s="2">
        <v>0</v>
      </c>
      <c r="J722" s="2">
        <v>1</v>
      </c>
      <c r="K722" s="2">
        <v>1</v>
      </c>
      <c r="L722" s="3" t="s">
        <v>80</v>
      </c>
      <c r="O722" s="4">
        <v>3</v>
      </c>
      <c r="P722" s="4" t="s">
        <v>112</v>
      </c>
      <c r="Q722" s="4"/>
      <c r="R722" s="5"/>
      <c r="S722" s="6"/>
      <c r="T722" s="17"/>
      <c r="U722" s="6"/>
      <c r="V722" s="4"/>
      <c r="W722" s="4"/>
      <c r="X722" s="4"/>
      <c r="Y722" s="7">
        <v>1</v>
      </c>
      <c r="Z722" s="8">
        <v>6059717</v>
      </c>
      <c r="AA722" s="7" t="s">
        <v>92</v>
      </c>
      <c r="AB722" s="7"/>
      <c r="AC722" s="9">
        <v>1</v>
      </c>
      <c r="AD722" s="10">
        <v>6059717</v>
      </c>
      <c r="AE722" s="9" t="s">
        <v>92</v>
      </c>
      <c r="AF722" s="9"/>
      <c r="AG722" s="11">
        <v>4</v>
      </c>
      <c r="AH722" s="11" t="s">
        <v>93</v>
      </c>
      <c r="AI722" s="11"/>
      <c r="AJ722" s="11"/>
      <c r="AK722" s="11"/>
      <c r="AL722" s="12">
        <v>4</v>
      </c>
      <c r="AM722" s="12" t="s">
        <v>93</v>
      </c>
      <c r="AN722" s="12" t="s">
        <v>408</v>
      </c>
      <c r="AO722" s="12"/>
      <c r="AP722" s="12"/>
      <c r="AQ722" s="4">
        <v>4</v>
      </c>
      <c r="AR722" s="4" t="s">
        <v>83</v>
      </c>
      <c r="AS722" s="4"/>
      <c r="AT722" s="13"/>
      <c r="AU722" s="13"/>
      <c r="AV722" s="13"/>
      <c r="AW722" s="13"/>
      <c r="AX722" s="4"/>
      <c r="AY722" s="13"/>
      <c r="AZ722" s="13"/>
      <c r="BA722" s="13"/>
      <c r="BB722" s="13"/>
      <c r="BC722" s="4"/>
      <c r="BD722" s="4"/>
      <c r="BE722" s="4"/>
      <c r="BF722" s="13"/>
      <c r="BG722" s="4"/>
      <c r="BH722" s="13"/>
      <c r="BI722" s="13"/>
      <c r="BJ722" s="4"/>
      <c r="BK722" s="14">
        <v>12</v>
      </c>
      <c r="BL722" s="14">
        <v>12</v>
      </c>
      <c r="BM722" s="14">
        <v>12</v>
      </c>
      <c r="BP722" s="15"/>
      <c r="BQ722" s="15"/>
      <c r="BR722" s="2" t="s">
        <v>97</v>
      </c>
      <c r="BS722" s="2" t="s">
        <v>97</v>
      </c>
      <c r="BT722" s="7" t="s">
        <v>98</v>
      </c>
      <c r="BU722" s="7"/>
      <c r="BV722" s="9" t="s">
        <v>98</v>
      </c>
      <c r="BW722" s="9"/>
    </row>
    <row r="723" spans="1:75" ht="14.25" customHeight="1" x14ac:dyDescent="0.25">
      <c r="A723" s="1">
        <v>1351</v>
      </c>
      <c r="B723" s="1" t="s">
        <v>3136</v>
      </c>
      <c r="C723" s="1" t="s">
        <v>3137</v>
      </c>
      <c r="D723" s="1" t="s">
        <v>77</v>
      </c>
      <c r="E723" s="1" t="s">
        <v>2396</v>
      </c>
      <c r="F723" s="1" t="s">
        <v>3119</v>
      </c>
      <c r="G723" s="1" t="s">
        <v>3135</v>
      </c>
      <c r="H723" s="2">
        <v>0</v>
      </c>
      <c r="I723" s="2">
        <v>0</v>
      </c>
      <c r="J723" s="2">
        <v>1</v>
      </c>
      <c r="K723" s="2">
        <v>1</v>
      </c>
      <c r="L723" s="3" t="s">
        <v>80</v>
      </c>
      <c r="O723" s="4">
        <v>3</v>
      </c>
      <c r="P723" s="4" t="s">
        <v>112</v>
      </c>
      <c r="Q723" s="4"/>
      <c r="R723" s="5"/>
      <c r="S723" s="6"/>
      <c r="T723" s="17"/>
      <c r="U723" s="6"/>
      <c r="V723" s="4"/>
      <c r="W723" s="4"/>
      <c r="X723" s="4"/>
      <c r="Y723" s="7">
        <v>3</v>
      </c>
      <c r="Z723" s="8">
        <v>857101</v>
      </c>
      <c r="AA723" s="7" t="s">
        <v>92</v>
      </c>
      <c r="AB723" s="7"/>
      <c r="AC723" s="9">
        <v>3</v>
      </c>
      <c r="AD723" s="10">
        <v>857101</v>
      </c>
      <c r="AE723" s="9" t="s">
        <v>92</v>
      </c>
      <c r="AF723" s="9" t="s">
        <v>3138</v>
      </c>
      <c r="AG723" s="11">
        <v>3</v>
      </c>
      <c r="AH723" s="11" t="s">
        <v>93</v>
      </c>
      <c r="AI723" s="11"/>
      <c r="AJ723" s="11"/>
      <c r="AK723" s="11"/>
      <c r="AL723" s="12">
        <v>3</v>
      </c>
      <c r="AM723" s="12" t="s">
        <v>93</v>
      </c>
      <c r="AN723" s="12" t="s">
        <v>805</v>
      </c>
      <c r="AO723" s="12"/>
      <c r="AP723" s="12"/>
      <c r="AQ723" s="4">
        <v>4</v>
      </c>
      <c r="AR723" s="4" t="s">
        <v>83</v>
      </c>
      <c r="AS723" s="4"/>
      <c r="AT723" s="13"/>
      <c r="AU723" s="13"/>
      <c r="AV723" s="13"/>
      <c r="AW723" s="13"/>
      <c r="AX723" s="4"/>
      <c r="AY723" s="13"/>
      <c r="AZ723" s="13"/>
      <c r="BA723" s="13"/>
      <c r="BB723" s="13"/>
      <c r="BC723" s="4"/>
      <c r="BD723" s="4"/>
      <c r="BE723" s="4"/>
      <c r="BF723" s="13"/>
      <c r="BG723" s="4"/>
      <c r="BH723" s="13"/>
      <c r="BI723" s="13"/>
      <c r="BJ723" s="4"/>
      <c r="BK723" s="14">
        <v>13</v>
      </c>
      <c r="BL723" s="14">
        <v>13</v>
      </c>
      <c r="BM723" s="14">
        <v>13</v>
      </c>
      <c r="BP723" s="15"/>
      <c r="BQ723" s="15"/>
      <c r="BR723" s="2" t="s">
        <v>400</v>
      </c>
      <c r="BS723" s="2" t="s">
        <v>400</v>
      </c>
      <c r="BT723" s="7" t="s">
        <v>98</v>
      </c>
      <c r="BU723" s="7"/>
      <c r="BV723" s="9" t="s">
        <v>98</v>
      </c>
      <c r="BW723" s="9"/>
    </row>
    <row r="724" spans="1:75" ht="14.25" customHeight="1" x14ac:dyDescent="0.25">
      <c r="A724" s="1">
        <v>1352</v>
      </c>
      <c r="B724" s="1" t="s">
        <v>3139</v>
      </c>
      <c r="C724" s="1" t="s">
        <v>3140</v>
      </c>
      <c r="D724" s="1" t="s">
        <v>77</v>
      </c>
      <c r="E724" s="1" t="s">
        <v>2396</v>
      </c>
      <c r="F724" s="1" t="s">
        <v>3119</v>
      </c>
      <c r="G724" s="1" t="s">
        <v>3135</v>
      </c>
      <c r="H724" s="2">
        <v>0</v>
      </c>
      <c r="I724" s="2">
        <v>0</v>
      </c>
      <c r="J724" s="2">
        <v>0</v>
      </c>
      <c r="K724" s="2">
        <v>1</v>
      </c>
      <c r="L724" s="3" t="s">
        <v>80</v>
      </c>
      <c r="O724" s="4">
        <v>3</v>
      </c>
      <c r="P724" s="4" t="s">
        <v>81</v>
      </c>
      <c r="Q724" s="4"/>
      <c r="R724" s="5"/>
      <c r="S724" s="6"/>
      <c r="T724" s="17"/>
      <c r="U724" s="6"/>
      <c r="V724" s="4"/>
      <c r="W724" s="4"/>
      <c r="X724" s="4"/>
      <c r="Y724" s="7">
        <v>3</v>
      </c>
      <c r="Z724" s="8">
        <v>612200</v>
      </c>
      <c r="AA724" s="7" t="s">
        <v>82</v>
      </c>
      <c r="AB724" s="7"/>
      <c r="AC724" s="9">
        <v>3</v>
      </c>
      <c r="AD724" s="10">
        <v>612200</v>
      </c>
      <c r="AE724" s="9" t="s">
        <v>82</v>
      </c>
      <c r="AF724" s="9"/>
      <c r="AG724" s="11">
        <v>3</v>
      </c>
      <c r="AH724" s="11" t="s">
        <v>83</v>
      </c>
      <c r="AI724" s="11"/>
      <c r="AJ724" s="11"/>
      <c r="AK724" s="11"/>
      <c r="AL724" s="12">
        <v>3</v>
      </c>
      <c r="AM724" s="12" t="s">
        <v>83</v>
      </c>
      <c r="AN724" s="12"/>
      <c r="AO724" s="12"/>
      <c r="AP724" s="12"/>
      <c r="AQ724" s="4">
        <v>3</v>
      </c>
      <c r="AR724" s="4" t="s">
        <v>83</v>
      </c>
      <c r="AS724" s="4"/>
      <c r="AT724" s="13"/>
      <c r="AU724" s="13"/>
      <c r="AV724" s="13"/>
      <c r="AW724" s="13"/>
      <c r="AX724" s="4"/>
      <c r="AY724" s="13"/>
      <c r="AZ724" s="13"/>
      <c r="BA724" s="13"/>
      <c r="BB724" s="13"/>
      <c r="BC724" s="4"/>
      <c r="BD724" s="4"/>
      <c r="BE724" s="4"/>
      <c r="BF724" s="13"/>
      <c r="BG724" s="4"/>
      <c r="BH724" s="13"/>
      <c r="BI724" s="13"/>
      <c r="BJ724" s="4"/>
      <c r="BK724" s="14">
        <v>12</v>
      </c>
      <c r="BL724" s="14">
        <v>12</v>
      </c>
      <c r="BM724" s="14">
        <v>12</v>
      </c>
      <c r="BP724" s="15"/>
      <c r="BQ724" s="15"/>
      <c r="BR724" s="2" t="s">
        <v>740</v>
      </c>
      <c r="BS724" s="2" t="s">
        <v>740</v>
      </c>
      <c r="BT724" s="7" t="s">
        <v>109</v>
      </c>
      <c r="BU724" s="7"/>
      <c r="BV724" s="9" t="s">
        <v>109</v>
      </c>
      <c r="BW724" s="9"/>
    </row>
    <row r="725" spans="1:75" ht="14.25" customHeight="1" x14ac:dyDescent="0.25">
      <c r="A725" s="1">
        <v>1353</v>
      </c>
      <c r="B725" s="1" t="s">
        <v>3141</v>
      </c>
      <c r="C725" s="1" t="s">
        <v>3142</v>
      </c>
      <c r="D725" s="1" t="s">
        <v>77</v>
      </c>
      <c r="E725" s="1" t="s">
        <v>2396</v>
      </c>
      <c r="F725" s="1" t="s">
        <v>3119</v>
      </c>
      <c r="G725" s="1"/>
      <c r="H725" s="2">
        <v>0</v>
      </c>
      <c r="I725" s="2">
        <v>0</v>
      </c>
      <c r="J725" s="2">
        <v>1</v>
      </c>
      <c r="K725" s="2">
        <v>0</v>
      </c>
      <c r="L725" s="3" t="s">
        <v>80</v>
      </c>
      <c r="O725" s="4">
        <v>4</v>
      </c>
      <c r="P725" s="4" t="s">
        <v>112</v>
      </c>
      <c r="Q725" s="4"/>
      <c r="R725" s="5"/>
      <c r="S725" s="6"/>
      <c r="T725" s="17"/>
      <c r="U725" s="6"/>
      <c r="V725" s="4"/>
      <c r="W725" s="4"/>
      <c r="X725" s="4"/>
      <c r="Y725" s="7">
        <v>3</v>
      </c>
      <c r="Z725" s="8">
        <v>357309</v>
      </c>
      <c r="AA725" s="7" t="s">
        <v>92</v>
      </c>
      <c r="AB725" s="7"/>
      <c r="AC725" s="9">
        <v>3</v>
      </c>
      <c r="AD725" s="10">
        <v>357309</v>
      </c>
      <c r="AE725" s="9" t="s">
        <v>92</v>
      </c>
      <c r="AF725" s="9"/>
      <c r="AG725" s="11">
        <v>3</v>
      </c>
      <c r="AH725" s="11" t="s">
        <v>93</v>
      </c>
      <c r="AI725" s="11"/>
      <c r="AJ725" s="11"/>
      <c r="AK725" s="11"/>
      <c r="AL725" s="12">
        <v>3</v>
      </c>
      <c r="AM725" s="12" t="s">
        <v>93</v>
      </c>
      <c r="AN725" s="12" t="s">
        <v>805</v>
      </c>
      <c r="AO725" s="12"/>
      <c r="AP725" s="12"/>
      <c r="AQ725" s="4">
        <v>3</v>
      </c>
      <c r="AR725" s="4" t="s">
        <v>93</v>
      </c>
      <c r="AS725" s="4"/>
      <c r="AT725" s="13"/>
      <c r="AU725" s="13"/>
      <c r="AV725" s="13"/>
      <c r="AW725" s="13"/>
      <c r="AX725" s="4"/>
      <c r="AY725" s="13"/>
      <c r="AZ725" s="13"/>
      <c r="BA725" s="13"/>
      <c r="BB725" s="13"/>
      <c r="BC725" s="4"/>
      <c r="BD725" s="4"/>
      <c r="BE725" s="4"/>
      <c r="BF725" s="13"/>
      <c r="BG725" s="4"/>
      <c r="BH725" s="13"/>
      <c r="BI725" s="13"/>
      <c r="BJ725" s="4"/>
      <c r="BK725" s="14">
        <v>13</v>
      </c>
      <c r="BL725" s="14">
        <v>13</v>
      </c>
      <c r="BM725" s="14">
        <v>13</v>
      </c>
      <c r="BP725" s="15"/>
      <c r="BQ725" s="15"/>
      <c r="BR725" s="2" t="s">
        <v>108</v>
      </c>
      <c r="BS725" s="2" t="s">
        <v>108</v>
      </c>
      <c r="BT725" s="7" t="s">
        <v>109</v>
      </c>
      <c r="BU725" s="7"/>
      <c r="BV725" s="9" t="s">
        <v>109</v>
      </c>
      <c r="BW725" s="9"/>
    </row>
    <row r="726" spans="1:75" ht="14.25" customHeight="1" x14ac:dyDescent="0.25">
      <c r="A726" s="1">
        <v>1355</v>
      </c>
      <c r="B726" s="1" t="s">
        <v>3143</v>
      </c>
      <c r="C726" s="1" t="s">
        <v>3144</v>
      </c>
      <c r="D726" s="1" t="s">
        <v>77</v>
      </c>
      <c r="E726" s="1" t="s">
        <v>2396</v>
      </c>
      <c r="F726" s="1" t="s">
        <v>3119</v>
      </c>
      <c r="G726" s="1"/>
      <c r="H726" s="2">
        <v>0</v>
      </c>
      <c r="I726" s="2">
        <v>0</v>
      </c>
      <c r="J726" s="2">
        <v>1</v>
      </c>
      <c r="K726" s="2">
        <v>0</v>
      </c>
      <c r="L726" s="3" t="s">
        <v>80</v>
      </c>
      <c r="O726" s="4">
        <v>5</v>
      </c>
      <c r="P726" s="4" t="s">
        <v>112</v>
      </c>
      <c r="Q726" s="4"/>
      <c r="R726" s="5"/>
      <c r="S726" s="6"/>
      <c r="T726" s="17"/>
      <c r="U726" s="6"/>
      <c r="V726" s="4"/>
      <c r="W726" s="4"/>
      <c r="X726" s="4"/>
      <c r="Y726" s="7">
        <v>4</v>
      </c>
      <c r="Z726" s="8">
        <v>163484</v>
      </c>
      <c r="AA726" s="7" t="s">
        <v>92</v>
      </c>
      <c r="AB726" s="7"/>
      <c r="AC726" s="9">
        <v>4</v>
      </c>
      <c r="AD726" s="10">
        <v>163484</v>
      </c>
      <c r="AE726" s="9" t="s">
        <v>92</v>
      </c>
      <c r="AF726" s="9"/>
      <c r="AG726" s="11">
        <v>3</v>
      </c>
      <c r="AH726" s="11" t="s">
        <v>93</v>
      </c>
      <c r="AI726" s="11"/>
      <c r="AJ726" s="11"/>
      <c r="AK726" s="11"/>
      <c r="AL726" s="12">
        <v>3</v>
      </c>
      <c r="AM726" s="12" t="s">
        <v>93</v>
      </c>
      <c r="AN726" s="12" t="s">
        <v>805</v>
      </c>
      <c r="AO726" s="12"/>
      <c r="AP726" s="12"/>
      <c r="AQ726" s="4">
        <v>4</v>
      </c>
      <c r="AR726" s="4" t="s">
        <v>441</v>
      </c>
      <c r="AS726" s="4" t="s">
        <v>999</v>
      </c>
      <c r="AT726" s="13"/>
      <c r="AU726" s="13"/>
      <c r="AV726" s="13"/>
      <c r="AW726" s="13"/>
      <c r="AX726" s="4"/>
      <c r="AY726" s="13"/>
      <c r="AZ726" s="13"/>
      <c r="BA726" s="13"/>
      <c r="BB726" s="13"/>
      <c r="BC726" s="4"/>
      <c r="BD726" s="4"/>
      <c r="BE726" s="4"/>
      <c r="BF726" s="13"/>
      <c r="BG726" s="4"/>
      <c r="BH726" s="13"/>
      <c r="BI726" s="13"/>
      <c r="BJ726" s="4"/>
      <c r="BK726" s="14">
        <v>16</v>
      </c>
      <c r="BL726" s="14">
        <v>16</v>
      </c>
      <c r="BM726" s="14">
        <v>16</v>
      </c>
      <c r="BN726" s="3" t="s">
        <v>86</v>
      </c>
      <c r="BP726" s="15"/>
      <c r="BQ726" s="15"/>
      <c r="BR726" s="2" t="s">
        <v>108</v>
      </c>
      <c r="BS726" s="2" t="s">
        <v>108</v>
      </c>
      <c r="BT726" s="7" t="s">
        <v>109</v>
      </c>
      <c r="BU726" s="7" t="s">
        <v>438</v>
      </c>
      <c r="BV726" s="9" t="s">
        <v>109</v>
      </c>
      <c r="BW726" s="9" t="s">
        <v>438</v>
      </c>
    </row>
    <row r="727" spans="1:75" ht="14.25" customHeight="1" x14ac:dyDescent="0.25">
      <c r="A727" s="1">
        <v>1356</v>
      </c>
      <c r="B727" s="1" t="s">
        <v>3145</v>
      </c>
      <c r="C727" s="1" t="s">
        <v>3146</v>
      </c>
      <c r="D727" s="1" t="s">
        <v>77</v>
      </c>
      <c r="E727" s="1" t="s">
        <v>2396</v>
      </c>
      <c r="F727" s="1" t="s">
        <v>3119</v>
      </c>
      <c r="G727" s="1" t="s">
        <v>118</v>
      </c>
      <c r="H727" s="2">
        <v>0</v>
      </c>
      <c r="I727" s="2">
        <v>1</v>
      </c>
      <c r="J727" s="2">
        <v>1</v>
      </c>
      <c r="K727" s="2">
        <v>0</v>
      </c>
      <c r="L727" s="3" t="s">
        <v>127</v>
      </c>
      <c r="O727" s="4">
        <v>4</v>
      </c>
      <c r="P727" s="4" t="s">
        <v>424</v>
      </c>
      <c r="Q727" s="4" t="s">
        <v>3147</v>
      </c>
      <c r="R727" s="16">
        <v>220000</v>
      </c>
      <c r="S727" s="6">
        <v>220000</v>
      </c>
      <c r="T727" s="16">
        <v>150000</v>
      </c>
      <c r="U727" s="6">
        <v>150000</v>
      </c>
      <c r="V727" s="4">
        <v>2010.5</v>
      </c>
      <c r="W727" s="4" t="s">
        <v>425</v>
      </c>
      <c r="X727" s="4"/>
      <c r="Y727" s="7">
        <v>4</v>
      </c>
      <c r="Z727" s="8">
        <v>221672</v>
      </c>
      <c r="AA727" s="7" t="s">
        <v>2325</v>
      </c>
      <c r="AB727" s="7" t="s">
        <v>3148</v>
      </c>
      <c r="AC727" s="9">
        <v>4</v>
      </c>
      <c r="AD727" s="10">
        <v>224254</v>
      </c>
      <c r="AE727" s="9" t="s">
        <v>92</v>
      </c>
      <c r="AF727" s="9"/>
      <c r="AG727" s="11">
        <v>4</v>
      </c>
      <c r="AH727" s="11" t="s">
        <v>471</v>
      </c>
      <c r="AI727" s="11" t="s">
        <v>3149</v>
      </c>
      <c r="AJ727" s="11">
        <v>4</v>
      </c>
      <c r="AK727" s="11" t="s">
        <v>143</v>
      </c>
      <c r="AL727" s="12">
        <v>3</v>
      </c>
      <c r="AM727" s="12" t="s">
        <v>131</v>
      </c>
      <c r="AN727" s="12" t="s">
        <v>3150</v>
      </c>
      <c r="AO727" s="12">
        <v>3</v>
      </c>
      <c r="AP727" s="12" t="s">
        <v>143</v>
      </c>
      <c r="AQ727" s="4">
        <v>4</v>
      </c>
      <c r="AR727" s="4" t="s">
        <v>2868</v>
      </c>
      <c r="AS727" s="4" t="s">
        <v>3151</v>
      </c>
      <c r="AT727" s="13"/>
      <c r="AU727" s="13"/>
      <c r="AV727" s="13"/>
      <c r="AW727" s="13"/>
      <c r="AX727" s="4"/>
      <c r="AY727" s="13"/>
      <c r="AZ727" s="13"/>
      <c r="BA727" s="13"/>
      <c r="BB727" s="13"/>
      <c r="BC727" s="4"/>
      <c r="BD727" s="4"/>
      <c r="BE727" s="4"/>
      <c r="BF727" s="13"/>
      <c r="BG727" s="4"/>
      <c r="BH727" s="13"/>
      <c r="BI727" s="13"/>
      <c r="BJ727" s="4"/>
      <c r="BK727" s="14">
        <v>16</v>
      </c>
      <c r="BL727" s="14">
        <v>15</v>
      </c>
      <c r="BM727" s="14">
        <v>16</v>
      </c>
      <c r="BN727" s="3" t="s">
        <v>86</v>
      </c>
      <c r="BO727" s="3" t="s">
        <v>120</v>
      </c>
      <c r="BP727" s="15"/>
      <c r="BQ727" s="15"/>
      <c r="BR727" s="2" t="s">
        <v>297</v>
      </c>
      <c r="BS727" s="2" t="s">
        <v>108</v>
      </c>
      <c r="BT727" s="7" t="s">
        <v>475</v>
      </c>
      <c r="BU727" s="7"/>
      <c r="BV727" s="9" t="s">
        <v>109</v>
      </c>
      <c r="BW727" s="9"/>
    </row>
    <row r="728" spans="1:75" ht="14.25" customHeight="1" x14ac:dyDescent="0.25">
      <c r="A728" s="1">
        <v>1357</v>
      </c>
      <c r="B728" s="1" t="s">
        <v>3152</v>
      </c>
      <c r="C728" s="1" t="s">
        <v>3153</v>
      </c>
      <c r="D728" s="1" t="s">
        <v>77</v>
      </c>
      <c r="E728" s="1" t="s">
        <v>2396</v>
      </c>
      <c r="F728" s="1" t="s">
        <v>3119</v>
      </c>
      <c r="G728" s="1" t="s">
        <v>118</v>
      </c>
      <c r="H728" s="2">
        <v>0</v>
      </c>
      <c r="I728" s="2">
        <v>0</v>
      </c>
      <c r="J728" s="2">
        <v>1</v>
      </c>
      <c r="K728" s="2">
        <v>0</v>
      </c>
      <c r="L728" s="3" t="s">
        <v>80</v>
      </c>
      <c r="O728" s="4">
        <v>5</v>
      </c>
      <c r="P728" s="4" t="s">
        <v>112</v>
      </c>
      <c r="Q728" s="4"/>
      <c r="R728" s="5"/>
      <c r="S728" s="6"/>
      <c r="T728" s="17"/>
      <c r="U728" s="6"/>
      <c r="V728" s="4"/>
      <c r="W728" s="4"/>
      <c r="X728" s="4"/>
      <c r="Y728" s="7">
        <v>4</v>
      </c>
      <c r="Z728" s="8">
        <v>190715</v>
      </c>
      <c r="AA728" s="7" t="s">
        <v>92</v>
      </c>
      <c r="AB728" s="7"/>
      <c r="AC728" s="9">
        <v>4</v>
      </c>
      <c r="AD728" s="10">
        <v>190715</v>
      </c>
      <c r="AE728" s="9" t="s">
        <v>92</v>
      </c>
      <c r="AF728" s="9"/>
      <c r="AG728" s="11">
        <v>3</v>
      </c>
      <c r="AH728" s="11" t="s">
        <v>93</v>
      </c>
      <c r="AI728" s="11"/>
      <c r="AJ728" s="11"/>
      <c r="AK728" s="11"/>
      <c r="AL728" s="12">
        <v>3</v>
      </c>
      <c r="AM728" s="12" t="s">
        <v>93</v>
      </c>
      <c r="AN728" s="12" t="s">
        <v>805</v>
      </c>
      <c r="AO728" s="12"/>
      <c r="AP728" s="12"/>
      <c r="AQ728" s="4">
        <v>4</v>
      </c>
      <c r="AR728" s="4" t="s">
        <v>441</v>
      </c>
      <c r="AS728" s="4" t="s">
        <v>3154</v>
      </c>
      <c r="AT728" s="13"/>
      <c r="AU728" s="13"/>
      <c r="AV728" s="13"/>
      <c r="AW728" s="13"/>
      <c r="AX728" s="4"/>
      <c r="AY728" s="13"/>
      <c r="AZ728" s="13"/>
      <c r="BA728" s="13"/>
      <c r="BB728" s="13"/>
      <c r="BC728" s="4"/>
      <c r="BD728" s="4"/>
      <c r="BE728" s="4"/>
      <c r="BF728" s="13"/>
      <c r="BG728" s="4"/>
      <c r="BH728" s="13"/>
      <c r="BI728" s="13"/>
      <c r="BJ728" s="4"/>
      <c r="BK728" s="14">
        <v>16</v>
      </c>
      <c r="BL728" s="14">
        <v>16</v>
      </c>
      <c r="BM728" s="14">
        <v>16</v>
      </c>
      <c r="BN728" s="3" t="s">
        <v>86</v>
      </c>
      <c r="BP728" s="15"/>
      <c r="BQ728" s="15"/>
      <c r="BR728" s="2" t="s">
        <v>108</v>
      </c>
      <c r="BS728" s="2" t="s">
        <v>108</v>
      </c>
      <c r="BT728" s="7" t="s">
        <v>679</v>
      </c>
      <c r="BU728" s="7"/>
      <c r="BV728" s="9" t="s">
        <v>679</v>
      </c>
      <c r="BW728" s="9"/>
    </row>
    <row r="729" spans="1:75" ht="14.25" customHeight="1" x14ac:dyDescent="0.25">
      <c r="A729" s="1">
        <v>1358</v>
      </c>
      <c r="B729" s="1" t="s">
        <v>3155</v>
      </c>
      <c r="C729" s="1" t="s">
        <v>3156</v>
      </c>
      <c r="D729" s="1" t="s">
        <v>77</v>
      </c>
      <c r="E729" s="1" t="s">
        <v>2396</v>
      </c>
      <c r="F729" s="1" t="s">
        <v>3119</v>
      </c>
      <c r="G729" s="1"/>
      <c r="H729" s="2">
        <v>1</v>
      </c>
      <c r="I729" s="2">
        <v>1</v>
      </c>
      <c r="J729" s="2">
        <v>1</v>
      </c>
      <c r="K729" s="2">
        <v>1</v>
      </c>
      <c r="L729" s="3" t="s">
        <v>127</v>
      </c>
      <c r="O729" s="4">
        <v>2</v>
      </c>
      <c r="P729" s="4" t="s">
        <v>424</v>
      </c>
      <c r="Q729" s="4"/>
      <c r="R729" s="16">
        <v>24000000</v>
      </c>
      <c r="S729" s="6">
        <v>24000000</v>
      </c>
      <c r="T729" s="16">
        <v>22000000</v>
      </c>
      <c r="U729" s="6">
        <v>22000000</v>
      </c>
      <c r="V729" s="4">
        <v>2010.5</v>
      </c>
      <c r="W729" s="4" t="s">
        <v>425</v>
      </c>
      <c r="X729" s="4"/>
      <c r="Y729" s="7">
        <v>2</v>
      </c>
      <c r="Z729" s="8">
        <v>3033906</v>
      </c>
      <c r="AA729" s="7" t="s">
        <v>92</v>
      </c>
      <c r="AB729" s="7"/>
      <c r="AC729" s="9">
        <v>2</v>
      </c>
      <c r="AD729" s="10">
        <v>1149038</v>
      </c>
      <c r="AE729" s="9" t="s">
        <v>582</v>
      </c>
      <c r="AF729" s="9" t="s">
        <v>3157</v>
      </c>
      <c r="AG729" s="11">
        <v>2</v>
      </c>
      <c r="AH729" s="11" t="s">
        <v>131</v>
      </c>
      <c r="AI729" s="11" t="s">
        <v>3158</v>
      </c>
      <c r="AJ729" s="11">
        <v>2</v>
      </c>
      <c r="AK729" s="11" t="s">
        <v>143</v>
      </c>
      <c r="AL729" s="12">
        <v>2</v>
      </c>
      <c r="AM729" s="12" t="s">
        <v>131</v>
      </c>
      <c r="AN729" s="12" t="s">
        <v>3159</v>
      </c>
      <c r="AO729" s="12">
        <v>2</v>
      </c>
      <c r="AP729" s="12" t="s">
        <v>143</v>
      </c>
      <c r="AQ729" s="4">
        <v>1</v>
      </c>
      <c r="AR729" s="4" t="s">
        <v>133</v>
      </c>
      <c r="AS729" s="4"/>
      <c r="AT729" s="13">
        <v>59.204483032226598</v>
      </c>
      <c r="AU729" s="13">
        <v>0.91624778509140004</v>
      </c>
      <c r="AV729" s="13">
        <v>0.77600002288818404</v>
      </c>
      <c r="AW729" s="13">
        <v>1.03999996185303</v>
      </c>
      <c r="AX729" s="4">
        <v>1</v>
      </c>
      <c r="AY729" s="13">
        <v>24.992631912231399</v>
      </c>
      <c r="AZ729" s="13">
        <v>2.2574725151061998</v>
      </c>
      <c r="BA729" s="13">
        <v>1.3600000143051101</v>
      </c>
      <c r="BB729" s="13">
        <v>2.9914019107818599</v>
      </c>
      <c r="BC729" s="4">
        <v>1</v>
      </c>
      <c r="BD729" s="4">
        <v>10</v>
      </c>
      <c r="BE729" s="4" t="s">
        <v>134</v>
      </c>
      <c r="BF729" s="13">
        <v>0.26399999856948902</v>
      </c>
      <c r="BG729" s="4">
        <v>1542</v>
      </c>
      <c r="BH729" s="13">
        <v>5.2399997711181596</v>
      </c>
      <c r="BI729" s="13">
        <v>8080.080078125</v>
      </c>
      <c r="BJ729" s="4"/>
      <c r="BK729" s="14">
        <v>7</v>
      </c>
      <c r="BL729" s="14">
        <v>7</v>
      </c>
      <c r="BM729" s="14">
        <v>7</v>
      </c>
      <c r="BP729" s="15"/>
      <c r="BQ729" s="15"/>
      <c r="BR729" s="2" t="s">
        <v>239</v>
      </c>
      <c r="BS729" s="2" t="s">
        <v>115</v>
      </c>
      <c r="BT729" s="7" t="s">
        <v>241</v>
      </c>
      <c r="BU729" s="7" t="s">
        <v>109</v>
      </c>
      <c r="BV729" s="9" t="s">
        <v>1827</v>
      </c>
      <c r="BW729" s="9"/>
    </row>
    <row r="730" spans="1:75" ht="14.25" customHeight="1" x14ac:dyDescent="0.25">
      <c r="A730" s="1">
        <v>1360</v>
      </c>
      <c r="B730" s="1" t="s">
        <v>3160</v>
      </c>
      <c r="C730" s="1" t="s">
        <v>3161</v>
      </c>
      <c r="D730" s="1" t="s">
        <v>77</v>
      </c>
      <c r="E730" s="1" t="s">
        <v>2396</v>
      </c>
      <c r="F730" s="1" t="s">
        <v>3119</v>
      </c>
      <c r="G730" s="1"/>
      <c r="H730" s="2">
        <v>0</v>
      </c>
      <c r="I730" s="2">
        <v>0</v>
      </c>
      <c r="J730" s="2">
        <v>1</v>
      </c>
      <c r="K730" s="2">
        <v>1</v>
      </c>
      <c r="L730" s="3" t="s">
        <v>80</v>
      </c>
      <c r="O730" s="4">
        <v>3</v>
      </c>
      <c r="P730" s="4" t="s">
        <v>112</v>
      </c>
      <c r="Q730" s="4"/>
      <c r="R730" s="5"/>
      <c r="S730" s="6"/>
      <c r="T730" s="17"/>
      <c r="U730" s="6"/>
      <c r="V730" s="4"/>
      <c r="W730" s="4"/>
      <c r="X730" s="4"/>
      <c r="Y730" s="7">
        <v>4</v>
      </c>
      <c r="Z730" s="8">
        <v>263862</v>
      </c>
      <c r="AA730" s="7" t="s">
        <v>92</v>
      </c>
      <c r="AB730" s="7"/>
      <c r="AC730" s="9">
        <v>4</v>
      </c>
      <c r="AD730" s="10">
        <v>263862</v>
      </c>
      <c r="AE730" s="9" t="s">
        <v>92</v>
      </c>
      <c r="AF730" s="9"/>
      <c r="AG730" s="11">
        <v>3</v>
      </c>
      <c r="AH730" s="11" t="s">
        <v>93</v>
      </c>
      <c r="AI730" s="11" t="s">
        <v>3162</v>
      </c>
      <c r="AJ730" s="11"/>
      <c r="AK730" s="11"/>
      <c r="AL730" s="12">
        <v>3</v>
      </c>
      <c r="AM730" s="12" t="s">
        <v>93</v>
      </c>
      <c r="AN730" s="12" t="s">
        <v>3162</v>
      </c>
      <c r="AO730" s="12"/>
      <c r="AP730" s="12"/>
      <c r="AQ730" s="4">
        <v>4</v>
      </c>
      <c r="AR730" s="4" t="s">
        <v>83</v>
      </c>
      <c r="AS730" s="4"/>
      <c r="AT730" s="13"/>
      <c r="AU730" s="13"/>
      <c r="AV730" s="13"/>
      <c r="AW730" s="13"/>
      <c r="AX730" s="4"/>
      <c r="AY730" s="13"/>
      <c r="AZ730" s="13"/>
      <c r="BA730" s="13"/>
      <c r="BB730" s="13"/>
      <c r="BC730" s="4"/>
      <c r="BD730" s="4"/>
      <c r="BE730" s="4"/>
      <c r="BF730" s="13"/>
      <c r="BG730" s="4"/>
      <c r="BH730" s="13"/>
      <c r="BI730" s="13"/>
      <c r="BJ730" s="4"/>
      <c r="BK730" s="14">
        <v>14</v>
      </c>
      <c r="BL730" s="14">
        <v>14</v>
      </c>
      <c r="BM730" s="14">
        <v>14</v>
      </c>
      <c r="BN730" s="3" t="s">
        <v>86</v>
      </c>
      <c r="BP730" s="15"/>
      <c r="BQ730" s="15"/>
      <c r="BR730" s="2" t="s">
        <v>108</v>
      </c>
      <c r="BS730" s="2" t="s">
        <v>108</v>
      </c>
      <c r="BT730" s="7" t="s">
        <v>623</v>
      </c>
      <c r="BU730" s="7"/>
      <c r="BV730" s="9" t="s">
        <v>623</v>
      </c>
      <c r="BW730" s="9"/>
    </row>
    <row r="731" spans="1:75" ht="14.25" customHeight="1" x14ac:dyDescent="0.25">
      <c r="A731" s="1">
        <v>1361</v>
      </c>
      <c r="B731" s="1" t="s">
        <v>3163</v>
      </c>
      <c r="C731" s="1" t="s">
        <v>3164</v>
      </c>
      <c r="D731" s="1" t="s">
        <v>77</v>
      </c>
      <c r="E731" s="1" t="s">
        <v>2396</v>
      </c>
      <c r="F731" s="1" t="s">
        <v>3119</v>
      </c>
      <c r="G731" s="1" t="s">
        <v>118</v>
      </c>
      <c r="H731" s="2">
        <v>0</v>
      </c>
      <c r="I731" s="2">
        <v>0</v>
      </c>
      <c r="J731" s="2">
        <v>1</v>
      </c>
      <c r="K731" s="2">
        <v>0</v>
      </c>
      <c r="L731" s="3" t="s">
        <v>80</v>
      </c>
      <c r="O731" s="4">
        <v>5</v>
      </c>
      <c r="P731" s="4" t="s">
        <v>112</v>
      </c>
      <c r="Q731" s="4"/>
      <c r="R731" s="5"/>
      <c r="S731" s="6"/>
      <c r="T731" s="17"/>
      <c r="U731" s="6"/>
      <c r="V731" s="4"/>
      <c r="W731" s="4"/>
      <c r="X731" s="4"/>
      <c r="Y731" s="7">
        <v>5</v>
      </c>
      <c r="Z731" s="8">
        <v>489</v>
      </c>
      <c r="AA731" s="7" t="s">
        <v>92</v>
      </c>
      <c r="AB731" s="7"/>
      <c r="AC731" s="9">
        <v>5</v>
      </c>
      <c r="AD731" s="10">
        <v>489</v>
      </c>
      <c r="AE731" s="9" t="s">
        <v>92</v>
      </c>
      <c r="AF731" s="9"/>
      <c r="AG731" s="11">
        <v>3</v>
      </c>
      <c r="AH731" s="11" t="s">
        <v>93</v>
      </c>
      <c r="AI731" s="11" t="s">
        <v>393</v>
      </c>
      <c r="AJ731" s="11"/>
      <c r="AK731" s="11"/>
      <c r="AL731" s="12">
        <v>3</v>
      </c>
      <c r="AM731" s="12" t="s">
        <v>93</v>
      </c>
      <c r="AN731" s="12" t="s">
        <v>394</v>
      </c>
      <c r="AO731" s="12"/>
      <c r="AP731" s="12"/>
      <c r="AQ731" s="4">
        <v>2</v>
      </c>
      <c r="AR731" s="4" t="s">
        <v>93</v>
      </c>
      <c r="AS731" s="4"/>
      <c r="AT731" s="13"/>
      <c r="AU731" s="13"/>
      <c r="AV731" s="13"/>
      <c r="AW731" s="13"/>
      <c r="AX731" s="4"/>
      <c r="AY731" s="13"/>
      <c r="AZ731" s="13"/>
      <c r="BA731" s="13"/>
      <c r="BB731" s="13"/>
      <c r="BC731" s="4"/>
      <c r="BD731" s="4"/>
      <c r="BE731" s="4"/>
      <c r="BF731" s="13"/>
      <c r="BG731" s="4"/>
      <c r="BH731" s="13"/>
      <c r="BI731" s="13"/>
      <c r="BJ731" s="4"/>
      <c r="BK731" s="14">
        <v>15</v>
      </c>
      <c r="BL731" s="14">
        <v>15</v>
      </c>
      <c r="BM731" s="14">
        <v>15</v>
      </c>
      <c r="BN731" s="3" t="s">
        <v>86</v>
      </c>
      <c r="BO731" s="3" t="s">
        <v>120</v>
      </c>
      <c r="BP731" s="15"/>
      <c r="BQ731" s="15"/>
      <c r="BR731" s="2" t="s">
        <v>115</v>
      </c>
      <c r="BS731" s="2" t="s">
        <v>115</v>
      </c>
      <c r="BT731" s="7" t="s">
        <v>760</v>
      </c>
      <c r="BU731" s="7"/>
      <c r="BV731" s="9" t="s">
        <v>760</v>
      </c>
      <c r="BW731" s="9"/>
    </row>
    <row r="732" spans="1:75" ht="14.25" customHeight="1" x14ac:dyDescent="0.25">
      <c r="A732" s="1">
        <v>1367</v>
      </c>
      <c r="B732" s="1" t="s">
        <v>3165</v>
      </c>
      <c r="C732" s="1" t="s">
        <v>3166</v>
      </c>
      <c r="D732" s="1" t="s">
        <v>77</v>
      </c>
      <c r="E732" s="1" t="s">
        <v>2396</v>
      </c>
      <c r="F732" s="1" t="s">
        <v>3119</v>
      </c>
      <c r="G732" s="1"/>
      <c r="H732" s="2">
        <v>0</v>
      </c>
      <c r="I732" s="2">
        <v>1</v>
      </c>
      <c r="J732" s="2">
        <v>1</v>
      </c>
      <c r="K732" s="2">
        <v>1</v>
      </c>
      <c r="L732" s="3" t="s">
        <v>127</v>
      </c>
      <c r="O732" s="4">
        <v>2</v>
      </c>
      <c r="P732" s="4" t="s">
        <v>424</v>
      </c>
      <c r="Q732" s="4"/>
      <c r="R732" s="16">
        <v>5700000</v>
      </c>
      <c r="S732" s="6">
        <v>5700000</v>
      </c>
      <c r="T732" s="16">
        <v>4600000</v>
      </c>
      <c r="U732" s="6">
        <v>4600000</v>
      </c>
      <c r="V732" s="4">
        <v>2010.5</v>
      </c>
      <c r="W732" s="4" t="s">
        <v>425</v>
      </c>
      <c r="X732" s="4"/>
      <c r="Y732" s="7">
        <v>2</v>
      </c>
      <c r="Z732" s="8">
        <v>2636808</v>
      </c>
      <c r="AA732" s="7" t="s">
        <v>92</v>
      </c>
      <c r="AB732" s="7"/>
      <c r="AC732" s="9">
        <v>4</v>
      </c>
      <c r="AD732" s="10">
        <v>292115</v>
      </c>
      <c r="AE732" s="9" t="s">
        <v>92</v>
      </c>
      <c r="AF732" s="9"/>
      <c r="AG732" s="11">
        <v>4</v>
      </c>
      <c r="AH732" s="11" t="s">
        <v>131</v>
      </c>
      <c r="AI732" s="11" t="s">
        <v>3167</v>
      </c>
      <c r="AJ732" s="11">
        <v>2</v>
      </c>
      <c r="AK732" s="11" t="s">
        <v>132</v>
      </c>
      <c r="AL732" s="12">
        <v>3</v>
      </c>
      <c r="AM732" s="12" t="s">
        <v>131</v>
      </c>
      <c r="AN732" s="12"/>
      <c r="AO732" s="12">
        <v>1</v>
      </c>
      <c r="AP732" s="12" t="s">
        <v>132</v>
      </c>
      <c r="AQ732" s="4">
        <v>1</v>
      </c>
      <c r="AR732" s="4" t="s">
        <v>133</v>
      </c>
      <c r="AS732" s="4"/>
      <c r="AT732" s="13">
        <v>49.5488090515137</v>
      </c>
      <c r="AU732" s="13">
        <v>0.79235142469406095</v>
      </c>
      <c r="AV732" s="13">
        <v>0.104000002145767</v>
      </c>
      <c r="AW732" s="13">
        <v>1.47650194168091</v>
      </c>
      <c r="AX732" s="4">
        <v>1</v>
      </c>
      <c r="AY732" s="13">
        <v>26.879278182983398</v>
      </c>
      <c r="AZ732" s="13">
        <v>2.4094169139862101</v>
      </c>
      <c r="BA732" s="13">
        <v>1.1165980100631701</v>
      </c>
      <c r="BB732" s="13">
        <v>4.1599998474121103</v>
      </c>
      <c r="BC732" s="4">
        <v>1</v>
      </c>
      <c r="BD732" s="4">
        <v>10</v>
      </c>
      <c r="BE732" s="4" t="s">
        <v>134</v>
      </c>
      <c r="BF732" s="13">
        <v>1.37250196933746</v>
      </c>
      <c r="BG732" s="4">
        <v>578</v>
      </c>
      <c r="BH732" s="13">
        <v>1.04499995708466</v>
      </c>
      <c r="BI732" s="13">
        <v>604.114990234375</v>
      </c>
      <c r="BJ732" s="4"/>
      <c r="BK732" s="14">
        <v>9</v>
      </c>
      <c r="BL732" s="14">
        <v>10</v>
      </c>
      <c r="BM732" s="14">
        <v>10</v>
      </c>
      <c r="BP732" s="15"/>
      <c r="BQ732" s="15"/>
      <c r="BR732" s="2" t="s">
        <v>297</v>
      </c>
      <c r="BS732" s="2" t="s">
        <v>108</v>
      </c>
      <c r="BT732" s="7" t="s">
        <v>487</v>
      </c>
      <c r="BU732" s="7" t="s">
        <v>241</v>
      </c>
      <c r="BV732" s="9" t="s">
        <v>109</v>
      </c>
      <c r="BW732" s="9"/>
    </row>
    <row r="733" spans="1:75" ht="14.25" customHeight="1" x14ac:dyDescent="0.25">
      <c r="A733" s="1">
        <v>1368</v>
      </c>
      <c r="B733" s="1" t="s">
        <v>3168</v>
      </c>
      <c r="C733" s="1" t="s">
        <v>3169</v>
      </c>
      <c r="D733" s="1" t="s">
        <v>77</v>
      </c>
      <c r="E733" s="1" t="s">
        <v>2396</v>
      </c>
      <c r="F733" s="1" t="s">
        <v>3119</v>
      </c>
      <c r="G733" s="1" t="s">
        <v>118</v>
      </c>
      <c r="H733" s="2">
        <v>0</v>
      </c>
      <c r="I733" s="2">
        <v>1</v>
      </c>
      <c r="J733" s="2">
        <v>1</v>
      </c>
      <c r="K733" s="2">
        <v>0</v>
      </c>
      <c r="L733" s="3" t="s">
        <v>127</v>
      </c>
      <c r="O733" s="4">
        <v>3</v>
      </c>
      <c r="P733" s="4" t="s">
        <v>424</v>
      </c>
      <c r="Q733" s="4"/>
      <c r="R733" s="16">
        <v>560000</v>
      </c>
      <c r="S733" s="6">
        <v>560000</v>
      </c>
      <c r="T733" s="16">
        <v>550000</v>
      </c>
      <c r="U733" s="6">
        <v>550000</v>
      </c>
      <c r="V733" s="4">
        <v>2010.5</v>
      </c>
      <c r="W733" s="4" t="s">
        <v>425</v>
      </c>
      <c r="X733" s="4"/>
      <c r="Y733" s="7">
        <v>3</v>
      </c>
      <c r="Z733" s="8">
        <v>434867</v>
      </c>
      <c r="AA733" s="7" t="s">
        <v>580</v>
      </c>
      <c r="AB733" s="7" t="s">
        <v>3170</v>
      </c>
      <c r="AC733" s="9">
        <v>4</v>
      </c>
      <c r="AD733" s="10">
        <v>179076</v>
      </c>
      <c r="AE733" s="9" t="s">
        <v>92</v>
      </c>
      <c r="AF733" s="9"/>
      <c r="AG733" s="11">
        <v>3</v>
      </c>
      <c r="AH733" s="11" t="s">
        <v>454</v>
      </c>
      <c r="AI733" s="11" t="s">
        <v>3171</v>
      </c>
      <c r="AJ733" s="11">
        <v>1</v>
      </c>
      <c r="AK733" s="11" t="s">
        <v>143</v>
      </c>
      <c r="AL733" s="12">
        <v>4</v>
      </c>
      <c r="AM733" s="12" t="s">
        <v>131</v>
      </c>
      <c r="AN733" s="12" t="s">
        <v>3172</v>
      </c>
      <c r="AO733" s="12">
        <v>1</v>
      </c>
      <c r="AP733" s="12" t="s">
        <v>132</v>
      </c>
      <c r="AQ733" s="4">
        <v>1</v>
      </c>
      <c r="AR733" s="4" t="s">
        <v>133</v>
      </c>
      <c r="AS733" s="4"/>
      <c r="AT733" s="13">
        <v>229.43341064453099</v>
      </c>
      <c r="AU733" s="13">
        <v>2.3630788326263401</v>
      </c>
      <c r="AV733" s="13">
        <v>4.8900000751018503E-2</v>
      </c>
      <c r="AW733" s="13">
        <v>4.4062018394470197</v>
      </c>
      <c r="AX733" s="4">
        <v>1</v>
      </c>
      <c r="AY733" s="13">
        <v>62.347652435302699</v>
      </c>
      <c r="AZ733" s="13">
        <v>4.9632768630981401</v>
      </c>
      <c r="BA733" s="13">
        <v>1.95000004768372</v>
      </c>
      <c r="BB733" s="13">
        <v>7.2209000587463397</v>
      </c>
      <c r="BC733" s="4">
        <v>1</v>
      </c>
      <c r="BD733" s="4">
        <v>10</v>
      </c>
      <c r="BE733" s="4" t="s">
        <v>134</v>
      </c>
      <c r="BF733" s="13">
        <v>4.3573021888732901</v>
      </c>
      <c r="BG733" s="4">
        <v>106</v>
      </c>
      <c r="BH733" s="13">
        <v>0.37599998712539701</v>
      </c>
      <c r="BI733" s="13">
        <v>39.852001190185497</v>
      </c>
      <c r="BJ733" s="4"/>
      <c r="BK733" s="14">
        <v>10</v>
      </c>
      <c r="BL733" s="14">
        <v>12</v>
      </c>
      <c r="BM733" s="14">
        <v>12</v>
      </c>
      <c r="BP733" s="15"/>
      <c r="BQ733" s="15"/>
      <c r="BR733" s="2" t="s">
        <v>555</v>
      </c>
      <c r="BS733" s="2" t="s">
        <v>297</v>
      </c>
      <c r="BT733" s="7" t="s">
        <v>428</v>
      </c>
      <c r="BU733" s="7" t="s">
        <v>429</v>
      </c>
      <c r="BV733" s="9" t="s">
        <v>475</v>
      </c>
      <c r="BW733" s="9"/>
    </row>
    <row r="734" spans="1:75" ht="14.25" customHeight="1" x14ac:dyDescent="0.25">
      <c r="A734" s="1">
        <v>1369</v>
      </c>
      <c r="B734" s="1" t="s">
        <v>3173</v>
      </c>
      <c r="C734" s="1" t="s">
        <v>3174</v>
      </c>
      <c r="D734" s="1" t="s">
        <v>77</v>
      </c>
      <c r="E734" s="1" t="s">
        <v>2396</v>
      </c>
      <c r="F734" s="1" t="s">
        <v>3119</v>
      </c>
      <c r="G734" s="1"/>
      <c r="H734" s="2">
        <v>1</v>
      </c>
      <c r="I734" s="2">
        <v>1</v>
      </c>
      <c r="J734" s="2">
        <v>1</v>
      </c>
      <c r="K734" s="2">
        <v>1</v>
      </c>
      <c r="L734" s="3" t="s">
        <v>80</v>
      </c>
      <c r="O734" s="4">
        <v>3</v>
      </c>
      <c r="P734" s="4" t="s">
        <v>470</v>
      </c>
      <c r="Q734" s="4"/>
      <c r="R734" s="16">
        <v>2700000</v>
      </c>
      <c r="S734" s="6">
        <v>2700000</v>
      </c>
      <c r="T734" s="16">
        <v>960000</v>
      </c>
      <c r="U734" s="6">
        <v>960000</v>
      </c>
      <c r="V734" s="4">
        <v>2010.5</v>
      </c>
      <c r="W734" s="4" t="s">
        <v>425</v>
      </c>
      <c r="X734" s="4"/>
      <c r="Y734" s="7">
        <v>2</v>
      </c>
      <c r="Z734" s="8">
        <v>1215478</v>
      </c>
      <c r="AA734" s="7" t="s">
        <v>92</v>
      </c>
      <c r="AB734" s="7"/>
      <c r="AC734" s="9">
        <v>2</v>
      </c>
      <c r="AD734" s="10">
        <v>1215478</v>
      </c>
      <c r="AE734" s="9" t="s">
        <v>92</v>
      </c>
      <c r="AF734" s="9"/>
      <c r="AG734" s="11">
        <v>3</v>
      </c>
      <c r="AH734" s="11" t="s">
        <v>131</v>
      </c>
      <c r="AI734" s="11"/>
      <c r="AJ734" s="11">
        <v>3</v>
      </c>
      <c r="AK734" s="11" t="s">
        <v>132</v>
      </c>
      <c r="AL734" s="12">
        <v>3</v>
      </c>
      <c r="AM734" s="12" t="s">
        <v>131</v>
      </c>
      <c r="AN734" s="12" t="s">
        <v>3175</v>
      </c>
      <c r="AO734" s="12">
        <v>3</v>
      </c>
      <c r="AP734" s="12" t="s">
        <v>143</v>
      </c>
      <c r="AQ734" s="4">
        <v>1</v>
      </c>
      <c r="AR734" s="4" t="s">
        <v>133</v>
      </c>
      <c r="AS734" s="4"/>
      <c r="AT734" s="13">
        <v>102.00795745849599</v>
      </c>
      <c r="AU734" s="13">
        <v>1.3877820968627901</v>
      </c>
      <c r="AV734" s="13">
        <v>0.76190197467803999</v>
      </c>
      <c r="AW734" s="13">
        <v>2.2400000095367401</v>
      </c>
      <c r="AX734" s="4">
        <v>1</v>
      </c>
      <c r="AY734" s="13">
        <v>-2.1805396080017099</v>
      </c>
      <c r="AZ734" s="13">
        <v>-0.220039233565331</v>
      </c>
      <c r="BA734" s="13">
        <v>-2.7300000190734899</v>
      </c>
      <c r="BB734" s="13">
        <v>1.78799605369568</v>
      </c>
      <c r="BC734" s="4"/>
      <c r="BD734" s="4">
        <v>10</v>
      </c>
      <c r="BE734" s="4" t="s">
        <v>134</v>
      </c>
      <c r="BF734" s="13">
        <v>1.4780980348587001</v>
      </c>
      <c r="BG734" s="4">
        <v>250.5</v>
      </c>
      <c r="BH734" s="13">
        <v>0.70200002193450906</v>
      </c>
      <c r="BI734" s="13">
        <v>175.81700134277301</v>
      </c>
      <c r="BJ734" s="4"/>
      <c r="BK734" s="14">
        <v>9</v>
      </c>
      <c r="BL734" s="14">
        <v>9</v>
      </c>
      <c r="BM734" s="14">
        <v>9</v>
      </c>
      <c r="BP734" s="15"/>
      <c r="BQ734" s="15"/>
      <c r="BR734" s="2" t="s">
        <v>256</v>
      </c>
      <c r="BS734" s="2" t="s">
        <v>256</v>
      </c>
      <c r="BT734" s="7" t="s">
        <v>428</v>
      </c>
      <c r="BU734" s="7" t="s">
        <v>437</v>
      </c>
      <c r="BV734" s="9" t="s">
        <v>428</v>
      </c>
      <c r="BW734" s="9" t="s">
        <v>437</v>
      </c>
    </row>
    <row r="735" spans="1:75" ht="14.25" customHeight="1" x14ac:dyDescent="0.25">
      <c r="A735" s="1">
        <v>1370</v>
      </c>
      <c r="B735" s="1" t="s">
        <v>3176</v>
      </c>
      <c r="C735" s="1" t="s">
        <v>3177</v>
      </c>
      <c r="D735" s="1" t="s">
        <v>77</v>
      </c>
      <c r="E735" s="1" t="s">
        <v>2396</v>
      </c>
      <c r="F735" s="1" t="s">
        <v>3119</v>
      </c>
      <c r="G735" s="1" t="s">
        <v>118</v>
      </c>
      <c r="H735" s="2">
        <v>1</v>
      </c>
      <c r="I735" s="2">
        <v>1</v>
      </c>
      <c r="J735" s="2">
        <v>1</v>
      </c>
      <c r="K735" s="2">
        <v>1</v>
      </c>
      <c r="L735" s="3" t="s">
        <v>127</v>
      </c>
      <c r="O735" s="4">
        <v>3</v>
      </c>
      <c r="P735" s="4" t="s">
        <v>425</v>
      </c>
      <c r="Q735" s="4"/>
      <c r="R735" s="16">
        <v>4700000</v>
      </c>
      <c r="S735" s="6">
        <v>4700000</v>
      </c>
      <c r="T735" s="16">
        <v>4700000</v>
      </c>
      <c r="U735" s="6">
        <v>4700000</v>
      </c>
      <c r="V735" s="4">
        <v>2010.5</v>
      </c>
      <c r="W735" s="4" t="s">
        <v>425</v>
      </c>
      <c r="X735" s="4"/>
      <c r="Y735" s="7">
        <v>2</v>
      </c>
      <c r="Z735" s="8">
        <v>3164232</v>
      </c>
      <c r="AA735" s="7" t="s">
        <v>92</v>
      </c>
      <c r="AB735" s="7"/>
      <c r="AC735" s="9">
        <v>2</v>
      </c>
      <c r="AD735" s="10">
        <v>1475371</v>
      </c>
      <c r="AE735" s="9" t="s">
        <v>92</v>
      </c>
      <c r="AF735" s="9"/>
      <c r="AG735" s="11">
        <v>3</v>
      </c>
      <c r="AH735" s="11" t="s">
        <v>131</v>
      </c>
      <c r="AI735" s="11" t="s">
        <v>3178</v>
      </c>
      <c r="AJ735" s="11">
        <v>2</v>
      </c>
      <c r="AK735" s="11" t="s">
        <v>332</v>
      </c>
      <c r="AL735" s="12">
        <v>4</v>
      </c>
      <c r="AM735" s="12" t="s">
        <v>131</v>
      </c>
      <c r="AN735" s="12" t="s">
        <v>3179</v>
      </c>
      <c r="AO735" s="12">
        <v>5</v>
      </c>
      <c r="AP735" s="12" t="s">
        <v>132</v>
      </c>
      <c r="AQ735" s="4">
        <v>1</v>
      </c>
      <c r="AR735" s="4" t="s">
        <v>133</v>
      </c>
      <c r="AS735" s="4"/>
      <c r="AT735" s="13">
        <v>90.790443420410199</v>
      </c>
      <c r="AU735" s="13">
        <v>1.2740219831466699</v>
      </c>
      <c r="AV735" s="13">
        <v>1.0745999813079801</v>
      </c>
      <c r="AW735" s="13">
        <v>1.53999996185303</v>
      </c>
      <c r="AX735" s="4">
        <v>1</v>
      </c>
      <c r="AY735" s="13">
        <v>24.6419067382813</v>
      </c>
      <c r="AZ735" s="13">
        <v>2.2257163524627699</v>
      </c>
      <c r="BA735" s="13">
        <v>1.42829394340515</v>
      </c>
      <c r="BB735" s="13">
        <v>3.2000000476837198</v>
      </c>
      <c r="BC735" s="4">
        <v>1</v>
      </c>
      <c r="BD735" s="4">
        <v>10</v>
      </c>
      <c r="BE735" s="4" t="s">
        <v>134</v>
      </c>
      <c r="BF735" s="13">
        <v>0.465400010347366</v>
      </c>
      <c r="BG735" s="4">
        <v>1913</v>
      </c>
      <c r="BH735" s="13">
        <v>0.80500000715255704</v>
      </c>
      <c r="BI735" s="13">
        <v>1539.61499023438</v>
      </c>
      <c r="BJ735" s="4"/>
      <c r="BK735" s="14">
        <v>9</v>
      </c>
      <c r="BL735" s="14">
        <v>10</v>
      </c>
      <c r="BM735" s="14">
        <v>10</v>
      </c>
      <c r="BP735" s="15"/>
      <c r="BQ735" s="15"/>
      <c r="BR735" s="2" t="s">
        <v>239</v>
      </c>
      <c r="BS735" s="2" t="s">
        <v>97</v>
      </c>
      <c r="BT735" s="7" t="s">
        <v>241</v>
      </c>
      <c r="BU735" s="7"/>
      <c r="BV735" s="9" t="s">
        <v>98</v>
      </c>
      <c r="BW735" s="9" t="s">
        <v>109</v>
      </c>
    </row>
    <row r="736" spans="1:75" ht="14.25" customHeight="1" x14ac:dyDescent="0.25">
      <c r="A736" s="1">
        <v>1371</v>
      </c>
      <c r="B736" s="1" t="s">
        <v>3180</v>
      </c>
      <c r="C736" s="1" t="s">
        <v>3181</v>
      </c>
      <c r="D736" s="1" t="s">
        <v>77</v>
      </c>
      <c r="E736" s="1" t="s">
        <v>2396</v>
      </c>
      <c r="F736" s="1" t="s">
        <v>3119</v>
      </c>
      <c r="G736" s="1" t="s">
        <v>118</v>
      </c>
      <c r="H736" s="2">
        <v>0</v>
      </c>
      <c r="I736" s="2">
        <v>0</v>
      </c>
      <c r="J736" s="2">
        <v>0</v>
      </c>
      <c r="K736" s="2">
        <v>1</v>
      </c>
      <c r="L736" s="3" t="s">
        <v>80</v>
      </c>
      <c r="O736" s="4">
        <v>5</v>
      </c>
      <c r="P736" s="4" t="s">
        <v>81</v>
      </c>
      <c r="Q736" s="4"/>
      <c r="R736" s="5"/>
      <c r="S736" s="6"/>
      <c r="T736" s="17"/>
      <c r="U736" s="6"/>
      <c r="V736" s="4"/>
      <c r="W736" s="4"/>
      <c r="X736" s="4"/>
      <c r="Y736" s="7">
        <v>5</v>
      </c>
      <c r="Z736" s="8">
        <v>4188</v>
      </c>
      <c r="AA736" s="7" t="s">
        <v>82</v>
      </c>
      <c r="AB736" s="7"/>
      <c r="AC736" s="9">
        <v>5</v>
      </c>
      <c r="AD736" s="10">
        <v>4188</v>
      </c>
      <c r="AE736" s="9" t="s">
        <v>82</v>
      </c>
      <c r="AF736" s="9"/>
      <c r="AG736" s="11">
        <v>4</v>
      </c>
      <c r="AH736" s="11" t="s">
        <v>83</v>
      </c>
      <c r="AI736" s="11"/>
      <c r="AJ736" s="11"/>
      <c r="AK736" s="11"/>
      <c r="AL736" s="12">
        <v>4</v>
      </c>
      <c r="AM736" s="12" t="s">
        <v>83</v>
      </c>
      <c r="AN736" s="12"/>
      <c r="AO736" s="12"/>
      <c r="AP736" s="12"/>
      <c r="AQ736" s="4">
        <v>3</v>
      </c>
      <c r="AR736" s="4" t="s">
        <v>83</v>
      </c>
      <c r="AS736" s="4"/>
      <c r="AT736" s="13"/>
      <c r="AU736" s="13"/>
      <c r="AV736" s="13"/>
      <c r="AW736" s="13"/>
      <c r="AX736" s="4"/>
      <c r="AY736" s="13"/>
      <c r="AZ736" s="13"/>
      <c r="BA736" s="13"/>
      <c r="BB736" s="13"/>
      <c r="BC736" s="4"/>
      <c r="BD736" s="4"/>
      <c r="BE736" s="4"/>
      <c r="BF736" s="13"/>
      <c r="BG736" s="4"/>
      <c r="BH736" s="13"/>
      <c r="BI736" s="13"/>
      <c r="BJ736" s="4"/>
      <c r="BK736" s="14">
        <v>17</v>
      </c>
      <c r="BL736" s="14">
        <v>17</v>
      </c>
      <c r="BM736" s="14">
        <v>17</v>
      </c>
      <c r="BN736" s="3" t="s">
        <v>312</v>
      </c>
      <c r="BP736" s="15"/>
      <c r="BQ736" s="15"/>
      <c r="BR736" s="2" t="s">
        <v>87</v>
      </c>
      <c r="BS736" s="2" t="s">
        <v>87</v>
      </c>
      <c r="BT736" s="7" t="s">
        <v>88</v>
      </c>
      <c r="BU736" s="7"/>
      <c r="BV736" s="9" t="s">
        <v>88</v>
      </c>
      <c r="BW736" s="9"/>
    </row>
    <row r="737" spans="1:75" ht="14.25" customHeight="1" x14ac:dyDescent="0.25">
      <c r="A737" s="1">
        <v>1387</v>
      </c>
      <c r="B737" s="1" t="s">
        <v>3182</v>
      </c>
      <c r="C737" s="1" t="s">
        <v>3183</v>
      </c>
      <c r="D737" s="1" t="s">
        <v>77</v>
      </c>
      <c r="E737" s="1" t="s">
        <v>2396</v>
      </c>
      <c r="F737" s="1" t="s">
        <v>3184</v>
      </c>
      <c r="G737" s="1"/>
      <c r="H737" s="2">
        <v>1</v>
      </c>
      <c r="I737" s="2">
        <v>1</v>
      </c>
      <c r="J737" s="2">
        <v>1</v>
      </c>
      <c r="K737" s="2">
        <v>0</v>
      </c>
      <c r="L737" s="3" t="s">
        <v>127</v>
      </c>
      <c r="O737" s="4">
        <v>2</v>
      </c>
      <c r="P737" s="4" t="s">
        <v>424</v>
      </c>
      <c r="Q737" s="4"/>
      <c r="R737" s="16">
        <v>7000000</v>
      </c>
      <c r="S737" s="6">
        <v>7000000</v>
      </c>
      <c r="T737" s="16">
        <v>4600000</v>
      </c>
      <c r="U737" s="6">
        <v>4600000</v>
      </c>
      <c r="V737" s="4">
        <v>2010.5</v>
      </c>
      <c r="W737" s="4" t="s">
        <v>425</v>
      </c>
      <c r="X737" s="4"/>
      <c r="Y737" s="7">
        <v>1</v>
      </c>
      <c r="Z737" s="8">
        <v>8849539</v>
      </c>
      <c r="AA737" s="7" t="s">
        <v>92</v>
      </c>
      <c r="AB737" s="7"/>
      <c r="AC737" s="9">
        <v>1</v>
      </c>
      <c r="AD737" s="10">
        <v>5676435</v>
      </c>
      <c r="AE737" s="9" t="s">
        <v>92</v>
      </c>
      <c r="AF737" s="9"/>
      <c r="AG737" s="11">
        <v>3</v>
      </c>
      <c r="AH737" s="11" t="s">
        <v>131</v>
      </c>
      <c r="AI737" s="11" t="s">
        <v>3185</v>
      </c>
      <c r="AJ737" s="11">
        <v>2</v>
      </c>
      <c r="AK737" s="11" t="s">
        <v>143</v>
      </c>
      <c r="AL737" s="12">
        <v>3</v>
      </c>
      <c r="AM737" s="12" t="s">
        <v>131</v>
      </c>
      <c r="AN737" s="12"/>
      <c r="AO737" s="12">
        <v>2</v>
      </c>
      <c r="AP737" s="12" t="s">
        <v>143</v>
      </c>
      <c r="AQ737" s="4">
        <v>5</v>
      </c>
      <c r="AR737" s="4" t="s">
        <v>133</v>
      </c>
      <c r="AS737" s="4"/>
      <c r="AT737" s="13">
        <v>-76.396377563476605</v>
      </c>
      <c r="AU737" s="13">
        <v>-2.7917997837066699</v>
      </c>
      <c r="AV737" s="13">
        <v>-3.2999999523162802</v>
      </c>
      <c r="AW737" s="13">
        <v>-2.3845970630645801</v>
      </c>
      <c r="AX737" s="4">
        <v>1</v>
      </c>
      <c r="AY737" s="13">
        <v>-17.005420684814499</v>
      </c>
      <c r="AZ737" s="13">
        <v>-1.8472096920013401</v>
      </c>
      <c r="BA737" s="13">
        <v>-3.1800000667571999</v>
      </c>
      <c r="BB737" s="13">
        <v>-0.77920001745223999</v>
      </c>
      <c r="BC737" s="4">
        <v>1</v>
      </c>
      <c r="BD737" s="4">
        <v>10</v>
      </c>
      <c r="BE737" s="4" t="s">
        <v>134</v>
      </c>
      <c r="BF737" s="13">
        <v>0.91540300846099898</v>
      </c>
      <c r="BG737" s="4">
        <v>2107</v>
      </c>
      <c r="BH737" s="13">
        <v>1.45500004291534</v>
      </c>
      <c r="BI737" s="13">
        <v>3065.55004882813</v>
      </c>
      <c r="BJ737" s="4"/>
      <c r="BK737" s="14">
        <v>11</v>
      </c>
      <c r="BL737" s="14">
        <v>11</v>
      </c>
      <c r="BM737" s="14">
        <v>11</v>
      </c>
      <c r="BN737" s="3" t="s">
        <v>302</v>
      </c>
      <c r="BO737" s="3" t="s">
        <v>120</v>
      </c>
      <c r="BP737" s="15"/>
      <c r="BQ737" s="15" t="s">
        <v>136</v>
      </c>
      <c r="BR737" s="2" t="s">
        <v>172</v>
      </c>
      <c r="BS737" s="2" t="s">
        <v>172</v>
      </c>
      <c r="BT737" s="7" t="s">
        <v>585</v>
      </c>
      <c r="BU737" s="7" t="s">
        <v>475</v>
      </c>
      <c r="BV737" s="9" t="s">
        <v>585</v>
      </c>
      <c r="BW737" s="9" t="s">
        <v>475</v>
      </c>
    </row>
    <row r="738" spans="1:75" ht="14.25" customHeight="1" x14ac:dyDescent="0.25">
      <c r="A738" s="1">
        <v>1388</v>
      </c>
      <c r="B738" s="1" t="s">
        <v>3186</v>
      </c>
      <c r="C738" s="1" t="s">
        <v>3187</v>
      </c>
      <c r="D738" s="1" t="s">
        <v>77</v>
      </c>
      <c r="E738" s="1" t="s">
        <v>2396</v>
      </c>
      <c r="F738" s="1" t="s">
        <v>3184</v>
      </c>
      <c r="G738" s="1" t="s">
        <v>3188</v>
      </c>
      <c r="H738" s="2">
        <v>1</v>
      </c>
      <c r="I738" s="2">
        <v>1</v>
      </c>
      <c r="J738" s="2">
        <v>0</v>
      </c>
      <c r="K738" s="2">
        <v>0</v>
      </c>
      <c r="L738" s="3" t="s">
        <v>127</v>
      </c>
      <c r="O738" s="4">
        <v>4</v>
      </c>
      <c r="P738" s="4" t="s">
        <v>3189</v>
      </c>
      <c r="Q738" s="4" t="s">
        <v>3190</v>
      </c>
      <c r="R738" s="16">
        <v>180000</v>
      </c>
      <c r="S738" s="6">
        <v>180000</v>
      </c>
      <c r="T738" s="16">
        <v>53000</v>
      </c>
      <c r="U738" s="6">
        <v>53000</v>
      </c>
      <c r="V738" s="4">
        <v>2010.5</v>
      </c>
      <c r="W738" s="4" t="s">
        <v>3189</v>
      </c>
      <c r="X738" s="4" t="s">
        <v>3191</v>
      </c>
      <c r="Y738" s="7">
        <v>1</v>
      </c>
      <c r="Z738" s="8">
        <v>11930775</v>
      </c>
      <c r="AA738" s="7" t="s">
        <v>1300</v>
      </c>
      <c r="AB738" s="7"/>
      <c r="AC738" s="9">
        <v>1</v>
      </c>
      <c r="AD738" s="10">
        <v>10784885</v>
      </c>
      <c r="AE738" s="9" t="s">
        <v>1300</v>
      </c>
      <c r="AF738" s="9"/>
      <c r="AG738" s="11">
        <v>4</v>
      </c>
      <c r="AH738" s="11" t="s">
        <v>131</v>
      </c>
      <c r="AI738" s="11"/>
      <c r="AJ738" s="11">
        <v>5</v>
      </c>
      <c r="AK738" s="11" t="s">
        <v>132</v>
      </c>
      <c r="AL738" s="12">
        <v>2</v>
      </c>
      <c r="AM738" s="12" t="s">
        <v>131</v>
      </c>
      <c r="AN738" s="12"/>
      <c r="AO738" s="12">
        <v>2</v>
      </c>
      <c r="AP738" s="12" t="s">
        <v>143</v>
      </c>
      <c r="AQ738" s="4">
        <v>4</v>
      </c>
      <c r="AR738" s="4" t="s">
        <v>222</v>
      </c>
      <c r="AS738" s="4"/>
      <c r="AT738" s="13">
        <v>-29.148445129394499</v>
      </c>
      <c r="AU738" s="13">
        <v>-0.70076429843902599</v>
      </c>
      <c r="AV738" s="13">
        <v>-0.89999997615814198</v>
      </c>
      <c r="AW738" s="13">
        <v>-0.5</v>
      </c>
      <c r="AX738" s="4">
        <v>1</v>
      </c>
      <c r="AY738" s="13">
        <v>-7.6649098396301296</v>
      </c>
      <c r="AZ738" s="13">
        <v>-0.79428809881210305</v>
      </c>
      <c r="BA738" s="13">
        <v>-1.3999999761581401</v>
      </c>
      <c r="BB738" s="13">
        <v>-0.20000000298023199</v>
      </c>
      <c r="BC738" s="4">
        <v>1</v>
      </c>
      <c r="BD738" s="4">
        <v>10</v>
      </c>
      <c r="BE738" s="4"/>
      <c r="BF738" s="13">
        <v>0.40000000596046398</v>
      </c>
      <c r="BG738" s="4"/>
      <c r="BH738" s="13"/>
      <c r="BI738" s="13"/>
      <c r="BJ738" s="4"/>
      <c r="BK738" s="14">
        <v>13</v>
      </c>
      <c r="BL738" s="14">
        <v>11</v>
      </c>
      <c r="BM738" s="14">
        <v>13</v>
      </c>
      <c r="BP738" s="15"/>
      <c r="BQ738" s="15" t="s">
        <v>136</v>
      </c>
      <c r="BR738" s="2" t="s">
        <v>161</v>
      </c>
      <c r="BS738" s="2" t="s">
        <v>172</v>
      </c>
      <c r="BT738" s="7" t="s">
        <v>527</v>
      </c>
      <c r="BU738" s="7" t="s">
        <v>174</v>
      </c>
      <c r="BV738" s="9" t="s">
        <v>458</v>
      </c>
      <c r="BW738" s="9"/>
    </row>
    <row r="739" spans="1:75" ht="14.25" customHeight="1" x14ac:dyDescent="0.25">
      <c r="A739" s="1">
        <v>1389</v>
      </c>
      <c r="B739" s="1" t="s">
        <v>3192</v>
      </c>
      <c r="C739" s="1" t="s">
        <v>3193</v>
      </c>
      <c r="D739" s="1" t="s">
        <v>77</v>
      </c>
      <c r="E739" s="1" t="s">
        <v>2396</v>
      </c>
      <c r="F739" s="1" t="s">
        <v>3194</v>
      </c>
      <c r="G739" s="1"/>
      <c r="H739" s="2">
        <v>1</v>
      </c>
      <c r="I739" s="2">
        <v>1</v>
      </c>
      <c r="J739" s="2">
        <v>0</v>
      </c>
      <c r="K739" s="2">
        <v>0</v>
      </c>
      <c r="L739" s="3" t="s">
        <v>80</v>
      </c>
      <c r="O739" s="4">
        <v>2</v>
      </c>
      <c r="P739" s="4" t="s">
        <v>1919</v>
      </c>
      <c r="Q739" s="4"/>
      <c r="R739" s="16">
        <v>27000000</v>
      </c>
      <c r="S739" s="6">
        <v>27000000</v>
      </c>
      <c r="T739" s="16">
        <v>27000000</v>
      </c>
      <c r="U739" s="6">
        <v>27000000</v>
      </c>
      <c r="V739" s="4">
        <v>2010.5</v>
      </c>
      <c r="W739" s="4" t="s">
        <v>1919</v>
      </c>
      <c r="X739" s="4"/>
      <c r="Y739" s="7">
        <v>1</v>
      </c>
      <c r="Z739" s="8">
        <v>7266187</v>
      </c>
      <c r="AA739" s="7" t="s">
        <v>92</v>
      </c>
      <c r="AB739" s="7"/>
      <c r="AC739" s="9">
        <v>1</v>
      </c>
      <c r="AD739" s="10">
        <v>7266187</v>
      </c>
      <c r="AE739" s="9" t="s">
        <v>92</v>
      </c>
      <c r="AF739" s="9"/>
      <c r="AG739" s="11">
        <v>3</v>
      </c>
      <c r="AH739" s="11" t="s">
        <v>518</v>
      </c>
      <c r="AI739" s="11" t="s">
        <v>519</v>
      </c>
      <c r="AJ739" s="11">
        <v>4</v>
      </c>
      <c r="AK739" s="11" t="s">
        <v>332</v>
      </c>
      <c r="AL739" s="12">
        <v>3</v>
      </c>
      <c r="AM739" s="12" t="s">
        <v>131</v>
      </c>
      <c r="AN739" s="12"/>
      <c r="AO739" s="12">
        <v>3</v>
      </c>
      <c r="AP739" s="12" t="s">
        <v>332</v>
      </c>
      <c r="AQ739" s="4">
        <v>3</v>
      </c>
      <c r="AR739" s="4" t="s">
        <v>133</v>
      </c>
      <c r="AS739" s="4"/>
      <c r="AT739" s="13">
        <v>-11.706977844238301</v>
      </c>
      <c r="AU739" s="13">
        <v>-0.24335737526416801</v>
      </c>
      <c r="AV739" s="13">
        <v>-1.0700000524520901</v>
      </c>
      <c r="AW739" s="13">
        <v>0.59700000286102295</v>
      </c>
      <c r="AX739" s="4"/>
      <c r="AY739" s="13">
        <v>-7.9322447776794398</v>
      </c>
      <c r="AZ739" s="13">
        <v>-0.74810624122619596</v>
      </c>
      <c r="BA739" s="13">
        <v>-2.2799999713897701</v>
      </c>
      <c r="BB739" s="13">
        <v>1.8899999856948899</v>
      </c>
      <c r="BC739" s="4"/>
      <c r="BD739" s="4">
        <v>11</v>
      </c>
      <c r="BE739" s="4" t="s">
        <v>134</v>
      </c>
      <c r="BF739" s="13">
        <v>1.6670000553131099</v>
      </c>
      <c r="BG739" s="4">
        <v>996.5</v>
      </c>
      <c r="BH739" s="13">
        <v>3.28999996185303</v>
      </c>
      <c r="BI739" s="13">
        <v>3294.63500976563</v>
      </c>
      <c r="BJ739" s="4"/>
      <c r="BK739" s="14">
        <v>9</v>
      </c>
      <c r="BL739" s="14">
        <v>9</v>
      </c>
      <c r="BM739" s="14">
        <v>9</v>
      </c>
      <c r="BP739" s="15"/>
      <c r="BQ739" s="15"/>
      <c r="BR739" s="2" t="s">
        <v>211</v>
      </c>
      <c r="BS739" s="2" t="s">
        <v>211</v>
      </c>
      <c r="BT739" s="7" t="s">
        <v>527</v>
      </c>
      <c r="BU739" s="7" t="s">
        <v>428</v>
      </c>
      <c r="BV739" s="9" t="s">
        <v>527</v>
      </c>
      <c r="BW739" s="9" t="s">
        <v>428</v>
      </c>
    </row>
    <row r="740" spans="1:75" ht="14.25" customHeight="1" x14ac:dyDescent="0.25">
      <c r="A740" s="1">
        <v>1390</v>
      </c>
      <c r="B740" s="1" t="s">
        <v>3195</v>
      </c>
      <c r="C740" s="1" t="s">
        <v>3196</v>
      </c>
      <c r="D740" s="1" t="s">
        <v>77</v>
      </c>
      <c r="E740" s="1" t="s">
        <v>2396</v>
      </c>
      <c r="F740" s="1" t="s">
        <v>3194</v>
      </c>
      <c r="G740" s="1" t="s">
        <v>118</v>
      </c>
      <c r="H740" s="2">
        <v>0</v>
      </c>
      <c r="I740" s="2">
        <v>0</v>
      </c>
      <c r="J740" s="2">
        <v>1</v>
      </c>
      <c r="K740" s="2">
        <v>0</v>
      </c>
      <c r="L740" s="3" t="s">
        <v>80</v>
      </c>
      <c r="O740" s="4">
        <v>5</v>
      </c>
      <c r="P740" s="4" t="s">
        <v>112</v>
      </c>
      <c r="Q740" s="4"/>
      <c r="R740" s="5"/>
      <c r="S740" s="6"/>
      <c r="T740" s="17"/>
      <c r="U740" s="6"/>
      <c r="V740" s="4"/>
      <c r="W740" s="4"/>
      <c r="X740" s="4"/>
      <c r="Y740" s="7">
        <v>5</v>
      </c>
      <c r="Z740" s="8">
        <v>35959</v>
      </c>
      <c r="AA740" s="7" t="s">
        <v>92</v>
      </c>
      <c r="AB740" s="7"/>
      <c r="AC740" s="9">
        <v>5</v>
      </c>
      <c r="AD740" s="10">
        <v>35959</v>
      </c>
      <c r="AE740" s="9" t="s">
        <v>92</v>
      </c>
      <c r="AF740" s="9"/>
      <c r="AG740" s="11">
        <v>4</v>
      </c>
      <c r="AH740" s="11" t="s">
        <v>93</v>
      </c>
      <c r="AI740" s="11"/>
      <c r="AJ740" s="11"/>
      <c r="AK740" s="11"/>
      <c r="AL740" s="12">
        <v>4</v>
      </c>
      <c r="AM740" s="12" t="s">
        <v>93</v>
      </c>
      <c r="AN740" s="12" t="s">
        <v>1002</v>
      </c>
      <c r="AO740" s="12"/>
      <c r="AP740" s="12"/>
      <c r="AQ740" s="4">
        <v>4</v>
      </c>
      <c r="AR740" s="4" t="s">
        <v>93</v>
      </c>
      <c r="AS740" s="4"/>
      <c r="AT740" s="13"/>
      <c r="AU740" s="13"/>
      <c r="AV740" s="13"/>
      <c r="AW740" s="13"/>
      <c r="AX740" s="4"/>
      <c r="AY740" s="13"/>
      <c r="AZ740" s="13"/>
      <c r="BA740" s="13"/>
      <c r="BB740" s="13"/>
      <c r="BC740" s="4"/>
      <c r="BD740" s="4"/>
      <c r="BE740" s="4"/>
      <c r="BF740" s="13"/>
      <c r="BG740" s="4"/>
      <c r="BH740" s="13"/>
      <c r="BI740" s="13"/>
      <c r="BJ740" s="4"/>
      <c r="BK740" s="14">
        <v>18</v>
      </c>
      <c r="BL740" s="14">
        <v>18</v>
      </c>
      <c r="BM740" s="14">
        <v>18</v>
      </c>
      <c r="BN740" s="3" t="s">
        <v>312</v>
      </c>
      <c r="BO740" s="3" t="s">
        <v>114</v>
      </c>
      <c r="BP740" s="15"/>
      <c r="BQ740" s="15"/>
      <c r="BR740" s="2" t="s">
        <v>409</v>
      </c>
      <c r="BS740" s="2" t="s">
        <v>409</v>
      </c>
      <c r="BT740" s="7" t="s">
        <v>88</v>
      </c>
      <c r="BU740" s="7"/>
      <c r="BV740" s="9" t="s">
        <v>88</v>
      </c>
      <c r="BW740" s="9"/>
    </row>
    <row r="741" spans="1:75" ht="14.25" customHeight="1" x14ac:dyDescent="0.25">
      <c r="A741" s="1">
        <v>1391</v>
      </c>
      <c r="B741" s="1" t="s">
        <v>3197</v>
      </c>
      <c r="C741" s="1" t="s">
        <v>3198</v>
      </c>
      <c r="D741" s="1" t="s">
        <v>77</v>
      </c>
      <c r="E741" s="1" t="s">
        <v>2396</v>
      </c>
      <c r="F741" s="1" t="s">
        <v>3194</v>
      </c>
      <c r="G741" s="1" t="s">
        <v>118</v>
      </c>
      <c r="H741" s="2">
        <v>0</v>
      </c>
      <c r="I741" s="2">
        <v>0</v>
      </c>
      <c r="J741" s="2">
        <v>1</v>
      </c>
      <c r="K741" s="2">
        <v>0</v>
      </c>
      <c r="L741" s="3" t="s">
        <v>80</v>
      </c>
      <c r="O741" s="4">
        <v>5</v>
      </c>
      <c r="P741" s="4" t="s">
        <v>112</v>
      </c>
      <c r="Q741" s="4"/>
      <c r="R741" s="5"/>
      <c r="S741" s="6"/>
      <c r="T741" s="17"/>
      <c r="U741" s="6"/>
      <c r="V741" s="4"/>
      <c r="W741" s="4"/>
      <c r="X741" s="4"/>
      <c r="Y741" s="7">
        <v>5</v>
      </c>
      <c r="Z741" s="8">
        <v>13723</v>
      </c>
      <c r="AA741" s="7" t="s">
        <v>92</v>
      </c>
      <c r="AB741" s="7"/>
      <c r="AC741" s="9">
        <v>5</v>
      </c>
      <c r="AD741" s="10">
        <v>13723</v>
      </c>
      <c r="AE741" s="9" t="s">
        <v>92</v>
      </c>
      <c r="AF741" s="9"/>
      <c r="AG741" s="11">
        <v>4</v>
      </c>
      <c r="AH741" s="11" t="s">
        <v>93</v>
      </c>
      <c r="AI741" s="11"/>
      <c r="AJ741" s="11"/>
      <c r="AK741" s="11"/>
      <c r="AL741" s="12">
        <v>4</v>
      </c>
      <c r="AM741" s="12" t="s">
        <v>93</v>
      </c>
      <c r="AN741" s="12" t="s">
        <v>1002</v>
      </c>
      <c r="AO741" s="12"/>
      <c r="AP741" s="12"/>
      <c r="AQ741" s="4">
        <v>5</v>
      </c>
      <c r="AR741" s="4" t="s">
        <v>441</v>
      </c>
      <c r="AS741" s="4" t="s">
        <v>3199</v>
      </c>
      <c r="AT741" s="13"/>
      <c r="AU741" s="13"/>
      <c r="AV741" s="13"/>
      <c r="AW741" s="13"/>
      <c r="AX741" s="4"/>
      <c r="AY741" s="13"/>
      <c r="AZ741" s="13"/>
      <c r="BA741" s="13"/>
      <c r="BB741" s="13"/>
      <c r="BC741" s="4"/>
      <c r="BD741" s="4"/>
      <c r="BE741" s="4"/>
      <c r="BF741" s="13"/>
      <c r="BG741" s="4"/>
      <c r="BH741" s="13"/>
      <c r="BI741" s="13"/>
      <c r="BJ741" s="4"/>
      <c r="BK741" s="14">
        <v>19</v>
      </c>
      <c r="BL741" s="14">
        <v>19</v>
      </c>
      <c r="BM741" s="14">
        <v>19</v>
      </c>
      <c r="BN741" s="3" t="s">
        <v>312</v>
      </c>
      <c r="BO741" s="3" t="s">
        <v>120</v>
      </c>
      <c r="BP741" s="15"/>
      <c r="BQ741" s="15"/>
      <c r="BR741" s="2" t="s">
        <v>409</v>
      </c>
      <c r="BS741" s="2" t="s">
        <v>409</v>
      </c>
      <c r="BT741" s="7" t="s">
        <v>437</v>
      </c>
      <c r="BU741" s="7"/>
      <c r="BV741" s="9" t="s">
        <v>437</v>
      </c>
      <c r="BW741" s="9"/>
    </row>
    <row r="742" spans="1:75" ht="14.25" customHeight="1" x14ac:dyDescent="0.25">
      <c r="A742" s="1">
        <v>1392</v>
      </c>
      <c r="B742" s="1" t="s">
        <v>3200</v>
      </c>
      <c r="C742" s="1" t="s">
        <v>3201</v>
      </c>
      <c r="D742" s="1" t="s">
        <v>77</v>
      </c>
      <c r="E742" s="1" t="s">
        <v>2396</v>
      </c>
      <c r="F742" s="1" t="s">
        <v>3194</v>
      </c>
      <c r="G742" s="1" t="s">
        <v>118</v>
      </c>
      <c r="H742" s="2">
        <v>0</v>
      </c>
      <c r="I742" s="2">
        <v>0</v>
      </c>
      <c r="J742" s="2">
        <v>1</v>
      </c>
      <c r="K742" s="2">
        <v>1</v>
      </c>
      <c r="L742" s="3" t="s">
        <v>80</v>
      </c>
      <c r="O742" s="4">
        <v>5</v>
      </c>
      <c r="P742" s="4" t="s">
        <v>112</v>
      </c>
      <c r="Q742" s="4"/>
      <c r="R742" s="5"/>
      <c r="S742" s="6"/>
      <c r="T742" s="17"/>
      <c r="U742" s="6"/>
      <c r="V742" s="4"/>
      <c r="W742" s="4"/>
      <c r="X742" s="4"/>
      <c r="Y742" s="7">
        <v>4</v>
      </c>
      <c r="Z742" s="8">
        <v>103510</v>
      </c>
      <c r="AA742" s="7" t="s">
        <v>92</v>
      </c>
      <c r="AB742" s="7"/>
      <c r="AC742" s="9">
        <v>4</v>
      </c>
      <c r="AD742" s="10">
        <v>103510</v>
      </c>
      <c r="AE742" s="9" t="s">
        <v>92</v>
      </c>
      <c r="AF742" s="9"/>
      <c r="AG742" s="11">
        <v>5</v>
      </c>
      <c r="AH742" s="11" t="s">
        <v>743</v>
      </c>
      <c r="AI742" s="11" t="s">
        <v>3202</v>
      </c>
      <c r="AJ742" s="11"/>
      <c r="AK742" s="11"/>
      <c r="AL742" s="12">
        <v>5</v>
      </c>
      <c r="AM742" s="12" t="s">
        <v>93</v>
      </c>
      <c r="AN742" s="12" t="s">
        <v>3203</v>
      </c>
      <c r="AO742" s="12"/>
      <c r="AP742" s="12"/>
      <c r="AQ742" s="4">
        <v>5</v>
      </c>
      <c r="AR742" s="4" t="s">
        <v>83</v>
      </c>
      <c r="AS742" s="4" t="s">
        <v>513</v>
      </c>
      <c r="AT742" s="13"/>
      <c r="AU742" s="13"/>
      <c r="AV742" s="13"/>
      <c r="AW742" s="13"/>
      <c r="AX742" s="4"/>
      <c r="AY742" s="13"/>
      <c r="AZ742" s="13"/>
      <c r="BA742" s="13"/>
      <c r="BB742" s="13"/>
      <c r="BC742" s="4"/>
      <c r="BD742" s="4"/>
      <c r="BE742" s="4"/>
      <c r="BF742" s="13"/>
      <c r="BG742" s="4"/>
      <c r="BH742" s="13"/>
      <c r="BI742" s="13"/>
      <c r="BJ742" s="4"/>
      <c r="BK742" s="14">
        <v>19</v>
      </c>
      <c r="BL742" s="14">
        <v>19</v>
      </c>
      <c r="BM742" s="14">
        <v>19</v>
      </c>
      <c r="BN742" s="3" t="s">
        <v>312</v>
      </c>
      <c r="BP742" s="15"/>
      <c r="BQ742" s="15"/>
      <c r="BR742" s="2" t="s">
        <v>409</v>
      </c>
      <c r="BS742" s="2" t="s">
        <v>409</v>
      </c>
      <c r="BT742" s="7" t="s">
        <v>88</v>
      </c>
      <c r="BU742" s="7"/>
      <c r="BV742" s="9" t="s">
        <v>88</v>
      </c>
      <c r="BW742" s="9"/>
    </row>
    <row r="743" spans="1:75" ht="14.25" customHeight="1" x14ac:dyDescent="0.25">
      <c r="A743" s="1">
        <v>1393</v>
      </c>
      <c r="B743" s="1" t="s">
        <v>3204</v>
      </c>
      <c r="C743" s="1" t="s">
        <v>3205</v>
      </c>
      <c r="D743" s="1" t="s">
        <v>77</v>
      </c>
      <c r="E743" s="1" t="s">
        <v>2396</v>
      </c>
      <c r="F743" s="1" t="s">
        <v>3194</v>
      </c>
      <c r="G743" s="1"/>
      <c r="H743" s="2">
        <v>0</v>
      </c>
      <c r="I743" s="2">
        <v>0</v>
      </c>
      <c r="J743" s="2">
        <v>0</v>
      </c>
      <c r="K743" s="2">
        <v>1</v>
      </c>
      <c r="L743" s="3" t="s">
        <v>80</v>
      </c>
      <c r="O743" s="4">
        <v>5</v>
      </c>
      <c r="P743" s="4" t="s">
        <v>81</v>
      </c>
      <c r="Q743" s="4"/>
      <c r="R743" s="5"/>
      <c r="S743" s="6"/>
      <c r="T743" s="17"/>
      <c r="U743" s="6"/>
      <c r="V743" s="4"/>
      <c r="W743" s="4"/>
      <c r="X743" s="4"/>
      <c r="Y743" s="7">
        <v>5</v>
      </c>
      <c r="Z743" s="8">
        <v>3936</v>
      </c>
      <c r="AA743" s="7" t="s">
        <v>82</v>
      </c>
      <c r="AB743" s="7"/>
      <c r="AC743" s="9">
        <v>5</v>
      </c>
      <c r="AD743" s="10">
        <v>3936</v>
      </c>
      <c r="AE743" s="9" t="s">
        <v>82</v>
      </c>
      <c r="AF743" s="9"/>
      <c r="AG743" s="11">
        <v>4</v>
      </c>
      <c r="AH743" s="11" t="s">
        <v>83</v>
      </c>
      <c r="AI743" s="11"/>
      <c r="AJ743" s="11"/>
      <c r="AK743" s="11"/>
      <c r="AL743" s="12">
        <v>4</v>
      </c>
      <c r="AM743" s="12" t="s">
        <v>83</v>
      </c>
      <c r="AN743" s="12"/>
      <c r="AO743" s="12"/>
      <c r="AP743" s="12"/>
      <c r="AQ743" s="4">
        <v>3</v>
      </c>
      <c r="AR743" s="4" t="s">
        <v>83</v>
      </c>
      <c r="AS743" s="4"/>
      <c r="AT743" s="13"/>
      <c r="AU743" s="13"/>
      <c r="AV743" s="13"/>
      <c r="AW743" s="13"/>
      <c r="AX743" s="4"/>
      <c r="AY743" s="13"/>
      <c r="AZ743" s="13"/>
      <c r="BA743" s="13"/>
      <c r="BB743" s="13"/>
      <c r="BC743" s="4"/>
      <c r="BD743" s="4"/>
      <c r="BE743" s="4"/>
      <c r="BF743" s="13"/>
      <c r="BG743" s="4"/>
      <c r="BH743" s="13"/>
      <c r="BI743" s="13"/>
      <c r="BJ743" s="4"/>
      <c r="BK743" s="14">
        <v>17</v>
      </c>
      <c r="BL743" s="14">
        <v>17</v>
      </c>
      <c r="BM743" s="14">
        <v>17</v>
      </c>
      <c r="BN743" s="3" t="s">
        <v>312</v>
      </c>
      <c r="BP743" s="15"/>
      <c r="BQ743" s="15"/>
      <c r="BR743" s="2" t="s">
        <v>87</v>
      </c>
      <c r="BS743" s="2" t="s">
        <v>87</v>
      </c>
      <c r="BT743" s="7" t="s">
        <v>88</v>
      </c>
      <c r="BU743" s="7"/>
      <c r="BV743" s="9" t="s">
        <v>88</v>
      </c>
      <c r="BW743" s="9"/>
    </row>
    <row r="744" spans="1:75" ht="14.25" customHeight="1" x14ac:dyDescent="0.25">
      <c r="A744" s="1">
        <v>1394</v>
      </c>
      <c r="B744" s="1" t="s">
        <v>3206</v>
      </c>
      <c r="C744" s="1" t="s">
        <v>3207</v>
      </c>
      <c r="D744" s="1" t="s">
        <v>77</v>
      </c>
      <c r="E744" s="1" t="s">
        <v>2396</v>
      </c>
      <c r="F744" s="1" t="s">
        <v>3194</v>
      </c>
      <c r="G744" s="1"/>
      <c r="H744" s="2">
        <v>0</v>
      </c>
      <c r="I744" s="2">
        <v>0</v>
      </c>
      <c r="J744" s="2">
        <v>1</v>
      </c>
      <c r="K744" s="2">
        <v>1</v>
      </c>
      <c r="L744" s="3" t="s">
        <v>80</v>
      </c>
      <c r="O744" s="4">
        <v>5</v>
      </c>
      <c r="P744" s="4" t="s">
        <v>112</v>
      </c>
      <c r="Q744" s="4"/>
      <c r="R744" s="5"/>
      <c r="S744" s="6"/>
      <c r="T744" s="17"/>
      <c r="U744" s="6"/>
      <c r="V744" s="4"/>
      <c r="W744" s="4"/>
      <c r="X744" s="4"/>
      <c r="Y744" s="7">
        <v>4</v>
      </c>
      <c r="Z744" s="8">
        <v>105612</v>
      </c>
      <c r="AA744" s="7" t="s">
        <v>92</v>
      </c>
      <c r="AB744" s="7"/>
      <c r="AC744" s="9">
        <v>4</v>
      </c>
      <c r="AD744" s="10">
        <v>105612</v>
      </c>
      <c r="AE744" s="9" t="s">
        <v>92</v>
      </c>
      <c r="AF744" s="9"/>
      <c r="AG744" s="11">
        <v>4</v>
      </c>
      <c r="AH744" s="11" t="s">
        <v>93</v>
      </c>
      <c r="AI744" s="11"/>
      <c r="AJ744" s="11"/>
      <c r="AK744" s="11"/>
      <c r="AL744" s="12">
        <v>4</v>
      </c>
      <c r="AM744" s="12" t="s">
        <v>93</v>
      </c>
      <c r="AN744" s="12" t="s">
        <v>3208</v>
      </c>
      <c r="AO744" s="12"/>
      <c r="AP744" s="12"/>
      <c r="AQ744" s="4">
        <v>5</v>
      </c>
      <c r="AR744" s="4" t="s">
        <v>83</v>
      </c>
      <c r="AS744" s="4"/>
      <c r="AT744" s="13"/>
      <c r="AU744" s="13"/>
      <c r="AV744" s="13"/>
      <c r="AW744" s="13"/>
      <c r="AX744" s="4"/>
      <c r="AY744" s="13"/>
      <c r="AZ744" s="13"/>
      <c r="BA744" s="13"/>
      <c r="BB744" s="13"/>
      <c r="BC744" s="4"/>
      <c r="BD744" s="4"/>
      <c r="BE744" s="4"/>
      <c r="BF744" s="13"/>
      <c r="BG744" s="4"/>
      <c r="BH744" s="13"/>
      <c r="BI744" s="13"/>
      <c r="BJ744" s="4"/>
      <c r="BK744" s="14">
        <v>18</v>
      </c>
      <c r="BL744" s="14">
        <v>18</v>
      </c>
      <c r="BM744" s="14">
        <v>18</v>
      </c>
      <c r="BN744" s="3" t="s">
        <v>312</v>
      </c>
      <c r="BP744" s="15"/>
      <c r="BQ744" s="15"/>
      <c r="BR744" s="2" t="s">
        <v>87</v>
      </c>
      <c r="BS744" s="2" t="s">
        <v>87</v>
      </c>
      <c r="BT744" s="7" t="s">
        <v>88</v>
      </c>
      <c r="BU744" s="7"/>
      <c r="BV744" s="9" t="s">
        <v>88</v>
      </c>
      <c r="BW744" s="9"/>
    </row>
    <row r="745" spans="1:75" ht="14.25" customHeight="1" x14ac:dyDescent="0.25">
      <c r="A745" s="1">
        <v>1395</v>
      </c>
      <c r="B745" s="1" t="s">
        <v>3209</v>
      </c>
      <c r="C745" s="1" t="s">
        <v>3210</v>
      </c>
      <c r="D745" s="1" t="s">
        <v>77</v>
      </c>
      <c r="E745" s="1" t="s">
        <v>2396</v>
      </c>
      <c r="F745" s="1" t="s">
        <v>3194</v>
      </c>
      <c r="G745" s="1" t="s">
        <v>118</v>
      </c>
      <c r="H745" s="2">
        <v>0</v>
      </c>
      <c r="I745" s="2">
        <v>0</v>
      </c>
      <c r="J745" s="2">
        <v>1</v>
      </c>
      <c r="K745" s="2">
        <v>0</v>
      </c>
      <c r="L745" s="3" t="s">
        <v>80</v>
      </c>
      <c r="O745" s="4">
        <v>4</v>
      </c>
      <c r="P745" s="4" t="s">
        <v>112</v>
      </c>
      <c r="Q745" s="4"/>
      <c r="R745" s="5"/>
      <c r="S745" s="6"/>
      <c r="T745" s="17"/>
      <c r="U745" s="6"/>
      <c r="V745" s="4"/>
      <c r="W745" s="4"/>
      <c r="X745" s="4"/>
      <c r="Y745" s="7">
        <v>4</v>
      </c>
      <c r="Z745" s="8">
        <v>156601</v>
      </c>
      <c r="AA745" s="7" t="s">
        <v>92</v>
      </c>
      <c r="AB745" s="7"/>
      <c r="AC745" s="9">
        <v>4</v>
      </c>
      <c r="AD745" s="10">
        <v>156601</v>
      </c>
      <c r="AE745" s="9" t="s">
        <v>92</v>
      </c>
      <c r="AF745" s="9"/>
      <c r="AG745" s="11">
        <v>2</v>
      </c>
      <c r="AH745" s="11" t="s">
        <v>93</v>
      </c>
      <c r="AI745" s="11" t="s">
        <v>445</v>
      </c>
      <c r="AJ745" s="11"/>
      <c r="AK745" s="11"/>
      <c r="AL745" s="12">
        <v>2</v>
      </c>
      <c r="AM745" s="12" t="s">
        <v>93</v>
      </c>
      <c r="AN745" s="12" t="s">
        <v>3211</v>
      </c>
      <c r="AO745" s="12"/>
      <c r="AP745" s="12"/>
      <c r="AQ745" s="4">
        <v>3</v>
      </c>
      <c r="AR745" s="4" t="s">
        <v>441</v>
      </c>
      <c r="AS745" s="4" t="s">
        <v>3212</v>
      </c>
      <c r="AT745" s="13"/>
      <c r="AU745" s="13"/>
      <c r="AV745" s="13"/>
      <c r="AW745" s="13"/>
      <c r="AX745" s="4"/>
      <c r="AY745" s="13"/>
      <c r="AZ745" s="13"/>
      <c r="BA745" s="13"/>
      <c r="BB745" s="13"/>
      <c r="BC745" s="4"/>
      <c r="BD745" s="4"/>
      <c r="BE745" s="4"/>
      <c r="BF745" s="13"/>
      <c r="BG745" s="4"/>
      <c r="BH745" s="13"/>
      <c r="BI745" s="13"/>
      <c r="BJ745" s="4"/>
      <c r="BK745" s="14">
        <v>13</v>
      </c>
      <c r="BL745" s="14">
        <v>13</v>
      </c>
      <c r="BM745" s="14">
        <v>13</v>
      </c>
      <c r="BP745" s="15"/>
      <c r="BQ745" s="15"/>
      <c r="BR745" s="2" t="s">
        <v>108</v>
      </c>
      <c r="BS745" s="2" t="s">
        <v>108</v>
      </c>
      <c r="BT745" s="7" t="s">
        <v>109</v>
      </c>
      <c r="BU745" s="7"/>
      <c r="BV745" s="9" t="s">
        <v>109</v>
      </c>
      <c r="BW745" s="9"/>
    </row>
    <row r="746" spans="1:75" ht="14.25" customHeight="1" x14ac:dyDescent="0.25">
      <c r="A746" s="1">
        <v>1396</v>
      </c>
      <c r="B746" s="1" t="s">
        <v>3213</v>
      </c>
      <c r="C746" s="1" t="s">
        <v>3214</v>
      </c>
      <c r="D746" s="1" t="s">
        <v>77</v>
      </c>
      <c r="E746" s="1" t="s">
        <v>2396</v>
      </c>
      <c r="F746" s="1" t="s">
        <v>3194</v>
      </c>
      <c r="G746" s="1"/>
      <c r="H746" s="2">
        <v>0</v>
      </c>
      <c r="I746" s="2">
        <v>0</v>
      </c>
      <c r="J746" s="2">
        <v>1</v>
      </c>
      <c r="K746" s="2">
        <v>1</v>
      </c>
      <c r="L746" s="3" t="s">
        <v>80</v>
      </c>
      <c r="O746" s="4">
        <v>3</v>
      </c>
      <c r="P746" s="4" t="s">
        <v>81</v>
      </c>
      <c r="Q746" s="4" t="s">
        <v>1789</v>
      </c>
      <c r="R746" s="5"/>
      <c r="S746" s="6"/>
      <c r="T746" s="17"/>
      <c r="U746" s="6"/>
      <c r="V746" s="4"/>
      <c r="W746" s="4"/>
      <c r="X746" s="4"/>
      <c r="Y746" s="7">
        <v>4</v>
      </c>
      <c r="Z746" s="8">
        <v>294275</v>
      </c>
      <c r="AA746" s="7" t="s">
        <v>92</v>
      </c>
      <c r="AB746" s="7"/>
      <c r="AC746" s="9">
        <v>4</v>
      </c>
      <c r="AD746" s="10">
        <v>294275</v>
      </c>
      <c r="AE746" s="9" t="s">
        <v>92</v>
      </c>
      <c r="AF746" s="9"/>
      <c r="AG746" s="11">
        <v>2</v>
      </c>
      <c r="AH746" s="11" t="s">
        <v>93</v>
      </c>
      <c r="AI746" s="11"/>
      <c r="AJ746" s="11"/>
      <c r="AK746" s="11"/>
      <c r="AL746" s="12">
        <v>2</v>
      </c>
      <c r="AM746" s="12" t="s">
        <v>93</v>
      </c>
      <c r="AN746" s="12" t="s">
        <v>394</v>
      </c>
      <c r="AO746" s="12"/>
      <c r="AP746" s="12"/>
      <c r="AQ746" s="4">
        <v>2</v>
      </c>
      <c r="AR746" s="4" t="s">
        <v>83</v>
      </c>
      <c r="AS746" s="4"/>
      <c r="AT746" s="13"/>
      <c r="AU746" s="13"/>
      <c r="AV746" s="13"/>
      <c r="AW746" s="13"/>
      <c r="AX746" s="4"/>
      <c r="AY746" s="13"/>
      <c r="AZ746" s="13"/>
      <c r="BA746" s="13"/>
      <c r="BB746" s="13"/>
      <c r="BC746" s="4"/>
      <c r="BD746" s="4"/>
      <c r="BE746" s="4"/>
      <c r="BF746" s="13"/>
      <c r="BG746" s="4"/>
      <c r="BH746" s="13"/>
      <c r="BI746" s="13"/>
      <c r="BJ746" s="4"/>
      <c r="BK746" s="14">
        <v>11</v>
      </c>
      <c r="BL746" s="14">
        <v>11</v>
      </c>
      <c r="BM746" s="14">
        <v>11</v>
      </c>
      <c r="BP746" s="15"/>
      <c r="BQ746" s="15"/>
      <c r="BR746" s="2" t="s">
        <v>108</v>
      </c>
      <c r="BS746" s="2" t="s">
        <v>108</v>
      </c>
      <c r="BT746" s="7" t="s">
        <v>109</v>
      </c>
      <c r="BU746" s="7"/>
      <c r="BV746" s="9" t="s">
        <v>109</v>
      </c>
      <c r="BW746" s="9"/>
    </row>
    <row r="747" spans="1:75" ht="14.25" customHeight="1" x14ac:dyDescent="0.25">
      <c r="A747" s="1">
        <v>1397</v>
      </c>
      <c r="B747" s="1" t="s">
        <v>3215</v>
      </c>
      <c r="C747" s="1" t="s">
        <v>3216</v>
      </c>
      <c r="D747" s="1" t="s">
        <v>77</v>
      </c>
      <c r="E747" s="1" t="s">
        <v>2396</v>
      </c>
      <c r="F747" s="1" t="s">
        <v>3194</v>
      </c>
      <c r="G747" s="1"/>
      <c r="H747" s="2">
        <v>0</v>
      </c>
      <c r="I747" s="2">
        <v>1</v>
      </c>
      <c r="J747" s="2">
        <v>1</v>
      </c>
      <c r="K747" s="2">
        <v>1</v>
      </c>
      <c r="L747" s="3" t="s">
        <v>80</v>
      </c>
      <c r="O747" s="4">
        <v>3</v>
      </c>
      <c r="P747" s="4" t="s">
        <v>706</v>
      </c>
      <c r="Q747" s="4"/>
      <c r="R747" s="16">
        <v>2000000</v>
      </c>
      <c r="S747" s="6">
        <v>2000000</v>
      </c>
      <c r="T747" s="17" t="s">
        <v>682</v>
      </c>
      <c r="U747" s="6">
        <v>50</v>
      </c>
      <c r="V747" s="4"/>
      <c r="W747" s="4" t="s">
        <v>543</v>
      </c>
      <c r="X747" s="4" t="s">
        <v>787</v>
      </c>
      <c r="Y747" s="7">
        <v>3</v>
      </c>
      <c r="Z747" s="8">
        <v>677252</v>
      </c>
      <c r="AA747" s="7" t="s">
        <v>92</v>
      </c>
      <c r="AB747" s="7"/>
      <c r="AC747" s="9">
        <v>3</v>
      </c>
      <c r="AD747" s="10">
        <v>677252</v>
      </c>
      <c r="AE747" s="9" t="s">
        <v>92</v>
      </c>
      <c r="AF747" s="9"/>
      <c r="AG747" s="11">
        <v>2</v>
      </c>
      <c r="AH747" s="11" t="s">
        <v>271</v>
      </c>
      <c r="AI747" s="11" t="s">
        <v>3217</v>
      </c>
      <c r="AJ747" s="11"/>
      <c r="AK747" s="11"/>
      <c r="AL747" s="12">
        <v>2</v>
      </c>
      <c r="AM747" s="12" t="s">
        <v>271</v>
      </c>
      <c r="AN747" s="12" t="s">
        <v>683</v>
      </c>
      <c r="AO747" s="12"/>
      <c r="AP747" s="12"/>
      <c r="AQ747" s="4">
        <v>2</v>
      </c>
      <c r="AR747" s="4" t="s">
        <v>93</v>
      </c>
      <c r="AS747" s="4" t="s">
        <v>3218</v>
      </c>
      <c r="AT747" s="13"/>
      <c r="AU747" s="13"/>
      <c r="AV747" s="13"/>
      <c r="AW747" s="13"/>
      <c r="AX747" s="4"/>
      <c r="AY747" s="13"/>
      <c r="AZ747" s="13"/>
      <c r="BA747" s="13"/>
      <c r="BB747" s="13"/>
      <c r="BC747" s="4"/>
      <c r="BD747" s="4"/>
      <c r="BE747" s="4"/>
      <c r="BF747" s="13"/>
      <c r="BG747" s="4"/>
      <c r="BH747" s="13"/>
      <c r="BI747" s="13"/>
      <c r="BJ747" s="4"/>
      <c r="BK747" s="14">
        <v>10</v>
      </c>
      <c r="BL747" s="14">
        <v>10</v>
      </c>
      <c r="BM747" s="14">
        <v>10</v>
      </c>
      <c r="BP747" s="15" t="s">
        <v>135</v>
      </c>
      <c r="BQ747" s="15"/>
      <c r="BR747" s="2" t="s">
        <v>115</v>
      </c>
      <c r="BS747" s="2" t="s">
        <v>115</v>
      </c>
      <c r="BT747" s="7" t="s">
        <v>98</v>
      </c>
      <c r="BU747" s="7"/>
      <c r="BV747" s="9" t="s">
        <v>98</v>
      </c>
      <c r="BW747" s="9"/>
    </row>
    <row r="748" spans="1:75" ht="14.25" customHeight="1" x14ac:dyDescent="0.25">
      <c r="A748" s="1">
        <v>1398</v>
      </c>
      <c r="B748" s="1" t="s">
        <v>3219</v>
      </c>
      <c r="C748" s="1" t="s">
        <v>3220</v>
      </c>
      <c r="D748" s="1" t="s">
        <v>77</v>
      </c>
      <c r="E748" s="1" t="s">
        <v>2396</v>
      </c>
      <c r="F748" s="1" t="s">
        <v>3194</v>
      </c>
      <c r="G748" s="1" t="s">
        <v>118</v>
      </c>
      <c r="H748" s="2">
        <v>0</v>
      </c>
      <c r="I748" s="2">
        <v>0</v>
      </c>
      <c r="J748" s="2">
        <v>1</v>
      </c>
      <c r="K748" s="2">
        <v>0</v>
      </c>
      <c r="L748" s="3" t="s">
        <v>80</v>
      </c>
      <c r="O748" s="4">
        <v>5</v>
      </c>
      <c r="P748" s="4" t="s">
        <v>112</v>
      </c>
      <c r="Q748" s="4" t="s">
        <v>3221</v>
      </c>
      <c r="R748" s="5"/>
      <c r="S748" s="6"/>
      <c r="T748" s="17"/>
      <c r="U748" s="6"/>
      <c r="V748" s="4"/>
      <c r="W748" s="4"/>
      <c r="X748" s="4"/>
      <c r="Y748" s="7">
        <v>5</v>
      </c>
      <c r="Z748" s="8">
        <v>38720</v>
      </c>
      <c r="AA748" s="7" t="s">
        <v>92</v>
      </c>
      <c r="AB748" s="7"/>
      <c r="AC748" s="9">
        <v>5</v>
      </c>
      <c r="AD748" s="10">
        <v>38720</v>
      </c>
      <c r="AE748" s="9" t="s">
        <v>92</v>
      </c>
      <c r="AF748" s="9"/>
      <c r="AG748" s="11">
        <v>4</v>
      </c>
      <c r="AH748" s="11" t="s">
        <v>93</v>
      </c>
      <c r="AI748" s="11" t="s">
        <v>393</v>
      </c>
      <c r="AJ748" s="11"/>
      <c r="AK748" s="11"/>
      <c r="AL748" s="12">
        <v>4</v>
      </c>
      <c r="AM748" s="12" t="s">
        <v>93</v>
      </c>
      <c r="AN748" s="12" t="s">
        <v>805</v>
      </c>
      <c r="AO748" s="12"/>
      <c r="AP748" s="12"/>
      <c r="AQ748" s="4">
        <v>4</v>
      </c>
      <c r="AR748" s="4" t="s">
        <v>441</v>
      </c>
      <c r="AS748" s="4" t="s">
        <v>3222</v>
      </c>
      <c r="AT748" s="13"/>
      <c r="AU748" s="13"/>
      <c r="AV748" s="13"/>
      <c r="AW748" s="13"/>
      <c r="AX748" s="4"/>
      <c r="AY748" s="13"/>
      <c r="AZ748" s="13"/>
      <c r="BA748" s="13"/>
      <c r="BB748" s="13"/>
      <c r="BC748" s="4"/>
      <c r="BD748" s="4"/>
      <c r="BE748" s="4"/>
      <c r="BF748" s="13"/>
      <c r="BG748" s="4"/>
      <c r="BH748" s="13"/>
      <c r="BI748" s="13"/>
      <c r="BJ748" s="4"/>
      <c r="BK748" s="14">
        <v>18</v>
      </c>
      <c r="BL748" s="14">
        <v>18</v>
      </c>
      <c r="BM748" s="14">
        <v>18</v>
      </c>
      <c r="BN748" s="3" t="s">
        <v>312</v>
      </c>
      <c r="BO748" s="3" t="s">
        <v>120</v>
      </c>
      <c r="BP748" s="15"/>
      <c r="BQ748" s="15"/>
      <c r="BR748" s="2" t="s">
        <v>409</v>
      </c>
      <c r="BS748" s="2" t="s">
        <v>409</v>
      </c>
      <c r="BT748" s="7" t="s">
        <v>438</v>
      </c>
      <c r="BU748" s="7"/>
      <c r="BV748" s="9" t="s">
        <v>438</v>
      </c>
      <c r="BW748" s="9"/>
    </row>
    <row r="749" spans="1:75" ht="14.25" customHeight="1" x14ac:dyDescent="0.25">
      <c r="A749" s="1">
        <v>1399</v>
      </c>
      <c r="B749" s="1" t="s">
        <v>3223</v>
      </c>
      <c r="C749" s="1" t="s">
        <v>3224</v>
      </c>
      <c r="D749" s="1" t="s">
        <v>77</v>
      </c>
      <c r="E749" s="1" t="s">
        <v>2396</v>
      </c>
      <c r="F749" s="1" t="s">
        <v>3194</v>
      </c>
      <c r="G749" s="1"/>
      <c r="H749" s="2">
        <v>0</v>
      </c>
      <c r="I749" s="2">
        <v>0</v>
      </c>
      <c r="J749" s="2">
        <v>0</v>
      </c>
      <c r="K749" s="2">
        <v>1</v>
      </c>
      <c r="L749" s="3" t="s">
        <v>80</v>
      </c>
      <c r="O749" s="4">
        <v>2</v>
      </c>
      <c r="P749" s="4" t="s">
        <v>81</v>
      </c>
      <c r="Q749" s="4"/>
      <c r="R749" s="5"/>
      <c r="S749" s="6"/>
      <c r="T749" s="17"/>
      <c r="U749" s="6"/>
      <c r="V749" s="4"/>
      <c r="W749" s="4"/>
      <c r="X749" s="4"/>
      <c r="Y749" s="7">
        <v>3</v>
      </c>
      <c r="Z749" s="8">
        <v>456597</v>
      </c>
      <c r="AA749" s="7" t="s">
        <v>82</v>
      </c>
      <c r="AB749" s="7"/>
      <c r="AC749" s="9">
        <v>3</v>
      </c>
      <c r="AD749" s="10">
        <v>456597</v>
      </c>
      <c r="AE749" s="9" t="s">
        <v>82</v>
      </c>
      <c r="AF749" s="9"/>
      <c r="AG749" s="11">
        <v>2</v>
      </c>
      <c r="AH749" s="11" t="s">
        <v>83</v>
      </c>
      <c r="AI749" s="11"/>
      <c r="AJ749" s="11"/>
      <c r="AK749" s="11"/>
      <c r="AL749" s="12">
        <v>2</v>
      </c>
      <c r="AM749" s="12" t="s">
        <v>83</v>
      </c>
      <c r="AN749" s="12"/>
      <c r="AO749" s="12"/>
      <c r="AP749" s="12"/>
      <c r="AQ749" s="4">
        <v>2</v>
      </c>
      <c r="AR749" s="4" t="s">
        <v>83</v>
      </c>
      <c r="AS749" s="4"/>
      <c r="AT749" s="13"/>
      <c r="AU749" s="13"/>
      <c r="AV749" s="13"/>
      <c r="AW749" s="13"/>
      <c r="AX749" s="4"/>
      <c r="AY749" s="13"/>
      <c r="AZ749" s="13"/>
      <c r="BA749" s="13"/>
      <c r="BB749" s="13"/>
      <c r="BC749" s="4"/>
      <c r="BD749" s="4"/>
      <c r="BE749" s="4"/>
      <c r="BF749" s="13"/>
      <c r="BG749" s="4"/>
      <c r="BH749" s="13"/>
      <c r="BI749" s="13"/>
      <c r="BJ749" s="4"/>
      <c r="BK749" s="14">
        <v>9</v>
      </c>
      <c r="BL749" s="14">
        <v>9</v>
      </c>
      <c r="BM749" s="14">
        <v>9</v>
      </c>
      <c r="BP749" s="15"/>
      <c r="BQ749" s="15"/>
      <c r="BR749" s="2" t="s">
        <v>121</v>
      </c>
      <c r="BS749" s="2" t="s">
        <v>121</v>
      </c>
      <c r="BT749" s="7" t="s">
        <v>98</v>
      </c>
      <c r="BU749" s="7"/>
      <c r="BV749" s="9" t="s">
        <v>98</v>
      </c>
      <c r="BW749" s="9"/>
    </row>
    <row r="750" spans="1:75" ht="14.25" customHeight="1" x14ac:dyDescent="0.25">
      <c r="A750" s="1">
        <v>1400</v>
      </c>
      <c r="B750" s="1" t="s">
        <v>3225</v>
      </c>
      <c r="C750" s="1" t="s">
        <v>3226</v>
      </c>
      <c r="D750" s="1" t="s">
        <v>77</v>
      </c>
      <c r="E750" s="1" t="s">
        <v>2396</v>
      </c>
      <c r="F750" s="1" t="s">
        <v>3194</v>
      </c>
      <c r="G750" s="1"/>
      <c r="H750" s="2">
        <v>0</v>
      </c>
      <c r="I750" s="2">
        <v>1</v>
      </c>
      <c r="J750" s="2">
        <v>1</v>
      </c>
      <c r="K750" s="2">
        <v>1</v>
      </c>
      <c r="L750" s="3" t="s">
        <v>80</v>
      </c>
      <c r="O750" s="4">
        <v>3</v>
      </c>
      <c r="P750" s="4" t="s">
        <v>470</v>
      </c>
      <c r="Q750" s="4" t="s">
        <v>3227</v>
      </c>
      <c r="R750" s="16">
        <v>880000</v>
      </c>
      <c r="S750" s="6">
        <v>880000</v>
      </c>
      <c r="T750" s="16">
        <v>57000</v>
      </c>
      <c r="U750" s="6">
        <v>57000</v>
      </c>
      <c r="V750" s="4">
        <v>2010.5</v>
      </c>
      <c r="W750" s="4" t="s">
        <v>425</v>
      </c>
      <c r="X750" s="4"/>
      <c r="Y750" s="7">
        <v>2</v>
      </c>
      <c r="Z750" s="8">
        <v>1094069</v>
      </c>
      <c r="AA750" s="7" t="s">
        <v>92</v>
      </c>
      <c r="AB750" s="7"/>
      <c r="AC750" s="9">
        <v>2</v>
      </c>
      <c r="AD750" s="10">
        <v>1094069</v>
      </c>
      <c r="AE750" s="9" t="s">
        <v>92</v>
      </c>
      <c r="AF750" s="9"/>
      <c r="AG750" s="11">
        <v>3</v>
      </c>
      <c r="AH750" s="11" t="s">
        <v>3228</v>
      </c>
      <c r="AI750" s="11" t="s">
        <v>3229</v>
      </c>
      <c r="AJ750" s="11">
        <v>3</v>
      </c>
      <c r="AK750" s="11" t="s">
        <v>143</v>
      </c>
      <c r="AL750" s="12">
        <v>4</v>
      </c>
      <c r="AM750" s="12" t="s">
        <v>131</v>
      </c>
      <c r="AN750" s="12" t="s">
        <v>3230</v>
      </c>
      <c r="AO750" s="12">
        <v>4</v>
      </c>
      <c r="AP750" s="12" t="s">
        <v>143</v>
      </c>
      <c r="AQ750" s="4">
        <v>3</v>
      </c>
      <c r="AR750" s="4" t="s">
        <v>93</v>
      </c>
      <c r="AS750" s="4" t="s">
        <v>3231</v>
      </c>
      <c r="AT750" s="13"/>
      <c r="AU750" s="13"/>
      <c r="AV750" s="13"/>
      <c r="AW750" s="13"/>
      <c r="AX750" s="4"/>
      <c r="AY750" s="13"/>
      <c r="AZ750" s="13"/>
      <c r="BA750" s="13"/>
      <c r="BB750" s="13"/>
      <c r="BC750" s="4"/>
      <c r="BD750" s="4"/>
      <c r="BE750" s="4"/>
      <c r="BF750" s="13"/>
      <c r="BG750" s="4"/>
      <c r="BH750" s="13"/>
      <c r="BI750" s="13"/>
      <c r="BJ750" s="4"/>
      <c r="BK750" s="14">
        <v>11</v>
      </c>
      <c r="BL750" s="14">
        <v>12</v>
      </c>
      <c r="BM750" s="14">
        <v>12</v>
      </c>
      <c r="BP750" s="15" t="s">
        <v>135</v>
      </c>
      <c r="BQ750" s="15"/>
      <c r="BR750" s="2" t="s">
        <v>97</v>
      </c>
      <c r="BS750" s="2" t="s">
        <v>97</v>
      </c>
      <c r="BT750" s="7" t="s">
        <v>98</v>
      </c>
      <c r="BU750" s="7"/>
      <c r="BV750" s="9" t="s">
        <v>98</v>
      </c>
      <c r="BW750" s="9"/>
    </row>
    <row r="751" spans="1:75" ht="14.25" customHeight="1" x14ac:dyDescent="0.25">
      <c r="A751" s="1">
        <v>1401</v>
      </c>
      <c r="B751" s="1" t="s">
        <v>3232</v>
      </c>
      <c r="C751" s="1" t="s">
        <v>3233</v>
      </c>
      <c r="D751" s="1" t="s">
        <v>77</v>
      </c>
      <c r="E751" s="1" t="s">
        <v>2396</v>
      </c>
      <c r="F751" s="1" t="s">
        <v>3194</v>
      </c>
      <c r="G751" s="1"/>
      <c r="H751" s="2">
        <v>0</v>
      </c>
      <c r="I751" s="2">
        <v>0</v>
      </c>
      <c r="J751" s="2">
        <v>0</v>
      </c>
      <c r="K751" s="2">
        <v>1</v>
      </c>
      <c r="L751" s="3" t="s">
        <v>80</v>
      </c>
      <c r="O751" s="4">
        <v>3</v>
      </c>
      <c r="P751" s="4" t="s">
        <v>81</v>
      </c>
      <c r="Q751" s="4"/>
      <c r="R751" s="5"/>
      <c r="S751" s="6"/>
      <c r="T751" s="17"/>
      <c r="U751" s="6"/>
      <c r="V751" s="4"/>
      <c r="W751" s="4"/>
      <c r="X751" s="4"/>
      <c r="Y751" s="7">
        <v>4</v>
      </c>
      <c r="Z751" s="8">
        <v>118314</v>
      </c>
      <c r="AA751" s="7" t="s">
        <v>82</v>
      </c>
      <c r="AB751" s="7"/>
      <c r="AC751" s="9">
        <v>4</v>
      </c>
      <c r="AD751" s="10">
        <v>118314</v>
      </c>
      <c r="AE751" s="9" t="s">
        <v>82</v>
      </c>
      <c r="AF751" s="9"/>
      <c r="AG751" s="11">
        <v>2</v>
      </c>
      <c r="AH751" s="11" t="s">
        <v>83</v>
      </c>
      <c r="AI751" s="11"/>
      <c r="AJ751" s="11"/>
      <c r="AK751" s="11"/>
      <c r="AL751" s="12">
        <v>2</v>
      </c>
      <c r="AM751" s="12" t="s">
        <v>83</v>
      </c>
      <c r="AN751" s="12"/>
      <c r="AO751" s="12"/>
      <c r="AP751" s="12"/>
      <c r="AQ751" s="4">
        <v>2</v>
      </c>
      <c r="AR751" s="4" t="s">
        <v>83</v>
      </c>
      <c r="AS751" s="4"/>
      <c r="AT751" s="13"/>
      <c r="AU751" s="13"/>
      <c r="AV751" s="13"/>
      <c r="AW751" s="13"/>
      <c r="AX751" s="4"/>
      <c r="AY751" s="13"/>
      <c r="AZ751" s="13"/>
      <c r="BA751" s="13"/>
      <c r="BB751" s="13"/>
      <c r="BC751" s="4"/>
      <c r="BD751" s="4"/>
      <c r="BE751" s="4"/>
      <c r="BF751" s="13"/>
      <c r="BG751" s="4"/>
      <c r="BH751" s="13"/>
      <c r="BI751" s="13"/>
      <c r="BJ751" s="4"/>
      <c r="BK751" s="14">
        <v>11</v>
      </c>
      <c r="BL751" s="14">
        <v>11</v>
      </c>
      <c r="BM751" s="14">
        <v>11</v>
      </c>
      <c r="BP751" s="15"/>
      <c r="BQ751" s="15"/>
      <c r="BR751" s="2" t="s">
        <v>409</v>
      </c>
      <c r="BS751" s="2" t="s">
        <v>409</v>
      </c>
      <c r="BT751" s="7" t="s">
        <v>88</v>
      </c>
      <c r="BU751" s="7"/>
      <c r="BV751" s="9" t="s">
        <v>88</v>
      </c>
      <c r="BW751" s="9"/>
    </row>
    <row r="752" spans="1:75" ht="14.25" customHeight="1" x14ac:dyDescent="0.25">
      <c r="A752" s="1">
        <v>1402</v>
      </c>
      <c r="B752" s="1" t="s">
        <v>3234</v>
      </c>
      <c r="C752" s="1" t="s">
        <v>3235</v>
      </c>
      <c r="D752" s="1" t="s">
        <v>77</v>
      </c>
      <c r="E752" s="1" t="s">
        <v>2396</v>
      </c>
      <c r="F752" s="1" t="s">
        <v>3194</v>
      </c>
      <c r="G752" s="1"/>
      <c r="H752" s="2">
        <v>0</v>
      </c>
      <c r="I752" s="2">
        <v>0</v>
      </c>
      <c r="J752" s="2">
        <v>1</v>
      </c>
      <c r="K752" s="2">
        <v>0</v>
      </c>
      <c r="L752" s="3" t="s">
        <v>80</v>
      </c>
      <c r="O752" s="4">
        <v>4</v>
      </c>
      <c r="P752" s="4" t="s">
        <v>112</v>
      </c>
      <c r="Q752" s="4"/>
      <c r="R752" s="5"/>
      <c r="S752" s="6"/>
      <c r="T752" s="17"/>
      <c r="U752" s="6"/>
      <c r="V752" s="4"/>
      <c r="W752" s="4"/>
      <c r="X752" s="4"/>
      <c r="Y752" s="7">
        <v>5</v>
      </c>
      <c r="Z752" s="8">
        <v>67785</v>
      </c>
      <c r="AA752" s="7" t="s">
        <v>92</v>
      </c>
      <c r="AB752" s="7"/>
      <c r="AC752" s="9">
        <v>5</v>
      </c>
      <c r="AD752" s="10">
        <v>67785</v>
      </c>
      <c r="AE752" s="9" t="s">
        <v>92</v>
      </c>
      <c r="AF752" s="9"/>
      <c r="AG752" s="11">
        <v>3</v>
      </c>
      <c r="AH752" s="11" t="s">
        <v>93</v>
      </c>
      <c r="AI752" s="11"/>
      <c r="AJ752" s="11"/>
      <c r="AK752" s="11"/>
      <c r="AL752" s="12">
        <v>3</v>
      </c>
      <c r="AM752" s="12" t="s">
        <v>93</v>
      </c>
      <c r="AN752" s="12" t="s">
        <v>805</v>
      </c>
      <c r="AO752" s="12"/>
      <c r="AP752" s="12"/>
      <c r="AQ752" s="4">
        <v>4</v>
      </c>
      <c r="AR752" s="4" t="s">
        <v>441</v>
      </c>
      <c r="AS752" s="4" t="s">
        <v>2175</v>
      </c>
      <c r="AT752" s="13"/>
      <c r="AU752" s="13"/>
      <c r="AV752" s="13"/>
      <c r="AW752" s="13"/>
      <c r="AX752" s="4"/>
      <c r="AY752" s="13"/>
      <c r="AZ752" s="13"/>
      <c r="BA752" s="13"/>
      <c r="BB752" s="13"/>
      <c r="BC752" s="4"/>
      <c r="BD752" s="4"/>
      <c r="BE752" s="4"/>
      <c r="BF752" s="13"/>
      <c r="BG752" s="4"/>
      <c r="BH752" s="13"/>
      <c r="BI752" s="13"/>
      <c r="BJ752" s="4"/>
      <c r="BK752" s="14">
        <v>16</v>
      </c>
      <c r="BL752" s="14">
        <v>16</v>
      </c>
      <c r="BM752" s="14">
        <v>16</v>
      </c>
      <c r="BN752" s="3" t="s">
        <v>86</v>
      </c>
      <c r="BP752" s="15"/>
      <c r="BQ752" s="15"/>
      <c r="BR752" s="2" t="s">
        <v>108</v>
      </c>
      <c r="BS752" s="2" t="s">
        <v>108</v>
      </c>
      <c r="BT752" s="7" t="s">
        <v>109</v>
      </c>
      <c r="BU752" s="7"/>
      <c r="BV752" s="9" t="s">
        <v>109</v>
      </c>
      <c r="BW752" s="9"/>
    </row>
    <row r="753" spans="1:75" ht="14.25" customHeight="1" x14ac:dyDescent="0.25">
      <c r="A753" s="1">
        <v>1403</v>
      </c>
      <c r="B753" s="1" t="s">
        <v>3236</v>
      </c>
      <c r="C753" s="1" t="s">
        <v>3237</v>
      </c>
      <c r="D753" s="1" t="s">
        <v>77</v>
      </c>
      <c r="E753" s="1" t="s">
        <v>2396</v>
      </c>
      <c r="F753" s="1" t="s">
        <v>3194</v>
      </c>
      <c r="G753" s="1"/>
      <c r="H753" s="2">
        <v>0</v>
      </c>
      <c r="I753" s="2">
        <v>0</v>
      </c>
      <c r="J753" s="2">
        <v>1</v>
      </c>
      <c r="K753" s="2">
        <v>1</v>
      </c>
      <c r="L753" s="3" t="s">
        <v>80</v>
      </c>
      <c r="O753" s="4">
        <v>4</v>
      </c>
      <c r="P753" s="4" t="s">
        <v>112</v>
      </c>
      <c r="Q753" s="4"/>
      <c r="R753" s="5"/>
      <c r="S753" s="6"/>
      <c r="T753" s="17"/>
      <c r="U753" s="6"/>
      <c r="V753" s="4"/>
      <c r="W753" s="4"/>
      <c r="X753" s="4"/>
      <c r="Y753" s="7">
        <v>4</v>
      </c>
      <c r="Z753" s="8">
        <v>188410</v>
      </c>
      <c r="AA753" s="7" t="s">
        <v>92</v>
      </c>
      <c r="AB753" s="7"/>
      <c r="AC753" s="9">
        <v>4</v>
      </c>
      <c r="AD753" s="10">
        <v>188410</v>
      </c>
      <c r="AE753" s="9" t="s">
        <v>92</v>
      </c>
      <c r="AF753" s="9"/>
      <c r="AG753" s="11">
        <v>2</v>
      </c>
      <c r="AH753" s="11" t="s">
        <v>93</v>
      </c>
      <c r="AI753" s="11" t="s">
        <v>3238</v>
      </c>
      <c r="AJ753" s="11"/>
      <c r="AK753" s="11"/>
      <c r="AL753" s="12">
        <v>2</v>
      </c>
      <c r="AM753" s="12" t="s">
        <v>93</v>
      </c>
      <c r="AN753" s="12" t="s">
        <v>698</v>
      </c>
      <c r="AO753" s="12"/>
      <c r="AP753" s="12"/>
      <c r="AQ753" s="4">
        <v>2</v>
      </c>
      <c r="AR753" s="4" t="s">
        <v>83</v>
      </c>
      <c r="AS753" s="4" t="s">
        <v>3239</v>
      </c>
      <c r="AT753" s="13"/>
      <c r="AU753" s="13"/>
      <c r="AV753" s="13"/>
      <c r="AW753" s="13"/>
      <c r="AX753" s="4"/>
      <c r="AY753" s="13"/>
      <c r="AZ753" s="13"/>
      <c r="BA753" s="13"/>
      <c r="BB753" s="13"/>
      <c r="BC753" s="4"/>
      <c r="BD753" s="4"/>
      <c r="BE753" s="4"/>
      <c r="BF753" s="13"/>
      <c r="BG753" s="4"/>
      <c r="BH753" s="13"/>
      <c r="BI753" s="13"/>
      <c r="BJ753" s="4"/>
      <c r="BK753" s="14">
        <v>12</v>
      </c>
      <c r="BL753" s="14">
        <v>12</v>
      </c>
      <c r="BM753" s="14">
        <v>12</v>
      </c>
      <c r="BP753" s="15"/>
      <c r="BQ753" s="15"/>
      <c r="BR753" s="2" t="s">
        <v>115</v>
      </c>
      <c r="BS753" s="2" t="s">
        <v>115</v>
      </c>
      <c r="BT753" s="7" t="s">
        <v>109</v>
      </c>
      <c r="BU753" s="7"/>
      <c r="BV753" s="9" t="s">
        <v>109</v>
      </c>
      <c r="BW753" s="9"/>
    </row>
    <row r="754" spans="1:75" ht="14.25" customHeight="1" x14ac:dyDescent="0.25">
      <c r="A754" s="1">
        <v>1404</v>
      </c>
      <c r="B754" s="1" t="s">
        <v>3240</v>
      </c>
      <c r="C754" s="1" t="s">
        <v>3241</v>
      </c>
      <c r="D754" s="1" t="s">
        <v>77</v>
      </c>
      <c r="E754" s="1" t="s">
        <v>2396</v>
      </c>
      <c r="F754" s="1" t="s">
        <v>3194</v>
      </c>
      <c r="G754" s="1" t="s">
        <v>118</v>
      </c>
      <c r="H754" s="2">
        <v>0</v>
      </c>
      <c r="I754" s="2">
        <v>0</v>
      </c>
      <c r="J754" s="2">
        <v>1</v>
      </c>
      <c r="K754" s="2">
        <v>0</v>
      </c>
      <c r="L754" s="3" t="s">
        <v>80</v>
      </c>
      <c r="O754" s="4">
        <v>5</v>
      </c>
      <c r="P754" s="4" t="s">
        <v>112</v>
      </c>
      <c r="Q754" s="4"/>
      <c r="R754" s="5"/>
      <c r="S754" s="6"/>
      <c r="T754" s="17"/>
      <c r="U754" s="6"/>
      <c r="V754" s="4"/>
      <c r="W754" s="4"/>
      <c r="X754" s="4"/>
      <c r="Y754" s="7">
        <v>4</v>
      </c>
      <c r="Z754" s="8">
        <v>86220</v>
      </c>
      <c r="AA754" s="7" t="s">
        <v>92</v>
      </c>
      <c r="AB754" s="7"/>
      <c r="AC754" s="9">
        <v>4</v>
      </c>
      <c r="AD754" s="10">
        <v>86220</v>
      </c>
      <c r="AE754" s="9" t="s">
        <v>92</v>
      </c>
      <c r="AF754" s="9"/>
      <c r="AG754" s="11">
        <v>4</v>
      </c>
      <c r="AH754" s="11" t="s">
        <v>93</v>
      </c>
      <c r="AI754" s="11" t="s">
        <v>393</v>
      </c>
      <c r="AJ754" s="11"/>
      <c r="AK754" s="11"/>
      <c r="AL754" s="12">
        <v>4</v>
      </c>
      <c r="AM754" s="12" t="s">
        <v>93</v>
      </c>
      <c r="AN754" s="12" t="s">
        <v>805</v>
      </c>
      <c r="AO754" s="12"/>
      <c r="AP754" s="12"/>
      <c r="AQ754" s="4">
        <v>4</v>
      </c>
      <c r="AR754" s="4" t="s">
        <v>93</v>
      </c>
      <c r="AS754" s="4"/>
      <c r="AT754" s="13"/>
      <c r="AU754" s="13"/>
      <c r="AV754" s="13"/>
      <c r="AW754" s="13"/>
      <c r="AX754" s="4"/>
      <c r="AY754" s="13"/>
      <c r="AZ754" s="13"/>
      <c r="BA754" s="13"/>
      <c r="BB754" s="13"/>
      <c r="BC754" s="4"/>
      <c r="BD754" s="4"/>
      <c r="BE754" s="4"/>
      <c r="BF754" s="13"/>
      <c r="BG754" s="4"/>
      <c r="BH754" s="13"/>
      <c r="BI754" s="13"/>
      <c r="BJ754" s="4"/>
      <c r="BK754" s="14">
        <v>17</v>
      </c>
      <c r="BL754" s="14">
        <v>17</v>
      </c>
      <c r="BM754" s="14">
        <v>17</v>
      </c>
      <c r="BN754" s="3" t="s">
        <v>312</v>
      </c>
      <c r="BP754" s="15"/>
      <c r="BQ754" s="15"/>
      <c r="BR754" s="2" t="s">
        <v>108</v>
      </c>
      <c r="BS754" s="2" t="s">
        <v>108</v>
      </c>
      <c r="BT754" s="7" t="s">
        <v>109</v>
      </c>
      <c r="BU754" s="7"/>
      <c r="BV754" s="9" t="s">
        <v>109</v>
      </c>
      <c r="BW754" s="9"/>
    </row>
    <row r="755" spans="1:75" ht="14.25" customHeight="1" x14ac:dyDescent="0.25">
      <c r="A755" s="1">
        <v>1405</v>
      </c>
      <c r="B755" s="1" t="s">
        <v>3242</v>
      </c>
      <c r="C755" s="1" t="s">
        <v>3243</v>
      </c>
      <c r="D755" s="1" t="s">
        <v>77</v>
      </c>
      <c r="E755" s="1" t="s">
        <v>2396</v>
      </c>
      <c r="F755" s="1" t="s">
        <v>3194</v>
      </c>
      <c r="G755" s="1" t="s">
        <v>118</v>
      </c>
      <c r="H755" s="2">
        <v>0</v>
      </c>
      <c r="I755" s="2">
        <v>1</v>
      </c>
      <c r="J755" s="2">
        <v>1</v>
      </c>
      <c r="K755" s="2">
        <v>0</v>
      </c>
      <c r="L755" s="3" t="s">
        <v>80</v>
      </c>
      <c r="O755" s="4">
        <v>3</v>
      </c>
      <c r="P755" s="4" t="s">
        <v>424</v>
      </c>
      <c r="Q755" s="4"/>
      <c r="R755" s="16">
        <v>770000</v>
      </c>
      <c r="S755" s="6">
        <v>770000</v>
      </c>
      <c r="T755" s="16">
        <v>760000</v>
      </c>
      <c r="U755" s="6">
        <v>760000</v>
      </c>
      <c r="V755" s="4">
        <v>2010.5</v>
      </c>
      <c r="W755" s="4" t="s">
        <v>425</v>
      </c>
      <c r="X755" s="4"/>
      <c r="Y755" s="7">
        <v>2</v>
      </c>
      <c r="Z755" s="8">
        <v>1335717</v>
      </c>
      <c r="AA755" s="7" t="s">
        <v>92</v>
      </c>
      <c r="AB755" s="7"/>
      <c r="AC755" s="9">
        <v>2</v>
      </c>
      <c r="AD755" s="10">
        <v>1335717</v>
      </c>
      <c r="AE755" s="9" t="s">
        <v>92</v>
      </c>
      <c r="AF755" s="9"/>
      <c r="AG755" s="11">
        <v>4</v>
      </c>
      <c r="AH755" s="11" t="s">
        <v>131</v>
      </c>
      <c r="AI755" s="11" t="s">
        <v>3244</v>
      </c>
      <c r="AJ755" s="11">
        <v>3</v>
      </c>
      <c r="AK755" s="11" t="s">
        <v>143</v>
      </c>
      <c r="AL755" s="12">
        <v>3</v>
      </c>
      <c r="AM755" s="12" t="s">
        <v>131</v>
      </c>
      <c r="AN755" s="12"/>
      <c r="AO755" s="12">
        <v>3</v>
      </c>
      <c r="AP755" s="12" t="s">
        <v>143</v>
      </c>
      <c r="AQ755" s="4">
        <v>5</v>
      </c>
      <c r="AR755" s="4" t="s">
        <v>133</v>
      </c>
      <c r="AS755" s="4"/>
      <c r="AT755" s="13">
        <v>-71.386207580566406</v>
      </c>
      <c r="AU755" s="13">
        <v>-2.4273262023925799</v>
      </c>
      <c r="AV755" s="13">
        <v>-3.2599999904632599</v>
      </c>
      <c r="AW755" s="13">
        <v>-1.66370296478271</v>
      </c>
      <c r="AX755" s="4">
        <v>1</v>
      </c>
      <c r="AY755" s="13">
        <v>-15.7070770263672</v>
      </c>
      <c r="AZ755" s="13">
        <v>-1.21507155895233</v>
      </c>
      <c r="BA755" s="13">
        <v>-3.4800000190734899</v>
      </c>
      <c r="BB755" s="13">
        <v>1.1487959623336801</v>
      </c>
      <c r="BC755" s="4"/>
      <c r="BD755" s="4">
        <v>14</v>
      </c>
      <c r="BE755" s="4" t="s">
        <v>134</v>
      </c>
      <c r="BF755" s="13">
        <v>1.59629702568054</v>
      </c>
      <c r="BG755" s="4">
        <v>300</v>
      </c>
      <c r="BH755" s="13">
        <v>9.1149997711181605</v>
      </c>
      <c r="BI755" s="13">
        <v>2734.5</v>
      </c>
      <c r="BJ755" s="4"/>
      <c r="BK755" s="14">
        <v>14</v>
      </c>
      <c r="BL755" s="14">
        <v>13</v>
      </c>
      <c r="BM755" s="14">
        <v>14</v>
      </c>
      <c r="BN755" s="3" t="s">
        <v>113</v>
      </c>
      <c r="BO755" s="3" t="s">
        <v>114</v>
      </c>
      <c r="BP755" s="15"/>
      <c r="BQ755" s="15"/>
      <c r="BR755" s="2" t="s">
        <v>555</v>
      </c>
      <c r="BS755" s="2" t="s">
        <v>555</v>
      </c>
      <c r="BT755" s="7" t="s">
        <v>428</v>
      </c>
      <c r="BU755" s="7"/>
      <c r="BV755" s="9" t="s">
        <v>428</v>
      </c>
      <c r="BW755" s="9"/>
    </row>
    <row r="756" spans="1:75" ht="14.25" customHeight="1" x14ac:dyDescent="0.25">
      <c r="A756" s="1">
        <v>1406</v>
      </c>
      <c r="B756" s="1" t="s">
        <v>3245</v>
      </c>
      <c r="C756" s="1" t="s">
        <v>3246</v>
      </c>
      <c r="D756" s="1" t="s">
        <v>77</v>
      </c>
      <c r="E756" s="1" t="s">
        <v>2396</v>
      </c>
      <c r="F756" s="1" t="s">
        <v>3194</v>
      </c>
      <c r="G756" s="1"/>
      <c r="H756" s="2">
        <v>1</v>
      </c>
      <c r="I756" s="2">
        <v>1</v>
      </c>
      <c r="J756" s="2">
        <v>1</v>
      </c>
      <c r="K756" s="2">
        <v>1</v>
      </c>
      <c r="L756" s="3" t="s">
        <v>80</v>
      </c>
      <c r="O756" s="4">
        <v>3</v>
      </c>
      <c r="P756" s="4" t="s">
        <v>424</v>
      </c>
      <c r="Q756" s="4"/>
      <c r="R756" s="16">
        <v>3000000</v>
      </c>
      <c r="S756" s="6">
        <v>3000000</v>
      </c>
      <c r="T756" s="16">
        <v>2700000</v>
      </c>
      <c r="U756" s="6">
        <v>2700000</v>
      </c>
      <c r="V756" s="4">
        <v>2010.5</v>
      </c>
      <c r="W756" s="4" t="s">
        <v>425</v>
      </c>
      <c r="X756" s="4"/>
      <c r="Y756" s="7">
        <v>2</v>
      </c>
      <c r="Z756" s="8">
        <v>3101062</v>
      </c>
      <c r="AA756" s="7" t="s">
        <v>92</v>
      </c>
      <c r="AB756" s="7"/>
      <c r="AC756" s="9">
        <v>2</v>
      </c>
      <c r="AD756" s="10">
        <v>3101062</v>
      </c>
      <c r="AE756" s="9" t="s">
        <v>92</v>
      </c>
      <c r="AF756" s="9"/>
      <c r="AG756" s="11">
        <v>3</v>
      </c>
      <c r="AH756" s="11" t="s">
        <v>3247</v>
      </c>
      <c r="AI756" s="11"/>
      <c r="AJ756" s="11">
        <v>3</v>
      </c>
      <c r="AK756" s="11" t="s">
        <v>143</v>
      </c>
      <c r="AL756" s="12">
        <v>3</v>
      </c>
      <c r="AM756" s="12" t="s">
        <v>3247</v>
      </c>
      <c r="AN756" s="12"/>
      <c r="AO756" s="12">
        <v>3</v>
      </c>
      <c r="AP756" s="12" t="s">
        <v>132</v>
      </c>
      <c r="AQ756" s="4">
        <v>3</v>
      </c>
      <c r="AR756" s="4" t="s">
        <v>133</v>
      </c>
      <c r="AS756" s="4"/>
      <c r="AT756" s="13">
        <v>-14.3372812271118</v>
      </c>
      <c r="AU756" s="13">
        <v>-0.30320030450820901</v>
      </c>
      <c r="AV756" s="13">
        <v>-0.54050099849700906</v>
      </c>
      <c r="AW756" s="13">
        <v>0.112999998033047</v>
      </c>
      <c r="AX756" s="4"/>
      <c r="AY756" s="13">
        <v>-8.2643461227416992</v>
      </c>
      <c r="AZ756" s="13">
        <v>-0.66135275363922097</v>
      </c>
      <c r="BA756" s="13">
        <v>-1.45000004768372</v>
      </c>
      <c r="BB756" s="13">
        <v>-9.4998002052307101E-2</v>
      </c>
      <c r="BC756" s="4">
        <v>1</v>
      </c>
      <c r="BD756" s="4">
        <v>13</v>
      </c>
      <c r="BE756" s="4" t="s">
        <v>134</v>
      </c>
      <c r="BF756" s="13">
        <v>0.65350097417831399</v>
      </c>
      <c r="BG756" s="4">
        <v>699</v>
      </c>
      <c r="BH756" s="13">
        <v>3</v>
      </c>
      <c r="BI756" s="13">
        <v>2095.52001953125</v>
      </c>
      <c r="BJ756" s="4"/>
      <c r="BK756" s="14">
        <v>11</v>
      </c>
      <c r="BL756" s="14">
        <v>11</v>
      </c>
      <c r="BM756" s="14">
        <v>11</v>
      </c>
      <c r="BP756" s="15" t="s">
        <v>135</v>
      </c>
      <c r="BQ756" s="15"/>
      <c r="BR756" s="2" t="s">
        <v>256</v>
      </c>
      <c r="BS756" s="2" t="s">
        <v>256</v>
      </c>
      <c r="BT756" s="7" t="s">
        <v>428</v>
      </c>
      <c r="BU756" s="7" t="s">
        <v>437</v>
      </c>
      <c r="BV756" s="9" t="s">
        <v>428</v>
      </c>
      <c r="BW756" s="9" t="s">
        <v>437</v>
      </c>
    </row>
    <row r="757" spans="1:75" ht="14.25" customHeight="1" x14ac:dyDescent="0.25">
      <c r="A757" s="1">
        <v>1407</v>
      </c>
      <c r="B757" s="1" t="s">
        <v>3248</v>
      </c>
      <c r="C757" s="1" t="s">
        <v>3249</v>
      </c>
      <c r="D757" s="1" t="s">
        <v>77</v>
      </c>
      <c r="E757" s="1" t="s">
        <v>2396</v>
      </c>
      <c r="F757" s="1" t="s">
        <v>3194</v>
      </c>
      <c r="G757" s="1"/>
      <c r="H757" s="2">
        <v>1</v>
      </c>
      <c r="I757" s="2">
        <v>1</v>
      </c>
      <c r="J757" s="2">
        <v>0</v>
      </c>
      <c r="K757" s="2">
        <v>0</v>
      </c>
      <c r="L757" s="3" t="s">
        <v>127</v>
      </c>
      <c r="O757" s="4">
        <v>2</v>
      </c>
      <c r="P757" s="4" t="s">
        <v>425</v>
      </c>
      <c r="Q757" s="4"/>
      <c r="R757" s="16">
        <v>17000000</v>
      </c>
      <c r="S757" s="6">
        <v>17000000</v>
      </c>
      <c r="T757" s="16">
        <v>17000000</v>
      </c>
      <c r="U757" s="6">
        <v>17000000</v>
      </c>
      <c r="V757" s="4">
        <v>2010.5</v>
      </c>
      <c r="W757" s="4" t="s">
        <v>425</v>
      </c>
      <c r="X757" s="4"/>
      <c r="Y757" s="7">
        <v>1</v>
      </c>
      <c r="Z757" s="8">
        <v>6645297</v>
      </c>
      <c r="AA757" s="7" t="s">
        <v>92</v>
      </c>
      <c r="AB757" s="7"/>
      <c r="AC757" s="9">
        <v>1</v>
      </c>
      <c r="AD757" s="10">
        <v>6110870</v>
      </c>
      <c r="AE757" s="9" t="s">
        <v>582</v>
      </c>
      <c r="AF757" s="9" t="s">
        <v>3250</v>
      </c>
      <c r="AG757" s="11">
        <v>2</v>
      </c>
      <c r="AH757" s="11" t="s">
        <v>518</v>
      </c>
      <c r="AI757" s="11" t="s">
        <v>3251</v>
      </c>
      <c r="AJ757" s="11">
        <v>2</v>
      </c>
      <c r="AK757" s="11" t="s">
        <v>143</v>
      </c>
      <c r="AL757" s="12">
        <v>2</v>
      </c>
      <c r="AM757" s="12" t="s">
        <v>131</v>
      </c>
      <c r="AN757" s="12" t="s">
        <v>3252</v>
      </c>
      <c r="AO757" s="12">
        <v>2</v>
      </c>
      <c r="AP757" s="12" t="s">
        <v>132</v>
      </c>
      <c r="AQ757" s="4">
        <v>3</v>
      </c>
      <c r="AR757" s="4" t="s">
        <v>133</v>
      </c>
      <c r="AS757" s="4"/>
      <c r="AT757" s="13">
        <v>-23.451257705688501</v>
      </c>
      <c r="AU757" s="13">
        <v>-0.522114157676697</v>
      </c>
      <c r="AV757" s="13">
        <v>-0.61640101671218905</v>
      </c>
      <c r="AW757" s="13">
        <v>-0.404000014066696</v>
      </c>
      <c r="AX757" s="4">
        <v>1</v>
      </c>
      <c r="AY757" s="13">
        <v>-1.06451952457428</v>
      </c>
      <c r="AZ757" s="13">
        <v>-7.1351252496242495E-2</v>
      </c>
      <c r="BA757" s="13">
        <v>-0.25299999117851302</v>
      </c>
      <c r="BB757" s="13">
        <v>0.12899999320507</v>
      </c>
      <c r="BC757" s="4"/>
      <c r="BD757" s="4">
        <v>15</v>
      </c>
      <c r="BE757" s="4" t="s">
        <v>134</v>
      </c>
      <c r="BF757" s="13">
        <v>0.212401002645493</v>
      </c>
      <c r="BG757" s="4">
        <v>3249</v>
      </c>
      <c r="BH757" s="13">
        <v>7.1799998283386204</v>
      </c>
      <c r="BI757" s="13">
        <v>23327.220703125</v>
      </c>
      <c r="BJ757" s="4"/>
      <c r="BK757" s="14">
        <v>8</v>
      </c>
      <c r="BL757" s="14">
        <v>8</v>
      </c>
      <c r="BM757" s="14">
        <v>8</v>
      </c>
      <c r="BP757" s="15" t="s">
        <v>135</v>
      </c>
      <c r="BQ757" s="15"/>
      <c r="BR757" s="2" t="s">
        <v>239</v>
      </c>
      <c r="BS757" s="2" t="s">
        <v>239</v>
      </c>
      <c r="BT757" s="7" t="s">
        <v>241</v>
      </c>
      <c r="BU757" s="7"/>
      <c r="BV757" s="9" t="s">
        <v>241</v>
      </c>
      <c r="BW757" s="9"/>
    </row>
    <row r="758" spans="1:75" ht="14.25" customHeight="1" x14ac:dyDescent="0.25">
      <c r="A758" s="1">
        <v>1408</v>
      </c>
      <c r="B758" s="1" t="s">
        <v>3253</v>
      </c>
      <c r="C758" s="1" t="s">
        <v>3254</v>
      </c>
      <c r="D758" s="1" t="s">
        <v>77</v>
      </c>
      <c r="E758" s="1" t="s">
        <v>2396</v>
      </c>
      <c r="F758" s="1" t="s">
        <v>3194</v>
      </c>
      <c r="G758" s="1" t="s">
        <v>118</v>
      </c>
      <c r="H758" s="2">
        <v>0</v>
      </c>
      <c r="I758" s="2">
        <v>1</v>
      </c>
      <c r="J758" s="2">
        <v>0</v>
      </c>
      <c r="K758" s="2">
        <v>0</v>
      </c>
      <c r="L758" s="3" t="s">
        <v>80</v>
      </c>
      <c r="O758" s="4">
        <v>5</v>
      </c>
      <c r="P758" s="4" t="s">
        <v>3255</v>
      </c>
      <c r="Q758" s="4" t="s">
        <v>3256</v>
      </c>
      <c r="R758" s="16">
        <v>7500</v>
      </c>
      <c r="S758" s="6">
        <v>7500</v>
      </c>
      <c r="T758" s="16">
        <v>7500</v>
      </c>
      <c r="U758" s="6">
        <v>7500</v>
      </c>
      <c r="V758" s="4"/>
      <c r="W758" s="4" t="s">
        <v>3255</v>
      </c>
      <c r="X758" s="4"/>
      <c r="Y758" s="7">
        <v>5</v>
      </c>
      <c r="Z758" s="8">
        <v>5643</v>
      </c>
      <c r="AA758" s="7" t="s">
        <v>92</v>
      </c>
      <c r="AB758" s="7"/>
      <c r="AC758" s="9">
        <v>5</v>
      </c>
      <c r="AD758" s="10">
        <v>5643</v>
      </c>
      <c r="AE758" s="9" t="s">
        <v>92</v>
      </c>
      <c r="AF758" s="9"/>
      <c r="AG758" s="11">
        <v>5</v>
      </c>
      <c r="AH758" s="11" t="s">
        <v>3257</v>
      </c>
      <c r="AI758" s="11" t="s">
        <v>3258</v>
      </c>
      <c r="AJ758" s="11">
        <v>2</v>
      </c>
      <c r="AK758" s="11" t="s">
        <v>132</v>
      </c>
      <c r="AL758" s="12">
        <v>5</v>
      </c>
      <c r="AM758" s="12" t="s">
        <v>3257</v>
      </c>
      <c r="AN758" s="12" t="s">
        <v>3258</v>
      </c>
      <c r="AO758" s="12">
        <v>5</v>
      </c>
      <c r="AP758" s="12" t="s">
        <v>143</v>
      </c>
      <c r="AQ758" s="4">
        <v>5</v>
      </c>
      <c r="AR758" s="4" t="s">
        <v>3259</v>
      </c>
      <c r="AS758" s="4" t="s">
        <v>3260</v>
      </c>
      <c r="AT758" s="13"/>
      <c r="AU758" s="13"/>
      <c r="AV758" s="13"/>
      <c r="AW758" s="13"/>
      <c r="AX758" s="4"/>
      <c r="AY758" s="13"/>
      <c r="AZ758" s="13"/>
      <c r="BA758" s="13"/>
      <c r="BB758" s="13"/>
      <c r="BC758" s="4"/>
      <c r="BD758" s="4"/>
      <c r="BE758" s="4"/>
      <c r="BF758" s="13"/>
      <c r="BG758" s="4"/>
      <c r="BH758" s="13"/>
      <c r="BI758" s="13"/>
      <c r="BJ758" s="4"/>
      <c r="BK758" s="14">
        <v>20</v>
      </c>
      <c r="BL758" s="14">
        <v>20</v>
      </c>
      <c r="BM758" s="14">
        <v>20</v>
      </c>
      <c r="BN758" s="3" t="s">
        <v>312</v>
      </c>
      <c r="BO758" s="3" t="s">
        <v>114</v>
      </c>
      <c r="BP758" s="15" t="s">
        <v>135</v>
      </c>
      <c r="BQ758" s="15"/>
      <c r="BR758" s="2" t="s">
        <v>239</v>
      </c>
      <c r="BS758" s="2" t="s">
        <v>239</v>
      </c>
      <c r="BT758" s="7" t="s">
        <v>241</v>
      </c>
      <c r="BU758" s="7"/>
      <c r="BV758" s="9" t="s">
        <v>241</v>
      </c>
      <c r="BW758" s="9"/>
    </row>
    <row r="759" spans="1:75" ht="14.25" customHeight="1" x14ac:dyDescent="0.25">
      <c r="A759" s="1">
        <v>1409</v>
      </c>
      <c r="B759" s="1" t="s">
        <v>3261</v>
      </c>
      <c r="C759" s="1" t="s">
        <v>3262</v>
      </c>
      <c r="D759" s="1" t="s">
        <v>77</v>
      </c>
      <c r="E759" s="1" t="s">
        <v>2396</v>
      </c>
      <c r="F759" s="1" t="s">
        <v>3194</v>
      </c>
      <c r="G759" s="1" t="s">
        <v>118</v>
      </c>
      <c r="H759" s="2">
        <v>0</v>
      </c>
      <c r="I759" s="2">
        <v>1</v>
      </c>
      <c r="J759" s="2">
        <v>0</v>
      </c>
      <c r="K759" s="2">
        <v>0</v>
      </c>
      <c r="L759" s="3" t="s">
        <v>80</v>
      </c>
      <c r="O759" s="4">
        <v>5</v>
      </c>
      <c r="P759" s="4" t="s">
        <v>3263</v>
      </c>
      <c r="Q759" s="4" t="s">
        <v>3264</v>
      </c>
      <c r="R759" s="16">
        <v>1700</v>
      </c>
      <c r="S759" s="6">
        <v>1700</v>
      </c>
      <c r="T759" s="16">
        <v>1700</v>
      </c>
      <c r="U759" s="6">
        <v>1700</v>
      </c>
      <c r="V759" s="4"/>
      <c r="W759" s="4" t="s">
        <v>543</v>
      </c>
      <c r="X759" s="4"/>
      <c r="Y759" s="7">
        <v>5</v>
      </c>
      <c r="Z759" s="8">
        <v>251</v>
      </c>
      <c r="AA759" s="7" t="s">
        <v>92</v>
      </c>
      <c r="AB759" s="7"/>
      <c r="AC759" s="9">
        <v>5</v>
      </c>
      <c r="AD759" s="10">
        <v>251</v>
      </c>
      <c r="AE759" s="9" t="s">
        <v>92</v>
      </c>
      <c r="AF759" s="9"/>
      <c r="AG759" s="11">
        <v>3</v>
      </c>
      <c r="AH759" s="11" t="s">
        <v>2868</v>
      </c>
      <c r="AI759" s="11" t="s">
        <v>3265</v>
      </c>
      <c r="AJ759" s="11"/>
      <c r="AK759" s="11"/>
      <c r="AL759" s="12">
        <v>3</v>
      </c>
      <c r="AM759" s="12" t="s">
        <v>544</v>
      </c>
      <c r="AN759" s="12" t="s">
        <v>3266</v>
      </c>
      <c r="AO759" s="12"/>
      <c r="AP759" s="12"/>
      <c r="AQ759" s="4">
        <v>3</v>
      </c>
      <c r="AR759" s="4" t="s">
        <v>3267</v>
      </c>
      <c r="AS759" s="4" t="s">
        <v>548</v>
      </c>
      <c r="AT759" s="13"/>
      <c r="AU759" s="13"/>
      <c r="AV759" s="13"/>
      <c r="AW759" s="13"/>
      <c r="AX759" s="4"/>
      <c r="AY759" s="13"/>
      <c r="AZ759" s="13"/>
      <c r="BA759" s="13"/>
      <c r="BB759" s="13"/>
      <c r="BC759" s="4"/>
      <c r="BD759" s="4"/>
      <c r="BE759" s="4"/>
      <c r="BF759" s="13"/>
      <c r="BG759" s="4"/>
      <c r="BH759" s="13"/>
      <c r="BI759" s="13"/>
      <c r="BJ759" s="4"/>
      <c r="BK759" s="14">
        <v>16</v>
      </c>
      <c r="BL759" s="14">
        <v>16</v>
      </c>
      <c r="BM759" s="14">
        <v>16</v>
      </c>
      <c r="BN759" s="3" t="s">
        <v>86</v>
      </c>
      <c r="BP759" s="15"/>
      <c r="BQ759" s="15"/>
      <c r="BR759" s="2" t="s">
        <v>162</v>
      </c>
      <c r="BS759" s="2" t="s">
        <v>162</v>
      </c>
      <c r="BT759" s="7" t="s">
        <v>760</v>
      </c>
      <c r="BU759" s="7"/>
      <c r="BV759" s="9" t="s">
        <v>760</v>
      </c>
      <c r="BW759" s="9"/>
    </row>
    <row r="760" spans="1:75" ht="14.25" customHeight="1" x14ac:dyDescent="0.25">
      <c r="A760" s="1">
        <v>1410</v>
      </c>
      <c r="B760" s="1" t="s">
        <v>3268</v>
      </c>
      <c r="C760" s="1" t="s">
        <v>3269</v>
      </c>
      <c r="D760" s="1" t="s">
        <v>77</v>
      </c>
      <c r="E760" s="1" t="s">
        <v>2396</v>
      </c>
      <c r="F760" s="1" t="s">
        <v>3194</v>
      </c>
      <c r="G760" s="1" t="s">
        <v>3270</v>
      </c>
      <c r="H760" s="2">
        <v>0</v>
      </c>
      <c r="I760" s="2">
        <v>1</v>
      </c>
      <c r="J760" s="2">
        <v>1</v>
      </c>
      <c r="K760" s="2">
        <v>0</v>
      </c>
      <c r="L760" s="3" t="s">
        <v>80</v>
      </c>
      <c r="O760" s="4">
        <v>3</v>
      </c>
      <c r="P760" s="4" t="s">
        <v>424</v>
      </c>
      <c r="Q760" s="4"/>
      <c r="R760" s="16">
        <v>1600000</v>
      </c>
      <c r="S760" s="6">
        <v>1600000</v>
      </c>
      <c r="T760" s="16">
        <v>1300000</v>
      </c>
      <c r="U760" s="6">
        <v>1300000</v>
      </c>
      <c r="V760" s="4">
        <v>2010.5</v>
      </c>
      <c r="W760" s="4" t="s">
        <v>425</v>
      </c>
      <c r="X760" s="4"/>
      <c r="Y760" s="7">
        <v>3</v>
      </c>
      <c r="Z760" s="8">
        <v>537516</v>
      </c>
      <c r="AA760" s="7" t="s">
        <v>3271</v>
      </c>
      <c r="AB760" s="7"/>
      <c r="AC760" s="9">
        <v>3</v>
      </c>
      <c r="AD760" s="10">
        <v>537516</v>
      </c>
      <c r="AE760" s="9" t="s">
        <v>3271</v>
      </c>
      <c r="AF760" s="9"/>
      <c r="AG760" s="11">
        <v>3</v>
      </c>
      <c r="AH760" s="11" t="s">
        <v>3272</v>
      </c>
      <c r="AI760" s="11" t="s">
        <v>3273</v>
      </c>
      <c r="AJ760" s="11">
        <v>3</v>
      </c>
      <c r="AK760" s="11" t="s">
        <v>143</v>
      </c>
      <c r="AL760" s="12">
        <v>2</v>
      </c>
      <c r="AM760" s="12" t="s">
        <v>131</v>
      </c>
      <c r="AN760" s="12" t="s">
        <v>3274</v>
      </c>
      <c r="AO760" s="12">
        <v>2</v>
      </c>
      <c r="AP760" s="12" t="s">
        <v>143</v>
      </c>
      <c r="AQ760" s="4">
        <v>3</v>
      </c>
      <c r="AR760" s="4" t="s">
        <v>2727</v>
      </c>
      <c r="AS760" s="4"/>
      <c r="AT760" s="13">
        <v>11.199999809265099</v>
      </c>
      <c r="AU760" s="13">
        <v>0.20900000631809201</v>
      </c>
      <c r="AV760" s="13">
        <v>-8.1599998520687201E-4</v>
      </c>
      <c r="AW760" s="13">
        <v>0.45300000905990601</v>
      </c>
      <c r="AX760" s="4"/>
      <c r="AY760" s="13">
        <v>-15.199999809265099</v>
      </c>
      <c r="AZ760" s="13">
        <v>-1.16999995708466</v>
      </c>
      <c r="BA760" s="13">
        <v>-1.78999996185303</v>
      </c>
      <c r="BB760" s="13">
        <v>-0.5</v>
      </c>
      <c r="BC760" s="4">
        <v>1</v>
      </c>
      <c r="BD760" s="4">
        <v>14</v>
      </c>
      <c r="BE760" s="4"/>
      <c r="BF760" s="13">
        <v>0.45381599664688099</v>
      </c>
      <c r="BG760" s="4">
        <v>231</v>
      </c>
      <c r="BH760" s="13">
        <v>1628.55004882813</v>
      </c>
      <c r="BI760" s="13">
        <v>376195.0625</v>
      </c>
      <c r="BJ760" s="4"/>
      <c r="BK760" s="14">
        <v>12</v>
      </c>
      <c r="BL760" s="14">
        <v>11</v>
      </c>
      <c r="BM760" s="14">
        <v>12</v>
      </c>
      <c r="BP760" s="15" t="s">
        <v>135</v>
      </c>
      <c r="BQ760" s="15"/>
      <c r="BR760" s="2" t="s">
        <v>162</v>
      </c>
      <c r="BS760" s="2" t="s">
        <v>162</v>
      </c>
      <c r="BT760" s="7" t="s">
        <v>428</v>
      </c>
      <c r="BU760" s="7" t="s">
        <v>429</v>
      </c>
      <c r="BV760" s="9" t="s">
        <v>428</v>
      </c>
      <c r="BW760" s="9" t="s">
        <v>429</v>
      </c>
    </row>
    <row r="761" spans="1:75" ht="14.25" customHeight="1" x14ac:dyDescent="0.25">
      <c r="A761" s="1">
        <v>1411</v>
      </c>
      <c r="B761" s="1" t="s">
        <v>3275</v>
      </c>
      <c r="C761" s="1" t="s">
        <v>3276</v>
      </c>
      <c r="D761" s="1" t="s">
        <v>77</v>
      </c>
      <c r="E761" s="1" t="s">
        <v>2396</v>
      </c>
      <c r="F761" s="1" t="s">
        <v>3194</v>
      </c>
      <c r="G761" s="1" t="s">
        <v>3277</v>
      </c>
      <c r="H761" s="2">
        <v>0</v>
      </c>
      <c r="I761" s="2">
        <v>1</v>
      </c>
      <c r="J761" s="2">
        <v>1</v>
      </c>
      <c r="K761" s="2">
        <v>0</v>
      </c>
      <c r="L761" s="3" t="s">
        <v>80</v>
      </c>
      <c r="O761" s="4">
        <v>3</v>
      </c>
      <c r="P761" s="4" t="s">
        <v>424</v>
      </c>
      <c r="Q761" s="4"/>
      <c r="R761" s="16">
        <v>880000</v>
      </c>
      <c r="S761" s="6">
        <v>880000</v>
      </c>
      <c r="T761" s="16">
        <v>690000</v>
      </c>
      <c r="U761" s="6">
        <v>690000</v>
      </c>
      <c r="V761" s="4">
        <v>2010.5</v>
      </c>
      <c r="W761" s="4" t="s">
        <v>425</v>
      </c>
      <c r="X761" s="4"/>
      <c r="Y761" s="7">
        <v>2</v>
      </c>
      <c r="Z761" s="8">
        <v>1786601</v>
      </c>
      <c r="AA761" s="7" t="s">
        <v>3271</v>
      </c>
      <c r="AB761" s="7"/>
      <c r="AC761" s="9">
        <v>2</v>
      </c>
      <c r="AD761" s="10">
        <v>1786601</v>
      </c>
      <c r="AE761" s="9" t="s">
        <v>3271</v>
      </c>
      <c r="AF761" s="9"/>
      <c r="AG761" s="11">
        <v>3</v>
      </c>
      <c r="AH761" s="11" t="s">
        <v>3278</v>
      </c>
      <c r="AI761" s="11" t="s">
        <v>875</v>
      </c>
      <c r="AJ761" s="11">
        <v>3</v>
      </c>
      <c r="AK761" s="11" t="s">
        <v>143</v>
      </c>
      <c r="AL761" s="12">
        <v>3</v>
      </c>
      <c r="AM761" s="12" t="s">
        <v>131</v>
      </c>
      <c r="AN761" s="12" t="s">
        <v>3274</v>
      </c>
      <c r="AO761" s="12">
        <v>2</v>
      </c>
      <c r="AP761" s="12" t="s">
        <v>332</v>
      </c>
      <c r="AQ761" s="4">
        <v>3</v>
      </c>
      <c r="AR761" s="4" t="s">
        <v>2727</v>
      </c>
      <c r="AS761" s="4"/>
      <c r="AT761" s="13">
        <v>-17.700000762939499</v>
      </c>
      <c r="AU761" s="13">
        <v>-0.37999999523162797</v>
      </c>
      <c r="AV761" s="13">
        <v>-1.0199999809265099</v>
      </c>
      <c r="AW761" s="13">
        <v>0.279000014066696</v>
      </c>
      <c r="AX761" s="4"/>
      <c r="AY761" s="13">
        <v>-11.800000190734901</v>
      </c>
      <c r="AZ761" s="13">
        <v>-0.78299999237060502</v>
      </c>
      <c r="BA761" s="13">
        <v>-1.8600000143051101</v>
      </c>
      <c r="BB761" s="13">
        <v>0.317999988794327</v>
      </c>
      <c r="BC761" s="4"/>
      <c r="BD761" s="4">
        <v>16</v>
      </c>
      <c r="BE761" s="4"/>
      <c r="BF761" s="13">
        <v>1.29900002479553</v>
      </c>
      <c r="BG761" s="4">
        <v>266</v>
      </c>
      <c r="BH761" s="13">
        <v>327.17999267578102</v>
      </c>
      <c r="BI761" s="13">
        <v>87029.8828125</v>
      </c>
      <c r="BJ761" s="4"/>
      <c r="BK761" s="14">
        <v>11</v>
      </c>
      <c r="BL761" s="14">
        <v>11</v>
      </c>
      <c r="BM761" s="14">
        <v>11</v>
      </c>
      <c r="BP761" s="15"/>
      <c r="BQ761" s="15"/>
      <c r="BR761" s="2" t="s">
        <v>555</v>
      </c>
      <c r="BS761" s="2" t="s">
        <v>555</v>
      </c>
      <c r="BT761" s="7" t="s">
        <v>428</v>
      </c>
      <c r="BU761" s="7" t="s">
        <v>429</v>
      </c>
      <c r="BV761" s="9" t="s">
        <v>428</v>
      </c>
      <c r="BW761" s="9" t="s">
        <v>429</v>
      </c>
    </row>
    <row r="762" spans="1:75" ht="14.25" customHeight="1" x14ac:dyDescent="0.25">
      <c r="A762" s="1">
        <v>1412</v>
      </c>
      <c r="B762" s="1" t="s">
        <v>3279</v>
      </c>
      <c r="C762" s="1" t="s">
        <v>3280</v>
      </c>
      <c r="D762" s="1" t="s">
        <v>77</v>
      </c>
      <c r="E762" s="1" t="s">
        <v>2396</v>
      </c>
      <c r="F762" s="1" t="s">
        <v>3194</v>
      </c>
      <c r="G762" s="1"/>
      <c r="H762" s="2">
        <v>0</v>
      </c>
      <c r="I762" s="2">
        <v>0</v>
      </c>
      <c r="J762" s="2">
        <v>1</v>
      </c>
      <c r="K762" s="2">
        <v>0</v>
      </c>
      <c r="L762" s="3" t="s">
        <v>80</v>
      </c>
      <c r="O762" s="4">
        <v>4</v>
      </c>
      <c r="P762" s="4" t="s">
        <v>2975</v>
      </c>
      <c r="Q762" s="4"/>
      <c r="R762" s="5"/>
      <c r="S762" s="6"/>
      <c r="T762" s="17"/>
      <c r="U762" s="6"/>
      <c r="V762" s="4"/>
      <c r="W762" s="4"/>
      <c r="X762" s="4"/>
      <c r="Y762" s="7">
        <v>4</v>
      </c>
      <c r="Z762" s="8">
        <v>87901</v>
      </c>
      <c r="AA762" s="7" t="s">
        <v>283</v>
      </c>
      <c r="AB762" s="7"/>
      <c r="AC762" s="9">
        <v>4</v>
      </c>
      <c r="AD762" s="10">
        <v>87901</v>
      </c>
      <c r="AE762" s="9" t="s">
        <v>283</v>
      </c>
      <c r="AF762" s="9"/>
      <c r="AG762" s="11">
        <v>3</v>
      </c>
      <c r="AH762" s="11" t="s">
        <v>441</v>
      </c>
      <c r="AI762" s="11"/>
      <c r="AJ762" s="11"/>
      <c r="AK762" s="11"/>
      <c r="AL762" s="12">
        <v>3</v>
      </c>
      <c r="AM762" s="12" t="s">
        <v>441</v>
      </c>
      <c r="AN762" s="12"/>
      <c r="AO762" s="12"/>
      <c r="AP762" s="12"/>
      <c r="AQ762" s="4">
        <v>3</v>
      </c>
      <c r="AR762" s="4" t="s">
        <v>93</v>
      </c>
      <c r="AS762" s="4"/>
      <c r="AT762" s="13"/>
      <c r="AU762" s="13"/>
      <c r="AV762" s="13"/>
      <c r="AW762" s="13"/>
      <c r="AX762" s="4"/>
      <c r="AY762" s="13"/>
      <c r="AZ762" s="13"/>
      <c r="BA762" s="13"/>
      <c r="BB762" s="13"/>
      <c r="BC762" s="4"/>
      <c r="BD762" s="4"/>
      <c r="BE762" s="4"/>
      <c r="BF762" s="13"/>
      <c r="BG762" s="4"/>
      <c r="BH762" s="13"/>
      <c r="BI762" s="13"/>
      <c r="BJ762" s="4"/>
      <c r="BK762" s="14">
        <v>14</v>
      </c>
      <c r="BL762" s="14">
        <v>14</v>
      </c>
      <c r="BM762" s="14">
        <v>14</v>
      </c>
      <c r="BN762" s="3" t="s">
        <v>86</v>
      </c>
      <c r="BP762" s="15"/>
      <c r="BQ762" s="15"/>
      <c r="BR762" s="2" t="s">
        <v>409</v>
      </c>
      <c r="BS762" s="2" t="s">
        <v>409</v>
      </c>
      <c r="BT762" s="7" t="s">
        <v>438</v>
      </c>
      <c r="BU762" s="7"/>
      <c r="BV762" s="9" t="s">
        <v>438</v>
      </c>
      <c r="BW762" s="9"/>
    </row>
    <row r="763" spans="1:75" ht="14.25" customHeight="1" x14ac:dyDescent="0.25">
      <c r="A763" s="1">
        <v>1413</v>
      </c>
      <c r="B763" s="1" t="s">
        <v>3281</v>
      </c>
      <c r="C763" s="1" t="s">
        <v>3282</v>
      </c>
      <c r="D763" s="1" t="s">
        <v>77</v>
      </c>
      <c r="E763" s="1" t="s">
        <v>2396</v>
      </c>
      <c r="F763" s="1" t="s">
        <v>3194</v>
      </c>
      <c r="G763" s="1"/>
      <c r="H763" s="2">
        <v>0</v>
      </c>
      <c r="I763" s="2">
        <v>1</v>
      </c>
      <c r="J763" s="2">
        <v>1</v>
      </c>
      <c r="K763" s="2">
        <v>0</v>
      </c>
      <c r="L763" s="3" t="s">
        <v>80</v>
      </c>
      <c r="O763" s="4">
        <v>4</v>
      </c>
      <c r="P763" s="4" t="s">
        <v>470</v>
      </c>
      <c r="Q763" s="4"/>
      <c r="R763" s="16">
        <v>430000</v>
      </c>
      <c r="S763" s="6">
        <v>430000</v>
      </c>
      <c r="T763" s="16">
        <v>140000</v>
      </c>
      <c r="U763" s="6">
        <v>140000</v>
      </c>
      <c r="V763" s="4">
        <v>2010.5</v>
      </c>
      <c r="W763" s="4" t="s">
        <v>425</v>
      </c>
      <c r="X763" s="4"/>
      <c r="Y763" s="7">
        <v>3</v>
      </c>
      <c r="Z763" s="8">
        <v>484152</v>
      </c>
      <c r="AA763" s="7" t="s">
        <v>283</v>
      </c>
      <c r="AB763" s="7"/>
      <c r="AC763" s="9">
        <v>3</v>
      </c>
      <c r="AD763" s="10">
        <v>484152</v>
      </c>
      <c r="AE763" s="9" t="s">
        <v>283</v>
      </c>
      <c r="AF763" s="9"/>
      <c r="AG763" s="11">
        <v>3</v>
      </c>
      <c r="AH763" s="11" t="s">
        <v>131</v>
      </c>
      <c r="AI763" s="11" t="s">
        <v>3283</v>
      </c>
      <c r="AJ763" s="11">
        <v>3</v>
      </c>
      <c r="AK763" s="11" t="s">
        <v>132</v>
      </c>
      <c r="AL763" s="12">
        <v>3</v>
      </c>
      <c r="AM763" s="12" t="s">
        <v>131</v>
      </c>
      <c r="AN763" s="12" t="s">
        <v>698</v>
      </c>
      <c r="AO763" s="12">
        <v>3</v>
      </c>
      <c r="AP763" s="12" t="s">
        <v>143</v>
      </c>
      <c r="AQ763" s="4">
        <v>3</v>
      </c>
      <c r="AR763" s="4" t="s">
        <v>93</v>
      </c>
      <c r="AS763" s="4"/>
      <c r="AT763" s="13"/>
      <c r="AU763" s="13"/>
      <c r="AV763" s="13"/>
      <c r="AW763" s="13"/>
      <c r="AX763" s="4"/>
      <c r="AY763" s="13"/>
      <c r="AZ763" s="13"/>
      <c r="BA763" s="13"/>
      <c r="BB763" s="13"/>
      <c r="BC763" s="4"/>
      <c r="BD763" s="4"/>
      <c r="BE763" s="4"/>
      <c r="BF763" s="13"/>
      <c r="BG763" s="4"/>
      <c r="BH763" s="13"/>
      <c r="BI763" s="13"/>
      <c r="BJ763" s="4"/>
      <c r="BK763" s="14">
        <v>13</v>
      </c>
      <c r="BL763" s="14">
        <v>13</v>
      </c>
      <c r="BM763" s="14">
        <v>13</v>
      </c>
      <c r="BP763" s="15"/>
      <c r="BQ763" s="15"/>
      <c r="BR763" s="2" t="s">
        <v>409</v>
      </c>
      <c r="BS763" s="2" t="s">
        <v>409</v>
      </c>
      <c r="BT763" s="7" t="s">
        <v>438</v>
      </c>
      <c r="BU763" s="7" t="s">
        <v>437</v>
      </c>
      <c r="BV763" s="9" t="s">
        <v>438</v>
      </c>
      <c r="BW763" s="9" t="s">
        <v>437</v>
      </c>
    </row>
    <row r="764" spans="1:75" ht="14.25" customHeight="1" x14ac:dyDescent="0.25">
      <c r="A764" s="1">
        <v>1414</v>
      </c>
      <c r="B764" s="1" t="s">
        <v>3284</v>
      </c>
      <c r="C764" s="1" t="s">
        <v>3285</v>
      </c>
      <c r="D764" s="1" t="s">
        <v>77</v>
      </c>
      <c r="E764" s="1" t="s">
        <v>2396</v>
      </c>
      <c r="F764" s="1" t="s">
        <v>3194</v>
      </c>
      <c r="G764" s="1"/>
      <c r="H764" s="2">
        <v>0</v>
      </c>
      <c r="I764" s="2">
        <v>0</v>
      </c>
      <c r="J764" s="2">
        <v>1</v>
      </c>
      <c r="K764" s="2">
        <v>1</v>
      </c>
      <c r="L764" s="3" t="s">
        <v>80</v>
      </c>
      <c r="O764" s="4">
        <v>4</v>
      </c>
      <c r="P764" s="4" t="s">
        <v>112</v>
      </c>
      <c r="Q764" s="4"/>
      <c r="R764" s="5"/>
      <c r="S764" s="6"/>
      <c r="T764" s="17"/>
      <c r="U764" s="6"/>
      <c r="V764" s="4"/>
      <c r="W764" s="4"/>
      <c r="X764" s="4"/>
      <c r="Y764" s="7">
        <v>4</v>
      </c>
      <c r="Z764" s="8">
        <v>148491</v>
      </c>
      <c r="AA764" s="7" t="s">
        <v>92</v>
      </c>
      <c r="AB764" s="7"/>
      <c r="AC764" s="9">
        <v>4</v>
      </c>
      <c r="AD764" s="10">
        <v>148491</v>
      </c>
      <c r="AE764" s="9" t="s">
        <v>92</v>
      </c>
      <c r="AF764" s="9"/>
      <c r="AG764" s="11">
        <v>4</v>
      </c>
      <c r="AH764" s="11" t="s">
        <v>93</v>
      </c>
      <c r="AI764" s="11"/>
      <c r="AJ764" s="11"/>
      <c r="AK764" s="11"/>
      <c r="AL764" s="12">
        <v>4</v>
      </c>
      <c r="AM764" s="12" t="s">
        <v>93</v>
      </c>
      <c r="AN764" s="12" t="s">
        <v>1002</v>
      </c>
      <c r="AO764" s="12"/>
      <c r="AP764" s="12"/>
      <c r="AQ764" s="4">
        <v>4</v>
      </c>
      <c r="AR764" s="4" t="s">
        <v>83</v>
      </c>
      <c r="AS764" s="4"/>
      <c r="AT764" s="13"/>
      <c r="AU764" s="13"/>
      <c r="AV764" s="13"/>
      <c r="AW764" s="13"/>
      <c r="AX764" s="4"/>
      <c r="AY764" s="13"/>
      <c r="AZ764" s="13"/>
      <c r="BA764" s="13"/>
      <c r="BB764" s="13"/>
      <c r="BC764" s="4"/>
      <c r="BD764" s="4"/>
      <c r="BE764" s="4"/>
      <c r="BF764" s="13"/>
      <c r="BG764" s="4"/>
      <c r="BH764" s="13"/>
      <c r="BI764" s="13"/>
      <c r="BJ764" s="4"/>
      <c r="BK764" s="14">
        <v>16</v>
      </c>
      <c r="BL764" s="14">
        <v>16</v>
      </c>
      <c r="BM764" s="14">
        <v>16</v>
      </c>
      <c r="BN764" s="3" t="s">
        <v>86</v>
      </c>
      <c r="BP764" s="15"/>
      <c r="BQ764" s="15"/>
      <c r="BR764" s="2" t="s">
        <v>409</v>
      </c>
      <c r="BS764" s="2" t="s">
        <v>409</v>
      </c>
      <c r="BT764" s="7" t="s">
        <v>88</v>
      </c>
      <c r="BU764" s="7" t="s">
        <v>438</v>
      </c>
      <c r="BV764" s="9" t="s">
        <v>88</v>
      </c>
      <c r="BW764" s="9" t="s">
        <v>438</v>
      </c>
    </row>
    <row r="765" spans="1:75" ht="14.25" customHeight="1" x14ac:dyDescent="0.25">
      <c r="A765" s="1">
        <v>1415</v>
      </c>
      <c r="B765" s="1" t="s">
        <v>3286</v>
      </c>
      <c r="C765" s="1" t="s">
        <v>3287</v>
      </c>
      <c r="D765" s="1" t="s">
        <v>77</v>
      </c>
      <c r="E765" s="1" t="s">
        <v>2396</v>
      </c>
      <c r="F765" s="1" t="s">
        <v>3194</v>
      </c>
      <c r="G765" s="1" t="s">
        <v>118</v>
      </c>
      <c r="H765" s="2">
        <v>1</v>
      </c>
      <c r="I765" s="2">
        <v>1</v>
      </c>
      <c r="J765" s="2">
        <v>0</v>
      </c>
      <c r="K765" s="2">
        <v>0</v>
      </c>
      <c r="L765" s="3" t="s">
        <v>80</v>
      </c>
      <c r="O765" s="4">
        <v>4</v>
      </c>
      <c r="P765" s="4" t="s">
        <v>425</v>
      </c>
      <c r="Q765" s="4"/>
      <c r="R765" s="16">
        <v>290000</v>
      </c>
      <c r="S765" s="6">
        <v>290000</v>
      </c>
      <c r="T765" s="16">
        <v>290000</v>
      </c>
      <c r="U765" s="6">
        <v>290000</v>
      </c>
      <c r="V765" s="4">
        <v>2010.5</v>
      </c>
      <c r="W765" s="4" t="s">
        <v>425</v>
      </c>
      <c r="X765" s="4"/>
      <c r="Y765" s="7">
        <v>2</v>
      </c>
      <c r="Z765" s="8">
        <v>2249879</v>
      </c>
      <c r="AA765" s="7" t="s">
        <v>92</v>
      </c>
      <c r="AB765" s="7"/>
      <c r="AC765" s="9">
        <v>2</v>
      </c>
      <c r="AD765" s="10">
        <v>2249879</v>
      </c>
      <c r="AE765" s="9" t="s">
        <v>92</v>
      </c>
      <c r="AF765" s="9"/>
      <c r="AG765" s="11">
        <v>4</v>
      </c>
      <c r="AH765" s="11" t="s">
        <v>454</v>
      </c>
      <c r="AI765" s="11" t="s">
        <v>3288</v>
      </c>
      <c r="AJ765" s="11">
        <v>4</v>
      </c>
      <c r="AK765" s="11" t="s">
        <v>143</v>
      </c>
      <c r="AL765" s="12">
        <v>4</v>
      </c>
      <c r="AM765" s="12" t="s">
        <v>131</v>
      </c>
      <c r="AN765" s="12"/>
      <c r="AO765" s="12">
        <v>5</v>
      </c>
      <c r="AP765" s="12" t="s">
        <v>143</v>
      </c>
      <c r="AQ765" s="4">
        <v>3</v>
      </c>
      <c r="AR765" s="4" t="s">
        <v>133</v>
      </c>
      <c r="AS765" s="4"/>
      <c r="AT765" s="13">
        <v>-9.8304815292358398</v>
      </c>
      <c r="AU765" s="13">
        <v>-0.202733218669891</v>
      </c>
      <c r="AV765" s="13">
        <v>-0.840002000331879</v>
      </c>
      <c r="AW765" s="13">
        <v>0.69900000095367398</v>
      </c>
      <c r="AX765" s="4"/>
      <c r="AY765" s="13">
        <v>-21.185804367065401</v>
      </c>
      <c r="AZ765" s="13">
        <v>-1.8136081695556601</v>
      </c>
      <c r="BA765" s="13">
        <v>-4.4958000183105504</v>
      </c>
      <c r="BB765" s="13">
        <v>-0.13560099899768799</v>
      </c>
      <c r="BC765" s="4">
        <v>1</v>
      </c>
      <c r="BD765" s="4">
        <v>13</v>
      </c>
      <c r="BE765" s="4" t="s">
        <v>134</v>
      </c>
      <c r="BF765" s="13">
        <v>1.53900194168091</v>
      </c>
      <c r="BG765" s="4">
        <v>429</v>
      </c>
      <c r="BH765" s="13">
        <v>0.75249999761581399</v>
      </c>
      <c r="BI765" s="13">
        <v>322.71499633789102</v>
      </c>
      <c r="BJ765" s="4"/>
      <c r="BK765" s="14">
        <v>13</v>
      </c>
      <c r="BL765" s="14">
        <v>13</v>
      </c>
      <c r="BM765" s="14">
        <v>13</v>
      </c>
      <c r="BP765" s="15"/>
      <c r="BQ765" s="15"/>
      <c r="BR765" s="2" t="s">
        <v>555</v>
      </c>
      <c r="BS765" s="2" t="s">
        <v>555</v>
      </c>
      <c r="BT765" s="7" t="s">
        <v>428</v>
      </c>
      <c r="BU765" s="7"/>
      <c r="BV765" s="9" t="s">
        <v>428</v>
      </c>
      <c r="BW765" s="9"/>
    </row>
    <row r="766" spans="1:75" ht="14.25" customHeight="1" x14ac:dyDescent="0.25">
      <c r="A766" s="1">
        <v>1416</v>
      </c>
      <c r="B766" s="1" t="s">
        <v>3289</v>
      </c>
      <c r="C766" s="1" t="s">
        <v>3290</v>
      </c>
      <c r="D766" s="1" t="s">
        <v>77</v>
      </c>
      <c r="E766" s="1" t="s">
        <v>2396</v>
      </c>
      <c r="F766" s="1" t="s">
        <v>3194</v>
      </c>
      <c r="G766" s="1"/>
      <c r="H766" s="2">
        <v>1</v>
      </c>
      <c r="I766" s="2">
        <v>1</v>
      </c>
      <c r="J766" s="2">
        <v>0</v>
      </c>
      <c r="K766" s="2">
        <v>0</v>
      </c>
      <c r="L766" s="3" t="s">
        <v>80</v>
      </c>
      <c r="O766" s="4">
        <v>2</v>
      </c>
      <c r="P766" s="4" t="s">
        <v>425</v>
      </c>
      <c r="Q766" s="4"/>
      <c r="R766" s="16">
        <v>6000000</v>
      </c>
      <c r="S766" s="6">
        <v>6000000</v>
      </c>
      <c r="T766" s="16">
        <v>6000000</v>
      </c>
      <c r="U766" s="6">
        <v>6000000</v>
      </c>
      <c r="V766" s="4">
        <v>2010.5</v>
      </c>
      <c r="W766" s="4" t="s">
        <v>425</v>
      </c>
      <c r="X766" s="4"/>
      <c r="Y766" s="7">
        <v>1</v>
      </c>
      <c r="Z766" s="8">
        <v>5285280</v>
      </c>
      <c r="AA766" s="7" t="s">
        <v>92</v>
      </c>
      <c r="AB766" s="7"/>
      <c r="AC766" s="9">
        <v>1</v>
      </c>
      <c r="AD766" s="10">
        <v>5654197</v>
      </c>
      <c r="AE766" s="9" t="s">
        <v>92</v>
      </c>
      <c r="AF766" s="9"/>
      <c r="AG766" s="11">
        <v>3</v>
      </c>
      <c r="AH766" s="11" t="s">
        <v>131</v>
      </c>
      <c r="AI766" s="11"/>
      <c r="AJ766" s="11">
        <v>4</v>
      </c>
      <c r="AK766" s="11" t="s">
        <v>332</v>
      </c>
      <c r="AL766" s="12">
        <v>3</v>
      </c>
      <c r="AM766" s="12" t="s">
        <v>131</v>
      </c>
      <c r="AN766" s="12"/>
      <c r="AO766" s="12">
        <v>3</v>
      </c>
      <c r="AP766" s="12" t="s">
        <v>143</v>
      </c>
      <c r="AQ766" s="4">
        <v>4</v>
      </c>
      <c r="AR766" s="4" t="s">
        <v>133</v>
      </c>
      <c r="AS766" s="4"/>
      <c r="AT766" s="13">
        <v>-34.4097900390625</v>
      </c>
      <c r="AU766" s="13">
        <v>-0.82216364145278897</v>
      </c>
      <c r="AV766" s="13">
        <v>-1.3200000524520901</v>
      </c>
      <c r="AW766" s="13">
        <v>-0.39169800281524703</v>
      </c>
      <c r="AX766" s="4">
        <v>1</v>
      </c>
      <c r="AY766" s="13">
        <v>-2.3789603710174601</v>
      </c>
      <c r="AZ766" s="13">
        <v>-0.200792595744133</v>
      </c>
      <c r="BA766" s="13">
        <v>-0.78179800510406505</v>
      </c>
      <c r="BB766" s="13">
        <v>0.62300002574920699</v>
      </c>
      <c r="BC766" s="4"/>
      <c r="BD766" s="4">
        <v>12</v>
      </c>
      <c r="BE766" s="4" t="s">
        <v>134</v>
      </c>
      <c r="BF766" s="13">
        <v>0.92830199003219604</v>
      </c>
      <c r="BG766" s="4">
        <v>1227</v>
      </c>
      <c r="BH766" s="13">
        <v>8.3500003814697301</v>
      </c>
      <c r="BI766" s="13">
        <v>10242.599609375</v>
      </c>
      <c r="BJ766" s="4"/>
      <c r="BK766" s="14">
        <v>10</v>
      </c>
      <c r="BL766" s="14">
        <v>10</v>
      </c>
      <c r="BM766" s="14">
        <v>10</v>
      </c>
      <c r="BP766" s="15" t="s">
        <v>135</v>
      </c>
      <c r="BQ766" s="15"/>
      <c r="BR766" s="2" t="s">
        <v>555</v>
      </c>
      <c r="BS766" s="2" t="s">
        <v>555</v>
      </c>
      <c r="BT766" s="7" t="s">
        <v>458</v>
      </c>
      <c r="BU766" s="7"/>
      <c r="BV766" s="9" t="s">
        <v>458</v>
      </c>
      <c r="BW766" s="9"/>
    </row>
    <row r="767" spans="1:75" ht="14.25" customHeight="1" x14ac:dyDescent="0.25">
      <c r="A767" s="1">
        <v>1417</v>
      </c>
      <c r="B767" s="1" t="s">
        <v>3291</v>
      </c>
      <c r="C767" s="1" t="s">
        <v>3292</v>
      </c>
      <c r="D767" s="1" t="s">
        <v>77</v>
      </c>
      <c r="E767" s="1" t="s">
        <v>2396</v>
      </c>
      <c r="F767" s="1" t="s">
        <v>3194</v>
      </c>
      <c r="G767" s="1" t="s">
        <v>118</v>
      </c>
      <c r="H767" s="2">
        <v>0</v>
      </c>
      <c r="I767" s="2">
        <v>1</v>
      </c>
      <c r="J767" s="2">
        <v>0</v>
      </c>
      <c r="K767" s="2">
        <v>0</v>
      </c>
      <c r="L767" s="3" t="s">
        <v>80</v>
      </c>
      <c r="O767" s="4">
        <v>4</v>
      </c>
      <c r="P767" s="4" t="s">
        <v>3293</v>
      </c>
      <c r="Q767" s="4"/>
      <c r="R767" s="16">
        <v>400000</v>
      </c>
      <c r="S767" s="6">
        <v>400000</v>
      </c>
      <c r="T767" s="16">
        <v>400000</v>
      </c>
      <c r="U767" s="6">
        <v>400000</v>
      </c>
      <c r="V767" s="4">
        <v>2008</v>
      </c>
      <c r="W767" s="4" t="s">
        <v>3293</v>
      </c>
      <c r="X767" s="4"/>
      <c r="Y767" s="7">
        <v>4</v>
      </c>
      <c r="Z767" s="8">
        <v>83415</v>
      </c>
      <c r="AA767" s="7" t="s">
        <v>92</v>
      </c>
      <c r="AB767" s="7"/>
      <c r="AC767" s="9">
        <v>4</v>
      </c>
      <c r="AD767" s="10">
        <v>83415</v>
      </c>
      <c r="AE767" s="9" t="s">
        <v>92</v>
      </c>
      <c r="AF767" s="9"/>
      <c r="AG767" s="11">
        <v>5</v>
      </c>
      <c r="AH767" s="11" t="s">
        <v>471</v>
      </c>
      <c r="AI767" s="11" t="s">
        <v>3294</v>
      </c>
      <c r="AJ767" s="11">
        <v>5</v>
      </c>
      <c r="AK767" s="11" t="s">
        <v>132</v>
      </c>
      <c r="AL767" s="12">
        <v>5</v>
      </c>
      <c r="AM767" s="12" t="s">
        <v>471</v>
      </c>
      <c r="AN767" s="12" t="s">
        <v>3295</v>
      </c>
      <c r="AO767" s="12">
        <v>5</v>
      </c>
      <c r="AP767" s="12" t="s">
        <v>132</v>
      </c>
      <c r="AQ767" s="4">
        <v>5</v>
      </c>
      <c r="AR767" s="4" t="s">
        <v>133</v>
      </c>
      <c r="AS767" s="4"/>
      <c r="AT767" s="13">
        <v>-77.3699951171875</v>
      </c>
      <c r="AU767" s="13">
        <v>-2.8716769218444802</v>
      </c>
      <c r="AV767" s="13">
        <v>-3.3599998950958301</v>
      </c>
      <c r="AW767" s="13">
        <v>-2.2599999904632599</v>
      </c>
      <c r="AX767" s="4">
        <v>1</v>
      </c>
      <c r="AY767" s="13">
        <v>-48.679908752441399</v>
      </c>
      <c r="AZ767" s="13">
        <v>-6.4551973342895499</v>
      </c>
      <c r="BA767" s="13">
        <v>-9.3584003448486293</v>
      </c>
      <c r="BB767" s="13">
        <v>-3.4300000667571999</v>
      </c>
      <c r="BC767" s="4">
        <v>1</v>
      </c>
      <c r="BD767" s="4">
        <v>10</v>
      </c>
      <c r="BE767" s="4" t="s">
        <v>134</v>
      </c>
      <c r="BF767" s="13">
        <v>1.1000000238418599</v>
      </c>
      <c r="BG767" s="4">
        <v>47</v>
      </c>
      <c r="BH767" s="13">
        <v>11.6400003433228</v>
      </c>
      <c r="BI767" s="13">
        <v>547.08001708984398</v>
      </c>
      <c r="BJ767" s="4">
        <v>10</v>
      </c>
      <c r="BK767" s="14">
        <v>18</v>
      </c>
      <c r="BL767" s="14">
        <v>18</v>
      </c>
      <c r="BM767" s="14">
        <v>18</v>
      </c>
      <c r="BN767" s="3" t="s">
        <v>312</v>
      </c>
      <c r="BO767" s="3" t="s">
        <v>114</v>
      </c>
      <c r="BP767" s="15"/>
      <c r="BQ767" s="15"/>
      <c r="BR767" s="2" t="s">
        <v>162</v>
      </c>
      <c r="BS767" s="2" t="s">
        <v>162</v>
      </c>
      <c r="BT767" s="7" t="s">
        <v>428</v>
      </c>
      <c r="BU767" s="7"/>
      <c r="BV767" s="9" t="s">
        <v>428</v>
      </c>
      <c r="BW767" s="9"/>
    </row>
    <row r="768" spans="1:75" ht="14.25" customHeight="1" x14ac:dyDescent="0.25">
      <c r="A768" s="1">
        <v>1420</v>
      </c>
      <c r="B768" s="1" t="s">
        <v>3296</v>
      </c>
      <c r="C768" s="1" t="s">
        <v>3297</v>
      </c>
      <c r="D768" s="1" t="s">
        <v>77</v>
      </c>
      <c r="E768" s="1" t="s">
        <v>2396</v>
      </c>
      <c r="F768" s="1" t="s">
        <v>3194</v>
      </c>
      <c r="G768" s="1"/>
      <c r="H768" s="2">
        <v>1</v>
      </c>
      <c r="I768" s="2">
        <v>1</v>
      </c>
      <c r="J768" s="2">
        <v>1</v>
      </c>
      <c r="K768" s="2">
        <v>0</v>
      </c>
      <c r="L768" s="3" t="s">
        <v>127</v>
      </c>
      <c r="O768" s="4">
        <v>2</v>
      </c>
      <c r="P768" s="4" t="s">
        <v>3298</v>
      </c>
      <c r="Q768" s="4" t="s">
        <v>3299</v>
      </c>
      <c r="R768" s="16">
        <v>29000000</v>
      </c>
      <c r="S768" s="6">
        <v>29000000</v>
      </c>
      <c r="T768" s="16">
        <v>29000000</v>
      </c>
      <c r="U768" s="6">
        <v>29000000</v>
      </c>
      <c r="V768" s="4">
        <v>2010.5</v>
      </c>
      <c r="W768" s="4" t="s">
        <v>3300</v>
      </c>
      <c r="X768" s="4" t="s">
        <v>3299</v>
      </c>
      <c r="Y768" s="7">
        <v>1</v>
      </c>
      <c r="Z768" s="8">
        <v>11883215</v>
      </c>
      <c r="AA768" s="7" t="s">
        <v>1283</v>
      </c>
      <c r="AB768" s="7" t="s">
        <v>3301</v>
      </c>
      <c r="AC768" s="9">
        <v>1</v>
      </c>
      <c r="AD768" s="10">
        <v>7393336</v>
      </c>
      <c r="AE768" s="9" t="s">
        <v>1283</v>
      </c>
      <c r="AF768" s="9" t="s">
        <v>3301</v>
      </c>
      <c r="AG768" s="11">
        <v>2</v>
      </c>
      <c r="AH768" s="11" t="s">
        <v>131</v>
      </c>
      <c r="AI768" s="11"/>
      <c r="AJ768" s="11">
        <v>2</v>
      </c>
      <c r="AK768" s="11" t="s">
        <v>132</v>
      </c>
      <c r="AL768" s="12">
        <v>2</v>
      </c>
      <c r="AM768" s="12" t="s">
        <v>131</v>
      </c>
      <c r="AN768" s="12"/>
      <c r="AO768" s="12">
        <v>2</v>
      </c>
      <c r="AP768" s="12" t="s">
        <v>132</v>
      </c>
      <c r="AQ768" s="4">
        <v>3</v>
      </c>
      <c r="AR768" s="4" t="s">
        <v>133</v>
      </c>
      <c r="AS768" s="4"/>
      <c r="AT768" s="13">
        <v>-7.0338249206543004</v>
      </c>
      <c r="AU768" s="13">
        <v>-0.14293694496154799</v>
      </c>
      <c r="AV768" s="13">
        <v>-0.35299998521804798</v>
      </c>
      <c r="AW768" s="13">
        <v>3.7002999335527399E-2</v>
      </c>
      <c r="AX768" s="4"/>
      <c r="AY768" s="13">
        <v>-27.845577239990199</v>
      </c>
      <c r="AZ768" s="13">
        <v>-1.34730195999146</v>
      </c>
      <c r="BA768" s="13">
        <v>-1.46000003814697</v>
      </c>
      <c r="BB768" s="13">
        <v>-1.21000003814697</v>
      </c>
      <c r="BC768" s="4">
        <v>1</v>
      </c>
      <c r="BD768" s="4">
        <v>24</v>
      </c>
      <c r="BE768" s="4" t="s">
        <v>134</v>
      </c>
      <c r="BF768" s="13">
        <v>0.39000299572944602</v>
      </c>
      <c r="BG768" s="4">
        <v>4377</v>
      </c>
      <c r="BH768" s="13">
        <v>20.125</v>
      </c>
      <c r="BI768" s="13">
        <v>88067.171875</v>
      </c>
      <c r="BJ768" s="4"/>
      <c r="BK768" s="14">
        <v>8</v>
      </c>
      <c r="BL768" s="14">
        <v>8</v>
      </c>
      <c r="BM768" s="14">
        <v>8</v>
      </c>
      <c r="BP768" s="15" t="s">
        <v>135</v>
      </c>
      <c r="BQ768" s="15" t="s">
        <v>146</v>
      </c>
      <c r="BR768" s="2" t="s">
        <v>172</v>
      </c>
      <c r="BS768" s="2" t="s">
        <v>172</v>
      </c>
      <c r="BT768" s="7" t="s">
        <v>458</v>
      </c>
      <c r="BU768" s="7" t="s">
        <v>603</v>
      </c>
      <c r="BV768" s="9" t="s">
        <v>458</v>
      </c>
      <c r="BW768" s="9" t="s">
        <v>603</v>
      </c>
    </row>
    <row r="769" spans="1:75" ht="14.25" customHeight="1" x14ac:dyDescent="0.25">
      <c r="A769" s="1">
        <v>1426</v>
      </c>
      <c r="B769" s="1" t="s">
        <v>3302</v>
      </c>
      <c r="C769" s="1" t="s">
        <v>3303</v>
      </c>
      <c r="D769" s="1" t="s">
        <v>77</v>
      </c>
      <c r="E769" s="1" t="s">
        <v>2396</v>
      </c>
      <c r="F769" s="1" t="s">
        <v>3194</v>
      </c>
      <c r="G769" s="1" t="s">
        <v>118</v>
      </c>
      <c r="H769" s="2">
        <v>0</v>
      </c>
      <c r="I769" s="2">
        <v>0</v>
      </c>
      <c r="J769" s="2">
        <v>1</v>
      </c>
      <c r="K769" s="2">
        <v>0</v>
      </c>
      <c r="L769" s="3" t="s">
        <v>80</v>
      </c>
      <c r="O769" s="4">
        <v>4</v>
      </c>
      <c r="P769" s="4" t="s">
        <v>706</v>
      </c>
      <c r="Q769" s="4"/>
      <c r="R769" s="16">
        <v>200000</v>
      </c>
      <c r="S769" s="6">
        <v>200000</v>
      </c>
      <c r="T769" s="17"/>
      <c r="U769" s="6"/>
      <c r="V769" s="4"/>
      <c r="W769" s="4"/>
      <c r="X769" s="4"/>
      <c r="Y769" s="7">
        <v>4</v>
      </c>
      <c r="Z769" s="8">
        <v>113769</v>
      </c>
      <c r="AA769" s="7" t="s">
        <v>92</v>
      </c>
      <c r="AB769" s="7"/>
      <c r="AC769" s="9">
        <v>4</v>
      </c>
      <c r="AD769" s="10">
        <v>113769</v>
      </c>
      <c r="AE769" s="9" t="s">
        <v>92</v>
      </c>
      <c r="AF769" s="9"/>
      <c r="AG769" s="11">
        <v>3</v>
      </c>
      <c r="AH769" s="11" t="s">
        <v>1987</v>
      </c>
      <c r="AI769" s="11" t="s">
        <v>3304</v>
      </c>
      <c r="AJ769" s="11"/>
      <c r="AK769" s="11"/>
      <c r="AL769" s="12">
        <v>3</v>
      </c>
      <c r="AM769" s="12" t="s">
        <v>1987</v>
      </c>
      <c r="AN769" s="12" t="s">
        <v>3305</v>
      </c>
      <c r="AO769" s="12"/>
      <c r="AP769" s="12"/>
      <c r="AQ769" s="4">
        <v>4</v>
      </c>
      <c r="AR769" s="4" t="s">
        <v>441</v>
      </c>
      <c r="AS769" s="4" t="s">
        <v>3306</v>
      </c>
      <c r="AT769" s="13"/>
      <c r="AU769" s="13"/>
      <c r="AV769" s="13"/>
      <c r="AW769" s="13"/>
      <c r="AX769" s="4"/>
      <c r="AY769" s="13"/>
      <c r="AZ769" s="13"/>
      <c r="BA769" s="13"/>
      <c r="BB769" s="13"/>
      <c r="BC769" s="4"/>
      <c r="BD769" s="4"/>
      <c r="BE769" s="4"/>
      <c r="BF769" s="13"/>
      <c r="BG769" s="4"/>
      <c r="BH769" s="13"/>
      <c r="BI769" s="13"/>
      <c r="BJ769" s="4"/>
      <c r="BK769" s="14">
        <v>15</v>
      </c>
      <c r="BL769" s="14">
        <v>15</v>
      </c>
      <c r="BM769" s="14">
        <v>15</v>
      </c>
      <c r="BN769" s="3" t="s">
        <v>86</v>
      </c>
      <c r="BP769" s="15" t="s">
        <v>135</v>
      </c>
      <c r="BQ769" s="15" t="s">
        <v>146</v>
      </c>
      <c r="BR769" s="2" t="s">
        <v>115</v>
      </c>
      <c r="BS769" s="2" t="s">
        <v>115</v>
      </c>
      <c r="BT769" s="7" t="s">
        <v>109</v>
      </c>
      <c r="BU769" s="7"/>
      <c r="BV769" s="9" t="s">
        <v>109</v>
      </c>
      <c r="BW769" s="9"/>
    </row>
    <row r="770" spans="1:75" ht="14.25" customHeight="1" x14ac:dyDescent="0.25">
      <c r="A770" s="1">
        <v>1427</v>
      </c>
      <c r="B770" s="1" t="s">
        <v>3307</v>
      </c>
      <c r="C770" s="1" t="s">
        <v>3308</v>
      </c>
      <c r="D770" s="1" t="s">
        <v>77</v>
      </c>
      <c r="E770" s="1" t="s">
        <v>2396</v>
      </c>
      <c r="F770" s="1" t="s">
        <v>3194</v>
      </c>
      <c r="G770" s="1" t="s">
        <v>118</v>
      </c>
      <c r="H770" s="2">
        <v>0</v>
      </c>
      <c r="I770" s="2">
        <v>0</v>
      </c>
      <c r="J770" s="2">
        <v>1</v>
      </c>
      <c r="K770" s="2">
        <v>0</v>
      </c>
      <c r="L770" s="3" t="s">
        <v>80</v>
      </c>
      <c r="O770" s="4">
        <v>4</v>
      </c>
      <c r="P770" s="4" t="s">
        <v>112</v>
      </c>
      <c r="Q770" s="4"/>
      <c r="R770" s="5"/>
      <c r="S770" s="6"/>
      <c r="T770" s="17"/>
      <c r="U770" s="6"/>
      <c r="V770" s="4"/>
      <c r="W770" s="4"/>
      <c r="X770" s="4"/>
      <c r="Y770" s="7">
        <v>4</v>
      </c>
      <c r="Z770" s="8">
        <v>95287</v>
      </c>
      <c r="AA770" s="7" t="s">
        <v>92</v>
      </c>
      <c r="AB770" s="7"/>
      <c r="AC770" s="9">
        <v>4</v>
      </c>
      <c r="AD770" s="10">
        <v>95287</v>
      </c>
      <c r="AE770" s="9" t="s">
        <v>92</v>
      </c>
      <c r="AF770" s="9"/>
      <c r="AG770" s="11">
        <v>1</v>
      </c>
      <c r="AH770" s="11" t="s">
        <v>93</v>
      </c>
      <c r="AI770" s="11" t="s">
        <v>445</v>
      </c>
      <c r="AJ770" s="11"/>
      <c r="AK770" s="11"/>
      <c r="AL770" s="12">
        <v>1</v>
      </c>
      <c r="AM770" s="12" t="s">
        <v>93</v>
      </c>
      <c r="AN770" s="12" t="s">
        <v>394</v>
      </c>
      <c r="AO770" s="12"/>
      <c r="AP770" s="12"/>
      <c r="AQ770" s="4">
        <v>2</v>
      </c>
      <c r="AR770" s="4" t="s">
        <v>93</v>
      </c>
      <c r="AS770" s="4"/>
      <c r="AT770" s="13"/>
      <c r="AU770" s="13"/>
      <c r="AV770" s="13"/>
      <c r="AW770" s="13"/>
      <c r="AX770" s="4"/>
      <c r="AY770" s="13"/>
      <c r="AZ770" s="13"/>
      <c r="BA770" s="13"/>
      <c r="BB770" s="13"/>
      <c r="BC770" s="4"/>
      <c r="BD770" s="4"/>
      <c r="BE770" s="4"/>
      <c r="BF770" s="13"/>
      <c r="BG770" s="4"/>
      <c r="BH770" s="13"/>
      <c r="BI770" s="13"/>
      <c r="BJ770" s="4"/>
      <c r="BK770" s="14">
        <v>11</v>
      </c>
      <c r="BL770" s="14">
        <v>11</v>
      </c>
      <c r="BM770" s="14">
        <v>11</v>
      </c>
      <c r="BP770" s="15" t="s">
        <v>135</v>
      </c>
      <c r="BQ770" s="15" t="s">
        <v>146</v>
      </c>
      <c r="BR770" s="2" t="s">
        <v>108</v>
      </c>
      <c r="BS770" s="2" t="s">
        <v>108</v>
      </c>
      <c r="BT770" s="7" t="s">
        <v>109</v>
      </c>
      <c r="BU770" s="7"/>
      <c r="BV770" s="9" t="s">
        <v>109</v>
      </c>
      <c r="BW770" s="9"/>
    </row>
    <row r="771" spans="1:75" ht="14.25" customHeight="1" x14ac:dyDescent="0.25">
      <c r="A771" s="1">
        <v>1428</v>
      </c>
      <c r="B771" s="1" t="s">
        <v>3309</v>
      </c>
      <c r="C771" s="1" t="s">
        <v>3310</v>
      </c>
      <c r="D771" s="1" t="s">
        <v>77</v>
      </c>
      <c r="E771" s="1" t="s">
        <v>2396</v>
      </c>
      <c r="F771" s="1" t="s">
        <v>3194</v>
      </c>
      <c r="G771" s="1" t="s">
        <v>118</v>
      </c>
      <c r="H771" s="2">
        <v>0</v>
      </c>
      <c r="I771" s="2">
        <v>1</v>
      </c>
      <c r="J771" s="2">
        <v>0</v>
      </c>
      <c r="K771" s="2">
        <v>0</v>
      </c>
      <c r="L771" s="3" t="s">
        <v>127</v>
      </c>
      <c r="O771" s="4">
        <v>4</v>
      </c>
      <c r="P771" s="4" t="s">
        <v>425</v>
      </c>
      <c r="Q771" s="4"/>
      <c r="R771" s="16">
        <v>470000</v>
      </c>
      <c r="S771" s="6">
        <v>470000</v>
      </c>
      <c r="T771" s="16">
        <v>470000</v>
      </c>
      <c r="U771" s="6">
        <v>470000</v>
      </c>
      <c r="V771" s="4">
        <v>2010.5</v>
      </c>
      <c r="W771" s="4" t="s">
        <v>425</v>
      </c>
      <c r="X771" s="4"/>
      <c r="Y771" s="7">
        <v>3</v>
      </c>
      <c r="Z771" s="8">
        <v>970522</v>
      </c>
      <c r="AA771" s="7" t="s">
        <v>92</v>
      </c>
      <c r="AB771" s="7"/>
      <c r="AC771" s="9">
        <v>3</v>
      </c>
      <c r="AD771" s="10">
        <v>873470</v>
      </c>
      <c r="AE771" s="9" t="s">
        <v>582</v>
      </c>
      <c r="AF771" s="9" t="s">
        <v>3311</v>
      </c>
      <c r="AG771" s="11">
        <v>3</v>
      </c>
      <c r="AH771" s="11" t="s">
        <v>131</v>
      </c>
      <c r="AI771" s="11" t="s">
        <v>3312</v>
      </c>
      <c r="AJ771" s="11">
        <v>5</v>
      </c>
      <c r="AK771" s="11" t="s">
        <v>132</v>
      </c>
      <c r="AL771" s="12">
        <v>2</v>
      </c>
      <c r="AM771" s="12" t="s">
        <v>131</v>
      </c>
      <c r="AN771" s="12" t="s">
        <v>3312</v>
      </c>
      <c r="AO771" s="12">
        <v>2</v>
      </c>
      <c r="AP771" s="12" t="s">
        <v>143</v>
      </c>
      <c r="AQ771" s="4">
        <v>1</v>
      </c>
      <c r="AR771" s="4" t="s">
        <v>133</v>
      </c>
      <c r="AS771" s="4"/>
      <c r="AT771" s="13">
        <v>50.827136993408203</v>
      </c>
      <c r="AU771" s="13">
        <v>0.81085693836212203</v>
      </c>
      <c r="AV771" s="13">
        <v>4.4893998652696603E-2</v>
      </c>
      <c r="AW771" s="13">
        <v>1.7200000286102299</v>
      </c>
      <c r="AX771" s="4">
        <v>1</v>
      </c>
      <c r="AY771" s="13">
        <v>17.953321456909201</v>
      </c>
      <c r="AZ771" s="13">
        <v>1.0378339290618901</v>
      </c>
      <c r="BA771" s="13">
        <v>-4.6902999281883198E-2</v>
      </c>
      <c r="BB771" s="13">
        <v>2.4100000858306898</v>
      </c>
      <c r="BC771" s="4"/>
      <c r="BD771" s="4">
        <v>16</v>
      </c>
      <c r="BE771" s="4" t="s">
        <v>134</v>
      </c>
      <c r="BF771" s="13">
        <v>1.6751060485839799</v>
      </c>
      <c r="BG771" s="4">
        <v>933.5</v>
      </c>
      <c r="BH771" s="13">
        <v>3.4749999046325701</v>
      </c>
      <c r="BI771" s="13">
        <v>3243.55493164063</v>
      </c>
      <c r="BJ771" s="4"/>
      <c r="BK771" s="14">
        <v>11</v>
      </c>
      <c r="BL771" s="14">
        <v>10</v>
      </c>
      <c r="BM771" s="14">
        <v>11</v>
      </c>
      <c r="BP771" s="15" t="s">
        <v>135</v>
      </c>
      <c r="BQ771" s="15"/>
      <c r="BR771" s="2" t="s">
        <v>239</v>
      </c>
      <c r="BS771" s="2" t="s">
        <v>239</v>
      </c>
      <c r="BT771" s="7" t="s">
        <v>458</v>
      </c>
      <c r="BU771" s="7" t="s">
        <v>137</v>
      </c>
      <c r="BV771" s="9" t="s">
        <v>458</v>
      </c>
      <c r="BW771" s="9" t="s">
        <v>137</v>
      </c>
    </row>
    <row r="772" spans="1:75" ht="14.25" customHeight="1" x14ac:dyDescent="0.25">
      <c r="A772" s="1">
        <v>1430</v>
      </c>
      <c r="B772" s="1" t="s">
        <v>3313</v>
      </c>
      <c r="C772" s="1" t="s">
        <v>3314</v>
      </c>
      <c r="D772" s="1" t="s">
        <v>77</v>
      </c>
      <c r="E772" s="1" t="s">
        <v>2396</v>
      </c>
      <c r="F772" s="1" t="s">
        <v>3194</v>
      </c>
      <c r="G772" s="1" t="s">
        <v>118</v>
      </c>
      <c r="H772" s="2">
        <v>0</v>
      </c>
      <c r="I772" s="2">
        <v>1</v>
      </c>
      <c r="J772" s="2">
        <v>1</v>
      </c>
      <c r="K772" s="2">
        <v>0</v>
      </c>
      <c r="L772" s="3" t="s">
        <v>80</v>
      </c>
      <c r="O772" s="4">
        <v>3</v>
      </c>
      <c r="P772" s="4" t="s">
        <v>470</v>
      </c>
      <c r="Q772" s="4"/>
      <c r="R772" s="16">
        <v>840000</v>
      </c>
      <c r="S772" s="6">
        <v>840000</v>
      </c>
      <c r="T772" s="16">
        <v>280000</v>
      </c>
      <c r="U772" s="6">
        <v>280000</v>
      </c>
      <c r="V772" s="4">
        <v>2010.5</v>
      </c>
      <c r="W772" s="4" t="s">
        <v>425</v>
      </c>
      <c r="X772" s="4"/>
      <c r="Y772" s="7">
        <v>2</v>
      </c>
      <c r="Z772" s="8">
        <v>1197262</v>
      </c>
      <c r="AA772" s="7" t="s">
        <v>92</v>
      </c>
      <c r="AB772" s="7"/>
      <c r="AC772" s="9">
        <v>2</v>
      </c>
      <c r="AD772" s="10">
        <v>1495452</v>
      </c>
      <c r="AE772" s="9" t="s">
        <v>92</v>
      </c>
      <c r="AF772" s="9"/>
      <c r="AG772" s="11">
        <v>2</v>
      </c>
      <c r="AH772" s="11" t="s">
        <v>471</v>
      </c>
      <c r="AI772" s="11" t="s">
        <v>3315</v>
      </c>
      <c r="AJ772" s="11">
        <v>2</v>
      </c>
      <c r="AK772" s="11" t="s">
        <v>132</v>
      </c>
      <c r="AL772" s="12">
        <v>2</v>
      </c>
      <c r="AM772" s="12" t="s">
        <v>131</v>
      </c>
      <c r="AN772" s="12" t="s">
        <v>3316</v>
      </c>
      <c r="AO772" s="12">
        <v>2</v>
      </c>
      <c r="AP772" s="12" t="s">
        <v>132</v>
      </c>
      <c r="AQ772" s="4">
        <v>3</v>
      </c>
      <c r="AR772" s="4" t="s">
        <v>133</v>
      </c>
      <c r="AS772" s="4"/>
      <c r="AT772" s="13">
        <v>-10.319471359252899</v>
      </c>
      <c r="AU772" s="13">
        <v>-0.212673634290695</v>
      </c>
      <c r="AV772" s="13">
        <v>-0.98699998855590798</v>
      </c>
      <c r="AW772" s="13">
        <v>0.438796997070313</v>
      </c>
      <c r="AX772" s="4"/>
      <c r="AY772" s="13">
        <v>-15.902779579162599</v>
      </c>
      <c r="AZ772" s="13">
        <v>-1.01269066333771</v>
      </c>
      <c r="BA772" s="13">
        <v>-2.3399999141693102</v>
      </c>
      <c r="BB772" s="13">
        <v>7.0702999830245999E-2</v>
      </c>
      <c r="BC772" s="4"/>
      <c r="BD772" s="4">
        <v>17</v>
      </c>
      <c r="BE772" s="4" t="s">
        <v>134</v>
      </c>
      <c r="BF772" s="13">
        <v>1.42579698562622</v>
      </c>
      <c r="BG772" s="4">
        <v>177.5</v>
      </c>
      <c r="BH772" s="13">
        <v>5.0349998474121103</v>
      </c>
      <c r="BI772" s="13">
        <v>890.780029296875</v>
      </c>
      <c r="BJ772" s="4"/>
      <c r="BK772" s="14">
        <v>10</v>
      </c>
      <c r="BL772" s="14">
        <v>10</v>
      </c>
      <c r="BM772" s="14">
        <v>10</v>
      </c>
      <c r="BP772" s="15"/>
      <c r="BQ772" s="15" t="s">
        <v>146</v>
      </c>
      <c r="BR772" s="2" t="s">
        <v>297</v>
      </c>
      <c r="BS772" s="2" t="s">
        <v>297</v>
      </c>
      <c r="BT772" s="7" t="s">
        <v>474</v>
      </c>
      <c r="BU772" s="7" t="s">
        <v>475</v>
      </c>
      <c r="BV772" s="9" t="s">
        <v>474</v>
      </c>
      <c r="BW772" s="9" t="s">
        <v>603</v>
      </c>
    </row>
    <row r="773" spans="1:75" ht="14.25" customHeight="1" x14ac:dyDescent="0.25">
      <c r="A773" s="1">
        <v>1431</v>
      </c>
      <c r="B773" s="1" t="s">
        <v>3317</v>
      </c>
      <c r="C773" s="1" t="s">
        <v>3318</v>
      </c>
      <c r="D773" s="1" t="s">
        <v>77</v>
      </c>
      <c r="E773" s="1" t="s">
        <v>2396</v>
      </c>
      <c r="F773" s="1" t="s">
        <v>3194</v>
      </c>
      <c r="G773" s="1"/>
      <c r="H773" s="2">
        <v>1</v>
      </c>
      <c r="I773" s="2">
        <v>1</v>
      </c>
      <c r="J773" s="2">
        <v>1</v>
      </c>
      <c r="K773" s="2">
        <v>1</v>
      </c>
      <c r="L773" s="3" t="s">
        <v>80</v>
      </c>
      <c r="O773" s="4">
        <v>2</v>
      </c>
      <c r="P773" s="4" t="s">
        <v>2006</v>
      </c>
      <c r="Q773" s="4" t="s">
        <v>3319</v>
      </c>
      <c r="R773" s="16">
        <v>29000000</v>
      </c>
      <c r="S773" s="6">
        <v>29000000</v>
      </c>
      <c r="T773" s="16">
        <v>8300000</v>
      </c>
      <c r="U773" s="6">
        <v>8300000</v>
      </c>
      <c r="V773" s="4">
        <v>2010.5</v>
      </c>
      <c r="W773" s="4" t="s">
        <v>531</v>
      </c>
      <c r="X773" s="4"/>
      <c r="Y773" s="7">
        <v>1</v>
      </c>
      <c r="Z773" s="8">
        <v>50426207</v>
      </c>
      <c r="AA773" s="7" t="s">
        <v>92</v>
      </c>
      <c r="AB773" s="7"/>
      <c r="AC773" s="9">
        <v>1</v>
      </c>
      <c r="AD773" s="10">
        <v>50426207</v>
      </c>
      <c r="AE773" s="9" t="s">
        <v>92</v>
      </c>
      <c r="AF773" s="9"/>
      <c r="AG773" s="11">
        <v>2</v>
      </c>
      <c r="AH773" s="11" t="s">
        <v>131</v>
      </c>
      <c r="AI773" s="11"/>
      <c r="AJ773" s="11">
        <v>2</v>
      </c>
      <c r="AK773" s="11" t="s">
        <v>143</v>
      </c>
      <c r="AL773" s="12">
        <v>2</v>
      </c>
      <c r="AM773" s="12" t="s">
        <v>131</v>
      </c>
      <c r="AN773" s="12"/>
      <c r="AO773" s="12">
        <v>2</v>
      </c>
      <c r="AP773" s="12" t="s">
        <v>143</v>
      </c>
      <c r="AQ773" s="4">
        <v>1</v>
      </c>
      <c r="AR773" s="4" t="s">
        <v>133</v>
      </c>
      <c r="AS773" s="4"/>
      <c r="AT773" s="13">
        <v>277.26025390625</v>
      </c>
      <c r="AU773" s="13">
        <v>2.63503813743591</v>
      </c>
      <c r="AV773" s="13">
        <v>2.0051960945129399</v>
      </c>
      <c r="AW773" s="13">
        <v>3.4000000953674299</v>
      </c>
      <c r="AX773" s="4">
        <v>1</v>
      </c>
      <c r="AY773" s="13">
        <v>35.918735504150398</v>
      </c>
      <c r="AZ773" s="13">
        <v>1.40377998352051</v>
      </c>
      <c r="BA773" s="13">
        <v>0.848102986812592</v>
      </c>
      <c r="BB773" s="13">
        <v>2.1199998855590798</v>
      </c>
      <c r="BC773" s="4">
        <v>1</v>
      </c>
      <c r="BD773" s="4">
        <v>22</v>
      </c>
      <c r="BE773" s="4" t="s">
        <v>134</v>
      </c>
      <c r="BF773" s="13">
        <v>1.39480400085449</v>
      </c>
      <c r="BG773" s="4">
        <v>2984</v>
      </c>
      <c r="BH773" s="13">
        <v>6.4499998092651403</v>
      </c>
      <c r="BI773" s="13">
        <v>19239.6796875</v>
      </c>
      <c r="BJ773" s="4"/>
      <c r="BK773" s="14">
        <v>6</v>
      </c>
      <c r="BL773" s="14">
        <v>6</v>
      </c>
      <c r="BM773" s="14">
        <v>6</v>
      </c>
      <c r="BP773" s="15" t="s">
        <v>135</v>
      </c>
      <c r="BQ773" s="15" t="s">
        <v>146</v>
      </c>
      <c r="BR773" s="2" t="s">
        <v>172</v>
      </c>
      <c r="BS773" s="2" t="s">
        <v>172</v>
      </c>
      <c r="BT773" s="7" t="s">
        <v>458</v>
      </c>
      <c r="BU773" s="7"/>
      <c r="BV773" s="9" t="s">
        <v>458</v>
      </c>
      <c r="BW773" s="9"/>
    </row>
    <row r="774" spans="1:75" ht="14.25" customHeight="1" x14ac:dyDescent="0.25">
      <c r="A774" s="1">
        <v>1432</v>
      </c>
      <c r="B774" s="1" t="s">
        <v>3320</v>
      </c>
      <c r="C774" s="1" t="s">
        <v>3321</v>
      </c>
      <c r="D774" s="1" t="s">
        <v>77</v>
      </c>
      <c r="E774" s="1" t="s">
        <v>2396</v>
      </c>
      <c r="F774" s="1" t="s">
        <v>3322</v>
      </c>
      <c r="G774" s="1"/>
      <c r="H774" s="2">
        <v>0</v>
      </c>
      <c r="I774" s="2">
        <v>1</v>
      </c>
      <c r="J774" s="2">
        <v>1</v>
      </c>
      <c r="K774" s="2">
        <v>0</v>
      </c>
      <c r="L774" s="3" t="s">
        <v>80</v>
      </c>
      <c r="O774" s="4">
        <v>2</v>
      </c>
      <c r="P774" s="4" t="s">
        <v>424</v>
      </c>
      <c r="Q774" s="4"/>
      <c r="R774" s="16">
        <v>7200000</v>
      </c>
      <c r="S774" s="6">
        <v>7200000</v>
      </c>
      <c r="T774" s="16">
        <v>3800000</v>
      </c>
      <c r="U774" s="6">
        <v>3800000</v>
      </c>
      <c r="V774" s="4">
        <v>2010.5</v>
      </c>
      <c r="W774" s="4" t="s">
        <v>425</v>
      </c>
      <c r="X774" s="4"/>
      <c r="Y774" s="7">
        <v>2</v>
      </c>
      <c r="Z774" s="8">
        <v>1756212</v>
      </c>
      <c r="AA774" s="7" t="s">
        <v>92</v>
      </c>
      <c r="AB774" s="7"/>
      <c r="AC774" s="9">
        <v>2</v>
      </c>
      <c r="AD774" s="10">
        <v>1756212</v>
      </c>
      <c r="AE774" s="9" t="s">
        <v>92</v>
      </c>
      <c r="AF774" s="9"/>
      <c r="AG774" s="11">
        <v>3</v>
      </c>
      <c r="AH774" s="11" t="s">
        <v>454</v>
      </c>
      <c r="AI774" s="11" t="s">
        <v>3323</v>
      </c>
      <c r="AJ774" s="11">
        <v>2</v>
      </c>
      <c r="AK774" s="11" t="s">
        <v>132</v>
      </c>
      <c r="AL774" s="12">
        <v>2</v>
      </c>
      <c r="AM774" s="12" t="s">
        <v>131</v>
      </c>
      <c r="AN774" s="12"/>
      <c r="AO774" s="12">
        <v>2</v>
      </c>
      <c r="AP774" s="12" t="s">
        <v>132</v>
      </c>
      <c r="AQ774" s="4">
        <v>5</v>
      </c>
      <c r="AR774" s="4" t="s">
        <v>133</v>
      </c>
      <c r="AS774" s="4"/>
      <c r="AT774" s="13">
        <v>-71.810234069824205</v>
      </c>
      <c r="AU774" s="13">
        <v>-2.4552090167999299</v>
      </c>
      <c r="AV774" s="13">
        <v>-3.6400001049041699</v>
      </c>
      <c r="AW774" s="13">
        <v>-1.54209697246552</v>
      </c>
      <c r="AX774" s="4">
        <v>1</v>
      </c>
      <c r="AY774" s="13">
        <v>-27.737951278686499</v>
      </c>
      <c r="AZ774" s="13">
        <v>-3.19601249694824</v>
      </c>
      <c r="BA774" s="13">
        <v>-6.3899998664856001</v>
      </c>
      <c r="BB774" s="13">
        <v>-0.66030001640319802</v>
      </c>
      <c r="BC774" s="4">
        <v>1</v>
      </c>
      <c r="BD774" s="4">
        <v>10</v>
      </c>
      <c r="BE774" s="4" t="s">
        <v>134</v>
      </c>
      <c r="BF774" s="13">
        <v>2.0979030132293701</v>
      </c>
      <c r="BG774" s="4">
        <v>204</v>
      </c>
      <c r="BH774" s="13">
        <v>6.91499996185303</v>
      </c>
      <c r="BI774" s="13">
        <v>1410.66003417969</v>
      </c>
      <c r="BJ774" s="4">
        <v>21</v>
      </c>
      <c r="BK774" s="14">
        <v>12</v>
      </c>
      <c r="BL774" s="14">
        <v>11</v>
      </c>
      <c r="BM774" s="14">
        <v>12</v>
      </c>
      <c r="BN774" s="3" t="s">
        <v>302</v>
      </c>
      <c r="BP774" s="15" t="s">
        <v>135</v>
      </c>
      <c r="BQ774" s="15"/>
      <c r="BR774" s="2" t="s">
        <v>297</v>
      </c>
      <c r="BS774" s="2" t="s">
        <v>297</v>
      </c>
      <c r="BT774" s="7" t="s">
        <v>475</v>
      </c>
      <c r="BU774" s="7"/>
      <c r="BV774" s="9" t="s">
        <v>475</v>
      </c>
      <c r="BW774" s="9"/>
    </row>
    <row r="775" spans="1:75" ht="14.25" customHeight="1" x14ac:dyDescent="0.25">
      <c r="A775" s="1">
        <v>1433</v>
      </c>
      <c r="B775" s="1" t="s">
        <v>3324</v>
      </c>
      <c r="C775" s="1" t="s">
        <v>3325</v>
      </c>
      <c r="D775" s="1" t="s">
        <v>77</v>
      </c>
      <c r="E775" s="1" t="s">
        <v>2396</v>
      </c>
      <c r="F775" s="1" t="s">
        <v>3326</v>
      </c>
      <c r="G775" s="1"/>
      <c r="H775" s="2">
        <v>0</v>
      </c>
      <c r="I775" s="2">
        <v>1</v>
      </c>
      <c r="J775" s="2">
        <v>0</v>
      </c>
      <c r="K775" s="2">
        <v>0</v>
      </c>
      <c r="L775" s="3" t="s">
        <v>80</v>
      </c>
      <c r="O775" s="4">
        <v>2</v>
      </c>
      <c r="P775" s="4" t="s">
        <v>425</v>
      </c>
      <c r="Q775" s="4"/>
      <c r="R775" s="16">
        <v>13000000</v>
      </c>
      <c r="S775" s="6">
        <v>13000000</v>
      </c>
      <c r="T775" s="16">
        <v>13000000</v>
      </c>
      <c r="U775" s="6">
        <v>13000000</v>
      </c>
      <c r="V775" s="4">
        <v>2010.5</v>
      </c>
      <c r="W775" s="4" t="s">
        <v>425</v>
      </c>
      <c r="X775" s="4"/>
      <c r="Y775" s="7">
        <v>2</v>
      </c>
      <c r="Z775" s="8">
        <v>2312578</v>
      </c>
      <c r="AA775" s="7" t="s">
        <v>92</v>
      </c>
      <c r="AB775" s="7"/>
      <c r="AC775" s="9">
        <v>2</v>
      </c>
      <c r="AD775" s="10">
        <v>2312578</v>
      </c>
      <c r="AE775" s="9" t="s">
        <v>92</v>
      </c>
      <c r="AF775" s="9"/>
      <c r="AG775" s="11">
        <v>2</v>
      </c>
      <c r="AH775" s="11" t="s">
        <v>131</v>
      </c>
      <c r="AI775" s="11" t="s">
        <v>3327</v>
      </c>
      <c r="AJ775" s="11">
        <v>2</v>
      </c>
      <c r="AK775" s="11" t="s">
        <v>132</v>
      </c>
      <c r="AL775" s="12">
        <v>2</v>
      </c>
      <c r="AM775" s="12" t="s">
        <v>131</v>
      </c>
      <c r="AN775" s="12" t="s">
        <v>3328</v>
      </c>
      <c r="AO775" s="12">
        <v>2</v>
      </c>
      <c r="AP775" s="12" t="s">
        <v>143</v>
      </c>
      <c r="AQ775" s="4">
        <v>3</v>
      </c>
      <c r="AR775" s="4" t="s">
        <v>133</v>
      </c>
      <c r="AS775" s="4"/>
      <c r="AT775" s="13">
        <v>-21.237209320068398</v>
      </c>
      <c r="AU775" s="13">
        <v>-0.46720004081726102</v>
      </c>
      <c r="AV775" s="13">
        <v>-0.605000019073486</v>
      </c>
      <c r="AW775" s="13">
        <v>-0.32400000095367398</v>
      </c>
      <c r="AX775" s="4">
        <v>1</v>
      </c>
      <c r="AY775" s="13">
        <v>-17.2012729644775</v>
      </c>
      <c r="AZ775" s="13">
        <v>-1.86866354942322</v>
      </c>
      <c r="BA775" s="13">
        <v>-2.3099999427795401</v>
      </c>
      <c r="BB775" s="13">
        <v>-1.28999996185303</v>
      </c>
      <c r="BC775" s="4">
        <v>1</v>
      </c>
      <c r="BD775" s="4">
        <v>10</v>
      </c>
      <c r="BE775" s="4" t="s">
        <v>134</v>
      </c>
      <c r="BF775" s="13">
        <v>0.28099998831749001</v>
      </c>
      <c r="BG775" s="4">
        <v>1367</v>
      </c>
      <c r="BH775" s="13">
        <v>6.7800002098083496</v>
      </c>
      <c r="BI775" s="13">
        <v>9267.1201171875</v>
      </c>
      <c r="BJ775" s="4"/>
      <c r="BK775" s="14">
        <v>9</v>
      </c>
      <c r="BL775" s="14">
        <v>9</v>
      </c>
      <c r="BM775" s="14">
        <v>9</v>
      </c>
      <c r="BP775" s="15" t="s">
        <v>135</v>
      </c>
      <c r="BQ775" s="15"/>
      <c r="BR775" s="2" t="s">
        <v>239</v>
      </c>
      <c r="BS775" s="2" t="s">
        <v>239</v>
      </c>
      <c r="BT775" s="7" t="s">
        <v>241</v>
      </c>
      <c r="BU775" s="7"/>
      <c r="BV775" s="9" t="s">
        <v>241</v>
      </c>
      <c r="BW775" s="9"/>
    </row>
    <row r="776" spans="1:75" ht="14.25" customHeight="1" x14ac:dyDescent="0.25">
      <c r="A776" s="1">
        <v>1434</v>
      </c>
      <c r="B776" s="1" t="s">
        <v>3329</v>
      </c>
      <c r="C776" s="1" t="s">
        <v>3330</v>
      </c>
      <c r="D776" s="1" t="s">
        <v>77</v>
      </c>
      <c r="E776" s="1" t="s">
        <v>2396</v>
      </c>
      <c r="F776" s="1" t="s">
        <v>3326</v>
      </c>
      <c r="G776" s="1"/>
      <c r="H776" s="2">
        <v>1</v>
      </c>
      <c r="I776" s="2">
        <v>1</v>
      </c>
      <c r="J776" s="2">
        <v>0</v>
      </c>
      <c r="K776" s="2">
        <v>0</v>
      </c>
      <c r="L776" s="3" t="s">
        <v>80</v>
      </c>
      <c r="O776" s="4">
        <v>2</v>
      </c>
      <c r="P776" s="4" t="s">
        <v>579</v>
      </c>
      <c r="Q776" s="4"/>
      <c r="R776" s="16">
        <v>43000000</v>
      </c>
      <c r="S776" s="6">
        <v>43000000</v>
      </c>
      <c r="T776" s="16">
        <v>43000000</v>
      </c>
      <c r="U776" s="6">
        <v>43000000</v>
      </c>
      <c r="V776" s="4">
        <v>2010.5</v>
      </c>
      <c r="W776" s="4" t="s">
        <v>579</v>
      </c>
      <c r="X776" s="4"/>
      <c r="Y776" s="7">
        <v>1</v>
      </c>
      <c r="Z776" s="8">
        <v>8788312</v>
      </c>
      <c r="AA776" s="7" t="s">
        <v>92</v>
      </c>
      <c r="AB776" s="7"/>
      <c r="AC776" s="9">
        <v>1</v>
      </c>
      <c r="AD776" s="10">
        <v>8788312</v>
      </c>
      <c r="AE776" s="9" t="s">
        <v>92</v>
      </c>
      <c r="AF776" s="9"/>
      <c r="AG776" s="11">
        <v>2</v>
      </c>
      <c r="AH776" s="11" t="s">
        <v>131</v>
      </c>
      <c r="AI776" s="11" t="s">
        <v>3331</v>
      </c>
      <c r="AJ776" s="11">
        <v>2</v>
      </c>
      <c r="AK776" s="11" t="s">
        <v>132</v>
      </c>
      <c r="AL776" s="12">
        <v>2</v>
      </c>
      <c r="AM776" s="12" t="s">
        <v>131</v>
      </c>
      <c r="AN776" s="12"/>
      <c r="AO776" s="12">
        <v>2</v>
      </c>
      <c r="AP776" s="12" t="s">
        <v>132</v>
      </c>
      <c r="AQ776" s="4">
        <v>2</v>
      </c>
      <c r="AR776" s="4" t="s">
        <v>133</v>
      </c>
      <c r="AS776" s="4"/>
      <c r="AT776" s="13">
        <v>30.913326263427699</v>
      </c>
      <c r="AU776" s="13">
        <v>0.52939879894256603</v>
      </c>
      <c r="AV776" s="13">
        <v>0.196999996900558</v>
      </c>
      <c r="AW776" s="13">
        <v>0.83999997377395597</v>
      </c>
      <c r="AX776" s="4">
        <v>1</v>
      </c>
      <c r="AY776" s="13">
        <v>-9.0700550079345703</v>
      </c>
      <c r="AZ776" s="13">
        <v>-0.94623136520385698</v>
      </c>
      <c r="BA776" s="13">
        <v>-1.62999999523163</v>
      </c>
      <c r="BB776" s="13">
        <v>-4.8599999397993102E-2</v>
      </c>
      <c r="BC776" s="4">
        <v>1</v>
      </c>
      <c r="BD776" s="4">
        <v>10</v>
      </c>
      <c r="BE776" s="4" t="s">
        <v>134</v>
      </c>
      <c r="BF776" s="13">
        <v>0.64300000667571999</v>
      </c>
      <c r="BG776" s="4">
        <v>2660</v>
      </c>
      <c r="BH776" s="13">
        <v>3.5699999332428001</v>
      </c>
      <c r="BI776" s="13">
        <v>9491.75</v>
      </c>
      <c r="BJ776" s="4"/>
      <c r="BK776" s="14">
        <v>7</v>
      </c>
      <c r="BL776" s="14">
        <v>7</v>
      </c>
      <c r="BM776" s="14">
        <v>7</v>
      </c>
      <c r="BP776" s="15" t="s">
        <v>135</v>
      </c>
      <c r="BQ776" s="15"/>
      <c r="BR776" s="2" t="s">
        <v>172</v>
      </c>
      <c r="BS776" s="2" t="s">
        <v>172</v>
      </c>
      <c r="BT776" s="7" t="s">
        <v>509</v>
      </c>
      <c r="BU776" s="7"/>
      <c r="BV776" s="9" t="s">
        <v>509</v>
      </c>
      <c r="BW776" s="9"/>
    </row>
    <row r="777" spans="1:75" ht="14.25" customHeight="1" x14ac:dyDescent="0.25">
      <c r="A777" s="1">
        <v>1435</v>
      </c>
      <c r="B777" s="1" t="s">
        <v>3332</v>
      </c>
      <c r="C777" s="1" t="s">
        <v>3333</v>
      </c>
      <c r="D777" s="1" t="s">
        <v>77</v>
      </c>
      <c r="E777" s="1" t="s">
        <v>2396</v>
      </c>
      <c r="F777" s="1" t="s">
        <v>3326</v>
      </c>
      <c r="G777" s="1"/>
      <c r="H777" s="2">
        <v>1</v>
      </c>
      <c r="I777" s="2">
        <v>1</v>
      </c>
      <c r="J777" s="2">
        <v>1</v>
      </c>
      <c r="K777" s="2">
        <v>0</v>
      </c>
      <c r="L777" s="3" t="s">
        <v>127</v>
      </c>
      <c r="O777" s="4">
        <v>2</v>
      </c>
      <c r="P777" s="4" t="s">
        <v>424</v>
      </c>
      <c r="Q777" s="4"/>
      <c r="R777" s="16">
        <v>7900000</v>
      </c>
      <c r="S777" s="6">
        <v>7900000</v>
      </c>
      <c r="T777" s="16">
        <v>7900000</v>
      </c>
      <c r="U777" s="6">
        <v>7900000</v>
      </c>
      <c r="V777" s="4">
        <v>2010.5</v>
      </c>
      <c r="W777" s="4" t="s">
        <v>425</v>
      </c>
      <c r="X777" s="4"/>
      <c r="Y777" s="7">
        <v>2</v>
      </c>
      <c r="Z777" s="8">
        <v>2690425</v>
      </c>
      <c r="AA777" s="7" t="s">
        <v>92</v>
      </c>
      <c r="AB777" s="7"/>
      <c r="AC777" s="9">
        <v>2</v>
      </c>
      <c r="AD777" s="10">
        <v>2690425</v>
      </c>
      <c r="AE777" s="9" t="s">
        <v>92</v>
      </c>
      <c r="AF777" s="9"/>
      <c r="AG777" s="11">
        <v>3</v>
      </c>
      <c r="AH777" s="11" t="s">
        <v>131</v>
      </c>
      <c r="AI777" s="11"/>
      <c r="AJ777" s="11">
        <v>4</v>
      </c>
      <c r="AK777" s="11" t="s">
        <v>143</v>
      </c>
      <c r="AL777" s="12">
        <v>3</v>
      </c>
      <c r="AM777" s="12" t="s">
        <v>131</v>
      </c>
      <c r="AN777" s="12"/>
      <c r="AO777" s="12">
        <v>4</v>
      </c>
      <c r="AP777" s="12" t="s">
        <v>143</v>
      </c>
      <c r="AQ777" s="4">
        <v>4</v>
      </c>
      <c r="AR777" s="4" t="s">
        <v>133</v>
      </c>
      <c r="AS777" s="4"/>
      <c r="AT777" s="13">
        <v>-35.820629119872997</v>
      </c>
      <c r="AU777" s="13">
        <v>-0.86527562141418501</v>
      </c>
      <c r="AV777" s="13">
        <v>-1.29410004615784</v>
      </c>
      <c r="AW777" s="13">
        <v>-0.347000002861023</v>
      </c>
      <c r="AX777" s="4">
        <v>1</v>
      </c>
      <c r="AY777" s="13">
        <v>-15.189741134643601</v>
      </c>
      <c r="AZ777" s="13">
        <v>-1.6328278779983501</v>
      </c>
      <c r="BA777" s="13">
        <v>-3.0199999809265101</v>
      </c>
      <c r="BB777" s="13">
        <v>-0.60120201110839799</v>
      </c>
      <c r="BC777" s="4">
        <v>1</v>
      </c>
      <c r="BD777" s="4">
        <v>10</v>
      </c>
      <c r="BE777" s="4" t="s">
        <v>134</v>
      </c>
      <c r="BF777" s="13">
        <v>0.94709998369216897</v>
      </c>
      <c r="BG777" s="4">
        <v>608.5</v>
      </c>
      <c r="BH777" s="13">
        <v>5.3550000190734899</v>
      </c>
      <c r="BI777" s="13">
        <v>3257.52490234375</v>
      </c>
      <c r="BJ777" s="4"/>
      <c r="BK777" s="14">
        <v>11</v>
      </c>
      <c r="BL777" s="14">
        <v>11</v>
      </c>
      <c r="BM777" s="14">
        <v>11</v>
      </c>
      <c r="BP777" s="15" t="s">
        <v>135</v>
      </c>
      <c r="BQ777" s="15"/>
      <c r="BR777" s="2" t="s">
        <v>555</v>
      </c>
      <c r="BS777" s="2" t="s">
        <v>555</v>
      </c>
      <c r="BT777" s="7" t="s">
        <v>428</v>
      </c>
      <c r="BU777" s="7"/>
      <c r="BV777" s="9" t="s">
        <v>428</v>
      </c>
      <c r="BW777" s="9"/>
    </row>
    <row r="778" spans="1:75" ht="14.25" customHeight="1" x14ac:dyDescent="0.25">
      <c r="A778" s="1">
        <v>1436</v>
      </c>
      <c r="B778" s="1" t="s">
        <v>3334</v>
      </c>
      <c r="C778" s="1" t="s">
        <v>3335</v>
      </c>
      <c r="D778" s="1" t="s">
        <v>77</v>
      </c>
      <c r="E778" s="1" t="s">
        <v>2396</v>
      </c>
      <c r="F778" s="1" t="s">
        <v>3326</v>
      </c>
      <c r="G778" s="1"/>
      <c r="H778" s="2">
        <v>0</v>
      </c>
      <c r="I778" s="2">
        <v>1</v>
      </c>
      <c r="J778" s="2">
        <v>1</v>
      </c>
      <c r="K778" s="2">
        <v>0</v>
      </c>
      <c r="L778" s="3" t="s">
        <v>80</v>
      </c>
      <c r="O778" s="4">
        <v>3</v>
      </c>
      <c r="P778" s="4" t="s">
        <v>706</v>
      </c>
      <c r="Q778" s="4"/>
      <c r="R778" s="16">
        <v>2000000</v>
      </c>
      <c r="S778" s="6">
        <v>2000000</v>
      </c>
      <c r="T778" s="17" t="s">
        <v>1869</v>
      </c>
      <c r="U778" s="6">
        <v>500</v>
      </c>
      <c r="V778" s="4"/>
      <c r="W778" s="4" t="s">
        <v>543</v>
      </c>
      <c r="X778" s="4" t="s">
        <v>787</v>
      </c>
      <c r="Y778" s="7">
        <v>4</v>
      </c>
      <c r="Z778" s="8">
        <v>202263</v>
      </c>
      <c r="AA778" s="7" t="s">
        <v>92</v>
      </c>
      <c r="AB778" s="7"/>
      <c r="AC778" s="9">
        <v>4</v>
      </c>
      <c r="AD778" s="10">
        <v>202263</v>
      </c>
      <c r="AE778" s="9" t="s">
        <v>92</v>
      </c>
      <c r="AF778" s="9"/>
      <c r="AG778" s="11">
        <v>3</v>
      </c>
      <c r="AH778" s="11" t="s">
        <v>271</v>
      </c>
      <c r="AI778" s="11"/>
      <c r="AJ778" s="11"/>
      <c r="AK778" s="11"/>
      <c r="AL778" s="12">
        <v>3</v>
      </c>
      <c r="AM778" s="12" t="s">
        <v>271</v>
      </c>
      <c r="AN778" s="12" t="s">
        <v>698</v>
      </c>
      <c r="AO778" s="12"/>
      <c r="AP778" s="12"/>
      <c r="AQ778" s="4">
        <v>4</v>
      </c>
      <c r="AR778" s="4" t="s">
        <v>673</v>
      </c>
      <c r="AS778" s="4" t="s">
        <v>999</v>
      </c>
      <c r="AT778" s="13"/>
      <c r="AU778" s="13"/>
      <c r="AV778" s="13"/>
      <c r="AW778" s="13"/>
      <c r="AX778" s="4"/>
      <c r="AY778" s="13"/>
      <c r="AZ778" s="13"/>
      <c r="BA778" s="13"/>
      <c r="BB778" s="13"/>
      <c r="BC778" s="4"/>
      <c r="BD778" s="4"/>
      <c r="BE778" s="4"/>
      <c r="BF778" s="13"/>
      <c r="BG778" s="4"/>
      <c r="BH778" s="13"/>
      <c r="BI778" s="13"/>
      <c r="BJ778" s="4"/>
      <c r="BK778" s="14">
        <v>14</v>
      </c>
      <c r="BL778" s="14">
        <v>14</v>
      </c>
      <c r="BM778" s="14">
        <v>14</v>
      </c>
      <c r="BN778" s="3" t="s">
        <v>86</v>
      </c>
      <c r="BP778" s="15"/>
      <c r="BQ778" s="15"/>
      <c r="BR778" s="2" t="s">
        <v>409</v>
      </c>
      <c r="BS778" s="2" t="s">
        <v>409</v>
      </c>
      <c r="BT778" s="7" t="s">
        <v>438</v>
      </c>
      <c r="BU778" s="7" t="s">
        <v>437</v>
      </c>
      <c r="BV778" s="9" t="s">
        <v>438</v>
      </c>
      <c r="BW778" s="9" t="s">
        <v>437</v>
      </c>
    </row>
    <row r="779" spans="1:75" ht="14.25" customHeight="1" x14ac:dyDescent="0.25">
      <c r="A779" s="1">
        <v>1437</v>
      </c>
      <c r="B779" s="1" t="s">
        <v>3336</v>
      </c>
      <c r="C779" s="1" t="s">
        <v>3337</v>
      </c>
      <c r="D779" s="1" t="s">
        <v>77</v>
      </c>
      <c r="E779" s="1" t="s">
        <v>2396</v>
      </c>
      <c r="F779" s="1" t="s">
        <v>3326</v>
      </c>
      <c r="G779" s="1"/>
      <c r="H779" s="2">
        <v>1</v>
      </c>
      <c r="I779" s="2">
        <v>1</v>
      </c>
      <c r="J779" s="2">
        <v>0</v>
      </c>
      <c r="K779" s="2">
        <v>0</v>
      </c>
      <c r="L779" s="3" t="s">
        <v>80</v>
      </c>
      <c r="O779" s="4">
        <v>2</v>
      </c>
      <c r="P779" s="4" t="s">
        <v>425</v>
      </c>
      <c r="Q779" s="4"/>
      <c r="R779" s="16">
        <v>12000000</v>
      </c>
      <c r="S779" s="6">
        <v>12000000</v>
      </c>
      <c r="T779" s="16">
        <v>12000000</v>
      </c>
      <c r="U779" s="6">
        <v>12000000</v>
      </c>
      <c r="V779" s="4">
        <v>2010.5</v>
      </c>
      <c r="W779" s="4" t="s">
        <v>425</v>
      </c>
      <c r="X779" s="4"/>
      <c r="Y779" s="7">
        <v>3</v>
      </c>
      <c r="Z779" s="8">
        <v>953572</v>
      </c>
      <c r="AA779" s="7" t="s">
        <v>92</v>
      </c>
      <c r="AB779" s="7"/>
      <c r="AC779" s="9">
        <v>3</v>
      </c>
      <c r="AD779" s="10">
        <v>953572</v>
      </c>
      <c r="AE779" s="9" t="s">
        <v>92</v>
      </c>
      <c r="AF779" s="9"/>
      <c r="AG779" s="11">
        <v>3</v>
      </c>
      <c r="AH779" s="11" t="s">
        <v>454</v>
      </c>
      <c r="AI779" s="11" t="s">
        <v>3338</v>
      </c>
      <c r="AJ779" s="11">
        <v>2</v>
      </c>
      <c r="AK779" s="11" t="s">
        <v>132</v>
      </c>
      <c r="AL779" s="12">
        <v>2</v>
      </c>
      <c r="AM779" s="12" t="s">
        <v>131</v>
      </c>
      <c r="AN779" s="12"/>
      <c r="AO779" s="12">
        <v>2</v>
      </c>
      <c r="AP779" s="12" t="s">
        <v>143</v>
      </c>
      <c r="AQ779" s="4">
        <v>4</v>
      </c>
      <c r="AR779" s="4" t="s">
        <v>133</v>
      </c>
      <c r="AS779" s="4"/>
      <c r="AT779" s="13">
        <v>-37.2110786437988</v>
      </c>
      <c r="AU779" s="13">
        <v>-0.90844285488128695</v>
      </c>
      <c r="AV779" s="13">
        <v>-1.6043009757995601</v>
      </c>
      <c r="AW779" s="13">
        <v>-9.6500001847744002E-2</v>
      </c>
      <c r="AX779" s="4">
        <v>1</v>
      </c>
      <c r="AY779" s="13">
        <v>-17.908676147460898</v>
      </c>
      <c r="AZ779" s="13">
        <v>-1.9569190740585301</v>
      </c>
      <c r="BA779" s="13">
        <v>-3.1500000953674299</v>
      </c>
      <c r="BB779" s="13">
        <v>-0.65200001001357999</v>
      </c>
      <c r="BC779" s="4">
        <v>1</v>
      </c>
      <c r="BD779" s="4">
        <v>10</v>
      </c>
      <c r="BE779" s="4" t="s">
        <v>134</v>
      </c>
      <c r="BF779" s="13">
        <v>1.5078010559082</v>
      </c>
      <c r="BG779" s="4">
        <v>292</v>
      </c>
      <c r="BH779" s="13">
        <v>5.9650001525878897</v>
      </c>
      <c r="BI779" s="13">
        <v>1740.04504394531</v>
      </c>
      <c r="BJ779" s="4"/>
      <c r="BK779" s="14">
        <v>12</v>
      </c>
      <c r="BL779" s="14">
        <v>11</v>
      </c>
      <c r="BM779" s="14">
        <v>12</v>
      </c>
      <c r="BP779" s="15" t="s">
        <v>135</v>
      </c>
      <c r="BQ779" s="15"/>
      <c r="BR779" s="2" t="s">
        <v>162</v>
      </c>
      <c r="BS779" s="2" t="s">
        <v>162</v>
      </c>
      <c r="BT779" s="7" t="s">
        <v>428</v>
      </c>
      <c r="BU779" s="7"/>
      <c r="BV779" s="9" t="s">
        <v>428</v>
      </c>
      <c r="BW779" s="9"/>
    </row>
    <row r="780" spans="1:75" ht="14.25" customHeight="1" x14ac:dyDescent="0.25">
      <c r="A780" s="1">
        <v>1438</v>
      </c>
      <c r="B780" s="1" t="s">
        <v>3339</v>
      </c>
      <c r="C780" s="1" t="s">
        <v>3340</v>
      </c>
      <c r="D780" s="1" t="s">
        <v>77</v>
      </c>
      <c r="E780" s="1" t="s">
        <v>2396</v>
      </c>
      <c r="F780" s="1" t="s">
        <v>3326</v>
      </c>
      <c r="G780" s="1"/>
      <c r="H780" s="2">
        <v>1</v>
      </c>
      <c r="I780" s="2">
        <v>1</v>
      </c>
      <c r="J780" s="2">
        <v>0</v>
      </c>
      <c r="K780" s="2">
        <v>0</v>
      </c>
      <c r="L780" s="3" t="s">
        <v>80</v>
      </c>
      <c r="O780" s="4">
        <v>2</v>
      </c>
      <c r="P780" s="4" t="s">
        <v>1919</v>
      </c>
      <c r="Q780" s="4"/>
      <c r="R780" s="16">
        <v>13000000</v>
      </c>
      <c r="S780" s="6">
        <v>13000000</v>
      </c>
      <c r="T780" s="16">
        <v>13000000</v>
      </c>
      <c r="U780" s="6">
        <v>13000000</v>
      </c>
      <c r="V780" s="4">
        <v>2010.5</v>
      </c>
      <c r="W780" s="4" t="s">
        <v>1919</v>
      </c>
      <c r="X780" s="4"/>
      <c r="Y780" s="7">
        <v>1</v>
      </c>
      <c r="Z780" s="8">
        <v>7065738</v>
      </c>
      <c r="AA780" s="7" t="s">
        <v>92</v>
      </c>
      <c r="AB780" s="7"/>
      <c r="AC780" s="9">
        <v>1</v>
      </c>
      <c r="AD780" s="10">
        <v>7065738</v>
      </c>
      <c r="AE780" s="9" t="s">
        <v>92</v>
      </c>
      <c r="AF780" s="9"/>
      <c r="AG780" s="11">
        <v>4</v>
      </c>
      <c r="AH780" s="11" t="s">
        <v>131</v>
      </c>
      <c r="AI780" s="11"/>
      <c r="AJ780" s="11">
        <v>4</v>
      </c>
      <c r="AK780" s="11" t="s">
        <v>143</v>
      </c>
      <c r="AL780" s="12">
        <v>3</v>
      </c>
      <c r="AM780" s="12" t="s">
        <v>131</v>
      </c>
      <c r="AN780" s="12"/>
      <c r="AO780" s="12">
        <v>4</v>
      </c>
      <c r="AP780" s="12" t="s">
        <v>332</v>
      </c>
      <c r="AQ780" s="4">
        <v>3</v>
      </c>
      <c r="AR780" s="4" t="s">
        <v>133</v>
      </c>
      <c r="AS780" s="4"/>
      <c r="AT780" s="13">
        <v>-28.7218532562256</v>
      </c>
      <c r="AU780" s="13">
        <v>-0.6634521484375</v>
      </c>
      <c r="AV780" s="13">
        <v>-2.5199999809265101</v>
      </c>
      <c r="AW780" s="13">
        <v>0.39370098710060097</v>
      </c>
      <c r="AX780" s="4"/>
      <c r="AY780" s="13">
        <v>-0.87714648246765103</v>
      </c>
      <c r="AZ780" s="13">
        <v>-8.7895341217517894E-2</v>
      </c>
      <c r="BA780" s="13">
        <v>-3.0999999046325701</v>
      </c>
      <c r="BB780" s="13">
        <v>2.3651959896087602</v>
      </c>
      <c r="BC780" s="4"/>
      <c r="BD780" s="4">
        <v>10</v>
      </c>
      <c r="BE780" s="4" t="s">
        <v>134</v>
      </c>
      <c r="BF780" s="13">
        <v>2.9137010574340798</v>
      </c>
      <c r="BG780" s="4">
        <v>611</v>
      </c>
      <c r="BH780" s="13">
        <v>0.67500001192092896</v>
      </c>
      <c r="BI780" s="13">
        <v>415.19000244140602</v>
      </c>
      <c r="BJ780" s="4"/>
      <c r="BK780" s="14">
        <v>10</v>
      </c>
      <c r="BL780" s="14">
        <v>9</v>
      </c>
      <c r="BM780" s="14">
        <v>10</v>
      </c>
      <c r="BP780" s="15"/>
      <c r="BQ780" s="15"/>
      <c r="BR780" s="2" t="s">
        <v>211</v>
      </c>
      <c r="BS780" s="2" t="s">
        <v>211</v>
      </c>
      <c r="BT780" s="7" t="s">
        <v>527</v>
      </c>
      <c r="BU780" s="7"/>
      <c r="BV780" s="9" t="s">
        <v>527</v>
      </c>
      <c r="BW780" s="9"/>
    </row>
    <row r="781" spans="1:75" ht="14.25" customHeight="1" x14ac:dyDescent="0.25">
      <c r="A781" s="1">
        <v>1439</v>
      </c>
      <c r="B781" s="1" t="s">
        <v>3341</v>
      </c>
      <c r="C781" s="1" t="s">
        <v>3342</v>
      </c>
      <c r="D781" s="1" t="s">
        <v>77</v>
      </c>
      <c r="E781" s="1" t="s">
        <v>2396</v>
      </c>
      <c r="F781" s="1" t="s">
        <v>3326</v>
      </c>
      <c r="G781" s="1"/>
      <c r="H781" s="2">
        <v>1</v>
      </c>
      <c r="I781" s="2">
        <v>1</v>
      </c>
      <c r="J781" s="2">
        <v>0</v>
      </c>
      <c r="K781" s="2">
        <v>0</v>
      </c>
      <c r="L781" s="3" t="s">
        <v>80</v>
      </c>
      <c r="O781" s="4">
        <v>3</v>
      </c>
      <c r="P781" s="4" t="s">
        <v>706</v>
      </c>
      <c r="Q781" s="4"/>
      <c r="R781" s="16">
        <v>2000000</v>
      </c>
      <c r="S781" s="6">
        <v>2000000</v>
      </c>
      <c r="T781" s="17" t="s">
        <v>795</v>
      </c>
      <c r="U781" s="6">
        <v>5000</v>
      </c>
      <c r="V781" s="4"/>
      <c r="W781" s="4" t="s">
        <v>543</v>
      </c>
      <c r="X781" s="4" t="s">
        <v>3343</v>
      </c>
      <c r="Y781" s="7">
        <v>1</v>
      </c>
      <c r="Z781" s="8">
        <v>10000000</v>
      </c>
      <c r="AA781" s="7" t="s">
        <v>369</v>
      </c>
      <c r="AB781" s="7" t="s">
        <v>3344</v>
      </c>
      <c r="AC781" s="9">
        <v>1</v>
      </c>
      <c r="AD781" s="10">
        <v>10000000</v>
      </c>
      <c r="AE781" s="9" t="s">
        <v>92</v>
      </c>
      <c r="AF781" s="9" t="s">
        <v>3345</v>
      </c>
      <c r="AG781" s="11">
        <v>2</v>
      </c>
      <c r="AH781" s="11" t="s">
        <v>271</v>
      </c>
      <c r="AI781" s="11" t="s">
        <v>3346</v>
      </c>
      <c r="AJ781" s="11"/>
      <c r="AK781" s="11"/>
      <c r="AL781" s="12">
        <v>2</v>
      </c>
      <c r="AM781" s="12" t="s">
        <v>271</v>
      </c>
      <c r="AN781" s="12" t="s">
        <v>3347</v>
      </c>
      <c r="AO781" s="12"/>
      <c r="AP781" s="12"/>
      <c r="AQ781" s="4">
        <v>3</v>
      </c>
      <c r="AR781" s="4" t="s">
        <v>537</v>
      </c>
      <c r="AS781" s="4"/>
      <c r="AT781" s="13"/>
      <c r="AU781" s="13"/>
      <c r="AV781" s="13"/>
      <c r="AW781" s="13"/>
      <c r="AX781" s="4"/>
      <c r="AY781" s="13"/>
      <c r="AZ781" s="13"/>
      <c r="BA781" s="13"/>
      <c r="BB781" s="13"/>
      <c r="BC781" s="4"/>
      <c r="BD781" s="4"/>
      <c r="BE781" s="4"/>
      <c r="BF781" s="13"/>
      <c r="BG781" s="4"/>
      <c r="BH781" s="13"/>
      <c r="BI781" s="13"/>
      <c r="BJ781" s="4"/>
      <c r="BK781" s="14">
        <v>9</v>
      </c>
      <c r="BL781" s="14">
        <v>9</v>
      </c>
      <c r="BM781" s="14">
        <v>9</v>
      </c>
      <c r="BP781" s="15"/>
      <c r="BQ781" s="15"/>
      <c r="BR781" s="2" t="s">
        <v>161</v>
      </c>
      <c r="BS781" s="2" t="s">
        <v>161</v>
      </c>
      <c r="BT781" s="7" t="s">
        <v>527</v>
      </c>
      <c r="BU781" s="7"/>
      <c r="BV781" s="9" t="s">
        <v>527</v>
      </c>
      <c r="BW781" s="9"/>
    </row>
    <row r="782" spans="1:75" ht="14.25" customHeight="1" x14ac:dyDescent="0.25">
      <c r="A782" s="1">
        <v>1440</v>
      </c>
      <c r="B782" s="1" t="s">
        <v>3348</v>
      </c>
      <c r="C782" s="1" t="s">
        <v>3349</v>
      </c>
      <c r="D782" s="1" t="s">
        <v>77</v>
      </c>
      <c r="E782" s="1" t="s">
        <v>2396</v>
      </c>
      <c r="F782" s="1" t="s">
        <v>3326</v>
      </c>
      <c r="G782" s="1"/>
      <c r="H782" s="2">
        <v>0</v>
      </c>
      <c r="I782" s="2">
        <v>1</v>
      </c>
      <c r="J782" s="2">
        <v>1</v>
      </c>
      <c r="K782" s="2">
        <v>0</v>
      </c>
      <c r="L782" s="3" t="s">
        <v>80</v>
      </c>
      <c r="O782" s="4">
        <v>4</v>
      </c>
      <c r="P782" s="4" t="s">
        <v>470</v>
      </c>
      <c r="Q782" s="4"/>
      <c r="R782" s="16">
        <v>160000</v>
      </c>
      <c r="S782" s="6">
        <v>160000</v>
      </c>
      <c r="T782" s="16">
        <v>69000</v>
      </c>
      <c r="U782" s="6">
        <v>69000</v>
      </c>
      <c r="V782" s="4">
        <v>2010.5</v>
      </c>
      <c r="W782" s="4" t="s">
        <v>425</v>
      </c>
      <c r="X782" s="4"/>
      <c r="Y782" s="7">
        <v>3</v>
      </c>
      <c r="Z782" s="8">
        <v>533202</v>
      </c>
      <c r="AA782" s="7" t="s">
        <v>92</v>
      </c>
      <c r="AB782" s="7"/>
      <c r="AC782" s="9">
        <v>3</v>
      </c>
      <c r="AD782" s="10">
        <v>533202</v>
      </c>
      <c r="AE782" s="9" t="s">
        <v>92</v>
      </c>
      <c r="AF782" s="9"/>
      <c r="AG782" s="11">
        <v>4</v>
      </c>
      <c r="AH782" s="11" t="s">
        <v>131</v>
      </c>
      <c r="AI782" s="11"/>
      <c r="AJ782" s="11">
        <v>4</v>
      </c>
      <c r="AK782" s="11" t="s">
        <v>143</v>
      </c>
      <c r="AL782" s="12">
        <v>4</v>
      </c>
      <c r="AM782" s="12" t="s">
        <v>471</v>
      </c>
      <c r="AN782" s="12" t="s">
        <v>698</v>
      </c>
      <c r="AO782" s="12">
        <v>4</v>
      </c>
      <c r="AP782" s="12" t="s">
        <v>143</v>
      </c>
      <c r="AQ782" s="4">
        <v>3</v>
      </c>
      <c r="AR782" s="4" t="s">
        <v>93</v>
      </c>
      <c r="AS782" s="4"/>
      <c r="AT782" s="13"/>
      <c r="AU782" s="13"/>
      <c r="AV782" s="13"/>
      <c r="AW782" s="13"/>
      <c r="AX782" s="4"/>
      <c r="AY782" s="13"/>
      <c r="AZ782" s="13"/>
      <c r="BA782" s="13"/>
      <c r="BB782" s="13"/>
      <c r="BC782" s="4"/>
      <c r="BD782" s="4"/>
      <c r="BE782" s="4"/>
      <c r="BF782" s="13"/>
      <c r="BG782" s="4"/>
      <c r="BH782" s="13"/>
      <c r="BI782" s="13"/>
      <c r="BJ782" s="4"/>
      <c r="BK782" s="14">
        <v>14</v>
      </c>
      <c r="BL782" s="14">
        <v>14</v>
      </c>
      <c r="BM782" s="14">
        <v>14</v>
      </c>
      <c r="BN782" s="3" t="s">
        <v>86</v>
      </c>
      <c r="BP782" s="15"/>
      <c r="BQ782" s="15"/>
      <c r="BR782" s="2" t="s">
        <v>409</v>
      </c>
      <c r="BS782" s="2" t="s">
        <v>409</v>
      </c>
      <c r="BT782" s="7" t="s">
        <v>438</v>
      </c>
      <c r="BU782" s="7"/>
      <c r="BV782" s="9" t="s">
        <v>438</v>
      </c>
      <c r="BW782" s="9"/>
    </row>
    <row r="783" spans="1:75" ht="14.25" customHeight="1" x14ac:dyDescent="0.25">
      <c r="A783" s="1">
        <v>1441</v>
      </c>
      <c r="B783" s="1" t="s">
        <v>3350</v>
      </c>
      <c r="C783" s="1" t="s">
        <v>3351</v>
      </c>
      <c r="D783" s="1" t="s">
        <v>77</v>
      </c>
      <c r="E783" s="1" t="s">
        <v>2396</v>
      </c>
      <c r="F783" s="1" t="s">
        <v>3326</v>
      </c>
      <c r="G783" s="1"/>
      <c r="H783" s="2">
        <v>0</v>
      </c>
      <c r="I783" s="2">
        <v>1</v>
      </c>
      <c r="J783" s="2">
        <v>1</v>
      </c>
      <c r="K783" s="2">
        <v>0</v>
      </c>
      <c r="L783" s="3" t="s">
        <v>80</v>
      </c>
      <c r="O783" s="4">
        <v>3</v>
      </c>
      <c r="P783" s="4" t="s">
        <v>424</v>
      </c>
      <c r="Q783" s="4"/>
      <c r="R783" s="16">
        <v>840000</v>
      </c>
      <c r="S783" s="6">
        <v>840000</v>
      </c>
      <c r="T783" s="16">
        <v>710000</v>
      </c>
      <c r="U783" s="6">
        <v>710000</v>
      </c>
      <c r="V783" s="4">
        <v>2010.5</v>
      </c>
      <c r="W783" s="4" t="s">
        <v>425</v>
      </c>
      <c r="X783" s="4"/>
      <c r="Y783" s="7">
        <v>4</v>
      </c>
      <c r="Z783" s="8">
        <v>173844</v>
      </c>
      <c r="AA783" s="7" t="s">
        <v>92</v>
      </c>
      <c r="AB783" s="7"/>
      <c r="AC783" s="9">
        <v>4</v>
      </c>
      <c r="AD783" s="10">
        <v>173844</v>
      </c>
      <c r="AE783" s="9" t="s">
        <v>92</v>
      </c>
      <c r="AF783" s="9"/>
      <c r="AG783" s="11">
        <v>3</v>
      </c>
      <c r="AH783" s="11" t="s">
        <v>131</v>
      </c>
      <c r="AI783" s="11" t="s">
        <v>3352</v>
      </c>
      <c r="AJ783" s="11">
        <v>2</v>
      </c>
      <c r="AK783" s="11" t="s">
        <v>143</v>
      </c>
      <c r="AL783" s="12">
        <v>3</v>
      </c>
      <c r="AM783" s="12" t="s">
        <v>131</v>
      </c>
      <c r="AN783" s="12"/>
      <c r="AO783" s="12">
        <v>3</v>
      </c>
      <c r="AP783" s="12" t="s">
        <v>143</v>
      </c>
      <c r="AQ783" s="4">
        <v>4</v>
      </c>
      <c r="AR783" s="4" t="s">
        <v>133</v>
      </c>
      <c r="AS783" s="4"/>
      <c r="AT783" s="13">
        <v>-41.161285400390597</v>
      </c>
      <c r="AU783" s="13">
        <v>-1.0350987911224401</v>
      </c>
      <c r="AV783" s="13">
        <v>-1.54420101642609</v>
      </c>
      <c r="AW783" s="13">
        <v>-0.45100000500678999</v>
      </c>
      <c r="AX783" s="4">
        <v>1</v>
      </c>
      <c r="AY783" s="13">
        <v>-8.2866573333740199</v>
      </c>
      <c r="AZ783" s="13">
        <v>-0.86101394891738903</v>
      </c>
      <c r="BA783" s="13">
        <v>-2.2252979278564502</v>
      </c>
      <c r="BB783" s="13">
        <v>0.51300001144409202</v>
      </c>
      <c r="BC783" s="4"/>
      <c r="BD783" s="4">
        <v>10</v>
      </c>
      <c r="BE783" s="4" t="s">
        <v>134</v>
      </c>
      <c r="BF783" s="13">
        <v>1.09320104122162</v>
      </c>
      <c r="BG783" s="4">
        <v>158</v>
      </c>
      <c r="BH783" s="13">
        <v>6.6149997711181596</v>
      </c>
      <c r="BI783" s="13">
        <v>1045.17004394531</v>
      </c>
      <c r="BJ783" s="4"/>
      <c r="BK783" s="14">
        <v>14</v>
      </c>
      <c r="BL783" s="14">
        <v>14</v>
      </c>
      <c r="BM783" s="14">
        <v>14</v>
      </c>
      <c r="BN783" s="3" t="s">
        <v>86</v>
      </c>
      <c r="BP783" s="15" t="s">
        <v>135</v>
      </c>
      <c r="BQ783" s="15"/>
      <c r="BR783" s="2" t="s">
        <v>162</v>
      </c>
      <c r="BS783" s="2" t="s">
        <v>162</v>
      </c>
      <c r="BT783" s="7" t="s">
        <v>428</v>
      </c>
      <c r="BU783" s="7"/>
      <c r="BV783" s="9" t="s">
        <v>428</v>
      </c>
      <c r="BW783" s="9"/>
    </row>
    <row r="784" spans="1:75" ht="14.25" customHeight="1" x14ac:dyDescent="0.25">
      <c r="A784" s="1">
        <v>1442</v>
      </c>
      <c r="B784" s="1" t="s">
        <v>3353</v>
      </c>
      <c r="C784" s="1" t="s">
        <v>3354</v>
      </c>
      <c r="D784" s="1" t="s">
        <v>77</v>
      </c>
      <c r="E784" s="1" t="s">
        <v>2396</v>
      </c>
      <c r="F784" s="1" t="s">
        <v>3326</v>
      </c>
      <c r="G784" s="1"/>
      <c r="H784" s="2">
        <v>0</v>
      </c>
      <c r="I784" s="2">
        <v>1</v>
      </c>
      <c r="J784" s="2">
        <v>1</v>
      </c>
      <c r="K784" s="2">
        <v>0</v>
      </c>
      <c r="L784" s="3" t="s">
        <v>80</v>
      </c>
      <c r="O784" s="4">
        <v>4</v>
      </c>
      <c r="P784" s="4" t="s">
        <v>424</v>
      </c>
      <c r="Q784" s="4"/>
      <c r="R784" s="16">
        <v>290000</v>
      </c>
      <c r="S784" s="6">
        <v>290000</v>
      </c>
      <c r="T784" s="16">
        <v>290000</v>
      </c>
      <c r="U784" s="6">
        <v>290000</v>
      </c>
      <c r="V784" s="4">
        <v>2010.5</v>
      </c>
      <c r="W784" s="4" t="s">
        <v>425</v>
      </c>
      <c r="X784" s="4"/>
      <c r="Y784" s="7">
        <v>2</v>
      </c>
      <c r="Z784" s="8">
        <v>1055504</v>
      </c>
      <c r="AA784" s="7" t="s">
        <v>92</v>
      </c>
      <c r="AB784" s="7"/>
      <c r="AC784" s="9">
        <v>2</v>
      </c>
      <c r="AD784" s="10">
        <v>1055504</v>
      </c>
      <c r="AE784" s="9" t="s">
        <v>92</v>
      </c>
      <c r="AF784" s="9"/>
      <c r="AG784" s="11">
        <v>3</v>
      </c>
      <c r="AH784" s="11" t="s">
        <v>131</v>
      </c>
      <c r="AI784" s="11"/>
      <c r="AJ784" s="11">
        <v>1</v>
      </c>
      <c r="AK784" s="11" t="s">
        <v>143</v>
      </c>
      <c r="AL784" s="12">
        <v>3</v>
      </c>
      <c r="AM784" s="12" t="s">
        <v>131</v>
      </c>
      <c r="AN784" s="12"/>
      <c r="AO784" s="12">
        <v>2</v>
      </c>
      <c r="AP784" s="12" t="s">
        <v>132</v>
      </c>
      <c r="AQ784" s="4">
        <v>2</v>
      </c>
      <c r="AR784" s="4" t="s">
        <v>133</v>
      </c>
      <c r="AS784" s="4"/>
      <c r="AT784" s="13">
        <v>14.8526468276978</v>
      </c>
      <c r="AU784" s="13">
        <v>0.27144449949264499</v>
      </c>
      <c r="AV784" s="13">
        <v>-0.34530198574066201</v>
      </c>
      <c r="AW784" s="13">
        <v>1.12999999523163</v>
      </c>
      <c r="AX784" s="4"/>
      <c r="AY784" s="13">
        <v>7.27557420730591</v>
      </c>
      <c r="AZ784" s="13">
        <v>0.70507866144180298</v>
      </c>
      <c r="BA784" s="13">
        <v>-1.20000004768372</v>
      </c>
      <c r="BB784" s="13">
        <v>2.3499999046325701</v>
      </c>
      <c r="BC784" s="4"/>
      <c r="BD784" s="4">
        <v>10</v>
      </c>
      <c r="BE784" s="4" t="s">
        <v>134</v>
      </c>
      <c r="BF784" s="13">
        <v>1.47530198097229</v>
      </c>
      <c r="BG784" s="4">
        <v>185.5</v>
      </c>
      <c r="BH784" s="13">
        <v>0.63800001144409202</v>
      </c>
      <c r="BI784" s="13">
        <v>118.47200012207</v>
      </c>
      <c r="BJ784" s="4"/>
      <c r="BK784" s="14">
        <v>11</v>
      </c>
      <c r="BL784" s="14">
        <v>11</v>
      </c>
      <c r="BM784" s="14">
        <v>11</v>
      </c>
      <c r="BP784" s="15"/>
      <c r="BQ784" s="15"/>
      <c r="BR784" s="2" t="s">
        <v>555</v>
      </c>
      <c r="BS784" s="2" t="s">
        <v>555</v>
      </c>
      <c r="BT784" s="7" t="s">
        <v>428</v>
      </c>
      <c r="BU784" s="7"/>
      <c r="BV784" s="9" t="s">
        <v>428</v>
      </c>
      <c r="BW784" s="9"/>
    </row>
    <row r="785" spans="1:75" ht="14.25" customHeight="1" x14ac:dyDescent="0.25">
      <c r="A785" s="1">
        <v>318</v>
      </c>
      <c r="B785" s="1" t="s">
        <v>3355</v>
      </c>
      <c r="C785" s="1" t="s">
        <v>3356</v>
      </c>
      <c r="D785" s="1" t="s">
        <v>77</v>
      </c>
      <c r="E785" s="1" t="s">
        <v>827</v>
      </c>
      <c r="F785" s="1" t="s">
        <v>854</v>
      </c>
      <c r="G785" s="1" t="s">
        <v>3357</v>
      </c>
      <c r="H785" s="2">
        <v>0</v>
      </c>
      <c r="I785" s="2">
        <v>0</v>
      </c>
      <c r="J785" s="2">
        <v>0</v>
      </c>
      <c r="K785" s="2">
        <v>1</v>
      </c>
      <c r="L785" s="3" t="s">
        <v>80</v>
      </c>
      <c r="O785" s="4">
        <v>5</v>
      </c>
      <c r="P785" s="4" t="s">
        <v>3358</v>
      </c>
      <c r="Q785" s="4" t="s">
        <v>3359</v>
      </c>
      <c r="R785" s="5"/>
      <c r="S785" s="6"/>
      <c r="T785" s="17"/>
      <c r="U785" s="6"/>
      <c r="V785" s="4"/>
      <c r="W785" s="4"/>
      <c r="X785" s="4"/>
      <c r="Y785" s="7">
        <v>5</v>
      </c>
      <c r="Z785" s="8">
        <v>3466</v>
      </c>
      <c r="AA785" s="7" t="s">
        <v>3360</v>
      </c>
      <c r="AB785" s="7" t="s">
        <v>3361</v>
      </c>
      <c r="AC785" s="9">
        <v>5</v>
      </c>
      <c r="AD785" s="10">
        <v>3466</v>
      </c>
      <c r="AE785" s="9" t="s">
        <v>3362</v>
      </c>
      <c r="AF785" s="9" t="s">
        <v>3361</v>
      </c>
      <c r="AG785" s="11">
        <v>2</v>
      </c>
      <c r="AH785" s="11" t="s">
        <v>3363</v>
      </c>
      <c r="AI785" s="11" t="s">
        <v>3364</v>
      </c>
      <c r="AJ785" s="11"/>
      <c r="AK785" s="11"/>
      <c r="AL785" s="12">
        <v>2</v>
      </c>
      <c r="AM785" s="12" t="s">
        <v>3363</v>
      </c>
      <c r="AN785" s="12" t="s">
        <v>3365</v>
      </c>
      <c r="AO785" s="12"/>
      <c r="AP785" s="12"/>
      <c r="AQ785" s="4">
        <v>2</v>
      </c>
      <c r="AR785" s="4" t="s">
        <v>3363</v>
      </c>
      <c r="AS785" s="4" t="s">
        <v>3366</v>
      </c>
      <c r="AT785" s="13"/>
      <c r="AU785" s="13"/>
      <c r="AV785" s="13"/>
      <c r="AW785" s="13"/>
      <c r="AX785" s="4"/>
      <c r="AY785" s="13"/>
      <c r="AZ785" s="13"/>
      <c r="BA785" s="13"/>
      <c r="BB785" s="13"/>
      <c r="BC785" s="4"/>
      <c r="BD785" s="4"/>
      <c r="BE785" s="4"/>
      <c r="BF785" s="13"/>
      <c r="BG785" s="4"/>
      <c r="BH785" s="13"/>
      <c r="BI785" s="13"/>
      <c r="BJ785" s="4"/>
      <c r="BK785" s="14">
        <v>14</v>
      </c>
      <c r="BL785" s="14">
        <v>14</v>
      </c>
      <c r="BM785" s="14">
        <v>14</v>
      </c>
      <c r="BN785" s="3" t="s">
        <v>86</v>
      </c>
      <c r="BP785" s="15"/>
      <c r="BQ785" s="15"/>
      <c r="BR785" s="2" t="s">
        <v>409</v>
      </c>
      <c r="BS785" s="2" t="s">
        <v>409</v>
      </c>
      <c r="BT785" s="7" t="s">
        <v>3367</v>
      </c>
      <c r="BU785" s="7"/>
      <c r="BV785" s="9" t="s">
        <v>3367</v>
      </c>
      <c r="BW785" s="9"/>
    </row>
    <row r="786" spans="1:75" ht="14.25" customHeight="1" x14ac:dyDescent="0.25">
      <c r="A786" s="1">
        <v>319</v>
      </c>
      <c r="B786" s="1" t="s">
        <v>3368</v>
      </c>
      <c r="C786" s="1" t="s">
        <v>3369</v>
      </c>
      <c r="D786" s="1" t="s">
        <v>77</v>
      </c>
      <c r="E786" s="1" t="s">
        <v>827</v>
      </c>
      <c r="F786" s="1" t="s">
        <v>854</v>
      </c>
      <c r="G786" s="1"/>
      <c r="H786" s="2">
        <v>0</v>
      </c>
      <c r="I786" s="2">
        <v>0</v>
      </c>
      <c r="J786" s="2">
        <v>0</v>
      </c>
      <c r="K786" s="2">
        <v>1</v>
      </c>
      <c r="L786" s="3" t="s">
        <v>80</v>
      </c>
      <c r="O786" s="4">
        <v>4</v>
      </c>
      <c r="P786" s="4" t="s">
        <v>81</v>
      </c>
      <c r="Q786" s="4"/>
      <c r="R786" s="5"/>
      <c r="S786" s="6"/>
      <c r="T786" s="17"/>
      <c r="U786" s="6"/>
      <c r="V786" s="4"/>
      <c r="W786" s="4"/>
      <c r="X786" s="4"/>
      <c r="Y786" s="7">
        <v>5</v>
      </c>
      <c r="Z786" s="8">
        <v>8294</v>
      </c>
      <c r="AA786" s="7" t="s">
        <v>82</v>
      </c>
      <c r="AB786" s="7"/>
      <c r="AC786" s="9">
        <v>5</v>
      </c>
      <c r="AD786" s="10">
        <v>8294</v>
      </c>
      <c r="AE786" s="9" t="s">
        <v>82</v>
      </c>
      <c r="AF786" s="9"/>
      <c r="AG786" s="11">
        <v>3</v>
      </c>
      <c r="AH786" s="11" t="s">
        <v>83</v>
      </c>
      <c r="AI786" s="11"/>
      <c r="AJ786" s="11"/>
      <c r="AK786" s="11"/>
      <c r="AL786" s="12">
        <v>3</v>
      </c>
      <c r="AM786" s="12" t="s">
        <v>83</v>
      </c>
      <c r="AN786" s="12"/>
      <c r="AO786" s="12"/>
      <c r="AP786" s="12"/>
      <c r="AQ786" s="4">
        <v>2</v>
      </c>
      <c r="AR786" s="4" t="s">
        <v>83</v>
      </c>
      <c r="AS786" s="4"/>
      <c r="AT786" s="13"/>
      <c r="AU786" s="13"/>
      <c r="AV786" s="13"/>
      <c r="AW786" s="13"/>
      <c r="AX786" s="4"/>
      <c r="AY786" s="13"/>
      <c r="AZ786" s="13"/>
      <c r="BA786" s="13"/>
      <c r="BB786" s="13"/>
      <c r="BC786" s="4"/>
      <c r="BD786" s="4"/>
      <c r="BE786" s="4"/>
      <c r="BF786" s="13"/>
      <c r="BG786" s="4"/>
      <c r="BH786" s="13"/>
      <c r="BI786" s="13"/>
      <c r="BJ786" s="4"/>
      <c r="BK786" s="14">
        <v>14</v>
      </c>
      <c r="BL786" s="14">
        <v>14</v>
      </c>
      <c r="BM786" s="14">
        <v>14</v>
      </c>
      <c r="BN786" s="3" t="s">
        <v>86</v>
      </c>
      <c r="BP786" s="15"/>
      <c r="BQ786" s="15"/>
      <c r="BR786" s="2" t="s">
        <v>87</v>
      </c>
      <c r="BS786" s="2" t="s">
        <v>87</v>
      </c>
      <c r="BT786" s="7" t="s">
        <v>88</v>
      </c>
      <c r="BU786" s="7"/>
      <c r="BV786" s="9" t="s">
        <v>88</v>
      </c>
      <c r="BW786" s="9"/>
    </row>
    <row r="787" spans="1:75" ht="14.25" customHeight="1" x14ac:dyDescent="0.25">
      <c r="A787" s="1">
        <v>320</v>
      </c>
      <c r="B787" s="1" t="s">
        <v>3370</v>
      </c>
      <c r="C787" s="1" t="s">
        <v>3371</v>
      </c>
      <c r="D787" s="1" t="s">
        <v>77</v>
      </c>
      <c r="E787" s="1" t="s">
        <v>827</v>
      </c>
      <c r="F787" s="1" t="s">
        <v>854</v>
      </c>
      <c r="G787" s="1"/>
      <c r="H787" s="2">
        <v>0</v>
      </c>
      <c r="I787" s="2">
        <v>0</v>
      </c>
      <c r="J787" s="2">
        <v>1</v>
      </c>
      <c r="K787" s="2">
        <v>1</v>
      </c>
      <c r="L787" s="3" t="s">
        <v>80</v>
      </c>
      <c r="O787" s="4">
        <v>3</v>
      </c>
      <c r="P787" s="4" t="s">
        <v>112</v>
      </c>
      <c r="Q787" s="4"/>
      <c r="R787" s="5"/>
      <c r="S787" s="6"/>
      <c r="T787" s="17"/>
      <c r="U787" s="6"/>
      <c r="V787" s="4"/>
      <c r="W787" s="4"/>
      <c r="X787" s="4"/>
      <c r="Y787" s="7">
        <v>1</v>
      </c>
      <c r="Z787" s="8">
        <v>8314317</v>
      </c>
      <c r="AA787" s="7" t="s">
        <v>92</v>
      </c>
      <c r="AB787" s="7"/>
      <c r="AC787" s="9">
        <v>1</v>
      </c>
      <c r="AD787" s="10">
        <v>8314317</v>
      </c>
      <c r="AE787" s="9" t="s">
        <v>92</v>
      </c>
      <c r="AF787" s="9"/>
      <c r="AG787" s="11">
        <v>2</v>
      </c>
      <c r="AH787" s="11" t="s">
        <v>93</v>
      </c>
      <c r="AI787" s="11"/>
      <c r="AJ787" s="11"/>
      <c r="AK787" s="11"/>
      <c r="AL787" s="12">
        <v>2</v>
      </c>
      <c r="AM787" s="12" t="s">
        <v>93</v>
      </c>
      <c r="AN787" s="12" t="s">
        <v>394</v>
      </c>
      <c r="AO787" s="12"/>
      <c r="AP787" s="12"/>
      <c r="AQ787" s="4">
        <v>3</v>
      </c>
      <c r="AR787" s="4" t="s">
        <v>83</v>
      </c>
      <c r="AS787" s="4"/>
      <c r="AT787" s="13"/>
      <c r="AU787" s="13"/>
      <c r="AV787" s="13"/>
      <c r="AW787" s="13"/>
      <c r="AX787" s="4"/>
      <c r="AY787" s="13"/>
      <c r="AZ787" s="13"/>
      <c r="BA787" s="13"/>
      <c r="BB787" s="13"/>
      <c r="BC787" s="4"/>
      <c r="BD787" s="4"/>
      <c r="BE787" s="4"/>
      <c r="BF787" s="13"/>
      <c r="BG787" s="4"/>
      <c r="BH787" s="13"/>
      <c r="BI787" s="13"/>
      <c r="BJ787" s="4"/>
      <c r="BK787" s="14">
        <v>9</v>
      </c>
      <c r="BL787" s="14">
        <v>9</v>
      </c>
      <c r="BM787" s="14">
        <v>9</v>
      </c>
      <c r="BP787" s="15"/>
      <c r="BQ787" s="15"/>
      <c r="BR787" s="2" t="s">
        <v>97</v>
      </c>
      <c r="BS787" s="2" t="s">
        <v>97</v>
      </c>
      <c r="BT787" s="7" t="s">
        <v>98</v>
      </c>
      <c r="BU787" s="7"/>
      <c r="BV787" s="9" t="s">
        <v>98</v>
      </c>
      <c r="BW787" s="9"/>
    </row>
    <row r="788" spans="1:75" ht="14.25" customHeight="1" x14ac:dyDescent="0.25">
      <c r="A788" s="1">
        <v>321</v>
      </c>
      <c r="B788" s="1" t="s">
        <v>3372</v>
      </c>
      <c r="C788" s="1" t="s">
        <v>3373</v>
      </c>
      <c r="D788" s="1" t="s">
        <v>77</v>
      </c>
      <c r="E788" s="1" t="s">
        <v>827</v>
      </c>
      <c r="F788" s="1" t="s">
        <v>854</v>
      </c>
      <c r="G788" s="1"/>
      <c r="H788" s="2">
        <v>0</v>
      </c>
      <c r="I788" s="2">
        <v>0</v>
      </c>
      <c r="J788" s="2">
        <v>1</v>
      </c>
      <c r="K788" s="2">
        <v>1</v>
      </c>
      <c r="L788" s="3" t="s">
        <v>80</v>
      </c>
      <c r="O788" s="4">
        <v>4</v>
      </c>
      <c r="P788" s="4" t="s">
        <v>112</v>
      </c>
      <c r="Q788" s="4"/>
      <c r="R788" s="5"/>
      <c r="S788" s="6"/>
      <c r="T788" s="17"/>
      <c r="U788" s="6"/>
      <c r="V788" s="4"/>
      <c r="W788" s="4"/>
      <c r="X788" s="4"/>
      <c r="Y788" s="7">
        <v>3</v>
      </c>
      <c r="Z788" s="8">
        <v>524889</v>
      </c>
      <c r="AA788" s="7" t="s">
        <v>92</v>
      </c>
      <c r="AB788" s="7"/>
      <c r="AC788" s="9">
        <v>3</v>
      </c>
      <c r="AD788" s="10">
        <v>478242</v>
      </c>
      <c r="AE788" s="9" t="s">
        <v>92</v>
      </c>
      <c r="AF788" s="9"/>
      <c r="AG788" s="11">
        <v>2</v>
      </c>
      <c r="AH788" s="11" t="s">
        <v>93</v>
      </c>
      <c r="AI788" s="11"/>
      <c r="AJ788" s="11"/>
      <c r="AK788" s="11"/>
      <c r="AL788" s="12">
        <v>2</v>
      </c>
      <c r="AM788" s="12" t="s">
        <v>93</v>
      </c>
      <c r="AN788" s="12" t="s">
        <v>394</v>
      </c>
      <c r="AO788" s="12"/>
      <c r="AP788" s="12"/>
      <c r="AQ788" s="4">
        <v>3</v>
      </c>
      <c r="AR788" s="4" t="s">
        <v>83</v>
      </c>
      <c r="AS788" s="4"/>
      <c r="AT788" s="13"/>
      <c r="AU788" s="13"/>
      <c r="AV788" s="13"/>
      <c r="AW788" s="13"/>
      <c r="AX788" s="4"/>
      <c r="AY788" s="13"/>
      <c r="AZ788" s="13"/>
      <c r="BA788" s="13"/>
      <c r="BB788" s="13"/>
      <c r="BC788" s="4"/>
      <c r="BD788" s="4"/>
      <c r="BE788" s="4"/>
      <c r="BF788" s="13"/>
      <c r="BG788" s="4"/>
      <c r="BH788" s="13"/>
      <c r="BI788" s="13"/>
      <c r="BJ788" s="4"/>
      <c r="BK788" s="14">
        <v>12</v>
      </c>
      <c r="BL788" s="14">
        <v>12</v>
      </c>
      <c r="BM788" s="14">
        <v>12</v>
      </c>
      <c r="BP788" s="15"/>
      <c r="BQ788" s="15"/>
      <c r="BR788" s="2" t="s">
        <v>108</v>
      </c>
      <c r="BS788" s="2" t="s">
        <v>108</v>
      </c>
      <c r="BT788" s="7" t="s">
        <v>109</v>
      </c>
      <c r="BU788" s="7"/>
      <c r="BV788" s="9" t="s">
        <v>109</v>
      </c>
      <c r="BW788" s="9"/>
    </row>
    <row r="789" spans="1:75" ht="14.25" customHeight="1" x14ac:dyDescent="0.25">
      <c r="A789" s="1">
        <v>322</v>
      </c>
      <c r="B789" s="1" t="s">
        <v>3374</v>
      </c>
      <c r="C789" s="1" t="s">
        <v>3375</v>
      </c>
      <c r="D789" s="1" t="s">
        <v>77</v>
      </c>
      <c r="E789" s="1" t="s">
        <v>827</v>
      </c>
      <c r="F789" s="1" t="s">
        <v>854</v>
      </c>
      <c r="G789" s="1"/>
      <c r="H789" s="2">
        <v>0</v>
      </c>
      <c r="I789" s="2">
        <v>0</v>
      </c>
      <c r="J789" s="2">
        <v>1</v>
      </c>
      <c r="K789" s="2">
        <v>1</v>
      </c>
      <c r="L789" s="3" t="s">
        <v>80</v>
      </c>
      <c r="O789" s="4">
        <v>4</v>
      </c>
      <c r="P789" s="4" t="s">
        <v>101</v>
      </c>
      <c r="Q789" s="4" t="s">
        <v>3376</v>
      </c>
      <c r="R789" s="5"/>
      <c r="S789" s="6"/>
      <c r="T789" s="17"/>
      <c r="U789" s="6"/>
      <c r="V789" s="4"/>
      <c r="W789" s="4"/>
      <c r="X789" s="4"/>
      <c r="Y789" s="7">
        <v>4</v>
      </c>
      <c r="Z789" s="8">
        <v>90508</v>
      </c>
      <c r="AA789" s="7" t="s">
        <v>92</v>
      </c>
      <c r="AB789" s="7"/>
      <c r="AC789" s="9">
        <v>4</v>
      </c>
      <c r="AD789" s="10">
        <v>90508</v>
      </c>
      <c r="AE789" s="9" t="s">
        <v>92</v>
      </c>
      <c r="AF789" s="9"/>
      <c r="AG789" s="11">
        <v>4</v>
      </c>
      <c r="AH789" s="11" t="s">
        <v>93</v>
      </c>
      <c r="AI789" s="11"/>
      <c r="AJ789" s="11"/>
      <c r="AK789" s="11"/>
      <c r="AL789" s="12">
        <v>4</v>
      </c>
      <c r="AM789" s="12" t="s">
        <v>93</v>
      </c>
      <c r="AN789" s="12" t="s">
        <v>698</v>
      </c>
      <c r="AO789" s="12"/>
      <c r="AP789" s="12"/>
      <c r="AQ789" s="4">
        <v>5</v>
      </c>
      <c r="AR789" s="4" t="s">
        <v>83</v>
      </c>
      <c r="AS789" s="4"/>
      <c r="AT789" s="13"/>
      <c r="AU789" s="13"/>
      <c r="AV789" s="13"/>
      <c r="AW789" s="13"/>
      <c r="AX789" s="4"/>
      <c r="AY789" s="13"/>
      <c r="AZ789" s="13"/>
      <c r="BA789" s="13"/>
      <c r="BB789" s="13"/>
      <c r="BC789" s="4"/>
      <c r="BD789" s="4"/>
      <c r="BE789" s="4"/>
      <c r="BF789" s="13"/>
      <c r="BG789" s="4"/>
      <c r="BH789" s="13"/>
      <c r="BI789" s="13"/>
      <c r="BJ789" s="4"/>
      <c r="BK789" s="14">
        <v>17</v>
      </c>
      <c r="BL789" s="14">
        <v>17</v>
      </c>
      <c r="BM789" s="14">
        <v>17</v>
      </c>
      <c r="BN789" s="3" t="s">
        <v>312</v>
      </c>
      <c r="BP789" s="15"/>
      <c r="BQ789" s="15"/>
      <c r="BR789" s="2" t="s">
        <v>87</v>
      </c>
      <c r="BS789" s="2" t="s">
        <v>87</v>
      </c>
      <c r="BT789" s="7" t="s">
        <v>88</v>
      </c>
      <c r="BU789" s="7"/>
      <c r="BV789" s="9" t="s">
        <v>88</v>
      </c>
      <c r="BW789" s="9"/>
    </row>
    <row r="790" spans="1:75" ht="14.25" customHeight="1" x14ac:dyDescent="0.25">
      <c r="A790" s="1">
        <v>323</v>
      </c>
      <c r="B790" s="1" t="s">
        <v>3377</v>
      </c>
      <c r="C790" s="1" t="s">
        <v>3378</v>
      </c>
      <c r="D790" s="1" t="s">
        <v>77</v>
      </c>
      <c r="E790" s="1" t="s">
        <v>827</v>
      </c>
      <c r="F790" s="1" t="s">
        <v>854</v>
      </c>
      <c r="G790" s="1" t="s">
        <v>118</v>
      </c>
      <c r="H790" s="2">
        <v>0</v>
      </c>
      <c r="I790" s="2">
        <v>0</v>
      </c>
      <c r="J790" s="2">
        <v>0</v>
      </c>
      <c r="K790" s="2">
        <v>1</v>
      </c>
      <c r="L790" s="3" t="s">
        <v>80</v>
      </c>
      <c r="O790" s="4">
        <v>5</v>
      </c>
      <c r="P790" s="4" t="s">
        <v>81</v>
      </c>
      <c r="Q790" s="4" t="s">
        <v>3379</v>
      </c>
      <c r="R790" s="5"/>
      <c r="S790" s="6"/>
      <c r="T790" s="17"/>
      <c r="U790" s="6"/>
      <c r="V790" s="4"/>
      <c r="W790" s="4"/>
      <c r="X790" s="4"/>
      <c r="Y790" s="7">
        <v>5</v>
      </c>
      <c r="Z790" s="8">
        <v>45345</v>
      </c>
      <c r="AA790" s="7" t="s">
        <v>82</v>
      </c>
      <c r="AB790" s="7"/>
      <c r="AC790" s="9">
        <v>5</v>
      </c>
      <c r="AD790" s="10">
        <v>45345</v>
      </c>
      <c r="AE790" s="9" t="s">
        <v>82</v>
      </c>
      <c r="AF790" s="9"/>
      <c r="AG790" s="11">
        <v>4</v>
      </c>
      <c r="AH790" s="11" t="s">
        <v>83</v>
      </c>
      <c r="AI790" s="11" t="s">
        <v>3380</v>
      </c>
      <c r="AJ790" s="11"/>
      <c r="AK790" s="11"/>
      <c r="AL790" s="12">
        <v>4</v>
      </c>
      <c r="AM790" s="12" t="s">
        <v>83</v>
      </c>
      <c r="AN790" s="12"/>
      <c r="AO790" s="12"/>
      <c r="AP790" s="12"/>
      <c r="AQ790" s="4">
        <v>4</v>
      </c>
      <c r="AR790" s="4" t="s">
        <v>83</v>
      </c>
      <c r="AS790" s="4"/>
      <c r="AT790" s="13"/>
      <c r="AU790" s="13"/>
      <c r="AV790" s="13"/>
      <c r="AW790" s="13"/>
      <c r="AX790" s="4"/>
      <c r="AY790" s="13"/>
      <c r="AZ790" s="13"/>
      <c r="BA790" s="13"/>
      <c r="BB790" s="13"/>
      <c r="BC790" s="4"/>
      <c r="BD790" s="4"/>
      <c r="BE790" s="4"/>
      <c r="BF790" s="13"/>
      <c r="BG790" s="4"/>
      <c r="BH790" s="13"/>
      <c r="BI790" s="13"/>
      <c r="BJ790" s="4"/>
      <c r="BK790" s="14">
        <v>18</v>
      </c>
      <c r="BL790" s="14">
        <v>18</v>
      </c>
      <c r="BM790" s="14">
        <v>18</v>
      </c>
      <c r="BN790" s="3" t="s">
        <v>312</v>
      </c>
      <c r="BP790" s="15"/>
      <c r="BQ790" s="15"/>
      <c r="BR790" s="2" t="s">
        <v>87</v>
      </c>
      <c r="BS790" s="2" t="s">
        <v>87</v>
      </c>
      <c r="BT790" s="7" t="s">
        <v>88</v>
      </c>
      <c r="BU790" s="7"/>
      <c r="BV790" s="9" t="s">
        <v>88</v>
      </c>
      <c r="BW790" s="9"/>
    </row>
    <row r="791" spans="1:75" ht="14.25" customHeight="1" x14ac:dyDescent="0.25">
      <c r="A791" s="1">
        <v>324</v>
      </c>
      <c r="B791" s="1" t="s">
        <v>3381</v>
      </c>
      <c r="C791" s="1" t="s">
        <v>3382</v>
      </c>
      <c r="D791" s="1" t="s">
        <v>77</v>
      </c>
      <c r="E791" s="1" t="s">
        <v>827</v>
      </c>
      <c r="F791" s="1" t="s">
        <v>854</v>
      </c>
      <c r="G791" s="1"/>
      <c r="H791" s="2">
        <v>0</v>
      </c>
      <c r="I791" s="2">
        <v>0</v>
      </c>
      <c r="J791" s="2">
        <v>1</v>
      </c>
      <c r="K791" s="2">
        <v>1</v>
      </c>
      <c r="L791" s="3" t="s">
        <v>80</v>
      </c>
      <c r="O791" s="4">
        <v>4</v>
      </c>
      <c r="P791" s="4" t="s">
        <v>81</v>
      </c>
      <c r="Q791" s="4" t="s">
        <v>1012</v>
      </c>
      <c r="R791" s="5"/>
      <c r="S791" s="6"/>
      <c r="T791" s="17"/>
      <c r="U791" s="6"/>
      <c r="V791" s="4"/>
      <c r="W791" s="4"/>
      <c r="X791" s="4"/>
      <c r="Y791" s="7">
        <v>4</v>
      </c>
      <c r="Z791" s="8">
        <v>190070</v>
      </c>
      <c r="AA791" s="7" t="s">
        <v>92</v>
      </c>
      <c r="AB791" s="7"/>
      <c r="AC791" s="9">
        <v>4</v>
      </c>
      <c r="AD791" s="10">
        <v>190070</v>
      </c>
      <c r="AE791" s="9" t="s">
        <v>92</v>
      </c>
      <c r="AF791" s="9"/>
      <c r="AG791" s="11">
        <v>3</v>
      </c>
      <c r="AH791" s="11" t="s">
        <v>93</v>
      </c>
      <c r="AI791" s="11"/>
      <c r="AJ791" s="11"/>
      <c r="AK791" s="11"/>
      <c r="AL791" s="12">
        <v>3</v>
      </c>
      <c r="AM791" s="12" t="s">
        <v>93</v>
      </c>
      <c r="AN791" s="12" t="s">
        <v>698</v>
      </c>
      <c r="AO791" s="12"/>
      <c r="AP791" s="12"/>
      <c r="AQ791" s="4">
        <v>4</v>
      </c>
      <c r="AR791" s="4" t="s">
        <v>83</v>
      </c>
      <c r="AS791" s="4" t="s">
        <v>3383</v>
      </c>
      <c r="AT791" s="13"/>
      <c r="AU791" s="13"/>
      <c r="AV791" s="13"/>
      <c r="AW791" s="13"/>
      <c r="AX791" s="4"/>
      <c r="AY791" s="13"/>
      <c r="AZ791" s="13"/>
      <c r="BA791" s="13"/>
      <c r="BB791" s="13"/>
      <c r="BC791" s="4"/>
      <c r="BD791" s="4"/>
      <c r="BE791" s="4"/>
      <c r="BF791" s="13"/>
      <c r="BG791" s="4"/>
      <c r="BH791" s="13"/>
      <c r="BI791" s="13"/>
      <c r="BJ791" s="4"/>
      <c r="BK791" s="14">
        <v>15</v>
      </c>
      <c r="BL791" s="14">
        <v>15</v>
      </c>
      <c r="BM791" s="14">
        <v>15</v>
      </c>
      <c r="BN791" s="3" t="s">
        <v>86</v>
      </c>
      <c r="BP791" s="15"/>
      <c r="BQ791" s="15"/>
      <c r="BR791" s="2" t="s">
        <v>409</v>
      </c>
      <c r="BS791" s="2" t="s">
        <v>409</v>
      </c>
      <c r="BT791" s="7" t="s">
        <v>88</v>
      </c>
      <c r="BU791" s="7" t="s">
        <v>438</v>
      </c>
      <c r="BV791" s="9" t="s">
        <v>88</v>
      </c>
      <c r="BW791" s="9" t="s">
        <v>438</v>
      </c>
    </row>
    <row r="792" spans="1:75" ht="14.25" customHeight="1" x14ac:dyDescent="0.25">
      <c r="A792" s="1">
        <v>325</v>
      </c>
      <c r="B792" s="1" t="s">
        <v>3384</v>
      </c>
      <c r="C792" s="1" t="s">
        <v>3385</v>
      </c>
      <c r="D792" s="1" t="s">
        <v>77</v>
      </c>
      <c r="E792" s="1" t="s">
        <v>827</v>
      </c>
      <c r="F792" s="1" t="s">
        <v>854</v>
      </c>
      <c r="G792" s="1"/>
      <c r="H792" s="2">
        <v>0</v>
      </c>
      <c r="I792" s="2">
        <v>1</v>
      </c>
      <c r="J792" s="2">
        <v>1</v>
      </c>
      <c r="K792" s="2">
        <v>0</v>
      </c>
      <c r="L792" s="3" t="s">
        <v>127</v>
      </c>
      <c r="O792" s="4">
        <v>3</v>
      </c>
      <c r="P792" s="4" t="s">
        <v>706</v>
      </c>
      <c r="Q792" s="4" t="s">
        <v>3386</v>
      </c>
      <c r="R792" s="16">
        <v>2000000</v>
      </c>
      <c r="S792" s="6">
        <v>2000000</v>
      </c>
      <c r="T792" s="17" t="s">
        <v>1780</v>
      </c>
      <c r="U792" s="6">
        <v>2000</v>
      </c>
      <c r="V792" s="4"/>
      <c r="W792" s="4" t="s">
        <v>271</v>
      </c>
      <c r="X792" s="4" t="s">
        <v>3387</v>
      </c>
      <c r="Y792" s="7">
        <v>3</v>
      </c>
      <c r="Z792" s="8">
        <v>497982</v>
      </c>
      <c r="AA792" s="7" t="s">
        <v>92</v>
      </c>
      <c r="AB792" s="7"/>
      <c r="AC792" s="9">
        <v>3</v>
      </c>
      <c r="AD792" s="10">
        <v>371686</v>
      </c>
      <c r="AE792" s="9" t="s">
        <v>92</v>
      </c>
      <c r="AF792" s="9"/>
      <c r="AG792" s="11">
        <v>3</v>
      </c>
      <c r="AH792" s="11" t="s">
        <v>271</v>
      </c>
      <c r="AI792" s="11" t="s">
        <v>3388</v>
      </c>
      <c r="AJ792" s="11"/>
      <c r="AK792" s="11"/>
      <c r="AL792" s="12">
        <v>3</v>
      </c>
      <c r="AM792" s="12" t="s">
        <v>537</v>
      </c>
      <c r="AN792" s="12" t="s">
        <v>3389</v>
      </c>
      <c r="AO792" s="12"/>
      <c r="AP792" s="12"/>
      <c r="AQ792" s="4">
        <v>3</v>
      </c>
      <c r="AR792" s="4" t="s">
        <v>673</v>
      </c>
      <c r="AS792" s="4"/>
      <c r="AT792" s="13"/>
      <c r="AU792" s="13"/>
      <c r="AV792" s="13"/>
      <c r="AW792" s="13"/>
      <c r="AX792" s="4"/>
      <c r="AY792" s="13"/>
      <c r="AZ792" s="13"/>
      <c r="BA792" s="13"/>
      <c r="BB792" s="13"/>
      <c r="BC792" s="4"/>
      <c r="BD792" s="4"/>
      <c r="BE792" s="4"/>
      <c r="BF792" s="13"/>
      <c r="BG792" s="4"/>
      <c r="BH792" s="13"/>
      <c r="BI792" s="13"/>
      <c r="BJ792" s="4"/>
      <c r="BK792" s="14">
        <v>12</v>
      </c>
      <c r="BL792" s="14">
        <v>12</v>
      </c>
      <c r="BM792" s="14">
        <v>12</v>
      </c>
      <c r="BP792" s="15"/>
      <c r="BQ792" s="15"/>
      <c r="BR792" s="2" t="s">
        <v>409</v>
      </c>
      <c r="BS792" s="2" t="s">
        <v>409</v>
      </c>
      <c r="BT792" s="7" t="s">
        <v>438</v>
      </c>
      <c r="BU792" s="7" t="s">
        <v>437</v>
      </c>
      <c r="BV792" s="9" t="s">
        <v>438</v>
      </c>
      <c r="BW792" s="9" t="s">
        <v>437</v>
      </c>
    </row>
    <row r="793" spans="1:75" ht="14.25" customHeight="1" x14ac:dyDescent="0.25">
      <c r="A793" s="1">
        <v>326</v>
      </c>
      <c r="B793" s="1" t="s">
        <v>3390</v>
      </c>
      <c r="C793" s="1" t="s">
        <v>3391</v>
      </c>
      <c r="D793" s="1" t="s">
        <v>77</v>
      </c>
      <c r="E793" s="1" t="s">
        <v>827</v>
      </c>
      <c r="F793" s="1" t="s">
        <v>854</v>
      </c>
      <c r="G793" s="1" t="s">
        <v>118</v>
      </c>
      <c r="H793" s="2">
        <v>0</v>
      </c>
      <c r="I793" s="2">
        <v>0</v>
      </c>
      <c r="J793" s="2">
        <v>0</v>
      </c>
      <c r="K793" s="2">
        <v>1</v>
      </c>
      <c r="L793" s="3" t="s">
        <v>80</v>
      </c>
      <c r="O793" s="4">
        <v>5</v>
      </c>
      <c r="P793" s="4" t="s">
        <v>81</v>
      </c>
      <c r="Q793" s="4"/>
      <c r="R793" s="5"/>
      <c r="S793" s="6"/>
      <c r="T793" s="17"/>
      <c r="U793" s="6"/>
      <c r="V793" s="4"/>
      <c r="W793" s="4"/>
      <c r="X793" s="4"/>
      <c r="Y793" s="7">
        <v>5</v>
      </c>
      <c r="Z793" s="8">
        <v>9398</v>
      </c>
      <c r="AA793" s="7" t="s">
        <v>82</v>
      </c>
      <c r="AB793" s="7"/>
      <c r="AC793" s="9">
        <v>5</v>
      </c>
      <c r="AD793" s="10">
        <v>9398</v>
      </c>
      <c r="AE793" s="9" t="s">
        <v>82</v>
      </c>
      <c r="AF793" s="9"/>
      <c r="AG793" s="11">
        <v>3</v>
      </c>
      <c r="AH793" s="11" t="s">
        <v>83</v>
      </c>
      <c r="AI793" s="11" t="s">
        <v>3392</v>
      </c>
      <c r="AJ793" s="11"/>
      <c r="AK793" s="11"/>
      <c r="AL793" s="12">
        <v>3</v>
      </c>
      <c r="AM793" s="12" t="s">
        <v>83</v>
      </c>
      <c r="AN793" s="12"/>
      <c r="AO793" s="12"/>
      <c r="AP793" s="12"/>
      <c r="AQ793" s="4">
        <v>4</v>
      </c>
      <c r="AR793" s="4" t="s">
        <v>83</v>
      </c>
      <c r="AS793" s="4"/>
      <c r="AT793" s="13"/>
      <c r="AU793" s="13"/>
      <c r="AV793" s="13"/>
      <c r="AW793" s="13"/>
      <c r="AX793" s="4"/>
      <c r="AY793" s="13"/>
      <c r="AZ793" s="13"/>
      <c r="BA793" s="13"/>
      <c r="BB793" s="13"/>
      <c r="BC793" s="4"/>
      <c r="BD793" s="4"/>
      <c r="BE793" s="4"/>
      <c r="BF793" s="13"/>
      <c r="BG793" s="4"/>
      <c r="BH793" s="13"/>
      <c r="BI793" s="13"/>
      <c r="BJ793" s="4"/>
      <c r="BK793" s="14">
        <v>17</v>
      </c>
      <c r="BL793" s="14">
        <v>17</v>
      </c>
      <c r="BM793" s="14">
        <v>17</v>
      </c>
      <c r="BN793" s="3" t="s">
        <v>312</v>
      </c>
      <c r="BP793" s="15"/>
      <c r="BQ793" s="15"/>
      <c r="BR793" s="2" t="s">
        <v>87</v>
      </c>
      <c r="BS793" s="2" t="s">
        <v>87</v>
      </c>
      <c r="BT793" s="7" t="s">
        <v>88</v>
      </c>
      <c r="BU793" s="7"/>
      <c r="BV793" s="9" t="s">
        <v>88</v>
      </c>
      <c r="BW793" s="9"/>
    </row>
    <row r="794" spans="1:75" ht="14.25" customHeight="1" x14ac:dyDescent="0.25">
      <c r="A794" s="1">
        <v>327</v>
      </c>
      <c r="B794" s="1" t="s">
        <v>3393</v>
      </c>
      <c r="C794" s="1" t="s">
        <v>3394</v>
      </c>
      <c r="D794" s="1" t="s">
        <v>77</v>
      </c>
      <c r="E794" s="1" t="s">
        <v>827</v>
      </c>
      <c r="F794" s="1" t="s">
        <v>854</v>
      </c>
      <c r="G794" s="1"/>
      <c r="H794" s="2">
        <v>0</v>
      </c>
      <c r="I794" s="2">
        <v>0</v>
      </c>
      <c r="J794" s="2">
        <v>0</v>
      </c>
      <c r="K794" s="2">
        <v>1</v>
      </c>
      <c r="L794" s="3" t="s">
        <v>80</v>
      </c>
      <c r="O794" s="4">
        <v>4</v>
      </c>
      <c r="P794" s="4" t="s">
        <v>81</v>
      </c>
      <c r="Q794" s="4"/>
      <c r="R794" s="5"/>
      <c r="S794" s="6"/>
      <c r="T794" s="17"/>
      <c r="U794" s="6"/>
      <c r="V794" s="4"/>
      <c r="W794" s="4"/>
      <c r="X794" s="4"/>
      <c r="Y794" s="7">
        <v>5</v>
      </c>
      <c r="Z794" s="8">
        <v>11024</v>
      </c>
      <c r="AA794" s="7" t="s">
        <v>82</v>
      </c>
      <c r="AB794" s="7"/>
      <c r="AC794" s="9">
        <v>5</v>
      </c>
      <c r="AD794" s="10">
        <v>11024</v>
      </c>
      <c r="AE794" s="9" t="s">
        <v>82</v>
      </c>
      <c r="AF794" s="9"/>
      <c r="AG794" s="11">
        <v>3</v>
      </c>
      <c r="AH794" s="11" t="s">
        <v>83</v>
      </c>
      <c r="AI794" s="11" t="s">
        <v>3395</v>
      </c>
      <c r="AJ794" s="11"/>
      <c r="AK794" s="11"/>
      <c r="AL794" s="12">
        <v>3</v>
      </c>
      <c r="AM794" s="12" t="s">
        <v>83</v>
      </c>
      <c r="AN794" s="12"/>
      <c r="AO794" s="12"/>
      <c r="AP794" s="12"/>
      <c r="AQ794" s="4">
        <v>4</v>
      </c>
      <c r="AR794" s="4" t="s">
        <v>83</v>
      </c>
      <c r="AS794" s="4"/>
      <c r="AT794" s="13"/>
      <c r="AU794" s="13"/>
      <c r="AV794" s="13"/>
      <c r="AW794" s="13"/>
      <c r="AX794" s="4"/>
      <c r="AY794" s="13"/>
      <c r="AZ794" s="13"/>
      <c r="BA794" s="13"/>
      <c r="BB794" s="13"/>
      <c r="BC794" s="4"/>
      <c r="BD794" s="4"/>
      <c r="BE794" s="4"/>
      <c r="BF794" s="13"/>
      <c r="BG794" s="4"/>
      <c r="BH794" s="13"/>
      <c r="BI794" s="13"/>
      <c r="BJ794" s="4"/>
      <c r="BK794" s="14">
        <v>16</v>
      </c>
      <c r="BL794" s="14">
        <v>16</v>
      </c>
      <c r="BM794" s="14">
        <v>16</v>
      </c>
      <c r="BN794" s="3" t="s">
        <v>86</v>
      </c>
      <c r="BP794" s="15"/>
      <c r="BQ794" s="15"/>
      <c r="BR794" s="2" t="s">
        <v>87</v>
      </c>
      <c r="BS794" s="2" t="s">
        <v>87</v>
      </c>
      <c r="BT794" s="7" t="s">
        <v>88</v>
      </c>
      <c r="BU794" s="7"/>
      <c r="BV794" s="9" t="s">
        <v>88</v>
      </c>
      <c r="BW794" s="9"/>
    </row>
    <row r="795" spans="1:75" ht="14.25" customHeight="1" x14ac:dyDescent="0.25">
      <c r="A795" s="1">
        <v>328</v>
      </c>
      <c r="B795" s="1" t="s">
        <v>3396</v>
      </c>
      <c r="C795" s="1" t="s">
        <v>3397</v>
      </c>
      <c r="D795" s="1" t="s">
        <v>77</v>
      </c>
      <c r="E795" s="1" t="s">
        <v>827</v>
      </c>
      <c r="F795" s="1" t="s">
        <v>854</v>
      </c>
      <c r="G795" s="1"/>
      <c r="H795" s="2">
        <v>0</v>
      </c>
      <c r="I795" s="2">
        <v>0</v>
      </c>
      <c r="J795" s="2">
        <v>0</v>
      </c>
      <c r="K795" s="2">
        <v>1</v>
      </c>
      <c r="L795" s="3" t="s">
        <v>80</v>
      </c>
      <c r="O795" s="4">
        <v>5</v>
      </c>
      <c r="P795" s="4" t="s">
        <v>81</v>
      </c>
      <c r="Q795" s="4"/>
      <c r="R795" s="5"/>
      <c r="S795" s="6"/>
      <c r="T795" s="17"/>
      <c r="U795" s="6"/>
      <c r="V795" s="4"/>
      <c r="W795" s="4"/>
      <c r="X795" s="4"/>
      <c r="Y795" s="7">
        <v>5</v>
      </c>
      <c r="Z795" s="8">
        <v>7746</v>
      </c>
      <c r="AA795" s="7" t="s">
        <v>82</v>
      </c>
      <c r="AB795" s="7"/>
      <c r="AC795" s="9">
        <v>5</v>
      </c>
      <c r="AD795" s="10">
        <v>7746</v>
      </c>
      <c r="AE795" s="9" t="s">
        <v>82</v>
      </c>
      <c r="AF795" s="9"/>
      <c r="AG795" s="11">
        <v>3</v>
      </c>
      <c r="AH795" s="11" t="s">
        <v>83</v>
      </c>
      <c r="AI795" s="11"/>
      <c r="AJ795" s="11"/>
      <c r="AK795" s="11"/>
      <c r="AL795" s="12">
        <v>3</v>
      </c>
      <c r="AM795" s="12" t="s">
        <v>83</v>
      </c>
      <c r="AN795" s="12"/>
      <c r="AO795" s="12"/>
      <c r="AP795" s="12"/>
      <c r="AQ795" s="4">
        <v>4</v>
      </c>
      <c r="AR795" s="4" t="s">
        <v>83</v>
      </c>
      <c r="AS795" s="4"/>
      <c r="AT795" s="13"/>
      <c r="AU795" s="13"/>
      <c r="AV795" s="13"/>
      <c r="AW795" s="13"/>
      <c r="AX795" s="4"/>
      <c r="AY795" s="13"/>
      <c r="AZ795" s="13"/>
      <c r="BA795" s="13"/>
      <c r="BB795" s="13"/>
      <c r="BC795" s="4"/>
      <c r="BD795" s="4"/>
      <c r="BE795" s="4"/>
      <c r="BF795" s="13"/>
      <c r="BG795" s="4"/>
      <c r="BH795" s="13"/>
      <c r="BI795" s="13"/>
      <c r="BJ795" s="4"/>
      <c r="BK795" s="14">
        <v>17</v>
      </c>
      <c r="BL795" s="14">
        <v>17</v>
      </c>
      <c r="BM795" s="14">
        <v>17</v>
      </c>
      <c r="BN795" s="3" t="s">
        <v>312</v>
      </c>
      <c r="BP795" s="15"/>
      <c r="BQ795" s="15"/>
      <c r="BR795" s="2" t="s">
        <v>87</v>
      </c>
      <c r="BS795" s="2" t="s">
        <v>87</v>
      </c>
      <c r="BT795" s="7" t="s">
        <v>88</v>
      </c>
      <c r="BU795" s="7"/>
      <c r="BV795" s="9" t="s">
        <v>88</v>
      </c>
      <c r="BW795" s="9"/>
    </row>
    <row r="796" spans="1:75" ht="14.25" customHeight="1" x14ac:dyDescent="0.25">
      <c r="A796" s="1">
        <v>329</v>
      </c>
      <c r="B796" s="1" t="s">
        <v>3398</v>
      </c>
      <c r="C796" s="1" t="s">
        <v>3399</v>
      </c>
      <c r="D796" s="1" t="s">
        <v>77</v>
      </c>
      <c r="E796" s="1" t="s">
        <v>827</v>
      </c>
      <c r="F796" s="1" t="s">
        <v>854</v>
      </c>
      <c r="G796" s="1" t="s">
        <v>118</v>
      </c>
      <c r="H796" s="2">
        <v>0</v>
      </c>
      <c r="I796" s="2">
        <v>0</v>
      </c>
      <c r="J796" s="2">
        <v>1</v>
      </c>
      <c r="K796" s="2">
        <v>1</v>
      </c>
      <c r="L796" s="3" t="s">
        <v>80</v>
      </c>
      <c r="O796" s="4">
        <v>5</v>
      </c>
      <c r="P796" s="4" t="s">
        <v>112</v>
      </c>
      <c r="Q796" s="4"/>
      <c r="R796" s="5"/>
      <c r="S796" s="6"/>
      <c r="T796" s="17"/>
      <c r="U796" s="6"/>
      <c r="V796" s="4"/>
      <c r="W796" s="4"/>
      <c r="X796" s="4"/>
      <c r="Y796" s="7">
        <v>4</v>
      </c>
      <c r="Z796" s="8">
        <v>138314</v>
      </c>
      <c r="AA796" s="7" t="s">
        <v>92</v>
      </c>
      <c r="AB796" s="7"/>
      <c r="AC796" s="9">
        <v>4</v>
      </c>
      <c r="AD796" s="10">
        <v>138314</v>
      </c>
      <c r="AE796" s="9" t="s">
        <v>92</v>
      </c>
      <c r="AF796" s="9"/>
      <c r="AG796" s="11">
        <v>4</v>
      </c>
      <c r="AH796" s="11" t="s">
        <v>93</v>
      </c>
      <c r="AI796" s="11" t="s">
        <v>393</v>
      </c>
      <c r="AJ796" s="11"/>
      <c r="AK796" s="11"/>
      <c r="AL796" s="12">
        <v>4</v>
      </c>
      <c r="AM796" s="12" t="s">
        <v>93</v>
      </c>
      <c r="AN796" s="12" t="s">
        <v>698</v>
      </c>
      <c r="AO796" s="12"/>
      <c r="AP796" s="12"/>
      <c r="AQ796" s="4">
        <v>4</v>
      </c>
      <c r="AR796" s="4" t="s">
        <v>83</v>
      </c>
      <c r="AS796" s="4"/>
      <c r="AT796" s="13"/>
      <c r="AU796" s="13"/>
      <c r="AV796" s="13"/>
      <c r="AW796" s="13"/>
      <c r="AX796" s="4"/>
      <c r="AY796" s="13"/>
      <c r="AZ796" s="13"/>
      <c r="BA796" s="13"/>
      <c r="BB796" s="13"/>
      <c r="BC796" s="4"/>
      <c r="BD796" s="4"/>
      <c r="BE796" s="4"/>
      <c r="BF796" s="13"/>
      <c r="BG796" s="4"/>
      <c r="BH796" s="13"/>
      <c r="BI796" s="13"/>
      <c r="BJ796" s="4"/>
      <c r="BK796" s="14">
        <v>17</v>
      </c>
      <c r="BL796" s="14">
        <v>17</v>
      </c>
      <c r="BM796" s="14">
        <v>17</v>
      </c>
      <c r="BN796" s="3" t="s">
        <v>312</v>
      </c>
      <c r="BP796" s="15"/>
      <c r="BQ796" s="15"/>
      <c r="BR796" s="2" t="s">
        <v>409</v>
      </c>
      <c r="BS796" s="2" t="s">
        <v>409</v>
      </c>
      <c r="BT796" s="7" t="s">
        <v>88</v>
      </c>
      <c r="BU796" s="7"/>
      <c r="BV796" s="9" t="s">
        <v>88</v>
      </c>
      <c r="BW796" s="9"/>
    </row>
    <row r="797" spans="1:75" ht="14.25" customHeight="1" x14ac:dyDescent="0.25">
      <c r="A797" s="1">
        <v>330</v>
      </c>
      <c r="B797" s="1" t="s">
        <v>3400</v>
      </c>
      <c r="C797" s="1" t="s">
        <v>3401</v>
      </c>
      <c r="D797" s="1" t="s">
        <v>77</v>
      </c>
      <c r="E797" s="1" t="s">
        <v>827</v>
      </c>
      <c r="F797" s="1" t="s">
        <v>854</v>
      </c>
      <c r="G797" s="1" t="s">
        <v>3402</v>
      </c>
      <c r="H797" s="2">
        <v>0</v>
      </c>
      <c r="I797" s="2">
        <v>0</v>
      </c>
      <c r="J797" s="2">
        <v>0</v>
      </c>
      <c r="K797" s="2">
        <v>1</v>
      </c>
      <c r="L797" s="3" t="s">
        <v>80</v>
      </c>
      <c r="O797" s="4">
        <v>5</v>
      </c>
      <c r="P797" s="4" t="s">
        <v>81</v>
      </c>
      <c r="Q797" s="4"/>
      <c r="R797" s="5"/>
      <c r="S797" s="6"/>
      <c r="T797" s="17"/>
      <c r="U797" s="6"/>
      <c r="V797" s="4"/>
      <c r="W797" s="4"/>
      <c r="X797" s="4"/>
      <c r="Y797" s="7">
        <v>5</v>
      </c>
      <c r="Z797" s="8">
        <v>9247</v>
      </c>
      <c r="AA797" s="7" t="s">
        <v>82</v>
      </c>
      <c r="AB797" s="7"/>
      <c r="AC797" s="9">
        <v>5</v>
      </c>
      <c r="AD797" s="10">
        <v>9247</v>
      </c>
      <c r="AE797" s="9" t="s">
        <v>82</v>
      </c>
      <c r="AF797" s="9"/>
      <c r="AG797" s="11">
        <v>4</v>
      </c>
      <c r="AH797" s="11" t="s">
        <v>83</v>
      </c>
      <c r="AI797" s="11"/>
      <c r="AJ797" s="11"/>
      <c r="AK797" s="11"/>
      <c r="AL797" s="12">
        <v>4</v>
      </c>
      <c r="AM797" s="12" t="s">
        <v>83</v>
      </c>
      <c r="AN797" s="12"/>
      <c r="AO797" s="12"/>
      <c r="AP797" s="12"/>
      <c r="AQ797" s="4">
        <v>4</v>
      </c>
      <c r="AR797" s="4" t="s">
        <v>83</v>
      </c>
      <c r="AS797" s="4"/>
      <c r="AT797" s="13"/>
      <c r="AU797" s="13"/>
      <c r="AV797" s="13"/>
      <c r="AW797" s="13"/>
      <c r="AX797" s="4"/>
      <c r="AY797" s="13"/>
      <c r="AZ797" s="13"/>
      <c r="BA797" s="13"/>
      <c r="BB797" s="13"/>
      <c r="BC797" s="4"/>
      <c r="BD797" s="4"/>
      <c r="BE797" s="4"/>
      <c r="BF797" s="13"/>
      <c r="BG797" s="4"/>
      <c r="BH797" s="13"/>
      <c r="BI797" s="13"/>
      <c r="BJ797" s="4"/>
      <c r="BK797" s="14">
        <v>18</v>
      </c>
      <c r="BL797" s="14">
        <v>18</v>
      </c>
      <c r="BM797" s="14">
        <v>18</v>
      </c>
      <c r="BN797" s="3" t="s">
        <v>312</v>
      </c>
      <c r="BP797" s="15"/>
      <c r="BQ797" s="15"/>
      <c r="BR797" s="2" t="s">
        <v>87</v>
      </c>
      <c r="BS797" s="2" t="s">
        <v>87</v>
      </c>
      <c r="BT797" s="7" t="s">
        <v>88</v>
      </c>
      <c r="BU797" s="7"/>
      <c r="BV797" s="9" t="s">
        <v>88</v>
      </c>
      <c r="BW797" s="9"/>
    </row>
    <row r="798" spans="1:75" ht="14.25" customHeight="1" x14ac:dyDescent="0.25">
      <c r="A798" s="1">
        <v>331</v>
      </c>
      <c r="B798" s="1" t="s">
        <v>3403</v>
      </c>
      <c r="C798" s="1" t="s">
        <v>3404</v>
      </c>
      <c r="D798" s="1" t="s">
        <v>77</v>
      </c>
      <c r="E798" s="1" t="s">
        <v>827</v>
      </c>
      <c r="F798" s="1" t="s">
        <v>854</v>
      </c>
      <c r="G798" s="1" t="s">
        <v>3402</v>
      </c>
      <c r="H798" s="2">
        <v>0</v>
      </c>
      <c r="I798" s="2">
        <v>0</v>
      </c>
      <c r="J798" s="2">
        <v>0</v>
      </c>
      <c r="K798" s="2">
        <v>1</v>
      </c>
      <c r="L798" s="3" t="s">
        <v>80</v>
      </c>
      <c r="O798" s="4">
        <v>5</v>
      </c>
      <c r="P798" s="4" t="s">
        <v>81</v>
      </c>
      <c r="Q798" s="4"/>
      <c r="R798" s="5"/>
      <c r="S798" s="6"/>
      <c r="T798" s="17"/>
      <c r="U798" s="6"/>
      <c r="V798" s="4"/>
      <c r="W798" s="4"/>
      <c r="X798" s="4"/>
      <c r="Y798" s="7">
        <v>5</v>
      </c>
      <c r="Z798" s="8">
        <v>36163</v>
      </c>
      <c r="AA798" s="7" t="s">
        <v>82</v>
      </c>
      <c r="AB798" s="7"/>
      <c r="AC798" s="9">
        <v>5</v>
      </c>
      <c r="AD798" s="10">
        <v>36163</v>
      </c>
      <c r="AE798" s="9" t="s">
        <v>82</v>
      </c>
      <c r="AF798" s="9"/>
      <c r="AG798" s="11">
        <v>2</v>
      </c>
      <c r="AH798" s="11" t="s">
        <v>83</v>
      </c>
      <c r="AI798" s="11" t="s">
        <v>3405</v>
      </c>
      <c r="AJ798" s="11"/>
      <c r="AK798" s="11"/>
      <c r="AL798" s="12">
        <v>2</v>
      </c>
      <c r="AM798" s="12" t="s">
        <v>83</v>
      </c>
      <c r="AN798" s="12"/>
      <c r="AO798" s="12"/>
      <c r="AP798" s="12"/>
      <c r="AQ798" s="4">
        <v>3</v>
      </c>
      <c r="AR798" s="4" t="s">
        <v>83</v>
      </c>
      <c r="AS798" s="4"/>
      <c r="AT798" s="13"/>
      <c r="AU798" s="13"/>
      <c r="AV798" s="13"/>
      <c r="AW798" s="13"/>
      <c r="AX798" s="4"/>
      <c r="AY798" s="13"/>
      <c r="AZ798" s="13"/>
      <c r="BA798" s="13"/>
      <c r="BB798" s="13"/>
      <c r="BC798" s="4"/>
      <c r="BD798" s="4"/>
      <c r="BE798" s="4"/>
      <c r="BF798" s="13"/>
      <c r="BG798" s="4"/>
      <c r="BH798" s="13"/>
      <c r="BI798" s="13"/>
      <c r="BJ798" s="4"/>
      <c r="BK798" s="14">
        <v>15</v>
      </c>
      <c r="BL798" s="14">
        <v>15</v>
      </c>
      <c r="BM798" s="14">
        <v>15</v>
      </c>
      <c r="BN798" s="3" t="s">
        <v>86</v>
      </c>
      <c r="BP798" s="15"/>
      <c r="BQ798" s="15"/>
      <c r="BR798" s="2" t="s">
        <v>87</v>
      </c>
      <c r="BS798" s="2" t="s">
        <v>87</v>
      </c>
      <c r="BT798" s="7" t="s">
        <v>88</v>
      </c>
      <c r="BU798" s="7"/>
      <c r="BV798" s="9" t="s">
        <v>88</v>
      </c>
      <c r="BW798" s="9"/>
    </row>
    <row r="799" spans="1:75" ht="14.25" customHeight="1" x14ac:dyDescent="0.25">
      <c r="A799" s="1">
        <v>332</v>
      </c>
      <c r="B799" s="1" t="s">
        <v>3406</v>
      </c>
      <c r="C799" s="1" t="s">
        <v>3407</v>
      </c>
      <c r="D799" s="1" t="s">
        <v>77</v>
      </c>
      <c r="E799" s="1" t="s">
        <v>827</v>
      </c>
      <c r="F799" s="1" t="s">
        <v>854</v>
      </c>
      <c r="G799" s="1" t="s">
        <v>118</v>
      </c>
      <c r="H799" s="2">
        <v>0</v>
      </c>
      <c r="I799" s="2">
        <v>0</v>
      </c>
      <c r="J799" s="2">
        <v>1</v>
      </c>
      <c r="K799" s="2">
        <v>1</v>
      </c>
      <c r="L799" s="3" t="s">
        <v>80</v>
      </c>
      <c r="O799" s="4">
        <v>5</v>
      </c>
      <c r="P799" s="4" t="s">
        <v>112</v>
      </c>
      <c r="Q799" s="4"/>
      <c r="R799" s="5"/>
      <c r="S799" s="6"/>
      <c r="T799" s="17"/>
      <c r="U799" s="6"/>
      <c r="V799" s="4"/>
      <c r="W799" s="4"/>
      <c r="X799" s="4"/>
      <c r="Y799" s="7">
        <v>5</v>
      </c>
      <c r="Z799" s="8">
        <v>78858</v>
      </c>
      <c r="AA799" s="7" t="s">
        <v>92</v>
      </c>
      <c r="AB799" s="7"/>
      <c r="AC799" s="9">
        <v>5</v>
      </c>
      <c r="AD799" s="10">
        <v>78858</v>
      </c>
      <c r="AE799" s="9" t="s">
        <v>92</v>
      </c>
      <c r="AF799" s="9"/>
      <c r="AG799" s="11">
        <v>3</v>
      </c>
      <c r="AH799" s="11" t="s">
        <v>93</v>
      </c>
      <c r="AI799" s="11"/>
      <c r="AJ799" s="11"/>
      <c r="AK799" s="11"/>
      <c r="AL799" s="12">
        <v>3</v>
      </c>
      <c r="AM799" s="12" t="s">
        <v>93</v>
      </c>
      <c r="AN799" s="12" t="s">
        <v>805</v>
      </c>
      <c r="AO799" s="12"/>
      <c r="AP799" s="12"/>
      <c r="AQ799" s="4">
        <v>4</v>
      </c>
      <c r="AR799" s="4" t="s">
        <v>83</v>
      </c>
      <c r="AS799" s="4" t="s">
        <v>999</v>
      </c>
      <c r="AT799" s="13"/>
      <c r="AU799" s="13"/>
      <c r="AV799" s="13"/>
      <c r="AW799" s="13"/>
      <c r="AX799" s="4"/>
      <c r="AY799" s="13"/>
      <c r="AZ799" s="13"/>
      <c r="BA799" s="13"/>
      <c r="BB799" s="13"/>
      <c r="BC799" s="4"/>
      <c r="BD799" s="4"/>
      <c r="BE799" s="4"/>
      <c r="BF799" s="13"/>
      <c r="BG799" s="4"/>
      <c r="BH799" s="13"/>
      <c r="BI799" s="13"/>
      <c r="BJ799" s="4"/>
      <c r="BK799" s="14">
        <v>17</v>
      </c>
      <c r="BL799" s="14">
        <v>17</v>
      </c>
      <c r="BM799" s="14">
        <v>17</v>
      </c>
      <c r="BN799" s="3" t="s">
        <v>312</v>
      </c>
      <c r="BP799" s="15"/>
      <c r="BQ799" s="15"/>
      <c r="BR799" s="2" t="s">
        <v>409</v>
      </c>
      <c r="BS799" s="2" t="s">
        <v>409</v>
      </c>
      <c r="BT799" s="7" t="s">
        <v>88</v>
      </c>
      <c r="BU799" s="7"/>
      <c r="BV799" s="9" t="s">
        <v>88</v>
      </c>
      <c r="BW799" s="9"/>
    </row>
    <row r="800" spans="1:75" ht="14.25" customHeight="1" x14ac:dyDescent="0.25">
      <c r="A800" s="1">
        <v>333</v>
      </c>
      <c r="B800" s="1" t="s">
        <v>3408</v>
      </c>
      <c r="C800" s="1" t="s">
        <v>3409</v>
      </c>
      <c r="D800" s="1" t="s">
        <v>77</v>
      </c>
      <c r="E800" s="1" t="s">
        <v>827</v>
      </c>
      <c r="F800" s="1" t="s">
        <v>854</v>
      </c>
      <c r="G800" s="1" t="s">
        <v>118</v>
      </c>
      <c r="H800" s="2">
        <v>0</v>
      </c>
      <c r="I800" s="2">
        <v>0</v>
      </c>
      <c r="J800" s="2">
        <v>1</v>
      </c>
      <c r="K800" s="2">
        <v>0</v>
      </c>
      <c r="L800" s="3" t="s">
        <v>80</v>
      </c>
      <c r="O800" s="4">
        <v>5</v>
      </c>
      <c r="P800" s="4" t="s">
        <v>112</v>
      </c>
      <c r="Q800" s="4"/>
      <c r="R800" s="5"/>
      <c r="S800" s="6"/>
      <c r="T800" s="17"/>
      <c r="U800" s="6"/>
      <c r="V800" s="4"/>
      <c r="W800" s="4"/>
      <c r="X800" s="4"/>
      <c r="Y800" s="7">
        <v>5</v>
      </c>
      <c r="Z800" s="8">
        <v>9529</v>
      </c>
      <c r="AA800" s="7" t="s">
        <v>92</v>
      </c>
      <c r="AB800" s="7"/>
      <c r="AC800" s="9">
        <v>5</v>
      </c>
      <c r="AD800" s="10">
        <v>9529</v>
      </c>
      <c r="AE800" s="9" t="s">
        <v>92</v>
      </c>
      <c r="AF800" s="9"/>
      <c r="AG800" s="11">
        <v>4</v>
      </c>
      <c r="AH800" s="11" t="s">
        <v>93</v>
      </c>
      <c r="AI800" s="11" t="s">
        <v>393</v>
      </c>
      <c r="AJ800" s="11"/>
      <c r="AK800" s="11"/>
      <c r="AL800" s="12">
        <v>4</v>
      </c>
      <c r="AM800" s="12" t="s">
        <v>93</v>
      </c>
      <c r="AN800" s="12" t="s">
        <v>3410</v>
      </c>
      <c r="AO800" s="12"/>
      <c r="AP800" s="12"/>
      <c r="AQ800" s="4">
        <v>4</v>
      </c>
      <c r="AR800" s="4" t="s">
        <v>93</v>
      </c>
      <c r="AS800" s="4"/>
      <c r="AT800" s="13"/>
      <c r="AU800" s="13"/>
      <c r="AV800" s="13"/>
      <c r="AW800" s="13"/>
      <c r="AX800" s="4"/>
      <c r="AY800" s="13"/>
      <c r="AZ800" s="13"/>
      <c r="BA800" s="13"/>
      <c r="BB800" s="13"/>
      <c r="BC800" s="4"/>
      <c r="BD800" s="4"/>
      <c r="BE800" s="4"/>
      <c r="BF800" s="13"/>
      <c r="BG800" s="4"/>
      <c r="BH800" s="13"/>
      <c r="BI800" s="13"/>
      <c r="BJ800" s="4"/>
      <c r="BK800" s="14">
        <v>18</v>
      </c>
      <c r="BL800" s="14">
        <v>18</v>
      </c>
      <c r="BM800" s="14">
        <v>18</v>
      </c>
      <c r="BN800" s="3" t="s">
        <v>312</v>
      </c>
      <c r="BO800" s="3" t="s">
        <v>120</v>
      </c>
      <c r="BP800" s="15"/>
      <c r="BQ800" s="15"/>
      <c r="BR800" s="2" t="s">
        <v>115</v>
      </c>
      <c r="BS800" s="2" t="s">
        <v>115</v>
      </c>
      <c r="BT800" s="7" t="s">
        <v>109</v>
      </c>
      <c r="BU800" s="7"/>
      <c r="BV800" s="9" t="s">
        <v>109</v>
      </c>
      <c r="BW800" s="9"/>
    </row>
    <row r="801" spans="1:75" ht="14.25" customHeight="1" x14ac:dyDescent="0.25">
      <c r="A801" s="1">
        <v>334</v>
      </c>
      <c r="B801" s="1" t="s">
        <v>3411</v>
      </c>
      <c r="C801" s="1" t="s">
        <v>3412</v>
      </c>
      <c r="D801" s="1" t="s">
        <v>77</v>
      </c>
      <c r="E801" s="1" t="s">
        <v>827</v>
      </c>
      <c r="F801" s="1" t="s">
        <v>854</v>
      </c>
      <c r="G801" s="1" t="s">
        <v>118</v>
      </c>
      <c r="H801" s="2">
        <v>0</v>
      </c>
      <c r="I801" s="2">
        <v>0</v>
      </c>
      <c r="J801" s="2">
        <v>1</v>
      </c>
      <c r="K801" s="2">
        <v>1</v>
      </c>
      <c r="L801" s="3" t="s">
        <v>80</v>
      </c>
      <c r="O801" s="4">
        <v>5</v>
      </c>
      <c r="P801" s="4" t="s">
        <v>112</v>
      </c>
      <c r="Q801" s="4"/>
      <c r="R801" s="5"/>
      <c r="S801" s="6"/>
      <c r="T801" s="17"/>
      <c r="U801" s="6"/>
      <c r="V801" s="4"/>
      <c r="W801" s="4"/>
      <c r="X801" s="4"/>
      <c r="Y801" s="7">
        <v>4</v>
      </c>
      <c r="Z801" s="8">
        <v>293073</v>
      </c>
      <c r="AA801" s="7" t="s">
        <v>92</v>
      </c>
      <c r="AB801" s="7"/>
      <c r="AC801" s="9">
        <v>4</v>
      </c>
      <c r="AD801" s="10">
        <v>293073</v>
      </c>
      <c r="AE801" s="9" t="s">
        <v>92</v>
      </c>
      <c r="AF801" s="9"/>
      <c r="AG801" s="11">
        <v>3</v>
      </c>
      <c r="AH801" s="11" t="s">
        <v>93</v>
      </c>
      <c r="AI801" s="11"/>
      <c r="AJ801" s="11"/>
      <c r="AK801" s="11"/>
      <c r="AL801" s="12">
        <v>3</v>
      </c>
      <c r="AM801" s="12" t="s">
        <v>93</v>
      </c>
      <c r="AN801" s="12" t="s">
        <v>3410</v>
      </c>
      <c r="AO801" s="12"/>
      <c r="AP801" s="12"/>
      <c r="AQ801" s="4">
        <v>4</v>
      </c>
      <c r="AR801" s="4" t="s">
        <v>83</v>
      </c>
      <c r="AS801" s="4" t="s">
        <v>999</v>
      </c>
      <c r="AT801" s="13"/>
      <c r="AU801" s="13"/>
      <c r="AV801" s="13"/>
      <c r="AW801" s="13"/>
      <c r="AX801" s="4"/>
      <c r="AY801" s="13"/>
      <c r="AZ801" s="13"/>
      <c r="BA801" s="13"/>
      <c r="BB801" s="13"/>
      <c r="BC801" s="4"/>
      <c r="BD801" s="4"/>
      <c r="BE801" s="4"/>
      <c r="BF801" s="13"/>
      <c r="BG801" s="4"/>
      <c r="BH801" s="13"/>
      <c r="BI801" s="13"/>
      <c r="BJ801" s="4"/>
      <c r="BK801" s="14">
        <v>16</v>
      </c>
      <c r="BL801" s="14">
        <v>16</v>
      </c>
      <c r="BM801" s="14">
        <v>16</v>
      </c>
      <c r="BN801" s="3" t="s">
        <v>86</v>
      </c>
      <c r="BP801" s="15"/>
      <c r="BQ801" s="15"/>
      <c r="BR801" s="2" t="s">
        <v>409</v>
      </c>
      <c r="BS801" s="2" t="s">
        <v>409</v>
      </c>
      <c r="BT801" s="7" t="s">
        <v>438</v>
      </c>
      <c r="BU801" s="7"/>
      <c r="BV801" s="9" t="s">
        <v>438</v>
      </c>
      <c r="BW801" s="9"/>
    </row>
    <row r="802" spans="1:75" ht="14.25" customHeight="1" x14ac:dyDescent="0.25">
      <c r="A802" s="1">
        <v>335</v>
      </c>
      <c r="B802" s="1" t="s">
        <v>3413</v>
      </c>
      <c r="C802" s="1" t="s">
        <v>3414</v>
      </c>
      <c r="D802" s="1" t="s">
        <v>77</v>
      </c>
      <c r="E802" s="1" t="s">
        <v>827</v>
      </c>
      <c r="F802" s="1" t="s">
        <v>854</v>
      </c>
      <c r="G802" s="1" t="s">
        <v>118</v>
      </c>
      <c r="H802" s="2">
        <v>0</v>
      </c>
      <c r="I802" s="2">
        <v>1</v>
      </c>
      <c r="J802" s="2">
        <v>1</v>
      </c>
      <c r="K802" s="2">
        <v>0</v>
      </c>
      <c r="L802" s="3" t="s">
        <v>127</v>
      </c>
      <c r="O802" s="4">
        <v>4</v>
      </c>
      <c r="P802" s="4" t="s">
        <v>706</v>
      </c>
      <c r="Q802" s="4"/>
      <c r="R802" s="16">
        <v>200000</v>
      </c>
      <c r="S802" s="6">
        <v>200000</v>
      </c>
      <c r="T802" s="17" t="s">
        <v>795</v>
      </c>
      <c r="U802" s="6">
        <v>5000</v>
      </c>
      <c r="V802" s="4"/>
      <c r="W802" s="4" t="s">
        <v>543</v>
      </c>
      <c r="X802" s="4" t="s">
        <v>787</v>
      </c>
      <c r="Y802" s="7">
        <v>3</v>
      </c>
      <c r="Z802" s="8">
        <v>338973</v>
      </c>
      <c r="AA802" s="7" t="s">
        <v>92</v>
      </c>
      <c r="AB802" s="7"/>
      <c r="AC802" s="9">
        <v>4</v>
      </c>
      <c r="AD802" s="10">
        <v>226772</v>
      </c>
      <c r="AE802" s="9" t="s">
        <v>92</v>
      </c>
      <c r="AF802" s="9"/>
      <c r="AG802" s="11">
        <v>3</v>
      </c>
      <c r="AH802" s="11" t="s">
        <v>271</v>
      </c>
      <c r="AI802" s="11" t="s">
        <v>3415</v>
      </c>
      <c r="AJ802" s="11"/>
      <c r="AK802" s="11"/>
      <c r="AL802" s="12">
        <v>3</v>
      </c>
      <c r="AM802" s="12" t="s">
        <v>271</v>
      </c>
      <c r="AN802" s="12" t="s">
        <v>394</v>
      </c>
      <c r="AO802" s="12"/>
      <c r="AP802" s="12"/>
      <c r="AQ802" s="4">
        <v>3</v>
      </c>
      <c r="AR802" s="4" t="s">
        <v>673</v>
      </c>
      <c r="AS802" s="4"/>
      <c r="AT802" s="13"/>
      <c r="AU802" s="13"/>
      <c r="AV802" s="13"/>
      <c r="AW802" s="13"/>
      <c r="AX802" s="4"/>
      <c r="AY802" s="13"/>
      <c r="AZ802" s="13"/>
      <c r="BA802" s="13"/>
      <c r="BB802" s="13"/>
      <c r="BC802" s="4"/>
      <c r="BD802" s="4"/>
      <c r="BE802" s="4"/>
      <c r="BF802" s="13"/>
      <c r="BG802" s="4"/>
      <c r="BH802" s="13"/>
      <c r="BI802" s="13"/>
      <c r="BJ802" s="4"/>
      <c r="BK802" s="14">
        <v>13</v>
      </c>
      <c r="BL802" s="14">
        <v>14</v>
      </c>
      <c r="BM802" s="14">
        <v>14</v>
      </c>
      <c r="BN802" s="3" t="s">
        <v>86</v>
      </c>
      <c r="BP802" s="15"/>
      <c r="BQ802" s="15"/>
      <c r="BR802" s="2" t="s">
        <v>297</v>
      </c>
      <c r="BS802" s="2" t="s">
        <v>108</v>
      </c>
      <c r="BT802" s="7" t="s">
        <v>475</v>
      </c>
      <c r="BU802" s="7"/>
      <c r="BV802" s="9" t="s">
        <v>109</v>
      </c>
      <c r="BW802" s="9"/>
    </row>
    <row r="803" spans="1:75" ht="14.25" customHeight="1" x14ac:dyDescent="0.25">
      <c r="A803" s="1">
        <v>336</v>
      </c>
      <c r="B803" s="1" t="s">
        <v>3416</v>
      </c>
      <c r="C803" s="1" t="s">
        <v>3417</v>
      </c>
      <c r="D803" s="1" t="s">
        <v>77</v>
      </c>
      <c r="E803" s="1" t="s">
        <v>827</v>
      </c>
      <c r="F803" s="1" t="s">
        <v>854</v>
      </c>
      <c r="G803" s="1" t="s">
        <v>118</v>
      </c>
      <c r="H803" s="2">
        <v>0</v>
      </c>
      <c r="I803" s="2">
        <v>0</v>
      </c>
      <c r="J803" s="2">
        <v>1</v>
      </c>
      <c r="K803" s="2">
        <v>0</v>
      </c>
      <c r="L803" s="3" t="s">
        <v>80</v>
      </c>
      <c r="O803" s="4">
        <v>5</v>
      </c>
      <c r="P803" s="4" t="s">
        <v>112</v>
      </c>
      <c r="Q803" s="4"/>
      <c r="R803" s="5"/>
      <c r="S803" s="6"/>
      <c r="T803" s="17"/>
      <c r="U803" s="6"/>
      <c r="V803" s="4"/>
      <c r="W803" s="4"/>
      <c r="X803" s="4"/>
      <c r="Y803" s="7">
        <v>5</v>
      </c>
      <c r="Z803" s="8">
        <v>53029</v>
      </c>
      <c r="AA803" s="7" t="s">
        <v>92</v>
      </c>
      <c r="AB803" s="7"/>
      <c r="AC803" s="9">
        <v>5</v>
      </c>
      <c r="AD803" s="10">
        <v>53029</v>
      </c>
      <c r="AE803" s="9" t="s">
        <v>92</v>
      </c>
      <c r="AF803" s="9"/>
      <c r="AG803" s="11">
        <v>3</v>
      </c>
      <c r="AH803" s="11" t="s">
        <v>93</v>
      </c>
      <c r="AI803" s="11"/>
      <c r="AJ803" s="11"/>
      <c r="AK803" s="11"/>
      <c r="AL803" s="12">
        <v>3</v>
      </c>
      <c r="AM803" s="12" t="s">
        <v>93</v>
      </c>
      <c r="AN803" s="12" t="s">
        <v>3410</v>
      </c>
      <c r="AO803" s="12"/>
      <c r="AP803" s="12"/>
      <c r="AQ803" s="4">
        <v>3</v>
      </c>
      <c r="AR803" s="4" t="s">
        <v>93</v>
      </c>
      <c r="AS803" s="4"/>
      <c r="AT803" s="13"/>
      <c r="AU803" s="13"/>
      <c r="AV803" s="13"/>
      <c r="AW803" s="13"/>
      <c r="AX803" s="4"/>
      <c r="AY803" s="13"/>
      <c r="AZ803" s="13"/>
      <c r="BA803" s="13"/>
      <c r="BB803" s="13"/>
      <c r="BC803" s="4"/>
      <c r="BD803" s="4"/>
      <c r="BE803" s="4"/>
      <c r="BF803" s="13"/>
      <c r="BG803" s="4"/>
      <c r="BH803" s="13"/>
      <c r="BI803" s="13"/>
      <c r="BJ803" s="4"/>
      <c r="BK803" s="14">
        <v>16</v>
      </c>
      <c r="BL803" s="14">
        <v>16</v>
      </c>
      <c r="BM803" s="14">
        <v>16</v>
      </c>
      <c r="BN803" s="3" t="s">
        <v>86</v>
      </c>
      <c r="BP803" s="15"/>
      <c r="BQ803" s="15"/>
      <c r="BR803" s="2" t="s">
        <v>108</v>
      </c>
      <c r="BS803" s="2" t="s">
        <v>108</v>
      </c>
      <c r="BT803" s="7" t="s">
        <v>109</v>
      </c>
      <c r="BU803" s="7"/>
      <c r="BV803" s="9" t="s">
        <v>109</v>
      </c>
      <c r="BW803" s="9"/>
    </row>
    <row r="804" spans="1:75" ht="14.25" customHeight="1" x14ac:dyDescent="0.25">
      <c r="A804" s="1">
        <v>337</v>
      </c>
      <c r="B804" s="1" t="s">
        <v>3418</v>
      </c>
      <c r="C804" s="1" t="s">
        <v>3419</v>
      </c>
      <c r="D804" s="1" t="s">
        <v>77</v>
      </c>
      <c r="E804" s="1" t="s">
        <v>827</v>
      </c>
      <c r="F804" s="1" t="s">
        <v>854</v>
      </c>
      <c r="G804" s="1" t="s">
        <v>118</v>
      </c>
      <c r="H804" s="2">
        <v>1</v>
      </c>
      <c r="I804" s="2">
        <v>1</v>
      </c>
      <c r="J804" s="2">
        <v>1</v>
      </c>
      <c r="K804" s="2">
        <v>1</v>
      </c>
      <c r="L804" s="3" t="s">
        <v>127</v>
      </c>
      <c r="O804" s="4">
        <v>2</v>
      </c>
      <c r="P804" s="4" t="s">
        <v>424</v>
      </c>
      <c r="Q804" s="4"/>
      <c r="R804" s="16">
        <v>36000000</v>
      </c>
      <c r="S804" s="6">
        <v>36000000</v>
      </c>
      <c r="T804" s="16">
        <v>36000000</v>
      </c>
      <c r="U804" s="6">
        <v>36000000</v>
      </c>
      <c r="V804" s="4">
        <v>2010.5</v>
      </c>
      <c r="W804" s="4" t="s">
        <v>425</v>
      </c>
      <c r="X804" s="4"/>
      <c r="Y804" s="7">
        <v>1</v>
      </c>
      <c r="Z804" s="8">
        <v>4918910</v>
      </c>
      <c r="AA804" s="7" t="s">
        <v>92</v>
      </c>
      <c r="AB804" s="7"/>
      <c r="AC804" s="9">
        <v>3</v>
      </c>
      <c r="AD804" s="10">
        <v>893074</v>
      </c>
      <c r="AE804" s="9" t="s">
        <v>92</v>
      </c>
      <c r="AF804" s="9"/>
      <c r="AG804" s="11">
        <v>2</v>
      </c>
      <c r="AH804" s="11" t="s">
        <v>131</v>
      </c>
      <c r="AI804" s="11" t="s">
        <v>3420</v>
      </c>
      <c r="AJ804" s="11">
        <v>2</v>
      </c>
      <c r="AK804" s="11" t="s">
        <v>143</v>
      </c>
      <c r="AL804" s="12">
        <v>2</v>
      </c>
      <c r="AM804" s="12" t="s">
        <v>131</v>
      </c>
      <c r="AN804" s="12" t="s">
        <v>3420</v>
      </c>
      <c r="AO804" s="12">
        <v>2</v>
      </c>
      <c r="AP804" s="12" t="s">
        <v>143</v>
      </c>
      <c r="AQ804" s="4">
        <v>1</v>
      </c>
      <c r="AR804" s="4" t="s">
        <v>133</v>
      </c>
      <c r="AS804" s="4"/>
      <c r="AT804" s="13">
        <v>68.684616088867202</v>
      </c>
      <c r="AU804" s="13">
        <v>1.03048372268677</v>
      </c>
      <c r="AV804" s="13">
        <v>0.683000028133392</v>
      </c>
      <c r="AW804" s="13">
        <v>1.2922049760818499</v>
      </c>
      <c r="AX804" s="4">
        <v>1</v>
      </c>
      <c r="AY804" s="13">
        <v>-8.11859035491943</v>
      </c>
      <c r="AZ804" s="13">
        <v>-0.842584908008575</v>
      </c>
      <c r="BA804" s="13">
        <v>-1.7699999809265099</v>
      </c>
      <c r="BB804" s="13">
        <v>-0.188898995518684</v>
      </c>
      <c r="BC804" s="4">
        <v>1</v>
      </c>
      <c r="BD804" s="4">
        <v>10</v>
      </c>
      <c r="BE804" s="4" t="s">
        <v>134</v>
      </c>
      <c r="BF804" s="13">
        <v>0.60920500755310103</v>
      </c>
      <c r="BG804" s="4">
        <v>2479</v>
      </c>
      <c r="BH804" s="13">
        <v>0.34549999237060502</v>
      </c>
      <c r="BI804" s="13">
        <v>856.53851318359398</v>
      </c>
      <c r="BJ804" s="4"/>
      <c r="BK804" s="14">
        <v>6</v>
      </c>
      <c r="BL804" s="14">
        <v>8</v>
      </c>
      <c r="BM804" s="14">
        <v>8</v>
      </c>
      <c r="BP804" s="15" t="s">
        <v>135</v>
      </c>
      <c r="BQ804" s="15"/>
      <c r="BR804" s="2" t="s">
        <v>239</v>
      </c>
      <c r="BS804" s="2" t="s">
        <v>400</v>
      </c>
      <c r="BT804" s="7" t="s">
        <v>241</v>
      </c>
      <c r="BU804" s="7"/>
      <c r="BV804" s="9" t="s">
        <v>109</v>
      </c>
      <c r="BW804" s="9" t="s">
        <v>98</v>
      </c>
    </row>
    <row r="805" spans="1:75" ht="14.25" customHeight="1" x14ac:dyDescent="0.25">
      <c r="A805" s="1">
        <v>338</v>
      </c>
      <c r="B805" s="1" t="s">
        <v>3421</v>
      </c>
      <c r="C805" s="1" t="s">
        <v>3422</v>
      </c>
      <c r="D805" s="1" t="s">
        <v>77</v>
      </c>
      <c r="E805" s="1" t="s">
        <v>827</v>
      </c>
      <c r="F805" s="1" t="s">
        <v>854</v>
      </c>
      <c r="G805" s="1" t="s">
        <v>118</v>
      </c>
      <c r="H805" s="2">
        <v>1</v>
      </c>
      <c r="I805" s="2">
        <v>1</v>
      </c>
      <c r="J805" s="2">
        <v>1</v>
      </c>
      <c r="K805" s="2">
        <v>0</v>
      </c>
      <c r="L805" s="3" t="s">
        <v>127</v>
      </c>
      <c r="O805" s="4">
        <v>2</v>
      </c>
      <c r="P805" s="4" t="s">
        <v>424</v>
      </c>
      <c r="Q805" s="4"/>
      <c r="R805" s="16">
        <v>8800000</v>
      </c>
      <c r="S805" s="6">
        <v>8800000</v>
      </c>
      <c r="T805" s="16">
        <v>8200000</v>
      </c>
      <c r="U805" s="6">
        <v>8200000</v>
      </c>
      <c r="V805" s="4">
        <v>2010.5</v>
      </c>
      <c r="W805" s="4" t="s">
        <v>425</v>
      </c>
      <c r="X805" s="4"/>
      <c r="Y805" s="7">
        <v>2</v>
      </c>
      <c r="Z805" s="8">
        <v>2369094</v>
      </c>
      <c r="AA805" s="7" t="s">
        <v>92</v>
      </c>
      <c r="AB805" s="7"/>
      <c r="AC805" s="9">
        <v>4</v>
      </c>
      <c r="AD805" s="10">
        <v>237989</v>
      </c>
      <c r="AE805" s="9" t="s">
        <v>92</v>
      </c>
      <c r="AF805" s="9"/>
      <c r="AG805" s="11">
        <v>2</v>
      </c>
      <c r="AH805" s="11" t="s">
        <v>131</v>
      </c>
      <c r="AI805" s="11" t="s">
        <v>3423</v>
      </c>
      <c r="AJ805" s="11">
        <v>2</v>
      </c>
      <c r="AK805" s="11" t="s">
        <v>132</v>
      </c>
      <c r="AL805" s="12">
        <v>2</v>
      </c>
      <c r="AM805" s="12" t="s">
        <v>131</v>
      </c>
      <c r="AN805" s="12" t="s">
        <v>3424</v>
      </c>
      <c r="AO805" s="12">
        <v>2</v>
      </c>
      <c r="AP805" s="12" t="s">
        <v>132</v>
      </c>
      <c r="AQ805" s="4">
        <v>2</v>
      </c>
      <c r="AR805" s="4" t="s">
        <v>133</v>
      </c>
      <c r="AS805" s="4"/>
      <c r="AT805" s="13">
        <v>38.450969696044901</v>
      </c>
      <c r="AU805" s="13">
        <v>0.64009839296340898</v>
      </c>
      <c r="AV805" s="13">
        <v>0.13400000333786</v>
      </c>
      <c r="AW805" s="13">
        <v>1.1799999475479099</v>
      </c>
      <c r="AX805" s="4">
        <v>1</v>
      </c>
      <c r="AY805" s="13">
        <v>-4.0931262969970703</v>
      </c>
      <c r="AZ805" s="13">
        <v>-0.41715243458747903</v>
      </c>
      <c r="BA805" s="13">
        <v>-1.9700000286102299</v>
      </c>
      <c r="BB805" s="13">
        <v>0.98900002241134599</v>
      </c>
      <c r="BC805" s="4"/>
      <c r="BD805" s="4">
        <v>10</v>
      </c>
      <c r="BE805" s="4" t="s">
        <v>134</v>
      </c>
      <c r="BF805" s="13">
        <v>1.0460000038146999</v>
      </c>
      <c r="BG805" s="4">
        <v>477</v>
      </c>
      <c r="BH805" s="13">
        <v>0.19599999487400099</v>
      </c>
      <c r="BI805" s="13">
        <v>93.487998962402301</v>
      </c>
      <c r="BJ805" s="4"/>
      <c r="BK805" s="14">
        <v>8</v>
      </c>
      <c r="BL805" s="14">
        <v>10</v>
      </c>
      <c r="BM805" s="14">
        <v>10</v>
      </c>
      <c r="BP805" s="15" t="s">
        <v>135</v>
      </c>
      <c r="BQ805" s="15"/>
      <c r="BR805" s="2" t="s">
        <v>256</v>
      </c>
      <c r="BS805" s="2" t="s">
        <v>108</v>
      </c>
      <c r="BT805" s="7" t="s">
        <v>428</v>
      </c>
      <c r="BU805" s="7" t="s">
        <v>487</v>
      </c>
      <c r="BV805" s="9" t="s">
        <v>109</v>
      </c>
      <c r="BW805" s="9"/>
    </row>
    <row r="806" spans="1:75" ht="14.25" customHeight="1" x14ac:dyDescent="0.25">
      <c r="A806" s="1">
        <v>343</v>
      </c>
      <c r="B806" s="1" t="s">
        <v>3425</v>
      </c>
      <c r="C806" s="1" t="s">
        <v>3426</v>
      </c>
      <c r="D806" s="1" t="s">
        <v>77</v>
      </c>
      <c r="E806" s="1" t="s">
        <v>827</v>
      </c>
      <c r="F806" s="1" t="s">
        <v>854</v>
      </c>
      <c r="G806" s="1" t="s">
        <v>118</v>
      </c>
      <c r="H806" s="2">
        <v>1</v>
      </c>
      <c r="I806" s="2">
        <v>1</v>
      </c>
      <c r="J806" s="2">
        <v>1</v>
      </c>
      <c r="K806" s="2">
        <v>0</v>
      </c>
      <c r="L806" s="3" t="s">
        <v>127</v>
      </c>
      <c r="O806" s="4">
        <v>2</v>
      </c>
      <c r="P806" s="4" t="s">
        <v>424</v>
      </c>
      <c r="Q806" s="4"/>
      <c r="R806" s="16">
        <v>9600000</v>
      </c>
      <c r="S806" s="6">
        <v>9600000</v>
      </c>
      <c r="T806" s="16">
        <v>8800000</v>
      </c>
      <c r="U806" s="6">
        <v>8800000</v>
      </c>
      <c r="V806" s="4">
        <v>2010.5</v>
      </c>
      <c r="W806" s="4" t="s">
        <v>425</v>
      </c>
      <c r="X806" s="4"/>
      <c r="Y806" s="7">
        <v>3</v>
      </c>
      <c r="Z806" s="8">
        <v>492703</v>
      </c>
      <c r="AA806" s="7" t="s">
        <v>92</v>
      </c>
      <c r="AB806" s="7"/>
      <c r="AC806" s="9">
        <v>2</v>
      </c>
      <c r="AD806" s="10">
        <v>1063525</v>
      </c>
      <c r="AE806" s="9" t="s">
        <v>582</v>
      </c>
      <c r="AF806" s="9" t="s">
        <v>3427</v>
      </c>
      <c r="AG806" s="11">
        <v>2</v>
      </c>
      <c r="AH806" s="11" t="s">
        <v>131</v>
      </c>
      <c r="AI806" s="11" t="s">
        <v>3428</v>
      </c>
      <c r="AJ806" s="11">
        <v>2</v>
      </c>
      <c r="AK806" s="11" t="s">
        <v>132</v>
      </c>
      <c r="AL806" s="12">
        <v>2</v>
      </c>
      <c r="AM806" s="12" t="s">
        <v>131</v>
      </c>
      <c r="AN806" s="12" t="s">
        <v>3429</v>
      </c>
      <c r="AO806" s="12">
        <v>3</v>
      </c>
      <c r="AP806" s="12" t="s">
        <v>143</v>
      </c>
      <c r="AQ806" s="4">
        <v>1</v>
      </c>
      <c r="AR806" s="4" t="s">
        <v>133</v>
      </c>
      <c r="AS806" s="4"/>
      <c r="AT806" s="13">
        <v>191.72103881835901</v>
      </c>
      <c r="AU806" s="13">
        <v>2.1219933032989502</v>
      </c>
      <c r="AV806" s="13">
        <v>1.6495939493179299</v>
      </c>
      <c r="AW806" s="13">
        <v>2.7999999523162802</v>
      </c>
      <c r="AX806" s="4">
        <v>1</v>
      </c>
      <c r="AY806" s="13">
        <v>23.512147903442401</v>
      </c>
      <c r="AZ806" s="13">
        <v>2.1330273151397701</v>
      </c>
      <c r="BA806" s="13">
        <v>-0.22310000658035301</v>
      </c>
      <c r="BB806" s="13">
        <v>5.1799998283386204</v>
      </c>
      <c r="BC806" s="4"/>
      <c r="BD806" s="4">
        <v>10</v>
      </c>
      <c r="BE806" s="4" t="s">
        <v>134</v>
      </c>
      <c r="BF806" s="13">
        <v>1.1504060029983501</v>
      </c>
      <c r="BG806" s="4">
        <v>269</v>
      </c>
      <c r="BH806" s="13">
        <v>0.51050001382827803</v>
      </c>
      <c r="BI806" s="13">
        <v>137.32449340820301</v>
      </c>
      <c r="BJ806" s="4"/>
      <c r="BK806" s="14">
        <v>8</v>
      </c>
      <c r="BL806" s="14">
        <v>7</v>
      </c>
      <c r="BM806" s="14">
        <v>8</v>
      </c>
      <c r="BP806" s="15" t="s">
        <v>135</v>
      </c>
      <c r="BQ806" s="15"/>
      <c r="BR806" s="2" t="s">
        <v>162</v>
      </c>
      <c r="BS806" s="2" t="s">
        <v>162</v>
      </c>
      <c r="BT806" s="7" t="s">
        <v>429</v>
      </c>
      <c r="BU806" s="7" t="s">
        <v>428</v>
      </c>
      <c r="BV806" s="9" t="s">
        <v>429</v>
      </c>
      <c r="BW806" s="9" t="s">
        <v>428</v>
      </c>
    </row>
    <row r="807" spans="1:75" ht="14.25" customHeight="1" x14ac:dyDescent="0.25">
      <c r="A807" s="1">
        <v>344</v>
      </c>
      <c r="B807" s="1" t="s">
        <v>3430</v>
      </c>
      <c r="C807" s="1" t="s">
        <v>3431</v>
      </c>
      <c r="D807" s="1" t="s">
        <v>77</v>
      </c>
      <c r="E807" s="1" t="s">
        <v>827</v>
      </c>
      <c r="F807" s="1" t="s">
        <v>854</v>
      </c>
      <c r="G807" s="1" t="s">
        <v>118</v>
      </c>
      <c r="H807" s="2">
        <v>0</v>
      </c>
      <c r="I807" s="2">
        <v>1</v>
      </c>
      <c r="J807" s="2">
        <v>1</v>
      </c>
      <c r="K807" s="2">
        <v>0</v>
      </c>
      <c r="L807" s="3" t="s">
        <v>127</v>
      </c>
      <c r="O807" s="4">
        <v>3</v>
      </c>
      <c r="P807" s="4" t="s">
        <v>470</v>
      </c>
      <c r="Q807" s="4"/>
      <c r="R807" s="16">
        <v>3400000</v>
      </c>
      <c r="S807" s="6">
        <v>3400000</v>
      </c>
      <c r="T807" s="16">
        <v>1600000</v>
      </c>
      <c r="U807" s="6">
        <v>1600000</v>
      </c>
      <c r="V807" s="4">
        <v>2010.5</v>
      </c>
      <c r="W807" s="4" t="s">
        <v>425</v>
      </c>
      <c r="X807" s="4"/>
      <c r="Y807" s="7">
        <v>3</v>
      </c>
      <c r="Z807" s="8">
        <v>563917</v>
      </c>
      <c r="AA807" s="7" t="s">
        <v>92</v>
      </c>
      <c r="AB807" s="7"/>
      <c r="AC807" s="9">
        <v>3</v>
      </c>
      <c r="AD807" s="10">
        <v>390144</v>
      </c>
      <c r="AE807" s="9" t="s">
        <v>92</v>
      </c>
      <c r="AF807" s="9"/>
      <c r="AG807" s="11">
        <v>3</v>
      </c>
      <c r="AH807" s="11" t="s">
        <v>131</v>
      </c>
      <c r="AI807" s="11" t="s">
        <v>3432</v>
      </c>
      <c r="AJ807" s="11">
        <v>2</v>
      </c>
      <c r="AK807" s="11" t="s">
        <v>143</v>
      </c>
      <c r="AL807" s="12">
        <v>3</v>
      </c>
      <c r="AM807" s="12" t="s">
        <v>131</v>
      </c>
      <c r="AN807" s="12" t="s">
        <v>3433</v>
      </c>
      <c r="AO807" s="12">
        <v>1</v>
      </c>
      <c r="AP807" s="12" t="s">
        <v>132</v>
      </c>
      <c r="AQ807" s="4">
        <v>2</v>
      </c>
      <c r="AR807" s="4" t="s">
        <v>133</v>
      </c>
      <c r="AS807" s="4"/>
      <c r="AT807" s="13">
        <v>-13.185357093811</v>
      </c>
      <c r="AU807" s="13">
        <v>-0.27650091052055398</v>
      </c>
      <c r="AV807" s="13">
        <v>-1.4400000572204601</v>
      </c>
      <c r="AW807" s="13">
        <v>1.1000000238418599</v>
      </c>
      <c r="AX807" s="4"/>
      <c r="AY807" s="13">
        <v>0.60699790716171298</v>
      </c>
      <c r="AZ807" s="13">
        <v>5.82311227917671E-2</v>
      </c>
      <c r="BA807" s="13">
        <v>-5.3299999237060502</v>
      </c>
      <c r="BB807" s="13">
        <v>6.2576060295104998</v>
      </c>
      <c r="BC807" s="4"/>
      <c r="BD807" s="4">
        <v>10</v>
      </c>
      <c r="BE807" s="4" t="s">
        <v>134</v>
      </c>
      <c r="BF807" s="13">
        <v>2.53999996185303</v>
      </c>
      <c r="BG807" s="4">
        <v>97.5</v>
      </c>
      <c r="BH807" s="13">
        <v>0.76249998807907104</v>
      </c>
      <c r="BI807" s="13">
        <v>74.412498474121094</v>
      </c>
      <c r="BJ807" s="4"/>
      <c r="BK807" s="14">
        <v>11</v>
      </c>
      <c r="BL807" s="14">
        <v>11</v>
      </c>
      <c r="BM807" s="14">
        <v>11</v>
      </c>
      <c r="BP807" s="15"/>
      <c r="BQ807" s="15"/>
      <c r="BR807" s="2" t="s">
        <v>297</v>
      </c>
      <c r="BS807" s="2" t="s">
        <v>297</v>
      </c>
      <c r="BT807" s="7" t="s">
        <v>475</v>
      </c>
      <c r="BU807" s="7"/>
      <c r="BV807" s="9" t="s">
        <v>475</v>
      </c>
      <c r="BW807" s="9"/>
    </row>
    <row r="808" spans="1:75" ht="14.25" customHeight="1" x14ac:dyDescent="0.25">
      <c r="A808" s="1">
        <v>345</v>
      </c>
      <c r="B808" s="1" t="s">
        <v>3434</v>
      </c>
      <c r="C808" s="1" t="s">
        <v>3435</v>
      </c>
      <c r="D808" s="1" t="s">
        <v>77</v>
      </c>
      <c r="E808" s="1" t="s">
        <v>827</v>
      </c>
      <c r="F808" s="1" t="s">
        <v>854</v>
      </c>
      <c r="G808" s="1" t="s">
        <v>118</v>
      </c>
      <c r="H808" s="2">
        <v>1</v>
      </c>
      <c r="I808" s="2">
        <v>1</v>
      </c>
      <c r="J808" s="2">
        <v>1</v>
      </c>
      <c r="K808" s="2">
        <v>0</v>
      </c>
      <c r="L808" s="3" t="s">
        <v>127</v>
      </c>
      <c r="O808" s="4">
        <v>3</v>
      </c>
      <c r="P808" s="4" t="s">
        <v>425</v>
      </c>
      <c r="Q808" s="4"/>
      <c r="R808" s="16">
        <v>4500000</v>
      </c>
      <c r="S808" s="6">
        <v>4500000</v>
      </c>
      <c r="T808" s="16">
        <v>4500000</v>
      </c>
      <c r="U808" s="6">
        <v>4500000</v>
      </c>
      <c r="V808" s="4">
        <v>2010.5</v>
      </c>
      <c r="W808" s="4" t="s">
        <v>425</v>
      </c>
      <c r="X808" s="4"/>
      <c r="Y808" s="7">
        <v>2</v>
      </c>
      <c r="Z808" s="8">
        <v>1200589</v>
      </c>
      <c r="AA808" s="7" t="s">
        <v>92</v>
      </c>
      <c r="AB808" s="7"/>
      <c r="AC808" s="9">
        <v>4</v>
      </c>
      <c r="AD808" s="10">
        <v>195809</v>
      </c>
      <c r="AE808" s="9" t="s">
        <v>92</v>
      </c>
      <c r="AF808" s="9"/>
      <c r="AG808" s="11">
        <v>4</v>
      </c>
      <c r="AH808" s="11" t="s">
        <v>131</v>
      </c>
      <c r="AI808" s="11" t="s">
        <v>3436</v>
      </c>
      <c r="AJ808" s="11">
        <v>4</v>
      </c>
      <c r="AK808" s="11" t="s">
        <v>143</v>
      </c>
      <c r="AL808" s="12">
        <v>4</v>
      </c>
      <c r="AM808" s="12" t="s">
        <v>131</v>
      </c>
      <c r="AN808" s="12" t="s">
        <v>3437</v>
      </c>
      <c r="AO808" s="12">
        <v>4</v>
      </c>
      <c r="AP808" s="12" t="s">
        <v>143</v>
      </c>
      <c r="AQ808" s="4">
        <v>3</v>
      </c>
      <c r="AR808" s="4" t="s">
        <v>133</v>
      </c>
      <c r="AS808" s="4"/>
      <c r="AT808" s="13">
        <v>-7.9545521736145002</v>
      </c>
      <c r="AU808" s="13">
        <v>-0.16245220601558699</v>
      </c>
      <c r="AV808" s="13">
        <v>-0.86199998855590798</v>
      </c>
      <c r="AW808" s="13">
        <v>0.51399999856948897</v>
      </c>
      <c r="AX808" s="4"/>
      <c r="AY808" s="13">
        <v>-15.8193197250366</v>
      </c>
      <c r="AZ808" s="13">
        <v>-1.7111725807189899</v>
      </c>
      <c r="BA808" s="13">
        <v>-4.71000003814697</v>
      </c>
      <c r="BB808" s="13">
        <v>0.84029400348663297</v>
      </c>
      <c r="BC808" s="4"/>
      <c r="BD808" s="4">
        <v>10</v>
      </c>
      <c r="BE808" s="4" t="s">
        <v>134</v>
      </c>
      <c r="BF808" s="13">
        <v>1.3760000467300399</v>
      </c>
      <c r="BG808" s="4">
        <v>224</v>
      </c>
      <c r="BH808" s="13">
        <v>0.19550000131130199</v>
      </c>
      <c r="BI808" s="13">
        <v>43.791999816894503</v>
      </c>
      <c r="BJ808" s="4"/>
      <c r="BK808" s="14">
        <v>12</v>
      </c>
      <c r="BL808" s="14">
        <v>14</v>
      </c>
      <c r="BM808" s="14">
        <v>14</v>
      </c>
      <c r="BN808" s="3" t="s">
        <v>86</v>
      </c>
      <c r="BP808" s="15"/>
      <c r="BQ808" s="15"/>
      <c r="BR808" s="2" t="s">
        <v>555</v>
      </c>
      <c r="BS808" s="2" t="s">
        <v>409</v>
      </c>
      <c r="BT808" s="7" t="s">
        <v>428</v>
      </c>
      <c r="BU808" s="7"/>
      <c r="BV808" s="9" t="s">
        <v>438</v>
      </c>
      <c r="BW808" s="9"/>
    </row>
    <row r="809" spans="1:75" ht="14.25" customHeight="1" x14ac:dyDescent="0.25">
      <c r="A809" s="1">
        <v>360</v>
      </c>
      <c r="B809" s="1" t="s">
        <v>3438</v>
      </c>
      <c r="C809" s="1" t="s">
        <v>3439</v>
      </c>
      <c r="D809" s="1" t="s">
        <v>77</v>
      </c>
      <c r="E809" s="1" t="s">
        <v>827</v>
      </c>
      <c r="F809" s="1" t="s">
        <v>854</v>
      </c>
      <c r="G809" s="1"/>
      <c r="H809" s="2">
        <v>0</v>
      </c>
      <c r="I809" s="2">
        <v>1</v>
      </c>
      <c r="J809" s="2">
        <v>1</v>
      </c>
      <c r="K809" s="2">
        <v>0</v>
      </c>
      <c r="L809" s="3" t="s">
        <v>127</v>
      </c>
      <c r="O809" s="4">
        <v>3</v>
      </c>
      <c r="P809" s="4" t="s">
        <v>3440</v>
      </c>
      <c r="Q809" s="4" t="s">
        <v>3441</v>
      </c>
      <c r="R809" s="16">
        <v>2200000</v>
      </c>
      <c r="S809" s="6">
        <v>2200000</v>
      </c>
      <c r="T809" s="16">
        <v>230000</v>
      </c>
      <c r="U809" s="6">
        <v>230000</v>
      </c>
      <c r="V809" s="4">
        <v>2010.5</v>
      </c>
      <c r="W809" s="4" t="s">
        <v>425</v>
      </c>
      <c r="X809" s="4" t="s">
        <v>3442</v>
      </c>
      <c r="Y809" s="7">
        <v>3</v>
      </c>
      <c r="Z809" s="8">
        <v>744100</v>
      </c>
      <c r="AA809" s="7" t="s">
        <v>958</v>
      </c>
      <c r="AB809" s="7" t="s">
        <v>3443</v>
      </c>
      <c r="AC809" s="9">
        <v>3</v>
      </c>
      <c r="AD809" s="10">
        <v>424382</v>
      </c>
      <c r="AE809" s="9" t="s">
        <v>958</v>
      </c>
      <c r="AF809" s="9" t="s">
        <v>3443</v>
      </c>
      <c r="AG809" s="11">
        <v>2</v>
      </c>
      <c r="AH809" s="11" t="s">
        <v>131</v>
      </c>
      <c r="AI809" s="11"/>
      <c r="AJ809" s="11">
        <v>2</v>
      </c>
      <c r="AK809" s="11" t="s">
        <v>143</v>
      </c>
      <c r="AL809" s="12">
        <v>2</v>
      </c>
      <c r="AM809" s="12" t="s">
        <v>131</v>
      </c>
      <c r="AN809" s="12" t="s">
        <v>394</v>
      </c>
      <c r="AO809" s="12">
        <v>2</v>
      </c>
      <c r="AP809" s="12" t="s">
        <v>132</v>
      </c>
      <c r="AQ809" s="4">
        <v>2</v>
      </c>
      <c r="AR809" s="4" t="s">
        <v>93</v>
      </c>
      <c r="AS809" s="4"/>
      <c r="AT809" s="13"/>
      <c r="AU809" s="13"/>
      <c r="AV809" s="13"/>
      <c r="AW809" s="13"/>
      <c r="AX809" s="4"/>
      <c r="AY809" s="13"/>
      <c r="AZ809" s="13"/>
      <c r="BA809" s="13"/>
      <c r="BB809" s="13"/>
      <c r="BC809" s="4"/>
      <c r="BD809" s="4"/>
      <c r="BE809" s="4"/>
      <c r="BF809" s="13"/>
      <c r="BG809" s="4"/>
      <c r="BH809" s="13"/>
      <c r="BI809" s="13"/>
      <c r="BJ809" s="4"/>
      <c r="BK809" s="14">
        <v>10</v>
      </c>
      <c r="BL809" s="14">
        <v>10</v>
      </c>
      <c r="BM809" s="14">
        <v>10</v>
      </c>
      <c r="BP809" s="15" t="s">
        <v>135</v>
      </c>
      <c r="BQ809" s="15"/>
      <c r="BR809" s="2" t="s">
        <v>108</v>
      </c>
      <c r="BS809" s="2" t="s">
        <v>108</v>
      </c>
      <c r="BT809" s="7" t="s">
        <v>109</v>
      </c>
      <c r="BU809" s="7" t="s">
        <v>487</v>
      </c>
      <c r="BV809" s="9" t="s">
        <v>109</v>
      </c>
      <c r="BW809" s="9" t="s">
        <v>679</v>
      </c>
    </row>
    <row r="810" spans="1:75" ht="14.25" customHeight="1" x14ac:dyDescent="0.25">
      <c r="A810" s="1">
        <v>361</v>
      </c>
      <c r="B810" s="1" t="s">
        <v>3444</v>
      </c>
      <c r="C810" s="1" t="s">
        <v>3445</v>
      </c>
      <c r="D810" s="1" t="s">
        <v>77</v>
      </c>
      <c r="E810" s="1" t="s">
        <v>827</v>
      </c>
      <c r="F810" s="1" t="s">
        <v>854</v>
      </c>
      <c r="G810" s="1" t="s">
        <v>3446</v>
      </c>
      <c r="H810" s="2">
        <v>0</v>
      </c>
      <c r="I810" s="2">
        <v>0</v>
      </c>
      <c r="J810" s="2">
        <v>1</v>
      </c>
      <c r="K810" s="2">
        <v>0</v>
      </c>
      <c r="L810" s="3" t="s">
        <v>80</v>
      </c>
      <c r="O810" s="4">
        <v>5</v>
      </c>
      <c r="P810" s="4" t="s">
        <v>387</v>
      </c>
      <c r="Q810" s="4" t="s">
        <v>3447</v>
      </c>
      <c r="R810" s="5"/>
      <c r="S810" s="6"/>
      <c r="T810" s="17"/>
      <c r="U810" s="6"/>
      <c r="V810" s="4"/>
      <c r="W810" s="4"/>
      <c r="X810" s="4"/>
      <c r="Y810" s="7">
        <v>5</v>
      </c>
      <c r="Z810" s="8">
        <v>244</v>
      </c>
      <c r="AA810" s="7" t="s">
        <v>958</v>
      </c>
      <c r="AB810" s="7" t="s">
        <v>3448</v>
      </c>
      <c r="AC810" s="9">
        <v>5</v>
      </c>
      <c r="AD810" s="10">
        <v>244</v>
      </c>
      <c r="AE810" s="9" t="s">
        <v>958</v>
      </c>
      <c r="AF810" s="9" t="s">
        <v>3448</v>
      </c>
      <c r="AG810" s="11">
        <v>2</v>
      </c>
      <c r="AH810" s="11" t="s">
        <v>1480</v>
      </c>
      <c r="AI810" s="11"/>
      <c r="AJ810" s="11"/>
      <c r="AK810" s="11"/>
      <c r="AL810" s="12">
        <v>2</v>
      </c>
      <c r="AM810" s="12" t="s">
        <v>3449</v>
      </c>
      <c r="AN810" s="12"/>
      <c r="AO810" s="12"/>
      <c r="AP810" s="12"/>
      <c r="AQ810" s="4">
        <v>2</v>
      </c>
      <c r="AR810" s="4" t="s">
        <v>1480</v>
      </c>
      <c r="AS810" s="4"/>
      <c r="AT810" s="13"/>
      <c r="AU810" s="13"/>
      <c r="AV810" s="13"/>
      <c r="AW810" s="13"/>
      <c r="AX810" s="4"/>
      <c r="AY810" s="13"/>
      <c r="AZ810" s="13"/>
      <c r="BA810" s="13"/>
      <c r="BB810" s="13"/>
      <c r="BC810" s="4"/>
      <c r="BD810" s="4"/>
      <c r="BE810" s="4"/>
      <c r="BF810" s="13"/>
      <c r="BG810" s="4"/>
      <c r="BH810" s="13"/>
      <c r="BI810" s="13"/>
      <c r="BJ810" s="4"/>
      <c r="BK810" s="14">
        <v>14</v>
      </c>
      <c r="BL810" s="14">
        <v>14</v>
      </c>
      <c r="BM810" s="14">
        <v>14</v>
      </c>
      <c r="BN810" s="3" t="s">
        <v>86</v>
      </c>
      <c r="BO810" s="3" t="s">
        <v>120</v>
      </c>
      <c r="BP810" s="15"/>
      <c r="BQ810" s="15"/>
      <c r="BR810" s="2" t="s">
        <v>108</v>
      </c>
      <c r="BS810" s="2" t="s">
        <v>108</v>
      </c>
      <c r="BT810" s="7" t="s">
        <v>760</v>
      </c>
      <c r="BU810" s="7" t="s">
        <v>760</v>
      </c>
      <c r="BV810" s="9" t="s">
        <v>109</v>
      </c>
      <c r="BW810" s="9" t="s">
        <v>679</v>
      </c>
    </row>
    <row r="811" spans="1:75" ht="14.25" customHeight="1" x14ac:dyDescent="0.25">
      <c r="A811" s="1">
        <v>362</v>
      </c>
      <c r="B811" s="1" t="s">
        <v>3450</v>
      </c>
      <c r="C811" s="1" t="s">
        <v>3451</v>
      </c>
      <c r="D811" s="1" t="s">
        <v>77</v>
      </c>
      <c r="E811" s="1" t="s">
        <v>827</v>
      </c>
      <c r="F811" s="1" t="s">
        <v>854</v>
      </c>
      <c r="G811" s="1" t="s">
        <v>3452</v>
      </c>
      <c r="H811" s="2">
        <v>0</v>
      </c>
      <c r="I811" s="2">
        <v>0</v>
      </c>
      <c r="J811" s="2">
        <v>1</v>
      </c>
      <c r="K811" s="2">
        <v>0</v>
      </c>
      <c r="L811" s="3" t="s">
        <v>80</v>
      </c>
      <c r="O811" s="4">
        <v>4</v>
      </c>
      <c r="P811" s="4" t="s">
        <v>3440</v>
      </c>
      <c r="Q811" s="4" t="s">
        <v>3453</v>
      </c>
      <c r="R811" s="16">
        <v>44000</v>
      </c>
      <c r="S811" s="6">
        <v>44000</v>
      </c>
      <c r="T811" s="17"/>
      <c r="U811" s="6"/>
      <c r="V811" s="4"/>
      <c r="W811" s="4"/>
      <c r="X811" s="4"/>
      <c r="Y811" s="7">
        <v>5</v>
      </c>
      <c r="Z811" s="8">
        <v>40440</v>
      </c>
      <c r="AA811" s="7" t="s">
        <v>958</v>
      </c>
      <c r="AB811" s="7" t="s">
        <v>3448</v>
      </c>
      <c r="AC811" s="9">
        <v>5</v>
      </c>
      <c r="AD811" s="10">
        <v>40440</v>
      </c>
      <c r="AE811" s="9" t="s">
        <v>958</v>
      </c>
      <c r="AF811" s="9" t="s">
        <v>3448</v>
      </c>
      <c r="AG811" s="11">
        <v>2</v>
      </c>
      <c r="AH811" s="11" t="s">
        <v>1480</v>
      </c>
      <c r="AI811" s="11"/>
      <c r="AJ811" s="11"/>
      <c r="AK811" s="11"/>
      <c r="AL811" s="12">
        <v>2</v>
      </c>
      <c r="AM811" s="12" t="s">
        <v>3449</v>
      </c>
      <c r="AN811" s="12"/>
      <c r="AO811" s="12"/>
      <c r="AP811" s="12"/>
      <c r="AQ811" s="4">
        <v>2</v>
      </c>
      <c r="AR811" s="4" t="s">
        <v>1480</v>
      </c>
      <c r="AS811" s="4"/>
      <c r="AT811" s="13"/>
      <c r="AU811" s="13"/>
      <c r="AV811" s="13"/>
      <c r="AW811" s="13"/>
      <c r="AX811" s="4"/>
      <c r="AY811" s="13"/>
      <c r="AZ811" s="13"/>
      <c r="BA811" s="13"/>
      <c r="BB811" s="13"/>
      <c r="BC811" s="4"/>
      <c r="BD811" s="4"/>
      <c r="BE811" s="4"/>
      <c r="BF811" s="13"/>
      <c r="BG811" s="4"/>
      <c r="BH811" s="13"/>
      <c r="BI811" s="13"/>
      <c r="BJ811" s="4"/>
      <c r="BK811" s="14">
        <v>13</v>
      </c>
      <c r="BL811" s="14">
        <v>13</v>
      </c>
      <c r="BM811" s="14">
        <v>13</v>
      </c>
      <c r="BP811" s="15"/>
      <c r="BQ811" s="15"/>
      <c r="BR811" s="2" t="s">
        <v>108</v>
      </c>
      <c r="BS811" s="2" t="s">
        <v>108</v>
      </c>
      <c r="BT811" s="7" t="s">
        <v>109</v>
      </c>
      <c r="BU811" s="7" t="s">
        <v>487</v>
      </c>
      <c r="BV811" s="9" t="s">
        <v>109</v>
      </c>
      <c r="BW811" s="9" t="s">
        <v>487</v>
      </c>
    </row>
    <row r="812" spans="1:75" ht="14.25" customHeight="1" x14ac:dyDescent="0.25">
      <c r="A812" s="1">
        <v>363</v>
      </c>
      <c r="B812" s="1" t="s">
        <v>3454</v>
      </c>
      <c r="C812" s="1" t="s">
        <v>3455</v>
      </c>
      <c r="D812" s="1" t="s">
        <v>77</v>
      </c>
      <c r="E812" s="1" t="s">
        <v>827</v>
      </c>
      <c r="F812" s="1" t="s">
        <v>854</v>
      </c>
      <c r="G812" s="1" t="s">
        <v>937</v>
      </c>
      <c r="H812" s="2">
        <v>0</v>
      </c>
      <c r="I812" s="2">
        <v>0</v>
      </c>
      <c r="J812" s="2">
        <v>1</v>
      </c>
      <c r="K812" s="2">
        <v>0</v>
      </c>
      <c r="L812" s="3" t="s">
        <v>80</v>
      </c>
      <c r="O812" s="4">
        <v>4</v>
      </c>
      <c r="P812" s="4" t="s">
        <v>112</v>
      </c>
      <c r="Q812" s="4"/>
      <c r="R812" s="5"/>
      <c r="S812" s="6"/>
      <c r="T812" s="17"/>
      <c r="U812" s="6"/>
      <c r="V812" s="4"/>
      <c r="W812" s="4"/>
      <c r="X812" s="4"/>
      <c r="Y812" s="7">
        <v>4</v>
      </c>
      <c r="Z812" s="8">
        <v>207174</v>
      </c>
      <c r="AA812" s="7" t="s">
        <v>92</v>
      </c>
      <c r="AB812" s="7"/>
      <c r="AC812" s="9">
        <v>4</v>
      </c>
      <c r="AD812" s="10">
        <v>207174</v>
      </c>
      <c r="AE812" s="9" t="s">
        <v>92</v>
      </c>
      <c r="AF812" s="9"/>
      <c r="AG812" s="11">
        <v>3</v>
      </c>
      <c r="AH812" s="11" t="s">
        <v>93</v>
      </c>
      <c r="AI812" s="11"/>
      <c r="AJ812" s="11"/>
      <c r="AK812" s="11"/>
      <c r="AL812" s="12">
        <v>3</v>
      </c>
      <c r="AM812" s="12" t="s">
        <v>93</v>
      </c>
      <c r="AN812" s="12" t="s">
        <v>698</v>
      </c>
      <c r="AO812" s="12"/>
      <c r="AP812" s="12"/>
      <c r="AQ812" s="4">
        <v>3</v>
      </c>
      <c r="AR812" s="4" t="s">
        <v>93</v>
      </c>
      <c r="AS812" s="4"/>
      <c r="AT812" s="13"/>
      <c r="AU812" s="13"/>
      <c r="AV812" s="13"/>
      <c r="AW812" s="13"/>
      <c r="AX812" s="4"/>
      <c r="AY812" s="13"/>
      <c r="AZ812" s="13"/>
      <c r="BA812" s="13"/>
      <c r="BB812" s="13"/>
      <c r="BC812" s="4"/>
      <c r="BD812" s="4"/>
      <c r="BE812" s="4"/>
      <c r="BF812" s="13"/>
      <c r="BG812" s="4"/>
      <c r="BH812" s="13"/>
      <c r="BI812" s="13"/>
      <c r="BJ812" s="4"/>
      <c r="BK812" s="14">
        <v>14</v>
      </c>
      <c r="BL812" s="14">
        <v>14</v>
      </c>
      <c r="BM812" s="14">
        <v>14</v>
      </c>
      <c r="BN812" s="3" t="s">
        <v>86</v>
      </c>
      <c r="BP812" s="15"/>
      <c r="BQ812" s="15"/>
      <c r="BR812" s="2" t="s">
        <v>108</v>
      </c>
      <c r="BS812" s="2" t="s">
        <v>108</v>
      </c>
      <c r="BT812" s="7" t="s">
        <v>109</v>
      </c>
      <c r="BU812" s="7"/>
      <c r="BV812" s="9" t="s">
        <v>109</v>
      </c>
      <c r="BW812" s="9"/>
    </row>
    <row r="813" spans="1:75" ht="14.25" customHeight="1" x14ac:dyDescent="0.25">
      <c r="A813" s="1">
        <v>392</v>
      </c>
      <c r="B813" s="1" t="s">
        <v>3456</v>
      </c>
      <c r="C813" s="1" t="s">
        <v>3457</v>
      </c>
      <c r="D813" s="1" t="s">
        <v>77</v>
      </c>
      <c r="E813" s="1" t="s">
        <v>827</v>
      </c>
      <c r="F813" s="1" t="s">
        <v>854</v>
      </c>
      <c r="G813" s="1" t="s">
        <v>1016</v>
      </c>
      <c r="H813" s="2">
        <v>0</v>
      </c>
      <c r="I813" s="2">
        <v>0</v>
      </c>
      <c r="J813" s="2">
        <v>1</v>
      </c>
      <c r="K813" s="2">
        <v>1</v>
      </c>
      <c r="L813" s="3" t="s">
        <v>80</v>
      </c>
      <c r="O813" s="4">
        <v>4</v>
      </c>
      <c r="P813" s="4" t="s">
        <v>112</v>
      </c>
      <c r="Q813" s="4"/>
      <c r="R813" s="5"/>
      <c r="S813" s="6"/>
      <c r="T813" s="17"/>
      <c r="U813" s="6"/>
      <c r="V813" s="4"/>
      <c r="W813" s="4"/>
      <c r="X813" s="4"/>
      <c r="Y813" s="7">
        <v>4</v>
      </c>
      <c r="Z813" s="8">
        <v>86005</v>
      </c>
      <c r="AA813" s="7" t="s">
        <v>92</v>
      </c>
      <c r="AB813" s="7"/>
      <c r="AC813" s="9">
        <v>4</v>
      </c>
      <c r="AD813" s="10">
        <v>86005</v>
      </c>
      <c r="AE813" s="9" t="s">
        <v>92</v>
      </c>
      <c r="AF813" s="9"/>
      <c r="AG813" s="11">
        <v>3</v>
      </c>
      <c r="AH813" s="11" t="s">
        <v>93</v>
      </c>
      <c r="AI813" s="11"/>
      <c r="AJ813" s="11"/>
      <c r="AK813" s="11"/>
      <c r="AL813" s="12">
        <v>3</v>
      </c>
      <c r="AM813" s="12" t="s">
        <v>93</v>
      </c>
      <c r="AN813" s="12" t="s">
        <v>805</v>
      </c>
      <c r="AO813" s="12"/>
      <c r="AP813" s="12"/>
      <c r="AQ813" s="4">
        <v>3</v>
      </c>
      <c r="AR813" s="4" t="s">
        <v>83</v>
      </c>
      <c r="AS813" s="4"/>
      <c r="AT813" s="13"/>
      <c r="AU813" s="13"/>
      <c r="AV813" s="13"/>
      <c r="AW813" s="13"/>
      <c r="AX813" s="4"/>
      <c r="AY813" s="13"/>
      <c r="AZ813" s="13"/>
      <c r="BA813" s="13"/>
      <c r="BB813" s="13"/>
      <c r="BC813" s="4"/>
      <c r="BD813" s="4"/>
      <c r="BE813" s="4"/>
      <c r="BF813" s="13"/>
      <c r="BG813" s="4"/>
      <c r="BH813" s="13"/>
      <c r="BI813" s="13"/>
      <c r="BJ813" s="4"/>
      <c r="BK813" s="14">
        <v>14</v>
      </c>
      <c r="BL813" s="14">
        <v>14</v>
      </c>
      <c r="BM813" s="14">
        <v>14</v>
      </c>
      <c r="BN813" s="3" t="s">
        <v>86</v>
      </c>
      <c r="BP813" s="15"/>
      <c r="BQ813" s="15"/>
      <c r="BR813" s="2" t="s">
        <v>108</v>
      </c>
      <c r="BS813" s="2" t="s">
        <v>108</v>
      </c>
      <c r="BT813" s="7" t="s">
        <v>109</v>
      </c>
      <c r="BU813" s="7"/>
      <c r="BV813" s="9" t="s">
        <v>109</v>
      </c>
      <c r="BW813" s="9"/>
    </row>
    <row r="814" spans="1:75" ht="14.25" customHeight="1" x14ac:dyDescent="0.25">
      <c r="A814" s="1">
        <v>393</v>
      </c>
      <c r="B814" s="1" t="s">
        <v>3458</v>
      </c>
      <c r="C814" s="1" t="s">
        <v>3459</v>
      </c>
      <c r="D814" s="1" t="s">
        <v>77</v>
      </c>
      <c r="E814" s="1" t="s">
        <v>827</v>
      </c>
      <c r="F814" s="1" t="s">
        <v>854</v>
      </c>
      <c r="G814" s="1" t="s">
        <v>3460</v>
      </c>
      <c r="H814" s="2">
        <v>0</v>
      </c>
      <c r="I814" s="2">
        <v>0</v>
      </c>
      <c r="J814" s="2">
        <v>1</v>
      </c>
      <c r="K814" s="2">
        <v>1</v>
      </c>
      <c r="L814" s="3" t="s">
        <v>80</v>
      </c>
      <c r="O814" s="4">
        <v>3</v>
      </c>
      <c r="P814" s="4" t="s">
        <v>81</v>
      </c>
      <c r="Q814" s="4" t="s">
        <v>1789</v>
      </c>
      <c r="R814" s="5"/>
      <c r="S814" s="6"/>
      <c r="T814" s="17"/>
      <c r="U814" s="6"/>
      <c r="V814" s="4"/>
      <c r="W814" s="4"/>
      <c r="X814" s="4"/>
      <c r="Y814" s="7">
        <v>3</v>
      </c>
      <c r="Z814" s="8">
        <v>305068</v>
      </c>
      <c r="AA814" s="7" t="s">
        <v>92</v>
      </c>
      <c r="AB814" s="7"/>
      <c r="AC814" s="9">
        <v>3</v>
      </c>
      <c r="AD814" s="10">
        <v>305068</v>
      </c>
      <c r="AE814" s="9" t="s">
        <v>92</v>
      </c>
      <c r="AF814" s="9"/>
      <c r="AG814" s="11">
        <v>2</v>
      </c>
      <c r="AH814" s="11" t="s">
        <v>93</v>
      </c>
      <c r="AI814" s="11"/>
      <c r="AJ814" s="11"/>
      <c r="AK814" s="11"/>
      <c r="AL814" s="12">
        <v>2</v>
      </c>
      <c r="AM814" s="12" t="s">
        <v>93</v>
      </c>
      <c r="AN814" s="12" t="s">
        <v>394</v>
      </c>
      <c r="AO814" s="12"/>
      <c r="AP814" s="12"/>
      <c r="AQ814" s="4">
        <v>3</v>
      </c>
      <c r="AR814" s="4" t="s">
        <v>83</v>
      </c>
      <c r="AS814" s="4"/>
      <c r="AT814" s="13"/>
      <c r="AU814" s="13"/>
      <c r="AV814" s="13"/>
      <c r="AW814" s="13"/>
      <c r="AX814" s="4"/>
      <c r="AY814" s="13"/>
      <c r="AZ814" s="13"/>
      <c r="BA814" s="13"/>
      <c r="BB814" s="13"/>
      <c r="BC814" s="4"/>
      <c r="BD814" s="4"/>
      <c r="BE814" s="4"/>
      <c r="BF814" s="13"/>
      <c r="BG814" s="4"/>
      <c r="BH814" s="13"/>
      <c r="BI814" s="13"/>
      <c r="BJ814" s="4"/>
      <c r="BK814" s="14">
        <v>11</v>
      </c>
      <c r="BL814" s="14">
        <v>11</v>
      </c>
      <c r="BM814" s="14">
        <v>11</v>
      </c>
      <c r="BP814" s="15"/>
      <c r="BQ814" s="15"/>
      <c r="BR814" s="2" t="s">
        <v>409</v>
      </c>
      <c r="BS814" s="2" t="s">
        <v>409</v>
      </c>
      <c r="BT814" s="7" t="s">
        <v>438</v>
      </c>
      <c r="BU814" s="7"/>
      <c r="BV814" s="9" t="s">
        <v>438</v>
      </c>
      <c r="BW814" s="9"/>
    </row>
    <row r="815" spans="1:75" ht="14.25" customHeight="1" x14ac:dyDescent="0.25">
      <c r="A815" s="1">
        <v>394</v>
      </c>
      <c r="B815" s="1" t="s">
        <v>3461</v>
      </c>
      <c r="C815" s="1" t="s">
        <v>3462</v>
      </c>
      <c r="D815" s="1" t="s">
        <v>77</v>
      </c>
      <c r="E815" s="1" t="s">
        <v>827</v>
      </c>
      <c r="F815" s="1" t="s">
        <v>854</v>
      </c>
      <c r="G815" s="1" t="s">
        <v>3463</v>
      </c>
      <c r="H815" s="2">
        <v>0</v>
      </c>
      <c r="I815" s="2">
        <v>0</v>
      </c>
      <c r="J815" s="2">
        <v>0</v>
      </c>
      <c r="K815" s="2">
        <v>1</v>
      </c>
      <c r="L815" s="3" t="s">
        <v>80</v>
      </c>
      <c r="O815" s="4">
        <v>4</v>
      </c>
      <c r="P815" s="4" t="s">
        <v>1883</v>
      </c>
      <c r="Q815" s="4" t="s">
        <v>3464</v>
      </c>
      <c r="R815" s="5"/>
      <c r="S815" s="6"/>
      <c r="T815" s="17"/>
      <c r="U815" s="6"/>
      <c r="V815" s="4"/>
      <c r="W815" s="4"/>
      <c r="X815" s="4"/>
      <c r="Y815" s="7">
        <v>5</v>
      </c>
      <c r="Z815" s="8">
        <v>47013</v>
      </c>
      <c r="AA815" s="7" t="s">
        <v>3465</v>
      </c>
      <c r="AB815" s="7" t="s">
        <v>3466</v>
      </c>
      <c r="AC815" s="9">
        <v>5</v>
      </c>
      <c r="AD815" s="10">
        <v>47013</v>
      </c>
      <c r="AE815" s="9" t="s">
        <v>3465</v>
      </c>
      <c r="AF815" s="9" t="s">
        <v>3466</v>
      </c>
      <c r="AG815" s="11">
        <v>3</v>
      </c>
      <c r="AH815" s="11" t="s">
        <v>83</v>
      </c>
      <c r="AI815" s="11" t="s">
        <v>3467</v>
      </c>
      <c r="AJ815" s="11"/>
      <c r="AK815" s="11"/>
      <c r="AL815" s="12">
        <v>3</v>
      </c>
      <c r="AM815" s="12" t="s">
        <v>83</v>
      </c>
      <c r="AN815" s="12"/>
      <c r="AO815" s="12"/>
      <c r="AP815" s="12"/>
      <c r="AQ815" s="4">
        <v>4</v>
      </c>
      <c r="AR815" s="4" t="s">
        <v>83</v>
      </c>
      <c r="AS815" s="4" t="s">
        <v>3468</v>
      </c>
      <c r="AT815" s="13"/>
      <c r="AU815" s="13"/>
      <c r="AV815" s="13"/>
      <c r="AW815" s="13"/>
      <c r="AX815" s="4"/>
      <c r="AY815" s="13"/>
      <c r="AZ815" s="13"/>
      <c r="BA815" s="13"/>
      <c r="BB815" s="13"/>
      <c r="BC815" s="4"/>
      <c r="BD815" s="4"/>
      <c r="BE815" s="4"/>
      <c r="BF815" s="13"/>
      <c r="BG815" s="4"/>
      <c r="BH815" s="13"/>
      <c r="BI815" s="13"/>
      <c r="BJ815" s="4"/>
      <c r="BK815" s="14">
        <v>16</v>
      </c>
      <c r="BL815" s="14">
        <v>16</v>
      </c>
      <c r="BM815" s="14">
        <v>16</v>
      </c>
      <c r="BN815" s="3" t="s">
        <v>86</v>
      </c>
      <c r="BP815" s="15" t="s">
        <v>135</v>
      </c>
      <c r="BQ815" s="15"/>
      <c r="BR815" s="2" t="s">
        <v>108</v>
      </c>
      <c r="BS815" s="2" t="s">
        <v>108</v>
      </c>
      <c r="BT815" s="7" t="s">
        <v>98</v>
      </c>
      <c r="BU815" s="7"/>
      <c r="BV815" s="9" t="s">
        <v>98</v>
      </c>
      <c r="BW815" s="9"/>
    </row>
    <row r="816" spans="1:75" ht="14.25" customHeight="1" x14ac:dyDescent="0.25">
      <c r="A816" s="1">
        <v>395</v>
      </c>
      <c r="B816" s="1" t="s">
        <v>3469</v>
      </c>
      <c r="C816" s="1" t="s">
        <v>3470</v>
      </c>
      <c r="D816" s="1" t="s">
        <v>77</v>
      </c>
      <c r="E816" s="1" t="s">
        <v>827</v>
      </c>
      <c r="F816" s="1" t="s">
        <v>854</v>
      </c>
      <c r="G816" s="1" t="s">
        <v>3460</v>
      </c>
      <c r="H816" s="2">
        <v>0</v>
      </c>
      <c r="I816" s="2">
        <v>0</v>
      </c>
      <c r="J816" s="2">
        <v>1</v>
      </c>
      <c r="K816" s="2">
        <v>1</v>
      </c>
      <c r="L816" s="3" t="s">
        <v>80</v>
      </c>
      <c r="O816" s="4">
        <v>3</v>
      </c>
      <c r="P816" s="4" t="s">
        <v>706</v>
      </c>
      <c r="Q816" s="4"/>
      <c r="R816" s="16">
        <v>2000000</v>
      </c>
      <c r="S816" s="6">
        <v>2000000</v>
      </c>
      <c r="T816" s="17"/>
      <c r="U816" s="6"/>
      <c r="V816" s="4"/>
      <c r="W816" s="4"/>
      <c r="X816" s="4"/>
      <c r="Y816" s="7">
        <v>3</v>
      </c>
      <c r="Z816" s="8">
        <v>608878</v>
      </c>
      <c r="AA816" s="7" t="s">
        <v>92</v>
      </c>
      <c r="AB816" s="7"/>
      <c r="AC816" s="9">
        <v>3</v>
      </c>
      <c r="AD816" s="10">
        <v>608878</v>
      </c>
      <c r="AE816" s="9" t="s">
        <v>92</v>
      </c>
      <c r="AF816" s="9"/>
      <c r="AG816" s="11">
        <v>3</v>
      </c>
      <c r="AH816" s="11" t="s">
        <v>2868</v>
      </c>
      <c r="AI816" s="11" t="s">
        <v>3471</v>
      </c>
      <c r="AJ816" s="11"/>
      <c r="AK816" s="11"/>
      <c r="AL816" s="12">
        <v>2</v>
      </c>
      <c r="AM816" s="12" t="s">
        <v>271</v>
      </c>
      <c r="AN816" s="12" t="s">
        <v>394</v>
      </c>
      <c r="AO816" s="12"/>
      <c r="AP816" s="12"/>
      <c r="AQ816" s="4">
        <v>2</v>
      </c>
      <c r="AR816" s="4" t="s">
        <v>83</v>
      </c>
      <c r="AS816" s="4" t="s">
        <v>3472</v>
      </c>
      <c r="AT816" s="13"/>
      <c r="AU816" s="13"/>
      <c r="AV816" s="13"/>
      <c r="AW816" s="13"/>
      <c r="AX816" s="4"/>
      <c r="AY816" s="13"/>
      <c r="AZ816" s="13"/>
      <c r="BA816" s="13"/>
      <c r="BB816" s="13"/>
      <c r="BC816" s="4"/>
      <c r="BD816" s="4"/>
      <c r="BE816" s="4"/>
      <c r="BF816" s="13"/>
      <c r="BG816" s="4"/>
      <c r="BH816" s="13"/>
      <c r="BI816" s="13"/>
      <c r="BJ816" s="4"/>
      <c r="BK816" s="14">
        <v>11</v>
      </c>
      <c r="BL816" s="14">
        <v>10</v>
      </c>
      <c r="BM816" s="14">
        <v>11</v>
      </c>
      <c r="BP816" s="15"/>
      <c r="BQ816" s="15"/>
      <c r="BR816" s="2" t="s">
        <v>409</v>
      </c>
      <c r="BS816" s="2" t="s">
        <v>409</v>
      </c>
      <c r="BT816" s="7" t="s">
        <v>438</v>
      </c>
      <c r="BU816" s="7" t="s">
        <v>109</v>
      </c>
      <c r="BV816" s="9" t="s">
        <v>438</v>
      </c>
      <c r="BW816" s="9" t="s">
        <v>109</v>
      </c>
    </row>
    <row r="817" spans="1:75" ht="14.25" customHeight="1" x14ac:dyDescent="0.25">
      <c r="A817" s="1">
        <v>396</v>
      </c>
      <c r="B817" s="1" t="s">
        <v>3473</v>
      </c>
      <c r="C817" s="1" t="s">
        <v>3474</v>
      </c>
      <c r="D817" s="1" t="s">
        <v>77</v>
      </c>
      <c r="E817" s="1" t="s">
        <v>827</v>
      </c>
      <c r="F817" s="1" t="s">
        <v>854</v>
      </c>
      <c r="G817" s="1" t="s">
        <v>3460</v>
      </c>
      <c r="H817" s="2">
        <v>0</v>
      </c>
      <c r="I817" s="2">
        <v>0</v>
      </c>
      <c r="J817" s="2">
        <v>1</v>
      </c>
      <c r="K817" s="2">
        <v>1</v>
      </c>
      <c r="L817" s="3" t="s">
        <v>80</v>
      </c>
      <c r="O817" s="4">
        <v>4</v>
      </c>
      <c r="P817" s="4" t="s">
        <v>81</v>
      </c>
      <c r="Q817" s="4" t="s">
        <v>3475</v>
      </c>
      <c r="R817" s="5"/>
      <c r="S817" s="6"/>
      <c r="T817" s="17"/>
      <c r="U817" s="6"/>
      <c r="V817" s="4"/>
      <c r="W817" s="4"/>
      <c r="X817" s="4"/>
      <c r="Y817" s="7">
        <v>5</v>
      </c>
      <c r="Z817" s="8">
        <v>59455</v>
      </c>
      <c r="AA817" s="7" t="s">
        <v>92</v>
      </c>
      <c r="AB817" s="7"/>
      <c r="AC817" s="9">
        <v>5</v>
      </c>
      <c r="AD817" s="10">
        <v>59455</v>
      </c>
      <c r="AE817" s="9" t="s">
        <v>92</v>
      </c>
      <c r="AF817" s="9"/>
      <c r="AG817" s="11">
        <v>3</v>
      </c>
      <c r="AH817" s="11" t="s">
        <v>93</v>
      </c>
      <c r="AI817" s="11"/>
      <c r="AJ817" s="11"/>
      <c r="AK817" s="11"/>
      <c r="AL817" s="12">
        <v>3</v>
      </c>
      <c r="AM817" s="12" t="s">
        <v>93</v>
      </c>
      <c r="AN817" s="12" t="s">
        <v>3476</v>
      </c>
      <c r="AO817" s="12"/>
      <c r="AP817" s="12"/>
      <c r="AQ817" s="4">
        <v>3</v>
      </c>
      <c r="AR817" s="4" t="s">
        <v>83</v>
      </c>
      <c r="AS817" s="4"/>
      <c r="AT817" s="13"/>
      <c r="AU817" s="13"/>
      <c r="AV817" s="13"/>
      <c r="AW817" s="13"/>
      <c r="AX817" s="4"/>
      <c r="AY817" s="13"/>
      <c r="AZ817" s="13"/>
      <c r="BA817" s="13"/>
      <c r="BB817" s="13"/>
      <c r="BC817" s="4"/>
      <c r="BD817" s="4"/>
      <c r="BE817" s="4"/>
      <c r="BF817" s="13"/>
      <c r="BG817" s="4"/>
      <c r="BH817" s="13"/>
      <c r="BI817" s="13"/>
      <c r="BJ817" s="4"/>
      <c r="BK817" s="14">
        <v>15</v>
      </c>
      <c r="BL817" s="14">
        <v>15</v>
      </c>
      <c r="BM817" s="14">
        <v>15</v>
      </c>
      <c r="BN817" s="3" t="s">
        <v>86</v>
      </c>
      <c r="BP817" s="15"/>
      <c r="BQ817" s="15"/>
      <c r="BR817" s="2" t="s">
        <v>108</v>
      </c>
      <c r="BS817" s="2" t="s">
        <v>108</v>
      </c>
      <c r="BT817" s="7" t="s">
        <v>98</v>
      </c>
      <c r="BU817" s="7"/>
      <c r="BV817" s="9" t="s">
        <v>98</v>
      </c>
      <c r="BW817" s="9"/>
    </row>
    <row r="818" spans="1:75" ht="14.25" customHeight="1" x14ac:dyDescent="0.25">
      <c r="A818" s="1">
        <v>397</v>
      </c>
      <c r="B818" s="1" t="s">
        <v>3477</v>
      </c>
      <c r="C818" s="1" t="s">
        <v>3478</v>
      </c>
      <c r="D818" s="1" t="s">
        <v>77</v>
      </c>
      <c r="E818" s="1" t="s">
        <v>827</v>
      </c>
      <c r="F818" s="1" t="s">
        <v>854</v>
      </c>
      <c r="G818" s="1" t="s">
        <v>3460</v>
      </c>
      <c r="H818" s="2">
        <v>0</v>
      </c>
      <c r="I818" s="2">
        <v>0</v>
      </c>
      <c r="J818" s="2">
        <v>0</v>
      </c>
      <c r="K818" s="2">
        <v>1</v>
      </c>
      <c r="L818" s="3" t="s">
        <v>80</v>
      </c>
      <c r="O818" s="4">
        <v>4</v>
      </c>
      <c r="P818" s="4" t="s">
        <v>81</v>
      </c>
      <c r="Q818" s="4"/>
      <c r="R818" s="5"/>
      <c r="S818" s="6"/>
      <c r="T818" s="17"/>
      <c r="U818" s="6"/>
      <c r="V818" s="4"/>
      <c r="W818" s="4"/>
      <c r="X818" s="4"/>
      <c r="Y818" s="7">
        <v>5</v>
      </c>
      <c r="Z818" s="8">
        <v>42111</v>
      </c>
      <c r="AA818" s="7" t="s">
        <v>82</v>
      </c>
      <c r="AB818" s="7"/>
      <c r="AC818" s="9">
        <v>5</v>
      </c>
      <c r="AD818" s="10">
        <v>42111</v>
      </c>
      <c r="AE818" s="9" t="s">
        <v>82</v>
      </c>
      <c r="AF818" s="9"/>
      <c r="AG818" s="11">
        <v>2</v>
      </c>
      <c r="AH818" s="11" t="s">
        <v>83</v>
      </c>
      <c r="AI818" s="11"/>
      <c r="AJ818" s="11"/>
      <c r="AK818" s="11"/>
      <c r="AL818" s="12">
        <v>2</v>
      </c>
      <c r="AM818" s="12" t="s">
        <v>83</v>
      </c>
      <c r="AN818" s="12"/>
      <c r="AO818" s="12"/>
      <c r="AP818" s="12"/>
      <c r="AQ818" s="4">
        <v>2</v>
      </c>
      <c r="AR818" s="4" t="s">
        <v>83</v>
      </c>
      <c r="AS818" s="4"/>
      <c r="AT818" s="13"/>
      <c r="AU818" s="13"/>
      <c r="AV818" s="13"/>
      <c r="AW818" s="13"/>
      <c r="AX818" s="4"/>
      <c r="AY818" s="13"/>
      <c r="AZ818" s="13"/>
      <c r="BA818" s="13"/>
      <c r="BB818" s="13"/>
      <c r="BC818" s="4"/>
      <c r="BD818" s="4"/>
      <c r="BE818" s="4"/>
      <c r="BF818" s="13"/>
      <c r="BG818" s="4"/>
      <c r="BH818" s="13"/>
      <c r="BI818" s="13"/>
      <c r="BJ818" s="4"/>
      <c r="BK818" s="14">
        <v>13</v>
      </c>
      <c r="BL818" s="14">
        <v>13</v>
      </c>
      <c r="BM818" s="14">
        <v>13</v>
      </c>
      <c r="BP818" s="15"/>
      <c r="BQ818" s="15"/>
      <c r="BR818" s="2" t="s">
        <v>108</v>
      </c>
      <c r="BS818" s="2" t="s">
        <v>108</v>
      </c>
      <c r="BT818" s="7" t="s">
        <v>98</v>
      </c>
      <c r="BU818" s="7"/>
      <c r="BV818" s="9" t="s">
        <v>98</v>
      </c>
      <c r="BW818" s="9"/>
    </row>
    <row r="819" spans="1:75" ht="14.25" customHeight="1" x14ac:dyDescent="0.25">
      <c r="A819" s="1">
        <v>398</v>
      </c>
      <c r="B819" s="1" t="s">
        <v>3479</v>
      </c>
      <c r="C819" s="1" t="s">
        <v>3480</v>
      </c>
      <c r="D819" s="1" t="s">
        <v>77</v>
      </c>
      <c r="E819" s="1" t="s">
        <v>827</v>
      </c>
      <c r="F819" s="1" t="s">
        <v>854</v>
      </c>
      <c r="G819" s="1"/>
      <c r="H819" s="2">
        <v>0</v>
      </c>
      <c r="I819" s="2">
        <v>0</v>
      </c>
      <c r="J819" s="2">
        <v>1</v>
      </c>
      <c r="K819" s="2">
        <v>1</v>
      </c>
      <c r="L819" s="3" t="s">
        <v>80</v>
      </c>
      <c r="O819" s="4">
        <v>3</v>
      </c>
      <c r="P819" s="4" t="s">
        <v>112</v>
      </c>
      <c r="Q819" s="4"/>
      <c r="R819" s="5"/>
      <c r="S819" s="6"/>
      <c r="T819" s="17"/>
      <c r="U819" s="6"/>
      <c r="V819" s="4"/>
      <c r="W819" s="4"/>
      <c r="X819" s="4"/>
      <c r="Y819" s="7">
        <v>3</v>
      </c>
      <c r="Z819" s="8">
        <v>351129</v>
      </c>
      <c r="AA819" s="7" t="s">
        <v>92</v>
      </c>
      <c r="AB819" s="7"/>
      <c r="AC819" s="9">
        <v>3</v>
      </c>
      <c r="AD819" s="10">
        <v>351129</v>
      </c>
      <c r="AE819" s="9" t="s">
        <v>92</v>
      </c>
      <c r="AF819" s="9"/>
      <c r="AG819" s="11">
        <v>2</v>
      </c>
      <c r="AH819" s="11" t="s">
        <v>93</v>
      </c>
      <c r="AI819" s="11"/>
      <c r="AJ819" s="11"/>
      <c r="AK819" s="11"/>
      <c r="AL819" s="12">
        <v>2</v>
      </c>
      <c r="AM819" s="12" t="s">
        <v>93</v>
      </c>
      <c r="AN819" s="12" t="s">
        <v>394</v>
      </c>
      <c r="AO819" s="12"/>
      <c r="AP819" s="12"/>
      <c r="AQ819" s="4">
        <v>2</v>
      </c>
      <c r="AR819" s="4" t="s">
        <v>83</v>
      </c>
      <c r="AS819" s="4"/>
      <c r="AT819" s="13"/>
      <c r="AU819" s="13"/>
      <c r="AV819" s="13"/>
      <c r="AW819" s="13"/>
      <c r="AX819" s="4"/>
      <c r="AY819" s="13"/>
      <c r="AZ819" s="13"/>
      <c r="BA819" s="13"/>
      <c r="BB819" s="13"/>
      <c r="BC819" s="4"/>
      <c r="BD819" s="4"/>
      <c r="BE819" s="4"/>
      <c r="BF819" s="13"/>
      <c r="BG819" s="4"/>
      <c r="BH819" s="13"/>
      <c r="BI819" s="13"/>
      <c r="BJ819" s="4"/>
      <c r="BK819" s="14">
        <v>10</v>
      </c>
      <c r="BL819" s="14">
        <v>10</v>
      </c>
      <c r="BM819" s="14">
        <v>10</v>
      </c>
      <c r="BP819" s="15"/>
      <c r="BQ819" s="15"/>
      <c r="BR819" s="2" t="s">
        <v>108</v>
      </c>
      <c r="BS819" s="2" t="s">
        <v>108</v>
      </c>
      <c r="BT819" s="7" t="s">
        <v>109</v>
      </c>
      <c r="BU819" s="7"/>
      <c r="BV819" s="9" t="s">
        <v>109</v>
      </c>
      <c r="BW819" s="9"/>
    </row>
    <row r="820" spans="1:75" ht="14.25" customHeight="1" x14ac:dyDescent="0.25">
      <c r="A820" s="1">
        <v>399</v>
      </c>
      <c r="B820" s="1" t="s">
        <v>3481</v>
      </c>
      <c r="C820" s="1" t="s">
        <v>3482</v>
      </c>
      <c r="D820" s="1" t="s">
        <v>77</v>
      </c>
      <c r="E820" s="1" t="s">
        <v>827</v>
      </c>
      <c r="F820" s="1" t="s">
        <v>854</v>
      </c>
      <c r="G820" s="1"/>
      <c r="H820" s="2">
        <v>0</v>
      </c>
      <c r="I820" s="2">
        <v>1</v>
      </c>
      <c r="J820" s="2">
        <v>1</v>
      </c>
      <c r="K820" s="2">
        <v>1</v>
      </c>
      <c r="L820" s="3" t="s">
        <v>80</v>
      </c>
      <c r="O820" s="4">
        <v>3</v>
      </c>
      <c r="P820" s="4" t="s">
        <v>470</v>
      </c>
      <c r="Q820" s="4"/>
      <c r="R820" s="16">
        <v>610000</v>
      </c>
      <c r="S820" s="6">
        <v>610000</v>
      </c>
      <c r="T820" s="16">
        <v>110000</v>
      </c>
      <c r="U820" s="6">
        <v>110000</v>
      </c>
      <c r="V820" s="4">
        <v>2010.5</v>
      </c>
      <c r="W820" s="4" t="s">
        <v>425</v>
      </c>
      <c r="X820" s="4"/>
      <c r="Y820" s="7">
        <v>3</v>
      </c>
      <c r="Z820" s="8">
        <v>390162</v>
      </c>
      <c r="AA820" s="7" t="s">
        <v>92</v>
      </c>
      <c r="AB820" s="7"/>
      <c r="AC820" s="9">
        <v>3</v>
      </c>
      <c r="AD820" s="10">
        <v>400302</v>
      </c>
      <c r="AE820" s="9" t="s">
        <v>92</v>
      </c>
      <c r="AF820" s="9" t="s">
        <v>3483</v>
      </c>
      <c r="AG820" s="11">
        <v>3</v>
      </c>
      <c r="AH820" s="11" t="s">
        <v>131</v>
      </c>
      <c r="AI820" s="11" t="s">
        <v>3484</v>
      </c>
      <c r="AJ820" s="11">
        <v>3</v>
      </c>
      <c r="AK820" s="11" t="s">
        <v>132</v>
      </c>
      <c r="AL820" s="12">
        <v>2</v>
      </c>
      <c r="AM820" s="12" t="s">
        <v>131</v>
      </c>
      <c r="AN820" s="12" t="s">
        <v>394</v>
      </c>
      <c r="AO820" s="12">
        <v>2</v>
      </c>
      <c r="AP820" s="12" t="s">
        <v>132</v>
      </c>
      <c r="AQ820" s="4">
        <v>3</v>
      </c>
      <c r="AR820" s="4" t="s">
        <v>673</v>
      </c>
      <c r="AS820" s="4"/>
      <c r="AT820" s="13"/>
      <c r="AU820" s="13"/>
      <c r="AV820" s="13"/>
      <c r="AW820" s="13"/>
      <c r="AX820" s="4"/>
      <c r="AY820" s="13"/>
      <c r="AZ820" s="13"/>
      <c r="BA820" s="13"/>
      <c r="BB820" s="13"/>
      <c r="BC820" s="4"/>
      <c r="BD820" s="4"/>
      <c r="BE820" s="4"/>
      <c r="BF820" s="13"/>
      <c r="BG820" s="4"/>
      <c r="BH820" s="13"/>
      <c r="BI820" s="13"/>
      <c r="BJ820" s="4"/>
      <c r="BK820" s="14">
        <v>12</v>
      </c>
      <c r="BL820" s="14">
        <v>11</v>
      </c>
      <c r="BM820" s="14">
        <v>12</v>
      </c>
      <c r="BP820" s="15" t="s">
        <v>135</v>
      </c>
      <c r="BQ820" s="15"/>
      <c r="BR820" s="2" t="s">
        <v>115</v>
      </c>
      <c r="BS820" s="2" t="s">
        <v>115</v>
      </c>
      <c r="BT820" s="7" t="s">
        <v>109</v>
      </c>
      <c r="BU820" s="7"/>
      <c r="BV820" s="9" t="s">
        <v>109</v>
      </c>
      <c r="BW820" s="9"/>
    </row>
    <row r="821" spans="1:75" ht="14.25" customHeight="1" x14ac:dyDescent="0.25">
      <c r="A821" s="1">
        <v>399.5</v>
      </c>
      <c r="B821" s="1" t="s">
        <v>3485</v>
      </c>
      <c r="C821" s="1" t="s">
        <v>3486</v>
      </c>
      <c r="D821" s="1" t="s">
        <v>77</v>
      </c>
      <c r="E821" s="1" t="s">
        <v>768</v>
      </c>
      <c r="F821" s="1" t="s">
        <v>854</v>
      </c>
      <c r="G821" s="1" t="s">
        <v>3487</v>
      </c>
      <c r="H821" s="2">
        <v>0</v>
      </c>
      <c r="I821" s="2">
        <v>0</v>
      </c>
      <c r="J821" s="2">
        <v>0</v>
      </c>
      <c r="K821" s="2">
        <v>1</v>
      </c>
      <c r="L821" s="3" t="s">
        <v>80</v>
      </c>
      <c r="O821" s="4">
        <v>5</v>
      </c>
      <c r="P821" s="4" t="s">
        <v>81</v>
      </c>
      <c r="Q821" s="4"/>
      <c r="R821" s="5"/>
      <c r="S821" s="6"/>
      <c r="T821" s="17"/>
      <c r="U821" s="6"/>
      <c r="V821" s="4"/>
      <c r="W821" s="4"/>
      <c r="X821" s="4"/>
      <c r="Y821" s="7">
        <v>5</v>
      </c>
      <c r="Z821" s="8"/>
      <c r="AA821" s="7" t="s">
        <v>856</v>
      </c>
      <c r="AB821" s="7"/>
      <c r="AC821" s="9">
        <v>5</v>
      </c>
      <c r="AD821" s="10"/>
      <c r="AE821" s="9" t="s">
        <v>856</v>
      </c>
      <c r="AF821" s="9"/>
      <c r="AG821" s="11">
        <v>3</v>
      </c>
      <c r="AH821" s="11" t="s">
        <v>83</v>
      </c>
      <c r="AI821" s="11"/>
      <c r="AJ821" s="11"/>
      <c r="AK821" s="11"/>
      <c r="AL821" s="12">
        <v>3</v>
      </c>
      <c r="AM821" s="12" t="s">
        <v>83</v>
      </c>
      <c r="AN821" s="12"/>
      <c r="AO821" s="12"/>
      <c r="AP821" s="12"/>
      <c r="AQ821" s="4">
        <v>2</v>
      </c>
      <c r="AR821" s="4" t="s">
        <v>83</v>
      </c>
      <c r="AS821" s="4"/>
      <c r="AT821" s="13"/>
      <c r="AU821" s="13"/>
      <c r="AV821" s="13"/>
      <c r="AW821" s="13"/>
      <c r="AX821" s="4"/>
      <c r="AY821" s="13"/>
      <c r="AZ821" s="13"/>
      <c r="BA821" s="13"/>
      <c r="BB821" s="13"/>
      <c r="BC821" s="4"/>
      <c r="BD821" s="4"/>
      <c r="BE821" s="4"/>
      <c r="BF821" s="13"/>
      <c r="BG821" s="4"/>
      <c r="BH821" s="13"/>
      <c r="BI821" s="13"/>
      <c r="BJ821" s="4"/>
      <c r="BK821" s="14">
        <v>15</v>
      </c>
      <c r="BL821" s="14">
        <v>15</v>
      </c>
      <c r="BM821" s="14">
        <v>15</v>
      </c>
      <c r="BN821" s="3" t="s">
        <v>86</v>
      </c>
      <c r="BP821" s="15"/>
      <c r="BQ821" s="15"/>
      <c r="BR821" s="2" t="s">
        <v>115</v>
      </c>
      <c r="BS821" s="2" t="s">
        <v>115</v>
      </c>
      <c r="BT821" s="7" t="s">
        <v>98</v>
      </c>
      <c r="BU821" s="7"/>
      <c r="BV821" s="9" t="s">
        <v>98</v>
      </c>
      <c r="BW821" s="9"/>
    </row>
    <row r="822" spans="1:75" ht="14.25" customHeight="1" x14ac:dyDescent="0.25">
      <c r="A822" s="1">
        <v>400</v>
      </c>
      <c r="B822" s="1" t="s">
        <v>3488</v>
      </c>
      <c r="C822" s="1" t="s">
        <v>3489</v>
      </c>
      <c r="D822" s="1" t="s">
        <v>77</v>
      </c>
      <c r="E822" s="1" t="s">
        <v>827</v>
      </c>
      <c r="F822" s="1" t="s">
        <v>854</v>
      </c>
      <c r="G822" s="1"/>
      <c r="H822" s="2">
        <v>0</v>
      </c>
      <c r="I822" s="2">
        <v>0</v>
      </c>
      <c r="J822" s="2">
        <v>1</v>
      </c>
      <c r="K822" s="2">
        <v>1</v>
      </c>
      <c r="L822" s="3" t="s">
        <v>80</v>
      </c>
      <c r="O822" s="4">
        <v>2</v>
      </c>
      <c r="P822" s="4" t="s">
        <v>81</v>
      </c>
      <c r="Q822" s="4" t="s">
        <v>91</v>
      </c>
      <c r="R822" s="5"/>
      <c r="S822" s="6"/>
      <c r="T822" s="17"/>
      <c r="U822" s="6"/>
      <c r="V822" s="4"/>
      <c r="W822" s="4"/>
      <c r="X822" s="4"/>
      <c r="Y822" s="7">
        <v>2</v>
      </c>
      <c r="Z822" s="8">
        <v>1023031</v>
      </c>
      <c r="AA822" s="7" t="s">
        <v>92</v>
      </c>
      <c r="AB822" s="7"/>
      <c r="AC822" s="9">
        <v>2</v>
      </c>
      <c r="AD822" s="10">
        <v>1023031</v>
      </c>
      <c r="AE822" s="9" t="s">
        <v>92</v>
      </c>
      <c r="AF822" s="9"/>
      <c r="AG822" s="11">
        <v>2</v>
      </c>
      <c r="AH822" s="11" t="s">
        <v>93</v>
      </c>
      <c r="AI822" s="11"/>
      <c r="AJ822" s="11"/>
      <c r="AK822" s="11"/>
      <c r="AL822" s="12">
        <v>2</v>
      </c>
      <c r="AM822" s="12" t="s">
        <v>93</v>
      </c>
      <c r="AN822" s="12" t="s">
        <v>394</v>
      </c>
      <c r="AO822" s="12"/>
      <c r="AP822" s="12"/>
      <c r="AQ822" s="4">
        <v>3</v>
      </c>
      <c r="AR822" s="4" t="s">
        <v>83</v>
      </c>
      <c r="AS822" s="4" t="s">
        <v>3490</v>
      </c>
      <c r="AT822" s="13"/>
      <c r="AU822" s="13"/>
      <c r="AV822" s="13"/>
      <c r="AW822" s="13"/>
      <c r="AX822" s="4"/>
      <c r="AY822" s="13"/>
      <c r="AZ822" s="13"/>
      <c r="BA822" s="13"/>
      <c r="BB822" s="13"/>
      <c r="BC822" s="4"/>
      <c r="BD822" s="4"/>
      <c r="BE822" s="4"/>
      <c r="BF822" s="13"/>
      <c r="BG822" s="4"/>
      <c r="BH822" s="13"/>
      <c r="BI822" s="13"/>
      <c r="BJ822" s="4"/>
      <c r="BK822" s="14">
        <v>9</v>
      </c>
      <c r="BL822" s="14">
        <v>9</v>
      </c>
      <c r="BM822" s="14">
        <v>9</v>
      </c>
      <c r="BP822" s="15" t="s">
        <v>135</v>
      </c>
      <c r="BQ822" s="15"/>
      <c r="BR822" s="2" t="s">
        <v>97</v>
      </c>
      <c r="BS822" s="2" t="s">
        <v>97</v>
      </c>
      <c r="BT822" s="7" t="s">
        <v>98</v>
      </c>
      <c r="BU822" s="7"/>
      <c r="BV822" s="9" t="s">
        <v>98</v>
      </c>
      <c r="BW822" s="9"/>
    </row>
    <row r="823" spans="1:75" ht="14.25" customHeight="1" x14ac:dyDescent="0.25">
      <c r="A823" s="1">
        <v>401</v>
      </c>
      <c r="B823" s="1" t="s">
        <v>3491</v>
      </c>
      <c r="C823" s="1" t="s">
        <v>3492</v>
      </c>
      <c r="D823" s="1" t="s">
        <v>77</v>
      </c>
      <c r="E823" s="1" t="s">
        <v>827</v>
      </c>
      <c r="F823" s="1" t="s">
        <v>854</v>
      </c>
      <c r="G823" s="1" t="s">
        <v>118</v>
      </c>
      <c r="H823" s="2">
        <v>0</v>
      </c>
      <c r="I823" s="2">
        <v>0</v>
      </c>
      <c r="J823" s="2">
        <v>0</v>
      </c>
      <c r="K823" s="2">
        <v>1</v>
      </c>
      <c r="L823" s="3" t="s">
        <v>80</v>
      </c>
      <c r="O823" s="4">
        <v>4</v>
      </c>
      <c r="P823" s="4" t="s">
        <v>81</v>
      </c>
      <c r="Q823" s="4" t="s">
        <v>3493</v>
      </c>
      <c r="R823" s="5"/>
      <c r="S823" s="6"/>
      <c r="T823" s="17"/>
      <c r="U823" s="6"/>
      <c r="V823" s="4"/>
      <c r="W823" s="4"/>
      <c r="X823" s="4"/>
      <c r="Y823" s="7">
        <v>5</v>
      </c>
      <c r="Z823" s="8"/>
      <c r="AA823" s="7" t="s">
        <v>856</v>
      </c>
      <c r="AB823" s="7"/>
      <c r="AC823" s="9">
        <v>5</v>
      </c>
      <c r="AD823" s="10"/>
      <c r="AE823" s="9" t="s">
        <v>856</v>
      </c>
      <c r="AF823" s="9"/>
      <c r="AG823" s="11">
        <v>3</v>
      </c>
      <c r="AH823" s="11" t="s">
        <v>83</v>
      </c>
      <c r="AI823" s="11"/>
      <c r="AJ823" s="11"/>
      <c r="AK823" s="11"/>
      <c r="AL823" s="12">
        <v>3</v>
      </c>
      <c r="AM823" s="12" t="s">
        <v>83</v>
      </c>
      <c r="AN823" s="12"/>
      <c r="AO823" s="12"/>
      <c r="AP823" s="12"/>
      <c r="AQ823" s="4">
        <v>4</v>
      </c>
      <c r="AR823" s="4" t="s">
        <v>83</v>
      </c>
      <c r="AS823" s="4"/>
      <c r="AT823" s="13"/>
      <c r="AU823" s="13"/>
      <c r="AV823" s="13"/>
      <c r="AW823" s="13"/>
      <c r="AX823" s="4"/>
      <c r="AY823" s="13"/>
      <c r="AZ823" s="13"/>
      <c r="BA823" s="13"/>
      <c r="BB823" s="13"/>
      <c r="BC823" s="4"/>
      <c r="BD823" s="4"/>
      <c r="BE823" s="4"/>
      <c r="BF823" s="13"/>
      <c r="BG823" s="4"/>
      <c r="BH823" s="13"/>
      <c r="BI823" s="13"/>
      <c r="BJ823" s="4"/>
      <c r="BK823" s="14">
        <v>16</v>
      </c>
      <c r="BL823" s="14">
        <v>16</v>
      </c>
      <c r="BM823" s="14">
        <v>16</v>
      </c>
      <c r="BN823" s="3" t="s">
        <v>86</v>
      </c>
      <c r="BO823" s="3" t="s">
        <v>114</v>
      </c>
      <c r="BP823" s="15"/>
      <c r="BQ823" s="15"/>
      <c r="BR823" s="2" t="s">
        <v>108</v>
      </c>
      <c r="BS823" s="2" t="s">
        <v>108</v>
      </c>
      <c r="BT823" s="7" t="s">
        <v>109</v>
      </c>
      <c r="BU823" s="7"/>
      <c r="BV823" s="9" t="s">
        <v>109</v>
      </c>
      <c r="BW823" s="9"/>
    </row>
    <row r="824" spans="1:75" ht="14.25" customHeight="1" x14ac:dyDescent="0.25">
      <c r="A824" s="1">
        <v>402</v>
      </c>
      <c r="B824" s="1" t="s">
        <v>3494</v>
      </c>
      <c r="C824" s="1" t="s">
        <v>3495</v>
      </c>
      <c r="D824" s="1" t="s">
        <v>77</v>
      </c>
      <c r="E824" s="1" t="s">
        <v>827</v>
      </c>
      <c r="F824" s="1" t="s">
        <v>854</v>
      </c>
      <c r="G824" s="1" t="s">
        <v>118</v>
      </c>
      <c r="H824" s="2">
        <v>0</v>
      </c>
      <c r="I824" s="2">
        <v>0</v>
      </c>
      <c r="J824" s="2">
        <v>0</v>
      </c>
      <c r="K824" s="2">
        <v>1</v>
      </c>
      <c r="L824" s="3" t="s">
        <v>80</v>
      </c>
      <c r="O824" s="4">
        <v>5</v>
      </c>
      <c r="P824" s="4" t="s">
        <v>81</v>
      </c>
      <c r="Q824" s="4"/>
      <c r="R824" s="5"/>
      <c r="S824" s="6"/>
      <c r="T824" s="17"/>
      <c r="U824" s="6"/>
      <c r="V824" s="4"/>
      <c r="W824" s="4"/>
      <c r="X824" s="4"/>
      <c r="Y824" s="7">
        <v>5</v>
      </c>
      <c r="Z824" s="8">
        <v>1675</v>
      </c>
      <c r="AA824" s="7" t="s">
        <v>82</v>
      </c>
      <c r="AB824" s="7"/>
      <c r="AC824" s="9">
        <v>5</v>
      </c>
      <c r="AD824" s="10">
        <v>1675</v>
      </c>
      <c r="AE824" s="9" t="s">
        <v>82</v>
      </c>
      <c r="AF824" s="9"/>
      <c r="AG824" s="11">
        <v>5</v>
      </c>
      <c r="AH824" s="11" t="s">
        <v>83</v>
      </c>
      <c r="AI824" s="11" t="s">
        <v>3496</v>
      </c>
      <c r="AJ824" s="11"/>
      <c r="AK824" s="11"/>
      <c r="AL824" s="12">
        <v>5</v>
      </c>
      <c r="AM824" s="12" t="s">
        <v>83</v>
      </c>
      <c r="AN824" s="12"/>
      <c r="AO824" s="12"/>
      <c r="AP824" s="12"/>
      <c r="AQ824" s="4">
        <v>4</v>
      </c>
      <c r="AR824" s="4" t="s">
        <v>3497</v>
      </c>
      <c r="AS824" s="4" t="s">
        <v>3498</v>
      </c>
      <c r="AT824" s="13"/>
      <c r="AU824" s="13"/>
      <c r="AV824" s="13"/>
      <c r="AW824" s="13"/>
      <c r="AX824" s="4"/>
      <c r="AY824" s="13"/>
      <c r="AZ824" s="13"/>
      <c r="BA824" s="13"/>
      <c r="BB824" s="13"/>
      <c r="BC824" s="4"/>
      <c r="BD824" s="4"/>
      <c r="BE824" s="4"/>
      <c r="BF824" s="13"/>
      <c r="BG824" s="4"/>
      <c r="BH824" s="13"/>
      <c r="BI824" s="13"/>
      <c r="BJ824" s="4"/>
      <c r="BK824" s="14">
        <v>19</v>
      </c>
      <c r="BL824" s="14">
        <v>19</v>
      </c>
      <c r="BM824" s="14">
        <v>19</v>
      </c>
      <c r="BN824" s="3" t="s">
        <v>312</v>
      </c>
      <c r="BO824" s="3" t="s">
        <v>414</v>
      </c>
      <c r="BP824" s="15"/>
      <c r="BQ824" s="15"/>
      <c r="BR824" s="2" t="s">
        <v>108</v>
      </c>
      <c r="BS824" s="2" t="s">
        <v>108</v>
      </c>
      <c r="BT824" s="7" t="s">
        <v>623</v>
      </c>
      <c r="BU824" s="7"/>
      <c r="BV824" s="9" t="s">
        <v>623</v>
      </c>
      <c r="BW824" s="9"/>
    </row>
    <row r="825" spans="1:75" ht="14.25" customHeight="1" x14ac:dyDescent="0.25">
      <c r="A825" s="1">
        <v>404</v>
      </c>
      <c r="B825" s="1" t="s">
        <v>3499</v>
      </c>
      <c r="C825" s="1" t="s">
        <v>3500</v>
      </c>
      <c r="D825" s="1" t="s">
        <v>77</v>
      </c>
      <c r="E825" s="1" t="s">
        <v>827</v>
      </c>
      <c r="F825" s="1" t="s">
        <v>854</v>
      </c>
      <c r="G825" s="1" t="s">
        <v>3501</v>
      </c>
      <c r="H825" s="2">
        <v>0</v>
      </c>
      <c r="I825" s="2">
        <v>0</v>
      </c>
      <c r="J825" s="2">
        <v>0</v>
      </c>
      <c r="K825" s="2">
        <v>1</v>
      </c>
      <c r="L825" s="3" t="s">
        <v>80</v>
      </c>
      <c r="O825" s="4">
        <v>4</v>
      </c>
      <c r="P825" s="4" t="s">
        <v>81</v>
      </c>
      <c r="Q825" s="4"/>
      <c r="R825" s="5"/>
      <c r="S825" s="6"/>
      <c r="T825" s="17"/>
      <c r="U825" s="6"/>
      <c r="V825" s="4"/>
      <c r="W825" s="4"/>
      <c r="X825" s="4"/>
      <c r="Y825" s="7">
        <v>4</v>
      </c>
      <c r="Z825" s="8">
        <v>88686</v>
      </c>
      <c r="AA825" s="7" t="s">
        <v>82</v>
      </c>
      <c r="AB825" s="7"/>
      <c r="AC825" s="9">
        <v>4</v>
      </c>
      <c r="AD825" s="10">
        <v>88686</v>
      </c>
      <c r="AE825" s="9" t="s">
        <v>82</v>
      </c>
      <c r="AF825" s="9"/>
      <c r="AG825" s="11">
        <v>2</v>
      </c>
      <c r="AH825" s="11" t="s">
        <v>83</v>
      </c>
      <c r="AI825" s="11"/>
      <c r="AJ825" s="11"/>
      <c r="AK825" s="11"/>
      <c r="AL825" s="12">
        <v>2</v>
      </c>
      <c r="AM825" s="12" t="s">
        <v>83</v>
      </c>
      <c r="AN825" s="12"/>
      <c r="AO825" s="12"/>
      <c r="AP825" s="12"/>
      <c r="AQ825" s="4">
        <v>2</v>
      </c>
      <c r="AR825" s="4" t="s">
        <v>83</v>
      </c>
      <c r="AS825" s="4"/>
      <c r="AT825" s="13"/>
      <c r="AU825" s="13"/>
      <c r="AV825" s="13"/>
      <c r="AW825" s="13"/>
      <c r="AX825" s="4"/>
      <c r="AY825" s="13"/>
      <c r="AZ825" s="13"/>
      <c r="BA825" s="13"/>
      <c r="BB825" s="13"/>
      <c r="BC825" s="4"/>
      <c r="BD825" s="4"/>
      <c r="BE825" s="4"/>
      <c r="BF825" s="13"/>
      <c r="BG825" s="4"/>
      <c r="BH825" s="13"/>
      <c r="BI825" s="13"/>
      <c r="BJ825" s="4"/>
      <c r="BK825" s="14">
        <v>12</v>
      </c>
      <c r="BL825" s="14">
        <v>12</v>
      </c>
      <c r="BM825" s="14">
        <v>12</v>
      </c>
      <c r="BP825" s="15"/>
      <c r="BQ825" s="15"/>
      <c r="BR825" s="2" t="s">
        <v>121</v>
      </c>
      <c r="BS825" s="2" t="s">
        <v>121</v>
      </c>
      <c r="BT825" s="7" t="s">
        <v>98</v>
      </c>
      <c r="BU825" s="7"/>
      <c r="BV825" s="9" t="s">
        <v>98</v>
      </c>
      <c r="BW825" s="9"/>
    </row>
    <row r="826" spans="1:75" ht="14.25" customHeight="1" x14ac:dyDescent="0.25">
      <c r="A826" s="1">
        <v>405</v>
      </c>
      <c r="B826" s="1" t="s">
        <v>3502</v>
      </c>
      <c r="C826" s="1" t="s">
        <v>3503</v>
      </c>
      <c r="D826" s="1" t="s">
        <v>77</v>
      </c>
      <c r="E826" s="1" t="s">
        <v>827</v>
      </c>
      <c r="F826" s="1" t="s">
        <v>854</v>
      </c>
      <c r="G826" s="1" t="s">
        <v>952</v>
      </c>
      <c r="H826" s="2">
        <v>0</v>
      </c>
      <c r="I826" s="2">
        <v>0</v>
      </c>
      <c r="J826" s="2">
        <v>0</v>
      </c>
      <c r="K826" s="2">
        <v>1</v>
      </c>
      <c r="L826" s="3" t="s">
        <v>80</v>
      </c>
      <c r="O826" s="4">
        <v>5</v>
      </c>
      <c r="P826" s="4" t="s">
        <v>81</v>
      </c>
      <c r="Q826" s="4"/>
      <c r="R826" s="5"/>
      <c r="S826" s="6"/>
      <c r="T826" s="17"/>
      <c r="U826" s="6"/>
      <c r="V826" s="4"/>
      <c r="W826" s="4"/>
      <c r="X826" s="4"/>
      <c r="Y826" s="7">
        <v>5</v>
      </c>
      <c r="Z826" s="8">
        <v>20370</v>
      </c>
      <c r="AA826" s="7" t="s">
        <v>82</v>
      </c>
      <c r="AB826" s="7"/>
      <c r="AC826" s="9">
        <v>5</v>
      </c>
      <c r="AD826" s="10">
        <v>20370</v>
      </c>
      <c r="AE826" s="9" t="s">
        <v>82</v>
      </c>
      <c r="AF826" s="9"/>
      <c r="AG826" s="11">
        <v>2</v>
      </c>
      <c r="AH826" s="11" t="s">
        <v>83</v>
      </c>
      <c r="AI826" s="11"/>
      <c r="AJ826" s="11"/>
      <c r="AK826" s="11"/>
      <c r="AL826" s="12">
        <v>2</v>
      </c>
      <c r="AM826" s="12" t="s">
        <v>83</v>
      </c>
      <c r="AN826" s="12"/>
      <c r="AO826" s="12"/>
      <c r="AP826" s="12"/>
      <c r="AQ826" s="4">
        <v>3</v>
      </c>
      <c r="AR826" s="4" t="s">
        <v>83</v>
      </c>
      <c r="AS826" s="4"/>
      <c r="AT826" s="13"/>
      <c r="AU826" s="13"/>
      <c r="AV826" s="13"/>
      <c r="AW826" s="13"/>
      <c r="AX826" s="4"/>
      <c r="AY826" s="13"/>
      <c r="AZ826" s="13"/>
      <c r="BA826" s="13"/>
      <c r="BB826" s="13"/>
      <c r="BC826" s="4"/>
      <c r="BD826" s="4"/>
      <c r="BE826" s="4"/>
      <c r="BF826" s="13"/>
      <c r="BG826" s="4"/>
      <c r="BH826" s="13"/>
      <c r="BI826" s="13"/>
      <c r="BJ826" s="4"/>
      <c r="BK826" s="14">
        <v>15</v>
      </c>
      <c r="BL826" s="14">
        <v>15</v>
      </c>
      <c r="BM826" s="14">
        <v>15</v>
      </c>
      <c r="BN826" s="3" t="s">
        <v>86</v>
      </c>
      <c r="BP826" s="15"/>
      <c r="BQ826" s="15"/>
      <c r="BR826" s="2" t="s">
        <v>121</v>
      </c>
      <c r="BS826" s="2" t="s">
        <v>121</v>
      </c>
      <c r="BT826" s="7" t="s">
        <v>98</v>
      </c>
      <c r="BU826" s="7"/>
      <c r="BV826" s="9" t="s">
        <v>98</v>
      </c>
      <c r="BW826" s="9"/>
    </row>
    <row r="827" spans="1:75" ht="14.25" customHeight="1" x14ac:dyDescent="0.25">
      <c r="A827" s="1">
        <v>406</v>
      </c>
      <c r="B827" s="1" t="s">
        <v>3504</v>
      </c>
      <c r="C827" s="1" t="s">
        <v>3505</v>
      </c>
      <c r="D827" s="1" t="s">
        <v>77</v>
      </c>
      <c r="E827" s="1" t="s">
        <v>827</v>
      </c>
      <c r="F827" s="1" t="s">
        <v>854</v>
      </c>
      <c r="G827" s="1" t="s">
        <v>3506</v>
      </c>
      <c r="H827" s="2">
        <v>0</v>
      </c>
      <c r="I827" s="2">
        <v>0</v>
      </c>
      <c r="J827" s="2">
        <v>0</v>
      </c>
      <c r="K827" s="2">
        <v>1</v>
      </c>
      <c r="L827" s="3" t="s">
        <v>80</v>
      </c>
      <c r="O827" s="4">
        <v>3</v>
      </c>
      <c r="P827" s="4" t="s">
        <v>81</v>
      </c>
      <c r="Q827" s="4"/>
      <c r="R827" s="5"/>
      <c r="S827" s="6"/>
      <c r="T827" s="17"/>
      <c r="U827" s="6"/>
      <c r="V827" s="4"/>
      <c r="W827" s="4"/>
      <c r="X827" s="4"/>
      <c r="Y827" s="7">
        <v>4</v>
      </c>
      <c r="Z827" s="8">
        <v>295969</v>
      </c>
      <c r="AA827" s="7" t="s">
        <v>82</v>
      </c>
      <c r="AB827" s="7"/>
      <c r="AC827" s="9">
        <v>4</v>
      </c>
      <c r="AD827" s="10">
        <v>295969</v>
      </c>
      <c r="AE827" s="9" t="s">
        <v>82</v>
      </c>
      <c r="AF827" s="9"/>
      <c r="AG827" s="11">
        <v>4</v>
      </c>
      <c r="AH827" s="11" t="s">
        <v>83</v>
      </c>
      <c r="AI827" s="11"/>
      <c r="AJ827" s="11"/>
      <c r="AK827" s="11"/>
      <c r="AL827" s="12">
        <v>4</v>
      </c>
      <c r="AM827" s="12" t="s">
        <v>83</v>
      </c>
      <c r="AN827" s="12"/>
      <c r="AO827" s="12"/>
      <c r="AP827" s="12"/>
      <c r="AQ827" s="4">
        <v>5</v>
      </c>
      <c r="AR827" s="4" t="s">
        <v>83</v>
      </c>
      <c r="AS827" s="4"/>
      <c r="AT827" s="13"/>
      <c r="AU827" s="13"/>
      <c r="AV827" s="13"/>
      <c r="AW827" s="13"/>
      <c r="AX827" s="4"/>
      <c r="AY827" s="13"/>
      <c r="AZ827" s="13"/>
      <c r="BA827" s="13"/>
      <c r="BB827" s="13"/>
      <c r="BC827" s="4"/>
      <c r="BD827" s="4"/>
      <c r="BE827" s="4"/>
      <c r="BF827" s="13"/>
      <c r="BG827" s="4"/>
      <c r="BH827" s="13"/>
      <c r="BI827" s="13"/>
      <c r="BJ827" s="4"/>
      <c r="BK827" s="14">
        <v>16</v>
      </c>
      <c r="BL827" s="14">
        <v>16</v>
      </c>
      <c r="BM827" s="14">
        <v>16</v>
      </c>
      <c r="BN827" s="3" t="s">
        <v>312</v>
      </c>
      <c r="BP827" s="15"/>
      <c r="BQ827" s="15"/>
      <c r="BR827" s="2" t="s">
        <v>115</v>
      </c>
      <c r="BS827" s="2" t="s">
        <v>115</v>
      </c>
      <c r="BT827" s="7" t="s">
        <v>98</v>
      </c>
      <c r="BU827" s="7"/>
      <c r="BV827" s="9" t="s">
        <v>98</v>
      </c>
      <c r="BW827" s="9"/>
    </row>
    <row r="828" spans="1:75" ht="14.25" customHeight="1" x14ac:dyDescent="0.25">
      <c r="A828" s="1">
        <v>407</v>
      </c>
      <c r="B828" s="1" t="s">
        <v>3507</v>
      </c>
      <c r="C828" s="1" t="s">
        <v>3508</v>
      </c>
      <c r="D828" s="1" t="s">
        <v>77</v>
      </c>
      <c r="E828" s="1" t="s">
        <v>827</v>
      </c>
      <c r="F828" s="1" t="s">
        <v>854</v>
      </c>
      <c r="G828" s="1" t="s">
        <v>3506</v>
      </c>
      <c r="H828" s="2">
        <v>0</v>
      </c>
      <c r="I828" s="2">
        <v>0</v>
      </c>
      <c r="J828" s="2">
        <v>0</v>
      </c>
      <c r="K828" s="2">
        <v>1</v>
      </c>
      <c r="L828" s="3" t="s">
        <v>80</v>
      </c>
      <c r="O828" s="4">
        <v>4</v>
      </c>
      <c r="P828" s="4" t="s">
        <v>81</v>
      </c>
      <c r="Q828" s="4"/>
      <c r="R828" s="5"/>
      <c r="S828" s="6"/>
      <c r="T828" s="17"/>
      <c r="U828" s="6"/>
      <c r="V828" s="4"/>
      <c r="W828" s="4"/>
      <c r="X828" s="4"/>
      <c r="Y828" s="7">
        <v>5</v>
      </c>
      <c r="Z828" s="8">
        <v>13186</v>
      </c>
      <c r="AA828" s="7" t="s">
        <v>82</v>
      </c>
      <c r="AB828" s="7"/>
      <c r="AC828" s="9">
        <v>5</v>
      </c>
      <c r="AD828" s="10">
        <v>13186</v>
      </c>
      <c r="AE828" s="9" t="s">
        <v>82</v>
      </c>
      <c r="AF828" s="9"/>
      <c r="AG828" s="11">
        <v>3</v>
      </c>
      <c r="AH828" s="11" t="s">
        <v>83</v>
      </c>
      <c r="AI828" s="11"/>
      <c r="AJ828" s="11"/>
      <c r="AK828" s="11"/>
      <c r="AL828" s="12">
        <v>3</v>
      </c>
      <c r="AM828" s="12" t="s">
        <v>83</v>
      </c>
      <c r="AN828" s="12"/>
      <c r="AO828" s="12"/>
      <c r="AP828" s="12"/>
      <c r="AQ828" s="4">
        <v>4</v>
      </c>
      <c r="AR828" s="4" t="s">
        <v>83</v>
      </c>
      <c r="AS828" s="4"/>
      <c r="AT828" s="13"/>
      <c r="AU828" s="13"/>
      <c r="AV828" s="13"/>
      <c r="AW828" s="13"/>
      <c r="AX828" s="4"/>
      <c r="AY828" s="13"/>
      <c r="AZ828" s="13"/>
      <c r="BA828" s="13"/>
      <c r="BB828" s="13"/>
      <c r="BC828" s="4"/>
      <c r="BD828" s="4"/>
      <c r="BE828" s="4"/>
      <c r="BF828" s="13"/>
      <c r="BG828" s="4"/>
      <c r="BH828" s="13"/>
      <c r="BI828" s="13"/>
      <c r="BJ828" s="4"/>
      <c r="BK828" s="14">
        <v>16</v>
      </c>
      <c r="BL828" s="14">
        <v>16</v>
      </c>
      <c r="BM828" s="14">
        <v>16</v>
      </c>
      <c r="BN828" s="3" t="s">
        <v>86</v>
      </c>
      <c r="BP828" s="15"/>
      <c r="BQ828" s="15"/>
      <c r="BR828" s="2" t="s">
        <v>108</v>
      </c>
      <c r="BS828" s="2" t="s">
        <v>108</v>
      </c>
      <c r="BT828" s="7" t="s">
        <v>98</v>
      </c>
      <c r="BU828" s="7"/>
      <c r="BV828" s="9" t="s">
        <v>98</v>
      </c>
      <c r="BW828" s="9"/>
    </row>
    <row r="829" spans="1:75" ht="14.25" customHeight="1" x14ac:dyDescent="0.25">
      <c r="A829" s="1">
        <v>408</v>
      </c>
      <c r="B829" s="1" t="s">
        <v>3509</v>
      </c>
      <c r="C829" s="1" t="s">
        <v>3510</v>
      </c>
      <c r="D829" s="1" t="s">
        <v>77</v>
      </c>
      <c r="E829" s="1" t="s">
        <v>827</v>
      </c>
      <c r="F829" s="1" t="s">
        <v>854</v>
      </c>
      <c r="G829" s="1" t="s">
        <v>3460</v>
      </c>
      <c r="H829" s="2">
        <v>0</v>
      </c>
      <c r="I829" s="2">
        <v>0</v>
      </c>
      <c r="J829" s="2">
        <v>1</v>
      </c>
      <c r="K829" s="2">
        <v>1</v>
      </c>
      <c r="L829" s="3" t="s">
        <v>80</v>
      </c>
      <c r="O829" s="4">
        <v>3</v>
      </c>
      <c r="P829" s="4" t="s">
        <v>112</v>
      </c>
      <c r="Q829" s="4"/>
      <c r="R829" s="5"/>
      <c r="S829" s="6"/>
      <c r="T829" s="17"/>
      <c r="U829" s="6"/>
      <c r="V829" s="4"/>
      <c r="W829" s="4"/>
      <c r="X829" s="4"/>
      <c r="Y829" s="7">
        <v>3</v>
      </c>
      <c r="Z829" s="8">
        <v>429028</v>
      </c>
      <c r="AA829" s="7" t="s">
        <v>92</v>
      </c>
      <c r="AB829" s="7"/>
      <c r="AC829" s="9">
        <v>3</v>
      </c>
      <c r="AD829" s="10">
        <v>440326</v>
      </c>
      <c r="AE829" s="9" t="s">
        <v>92</v>
      </c>
      <c r="AF829" s="9"/>
      <c r="AG829" s="11">
        <v>3</v>
      </c>
      <c r="AH829" s="11" t="s">
        <v>93</v>
      </c>
      <c r="AI829" s="11" t="s">
        <v>393</v>
      </c>
      <c r="AJ829" s="11"/>
      <c r="AK829" s="11"/>
      <c r="AL829" s="12">
        <v>2</v>
      </c>
      <c r="AM829" s="12" t="s">
        <v>93</v>
      </c>
      <c r="AN829" s="12" t="s">
        <v>394</v>
      </c>
      <c r="AO829" s="12"/>
      <c r="AP829" s="12"/>
      <c r="AQ829" s="4">
        <v>3</v>
      </c>
      <c r="AR829" s="4" t="s">
        <v>83</v>
      </c>
      <c r="AS829" s="4" t="s">
        <v>3511</v>
      </c>
      <c r="AT829" s="13"/>
      <c r="AU829" s="13"/>
      <c r="AV829" s="13"/>
      <c r="AW829" s="13"/>
      <c r="AX829" s="4"/>
      <c r="AY829" s="13"/>
      <c r="AZ829" s="13"/>
      <c r="BA829" s="13"/>
      <c r="BB829" s="13"/>
      <c r="BC829" s="4"/>
      <c r="BD829" s="4"/>
      <c r="BE829" s="4"/>
      <c r="BF829" s="13"/>
      <c r="BG829" s="4"/>
      <c r="BH829" s="13"/>
      <c r="BI829" s="13"/>
      <c r="BJ829" s="4"/>
      <c r="BK829" s="14">
        <v>12</v>
      </c>
      <c r="BL829" s="14">
        <v>11</v>
      </c>
      <c r="BM829" s="14">
        <v>12</v>
      </c>
      <c r="BP829" s="15"/>
      <c r="BQ829" s="15"/>
      <c r="BR829" s="2" t="s">
        <v>115</v>
      </c>
      <c r="BS829" s="2" t="s">
        <v>115</v>
      </c>
      <c r="BT829" s="7" t="s">
        <v>98</v>
      </c>
      <c r="BU829" s="7"/>
      <c r="BV829" s="9" t="s">
        <v>98</v>
      </c>
      <c r="BW829" s="9"/>
    </row>
    <row r="830" spans="1:75" ht="14.25" customHeight="1" x14ac:dyDescent="0.25">
      <c r="A830" s="1">
        <v>409</v>
      </c>
      <c r="B830" s="1" t="s">
        <v>3512</v>
      </c>
      <c r="C830" s="1" t="s">
        <v>3513</v>
      </c>
      <c r="D830" s="1" t="s">
        <v>77</v>
      </c>
      <c r="E830" s="1" t="s">
        <v>827</v>
      </c>
      <c r="F830" s="1" t="s">
        <v>854</v>
      </c>
      <c r="G830" s="1" t="s">
        <v>946</v>
      </c>
      <c r="H830" s="2">
        <v>0</v>
      </c>
      <c r="I830" s="2">
        <v>0</v>
      </c>
      <c r="J830" s="2">
        <v>1</v>
      </c>
      <c r="K830" s="2">
        <v>1</v>
      </c>
      <c r="L830" s="3" t="s">
        <v>80</v>
      </c>
      <c r="O830" s="4">
        <v>4</v>
      </c>
      <c r="P830" s="4" t="s">
        <v>81</v>
      </c>
      <c r="Q830" s="4" t="s">
        <v>1012</v>
      </c>
      <c r="R830" s="5"/>
      <c r="S830" s="6"/>
      <c r="T830" s="17"/>
      <c r="U830" s="6"/>
      <c r="V830" s="4"/>
      <c r="W830" s="4"/>
      <c r="X830" s="4"/>
      <c r="Y830" s="7">
        <v>3</v>
      </c>
      <c r="Z830" s="8">
        <v>307428</v>
      </c>
      <c r="AA830" s="7" t="s">
        <v>92</v>
      </c>
      <c r="AB830" s="7"/>
      <c r="AC830" s="9">
        <v>3</v>
      </c>
      <c r="AD830" s="10">
        <v>307428</v>
      </c>
      <c r="AE830" s="9" t="s">
        <v>92</v>
      </c>
      <c r="AF830" s="9"/>
      <c r="AG830" s="11">
        <v>3</v>
      </c>
      <c r="AH830" s="11" t="s">
        <v>93</v>
      </c>
      <c r="AI830" s="11"/>
      <c r="AJ830" s="11"/>
      <c r="AK830" s="11"/>
      <c r="AL830" s="12">
        <v>3</v>
      </c>
      <c r="AM830" s="12" t="s">
        <v>93</v>
      </c>
      <c r="AN830" s="12" t="s">
        <v>949</v>
      </c>
      <c r="AO830" s="12"/>
      <c r="AP830" s="12"/>
      <c r="AQ830" s="4">
        <v>4</v>
      </c>
      <c r="AR830" s="4" t="s">
        <v>83</v>
      </c>
      <c r="AS830" s="4" t="s">
        <v>3514</v>
      </c>
      <c r="AT830" s="13"/>
      <c r="AU830" s="13"/>
      <c r="AV830" s="13"/>
      <c r="AW830" s="13"/>
      <c r="AX830" s="4"/>
      <c r="AY830" s="13"/>
      <c r="AZ830" s="13"/>
      <c r="BA830" s="13"/>
      <c r="BB830" s="13"/>
      <c r="BC830" s="4"/>
      <c r="BD830" s="4"/>
      <c r="BE830" s="4"/>
      <c r="BF830" s="13"/>
      <c r="BG830" s="4"/>
      <c r="BH830" s="13"/>
      <c r="BI830" s="13"/>
      <c r="BJ830" s="4"/>
      <c r="BK830" s="14">
        <v>14</v>
      </c>
      <c r="BL830" s="14">
        <v>14</v>
      </c>
      <c r="BM830" s="14">
        <v>14</v>
      </c>
      <c r="BN830" s="3" t="s">
        <v>86</v>
      </c>
      <c r="BP830" s="15"/>
      <c r="BQ830" s="15"/>
      <c r="BR830" s="2" t="s">
        <v>108</v>
      </c>
      <c r="BS830" s="2" t="s">
        <v>108</v>
      </c>
      <c r="BT830" s="7" t="s">
        <v>98</v>
      </c>
      <c r="BU830" s="7" t="s">
        <v>109</v>
      </c>
      <c r="BV830" s="9" t="s">
        <v>98</v>
      </c>
      <c r="BW830" s="9" t="s">
        <v>109</v>
      </c>
    </row>
    <row r="831" spans="1:75" ht="14.25" customHeight="1" x14ac:dyDescent="0.25">
      <c r="A831" s="1">
        <v>410</v>
      </c>
      <c r="B831" s="1" t="s">
        <v>3515</v>
      </c>
      <c r="C831" s="1" t="s">
        <v>3516</v>
      </c>
      <c r="D831" s="1" t="s">
        <v>77</v>
      </c>
      <c r="E831" s="1" t="s">
        <v>827</v>
      </c>
      <c r="F831" s="1" t="s">
        <v>854</v>
      </c>
      <c r="G831" s="1" t="s">
        <v>3517</v>
      </c>
      <c r="H831" s="2">
        <v>0</v>
      </c>
      <c r="I831" s="2">
        <v>0</v>
      </c>
      <c r="J831" s="2">
        <v>0</v>
      </c>
      <c r="K831" s="2">
        <v>1</v>
      </c>
      <c r="L831" s="3" t="s">
        <v>80</v>
      </c>
      <c r="O831" s="4">
        <v>4</v>
      </c>
      <c r="P831" s="4" t="s">
        <v>81</v>
      </c>
      <c r="Q831" s="4"/>
      <c r="R831" s="5"/>
      <c r="S831" s="6"/>
      <c r="T831" s="17"/>
      <c r="U831" s="6"/>
      <c r="V831" s="4"/>
      <c r="W831" s="4"/>
      <c r="X831" s="4"/>
      <c r="Y831" s="7">
        <v>4</v>
      </c>
      <c r="Z831" s="8">
        <v>289449</v>
      </c>
      <c r="AA831" s="7" t="s">
        <v>82</v>
      </c>
      <c r="AB831" s="7"/>
      <c r="AC831" s="9">
        <v>4</v>
      </c>
      <c r="AD831" s="10">
        <v>289449</v>
      </c>
      <c r="AE831" s="9" t="s">
        <v>82</v>
      </c>
      <c r="AF831" s="9"/>
      <c r="AG831" s="11">
        <v>3</v>
      </c>
      <c r="AH831" s="11" t="s">
        <v>83</v>
      </c>
      <c r="AI831" s="11"/>
      <c r="AJ831" s="11"/>
      <c r="AK831" s="11"/>
      <c r="AL831" s="12">
        <v>3</v>
      </c>
      <c r="AM831" s="12" t="s">
        <v>83</v>
      </c>
      <c r="AN831" s="12"/>
      <c r="AO831" s="12"/>
      <c r="AP831" s="12"/>
      <c r="AQ831" s="4">
        <v>3</v>
      </c>
      <c r="AR831" s="4" t="s">
        <v>83</v>
      </c>
      <c r="AS831" s="4"/>
      <c r="AT831" s="13"/>
      <c r="AU831" s="13"/>
      <c r="AV831" s="13"/>
      <c r="AW831" s="13"/>
      <c r="AX831" s="4"/>
      <c r="AY831" s="13"/>
      <c r="AZ831" s="13"/>
      <c r="BA831" s="13"/>
      <c r="BB831" s="13"/>
      <c r="BC831" s="4"/>
      <c r="BD831" s="4"/>
      <c r="BE831" s="4"/>
      <c r="BF831" s="13"/>
      <c r="BG831" s="4"/>
      <c r="BH831" s="13"/>
      <c r="BI831" s="13"/>
      <c r="BJ831" s="4"/>
      <c r="BK831" s="14">
        <v>14</v>
      </c>
      <c r="BL831" s="14">
        <v>14</v>
      </c>
      <c r="BM831" s="14">
        <v>14</v>
      </c>
      <c r="BN831" s="3" t="s">
        <v>86</v>
      </c>
      <c r="BP831" s="15"/>
      <c r="BQ831" s="15"/>
      <c r="BR831" s="2" t="s">
        <v>121</v>
      </c>
      <c r="BS831" s="2" t="s">
        <v>121</v>
      </c>
      <c r="BT831" s="7" t="s">
        <v>98</v>
      </c>
      <c r="BU831" s="7"/>
      <c r="BV831" s="9" t="s">
        <v>98</v>
      </c>
      <c r="BW831" s="9"/>
    </row>
    <row r="832" spans="1:75" ht="14.25" customHeight="1" x14ac:dyDescent="0.25">
      <c r="A832" s="1">
        <v>411</v>
      </c>
      <c r="B832" s="1" t="s">
        <v>3518</v>
      </c>
      <c r="C832" s="1" t="s">
        <v>3519</v>
      </c>
      <c r="D832" s="1" t="s">
        <v>616</v>
      </c>
      <c r="E832" s="1" t="s">
        <v>1020</v>
      </c>
      <c r="F832" s="1" t="s">
        <v>1021</v>
      </c>
      <c r="G832" s="1"/>
      <c r="H832" s="2">
        <v>0</v>
      </c>
      <c r="I832" s="2">
        <v>0</v>
      </c>
      <c r="J832" s="2">
        <v>0</v>
      </c>
      <c r="K832" s="2">
        <v>1</v>
      </c>
      <c r="L832" s="3" t="s">
        <v>80</v>
      </c>
      <c r="O832" s="4">
        <v>5</v>
      </c>
      <c r="P832" s="4" t="s">
        <v>81</v>
      </c>
      <c r="Q832" s="4" t="s">
        <v>3520</v>
      </c>
      <c r="R832" s="5"/>
      <c r="S832" s="6"/>
      <c r="T832" s="17"/>
      <c r="U832" s="6"/>
      <c r="V832" s="4"/>
      <c r="W832" s="4"/>
      <c r="X832" s="4"/>
      <c r="Y832" s="7">
        <v>5</v>
      </c>
      <c r="Z832" s="8">
        <v>43400</v>
      </c>
      <c r="AA832" s="7" t="s">
        <v>812</v>
      </c>
      <c r="AB832" s="7"/>
      <c r="AC832" s="9">
        <v>5</v>
      </c>
      <c r="AD832" s="10">
        <v>43400</v>
      </c>
      <c r="AE832" s="9" t="s">
        <v>812</v>
      </c>
      <c r="AF832" s="9"/>
      <c r="AG832" s="11">
        <v>3</v>
      </c>
      <c r="AH832" s="11" t="s">
        <v>1213</v>
      </c>
      <c r="AI832" s="11" t="s">
        <v>3521</v>
      </c>
      <c r="AJ832" s="11"/>
      <c r="AK832" s="11"/>
      <c r="AL832" s="12">
        <v>3</v>
      </c>
      <c r="AM832" s="12" t="s">
        <v>1213</v>
      </c>
      <c r="AN832" s="12" t="s">
        <v>3522</v>
      </c>
      <c r="AO832" s="12"/>
      <c r="AP832" s="12"/>
      <c r="AQ832" s="4">
        <v>3</v>
      </c>
      <c r="AR832" s="4" t="s">
        <v>876</v>
      </c>
      <c r="AS832" s="4" t="s">
        <v>3523</v>
      </c>
      <c r="AT832" s="13"/>
      <c r="AU832" s="13"/>
      <c r="AV832" s="13"/>
      <c r="AW832" s="13"/>
      <c r="AX832" s="4"/>
      <c r="AY832" s="13"/>
      <c r="AZ832" s="13"/>
      <c r="BA832" s="13"/>
      <c r="BB832" s="13"/>
      <c r="BC832" s="4"/>
      <c r="BD832" s="4"/>
      <c r="BE832" s="4"/>
      <c r="BF832" s="13"/>
      <c r="BG832" s="4"/>
      <c r="BH832" s="13"/>
      <c r="BI832" s="13"/>
      <c r="BJ832" s="4"/>
      <c r="BK832" s="14">
        <v>16</v>
      </c>
      <c r="BL832" s="14">
        <v>16</v>
      </c>
      <c r="BM832" s="14">
        <v>16</v>
      </c>
      <c r="BN832" s="3" t="s">
        <v>86</v>
      </c>
      <c r="BO832" s="3" t="s">
        <v>840</v>
      </c>
      <c r="BP832" s="15"/>
      <c r="BQ832" s="15"/>
      <c r="BR832" s="2" t="s">
        <v>121</v>
      </c>
      <c r="BS832" s="2" t="s">
        <v>121</v>
      </c>
      <c r="BT832" s="7" t="s">
        <v>463</v>
      </c>
      <c r="BU832" s="7" t="s">
        <v>248</v>
      </c>
      <c r="BV832" s="9" t="s">
        <v>463</v>
      </c>
      <c r="BW832" s="9" t="s">
        <v>248</v>
      </c>
    </row>
    <row r="833" spans="1:75" ht="14.25" customHeight="1" x14ac:dyDescent="0.25">
      <c r="A833" s="1">
        <v>412</v>
      </c>
      <c r="B833" s="1" t="s">
        <v>3524</v>
      </c>
      <c r="C833" s="1" t="s">
        <v>3525</v>
      </c>
      <c r="D833" s="1" t="s">
        <v>616</v>
      </c>
      <c r="E833" s="1" t="s">
        <v>1020</v>
      </c>
      <c r="F833" s="1" t="s">
        <v>1021</v>
      </c>
      <c r="G833" s="1"/>
      <c r="H833" s="2">
        <v>0</v>
      </c>
      <c r="I833" s="2">
        <v>0</v>
      </c>
      <c r="J833" s="2">
        <v>0</v>
      </c>
      <c r="K833" s="2">
        <v>1</v>
      </c>
      <c r="L833" s="3" t="s">
        <v>80</v>
      </c>
      <c r="O833" s="4">
        <v>4</v>
      </c>
      <c r="P833" s="4" t="s">
        <v>81</v>
      </c>
      <c r="Q833" s="4"/>
      <c r="R833" s="5"/>
      <c r="S833" s="6"/>
      <c r="T833" s="17"/>
      <c r="U833" s="6"/>
      <c r="V833" s="4"/>
      <c r="W833" s="4"/>
      <c r="X833" s="4"/>
      <c r="Y833" s="7">
        <v>2</v>
      </c>
      <c r="Z833" s="8">
        <v>1430000</v>
      </c>
      <c r="AA833" s="7" t="s">
        <v>812</v>
      </c>
      <c r="AB833" s="7"/>
      <c r="AC833" s="9">
        <v>2</v>
      </c>
      <c r="AD833" s="10">
        <v>1430000</v>
      </c>
      <c r="AE833" s="9" t="s">
        <v>812</v>
      </c>
      <c r="AF833" s="9"/>
      <c r="AG833" s="11">
        <v>2</v>
      </c>
      <c r="AH833" s="11" t="s">
        <v>83</v>
      </c>
      <c r="AI833" s="11" t="s">
        <v>3526</v>
      </c>
      <c r="AJ833" s="11"/>
      <c r="AK833" s="11"/>
      <c r="AL833" s="12">
        <v>2</v>
      </c>
      <c r="AM833" s="12" t="s">
        <v>83</v>
      </c>
      <c r="AN833" s="12"/>
      <c r="AO833" s="12"/>
      <c r="AP833" s="12"/>
      <c r="AQ833" s="4">
        <v>2</v>
      </c>
      <c r="AR833" s="4" t="s">
        <v>83</v>
      </c>
      <c r="AS833" s="4" t="s">
        <v>3527</v>
      </c>
      <c r="AT833" s="13"/>
      <c r="AU833" s="13"/>
      <c r="AV833" s="13"/>
      <c r="AW833" s="13"/>
      <c r="AX833" s="4"/>
      <c r="AY833" s="13"/>
      <c r="AZ833" s="13"/>
      <c r="BA833" s="13"/>
      <c r="BB833" s="13"/>
      <c r="BC833" s="4"/>
      <c r="BD833" s="4"/>
      <c r="BE833" s="4"/>
      <c r="BF833" s="13"/>
      <c r="BG833" s="4"/>
      <c r="BH833" s="13"/>
      <c r="BI833" s="13"/>
      <c r="BJ833" s="4"/>
      <c r="BK833" s="14">
        <v>10</v>
      </c>
      <c r="BL833" s="14">
        <v>10</v>
      </c>
      <c r="BM833" s="14">
        <v>10</v>
      </c>
      <c r="BP833" s="15"/>
      <c r="BQ833" s="15"/>
      <c r="BR833" s="2" t="s">
        <v>740</v>
      </c>
      <c r="BS833" s="2" t="s">
        <v>740</v>
      </c>
      <c r="BT833" s="7" t="s">
        <v>463</v>
      </c>
      <c r="BU833" s="7" t="s">
        <v>248</v>
      </c>
      <c r="BV833" s="9" t="s">
        <v>463</v>
      </c>
      <c r="BW833" s="9" t="s">
        <v>248</v>
      </c>
    </row>
    <row r="834" spans="1:75" ht="14.25" customHeight="1" x14ac:dyDescent="0.25">
      <c r="A834" s="1">
        <v>414</v>
      </c>
      <c r="B834" s="1" t="s">
        <v>3528</v>
      </c>
      <c r="C834" s="1" t="s">
        <v>3529</v>
      </c>
      <c r="D834" s="1" t="s">
        <v>616</v>
      </c>
      <c r="E834" s="1" t="s">
        <v>1020</v>
      </c>
      <c r="F834" s="1" t="s">
        <v>1021</v>
      </c>
      <c r="G834" s="1"/>
      <c r="H834" s="2">
        <v>0</v>
      </c>
      <c r="I834" s="2">
        <v>0</v>
      </c>
      <c r="J834" s="2">
        <v>1</v>
      </c>
      <c r="K834" s="2">
        <v>1</v>
      </c>
      <c r="L834" s="3" t="s">
        <v>80</v>
      </c>
      <c r="O834" s="4">
        <v>5</v>
      </c>
      <c r="P834" s="4" t="s">
        <v>1039</v>
      </c>
      <c r="Q834" s="4" t="s">
        <v>3530</v>
      </c>
      <c r="R834" s="16">
        <v>3700</v>
      </c>
      <c r="S834" s="6">
        <v>3700</v>
      </c>
      <c r="T834" s="17"/>
      <c r="U834" s="6"/>
      <c r="V834" s="4"/>
      <c r="W834" s="4"/>
      <c r="X834" s="4"/>
      <c r="Y834" s="7">
        <v>2</v>
      </c>
      <c r="Z834" s="8">
        <v>2172679</v>
      </c>
      <c r="AA834" s="7" t="s">
        <v>130</v>
      </c>
      <c r="AB834" s="7"/>
      <c r="AC834" s="9">
        <v>2</v>
      </c>
      <c r="AD834" s="10">
        <v>2172485</v>
      </c>
      <c r="AE834" s="9" t="s">
        <v>130</v>
      </c>
      <c r="AF834" s="9"/>
      <c r="AG834" s="11">
        <v>3</v>
      </c>
      <c r="AH834" s="11" t="s">
        <v>93</v>
      </c>
      <c r="AI834" s="11"/>
      <c r="AJ834" s="11"/>
      <c r="AK834" s="11"/>
      <c r="AL834" s="12">
        <v>3</v>
      </c>
      <c r="AM834" s="12" t="s">
        <v>93</v>
      </c>
      <c r="AN834" s="12"/>
      <c r="AO834" s="12"/>
      <c r="AP834" s="12"/>
      <c r="AQ834" s="4">
        <v>3</v>
      </c>
      <c r="AR834" s="4" t="s">
        <v>93</v>
      </c>
      <c r="AS834" s="4" t="s">
        <v>1053</v>
      </c>
      <c r="AT834" s="13"/>
      <c r="AU834" s="13"/>
      <c r="AV834" s="13"/>
      <c r="AW834" s="13"/>
      <c r="AX834" s="4"/>
      <c r="AY834" s="13"/>
      <c r="AZ834" s="13"/>
      <c r="BA834" s="13"/>
      <c r="BB834" s="13"/>
      <c r="BC834" s="4"/>
      <c r="BD834" s="4"/>
      <c r="BE834" s="4"/>
      <c r="BF834" s="13"/>
      <c r="BG834" s="4"/>
      <c r="BH834" s="13"/>
      <c r="BI834" s="13"/>
      <c r="BJ834" s="4"/>
      <c r="BK834" s="14">
        <v>13</v>
      </c>
      <c r="BL834" s="14">
        <v>13</v>
      </c>
      <c r="BM834" s="14">
        <v>13</v>
      </c>
      <c r="BP834" s="15"/>
      <c r="BQ834" s="15" t="s">
        <v>146</v>
      </c>
      <c r="BR834" s="2" t="s">
        <v>97</v>
      </c>
      <c r="BS834" s="2" t="s">
        <v>97</v>
      </c>
      <c r="BT834" s="7" t="s">
        <v>147</v>
      </c>
      <c r="BU834" s="7"/>
      <c r="BV834" s="9" t="s">
        <v>147</v>
      </c>
      <c r="BW834" s="9"/>
    </row>
    <row r="835" spans="1:75" ht="14.25" customHeight="1" x14ac:dyDescent="0.25">
      <c r="A835" s="1">
        <v>415</v>
      </c>
      <c r="B835" s="1" t="s">
        <v>3531</v>
      </c>
      <c r="C835" s="1" t="s">
        <v>3532</v>
      </c>
      <c r="D835" s="1" t="s">
        <v>616</v>
      </c>
      <c r="E835" s="1" t="s">
        <v>1020</v>
      </c>
      <c r="F835" s="1" t="s">
        <v>1021</v>
      </c>
      <c r="G835" s="1"/>
      <c r="H835" s="2">
        <v>0</v>
      </c>
      <c r="I835" s="2">
        <v>0</v>
      </c>
      <c r="J835" s="2">
        <v>1</v>
      </c>
      <c r="K835" s="2">
        <v>1</v>
      </c>
      <c r="L835" s="3" t="s">
        <v>80</v>
      </c>
      <c r="O835" s="4">
        <v>4</v>
      </c>
      <c r="P835" s="4" t="s">
        <v>81</v>
      </c>
      <c r="Q835" s="4" t="s">
        <v>1012</v>
      </c>
      <c r="R835" s="5"/>
      <c r="S835" s="6"/>
      <c r="T835" s="17"/>
      <c r="U835" s="6"/>
      <c r="V835" s="4"/>
      <c r="W835" s="4"/>
      <c r="X835" s="4"/>
      <c r="Y835" s="7">
        <v>2</v>
      </c>
      <c r="Z835" s="8">
        <v>1590428</v>
      </c>
      <c r="AA835" s="7" t="s">
        <v>130</v>
      </c>
      <c r="AB835" s="7"/>
      <c r="AC835" s="9">
        <v>2</v>
      </c>
      <c r="AD835" s="10">
        <v>1590428</v>
      </c>
      <c r="AE835" s="9" t="s">
        <v>130</v>
      </c>
      <c r="AF835" s="9"/>
      <c r="AG835" s="11">
        <v>4</v>
      </c>
      <c r="AH835" s="11" t="s">
        <v>93</v>
      </c>
      <c r="AI835" s="11"/>
      <c r="AJ835" s="11"/>
      <c r="AK835" s="11"/>
      <c r="AL835" s="12">
        <v>4</v>
      </c>
      <c r="AM835" s="12" t="s">
        <v>93</v>
      </c>
      <c r="AN835" s="12"/>
      <c r="AO835" s="12"/>
      <c r="AP835" s="12"/>
      <c r="AQ835" s="4">
        <v>5</v>
      </c>
      <c r="AR835" s="4" t="s">
        <v>93</v>
      </c>
      <c r="AS835" s="4" t="s">
        <v>3533</v>
      </c>
      <c r="AT835" s="13"/>
      <c r="AU835" s="13"/>
      <c r="AV835" s="13"/>
      <c r="AW835" s="13"/>
      <c r="AX835" s="4"/>
      <c r="AY835" s="13"/>
      <c r="AZ835" s="13"/>
      <c r="BA835" s="13"/>
      <c r="BB835" s="13"/>
      <c r="BC835" s="4"/>
      <c r="BD835" s="4"/>
      <c r="BE835" s="4"/>
      <c r="BF835" s="13"/>
      <c r="BG835" s="4"/>
      <c r="BH835" s="13"/>
      <c r="BI835" s="13"/>
      <c r="BJ835" s="4"/>
      <c r="BK835" s="14">
        <v>15</v>
      </c>
      <c r="BL835" s="14">
        <v>15</v>
      </c>
      <c r="BM835" s="14">
        <v>15</v>
      </c>
      <c r="BN835" s="3" t="s">
        <v>113</v>
      </c>
      <c r="BP835" s="15"/>
      <c r="BQ835" s="15"/>
      <c r="BR835" s="2" t="s">
        <v>97</v>
      </c>
      <c r="BS835" s="2" t="s">
        <v>97</v>
      </c>
      <c r="BT835" s="7" t="s">
        <v>98</v>
      </c>
      <c r="BU835" s="7" t="s">
        <v>240</v>
      </c>
      <c r="BV835" s="9" t="s">
        <v>98</v>
      </c>
      <c r="BW835" s="9" t="s">
        <v>240</v>
      </c>
    </row>
    <row r="836" spans="1:75" ht="14.25" customHeight="1" x14ac:dyDescent="0.25">
      <c r="A836" s="1">
        <v>416</v>
      </c>
      <c r="B836" s="1" t="s">
        <v>3534</v>
      </c>
      <c r="C836" s="1" t="s">
        <v>3535</v>
      </c>
      <c r="D836" s="1" t="s">
        <v>616</v>
      </c>
      <c r="E836" s="1" t="s">
        <v>1020</v>
      </c>
      <c r="F836" s="1" t="s">
        <v>1021</v>
      </c>
      <c r="G836" s="1" t="s">
        <v>118</v>
      </c>
      <c r="H836" s="2">
        <v>0</v>
      </c>
      <c r="I836" s="2">
        <v>0</v>
      </c>
      <c r="J836" s="2">
        <v>1</v>
      </c>
      <c r="K836" s="2">
        <v>1</v>
      </c>
      <c r="L836" s="3" t="s">
        <v>80</v>
      </c>
      <c r="O836" s="4">
        <v>4</v>
      </c>
      <c r="P836" s="4" t="s">
        <v>81</v>
      </c>
      <c r="Q836" s="4"/>
      <c r="R836" s="5"/>
      <c r="S836" s="6"/>
      <c r="T836" s="17"/>
      <c r="U836" s="6"/>
      <c r="V836" s="4"/>
      <c r="W836" s="4"/>
      <c r="X836" s="4"/>
      <c r="Y836" s="7">
        <v>3</v>
      </c>
      <c r="Z836" s="8">
        <v>337760</v>
      </c>
      <c r="AA836" s="7" t="s">
        <v>130</v>
      </c>
      <c r="AB836" s="7"/>
      <c r="AC836" s="9">
        <v>3</v>
      </c>
      <c r="AD836" s="10">
        <v>337760</v>
      </c>
      <c r="AE836" s="9" t="s">
        <v>130</v>
      </c>
      <c r="AF836" s="9"/>
      <c r="AG836" s="11">
        <v>4</v>
      </c>
      <c r="AH836" s="11" t="s">
        <v>93</v>
      </c>
      <c r="AI836" s="11"/>
      <c r="AJ836" s="11"/>
      <c r="AK836" s="11"/>
      <c r="AL836" s="12">
        <v>4</v>
      </c>
      <c r="AM836" s="12" t="s">
        <v>93</v>
      </c>
      <c r="AN836" s="12"/>
      <c r="AO836" s="12"/>
      <c r="AP836" s="12"/>
      <c r="AQ836" s="4">
        <v>4</v>
      </c>
      <c r="AR836" s="4" t="s">
        <v>93</v>
      </c>
      <c r="AS836" s="4" t="s">
        <v>1050</v>
      </c>
      <c r="AT836" s="13"/>
      <c r="AU836" s="13"/>
      <c r="AV836" s="13"/>
      <c r="AW836" s="13"/>
      <c r="AX836" s="4"/>
      <c r="AY836" s="13"/>
      <c r="AZ836" s="13"/>
      <c r="BA836" s="13"/>
      <c r="BB836" s="13"/>
      <c r="BC836" s="4"/>
      <c r="BD836" s="4"/>
      <c r="BE836" s="4"/>
      <c r="BF836" s="13"/>
      <c r="BG836" s="4"/>
      <c r="BH836" s="13"/>
      <c r="BI836" s="13"/>
      <c r="BJ836" s="4"/>
      <c r="BK836" s="14">
        <v>15</v>
      </c>
      <c r="BL836" s="14">
        <v>15</v>
      </c>
      <c r="BM836" s="14">
        <v>15</v>
      </c>
      <c r="BN836" s="3" t="s">
        <v>86</v>
      </c>
      <c r="BP836" s="15"/>
      <c r="BQ836" s="15"/>
      <c r="BR836" s="2" t="s">
        <v>97</v>
      </c>
      <c r="BS836" s="2" t="s">
        <v>97</v>
      </c>
      <c r="BT836" s="7" t="s">
        <v>623</v>
      </c>
      <c r="BU836" s="7" t="s">
        <v>98</v>
      </c>
      <c r="BV836" s="9" t="s">
        <v>623</v>
      </c>
      <c r="BW836" s="9" t="s">
        <v>98</v>
      </c>
    </row>
    <row r="837" spans="1:75" ht="14.25" customHeight="1" x14ac:dyDescent="0.25">
      <c r="A837" s="1">
        <v>417</v>
      </c>
      <c r="B837" s="1" t="s">
        <v>3536</v>
      </c>
      <c r="C837" s="1" t="s">
        <v>3537</v>
      </c>
      <c r="D837" s="1" t="s">
        <v>616</v>
      </c>
      <c r="E837" s="1" t="s">
        <v>1020</v>
      </c>
      <c r="F837" s="1" t="s">
        <v>1021</v>
      </c>
      <c r="G837" s="1" t="s">
        <v>3538</v>
      </c>
      <c r="H837" s="2">
        <v>0</v>
      </c>
      <c r="I837" s="2">
        <v>0</v>
      </c>
      <c r="J837" s="2">
        <v>1</v>
      </c>
      <c r="K837" s="2">
        <v>1</v>
      </c>
      <c r="L837" s="3" t="s">
        <v>80</v>
      </c>
      <c r="O837" s="4">
        <v>4</v>
      </c>
      <c r="P837" s="4" t="s">
        <v>871</v>
      </c>
      <c r="Q837" s="4" t="s">
        <v>872</v>
      </c>
      <c r="R837" s="5"/>
      <c r="S837" s="6"/>
      <c r="T837" s="17"/>
      <c r="U837" s="6"/>
      <c r="V837" s="4"/>
      <c r="W837" s="4"/>
      <c r="X837" s="4"/>
      <c r="Y837" s="7">
        <v>3</v>
      </c>
      <c r="Z837" s="8">
        <v>526988</v>
      </c>
      <c r="AA837" s="7" t="s">
        <v>3271</v>
      </c>
      <c r="AB837" s="7"/>
      <c r="AC837" s="9">
        <v>3</v>
      </c>
      <c r="AD837" s="10">
        <v>526988</v>
      </c>
      <c r="AE837" s="9" t="s">
        <v>3271</v>
      </c>
      <c r="AF837" s="9"/>
      <c r="AG837" s="11">
        <v>2</v>
      </c>
      <c r="AH837" s="11" t="s">
        <v>876</v>
      </c>
      <c r="AI837" s="11" t="s">
        <v>875</v>
      </c>
      <c r="AJ837" s="11"/>
      <c r="AK837" s="11"/>
      <c r="AL837" s="12">
        <v>2</v>
      </c>
      <c r="AM837" s="12" t="s">
        <v>876</v>
      </c>
      <c r="AN837" s="12" t="s">
        <v>3539</v>
      </c>
      <c r="AO837" s="12"/>
      <c r="AP837" s="12"/>
      <c r="AQ837" s="4">
        <v>3</v>
      </c>
      <c r="AR837" s="4" t="s">
        <v>876</v>
      </c>
      <c r="AS837" s="4" t="s">
        <v>875</v>
      </c>
      <c r="AT837" s="13"/>
      <c r="AU837" s="13"/>
      <c r="AV837" s="13"/>
      <c r="AW837" s="13"/>
      <c r="AX837" s="4"/>
      <c r="AY837" s="13"/>
      <c r="AZ837" s="13"/>
      <c r="BA837" s="13"/>
      <c r="BB837" s="13"/>
      <c r="BC837" s="4"/>
      <c r="BD837" s="4"/>
      <c r="BE837" s="4"/>
      <c r="BF837" s="13"/>
      <c r="BG837" s="4"/>
      <c r="BH837" s="13"/>
      <c r="BI837" s="13"/>
      <c r="BJ837" s="4"/>
      <c r="BK837" s="14">
        <v>12</v>
      </c>
      <c r="BL837" s="14">
        <v>12</v>
      </c>
      <c r="BM837" s="14">
        <v>12</v>
      </c>
      <c r="BP837" s="15"/>
      <c r="BQ837" s="15"/>
      <c r="BR837" s="2" t="s">
        <v>115</v>
      </c>
      <c r="BS837" s="2" t="s">
        <v>115</v>
      </c>
      <c r="BT837" s="7" t="s">
        <v>137</v>
      </c>
      <c r="BU837" s="7"/>
      <c r="BV837" s="9" t="s">
        <v>137</v>
      </c>
      <c r="BW837" s="9"/>
    </row>
    <row r="838" spans="1:75" ht="14.25" customHeight="1" x14ac:dyDescent="0.25">
      <c r="A838" s="1">
        <v>418</v>
      </c>
      <c r="B838" s="1" t="s">
        <v>3540</v>
      </c>
      <c r="C838" s="1" t="s">
        <v>3541</v>
      </c>
      <c r="D838" s="1" t="s">
        <v>616</v>
      </c>
      <c r="E838" s="1" t="s">
        <v>1020</v>
      </c>
      <c r="F838" s="1" t="s">
        <v>1021</v>
      </c>
      <c r="G838" s="1" t="s">
        <v>3542</v>
      </c>
      <c r="H838" s="2">
        <v>0</v>
      </c>
      <c r="I838" s="2">
        <v>0</v>
      </c>
      <c r="J838" s="2">
        <v>0</v>
      </c>
      <c r="K838" s="2">
        <v>1</v>
      </c>
      <c r="L838" s="3" t="s">
        <v>80</v>
      </c>
      <c r="O838" s="4">
        <v>2</v>
      </c>
      <c r="P838" s="4" t="s">
        <v>871</v>
      </c>
      <c r="Q838" s="4" t="s">
        <v>872</v>
      </c>
      <c r="R838" s="5"/>
      <c r="S838" s="6"/>
      <c r="T838" s="17"/>
      <c r="U838" s="6"/>
      <c r="V838" s="4"/>
      <c r="W838" s="4"/>
      <c r="X838" s="4"/>
      <c r="Y838" s="7">
        <v>1</v>
      </c>
      <c r="Z838" s="8">
        <v>13041508</v>
      </c>
      <c r="AA838" s="7" t="s">
        <v>3271</v>
      </c>
      <c r="AB838" s="7"/>
      <c r="AC838" s="9">
        <v>1</v>
      </c>
      <c r="AD838" s="10">
        <v>13041508</v>
      </c>
      <c r="AE838" s="9" t="s">
        <v>3271</v>
      </c>
      <c r="AF838" s="9"/>
      <c r="AG838" s="11">
        <v>2</v>
      </c>
      <c r="AH838" s="11" t="s">
        <v>876</v>
      </c>
      <c r="AI838" s="11" t="s">
        <v>3543</v>
      </c>
      <c r="AJ838" s="11"/>
      <c r="AK838" s="11"/>
      <c r="AL838" s="12">
        <v>2</v>
      </c>
      <c r="AM838" s="12" t="s">
        <v>876</v>
      </c>
      <c r="AN838" s="12" t="s">
        <v>881</v>
      </c>
      <c r="AO838" s="12"/>
      <c r="AP838" s="12"/>
      <c r="AQ838" s="4">
        <v>2</v>
      </c>
      <c r="AR838" s="4" t="s">
        <v>876</v>
      </c>
      <c r="AS838" s="4" t="s">
        <v>3543</v>
      </c>
      <c r="AT838" s="13"/>
      <c r="AU838" s="13"/>
      <c r="AV838" s="13"/>
      <c r="AW838" s="13"/>
      <c r="AX838" s="4"/>
      <c r="AY838" s="13"/>
      <c r="AZ838" s="13"/>
      <c r="BA838" s="13"/>
      <c r="BB838" s="13"/>
      <c r="BC838" s="4"/>
      <c r="BD838" s="4"/>
      <c r="BE838" s="4"/>
      <c r="BF838" s="13"/>
      <c r="BG838" s="4"/>
      <c r="BH838" s="13"/>
      <c r="BI838" s="13"/>
      <c r="BJ838" s="4"/>
      <c r="BK838" s="14">
        <v>7</v>
      </c>
      <c r="BL838" s="14">
        <v>7</v>
      </c>
      <c r="BM838" s="14">
        <v>7</v>
      </c>
      <c r="BP838" s="15"/>
      <c r="BQ838" s="15"/>
      <c r="BR838" s="2" t="s">
        <v>740</v>
      </c>
      <c r="BS838" s="2" t="s">
        <v>740</v>
      </c>
      <c r="BT838" s="7" t="s">
        <v>137</v>
      </c>
      <c r="BU838" s="7"/>
      <c r="BV838" s="9" t="s">
        <v>137</v>
      </c>
      <c r="BW838" s="9"/>
    </row>
    <row r="839" spans="1:75" ht="14.25" customHeight="1" x14ac:dyDescent="0.25">
      <c r="A839" s="1">
        <v>419</v>
      </c>
      <c r="B839" s="1" t="s">
        <v>3544</v>
      </c>
      <c r="C839" s="1" t="s">
        <v>3545</v>
      </c>
      <c r="D839" s="1" t="s">
        <v>616</v>
      </c>
      <c r="E839" s="1" t="s">
        <v>1020</v>
      </c>
      <c r="F839" s="1" t="s">
        <v>1021</v>
      </c>
      <c r="G839" s="1" t="s">
        <v>3546</v>
      </c>
      <c r="H839" s="2">
        <v>0</v>
      </c>
      <c r="I839" s="2">
        <v>1</v>
      </c>
      <c r="J839" s="2">
        <v>1</v>
      </c>
      <c r="K839" s="2">
        <v>0</v>
      </c>
      <c r="L839" s="3" t="s">
        <v>80</v>
      </c>
      <c r="O839" s="4">
        <v>5</v>
      </c>
      <c r="P839" s="4" t="s">
        <v>3547</v>
      </c>
      <c r="Q839" s="4" t="s">
        <v>3548</v>
      </c>
      <c r="R839" s="5" t="s">
        <v>3549</v>
      </c>
      <c r="S839" s="6">
        <v>15000</v>
      </c>
      <c r="T839" s="17"/>
      <c r="U839" s="6"/>
      <c r="V839" s="4"/>
      <c r="W839" s="4"/>
      <c r="X839" s="4"/>
      <c r="Y839" s="7">
        <v>5</v>
      </c>
      <c r="Z839" s="8"/>
      <c r="AA839" s="7" t="s">
        <v>3550</v>
      </c>
      <c r="AB839" s="7"/>
      <c r="AC839" s="9">
        <v>5</v>
      </c>
      <c r="AD839" s="10"/>
      <c r="AE839" s="9" t="s">
        <v>3550</v>
      </c>
      <c r="AF839" s="9"/>
      <c r="AG839" s="11">
        <v>4</v>
      </c>
      <c r="AH839" s="11" t="s">
        <v>630</v>
      </c>
      <c r="AI839" s="11" t="s">
        <v>3551</v>
      </c>
      <c r="AJ839" s="11">
        <v>1</v>
      </c>
      <c r="AK839" s="11" t="s">
        <v>132</v>
      </c>
      <c r="AL839" s="12">
        <v>4</v>
      </c>
      <c r="AM839" s="12" t="s">
        <v>630</v>
      </c>
      <c r="AN839" s="12"/>
      <c r="AO839" s="12">
        <v>2</v>
      </c>
      <c r="AP839" s="12" t="s">
        <v>143</v>
      </c>
      <c r="AQ839" s="4">
        <v>3</v>
      </c>
      <c r="AR839" s="4" t="s">
        <v>620</v>
      </c>
      <c r="AS839" s="4" t="s">
        <v>3552</v>
      </c>
      <c r="AT839" s="13"/>
      <c r="AU839" s="13"/>
      <c r="AV839" s="13"/>
      <c r="AW839" s="13"/>
      <c r="AX839" s="4"/>
      <c r="AY839" s="13"/>
      <c r="AZ839" s="13"/>
      <c r="BA839" s="13"/>
      <c r="BB839" s="13"/>
      <c r="BC839" s="4"/>
      <c r="BD839" s="4"/>
      <c r="BE839" s="4"/>
      <c r="BF839" s="13"/>
      <c r="BG839" s="4"/>
      <c r="BH839" s="13"/>
      <c r="BI839" s="13"/>
      <c r="BJ839" s="4"/>
      <c r="BK839" s="14">
        <v>17</v>
      </c>
      <c r="BL839" s="14">
        <v>17</v>
      </c>
      <c r="BM839" s="14">
        <v>17</v>
      </c>
      <c r="BN839" s="3" t="s">
        <v>312</v>
      </c>
      <c r="BO839" s="3" t="s">
        <v>120</v>
      </c>
      <c r="BP839" s="15"/>
      <c r="BQ839" s="15"/>
      <c r="BR839" s="2" t="s">
        <v>297</v>
      </c>
      <c r="BS839" s="2" t="s">
        <v>297</v>
      </c>
      <c r="BT839" s="7" t="s">
        <v>148</v>
      </c>
      <c r="BU839" s="7" t="s">
        <v>147</v>
      </c>
      <c r="BV839" s="9" t="s">
        <v>148</v>
      </c>
      <c r="BW839" s="9" t="s">
        <v>147</v>
      </c>
    </row>
    <row r="840" spans="1:75" ht="14.25" customHeight="1" x14ac:dyDescent="0.25">
      <c r="A840" s="1">
        <v>420</v>
      </c>
      <c r="B840" s="1" t="s">
        <v>3553</v>
      </c>
      <c r="C840" s="1" t="s">
        <v>3554</v>
      </c>
      <c r="D840" s="1" t="s">
        <v>616</v>
      </c>
      <c r="E840" s="1" t="s">
        <v>1020</v>
      </c>
      <c r="F840" s="1" t="s">
        <v>1021</v>
      </c>
      <c r="G840" s="1" t="s">
        <v>3555</v>
      </c>
      <c r="H840" s="2">
        <v>0</v>
      </c>
      <c r="I840" s="2">
        <v>0</v>
      </c>
      <c r="J840" s="2">
        <v>1</v>
      </c>
      <c r="K840" s="2">
        <v>0</v>
      </c>
      <c r="L840" s="3" t="s">
        <v>80</v>
      </c>
      <c r="O840" s="4">
        <v>5</v>
      </c>
      <c r="P840" s="4" t="s">
        <v>3556</v>
      </c>
      <c r="Q840" s="4"/>
      <c r="R840" s="16">
        <v>15000</v>
      </c>
      <c r="S840" s="6">
        <v>15000</v>
      </c>
      <c r="T840" s="17"/>
      <c r="U840" s="6"/>
      <c r="V840" s="4"/>
      <c r="W840" s="4"/>
      <c r="X840" s="4"/>
      <c r="Y840" s="7">
        <v>5</v>
      </c>
      <c r="Z840" s="8"/>
      <c r="AA840" s="7" t="s">
        <v>3557</v>
      </c>
      <c r="AB840" s="7"/>
      <c r="AC840" s="9">
        <v>5</v>
      </c>
      <c r="AD840" s="10"/>
      <c r="AE840" s="9" t="s">
        <v>3557</v>
      </c>
      <c r="AF840" s="9"/>
      <c r="AG840" s="11">
        <v>4</v>
      </c>
      <c r="AH840" s="11" t="s">
        <v>441</v>
      </c>
      <c r="AI840" s="11"/>
      <c r="AJ840" s="11"/>
      <c r="AK840" s="11"/>
      <c r="AL840" s="12">
        <v>4</v>
      </c>
      <c r="AM840" s="12" t="s">
        <v>2976</v>
      </c>
      <c r="AN840" s="12"/>
      <c r="AO840" s="12"/>
      <c r="AP840" s="12"/>
      <c r="AQ840" s="4">
        <v>4</v>
      </c>
      <c r="AR840" s="4" t="s">
        <v>93</v>
      </c>
      <c r="AS840" s="4"/>
      <c r="AT840" s="13"/>
      <c r="AU840" s="13"/>
      <c r="AV840" s="13"/>
      <c r="AW840" s="13"/>
      <c r="AX840" s="4"/>
      <c r="AY840" s="13"/>
      <c r="AZ840" s="13"/>
      <c r="BA840" s="13"/>
      <c r="BB840" s="13"/>
      <c r="BC840" s="4"/>
      <c r="BD840" s="4"/>
      <c r="BE840" s="4"/>
      <c r="BF840" s="13"/>
      <c r="BG840" s="4"/>
      <c r="BH840" s="13"/>
      <c r="BI840" s="13"/>
      <c r="BJ840" s="4"/>
      <c r="BK840" s="14">
        <v>18</v>
      </c>
      <c r="BL840" s="14">
        <v>18</v>
      </c>
      <c r="BM840" s="14">
        <v>18</v>
      </c>
      <c r="BN840" s="3" t="s">
        <v>312</v>
      </c>
      <c r="BP840" s="15"/>
      <c r="BQ840" s="15"/>
      <c r="BR840" s="2" t="s">
        <v>108</v>
      </c>
      <c r="BS840" s="2" t="s">
        <v>108</v>
      </c>
      <c r="BT840" s="7" t="s">
        <v>147</v>
      </c>
      <c r="BU840" s="7"/>
      <c r="BV840" s="9" t="s">
        <v>147</v>
      </c>
      <c r="BW840" s="9"/>
    </row>
    <row r="841" spans="1:75" ht="14.25" customHeight="1" x14ac:dyDescent="0.25">
      <c r="A841" s="1">
        <v>421</v>
      </c>
      <c r="B841" s="1" t="s">
        <v>3558</v>
      </c>
      <c r="C841" s="1" t="s">
        <v>3559</v>
      </c>
      <c r="D841" s="1" t="s">
        <v>616</v>
      </c>
      <c r="E841" s="1" t="s">
        <v>1020</v>
      </c>
      <c r="F841" s="1" t="s">
        <v>1021</v>
      </c>
      <c r="G841" s="1"/>
      <c r="H841" s="2">
        <v>0</v>
      </c>
      <c r="I841" s="2">
        <v>0</v>
      </c>
      <c r="J841" s="2">
        <v>0</v>
      </c>
      <c r="K841" s="2">
        <v>1</v>
      </c>
      <c r="L841" s="3" t="s">
        <v>80</v>
      </c>
      <c r="O841" s="4">
        <v>4</v>
      </c>
      <c r="P841" s="4" t="s">
        <v>3560</v>
      </c>
      <c r="Q841" s="4" t="s">
        <v>3561</v>
      </c>
      <c r="R841" s="5"/>
      <c r="S841" s="6"/>
      <c r="T841" s="17"/>
      <c r="U841" s="6"/>
      <c r="V841" s="4"/>
      <c r="W841" s="4"/>
      <c r="X841" s="4"/>
      <c r="Y841" s="7">
        <v>3</v>
      </c>
      <c r="Z841" s="8">
        <v>359036</v>
      </c>
      <c r="AA841" s="7" t="s">
        <v>369</v>
      </c>
      <c r="AB841" s="7" t="s">
        <v>3562</v>
      </c>
      <c r="AC841" s="9">
        <v>3</v>
      </c>
      <c r="AD841" s="10">
        <v>359036</v>
      </c>
      <c r="AE841" s="9" t="s">
        <v>369</v>
      </c>
      <c r="AF841" s="9" t="s">
        <v>3562</v>
      </c>
      <c r="AG841" s="11">
        <v>3</v>
      </c>
      <c r="AH841" s="11" t="s">
        <v>876</v>
      </c>
      <c r="AI841" s="11"/>
      <c r="AJ841" s="11"/>
      <c r="AK841" s="11"/>
      <c r="AL841" s="12">
        <v>3</v>
      </c>
      <c r="AM841" s="12" t="s">
        <v>876</v>
      </c>
      <c r="AN841" s="12"/>
      <c r="AO841" s="12"/>
      <c r="AP841" s="12"/>
      <c r="AQ841" s="4">
        <v>3</v>
      </c>
      <c r="AR841" s="4" t="s">
        <v>876</v>
      </c>
      <c r="AS841" s="4"/>
      <c r="AT841" s="13"/>
      <c r="AU841" s="13"/>
      <c r="AV841" s="13"/>
      <c r="AW841" s="13"/>
      <c r="AX841" s="4"/>
      <c r="AY841" s="13"/>
      <c r="AZ841" s="13"/>
      <c r="BA841" s="13"/>
      <c r="BB841" s="13"/>
      <c r="BC841" s="4"/>
      <c r="BD841" s="4"/>
      <c r="BE841" s="4"/>
      <c r="BF841" s="13"/>
      <c r="BG841" s="4"/>
      <c r="BH841" s="13"/>
      <c r="BI841" s="13"/>
      <c r="BJ841" s="4"/>
      <c r="BK841" s="14">
        <v>13</v>
      </c>
      <c r="BL841" s="14">
        <v>13</v>
      </c>
      <c r="BM841" s="14">
        <v>13</v>
      </c>
      <c r="BP841" s="15"/>
      <c r="BQ841" s="15"/>
      <c r="BR841" s="2" t="s">
        <v>740</v>
      </c>
      <c r="BS841" s="2" t="s">
        <v>740</v>
      </c>
      <c r="BT841" s="7" t="s">
        <v>148</v>
      </c>
      <c r="BU841" s="7" t="s">
        <v>623</v>
      </c>
      <c r="BV841" s="9" t="s">
        <v>148</v>
      </c>
      <c r="BW841" s="9" t="s">
        <v>623</v>
      </c>
    </row>
    <row r="842" spans="1:75" ht="14.25" customHeight="1" x14ac:dyDescent="0.25">
      <c r="A842" s="1">
        <v>422</v>
      </c>
      <c r="B842" s="1" t="s">
        <v>3563</v>
      </c>
      <c r="C842" s="1" t="s">
        <v>3564</v>
      </c>
      <c r="D842" s="1" t="s">
        <v>616</v>
      </c>
      <c r="E842" s="1" t="s">
        <v>1020</v>
      </c>
      <c r="F842" s="1" t="s">
        <v>1021</v>
      </c>
      <c r="G842" s="1"/>
      <c r="H842" s="2">
        <v>1</v>
      </c>
      <c r="I842" s="2">
        <v>1</v>
      </c>
      <c r="J842" s="2">
        <v>0</v>
      </c>
      <c r="K842" s="2">
        <v>0</v>
      </c>
      <c r="L842" s="3" t="s">
        <v>127</v>
      </c>
      <c r="O842" s="4">
        <v>4</v>
      </c>
      <c r="P842" s="4" t="s">
        <v>1031</v>
      </c>
      <c r="Q842" s="4" t="s">
        <v>169</v>
      </c>
      <c r="R842" s="16">
        <v>69000</v>
      </c>
      <c r="S842" s="6">
        <v>69000</v>
      </c>
      <c r="T842" s="16">
        <v>63000</v>
      </c>
      <c r="U842" s="6">
        <v>63000</v>
      </c>
      <c r="V842" s="4">
        <v>2010.5</v>
      </c>
      <c r="W842" s="4" t="s">
        <v>640</v>
      </c>
      <c r="X842" s="4"/>
      <c r="Y842" s="7">
        <v>2</v>
      </c>
      <c r="Z842" s="8">
        <v>3369580</v>
      </c>
      <c r="AA842" s="7" t="s">
        <v>130</v>
      </c>
      <c r="AB842" s="7"/>
      <c r="AC842" s="9">
        <v>2</v>
      </c>
      <c r="AD842" s="10">
        <v>1189707</v>
      </c>
      <c r="AE842" s="9" t="s">
        <v>130</v>
      </c>
      <c r="AF842" s="9"/>
      <c r="AG842" s="11">
        <v>4</v>
      </c>
      <c r="AH842" s="11" t="s">
        <v>630</v>
      </c>
      <c r="AI842" s="11" t="s">
        <v>3565</v>
      </c>
      <c r="AJ842" s="11">
        <v>2</v>
      </c>
      <c r="AK842" s="11" t="s">
        <v>132</v>
      </c>
      <c r="AL842" s="12">
        <v>4</v>
      </c>
      <c r="AM842" s="12" t="s">
        <v>630</v>
      </c>
      <c r="AN842" s="12"/>
      <c r="AO842" s="12">
        <v>2</v>
      </c>
      <c r="AP842" s="12" t="s">
        <v>143</v>
      </c>
      <c r="AQ842" s="4">
        <v>5</v>
      </c>
      <c r="AR842" s="4" t="s">
        <v>133</v>
      </c>
      <c r="AS842" s="4"/>
      <c r="AT842" s="13">
        <v>-87.627014160156307</v>
      </c>
      <c r="AU842" s="13">
        <v>-4.0102081298828098</v>
      </c>
      <c r="AV842" s="13">
        <v>-5.6700000762939498</v>
      </c>
      <c r="AW842" s="13">
        <v>-2.73960208892822</v>
      </c>
      <c r="AX842" s="4">
        <v>1</v>
      </c>
      <c r="AY842" s="13">
        <v>-28.1174011230469</v>
      </c>
      <c r="AZ842" s="13">
        <v>-3.2425894737243701</v>
      </c>
      <c r="BA842" s="13">
        <v>-8.7209997177124006</v>
      </c>
      <c r="BB842" s="13">
        <v>2.5174980163574201</v>
      </c>
      <c r="BC842" s="4"/>
      <c r="BD842" s="4">
        <v>10</v>
      </c>
      <c r="BE842" s="4" t="s">
        <v>134</v>
      </c>
      <c r="BF842" s="13">
        <v>2.93039798736572</v>
      </c>
      <c r="BG842" s="4">
        <v>69</v>
      </c>
      <c r="BH842" s="13">
        <v>0.283499985933304</v>
      </c>
      <c r="BI842" s="13">
        <v>19.561500549316399</v>
      </c>
      <c r="BJ842" s="4"/>
      <c r="BK842" s="14">
        <v>15</v>
      </c>
      <c r="BL842" s="14">
        <v>15</v>
      </c>
      <c r="BM842" s="14">
        <v>15</v>
      </c>
      <c r="BN842" s="3" t="s">
        <v>375</v>
      </c>
      <c r="BO842" s="3" t="s">
        <v>120</v>
      </c>
      <c r="BP842" s="15"/>
      <c r="BQ842" s="15" t="s">
        <v>146</v>
      </c>
      <c r="BR842" s="2" t="s">
        <v>239</v>
      </c>
      <c r="BS842" s="2" t="s">
        <v>239</v>
      </c>
      <c r="BT842" s="7" t="s">
        <v>147</v>
      </c>
      <c r="BU842" s="7"/>
      <c r="BV842" s="9" t="s">
        <v>147</v>
      </c>
      <c r="BW842" s="9" t="s">
        <v>148</v>
      </c>
    </row>
    <row r="843" spans="1:75" ht="14.25" customHeight="1" x14ac:dyDescent="0.25">
      <c r="A843" s="1">
        <v>423</v>
      </c>
      <c r="B843" s="1" t="s">
        <v>3566</v>
      </c>
      <c r="C843" s="1" t="s">
        <v>3567</v>
      </c>
      <c r="D843" s="1" t="s">
        <v>616</v>
      </c>
      <c r="E843" s="1" t="s">
        <v>1020</v>
      </c>
      <c r="F843" s="1" t="s">
        <v>1021</v>
      </c>
      <c r="G843" s="1" t="s">
        <v>3546</v>
      </c>
      <c r="H843" s="2">
        <v>1</v>
      </c>
      <c r="I843" s="2">
        <v>1</v>
      </c>
      <c r="J843" s="2">
        <v>1</v>
      </c>
      <c r="K843" s="2">
        <v>1</v>
      </c>
      <c r="L843" s="3" t="s">
        <v>127</v>
      </c>
      <c r="O843" s="4">
        <v>4</v>
      </c>
      <c r="P843" s="4" t="s">
        <v>1031</v>
      </c>
      <c r="Q843" s="4" t="s">
        <v>169</v>
      </c>
      <c r="R843" s="16">
        <v>210000</v>
      </c>
      <c r="S843" s="6">
        <v>210000</v>
      </c>
      <c r="T843" s="16">
        <v>170000</v>
      </c>
      <c r="U843" s="6">
        <v>170000</v>
      </c>
      <c r="V843" s="4">
        <v>2010.5</v>
      </c>
      <c r="W843" s="4" t="s">
        <v>640</v>
      </c>
      <c r="X843" s="4"/>
      <c r="Y843" s="7">
        <v>3</v>
      </c>
      <c r="Z843" s="8">
        <v>576549</v>
      </c>
      <c r="AA843" s="7" t="s">
        <v>130</v>
      </c>
      <c r="AB843" s="7"/>
      <c r="AC843" s="9">
        <v>3</v>
      </c>
      <c r="AD843" s="10">
        <v>560060</v>
      </c>
      <c r="AE843" s="9" t="s">
        <v>130</v>
      </c>
      <c r="AF843" s="9"/>
      <c r="AG843" s="11">
        <v>3</v>
      </c>
      <c r="AH843" s="11" t="s">
        <v>630</v>
      </c>
      <c r="AI843" s="11" t="s">
        <v>3568</v>
      </c>
      <c r="AJ843" s="11">
        <v>3</v>
      </c>
      <c r="AK843" s="11" t="s">
        <v>143</v>
      </c>
      <c r="AL843" s="12">
        <v>3</v>
      </c>
      <c r="AM843" s="12" t="s">
        <v>630</v>
      </c>
      <c r="AN843" s="12"/>
      <c r="AO843" s="12">
        <v>2</v>
      </c>
      <c r="AP843" s="12" t="s">
        <v>143</v>
      </c>
      <c r="AQ843" s="4">
        <v>3</v>
      </c>
      <c r="AR843" s="4" t="s">
        <v>3569</v>
      </c>
      <c r="AS843" s="4" t="s">
        <v>3570</v>
      </c>
      <c r="AT843" s="13"/>
      <c r="AU843" s="13"/>
      <c r="AV843" s="13"/>
      <c r="AW843" s="13"/>
      <c r="AX843" s="4"/>
      <c r="AY843" s="13"/>
      <c r="AZ843" s="13"/>
      <c r="BA843" s="13"/>
      <c r="BB843" s="13"/>
      <c r="BC843" s="4"/>
      <c r="BD843" s="4"/>
      <c r="BE843" s="4"/>
      <c r="BF843" s="13"/>
      <c r="BG843" s="4"/>
      <c r="BH843" s="13"/>
      <c r="BI843" s="13"/>
      <c r="BJ843" s="4"/>
      <c r="BK843" s="14">
        <v>13</v>
      </c>
      <c r="BL843" s="14">
        <v>13</v>
      </c>
      <c r="BM843" s="14">
        <v>13</v>
      </c>
      <c r="BP843" s="15"/>
      <c r="BQ843" s="15"/>
      <c r="BR843" s="2" t="s">
        <v>239</v>
      </c>
      <c r="BS843" s="2" t="s">
        <v>239</v>
      </c>
      <c r="BT843" s="7" t="s">
        <v>148</v>
      </c>
      <c r="BU843" s="7"/>
      <c r="BV843" s="9" t="s">
        <v>148</v>
      </c>
      <c r="BW843" s="9"/>
    </row>
    <row r="844" spans="1:75" ht="14.25" customHeight="1" x14ac:dyDescent="0.25">
      <c r="A844" s="1">
        <v>424</v>
      </c>
      <c r="B844" s="1" t="s">
        <v>3571</v>
      </c>
      <c r="C844" s="1" t="s">
        <v>3572</v>
      </c>
      <c r="D844" s="1" t="s">
        <v>616</v>
      </c>
      <c r="E844" s="1" t="s">
        <v>1020</v>
      </c>
      <c r="F844" s="1" t="s">
        <v>1021</v>
      </c>
      <c r="G844" s="1"/>
      <c r="H844" s="2">
        <v>1</v>
      </c>
      <c r="I844" s="2">
        <v>1</v>
      </c>
      <c r="J844" s="2">
        <v>1</v>
      </c>
      <c r="K844" s="2">
        <v>1</v>
      </c>
      <c r="L844" s="3" t="s">
        <v>127</v>
      </c>
      <c r="O844" s="4">
        <v>4</v>
      </c>
      <c r="P844" s="4" t="s">
        <v>1031</v>
      </c>
      <c r="Q844" s="4" t="s">
        <v>169</v>
      </c>
      <c r="R844" s="16">
        <v>240000</v>
      </c>
      <c r="S844" s="6">
        <v>240000</v>
      </c>
      <c r="T844" s="16">
        <v>230000</v>
      </c>
      <c r="U844" s="6">
        <v>230000</v>
      </c>
      <c r="V844" s="4">
        <v>2010.5</v>
      </c>
      <c r="W844" s="4" t="s">
        <v>640</v>
      </c>
      <c r="X844" s="4"/>
      <c r="Y844" s="7">
        <v>1</v>
      </c>
      <c r="Z844" s="8">
        <v>5541553</v>
      </c>
      <c r="AA844" s="7" t="s">
        <v>130</v>
      </c>
      <c r="AB844" s="7"/>
      <c r="AC844" s="9">
        <v>2</v>
      </c>
      <c r="AD844" s="10">
        <v>2091087</v>
      </c>
      <c r="AE844" s="9" t="s">
        <v>130</v>
      </c>
      <c r="AF844" s="9"/>
      <c r="AG844" s="11">
        <v>3</v>
      </c>
      <c r="AH844" s="11" t="s">
        <v>630</v>
      </c>
      <c r="AI844" s="11"/>
      <c r="AJ844" s="11">
        <v>2</v>
      </c>
      <c r="AK844" s="11" t="s">
        <v>143</v>
      </c>
      <c r="AL844" s="12">
        <v>3</v>
      </c>
      <c r="AM844" s="12" t="s">
        <v>630</v>
      </c>
      <c r="AN844" s="12" t="s">
        <v>3573</v>
      </c>
      <c r="AO844" s="12">
        <v>3</v>
      </c>
      <c r="AP844" s="12" t="s">
        <v>143</v>
      </c>
      <c r="AQ844" s="4">
        <v>1</v>
      </c>
      <c r="AR844" s="4" t="s">
        <v>133</v>
      </c>
      <c r="AS844" s="4"/>
      <c r="AT844" s="13">
        <v>67.506301879882798</v>
      </c>
      <c r="AU844" s="13">
        <v>1.0162811279296899</v>
      </c>
      <c r="AV844" s="13">
        <v>-8.21999981999397E-2</v>
      </c>
      <c r="AW844" s="13">
        <v>1.7290949821472199</v>
      </c>
      <c r="AX844" s="4"/>
      <c r="AY844" s="13">
        <v>-6.6968970298767099</v>
      </c>
      <c r="AZ844" s="13">
        <v>-0.69088429212570202</v>
      </c>
      <c r="BA844" s="13">
        <v>-3.8205978870391801</v>
      </c>
      <c r="BB844" s="13">
        <v>3.2300000190734899</v>
      </c>
      <c r="BC844" s="4"/>
      <c r="BD844" s="4">
        <v>10</v>
      </c>
      <c r="BE844" s="4" t="s">
        <v>134</v>
      </c>
      <c r="BF844" s="13">
        <v>1.81129503250122</v>
      </c>
      <c r="BG844" s="4">
        <v>412</v>
      </c>
      <c r="BH844" s="13">
        <v>2.1150000393390701E-2</v>
      </c>
      <c r="BI844" s="13">
        <v>8.7046003341674805</v>
      </c>
      <c r="BJ844" s="4"/>
      <c r="BK844" s="14">
        <v>9</v>
      </c>
      <c r="BL844" s="14">
        <v>10</v>
      </c>
      <c r="BM844" s="14">
        <v>10</v>
      </c>
      <c r="BP844" s="15"/>
      <c r="BQ844" s="15"/>
      <c r="BR844" s="2" t="s">
        <v>172</v>
      </c>
      <c r="BS844" s="2" t="s">
        <v>172</v>
      </c>
      <c r="BT844" s="7" t="s">
        <v>147</v>
      </c>
      <c r="BU844" s="7"/>
      <c r="BV844" s="9" t="s">
        <v>147</v>
      </c>
      <c r="BW844" s="9" t="s">
        <v>148</v>
      </c>
    </row>
    <row r="845" spans="1:75" ht="14.25" customHeight="1" x14ac:dyDescent="0.25">
      <c r="A845" s="1">
        <v>427</v>
      </c>
      <c r="B845" s="1" t="s">
        <v>3574</v>
      </c>
      <c r="C845" s="1" t="s">
        <v>3575</v>
      </c>
      <c r="D845" s="1" t="s">
        <v>616</v>
      </c>
      <c r="E845" s="1" t="s">
        <v>1020</v>
      </c>
      <c r="F845" s="1" t="s">
        <v>1021</v>
      </c>
      <c r="G845" s="1" t="s">
        <v>118</v>
      </c>
      <c r="H845" s="2">
        <v>1</v>
      </c>
      <c r="I845" s="2">
        <v>1</v>
      </c>
      <c r="J845" s="2">
        <v>1</v>
      </c>
      <c r="K845" s="2">
        <v>1</v>
      </c>
      <c r="L845" s="3" t="s">
        <v>127</v>
      </c>
      <c r="O845" s="4">
        <v>3</v>
      </c>
      <c r="P845" s="4" t="s">
        <v>425</v>
      </c>
      <c r="Q845" s="4"/>
      <c r="R845" s="16">
        <v>4400000</v>
      </c>
      <c r="S845" s="6">
        <v>4400000</v>
      </c>
      <c r="T845" s="16">
        <v>4400000</v>
      </c>
      <c r="U845" s="6">
        <v>4400000</v>
      </c>
      <c r="V845" s="4">
        <v>2010.5</v>
      </c>
      <c r="W845" s="4" t="s">
        <v>425</v>
      </c>
      <c r="X845" s="4"/>
      <c r="Y845" s="7">
        <v>1</v>
      </c>
      <c r="Z845" s="8">
        <v>9772313</v>
      </c>
      <c r="AA845" s="7" t="s">
        <v>130</v>
      </c>
      <c r="AB845" s="7"/>
      <c r="AC845" s="9">
        <v>1</v>
      </c>
      <c r="AD845" s="10">
        <v>4635953</v>
      </c>
      <c r="AE845" s="9" t="s">
        <v>130</v>
      </c>
      <c r="AF845" s="9"/>
      <c r="AG845" s="11">
        <v>3</v>
      </c>
      <c r="AH845" s="11" t="s">
        <v>630</v>
      </c>
      <c r="AI845" s="11"/>
      <c r="AJ845" s="11">
        <v>3</v>
      </c>
      <c r="AK845" s="11" t="s">
        <v>143</v>
      </c>
      <c r="AL845" s="12">
        <v>2</v>
      </c>
      <c r="AM845" s="12" t="s">
        <v>630</v>
      </c>
      <c r="AN845" s="12" t="s">
        <v>3573</v>
      </c>
      <c r="AO845" s="12">
        <v>2</v>
      </c>
      <c r="AP845" s="12" t="s">
        <v>143</v>
      </c>
      <c r="AQ845" s="4">
        <v>2</v>
      </c>
      <c r="AR845" s="4" t="s">
        <v>133</v>
      </c>
      <c r="AS845" s="4"/>
      <c r="AT845" s="13">
        <v>27.067712783813501</v>
      </c>
      <c r="AU845" s="13">
        <v>0.47118467092513999</v>
      </c>
      <c r="AV845" s="13">
        <v>-0.35100001096725503</v>
      </c>
      <c r="AW845" s="13">
        <v>1.5199999809265099</v>
      </c>
      <c r="AX845" s="4"/>
      <c r="AY845" s="13">
        <v>-6.3599781990051296</v>
      </c>
      <c r="AZ845" s="13">
        <v>-0.654846131801605</v>
      </c>
      <c r="BA845" s="13">
        <v>-3.9022030830383301</v>
      </c>
      <c r="BB845" s="13">
        <v>2.7200000286102299</v>
      </c>
      <c r="BC845" s="4"/>
      <c r="BD845" s="4">
        <v>10</v>
      </c>
      <c r="BE845" s="4" t="s">
        <v>134</v>
      </c>
      <c r="BF845" s="13">
        <v>1.87100005149841</v>
      </c>
      <c r="BG845" s="4">
        <v>1160</v>
      </c>
      <c r="BH845" s="13">
        <v>0.86250001192092896</v>
      </c>
      <c r="BI845" s="13">
        <v>1000.62750244141</v>
      </c>
      <c r="BJ845" s="4"/>
      <c r="BK845" s="14">
        <v>9</v>
      </c>
      <c r="BL845" s="14">
        <v>8</v>
      </c>
      <c r="BM845" s="14">
        <v>9</v>
      </c>
      <c r="BP845" s="15"/>
      <c r="BQ845" s="15"/>
      <c r="BR845" s="2" t="s">
        <v>172</v>
      </c>
      <c r="BS845" s="2" t="s">
        <v>172</v>
      </c>
      <c r="BT845" s="7" t="s">
        <v>147</v>
      </c>
      <c r="BU845" s="7"/>
      <c r="BV845" s="9" t="s">
        <v>147</v>
      </c>
      <c r="BW845" s="9" t="s">
        <v>148</v>
      </c>
    </row>
    <row r="846" spans="1:75" ht="14.25" customHeight="1" x14ac:dyDescent="0.25">
      <c r="A846" s="1">
        <v>455</v>
      </c>
      <c r="B846" s="1" t="s">
        <v>3576</v>
      </c>
      <c r="C846" s="1" t="s">
        <v>3577</v>
      </c>
      <c r="D846" s="1" t="s">
        <v>1093</v>
      </c>
      <c r="E846" s="1" t="s">
        <v>1094</v>
      </c>
      <c r="F846" s="1" t="s">
        <v>1099</v>
      </c>
      <c r="G846" s="1" t="s">
        <v>118</v>
      </c>
      <c r="H846" s="2">
        <v>1</v>
      </c>
      <c r="I846" s="2">
        <v>1</v>
      </c>
      <c r="J846" s="2">
        <v>1</v>
      </c>
      <c r="K846" s="2">
        <v>1</v>
      </c>
      <c r="L846" s="3" t="s">
        <v>127</v>
      </c>
      <c r="O846" s="4">
        <v>4</v>
      </c>
      <c r="P846" s="4" t="s">
        <v>3578</v>
      </c>
      <c r="Q846" s="4" t="s">
        <v>3579</v>
      </c>
      <c r="R846" s="16">
        <v>460000</v>
      </c>
      <c r="S846" s="6">
        <v>460000</v>
      </c>
      <c r="T846" s="16">
        <v>450000</v>
      </c>
      <c r="U846" s="6">
        <v>450000</v>
      </c>
      <c r="V846" s="4"/>
      <c r="W846" s="4" t="s">
        <v>1102</v>
      </c>
      <c r="X846" s="4"/>
      <c r="Y846" s="7">
        <v>2</v>
      </c>
      <c r="Z846" s="8">
        <v>2458907</v>
      </c>
      <c r="AA846" s="7" t="s">
        <v>1104</v>
      </c>
      <c r="AB846" s="7"/>
      <c r="AC846" s="9">
        <v>2</v>
      </c>
      <c r="AD846" s="10">
        <v>1396652</v>
      </c>
      <c r="AE846" s="9" t="s">
        <v>1104</v>
      </c>
      <c r="AF846" s="9"/>
      <c r="AG846" s="11">
        <v>3</v>
      </c>
      <c r="AH846" s="11" t="s">
        <v>1105</v>
      </c>
      <c r="AI846" s="11"/>
      <c r="AJ846" s="11">
        <v>2</v>
      </c>
      <c r="AK846" s="11" t="s">
        <v>143</v>
      </c>
      <c r="AL846" s="12">
        <v>3</v>
      </c>
      <c r="AM846" s="12" t="s">
        <v>1105</v>
      </c>
      <c r="AN846" s="12"/>
      <c r="AO846" s="12">
        <v>2</v>
      </c>
      <c r="AP846" s="12" t="s">
        <v>143</v>
      </c>
      <c r="AQ846" s="4">
        <v>2</v>
      </c>
      <c r="AR846" s="4" t="s">
        <v>133</v>
      </c>
      <c r="AS846" s="4"/>
      <c r="AT846" s="13">
        <v>29.176853179931602</v>
      </c>
      <c r="AU846" s="13">
        <v>0.50308221578598</v>
      </c>
      <c r="AV846" s="13">
        <v>-0.69649797677993797</v>
      </c>
      <c r="AW846" s="13">
        <v>1.8400000333786</v>
      </c>
      <c r="AX846" s="4"/>
      <c r="AY846" s="13">
        <v>10.2662754058838</v>
      </c>
      <c r="AZ846" s="13">
        <v>0.70044195652008101</v>
      </c>
      <c r="BA846" s="13">
        <v>-2.2799999713897701</v>
      </c>
      <c r="BB846" s="13">
        <v>3.3566949367523198</v>
      </c>
      <c r="BC846" s="4"/>
      <c r="BD846" s="4">
        <v>14</v>
      </c>
      <c r="BE846" s="4" t="s">
        <v>134</v>
      </c>
      <c r="BF846" s="13">
        <v>2.53649806976318</v>
      </c>
      <c r="BG846" s="4">
        <v>523</v>
      </c>
      <c r="BH846" s="13">
        <v>1.1875</v>
      </c>
      <c r="BI846" s="13">
        <v>621.0625</v>
      </c>
      <c r="BJ846" s="4"/>
      <c r="BK846" s="14">
        <v>11</v>
      </c>
      <c r="BL846" s="14">
        <v>11</v>
      </c>
      <c r="BM846" s="14">
        <v>11</v>
      </c>
      <c r="BP846" s="15"/>
      <c r="BQ846" s="15"/>
      <c r="BR846" s="2" t="s">
        <v>457</v>
      </c>
      <c r="BS846" s="2" t="s">
        <v>172</v>
      </c>
      <c r="BT846" s="7" t="s">
        <v>147</v>
      </c>
      <c r="BU846" s="7"/>
      <c r="BV846" s="9" t="s">
        <v>357</v>
      </c>
      <c r="BW846" s="9" t="s">
        <v>212</v>
      </c>
    </row>
    <row r="847" spans="1:75" ht="14.25" customHeight="1" x14ac:dyDescent="0.25">
      <c r="A847" s="1">
        <v>457</v>
      </c>
      <c r="B847" s="1" t="s">
        <v>3580</v>
      </c>
      <c r="C847" s="1" t="s">
        <v>3581</v>
      </c>
      <c r="D847" s="1" t="s">
        <v>1093</v>
      </c>
      <c r="E847" s="1" t="s">
        <v>1094</v>
      </c>
      <c r="F847" s="1" t="s">
        <v>3582</v>
      </c>
      <c r="G847" s="1"/>
      <c r="H847" s="2">
        <v>1</v>
      </c>
      <c r="I847" s="2">
        <v>1</v>
      </c>
      <c r="J847" s="2">
        <v>1</v>
      </c>
      <c r="K847" s="2">
        <v>1</v>
      </c>
      <c r="L847" s="3" t="s">
        <v>127</v>
      </c>
      <c r="O847" s="4">
        <v>5</v>
      </c>
      <c r="P847" s="4" t="s">
        <v>3583</v>
      </c>
      <c r="Q847" s="4" t="s">
        <v>3584</v>
      </c>
      <c r="R847" s="5" t="s">
        <v>3585</v>
      </c>
      <c r="S847" s="6">
        <v>43000</v>
      </c>
      <c r="T847" s="16">
        <v>12000</v>
      </c>
      <c r="U847" s="6">
        <v>12000</v>
      </c>
      <c r="V847" s="4"/>
      <c r="W847" s="4" t="s">
        <v>3583</v>
      </c>
      <c r="X847" s="4"/>
      <c r="Y847" s="7">
        <v>2</v>
      </c>
      <c r="Z847" s="8">
        <v>1053323</v>
      </c>
      <c r="AA847" s="7" t="s">
        <v>1104</v>
      </c>
      <c r="AB847" s="7"/>
      <c r="AC847" s="9">
        <v>2</v>
      </c>
      <c r="AD847" s="10">
        <v>1122126</v>
      </c>
      <c r="AE847" s="9" t="s">
        <v>1104</v>
      </c>
      <c r="AF847" s="9"/>
      <c r="AG847" s="11">
        <v>4</v>
      </c>
      <c r="AH847" s="11" t="s">
        <v>1109</v>
      </c>
      <c r="AI847" s="11" t="s">
        <v>3586</v>
      </c>
      <c r="AJ847" s="11">
        <v>2</v>
      </c>
      <c r="AK847" s="11" t="s">
        <v>132</v>
      </c>
      <c r="AL847" s="12">
        <v>4</v>
      </c>
      <c r="AM847" s="12" t="s">
        <v>1105</v>
      </c>
      <c r="AN847" s="12"/>
      <c r="AO847" s="12">
        <v>2</v>
      </c>
      <c r="AP847" s="12" t="s">
        <v>132</v>
      </c>
      <c r="AQ847" s="4">
        <v>3</v>
      </c>
      <c r="AR847" s="4" t="s">
        <v>3587</v>
      </c>
      <c r="AS847" s="4" t="s">
        <v>3588</v>
      </c>
      <c r="AT847" s="13"/>
      <c r="AU847" s="13"/>
      <c r="AV847" s="13"/>
      <c r="AW847" s="13"/>
      <c r="AX847" s="4"/>
      <c r="AY847" s="13"/>
      <c r="AZ847" s="13"/>
      <c r="BA847" s="13"/>
      <c r="BB847" s="13"/>
      <c r="BC847" s="4"/>
      <c r="BD847" s="4"/>
      <c r="BE847" s="4"/>
      <c r="BF847" s="13"/>
      <c r="BG847" s="4"/>
      <c r="BH847" s="13"/>
      <c r="BI847" s="13"/>
      <c r="BJ847" s="4"/>
      <c r="BK847" s="14">
        <v>14</v>
      </c>
      <c r="BL847" s="14">
        <v>14</v>
      </c>
      <c r="BM847" s="14">
        <v>14</v>
      </c>
      <c r="BN847" s="3" t="s">
        <v>113</v>
      </c>
      <c r="BP847" s="15"/>
      <c r="BQ847" s="15"/>
      <c r="BR847" s="2" t="s">
        <v>247</v>
      </c>
      <c r="BS847" s="2" t="s">
        <v>247</v>
      </c>
      <c r="BT847" s="7" t="s">
        <v>357</v>
      </c>
      <c r="BU847" s="7"/>
      <c r="BV847" s="9" t="s">
        <v>357</v>
      </c>
      <c r="BW847" s="9"/>
    </row>
    <row r="848" spans="1:75" ht="14.25" customHeight="1" x14ac:dyDescent="0.25">
      <c r="A848" s="1">
        <v>458</v>
      </c>
      <c r="B848" s="1" t="s">
        <v>3589</v>
      </c>
      <c r="C848" s="1" t="s">
        <v>3590</v>
      </c>
      <c r="D848" s="1" t="s">
        <v>1093</v>
      </c>
      <c r="E848" s="1" t="s">
        <v>1094</v>
      </c>
      <c r="F848" s="1" t="s">
        <v>3582</v>
      </c>
      <c r="G848" s="1" t="s">
        <v>118</v>
      </c>
      <c r="H848" s="2">
        <v>1</v>
      </c>
      <c r="I848" s="2">
        <v>1</v>
      </c>
      <c r="J848" s="2">
        <v>1</v>
      </c>
      <c r="K848" s="2">
        <v>0</v>
      </c>
      <c r="L848" s="3" t="s">
        <v>80</v>
      </c>
      <c r="O848" s="4">
        <v>5</v>
      </c>
      <c r="P848" s="4" t="s">
        <v>1102</v>
      </c>
      <c r="Q848" s="4" t="s">
        <v>3591</v>
      </c>
      <c r="R848" s="16">
        <v>10000</v>
      </c>
      <c r="S848" s="6">
        <v>10000</v>
      </c>
      <c r="T848" s="16">
        <v>10000</v>
      </c>
      <c r="U848" s="6">
        <v>10000</v>
      </c>
      <c r="V848" s="4">
        <v>2012</v>
      </c>
      <c r="W848" s="4" t="s">
        <v>1102</v>
      </c>
      <c r="X848" s="4" t="s">
        <v>3592</v>
      </c>
      <c r="Y848" s="7">
        <v>4</v>
      </c>
      <c r="Z848" s="8">
        <v>258718</v>
      </c>
      <c r="AA848" s="7" t="s">
        <v>1104</v>
      </c>
      <c r="AB848" s="7"/>
      <c r="AC848" s="9">
        <v>4</v>
      </c>
      <c r="AD848" s="10">
        <v>271752</v>
      </c>
      <c r="AE848" s="9" t="s">
        <v>1104</v>
      </c>
      <c r="AF848" s="9"/>
      <c r="AG848" s="11">
        <v>3</v>
      </c>
      <c r="AH848" s="11" t="s">
        <v>1109</v>
      </c>
      <c r="AI848" s="11" t="s">
        <v>3593</v>
      </c>
      <c r="AJ848" s="11">
        <v>2</v>
      </c>
      <c r="AK848" s="11" t="s">
        <v>132</v>
      </c>
      <c r="AL848" s="12">
        <v>2</v>
      </c>
      <c r="AM848" s="12" t="s">
        <v>1105</v>
      </c>
      <c r="AN848" s="12"/>
      <c r="AO848" s="12">
        <v>1</v>
      </c>
      <c r="AP848" s="12" t="s">
        <v>132</v>
      </c>
      <c r="AQ848" s="4">
        <v>1</v>
      </c>
      <c r="AR848" s="4" t="s">
        <v>222</v>
      </c>
      <c r="AS848" s="4"/>
      <c r="AT848" s="13">
        <v>621.13220214843795</v>
      </c>
      <c r="AU848" s="13">
        <v>4.1143298149108896</v>
      </c>
      <c r="AV848" s="13">
        <v>3.4000000953674299</v>
      </c>
      <c r="AW848" s="13">
        <v>4.8132610321044904</v>
      </c>
      <c r="AX848" s="4">
        <v>1</v>
      </c>
      <c r="AY848" s="13">
        <v>217.948318481445</v>
      </c>
      <c r="AZ848" s="13">
        <v>4.7355847358703604</v>
      </c>
      <c r="BA848" s="13">
        <v>3.1854770183563201</v>
      </c>
      <c r="BB848" s="13">
        <v>6.8393864631652797</v>
      </c>
      <c r="BC848" s="4">
        <v>1</v>
      </c>
      <c r="BD848" s="4">
        <v>25</v>
      </c>
      <c r="BE848" s="4"/>
      <c r="BF848" s="13">
        <v>1.4132610559463501</v>
      </c>
      <c r="BG848" s="4"/>
      <c r="BH848" s="13"/>
      <c r="BI848" s="13"/>
      <c r="BJ848" s="4"/>
      <c r="BK848" s="14">
        <v>13</v>
      </c>
      <c r="BL848" s="14">
        <v>12</v>
      </c>
      <c r="BM848" s="14">
        <v>13</v>
      </c>
      <c r="BP848" s="15"/>
      <c r="BQ848" s="15"/>
      <c r="BR848" s="2" t="s">
        <v>162</v>
      </c>
      <c r="BS848" s="2" t="s">
        <v>162</v>
      </c>
      <c r="BT848" s="7" t="s">
        <v>164</v>
      </c>
      <c r="BU848" s="7"/>
      <c r="BV848" s="9" t="s">
        <v>164</v>
      </c>
      <c r="BW848" s="9"/>
    </row>
    <row r="849" spans="1:75" ht="14.25" customHeight="1" x14ac:dyDescent="0.25">
      <c r="A849" s="1">
        <v>460</v>
      </c>
      <c r="B849" s="1" t="s">
        <v>3594</v>
      </c>
      <c r="C849" s="1" t="s">
        <v>3595</v>
      </c>
      <c r="D849" s="1" t="s">
        <v>1093</v>
      </c>
      <c r="E849" s="1" t="s">
        <v>1094</v>
      </c>
      <c r="F849" s="1" t="s">
        <v>3596</v>
      </c>
      <c r="G849" s="1"/>
      <c r="H849" s="2">
        <v>0</v>
      </c>
      <c r="I849" s="2">
        <v>0</v>
      </c>
      <c r="J849" s="2">
        <v>0</v>
      </c>
      <c r="K849" s="2">
        <v>1</v>
      </c>
      <c r="L849" s="3" t="s">
        <v>127</v>
      </c>
      <c r="O849" s="4">
        <v>2</v>
      </c>
      <c r="P849" s="4" t="s">
        <v>81</v>
      </c>
      <c r="Q849" s="4"/>
      <c r="R849" s="5"/>
      <c r="S849" s="6"/>
      <c r="T849" s="17"/>
      <c r="U849" s="6"/>
      <c r="V849" s="4"/>
      <c r="W849" s="4"/>
      <c r="X849" s="4"/>
      <c r="Y849" s="7">
        <v>1</v>
      </c>
      <c r="Z849" s="8"/>
      <c r="AA849" s="7" t="s">
        <v>130</v>
      </c>
      <c r="AB849" s="7"/>
      <c r="AC849" s="9">
        <v>1</v>
      </c>
      <c r="AD849" s="10"/>
      <c r="AE849" s="9" t="s">
        <v>130</v>
      </c>
      <c r="AF849" s="9"/>
      <c r="AG849" s="11">
        <v>1</v>
      </c>
      <c r="AH849" s="11" t="s">
        <v>1100</v>
      </c>
      <c r="AI849" s="11" t="s">
        <v>3597</v>
      </c>
      <c r="AJ849" s="11"/>
      <c r="AK849" s="11"/>
      <c r="AL849" s="12">
        <v>1</v>
      </c>
      <c r="AM849" s="12" t="s">
        <v>83</v>
      </c>
      <c r="AN849" s="12"/>
      <c r="AO849" s="12"/>
      <c r="AP849" s="12"/>
      <c r="AQ849" s="4">
        <v>1</v>
      </c>
      <c r="AR849" s="4" t="s">
        <v>83</v>
      </c>
      <c r="AS849" s="4" t="s">
        <v>3597</v>
      </c>
      <c r="AT849" s="13"/>
      <c r="AU849" s="13"/>
      <c r="AV849" s="13"/>
      <c r="AW849" s="13"/>
      <c r="AX849" s="4"/>
      <c r="AY849" s="13"/>
      <c r="AZ849" s="13"/>
      <c r="BA849" s="13"/>
      <c r="BB849" s="13"/>
      <c r="BC849" s="4"/>
      <c r="BD849" s="4"/>
      <c r="BE849" s="4"/>
      <c r="BF849" s="13"/>
      <c r="BG849" s="4"/>
      <c r="BH849" s="13"/>
      <c r="BI849" s="13"/>
      <c r="BJ849" s="4"/>
      <c r="BK849" s="14">
        <v>5</v>
      </c>
      <c r="BL849" s="14">
        <v>5</v>
      </c>
      <c r="BM849" s="14">
        <v>5</v>
      </c>
      <c r="BP849" s="15"/>
      <c r="BQ849" s="15"/>
      <c r="BR849" s="2" t="s">
        <v>97</v>
      </c>
      <c r="BS849" s="2" t="s">
        <v>97</v>
      </c>
      <c r="BT849" s="7" t="s">
        <v>603</v>
      </c>
      <c r="BU849" s="7"/>
      <c r="BV849" s="9" t="s">
        <v>603</v>
      </c>
      <c r="BW849" s="9"/>
    </row>
    <row r="850" spans="1:75" ht="14.25" customHeight="1" x14ac:dyDescent="0.25">
      <c r="A850" s="1">
        <v>461</v>
      </c>
      <c r="B850" s="1" t="s">
        <v>3598</v>
      </c>
      <c r="C850" s="1" t="s">
        <v>3599</v>
      </c>
      <c r="D850" s="1" t="s">
        <v>1093</v>
      </c>
      <c r="E850" s="1" t="s">
        <v>1094</v>
      </c>
      <c r="F850" s="1" t="s">
        <v>3596</v>
      </c>
      <c r="G850" s="1" t="s">
        <v>118</v>
      </c>
      <c r="H850" s="2">
        <v>1</v>
      </c>
      <c r="I850" s="2">
        <v>1</v>
      </c>
      <c r="J850" s="2">
        <v>1</v>
      </c>
      <c r="K850" s="2">
        <v>1</v>
      </c>
      <c r="L850" s="3" t="s">
        <v>127</v>
      </c>
      <c r="O850" s="4">
        <v>3</v>
      </c>
      <c r="P850" s="4" t="s">
        <v>1100</v>
      </c>
      <c r="Q850" s="4" t="s">
        <v>3600</v>
      </c>
      <c r="R850" s="16">
        <v>840000</v>
      </c>
      <c r="S850" s="6">
        <v>840000</v>
      </c>
      <c r="T850" s="16">
        <v>360000</v>
      </c>
      <c r="U850" s="6">
        <v>360000</v>
      </c>
      <c r="V850" s="4"/>
      <c r="W850" s="4" t="s">
        <v>1102</v>
      </c>
      <c r="X850" s="4"/>
      <c r="Y850" s="7">
        <v>2</v>
      </c>
      <c r="Z850" s="8">
        <v>3953493</v>
      </c>
      <c r="AA850" s="7" t="s">
        <v>1104</v>
      </c>
      <c r="AB850" s="7"/>
      <c r="AC850" s="9">
        <v>1</v>
      </c>
      <c r="AD850" s="10">
        <v>9875098</v>
      </c>
      <c r="AE850" s="9" t="s">
        <v>1104</v>
      </c>
      <c r="AF850" s="9"/>
      <c r="AG850" s="11">
        <v>3</v>
      </c>
      <c r="AH850" s="11" t="s">
        <v>1109</v>
      </c>
      <c r="AI850" s="11" t="s">
        <v>3601</v>
      </c>
      <c r="AJ850" s="11">
        <v>4</v>
      </c>
      <c r="AK850" s="11" t="s">
        <v>143</v>
      </c>
      <c r="AL850" s="12">
        <v>3</v>
      </c>
      <c r="AM850" s="12" t="s">
        <v>1105</v>
      </c>
      <c r="AN850" s="12"/>
      <c r="AO850" s="12">
        <v>1</v>
      </c>
      <c r="AP850" s="12" t="s">
        <v>132</v>
      </c>
      <c r="AQ850" s="4">
        <v>5</v>
      </c>
      <c r="AR850" s="4" t="s">
        <v>1111</v>
      </c>
      <c r="AS850" s="4"/>
      <c r="AT850" s="13">
        <v>-57.389923095703097</v>
      </c>
      <c r="AU850" s="13">
        <v>-2.1786916255950901</v>
      </c>
      <c r="AV850" s="13">
        <v>-3.3349595069885298</v>
      </c>
      <c r="AW850" s="13">
        <v>-1.11040246486664</v>
      </c>
      <c r="AX850" s="4">
        <v>1</v>
      </c>
      <c r="AY850" s="13">
        <v>-48.098114013671903</v>
      </c>
      <c r="AZ850" s="13">
        <v>-2.8378574848175</v>
      </c>
      <c r="BA850" s="13">
        <v>-4.6793637275695801</v>
      </c>
      <c r="BB850" s="13">
        <v>-1.0925860404968299</v>
      </c>
      <c r="BC850" s="4">
        <v>1</v>
      </c>
      <c r="BD850" s="4">
        <v>23</v>
      </c>
      <c r="BE850" s="4"/>
      <c r="BF850" s="13">
        <v>2.2245569229125999</v>
      </c>
      <c r="BG850" s="4">
        <v>905.17499999999995</v>
      </c>
      <c r="BH850" s="13">
        <v>26.285417556762699</v>
      </c>
      <c r="BI850" s="13">
        <v>23792.90234375</v>
      </c>
      <c r="BJ850" s="4"/>
      <c r="BK850" s="14">
        <v>13</v>
      </c>
      <c r="BL850" s="14">
        <v>12</v>
      </c>
      <c r="BM850" s="14">
        <v>13</v>
      </c>
      <c r="BN850" s="3" t="s">
        <v>375</v>
      </c>
      <c r="BP850" s="15"/>
      <c r="BQ850" s="15"/>
      <c r="BR850" s="2" t="s">
        <v>161</v>
      </c>
      <c r="BS850" s="2" t="s">
        <v>247</v>
      </c>
      <c r="BT850" s="7" t="s">
        <v>173</v>
      </c>
      <c r="BU850" s="7" t="s">
        <v>174</v>
      </c>
      <c r="BV850" s="9" t="s">
        <v>357</v>
      </c>
      <c r="BW850" s="9"/>
    </row>
    <row r="851" spans="1:75" ht="14.25" customHeight="1" x14ac:dyDescent="0.25">
      <c r="A851" s="1">
        <v>463</v>
      </c>
      <c r="B851" s="1" t="s">
        <v>3602</v>
      </c>
      <c r="C851" s="1" t="s">
        <v>3603</v>
      </c>
      <c r="D851" s="1" t="s">
        <v>1093</v>
      </c>
      <c r="E851" s="1" t="s">
        <v>1094</v>
      </c>
      <c r="F851" s="1" t="s">
        <v>3596</v>
      </c>
      <c r="G851" s="1" t="s">
        <v>118</v>
      </c>
      <c r="H851" s="2">
        <v>1</v>
      </c>
      <c r="I851" s="2">
        <v>1</v>
      </c>
      <c r="J851" s="2">
        <v>1</v>
      </c>
      <c r="K851" s="2">
        <v>1</v>
      </c>
      <c r="L851" s="3" t="s">
        <v>127</v>
      </c>
      <c r="O851" s="4">
        <v>4</v>
      </c>
      <c r="P851" s="4" t="s">
        <v>1100</v>
      </c>
      <c r="Q851" s="4" t="s">
        <v>3604</v>
      </c>
      <c r="R851" s="5" t="s">
        <v>3605</v>
      </c>
      <c r="S851" s="6">
        <v>500000</v>
      </c>
      <c r="T851" s="16">
        <v>500000</v>
      </c>
      <c r="U851" s="6">
        <v>500000</v>
      </c>
      <c r="V851" s="4"/>
      <c r="W851" s="4" t="s">
        <v>1100</v>
      </c>
      <c r="X851" s="4"/>
      <c r="Y851" s="7">
        <v>2</v>
      </c>
      <c r="Z851" s="8">
        <v>3582706</v>
      </c>
      <c r="AA851" s="7" t="s">
        <v>1104</v>
      </c>
      <c r="AB851" s="7"/>
      <c r="AC851" s="9">
        <v>2</v>
      </c>
      <c r="AD851" s="10">
        <v>1444506</v>
      </c>
      <c r="AE851" s="9" t="s">
        <v>1104</v>
      </c>
      <c r="AF851" s="9"/>
      <c r="AG851" s="11">
        <v>3</v>
      </c>
      <c r="AH851" s="11" t="s">
        <v>1105</v>
      </c>
      <c r="AI851" s="11"/>
      <c r="AJ851" s="11">
        <v>4</v>
      </c>
      <c r="AK851" s="11" t="s">
        <v>332</v>
      </c>
      <c r="AL851" s="12">
        <v>4</v>
      </c>
      <c r="AM851" s="12" t="s">
        <v>1102</v>
      </c>
      <c r="AN851" s="12"/>
      <c r="AO851" s="12"/>
      <c r="AP851" s="12"/>
      <c r="AQ851" s="4">
        <v>5</v>
      </c>
      <c r="AR851" s="4" t="s">
        <v>1111</v>
      </c>
      <c r="AS851" s="4"/>
      <c r="AT851" s="13">
        <v>-73.314598083496094</v>
      </c>
      <c r="AU851" s="13">
        <v>-3.33757543563843</v>
      </c>
      <c r="AV851" s="13">
        <v>-4.7723441123962402</v>
      </c>
      <c r="AW851" s="13">
        <v>-2.0026667118072501</v>
      </c>
      <c r="AX851" s="4">
        <v>1</v>
      </c>
      <c r="AY851" s="13">
        <v>-47.900890350341797</v>
      </c>
      <c r="AZ851" s="13">
        <v>-4.9474515914917001</v>
      </c>
      <c r="BA851" s="13">
        <v>-9.0384759902954102</v>
      </c>
      <c r="BB851" s="13">
        <v>-1.35174524784088</v>
      </c>
      <c r="BC851" s="4">
        <v>1</v>
      </c>
      <c r="BD851" s="4">
        <v>13</v>
      </c>
      <c r="BE851" s="4"/>
      <c r="BF851" s="13">
        <v>2.7696776390075701</v>
      </c>
      <c r="BG851" s="4">
        <v>594.15</v>
      </c>
      <c r="BH851" s="13">
        <v>0.114314742386341</v>
      </c>
      <c r="BI851" s="13">
        <v>67.920104980468807</v>
      </c>
      <c r="BJ851" s="4">
        <v>14</v>
      </c>
      <c r="BK851" s="14">
        <v>14</v>
      </c>
      <c r="BL851" s="14">
        <v>15</v>
      </c>
      <c r="BM851" s="14">
        <v>15</v>
      </c>
      <c r="BN851" s="3" t="s">
        <v>375</v>
      </c>
      <c r="BP851" s="15"/>
      <c r="BQ851" s="15" t="s">
        <v>136</v>
      </c>
      <c r="BR851" s="2" t="s">
        <v>161</v>
      </c>
      <c r="BS851" s="2" t="s">
        <v>1136</v>
      </c>
      <c r="BT851" s="7" t="s">
        <v>174</v>
      </c>
      <c r="BU851" s="7"/>
      <c r="BV851" s="9" t="s">
        <v>1137</v>
      </c>
      <c r="BW851" s="9"/>
    </row>
    <row r="852" spans="1:75" ht="14.25" customHeight="1" x14ac:dyDescent="0.25">
      <c r="A852" s="1">
        <v>464</v>
      </c>
      <c r="B852" s="1" t="s">
        <v>3606</v>
      </c>
      <c r="C852" s="1" t="s">
        <v>3607</v>
      </c>
      <c r="D852" s="1" t="s">
        <v>1093</v>
      </c>
      <c r="E852" s="1" t="s">
        <v>1094</v>
      </c>
      <c r="F852" s="1" t="s">
        <v>3596</v>
      </c>
      <c r="G852" s="1" t="s">
        <v>118</v>
      </c>
      <c r="H852" s="2">
        <v>1</v>
      </c>
      <c r="I852" s="2">
        <v>1</v>
      </c>
      <c r="J852" s="2">
        <v>1</v>
      </c>
      <c r="K852" s="2">
        <v>1</v>
      </c>
      <c r="L852" s="3" t="s">
        <v>127</v>
      </c>
      <c r="O852" s="4">
        <v>4</v>
      </c>
      <c r="P852" s="4" t="s">
        <v>1102</v>
      </c>
      <c r="Q852" s="4"/>
      <c r="R852" s="16">
        <v>220000</v>
      </c>
      <c r="S852" s="6">
        <v>220000</v>
      </c>
      <c r="T852" s="16">
        <v>43000</v>
      </c>
      <c r="U852" s="6">
        <v>43000</v>
      </c>
      <c r="V852" s="4"/>
      <c r="W852" s="4" t="s">
        <v>1102</v>
      </c>
      <c r="X852" s="4"/>
      <c r="Y852" s="7">
        <v>2</v>
      </c>
      <c r="Z852" s="8">
        <v>2255190</v>
      </c>
      <c r="AA852" s="7" t="s">
        <v>1104</v>
      </c>
      <c r="AB852" s="7"/>
      <c r="AC852" s="9">
        <v>1</v>
      </c>
      <c r="AD852" s="10">
        <v>5187158</v>
      </c>
      <c r="AE852" s="9" t="s">
        <v>1104</v>
      </c>
      <c r="AF852" s="9"/>
      <c r="AG852" s="11">
        <v>4</v>
      </c>
      <c r="AH852" s="11" t="s">
        <v>1105</v>
      </c>
      <c r="AI852" s="11"/>
      <c r="AJ852" s="11">
        <v>5</v>
      </c>
      <c r="AK852" s="11" t="s">
        <v>132</v>
      </c>
      <c r="AL852" s="12">
        <v>3</v>
      </c>
      <c r="AM852" s="12" t="s">
        <v>1105</v>
      </c>
      <c r="AN852" s="12"/>
      <c r="AO852" s="12">
        <v>3</v>
      </c>
      <c r="AP852" s="12" t="s">
        <v>143</v>
      </c>
      <c r="AQ852" s="4">
        <v>2</v>
      </c>
      <c r="AR852" s="4" t="s">
        <v>1352</v>
      </c>
      <c r="AS852" s="4"/>
      <c r="AT852" s="13">
        <v>0</v>
      </c>
      <c r="AU852" s="13">
        <v>0</v>
      </c>
      <c r="AV852" s="13">
        <v>-1.16599798202515</v>
      </c>
      <c r="AW852" s="13">
        <v>0.24490399658680001</v>
      </c>
      <c r="AX852" s="4"/>
      <c r="AY852" s="13">
        <v>0</v>
      </c>
      <c r="AZ852" s="13">
        <v>0</v>
      </c>
      <c r="BA852" s="13">
        <v>-1.52660000324249</v>
      </c>
      <c r="BB852" s="13">
        <v>0.50610297918319702</v>
      </c>
      <c r="BC852" s="4"/>
      <c r="BD852" s="4">
        <v>12</v>
      </c>
      <c r="BE852" s="4" t="s">
        <v>210</v>
      </c>
      <c r="BF852" s="13">
        <v>1.4109020233154299</v>
      </c>
      <c r="BG852" s="4">
        <v>10</v>
      </c>
      <c r="BH852" s="13">
        <v>1.2890000343322801</v>
      </c>
      <c r="BI852" s="13">
        <v>12.8900003433228</v>
      </c>
      <c r="BJ852" s="4"/>
      <c r="BK852" s="14">
        <v>12</v>
      </c>
      <c r="BL852" s="14">
        <v>10</v>
      </c>
      <c r="BM852" s="14">
        <v>12</v>
      </c>
      <c r="BP852" s="15"/>
      <c r="BQ852" s="15"/>
      <c r="BR852" s="2" t="s">
        <v>161</v>
      </c>
      <c r="BS852" s="2" t="s">
        <v>3608</v>
      </c>
      <c r="BT852" s="7" t="s">
        <v>173</v>
      </c>
      <c r="BU852" s="7"/>
      <c r="BV852" s="9" t="s">
        <v>357</v>
      </c>
      <c r="BW852" s="9"/>
    </row>
    <row r="853" spans="1:75" ht="14.25" customHeight="1" x14ac:dyDescent="0.25">
      <c r="A853" s="1">
        <v>466</v>
      </c>
      <c r="B853" s="1" t="s">
        <v>3609</v>
      </c>
      <c r="C853" s="1" t="s">
        <v>3610</v>
      </c>
      <c r="D853" s="1" t="s">
        <v>1093</v>
      </c>
      <c r="E853" s="1" t="s">
        <v>1094</v>
      </c>
      <c r="F853" s="1" t="s">
        <v>3596</v>
      </c>
      <c r="G853" s="1"/>
      <c r="H853" s="2">
        <v>1</v>
      </c>
      <c r="I853" s="2">
        <v>1</v>
      </c>
      <c r="J853" s="2">
        <v>1</v>
      </c>
      <c r="K853" s="2">
        <v>1</v>
      </c>
      <c r="L853" s="3" t="s">
        <v>127</v>
      </c>
      <c r="O853" s="4">
        <v>3</v>
      </c>
      <c r="P853" s="4" t="s">
        <v>3611</v>
      </c>
      <c r="Q853" s="4" t="s">
        <v>169</v>
      </c>
      <c r="R853" s="16">
        <v>2300000</v>
      </c>
      <c r="S853" s="6">
        <v>2300000</v>
      </c>
      <c r="T853" s="16">
        <v>1800000</v>
      </c>
      <c r="U853" s="6">
        <v>1800000</v>
      </c>
      <c r="V853" s="4">
        <v>2012</v>
      </c>
      <c r="W853" s="4" t="s">
        <v>3612</v>
      </c>
      <c r="X853" s="4" t="s">
        <v>3613</v>
      </c>
      <c r="Y853" s="7">
        <v>1</v>
      </c>
      <c r="Z853" s="8">
        <v>14430677</v>
      </c>
      <c r="AA853" s="7" t="s">
        <v>1104</v>
      </c>
      <c r="AB853" s="7"/>
      <c r="AC853" s="9">
        <v>1</v>
      </c>
      <c r="AD853" s="10">
        <v>9132484</v>
      </c>
      <c r="AE853" s="9" t="s">
        <v>1104</v>
      </c>
      <c r="AF853" s="9"/>
      <c r="AG853" s="11">
        <v>2</v>
      </c>
      <c r="AH853" s="11" t="s">
        <v>1109</v>
      </c>
      <c r="AI853" s="11"/>
      <c r="AJ853" s="11">
        <v>2</v>
      </c>
      <c r="AK853" s="11" t="s">
        <v>132</v>
      </c>
      <c r="AL853" s="12">
        <v>2</v>
      </c>
      <c r="AM853" s="12" t="s">
        <v>1105</v>
      </c>
      <c r="AN853" s="12"/>
      <c r="AO853" s="12">
        <v>2</v>
      </c>
      <c r="AP853" s="12" t="s">
        <v>132</v>
      </c>
      <c r="AQ853" s="4">
        <v>4</v>
      </c>
      <c r="AR853" s="4" t="s">
        <v>133</v>
      </c>
      <c r="AS853" s="4"/>
      <c r="AT853" s="13">
        <v>-39.569904327392599</v>
      </c>
      <c r="AU853" s="13">
        <v>-0.98296803236007702</v>
      </c>
      <c r="AV853" s="13">
        <v>-1.1039969921112101</v>
      </c>
      <c r="AW853" s="13">
        <v>-0.79000002145767201</v>
      </c>
      <c r="AX853" s="4">
        <v>1</v>
      </c>
      <c r="AY853" s="13">
        <v>-20.878704071044901</v>
      </c>
      <c r="AZ853" s="13">
        <v>-1.93179547786713</v>
      </c>
      <c r="BA853" s="13">
        <v>-2.4300000667571999</v>
      </c>
      <c r="BB853" s="13">
        <v>-1.5488029718398999</v>
      </c>
      <c r="BC853" s="4">
        <v>1</v>
      </c>
      <c r="BD853" s="4">
        <v>12</v>
      </c>
      <c r="BE853" s="4" t="s">
        <v>134</v>
      </c>
      <c r="BF853" s="13">
        <v>0.31399700045585599</v>
      </c>
      <c r="BG853" s="4">
        <v>4381</v>
      </c>
      <c r="BH853" s="13">
        <v>4.6900000572204599</v>
      </c>
      <c r="BI853" s="13">
        <v>20542.41015625</v>
      </c>
      <c r="BJ853" s="4"/>
      <c r="BK853" s="14">
        <v>10</v>
      </c>
      <c r="BL853" s="14">
        <v>10</v>
      </c>
      <c r="BM853" s="14">
        <v>10</v>
      </c>
      <c r="BP853" s="15" t="s">
        <v>135</v>
      </c>
      <c r="BQ853" s="15" t="s">
        <v>146</v>
      </c>
      <c r="BR853" s="2" t="s">
        <v>172</v>
      </c>
      <c r="BS853" s="2" t="s">
        <v>247</v>
      </c>
      <c r="BT853" s="7" t="s">
        <v>458</v>
      </c>
      <c r="BU853" s="7" t="s">
        <v>137</v>
      </c>
      <c r="BV853" s="9" t="s">
        <v>458</v>
      </c>
      <c r="BW853" s="9" t="s">
        <v>137</v>
      </c>
    </row>
    <row r="854" spans="1:75" ht="14.25" customHeight="1" x14ac:dyDescent="0.25">
      <c r="A854" s="1">
        <v>467</v>
      </c>
      <c r="B854" s="1" t="s">
        <v>3614</v>
      </c>
      <c r="C854" s="1" t="s">
        <v>3615</v>
      </c>
      <c r="D854" s="1" t="s">
        <v>1093</v>
      </c>
      <c r="E854" s="1" t="s">
        <v>1094</v>
      </c>
      <c r="F854" s="1" t="s">
        <v>3596</v>
      </c>
      <c r="G854" s="1"/>
      <c r="H854" s="2">
        <v>1</v>
      </c>
      <c r="I854" s="2">
        <v>0</v>
      </c>
      <c r="J854" s="2">
        <v>0</v>
      </c>
      <c r="K854" s="2">
        <v>0</v>
      </c>
      <c r="L854" s="3" t="s">
        <v>127</v>
      </c>
      <c r="O854" s="4">
        <v>3</v>
      </c>
      <c r="P854" s="4" t="s">
        <v>1102</v>
      </c>
      <c r="Q854" s="4"/>
      <c r="R854" s="16">
        <v>910000</v>
      </c>
      <c r="S854" s="6">
        <v>910000</v>
      </c>
      <c r="T854" s="16">
        <v>2000</v>
      </c>
      <c r="U854" s="6">
        <v>2000</v>
      </c>
      <c r="V854" s="4"/>
      <c r="W854" s="4" t="s">
        <v>1102</v>
      </c>
      <c r="X854" s="4"/>
      <c r="Y854" s="7">
        <v>1</v>
      </c>
      <c r="Z854" s="8">
        <v>4694414</v>
      </c>
      <c r="AA854" s="7" t="s">
        <v>1104</v>
      </c>
      <c r="AB854" s="7"/>
      <c r="AC854" s="9">
        <v>1</v>
      </c>
      <c r="AD854" s="10">
        <v>23892621</v>
      </c>
      <c r="AE854" s="9" t="s">
        <v>1104</v>
      </c>
      <c r="AF854" s="9"/>
      <c r="AG854" s="11">
        <v>2</v>
      </c>
      <c r="AH854" s="11" t="s">
        <v>1102</v>
      </c>
      <c r="AI854" s="11"/>
      <c r="AJ854" s="11"/>
      <c r="AK854" s="11"/>
      <c r="AL854" s="12">
        <v>3</v>
      </c>
      <c r="AM854" s="12" t="s">
        <v>1102</v>
      </c>
      <c r="AN854" s="12"/>
      <c r="AO854" s="12"/>
      <c r="AP854" s="12"/>
      <c r="AQ854" s="4">
        <v>3</v>
      </c>
      <c r="AR854" s="4" t="s">
        <v>1102</v>
      </c>
      <c r="AS854" s="4"/>
      <c r="AT854" s="13"/>
      <c r="AU854" s="13"/>
      <c r="AV854" s="13"/>
      <c r="AW854" s="13"/>
      <c r="AX854" s="4"/>
      <c r="AY854" s="13"/>
      <c r="AZ854" s="13"/>
      <c r="BA854" s="13"/>
      <c r="BB854" s="13"/>
      <c r="BC854" s="4"/>
      <c r="BD854" s="4"/>
      <c r="BE854" s="4"/>
      <c r="BF854" s="13"/>
      <c r="BG854" s="4"/>
      <c r="BH854" s="13"/>
      <c r="BI854" s="13"/>
      <c r="BJ854" s="4"/>
      <c r="BK854" s="14">
        <v>9</v>
      </c>
      <c r="BL854" s="14">
        <v>10</v>
      </c>
      <c r="BM854" s="14">
        <v>10</v>
      </c>
      <c r="BP854" s="15"/>
      <c r="BQ854" s="15"/>
      <c r="BR854" s="2" t="s">
        <v>161</v>
      </c>
      <c r="BS854" s="2" t="s">
        <v>3608</v>
      </c>
      <c r="BT854" s="7" t="s">
        <v>173</v>
      </c>
      <c r="BU854" s="7"/>
      <c r="BV854" s="9" t="s">
        <v>357</v>
      </c>
      <c r="BW854" s="9"/>
    </row>
    <row r="855" spans="1:75" ht="14.25" customHeight="1" x14ac:dyDescent="0.25">
      <c r="A855" s="1">
        <v>468</v>
      </c>
      <c r="B855" s="1" t="s">
        <v>3616</v>
      </c>
      <c r="C855" s="1" t="s">
        <v>3617</v>
      </c>
      <c r="D855" s="1" t="s">
        <v>1093</v>
      </c>
      <c r="E855" s="1" t="s">
        <v>1094</v>
      </c>
      <c r="F855" s="1" t="s">
        <v>3596</v>
      </c>
      <c r="G855" s="1" t="s">
        <v>118</v>
      </c>
      <c r="H855" s="2">
        <v>1</v>
      </c>
      <c r="I855" s="2">
        <v>1</v>
      </c>
      <c r="J855" s="2">
        <v>1</v>
      </c>
      <c r="K855" s="2">
        <v>1</v>
      </c>
      <c r="L855" s="3" t="s">
        <v>127</v>
      </c>
      <c r="O855" s="4">
        <v>4</v>
      </c>
      <c r="P855" s="4" t="s">
        <v>1102</v>
      </c>
      <c r="Q855" s="4"/>
      <c r="R855" s="16">
        <v>200000</v>
      </c>
      <c r="S855" s="6">
        <v>200000</v>
      </c>
      <c r="T855" s="16">
        <v>200000</v>
      </c>
      <c r="U855" s="6">
        <v>200000</v>
      </c>
      <c r="V855" s="4"/>
      <c r="W855" s="4" t="s">
        <v>1102</v>
      </c>
      <c r="X855" s="4"/>
      <c r="Y855" s="7">
        <v>1</v>
      </c>
      <c r="Z855" s="8">
        <v>4918499</v>
      </c>
      <c r="AA855" s="7" t="s">
        <v>1104</v>
      </c>
      <c r="AB855" s="7"/>
      <c r="AC855" s="9">
        <v>2</v>
      </c>
      <c r="AD855" s="10">
        <v>2794885</v>
      </c>
      <c r="AE855" s="9" t="s">
        <v>1104</v>
      </c>
      <c r="AF855" s="9"/>
      <c r="AG855" s="11">
        <v>3</v>
      </c>
      <c r="AH855" s="11" t="s">
        <v>1105</v>
      </c>
      <c r="AI855" s="11"/>
      <c r="AJ855" s="11">
        <v>4</v>
      </c>
      <c r="AK855" s="11" t="s">
        <v>143</v>
      </c>
      <c r="AL855" s="12">
        <v>3</v>
      </c>
      <c r="AM855" s="12" t="s">
        <v>1105</v>
      </c>
      <c r="AN855" s="12"/>
      <c r="AO855" s="12">
        <v>2</v>
      </c>
      <c r="AP855" s="12" t="s">
        <v>132</v>
      </c>
      <c r="AQ855" s="4">
        <v>4</v>
      </c>
      <c r="AR855" s="4" t="s">
        <v>1111</v>
      </c>
      <c r="AS855" s="4"/>
      <c r="AT855" s="13">
        <v>-30.8262825012207</v>
      </c>
      <c r="AU855" s="13">
        <v>-0.96355843544006303</v>
      </c>
      <c r="AV855" s="13">
        <v>-2.08518362045288</v>
      </c>
      <c r="AW855" s="13">
        <v>-1.7625205218792E-2</v>
      </c>
      <c r="AX855" s="4">
        <v>1</v>
      </c>
      <c r="AY855" s="13">
        <v>-13.967048645019499</v>
      </c>
      <c r="AZ855" s="13">
        <v>-1.5694067478179901</v>
      </c>
      <c r="BA855" s="13">
        <v>-4.8209304809570304</v>
      </c>
      <c r="BB855" s="13">
        <v>0.57800543308258101</v>
      </c>
      <c r="BC855" s="4"/>
      <c r="BD855" s="4">
        <v>11</v>
      </c>
      <c r="BE855" s="4"/>
      <c r="BF855" s="13">
        <v>2.0675582885742201</v>
      </c>
      <c r="BG855" s="4">
        <v>1026.75</v>
      </c>
      <c r="BH855" s="13">
        <v>20.0214958190918</v>
      </c>
      <c r="BI855" s="13">
        <v>20557.072265625</v>
      </c>
      <c r="BJ855" s="4"/>
      <c r="BK855" s="14">
        <v>12</v>
      </c>
      <c r="BL855" s="14">
        <v>13</v>
      </c>
      <c r="BM855" s="14">
        <v>13</v>
      </c>
      <c r="BP855" s="15"/>
      <c r="BQ855" s="15"/>
      <c r="BR855" s="2" t="s">
        <v>161</v>
      </c>
      <c r="BS855" s="2" t="s">
        <v>247</v>
      </c>
      <c r="BT855" s="7" t="s">
        <v>357</v>
      </c>
      <c r="BU855" s="7" t="s">
        <v>174</v>
      </c>
      <c r="BV855" s="9" t="s">
        <v>357</v>
      </c>
      <c r="BW855" s="9"/>
    </row>
    <row r="856" spans="1:75" ht="14.25" customHeight="1" x14ac:dyDescent="0.25">
      <c r="A856" s="1">
        <v>469</v>
      </c>
      <c r="B856" s="1" t="s">
        <v>3618</v>
      </c>
      <c r="C856" s="1" t="s">
        <v>3619</v>
      </c>
      <c r="D856" s="1" t="s">
        <v>1093</v>
      </c>
      <c r="E856" s="1" t="s">
        <v>1094</v>
      </c>
      <c r="F856" s="1" t="s">
        <v>3596</v>
      </c>
      <c r="G856" s="1" t="s">
        <v>118</v>
      </c>
      <c r="H856" s="2">
        <v>1</v>
      </c>
      <c r="I856" s="2">
        <v>1</v>
      </c>
      <c r="J856" s="2">
        <v>1</v>
      </c>
      <c r="K856" s="2">
        <v>1</v>
      </c>
      <c r="L856" s="3" t="s">
        <v>127</v>
      </c>
      <c r="O856" s="4">
        <v>5</v>
      </c>
      <c r="P856" s="4" t="s">
        <v>1102</v>
      </c>
      <c r="Q856" s="4"/>
      <c r="R856" s="16">
        <v>8400</v>
      </c>
      <c r="S856" s="6">
        <v>8400</v>
      </c>
      <c r="T856" s="16">
        <v>8400</v>
      </c>
      <c r="U856" s="6">
        <v>8400</v>
      </c>
      <c r="V856" s="4"/>
      <c r="W856" s="4" t="s">
        <v>1102</v>
      </c>
      <c r="X856" s="4"/>
      <c r="Y856" s="7">
        <v>3</v>
      </c>
      <c r="Z856" s="8">
        <v>501304</v>
      </c>
      <c r="AA856" s="7" t="s">
        <v>1104</v>
      </c>
      <c r="AB856" s="7"/>
      <c r="AC856" s="9">
        <v>4</v>
      </c>
      <c r="AD856" s="10">
        <v>222206</v>
      </c>
      <c r="AE856" s="9" t="s">
        <v>1104</v>
      </c>
      <c r="AF856" s="9"/>
      <c r="AG856" s="11">
        <v>5</v>
      </c>
      <c r="AH856" s="11" t="s">
        <v>1105</v>
      </c>
      <c r="AI856" s="11"/>
      <c r="AJ856" s="11">
        <v>5</v>
      </c>
      <c r="AK856" s="11" t="s">
        <v>332</v>
      </c>
      <c r="AL856" s="12">
        <v>4</v>
      </c>
      <c r="AM856" s="12" t="s">
        <v>1105</v>
      </c>
      <c r="AN856" s="12"/>
      <c r="AO856" s="12">
        <v>3</v>
      </c>
      <c r="AP856" s="12" t="s">
        <v>143</v>
      </c>
      <c r="AQ856" s="4">
        <v>3</v>
      </c>
      <c r="AR856" s="4" t="s">
        <v>1111</v>
      </c>
      <c r="AS856" s="4"/>
      <c r="AT856" s="13">
        <v>-43.684646606445298</v>
      </c>
      <c r="AU856" s="13">
        <v>-1.4647529125213601</v>
      </c>
      <c r="AV856" s="13">
        <v>-3.0758068561553999</v>
      </c>
      <c r="AW856" s="13">
        <v>5.7946063578128801E-2</v>
      </c>
      <c r="AX856" s="4"/>
      <c r="AY856" s="13">
        <v>-28.312740325927699</v>
      </c>
      <c r="AZ856" s="13">
        <v>-2.9957973957061799</v>
      </c>
      <c r="BA856" s="13">
        <v>-7.0332741737365696</v>
      </c>
      <c r="BB856" s="13">
        <v>1.16773521900177</v>
      </c>
      <c r="BC856" s="4"/>
      <c r="BD856" s="4">
        <v>11</v>
      </c>
      <c r="BE856" s="4"/>
      <c r="BF856" s="13">
        <v>3.1337528228759801</v>
      </c>
      <c r="BG856" s="4">
        <v>273.39999999999998</v>
      </c>
      <c r="BH856" s="13">
        <v>1.1384139060974101</v>
      </c>
      <c r="BI856" s="13">
        <v>311.24237060546898</v>
      </c>
      <c r="BJ856" s="4"/>
      <c r="BK856" s="14">
        <v>16</v>
      </c>
      <c r="BL856" s="14">
        <v>16</v>
      </c>
      <c r="BM856" s="14">
        <v>16</v>
      </c>
      <c r="BN856" s="3" t="s">
        <v>375</v>
      </c>
      <c r="BO856" s="3" t="s">
        <v>120</v>
      </c>
      <c r="BP856" s="15"/>
      <c r="BQ856" s="15"/>
      <c r="BR856" s="2" t="s">
        <v>239</v>
      </c>
      <c r="BS856" s="2" t="s">
        <v>239</v>
      </c>
      <c r="BT856" s="7" t="s">
        <v>357</v>
      </c>
      <c r="BU856" s="7" t="s">
        <v>212</v>
      </c>
      <c r="BV856" s="9" t="s">
        <v>357</v>
      </c>
      <c r="BW856" s="9"/>
    </row>
    <row r="857" spans="1:75" ht="14.25" customHeight="1" x14ac:dyDescent="0.25">
      <c r="A857" s="1">
        <v>474</v>
      </c>
      <c r="B857" s="1" t="s">
        <v>3620</v>
      </c>
      <c r="C857" s="1" t="s">
        <v>3621</v>
      </c>
      <c r="D857" s="1" t="s">
        <v>1093</v>
      </c>
      <c r="E857" s="1" t="s">
        <v>1094</v>
      </c>
      <c r="F857" s="1" t="s">
        <v>3596</v>
      </c>
      <c r="G857" s="1"/>
      <c r="H857" s="2">
        <v>0</v>
      </c>
      <c r="I857" s="2">
        <v>1</v>
      </c>
      <c r="J857" s="2">
        <v>1</v>
      </c>
      <c r="K857" s="2">
        <v>1</v>
      </c>
      <c r="L857" s="3" t="s">
        <v>127</v>
      </c>
      <c r="O857" s="4">
        <v>5</v>
      </c>
      <c r="P857" s="4" t="s">
        <v>1102</v>
      </c>
      <c r="Q857" s="4"/>
      <c r="R857" s="16">
        <v>22000</v>
      </c>
      <c r="S857" s="6">
        <v>22000</v>
      </c>
      <c r="T857" s="16">
        <v>8600</v>
      </c>
      <c r="U857" s="6">
        <v>8600</v>
      </c>
      <c r="V857" s="4"/>
      <c r="W857" s="4" t="s">
        <v>1102</v>
      </c>
      <c r="X857" s="4"/>
      <c r="Y857" s="7">
        <v>3</v>
      </c>
      <c r="Z857" s="8">
        <v>854106</v>
      </c>
      <c r="AA857" s="7" t="s">
        <v>1104</v>
      </c>
      <c r="AB857" s="7"/>
      <c r="AC857" s="9">
        <v>3</v>
      </c>
      <c r="AD857" s="10">
        <v>833803</v>
      </c>
      <c r="AE857" s="9" t="s">
        <v>1104</v>
      </c>
      <c r="AF857" s="9"/>
      <c r="AG857" s="11">
        <v>4</v>
      </c>
      <c r="AH857" s="11" t="s">
        <v>1105</v>
      </c>
      <c r="AI857" s="11"/>
      <c r="AJ857" s="11">
        <v>2</v>
      </c>
      <c r="AK857" s="11" t="s">
        <v>132</v>
      </c>
      <c r="AL857" s="12">
        <v>4</v>
      </c>
      <c r="AM857" s="12" t="s">
        <v>1105</v>
      </c>
      <c r="AN857" s="12"/>
      <c r="AO857" s="12">
        <v>2</v>
      </c>
      <c r="AP857" s="12" t="s">
        <v>132</v>
      </c>
      <c r="AQ857" s="4">
        <v>5</v>
      </c>
      <c r="AR857" s="4" t="s">
        <v>1352</v>
      </c>
      <c r="AS857" s="4"/>
      <c r="AT857" s="13">
        <v>-74.441062927246094</v>
      </c>
      <c r="AU857" s="13">
        <v>-4.7553009986877397</v>
      </c>
      <c r="AV857" s="13">
        <v>-6.6689009666442898</v>
      </c>
      <c r="AW857" s="13">
        <v>-0.93849897384643599</v>
      </c>
      <c r="AX857" s="4">
        <v>1</v>
      </c>
      <c r="AY857" s="13">
        <v>-39.063571929931598</v>
      </c>
      <c r="AZ857" s="13">
        <v>-4.4306988716125497</v>
      </c>
      <c r="BA857" s="13">
        <v>-6.4867968559265101</v>
      </c>
      <c r="BB857" s="13">
        <v>-0.32899999618530301</v>
      </c>
      <c r="BC857" s="4">
        <v>1</v>
      </c>
      <c r="BD857" s="4">
        <v>11</v>
      </c>
      <c r="BE857" s="4" t="s">
        <v>210</v>
      </c>
      <c r="BF857" s="13">
        <v>5.7304019927978498</v>
      </c>
      <c r="BG857" s="4">
        <v>26</v>
      </c>
      <c r="BH857" s="13">
        <v>4.1999999433755902E-2</v>
      </c>
      <c r="BI857" s="13">
        <v>1.0920000076293901</v>
      </c>
      <c r="BJ857" s="4">
        <v>15</v>
      </c>
      <c r="BK857" s="14">
        <v>17</v>
      </c>
      <c r="BL857" s="14">
        <v>17</v>
      </c>
      <c r="BM857" s="14">
        <v>17</v>
      </c>
      <c r="BN857" s="3" t="s">
        <v>312</v>
      </c>
      <c r="BP857" s="15"/>
      <c r="BQ857" s="15"/>
      <c r="BR857" s="2" t="s">
        <v>247</v>
      </c>
      <c r="BS857" s="2" t="s">
        <v>247</v>
      </c>
      <c r="BT857" s="7" t="s">
        <v>357</v>
      </c>
      <c r="BU857" s="7"/>
      <c r="BV857" s="9" t="s">
        <v>357</v>
      </c>
      <c r="BW857" s="9"/>
    </row>
    <row r="858" spans="1:75" ht="14.25" customHeight="1" x14ac:dyDescent="0.25">
      <c r="A858" s="1">
        <v>475</v>
      </c>
      <c r="B858" s="1" t="s">
        <v>3622</v>
      </c>
      <c r="C858" s="1" t="s">
        <v>3623</v>
      </c>
      <c r="D858" s="1" t="s">
        <v>1093</v>
      </c>
      <c r="E858" s="1" t="s">
        <v>1094</v>
      </c>
      <c r="F858" s="1" t="s">
        <v>3596</v>
      </c>
      <c r="G858" s="1" t="s">
        <v>118</v>
      </c>
      <c r="H858" s="2">
        <v>0</v>
      </c>
      <c r="I858" s="2">
        <v>0</v>
      </c>
      <c r="J858" s="2">
        <v>1</v>
      </c>
      <c r="K858" s="2">
        <v>1</v>
      </c>
      <c r="L858" s="3" t="s">
        <v>80</v>
      </c>
      <c r="O858" s="4">
        <v>4</v>
      </c>
      <c r="P858" s="4" t="s">
        <v>81</v>
      </c>
      <c r="Q858" s="4" t="s">
        <v>3624</v>
      </c>
      <c r="R858" s="5"/>
      <c r="S858" s="6"/>
      <c r="T858" s="17"/>
      <c r="U858" s="6"/>
      <c r="V858" s="4"/>
      <c r="W858" s="4"/>
      <c r="X858" s="4"/>
      <c r="Y858" s="7">
        <v>1</v>
      </c>
      <c r="Z858" s="8">
        <v>15037381</v>
      </c>
      <c r="AA858" s="7" t="s">
        <v>130</v>
      </c>
      <c r="AB858" s="7"/>
      <c r="AC858" s="9">
        <v>1</v>
      </c>
      <c r="AD858" s="10">
        <v>15037381</v>
      </c>
      <c r="AE858" s="9" t="s">
        <v>130</v>
      </c>
      <c r="AF858" s="9"/>
      <c r="AG858" s="11">
        <v>3</v>
      </c>
      <c r="AH858" s="11" t="s">
        <v>83</v>
      </c>
      <c r="AI858" s="11"/>
      <c r="AJ858" s="11"/>
      <c r="AK858" s="11"/>
      <c r="AL858" s="12">
        <v>2</v>
      </c>
      <c r="AM858" s="12" t="s">
        <v>83</v>
      </c>
      <c r="AN858" s="12"/>
      <c r="AO858" s="12"/>
      <c r="AP858" s="12"/>
      <c r="AQ858" s="4">
        <v>3</v>
      </c>
      <c r="AR858" s="4" t="s">
        <v>83</v>
      </c>
      <c r="AS858" s="4"/>
      <c r="AT858" s="13"/>
      <c r="AU858" s="13"/>
      <c r="AV858" s="13"/>
      <c r="AW858" s="13"/>
      <c r="AX858" s="4"/>
      <c r="AY858" s="13"/>
      <c r="AZ858" s="13"/>
      <c r="BA858" s="13"/>
      <c r="BB858" s="13"/>
      <c r="BC858" s="4"/>
      <c r="BD858" s="4"/>
      <c r="BE858" s="4"/>
      <c r="BF858" s="13"/>
      <c r="BG858" s="4"/>
      <c r="BH858" s="13"/>
      <c r="BI858" s="13"/>
      <c r="BJ858" s="4"/>
      <c r="BK858" s="14">
        <v>11</v>
      </c>
      <c r="BL858" s="14">
        <v>10</v>
      </c>
      <c r="BM858" s="14">
        <v>11</v>
      </c>
      <c r="BP858" s="15"/>
      <c r="BQ858" s="15"/>
      <c r="BR858" s="2" t="s">
        <v>97</v>
      </c>
      <c r="BS858" s="2" t="s">
        <v>97</v>
      </c>
      <c r="BT858" s="7" t="s">
        <v>212</v>
      </c>
      <c r="BU858" s="7" t="s">
        <v>357</v>
      </c>
      <c r="BV858" s="9" t="s">
        <v>212</v>
      </c>
      <c r="BW858" s="9" t="s">
        <v>357</v>
      </c>
    </row>
    <row r="859" spans="1:75" ht="14.25" customHeight="1" x14ac:dyDescent="0.25">
      <c r="A859" s="1">
        <v>476</v>
      </c>
      <c r="B859" s="1" t="s">
        <v>3625</v>
      </c>
      <c r="C859" s="1" t="s">
        <v>3626</v>
      </c>
      <c r="D859" s="1" t="s">
        <v>1093</v>
      </c>
      <c r="E859" s="1" t="s">
        <v>1094</v>
      </c>
      <c r="F859" s="1" t="s">
        <v>3596</v>
      </c>
      <c r="G859" s="1" t="s">
        <v>118</v>
      </c>
      <c r="H859" s="2">
        <v>1</v>
      </c>
      <c r="I859" s="2">
        <v>1</v>
      </c>
      <c r="J859" s="2">
        <v>1</v>
      </c>
      <c r="K859" s="2">
        <v>0</v>
      </c>
      <c r="L859" s="3" t="s">
        <v>127</v>
      </c>
      <c r="O859" s="4">
        <v>5</v>
      </c>
      <c r="P859" s="4" t="s">
        <v>1102</v>
      </c>
      <c r="Q859" s="4"/>
      <c r="R859" s="16">
        <v>20000</v>
      </c>
      <c r="S859" s="6">
        <v>20000</v>
      </c>
      <c r="T859" s="16">
        <v>20000</v>
      </c>
      <c r="U859" s="6">
        <v>20000</v>
      </c>
      <c r="V859" s="4"/>
      <c r="W859" s="4" t="s">
        <v>1102</v>
      </c>
      <c r="X859" s="4"/>
      <c r="Y859" s="7">
        <v>3</v>
      </c>
      <c r="Z859" s="8">
        <v>759955</v>
      </c>
      <c r="AA859" s="7" t="s">
        <v>1104</v>
      </c>
      <c r="AB859" s="7"/>
      <c r="AC859" s="9">
        <v>3</v>
      </c>
      <c r="AD859" s="10">
        <v>881845</v>
      </c>
      <c r="AE859" s="9" t="s">
        <v>1104</v>
      </c>
      <c r="AF859" s="9"/>
      <c r="AG859" s="11">
        <v>4</v>
      </c>
      <c r="AH859" s="11" t="s">
        <v>518</v>
      </c>
      <c r="AI859" s="11" t="s">
        <v>519</v>
      </c>
      <c r="AJ859" s="11">
        <v>4</v>
      </c>
      <c r="AK859" s="11" t="s">
        <v>143</v>
      </c>
      <c r="AL859" s="12">
        <v>4</v>
      </c>
      <c r="AM859" s="12" t="s">
        <v>1105</v>
      </c>
      <c r="AN859" s="12"/>
      <c r="AO859" s="12">
        <v>2</v>
      </c>
      <c r="AP859" s="12" t="s">
        <v>132</v>
      </c>
      <c r="AQ859" s="4">
        <v>5</v>
      </c>
      <c r="AR859" s="4" t="s">
        <v>133</v>
      </c>
      <c r="AS859" s="4"/>
      <c r="AT859" s="13">
        <v>-78.192916870117202</v>
      </c>
      <c r="AU859" s="13">
        <v>-2.9383997917175302</v>
      </c>
      <c r="AV859" s="13">
        <v>-5.0700001716613796</v>
      </c>
      <c r="AW859" s="13">
        <v>-1.3674019575119001</v>
      </c>
      <c r="AX859" s="4">
        <v>1</v>
      </c>
      <c r="AY859" s="13">
        <v>-48.5519409179688</v>
      </c>
      <c r="AZ859" s="13">
        <v>-5.3900489807128897</v>
      </c>
      <c r="BA859" s="13">
        <v>-9.6735000610351598</v>
      </c>
      <c r="BB859" s="13">
        <v>-0.25200000405311601</v>
      </c>
      <c r="BC859" s="4">
        <v>1</v>
      </c>
      <c r="BD859" s="4">
        <v>12</v>
      </c>
      <c r="BE859" s="4" t="s">
        <v>134</v>
      </c>
      <c r="BF859" s="13">
        <v>3.70259809494019</v>
      </c>
      <c r="BG859" s="4">
        <v>80.5</v>
      </c>
      <c r="BH859" s="13">
        <v>0.29600000381469699</v>
      </c>
      <c r="BI859" s="13">
        <v>23.7590007781982</v>
      </c>
      <c r="BJ859" s="4">
        <v>13</v>
      </c>
      <c r="BK859" s="14">
        <v>17</v>
      </c>
      <c r="BL859" s="14">
        <v>17</v>
      </c>
      <c r="BM859" s="14">
        <v>17</v>
      </c>
      <c r="BN859" s="3" t="s">
        <v>312</v>
      </c>
      <c r="BO859" s="3" t="s">
        <v>120</v>
      </c>
      <c r="BP859" s="15"/>
      <c r="BQ859" s="15" t="s">
        <v>146</v>
      </c>
      <c r="BR859" s="2" t="s">
        <v>457</v>
      </c>
      <c r="BS859" s="2" t="s">
        <v>297</v>
      </c>
      <c r="BT859" s="7" t="s">
        <v>585</v>
      </c>
      <c r="BU859" s="7"/>
      <c r="BV859" s="9" t="s">
        <v>474</v>
      </c>
      <c r="BW859" s="9"/>
    </row>
    <row r="860" spans="1:75" ht="14.25" customHeight="1" x14ac:dyDescent="0.25">
      <c r="A860" s="1">
        <v>477</v>
      </c>
      <c r="B860" s="1" t="s">
        <v>3627</v>
      </c>
      <c r="C860" s="1" t="s">
        <v>3628</v>
      </c>
      <c r="D860" s="1" t="s">
        <v>1093</v>
      </c>
      <c r="E860" s="1" t="s">
        <v>1094</v>
      </c>
      <c r="F860" s="1" t="s">
        <v>3596</v>
      </c>
      <c r="G860" s="1"/>
      <c r="H860" s="2">
        <v>0</v>
      </c>
      <c r="I860" s="2">
        <v>1</v>
      </c>
      <c r="J860" s="2">
        <v>1</v>
      </c>
      <c r="K860" s="2">
        <v>1</v>
      </c>
      <c r="L860" s="3" t="s">
        <v>127</v>
      </c>
      <c r="O860" s="4">
        <v>5</v>
      </c>
      <c r="P860" s="4" t="s">
        <v>1102</v>
      </c>
      <c r="Q860" s="4"/>
      <c r="R860" s="16">
        <v>31000</v>
      </c>
      <c r="S860" s="6">
        <v>31000</v>
      </c>
      <c r="T860" s="16">
        <v>24000</v>
      </c>
      <c r="U860" s="6">
        <v>24000</v>
      </c>
      <c r="V860" s="4">
        <v>2012</v>
      </c>
      <c r="W860" s="4" t="s">
        <v>3629</v>
      </c>
      <c r="X860" s="4" t="s">
        <v>3630</v>
      </c>
      <c r="Y860" s="7">
        <v>2</v>
      </c>
      <c r="Z860" s="8">
        <v>1092482</v>
      </c>
      <c r="AA860" s="7" t="s">
        <v>1104</v>
      </c>
      <c r="AB860" s="7"/>
      <c r="AC860" s="9">
        <v>2</v>
      </c>
      <c r="AD860" s="10">
        <v>1080723</v>
      </c>
      <c r="AE860" s="9" t="s">
        <v>1104</v>
      </c>
      <c r="AF860" s="9"/>
      <c r="AG860" s="11">
        <v>4</v>
      </c>
      <c r="AH860" s="11" t="s">
        <v>1105</v>
      </c>
      <c r="AI860" s="11"/>
      <c r="AJ860" s="11">
        <v>1</v>
      </c>
      <c r="AK860" s="11" t="s">
        <v>132</v>
      </c>
      <c r="AL860" s="12">
        <v>4</v>
      </c>
      <c r="AM860" s="12" t="s">
        <v>1105</v>
      </c>
      <c r="AN860" s="12"/>
      <c r="AO860" s="12">
        <v>1</v>
      </c>
      <c r="AP860" s="12" t="s">
        <v>132</v>
      </c>
      <c r="AQ860" s="4">
        <v>3</v>
      </c>
      <c r="AR860" s="4" t="s">
        <v>387</v>
      </c>
      <c r="AS860" s="4" t="s">
        <v>3631</v>
      </c>
      <c r="AT860" s="13"/>
      <c r="AU860" s="13"/>
      <c r="AV860" s="13"/>
      <c r="AW860" s="13"/>
      <c r="AX860" s="4"/>
      <c r="AY860" s="13"/>
      <c r="AZ860" s="13"/>
      <c r="BA860" s="13"/>
      <c r="BB860" s="13"/>
      <c r="BC860" s="4"/>
      <c r="BD860" s="4"/>
      <c r="BE860" s="4"/>
      <c r="BF860" s="13"/>
      <c r="BG860" s="4"/>
      <c r="BH860" s="13"/>
      <c r="BI860" s="13"/>
      <c r="BJ860" s="4"/>
      <c r="BK860" s="14">
        <v>14</v>
      </c>
      <c r="BL860" s="14">
        <v>14</v>
      </c>
      <c r="BM860" s="14">
        <v>14</v>
      </c>
      <c r="BN860" s="3" t="s">
        <v>113</v>
      </c>
      <c r="BO860" s="3" t="s">
        <v>120</v>
      </c>
      <c r="BP860" s="15"/>
      <c r="BQ860" s="15"/>
      <c r="BR860" s="2" t="s">
        <v>247</v>
      </c>
      <c r="BS860" s="2" t="s">
        <v>247</v>
      </c>
      <c r="BT860" s="7" t="s">
        <v>357</v>
      </c>
      <c r="BU860" s="7" t="s">
        <v>212</v>
      </c>
      <c r="BV860" s="9" t="s">
        <v>357</v>
      </c>
      <c r="BW860" s="9"/>
    </row>
    <row r="861" spans="1:75" ht="14.25" customHeight="1" x14ac:dyDescent="0.25">
      <c r="A861" s="1">
        <v>478</v>
      </c>
      <c r="B861" s="1" t="s">
        <v>3632</v>
      </c>
      <c r="C861" s="1" t="s">
        <v>3633</v>
      </c>
      <c r="D861" s="1" t="s">
        <v>1093</v>
      </c>
      <c r="E861" s="1" t="s">
        <v>1094</v>
      </c>
      <c r="F861" s="1" t="s">
        <v>3634</v>
      </c>
      <c r="G861" s="1"/>
      <c r="H861" s="2">
        <v>0</v>
      </c>
      <c r="I861" s="2">
        <v>1</v>
      </c>
      <c r="J861" s="2">
        <v>1</v>
      </c>
      <c r="K861" s="2">
        <v>1</v>
      </c>
      <c r="L861" s="3" t="s">
        <v>80</v>
      </c>
      <c r="O861" s="4">
        <v>3</v>
      </c>
      <c r="P861" s="4" t="s">
        <v>81</v>
      </c>
      <c r="Q861" s="4"/>
      <c r="R861" s="5"/>
      <c r="S861" s="6"/>
      <c r="T861" s="17"/>
      <c r="U861" s="6"/>
      <c r="V861" s="4"/>
      <c r="W861" s="4"/>
      <c r="X861" s="4"/>
      <c r="Y861" s="7">
        <v>2</v>
      </c>
      <c r="Z861" s="8">
        <v>1051279</v>
      </c>
      <c r="AA861" s="7" t="s">
        <v>130</v>
      </c>
      <c r="AB861" s="7"/>
      <c r="AC861" s="9">
        <v>2</v>
      </c>
      <c r="AD861" s="10">
        <v>1051279</v>
      </c>
      <c r="AE861" s="9" t="s">
        <v>130</v>
      </c>
      <c r="AF861" s="9"/>
      <c r="AG861" s="11">
        <v>2</v>
      </c>
      <c r="AH861" s="11" t="s">
        <v>3635</v>
      </c>
      <c r="AI861" s="11"/>
      <c r="AJ861" s="11"/>
      <c r="AK861" s="11"/>
      <c r="AL861" s="12">
        <v>2</v>
      </c>
      <c r="AM861" s="12" t="s">
        <v>271</v>
      </c>
      <c r="AN861" s="12"/>
      <c r="AO861" s="12"/>
      <c r="AP861" s="12"/>
      <c r="AQ861" s="4">
        <v>3</v>
      </c>
      <c r="AR861" s="4" t="s">
        <v>3635</v>
      </c>
      <c r="AS861" s="4" t="s">
        <v>1637</v>
      </c>
      <c r="AT861" s="13"/>
      <c r="AU861" s="13"/>
      <c r="AV861" s="13"/>
      <c r="AW861" s="13"/>
      <c r="AX861" s="4"/>
      <c r="AY861" s="13"/>
      <c r="AZ861" s="13"/>
      <c r="BA861" s="13"/>
      <c r="BB861" s="13"/>
      <c r="BC861" s="4"/>
      <c r="BD861" s="4"/>
      <c r="BE861" s="4"/>
      <c r="BF861" s="13"/>
      <c r="BG861" s="4"/>
      <c r="BH861" s="13"/>
      <c r="BI861" s="13"/>
      <c r="BJ861" s="4"/>
      <c r="BK861" s="14">
        <v>10</v>
      </c>
      <c r="BL861" s="14">
        <v>10</v>
      </c>
      <c r="BM861" s="14">
        <v>10</v>
      </c>
      <c r="BP861" s="15"/>
      <c r="BQ861" s="15"/>
      <c r="BR861" s="2" t="s">
        <v>400</v>
      </c>
      <c r="BS861" s="2" t="s">
        <v>400</v>
      </c>
      <c r="BT861" s="7" t="s">
        <v>147</v>
      </c>
      <c r="BU861" s="7"/>
      <c r="BV861" s="9" t="s">
        <v>147</v>
      </c>
      <c r="BW861" s="9"/>
    </row>
    <row r="862" spans="1:75" ht="14.25" customHeight="1" x14ac:dyDescent="0.25">
      <c r="A862" s="1">
        <v>479</v>
      </c>
      <c r="B862" s="1" t="s">
        <v>3636</v>
      </c>
      <c r="C862" s="1" t="s">
        <v>3637</v>
      </c>
      <c r="D862" s="1" t="s">
        <v>1093</v>
      </c>
      <c r="E862" s="1" t="s">
        <v>1094</v>
      </c>
      <c r="F862" s="1" t="s">
        <v>3634</v>
      </c>
      <c r="G862" s="1"/>
      <c r="H862" s="2">
        <v>0</v>
      </c>
      <c r="I862" s="2">
        <v>0</v>
      </c>
      <c r="J862" s="2">
        <v>0</v>
      </c>
      <c r="K862" s="2">
        <v>1</v>
      </c>
      <c r="L862" s="3" t="s">
        <v>80</v>
      </c>
      <c r="O862" s="4">
        <v>2</v>
      </c>
      <c r="P862" s="4" t="s">
        <v>81</v>
      </c>
      <c r="Q862" s="4"/>
      <c r="R862" s="5"/>
      <c r="S862" s="6"/>
      <c r="T862" s="17"/>
      <c r="U862" s="6"/>
      <c r="V862" s="4"/>
      <c r="W862" s="4"/>
      <c r="X862" s="4"/>
      <c r="Y862" s="7">
        <v>1</v>
      </c>
      <c r="Z862" s="8">
        <v>13900000</v>
      </c>
      <c r="AA862" s="7" t="s">
        <v>812</v>
      </c>
      <c r="AB862" s="7"/>
      <c r="AC862" s="9">
        <v>1</v>
      </c>
      <c r="AD862" s="10">
        <v>13900000</v>
      </c>
      <c r="AE862" s="9" t="s">
        <v>812</v>
      </c>
      <c r="AF862" s="9"/>
      <c r="AG862" s="11">
        <v>2</v>
      </c>
      <c r="AH862" s="11" t="s">
        <v>83</v>
      </c>
      <c r="AI862" s="11"/>
      <c r="AJ862" s="11"/>
      <c r="AK862" s="11"/>
      <c r="AL862" s="12">
        <v>2</v>
      </c>
      <c r="AM862" s="12" t="s">
        <v>83</v>
      </c>
      <c r="AN862" s="12"/>
      <c r="AO862" s="12"/>
      <c r="AP862" s="12"/>
      <c r="AQ862" s="4">
        <v>2</v>
      </c>
      <c r="AR862" s="4" t="s">
        <v>83</v>
      </c>
      <c r="AS862" s="4"/>
      <c r="AT862" s="13"/>
      <c r="AU862" s="13"/>
      <c r="AV862" s="13"/>
      <c r="AW862" s="13"/>
      <c r="AX862" s="4"/>
      <c r="AY862" s="13"/>
      <c r="AZ862" s="13"/>
      <c r="BA862" s="13"/>
      <c r="BB862" s="13"/>
      <c r="BC862" s="4"/>
      <c r="BD862" s="4"/>
      <c r="BE862" s="4"/>
      <c r="BF862" s="13"/>
      <c r="BG862" s="4"/>
      <c r="BH862" s="13"/>
      <c r="BI862" s="13"/>
      <c r="BJ862" s="4"/>
      <c r="BK862" s="14">
        <v>7</v>
      </c>
      <c r="BL862" s="14">
        <v>7</v>
      </c>
      <c r="BM862" s="14">
        <v>7</v>
      </c>
      <c r="BP862" s="15"/>
      <c r="BQ862" s="15"/>
      <c r="BR862" s="2" t="s">
        <v>740</v>
      </c>
      <c r="BS862" s="2" t="s">
        <v>740</v>
      </c>
      <c r="BT862" s="7" t="s">
        <v>147</v>
      </c>
      <c r="BU862" s="7"/>
      <c r="BV862" s="9" t="s">
        <v>147</v>
      </c>
      <c r="BW862" s="9"/>
    </row>
    <row r="863" spans="1:75" ht="14.25" customHeight="1" x14ac:dyDescent="0.25">
      <c r="A863" s="1">
        <v>480</v>
      </c>
      <c r="B863" s="1" t="s">
        <v>3638</v>
      </c>
      <c r="C863" s="1" t="s">
        <v>3639</v>
      </c>
      <c r="D863" s="1" t="s">
        <v>1093</v>
      </c>
      <c r="E863" s="1" t="s">
        <v>1094</v>
      </c>
      <c r="F863" s="1" t="s">
        <v>1108</v>
      </c>
      <c r="G863" s="1" t="s">
        <v>118</v>
      </c>
      <c r="H863" s="2">
        <v>1</v>
      </c>
      <c r="I863" s="2">
        <v>1</v>
      </c>
      <c r="J863" s="2">
        <v>1</v>
      </c>
      <c r="K863" s="2">
        <v>1</v>
      </c>
      <c r="L863" s="3" t="s">
        <v>127</v>
      </c>
      <c r="O863" s="4">
        <v>3</v>
      </c>
      <c r="P863" s="4" t="s">
        <v>1102</v>
      </c>
      <c r="Q863" s="4" t="s">
        <v>3640</v>
      </c>
      <c r="R863" s="16">
        <v>750000</v>
      </c>
      <c r="S863" s="6">
        <v>750000</v>
      </c>
      <c r="T863" s="16">
        <v>750000</v>
      </c>
      <c r="U863" s="6">
        <v>750000</v>
      </c>
      <c r="V863" s="4"/>
      <c r="W863" s="4" t="s">
        <v>1102</v>
      </c>
      <c r="X863" s="4"/>
      <c r="Y863" s="7">
        <v>2</v>
      </c>
      <c r="Z863" s="8">
        <v>3281142</v>
      </c>
      <c r="AA863" s="7" t="s">
        <v>1104</v>
      </c>
      <c r="AB863" s="7"/>
      <c r="AC863" s="9">
        <v>2</v>
      </c>
      <c r="AD863" s="10">
        <v>3176717</v>
      </c>
      <c r="AE863" s="9" t="s">
        <v>1104</v>
      </c>
      <c r="AF863" s="9"/>
      <c r="AG863" s="11">
        <v>4</v>
      </c>
      <c r="AH863" s="11" t="s">
        <v>1105</v>
      </c>
      <c r="AI863" s="11"/>
      <c r="AJ863" s="11">
        <v>2</v>
      </c>
      <c r="AK863" s="11" t="s">
        <v>132</v>
      </c>
      <c r="AL863" s="12">
        <v>4</v>
      </c>
      <c r="AM863" s="12" t="s">
        <v>1102</v>
      </c>
      <c r="AN863" s="12"/>
      <c r="AO863" s="12"/>
      <c r="AP863" s="12"/>
      <c r="AQ863" s="4">
        <v>2</v>
      </c>
      <c r="AR863" s="4" t="s">
        <v>133</v>
      </c>
      <c r="AS863" s="4"/>
      <c r="AT863" s="13">
        <v>16.680334091186499</v>
      </c>
      <c r="AU863" s="13">
        <v>0.30309328436851501</v>
      </c>
      <c r="AV863" s="13">
        <v>1.4200000092387199E-2</v>
      </c>
      <c r="AW863" s="13">
        <v>0.70599997043609597</v>
      </c>
      <c r="AX863" s="4">
        <v>1</v>
      </c>
      <c r="AY863" s="13">
        <v>-11.759488105773899</v>
      </c>
      <c r="AZ863" s="13">
        <v>-1.1301953792571999</v>
      </c>
      <c r="BA863" s="13">
        <v>-2.2599999904632599</v>
      </c>
      <c r="BB863" s="13">
        <v>-0.17439700663089799</v>
      </c>
      <c r="BC863" s="4">
        <v>1</v>
      </c>
      <c r="BD863" s="4">
        <v>11</v>
      </c>
      <c r="BE863" s="4" t="s">
        <v>134</v>
      </c>
      <c r="BF863" s="13">
        <v>0.69179999828338601</v>
      </c>
      <c r="BG863" s="4">
        <v>1090</v>
      </c>
      <c r="BH863" s="13">
        <v>2.5250000953674299</v>
      </c>
      <c r="BI863" s="13">
        <v>2748.51000976563</v>
      </c>
      <c r="BJ863" s="4"/>
      <c r="BK863" s="14">
        <v>11</v>
      </c>
      <c r="BL863" s="14">
        <v>11</v>
      </c>
      <c r="BM863" s="14">
        <v>11</v>
      </c>
      <c r="BP863" s="15"/>
      <c r="BQ863" s="15" t="s">
        <v>146</v>
      </c>
      <c r="BR863" s="2" t="s">
        <v>457</v>
      </c>
      <c r="BS863" s="2" t="s">
        <v>1136</v>
      </c>
      <c r="BT863" s="7" t="s">
        <v>585</v>
      </c>
      <c r="BU863" s="7"/>
      <c r="BV863" s="9" t="s">
        <v>1137</v>
      </c>
      <c r="BW863" s="9"/>
    </row>
    <row r="864" spans="1:75" ht="14.25" customHeight="1" x14ac:dyDescent="0.25">
      <c r="A864" s="1">
        <v>481</v>
      </c>
      <c r="B864" s="1" t="s">
        <v>3641</v>
      </c>
      <c r="C864" s="1" t="s">
        <v>3642</v>
      </c>
      <c r="D864" s="1" t="s">
        <v>1093</v>
      </c>
      <c r="E864" s="1" t="s">
        <v>1094</v>
      </c>
      <c r="F864" s="1" t="s">
        <v>1108</v>
      </c>
      <c r="G864" s="1" t="s">
        <v>118</v>
      </c>
      <c r="H864" s="2">
        <v>0</v>
      </c>
      <c r="I864" s="2">
        <v>1</v>
      </c>
      <c r="J864" s="2">
        <v>0</v>
      </c>
      <c r="K864" s="2">
        <v>0</v>
      </c>
      <c r="L864" s="3" t="s">
        <v>127</v>
      </c>
      <c r="O864" s="4">
        <v>5</v>
      </c>
      <c r="P864" s="4" t="s">
        <v>1102</v>
      </c>
      <c r="Q864" s="4"/>
      <c r="R864" s="16">
        <v>10000</v>
      </c>
      <c r="S864" s="6">
        <v>10000</v>
      </c>
      <c r="T864" s="16">
        <v>10000</v>
      </c>
      <c r="U864" s="6">
        <v>10000</v>
      </c>
      <c r="V864" s="4"/>
      <c r="W864" s="4" t="s">
        <v>1102</v>
      </c>
      <c r="X864" s="4"/>
      <c r="Y864" s="7">
        <v>5</v>
      </c>
      <c r="Z864" s="8">
        <v>45419</v>
      </c>
      <c r="AA864" s="7" t="s">
        <v>1104</v>
      </c>
      <c r="AB864" s="7"/>
      <c r="AC864" s="9">
        <v>5</v>
      </c>
      <c r="AD864" s="10">
        <v>57097</v>
      </c>
      <c r="AE864" s="9" t="s">
        <v>1104</v>
      </c>
      <c r="AF864" s="9"/>
      <c r="AG864" s="11">
        <v>3</v>
      </c>
      <c r="AH864" s="11" t="s">
        <v>1102</v>
      </c>
      <c r="AI864" s="11"/>
      <c r="AJ864" s="11"/>
      <c r="AK864" s="11"/>
      <c r="AL864" s="12">
        <v>4</v>
      </c>
      <c r="AM864" s="12" t="s">
        <v>1102</v>
      </c>
      <c r="AN864" s="12"/>
      <c r="AO864" s="12"/>
      <c r="AP864" s="12"/>
      <c r="AQ864" s="4">
        <v>3</v>
      </c>
      <c r="AR864" s="4" t="s">
        <v>1102</v>
      </c>
      <c r="AS864" s="4"/>
      <c r="AT864" s="13"/>
      <c r="AU864" s="13"/>
      <c r="AV864" s="13"/>
      <c r="AW864" s="13"/>
      <c r="AX864" s="4"/>
      <c r="AY864" s="13"/>
      <c r="AZ864" s="13"/>
      <c r="BA864" s="13"/>
      <c r="BB864" s="13"/>
      <c r="BC864" s="4"/>
      <c r="BD864" s="4"/>
      <c r="BE864" s="4"/>
      <c r="BF864" s="13"/>
      <c r="BG864" s="4"/>
      <c r="BH864" s="13"/>
      <c r="BI864" s="13"/>
      <c r="BJ864" s="4"/>
      <c r="BK864" s="14">
        <v>16</v>
      </c>
      <c r="BL864" s="14">
        <v>17</v>
      </c>
      <c r="BM864" s="14">
        <v>17</v>
      </c>
      <c r="BN864" s="3" t="s">
        <v>312</v>
      </c>
      <c r="BO864" s="3" t="s">
        <v>120</v>
      </c>
      <c r="BP864" s="15"/>
      <c r="BQ864" s="15"/>
      <c r="BR864" s="2" t="s">
        <v>161</v>
      </c>
      <c r="BS864" s="2" t="s">
        <v>1353</v>
      </c>
      <c r="BT864" s="7" t="s">
        <v>174</v>
      </c>
      <c r="BU864" s="7"/>
      <c r="BV864" s="9" t="s">
        <v>357</v>
      </c>
      <c r="BW864" s="9"/>
    </row>
    <row r="865" spans="1:75" ht="14.25" customHeight="1" x14ac:dyDescent="0.25">
      <c r="A865" s="1">
        <v>482</v>
      </c>
      <c r="B865" s="1" t="s">
        <v>3643</v>
      </c>
      <c r="C865" s="1" t="s">
        <v>3644</v>
      </c>
      <c r="D865" s="1" t="s">
        <v>1093</v>
      </c>
      <c r="E865" s="1" t="s">
        <v>1094</v>
      </c>
      <c r="F865" s="1" t="s">
        <v>1108</v>
      </c>
      <c r="G865" s="1"/>
      <c r="H865" s="2">
        <v>1</v>
      </c>
      <c r="I865" s="2">
        <v>1</v>
      </c>
      <c r="J865" s="2">
        <v>1</v>
      </c>
      <c r="K865" s="2">
        <v>1</v>
      </c>
      <c r="L865" s="3" t="s">
        <v>127</v>
      </c>
      <c r="O865" s="4">
        <v>3</v>
      </c>
      <c r="P865" s="4" t="s">
        <v>1100</v>
      </c>
      <c r="Q865" s="4" t="s">
        <v>3645</v>
      </c>
      <c r="R865" s="16">
        <v>1800000</v>
      </c>
      <c r="S865" s="6">
        <v>1800000</v>
      </c>
      <c r="T865" s="16">
        <v>80000</v>
      </c>
      <c r="U865" s="6">
        <v>80000</v>
      </c>
      <c r="V865" s="4"/>
      <c r="W865" s="4" t="s">
        <v>1102</v>
      </c>
      <c r="X865" s="4"/>
      <c r="Y865" s="7">
        <v>1</v>
      </c>
      <c r="Z865" s="8">
        <v>4775971</v>
      </c>
      <c r="AA865" s="7" t="s">
        <v>1104</v>
      </c>
      <c r="AB865" s="7"/>
      <c r="AC865" s="9">
        <v>1</v>
      </c>
      <c r="AD865" s="10">
        <v>10561474</v>
      </c>
      <c r="AE865" s="9" t="s">
        <v>1104</v>
      </c>
      <c r="AF865" s="9"/>
      <c r="AG865" s="11">
        <v>4</v>
      </c>
      <c r="AH865" s="11" t="s">
        <v>1105</v>
      </c>
      <c r="AI865" s="11"/>
      <c r="AJ865" s="11">
        <v>5</v>
      </c>
      <c r="AK865" s="11" t="s">
        <v>332</v>
      </c>
      <c r="AL865" s="12">
        <v>4</v>
      </c>
      <c r="AM865" s="12" t="s">
        <v>1105</v>
      </c>
      <c r="AN865" s="12"/>
      <c r="AO865" s="12">
        <v>1</v>
      </c>
      <c r="AP865" s="12" t="s">
        <v>132</v>
      </c>
      <c r="AQ865" s="4">
        <v>5</v>
      </c>
      <c r="AR865" s="4" t="s">
        <v>1111</v>
      </c>
      <c r="AS865" s="4"/>
      <c r="AT865" s="13">
        <v>-78.621871948242202</v>
      </c>
      <c r="AU865" s="13">
        <v>-3.8742470741271999</v>
      </c>
      <c r="AV865" s="13">
        <v>-5.5219659805297896</v>
      </c>
      <c r="AW865" s="13">
        <v>-2.20396780967712</v>
      </c>
      <c r="AX865" s="4">
        <v>1</v>
      </c>
      <c r="AY865" s="13">
        <v>-70.492424011230497</v>
      </c>
      <c r="AZ865" s="13">
        <v>-5.8951478004455602</v>
      </c>
      <c r="BA865" s="13">
        <v>-9.0387001037597692</v>
      </c>
      <c r="BB865" s="13">
        <v>-2.6752691268920898</v>
      </c>
      <c r="BC865" s="4">
        <v>1</v>
      </c>
      <c r="BD865" s="4">
        <v>20</v>
      </c>
      <c r="BE865" s="4"/>
      <c r="BF865" s="13">
        <v>3.3179981708526598</v>
      </c>
      <c r="BG865" s="4">
        <v>487.67500000000001</v>
      </c>
      <c r="BH865" s="13">
        <v>0.70245730876922596</v>
      </c>
      <c r="BI865" s="13">
        <v>342.57089233398398</v>
      </c>
      <c r="BJ865" s="4">
        <v>11</v>
      </c>
      <c r="BK865" s="14">
        <v>13</v>
      </c>
      <c r="BL865" s="14">
        <v>13</v>
      </c>
      <c r="BM865" s="14">
        <v>13</v>
      </c>
      <c r="BN865" s="3" t="s">
        <v>375</v>
      </c>
      <c r="BP865" s="15"/>
      <c r="BQ865" s="15"/>
      <c r="BR865" s="2" t="s">
        <v>161</v>
      </c>
      <c r="BS865" s="2" t="s">
        <v>247</v>
      </c>
      <c r="BT865" s="7" t="s">
        <v>174</v>
      </c>
      <c r="BU865" s="7" t="s">
        <v>303</v>
      </c>
      <c r="BV865" s="9" t="s">
        <v>357</v>
      </c>
      <c r="BW865" s="9" t="s">
        <v>148</v>
      </c>
    </row>
    <row r="866" spans="1:75" ht="14.25" customHeight="1" x14ac:dyDescent="0.25">
      <c r="A866" s="1">
        <v>484</v>
      </c>
      <c r="B866" s="1" t="s">
        <v>3646</v>
      </c>
      <c r="C866" s="1" t="s">
        <v>3647</v>
      </c>
      <c r="D866" s="1" t="s">
        <v>1093</v>
      </c>
      <c r="E866" s="1" t="s">
        <v>1094</v>
      </c>
      <c r="F866" s="1" t="s">
        <v>1108</v>
      </c>
      <c r="G866" s="1" t="s">
        <v>118</v>
      </c>
      <c r="H866" s="2">
        <v>1</v>
      </c>
      <c r="I866" s="2">
        <v>1</v>
      </c>
      <c r="J866" s="2">
        <v>1</v>
      </c>
      <c r="K866" s="2">
        <v>1</v>
      </c>
      <c r="L866" s="3" t="s">
        <v>127</v>
      </c>
      <c r="O866" s="4">
        <v>5</v>
      </c>
      <c r="P866" s="4" t="s">
        <v>1102</v>
      </c>
      <c r="Q866" s="4"/>
      <c r="R866" s="5" t="s">
        <v>682</v>
      </c>
      <c r="S866" s="6">
        <v>50</v>
      </c>
      <c r="T866" s="17" t="s">
        <v>682</v>
      </c>
      <c r="U866" s="6">
        <v>50</v>
      </c>
      <c r="V866" s="4"/>
      <c r="W866" s="4" t="s">
        <v>1102</v>
      </c>
      <c r="X866" s="4"/>
      <c r="Y866" s="7">
        <v>3</v>
      </c>
      <c r="Z866" s="8">
        <v>489795</v>
      </c>
      <c r="AA866" s="7" t="s">
        <v>1104</v>
      </c>
      <c r="AB866" s="7"/>
      <c r="AC866" s="9">
        <v>2</v>
      </c>
      <c r="AD866" s="10">
        <v>1747849</v>
      </c>
      <c r="AE866" s="9" t="s">
        <v>1104</v>
      </c>
      <c r="AF866" s="9"/>
      <c r="AG866" s="11">
        <v>5</v>
      </c>
      <c r="AH866" s="11" t="s">
        <v>1102</v>
      </c>
      <c r="AI866" s="11"/>
      <c r="AJ866" s="11"/>
      <c r="AK866" s="11"/>
      <c r="AL866" s="12">
        <v>5</v>
      </c>
      <c r="AM866" s="12" t="s">
        <v>1102</v>
      </c>
      <c r="AN866" s="12"/>
      <c r="AO866" s="12"/>
      <c r="AP866" s="12"/>
      <c r="AQ866" s="4">
        <v>5</v>
      </c>
      <c r="AR866" s="4" t="s">
        <v>1102</v>
      </c>
      <c r="AS866" s="4"/>
      <c r="AT866" s="13"/>
      <c r="AU866" s="13"/>
      <c r="AV866" s="13"/>
      <c r="AW866" s="13"/>
      <c r="AX866" s="4"/>
      <c r="AY866" s="13"/>
      <c r="AZ866" s="13"/>
      <c r="BA866" s="13"/>
      <c r="BB866" s="13"/>
      <c r="BC866" s="4"/>
      <c r="BD866" s="4"/>
      <c r="BE866" s="4"/>
      <c r="BF866" s="13"/>
      <c r="BG866" s="4"/>
      <c r="BH866" s="13"/>
      <c r="BI866" s="13"/>
      <c r="BJ866" s="4"/>
      <c r="BK866" s="14">
        <v>18</v>
      </c>
      <c r="BL866" s="14">
        <v>17</v>
      </c>
      <c r="BM866" s="14">
        <v>18</v>
      </c>
      <c r="BN866" s="3" t="s">
        <v>312</v>
      </c>
      <c r="BO866" s="3" t="s">
        <v>3648</v>
      </c>
      <c r="BP866" s="15"/>
      <c r="BQ866" s="15"/>
      <c r="BR866" s="2" t="s">
        <v>161</v>
      </c>
      <c r="BS866" s="2" t="s">
        <v>1136</v>
      </c>
      <c r="BT866" s="7" t="s">
        <v>174</v>
      </c>
      <c r="BU866" s="7"/>
      <c r="BV866" s="9" t="s">
        <v>1137</v>
      </c>
      <c r="BW866" s="9"/>
    </row>
    <row r="867" spans="1:75" ht="14.25" customHeight="1" x14ac:dyDescent="0.25">
      <c r="A867" s="1">
        <v>485</v>
      </c>
      <c r="B867" s="1" t="s">
        <v>3649</v>
      </c>
      <c r="C867" s="1" t="s">
        <v>3650</v>
      </c>
      <c r="D867" s="1" t="s">
        <v>1093</v>
      </c>
      <c r="E867" s="1" t="s">
        <v>1094</v>
      </c>
      <c r="F867" s="1" t="s">
        <v>1108</v>
      </c>
      <c r="G867" s="1"/>
      <c r="H867" s="2">
        <v>1</v>
      </c>
      <c r="I867" s="2">
        <v>1</v>
      </c>
      <c r="J867" s="2">
        <v>1</v>
      </c>
      <c r="K867" s="2">
        <v>1</v>
      </c>
      <c r="L867" s="3" t="s">
        <v>127</v>
      </c>
      <c r="O867" s="4">
        <v>4</v>
      </c>
      <c r="P867" s="4" t="s">
        <v>1102</v>
      </c>
      <c r="Q867" s="4"/>
      <c r="R867" s="16">
        <v>140000</v>
      </c>
      <c r="S867" s="6">
        <v>140000</v>
      </c>
      <c r="T867" s="16">
        <v>140000</v>
      </c>
      <c r="U867" s="6">
        <v>140000</v>
      </c>
      <c r="V867" s="4"/>
      <c r="W867" s="4" t="s">
        <v>1102</v>
      </c>
      <c r="X867" s="4"/>
      <c r="Y867" s="7">
        <v>2</v>
      </c>
      <c r="Z867" s="8">
        <v>2114978</v>
      </c>
      <c r="AA867" s="7" t="s">
        <v>1104</v>
      </c>
      <c r="AB867" s="7"/>
      <c r="AC867" s="9">
        <v>2</v>
      </c>
      <c r="AD867" s="10">
        <v>1828856</v>
      </c>
      <c r="AE867" s="9" t="s">
        <v>1104</v>
      </c>
      <c r="AF867" s="9"/>
      <c r="AG867" s="11">
        <v>4</v>
      </c>
      <c r="AH867" s="11" t="s">
        <v>1109</v>
      </c>
      <c r="AI867" s="11" t="s">
        <v>3651</v>
      </c>
      <c r="AJ867" s="11">
        <v>4</v>
      </c>
      <c r="AK867" s="11" t="s">
        <v>143</v>
      </c>
      <c r="AL867" s="12">
        <v>4</v>
      </c>
      <c r="AM867" s="12" t="s">
        <v>1105</v>
      </c>
      <c r="AN867" s="12"/>
      <c r="AO867" s="12">
        <v>2</v>
      </c>
      <c r="AP867" s="12" t="s">
        <v>143</v>
      </c>
      <c r="AQ867" s="4">
        <v>2</v>
      </c>
      <c r="AR867" s="4" t="s">
        <v>133</v>
      </c>
      <c r="AS867" s="4"/>
      <c r="AT867" s="13">
        <v>-10.3061628341675</v>
      </c>
      <c r="AU867" s="13">
        <v>-0.212787866592407</v>
      </c>
      <c r="AV867" s="13">
        <v>-0.96399998664856001</v>
      </c>
      <c r="AW867" s="13">
        <v>0.34010401368141202</v>
      </c>
      <c r="AX867" s="4"/>
      <c r="AY867" s="13">
        <v>4.0431489944457999</v>
      </c>
      <c r="AZ867" s="13">
        <v>0.198588371276855</v>
      </c>
      <c r="BA867" s="13">
        <v>-0.60240000486373901</v>
      </c>
      <c r="BB867" s="13">
        <v>1.1499999761581401</v>
      </c>
      <c r="BC867" s="4"/>
      <c r="BD867" s="4">
        <v>20</v>
      </c>
      <c r="BE867" s="4" t="s">
        <v>134</v>
      </c>
      <c r="BF867" s="13">
        <v>1.30410397052765</v>
      </c>
      <c r="BG867" s="4">
        <v>504</v>
      </c>
      <c r="BH867" s="13">
        <v>1.87999999523163</v>
      </c>
      <c r="BI867" s="13">
        <v>947.95001220703102</v>
      </c>
      <c r="BJ867" s="4"/>
      <c r="BK867" s="14">
        <v>12</v>
      </c>
      <c r="BL867" s="14">
        <v>12</v>
      </c>
      <c r="BM867" s="14">
        <v>12</v>
      </c>
      <c r="BP867" s="15"/>
      <c r="BQ867" s="15" t="s">
        <v>146</v>
      </c>
      <c r="BR867" s="2" t="s">
        <v>457</v>
      </c>
      <c r="BS867" s="2" t="s">
        <v>172</v>
      </c>
      <c r="BT867" s="7" t="s">
        <v>585</v>
      </c>
      <c r="BU867" s="7"/>
      <c r="BV867" s="9" t="s">
        <v>357</v>
      </c>
      <c r="BW867" s="9" t="s">
        <v>212</v>
      </c>
    </row>
    <row r="868" spans="1:75" ht="14.25" customHeight="1" x14ac:dyDescent="0.25">
      <c r="A868" s="1">
        <v>489</v>
      </c>
      <c r="B868" s="1" t="s">
        <v>3652</v>
      </c>
      <c r="C868" s="1" t="s">
        <v>3653</v>
      </c>
      <c r="D868" s="1" t="s">
        <v>1093</v>
      </c>
      <c r="E868" s="1" t="s">
        <v>1094</v>
      </c>
      <c r="F868" s="1" t="s">
        <v>1108</v>
      </c>
      <c r="G868" s="1"/>
      <c r="H868" s="2">
        <v>0</v>
      </c>
      <c r="I868" s="2">
        <v>1</v>
      </c>
      <c r="J868" s="2">
        <v>0</v>
      </c>
      <c r="K868" s="2">
        <v>0</v>
      </c>
      <c r="L868" s="3" t="s">
        <v>127</v>
      </c>
      <c r="O868" s="4">
        <v>3</v>
      </c>
      <c r="P868" s="4" t="s">
        <v>1100</v>
      </c>
      <c r="Q868" s="4" t="s">
        <v>3654</v>
      </c>
      <c r="R868" s="16">
        <v>1100000</v>
      </c>
      <c r="S868" s="6">
        <v>1100000</v>
      </c>
      <c r="T868" s="16">
        <v>90000</v>
      </c>
      <c r="U868" s="6">
        <v>90000</v>
      </c>
      <c r="V868" s="4"/>
      <c r="W868" s="4" t="s">
        <v>1102</v>
      </c>
      <c r="X868" s="4"/>
      <c r="Y868" s="7">
        <v>2</v>
      </c>
      <c r="Z868" s="8">
        <v>1467309</v>
      </c>
      <c r="AA868" s="7" t="s">
        <v>1104</v>
      </c>
      <c r="AB868" s="7"/>
      <c r="AC868" s="9">
        <v>1</v>
      </c>
      <c r="AD868" s="10">
        <v>6904868</v>
      </c>
      <c r="AE868" s="9" t="s">
        <v>1104</v>
      </c>
      <c r="AF868" s="9"/>
      <c r="AG868" s="11">
        <v>4</v>
      </c>
      <c r="AH868" s="11" t="s">
        <v>1100</v>
      </c>
      <c r="AI868" s="11" t="s">
        <v>3655</v>
      </c>
      <c r="AJ868" s="11"/>
      <c r="AK868" s="11"/>
      <c r="AL868" s="12">
        <v>4</v>
      </c>
      <c r="AM868" s="12" t="s">
        <v>1102</v>
      </c>
      <c r="AN868" s="12"/>
      <c r="AO868" s="12"/>
      <c r="AP868" s="12"/>
      <c r="AQ868" s="4">
        <v>5</v>
      </c>
      <c r="AR868" s="4" t="s">
        <v>1100</v>
      </c>
      <c r="AS868" s="4" t="s">
        <v>3656</v>
      </c>
      <c r="AT868" s="13"/>
      <c r="AU868" s="13"/>
      <c r="AV868" s="13"/>
      <c r="AW868" s="13"/>
      <c r="AX868" s="4"/>
      <c r="AY868" s="13"/>
      <c r="AZ868" s="13"/>
      <c r="BA868" s="13"/>
      <c r="BB868" s="13"/>
      <c r="BC868" s="4"/>
      <c r="BD868" s="4"/>
      <c r="BE868" s="4"/>
      <c r="BF868" s="13"/>
      <c r="BG868" s="4"/>
      <c r="BH868" s="13"/>
      <c r="BI868" s="13"/>
      <c r="BJ868" s="4"/>
      <c r="BK868" s="14">
        <v>14</v>
      </c>
      <c r="BL868" s="14">
        <v>13</v>
      </c>
      <c r="BM868" s="14">
        <v>14</v>
      </c>
      <c r="BN868" s="3" t="s">
        <v>113</v>
      </c>
      <c r="BO868" s="3" t="s">
        <v>120</v>
      </c>
      <c r="BP868" s="15"/>
      <c r="BQ868" s="15"/>
      <c r="BR868" s="2" t="s">
        <v>161</v>
      </c>
      <c r="BS868" s="2" t="s">
        <v>3608</v>
      </c>
      <c r="BT868" s="7" t="s">
        <v>174</v>
      </c>
      <c r="BU868" s="7"/>
      <c r="BV868" s="9" t="s">
        <v>357</v>
      </c>
      <c r="BW868" s="9"/>
    </row>
    <row r="869" spans="1:75" ht="14.25" customHeight="1" x14ac:dyDescent="0.25">
      <c r="A869" s="1">
        <v>491</v>
      </c>
      <c r="B869" s="1" t="s">
        <v>3657</v>
      </c>
      <c r="C869" s="1" t="s">
        <v>3658</v>
      </c>
      <c r="D869" s="1" t="s">
        <v>1093</v>
      </c>
      <c r="E869" s="1" t="s">
        <v>1094</v>
      </c>
      <c r="F869" s="1" t="s">
        <v>1108</v>
      </c>
      <c r="G869" s="1" t="s">
        <v>118</v>
      </c>
      <c r="H869" s="2">
        <v>1</v>
      </c>
      <c r="I869" s="2">
        <v>1</v>
      </c>
      <c r="J869" s="2">
        <v>1</v>
      </c>
      <c r="K869" s="2">
        <v>1</v>
      </c>
      <c r="L869" s="3" t="s">
        <v>127</v>
      </c>
      <c r="O869" s="4">
        <v>4</v>
      </c>
      <c r="P869" s="4" t="s">
        <v>1102</v>
      </c>
      <c r="Q869" s="4"/>
      <c r="R869" s="16">
        <v>77000</v>
      </c>
      <c r="S869" s="6">
        <v>77000</v>
      </c>
      <c r="T869" s="16">
        <v>77000</v>
      </c>
      <c r="U869" s="6">
        <v>77000</v>
      </c>
      <c r="V869" s="4"/>
      <c r="W869" s="4" t="s">
        <v>1102</v>
      </c>
      <c r="X869" s="4"/>
      <c r="Y869" s="7">
        <v>4</v>
      </c>
      <c r="Z869" s="8">
        <v>260694</v>
      </c>
      <c r="AA869" s="7" t="s">
        <v>1104</v>
      </c>
      <c r="AB869" s="7"/>
      <c r="AC869" s="9">
        <v>2</v>
      </c>
      <c r="AD869" s="10">
        <v>1316266</v>
      </c>
      <c r="AE869" s="9" t="s">
        <v>1104</v>
      </c>
      <c r="AF869" s="9"/>
      <c r="AG869" s="11">
        <v>4</v>
      </c>
      <c r="AH869" s="11" t="s">
        <v>1109</v>
      </c>
      <c r="AI869" s="11" t="s">
        <v>3659</v>
      </c>
      <c r="AJ869" s="11">
        <v>5</v>
      </c>
      <c r="AK869" s="11" t="s">
        <v>132</v>
      </c>
      <c r="AL869" s="12">
        <v>4</v>
      </c>
      <c r="AM869" s="12" t="s">
        <v>1102</v>
      </c>
      <c r="AN869" s="12"/>
      <c r="AO869" s="12"/>
      <c r="AP869" s="12"/>
      <c r="AQ869" s="4">
        <v>5</v>
      </c>
      <c r="AR869" s="4" t="s">
        <v>1111</v>
      </c>
      <c r="AS869" s="4"/>
      <c r="AT869" s="13">
        <v>-93.803466796875</v>
      </c>
      <c r="AU869" s="13">
        <v>-6.8921327590942401</v>
      </c>
      <c r="AV869" s="13">
        <v>-8.8580245971679705</v>
      </c>
      <c r="AW869" s="13">
        <v>-5.0050859451293901</v>
      </c>
      <c r="AX869" s="4">
        <v>1</v>
      </c>
      <c r="AY869" s="13">
        <v>-87.417343139648395</v>
      </c>
      <c r="AZ869" s="13">
        <v>-10.366415977478001</v>
      </c>
      <c r="BA869" s="13">
        <v>-14.2476406097412</v>
      </c>
      <c r="BB869" s="13">
        <v>-6.5158209800720197</v>
      </c>
      <c r="BC869" s="4">
        <v>1</v>
      </c>
      <c r="BD869" s="4">
        <v>19</v>
      </c>
      <c r="BE869" s="4"/>
      <c r="BF869" s="13">
        <v>3.85293817520142</v>
      </c>
      <c r="BG869" s="4">
        <v>441.95</v>
      </c>
      <c r="BH869" s="13">
        <v>2.8174619674682599</v>
      </c>
      <c r="BI869" s="13">
        <v>1245.17736816406</v>
      </c>
      <c r="BJ869" s="4">
        <v>6</v>
      </c>
      <c r="BK869" s="14">
        <v>17</v>
      </c>
      <c r="BL869" s="14">
        <v>15</v>
      </c>
      <c r="BM869" s="14">
        <v>17</v>
      </c>
      <c r="BN869" s="3" t="s">
        <v>312</v>
      </c>
      <c r="BP869" s="15"/>
      <c r="BQ869" s="15"/>
      <c r="BR869" s="2" t="s">
        <v>161</v>
      </c>
      <c r="BS869" s="2" t="s">
        <v>1136</v>
      </c>
      <c r="BT869" s="7" t="s">
        <v>303</v>
      </c>
      <c r="BU869" s="7"/>
      <c r="BV869" s="9" t="s">
        <v>357</v>
      </c>
      <c r="BW869" s="9"/>
    </row>
    <row r="870" spans="1:75" ht="14.25" customHeight="1" x14ac:dyDescent="0.25">
      <c r="A870" s="1">
        <v>492</v>
      </c>
      <c r="B870" s="1" t="s">
        <v>3660</v>
      </c>
      <c r="C870" s="1" t="s">
        <v>3661</v>
      </c>
      <c r="D870" s="1" t="s">
        <v>1093</v>
      </c>
      <c r="E870" s="1" t="s">
        <v>1094</v>
      </c>
      <c r="F870" s="1" t="s">
        <v>1108</v>
      </c>
      <c r="G870" s="1"/>
      <c r="H870" s="2">
        <v>1</v>
      </c>
      <c r="I870" s="2">
        <v>1</v>
      </c>
      <c r="J870" s="2">
        <v>1</v>
      </c>
      <c r="K870" s="2">
        <v>1</v>
      </c>
      <c r="L870" s="3" t="s">
        <v>127</v>
      </c>
      <c r="O870" s="4">
        <v>4</v>
      </c>
      <c r="P870" s="4" t="s">
        <v>1102</v>
      </c>
      <c r="Q870" s="4"/>
      <c r="R870" s="16">
        <v>170000</v>
      </c>
      <c r="S870" s="6">
        <v>170000</v>
      </c>
      <c r="T870" s="16">
        <v>170000</v>
      </c>
      <c r="U870" s="6">
        <v>170000</v>
      </c>
      <c r="V870" s="4"/>
      <c r="W870" s="4" t="s">
        <v>1102</v>
      </c>
      <c r="X870" s="4"/>
      <c r="Y870" s="7">
        <v>2</v>
      </c>
      <c r="Z870" s="8">
        <v>1139565</v>
      </c>
      <c r="AA870" s="7" t="s">
        <v>1104</v>
      </c>
      <c r="AB870" s="7"/>
      <c r="AC870" s="9">
        <v>3</v>
      </c>
      <c r="AD870" s="10">
        <v>718444</v>
      </c>
      <c r="AE870" s="9" t="s">
        <v>1104</v>
      </c>
      <c r="AF870" s="9"/>
      <c r="AG870" s="11">
        <v>4</v>
      </c>
      <c r="AH870" s="11" t="s">
        <v>1109</v>
      </c>
      <c r="AI870" s="11" t="s">
        <v>3662</v>
      </c>
      <c r="AJ870" s="11">
        <v>3</v>
      </c>
      <c r="AK870" s="11" t="s">
        <v>332</v>
      </c>
      <c r="AL870" s="12">
        <v>4</v>
      </c>
      <c r="AM870" s="12" t="s">
        <v>1105</v>
      </c>
      <c r="AN870" s="12"/>
      <c r="AO870" s="12">
        <v>2</v>
      </c>
      <c r="AP870" s="12" t="s">
        <v>143</v>
      </c>
      <c r="AQ870" s="4">
        <v>4</v>
      </c>
      <c r="AR870" s="4" t="s">
        <v>133</v>
      </c>
      <c r="AS870" s="4"/>
      <c r="AT870" s="13">
        <v>-26.749994277954102</v>
      </c>
      <c r="AU870" s="13">
        <v>-0.60800218582153298</v>
      </c>
      <c r="AV870" s="13">
        <v>-1.04999995231628</v>
      </c>
      <c r="AW870" s="13">
        <v>-0.18299999833107</v>
      </c>
      <c r="AX870" s="4">
        <v>1</v>
      </c>
      <c r="AY870" s="13">
        <v>-25.9403896331787</v>
      </c>
      <c r="AZ870" s="13">
        <v>-1.3569517135620099</v>
      </c>
      <c r="BA870" s="13">
        <v>-2.0999999046325701</v>
      </c>
      <c r="BB870" s="13">
        <v>-0.65899997949600198</v>
      </c>
      <c r="BC870" s="4">
        <v>1</v>
      </c>
      <c r="BD870" s="4">
        <v>22</v>
      </c>
      <c r="BE870" s="4" t="s">
        <v>134</v>
      </c>
      <c r="BF870" s="13">
        <v>0.86699998378753695</v>
      </c>
      <c r="BG870" s="4">
        <v>387.5</v>
      </c>
      <c r="BH870" s="13">
        <v>1.91499996185303</v>
      </c>
      <c r="BI870" s="13">
        <v>741.97497558593795</v>
      </c>
      <c r="BJ870" s="4"/>
      <c r="BK870" s="14">
        <v>14</v>
      </c>
      <c r="BL870" s="14">
        <v>15</v>
      </c>
      <c r="BM870" s="14">
        <v>15</v>
      </c>
      <c r="BN870" s="3" t="s">
        <v>86</v>
      </c>
      <c r="BP870" s="15"/>
      <c r="BQ870" s="15"/>
      <c r="BR870" s="2" t="s">
        <v>457</v>
      </c>
      <c r="BS870" s="2" t="s">
        <v>247</v>
      </c>
      <c r="BT870" s="7" t="s">
        <v>248</v>
      </c>
      <c r="BU870" s="7" t="s">
        <v>173</v>
      </c>
      <c r="BV870" s="9" t="s">
        <v>357</v>
      </c>
      <c r="BW870" s="9"/>
    </row>
    <row r="871" spans="1:75" ht="14.25" customHeight="1" x14ac:dyDescent="0.25">
      <c r="A871" s="1">
        <v>501</v>
      </c>
      <c r="B871" s="1" t="s">
        <v>3663</v>
      </c>
      <c r="C871" s="1" t="s">
        <v>3664</v>
      </c>
      <c r="D871" s="1" t="s">
        <v>1093</v>
      </c>
      <c r="E871" s="1" t="s">
        <v>1094</v>
      </c>
      <c r="F871" s="1" t="s">
        <v>1108</v>
      </c>
      <c r="G871" s="1" t="s">
        <v>118</v>
      </c>
      <c r="H871" s="2">
        <v>1</v>
      </c>
      <c r="I871" s="2">
        <v>1</v>
      </c>
      <c r="J871" s="2">
        <v>1</v>
      </c>
      <c r="K871" s="2">
        <v>1</v>
      </c>
      <c r="L871" s="3" t="s">
        <v>127</v>
      </c>
      <c r="O871" s="4">
        <v>3</v>
      </c>
      <c r="P871" s="4" t="s">
        <v>1102</v>
      </c>
      <c r="Q871" s="4"/>
      <c r="R871" s="16">
        <v>1200000</v>
      </c>
      <c r="S871" s="6">
        <v>1200000</v>
      </c>
      <c r="T871" s="16">
        <v>1200000</v>
      </c>
      <c r="U871" s="6">
        <v>1200000</v>
      </c>
      <c r="V871" s="4"/>
      <c r="W871" s="4" t="s">
        <v>1102</v>
      </c>
      <c r="X871" s="4"/>
      <c r="Y871" s="7">
        <v>3</v>
      </c>
      <c r="Z871" s="8">
        <v>397577</v>
      </c>
      <c r="AA871" s="7" t="s">
        <v>1104</v>
      </c>
      <c r="AB871" s="7"/>
      <c r="AC871" s="9">
        <v>1</v>
      </c>
      <c r="AD871" s="10">
        <v>13470305</v>
      </c>
      <c r="AE871" s="9" t="s">
        <v>1104</v>
      </c>
      <c r="AF871" s="9"/>
      <c r="AG871" s="11">
        <v>4</v>
      </c>
      <c r="AH871" s="11" t="s">
        <v>1105</v>
      </c>
      <c r="AI871" s="11"/>
      <c r="AJ871" s="11">
        <v>5</v>
      </c>
      <c r="AK871" s="11" t="s">
        <v>132</v>
      </c>
      <c r="AL871" s="12">
        <v>3</v>
      </c>
      <c r="AM871" s="12" t="s">
        <v>1105</v>
      </c>
      <c r="AN871" s="12"/>
      <c r="AO871" s="12">
        <v>1</v>
      </c>
      <c r="AP871" s="12" t="s">
        <v>132</v>
      </c>
      <c r="AQ871" s="4">
        <v>5</v>
      </c>
      <c r="AR871" s="4" t="s">
        <v>1111</v>
      </c>
      <c r="AS871" s="4"/>
      <c r="AT871" s="13">
        <v>-75.660102844238295</v>
      </c>
      <c r="AU871" s="13">
        <v>-3.56915211677551</v>
      </c>
      <c r="AV871" s="13">
        <v>-5.3246326446533203</v>
      </c>
      <c r="AW871" s="13">
        <v>-1.88650739192963</v>
      </c>
      <c r="AX871" s="4">
        <v>1</v>
      </c>
      <c r="AY871" s="13">
        <v>-21.762702941894499</v>
      </c>
      <c r="AZ871" s="13">
        <v>-1.8504843711853001</v>
      </c>
      <c r="BA871" s="13">
        <v>-6.33709812164307</v>
      </c>
      <c r="BB871" s="13">
        <v>2.5270254611968999</v>
      </c>
      <c r="BC871" s="4"/>
      <c r="BD871" s="4">
        <v>13</v>
      </c>
      <c r="BE871" s="4"/>
      <c r="BF871" s="13">
        <v>3.4381251335143999</v>
      </c>
      <c r="BG871" s="4">
        <v>470.125</v>
      </c>
      <c r="BH871" s="13">
        <v>2.7668287754058798</v>
      </c>
      <c r="BI871" s="13">
        <v>1300.75537109375</v>
      </c>
      <c r="BJ871" s="4"/>
      <c r="BK871" s="14">
        <v>15</v>
      </c>
      <c r="BL871" s="14">
        <v>12</v>
      </c>
      <c r="BM871" s="14">
        <v>15</v>
      </c>
      <c r="BN871" s="3" t="s">
        <v>375</v>
      </c>
      <c r="BP871" s="15"/>
      <c r="BQ871" s="15" t="s">
        <v>136</v>
      </c>
      <c r="BR871" s="2" t="s">
        <v>161</v>
      </c>
      <c r="BS871" s="2" t="s">
        <v>247</v>
      </c>
      <c r="BT871" s="7" t="s">
        <v>173</v>
      </c>
      <c r="BU871" s="7" t="s">
        <v>174</v>
      </c>
      <c r="BV871" s="9" t="s">
        <v>212</v>
      </c>
      <c r="BW871" s="9" t="s">
        <v>248</v>
      </c>
    </row>
    <row r="872" spans="1:75" ht="14.25" customHeight="1" x14ac:dyDescent="0.25">
      <c r="A872" s="1">
        <v>507</v>
      </c>
      <c r="B872" s="1" t="s">
        <v>3665</v>
      </c>
      <c r="C872" s="1" t="s">
        <v>3666</v>
      </c>
      <c r="D872" s="1" t="s">
        <v>1093</v>
      </c>
      <c r="E872" s="1" t="s">
        <v>1094</v>
      </c>
      <c r="F872" s="1" t="s">
        <v>1108</v>
      </c>
      <c r="G872" s="1" t="s">
        <v>3667</v>
      </c>
      <c r="H872" s="2">
        <v>1</v>
      </c>
      <c r="I872" s="2">
        <v>1</v>
      </c>
      <c r="J872" s="2">
        <v>1</v>
      </c>
      <c r="K872" s="2">
        <v>1</v>
      </c>
      <c r="L872" s="3" t="s">
        <v>127</v>
      </c>
      <c r="O872" s="4">
        <v>3</v>
      </c>
      <c r="P872" s="4" t="s">
        <v>1102</v>
      </c>
      <c r="Q872" s="4"/>
      <c r="R872" s="16">
        <v>650000</v>
      </c>
      <c r="S872" s="6">
        <v>650000</v>
      </c>
      <c r="T872" s="16">
        <v>300000</v>
      </c>
      <c r="U872" s="6">
        <v>300000</v>
      </c>
      <c r="V872" s="4"/>
      <c r="W872" s="4" t="s">
        <v>1102</v>
      </c>
      <c r="X872" s="4"/>
      <c r="Y872" s="7">
        <v>2</v>
      </c>
      <c r="Z872" s="8">
        <v>1251734</v>
      </c>
      <c r="AA872" s="7" t="s">
        <v>1104</v>
      </c>
      <c r="AB872" s="7"/>
      <c r="AC872" s="9">
        <v>1</v>
      </c>
      <c r="AD872" s="10">
        <v>7530223</v>
      </c>
      <c r="AE872" s="9" t="s">
        <v>1104</v>
      </c>
      <c r="AF872" s="9"/>
      <c r="AG872" s="11">
        <v>3</v>
      </c>
      <c r="AH872" s="11" t="s">
        <v>1105</v>
      </c>
      <c r="AI872" s="11"/>
      <c r="AJ872" s="11">
        <v>5</v>
      </c>
      <c r="AK872" s="11" t="s">
        <v>332</v>
      </c>
      <c r="AL872" s="12">
        <v>3</v>
      </c>
      <c r="AM872" s="12" t="s">
        <v>1105</v>
      </c>
      <c r="AN872" s="12"/>
      <c r="AO872" s="12">
        <v>1</v>
      </c>
      <c r="AP872" s="12" t="s">
        <v>132</v>
      </c>
      <c r="AQ872" s="4">
        <v>5</v>
      </c>
      <c r="AR872" s="4" t="s">
        <v>1111</v>
      </c>
      <c r="AS872" s="4"/>
      <c r="AT872" s="13">
        <v>-43.018890380859403</v>
      </c>
      <c r="AU872" s="13">
        <v>-1.44524490833282</v>
      </c>
      <c r="AV872" s="13">
        <v>-2.7092201709747301</v>
      </c>
      <c r="AW872" s="13">
        <v>-0.16750705242156999</v>
      </c>
      <c r="AX872" s="4">
        <v>1</v>
      </c>
      <c r="AY872" s="13">
        <v>-48.136306762695298</v>
      </c>
      <c r="AZ872" s="13">
        <v>-3.2412014007568399</v>
      </c>
      <c r="BA872" s="13">
        <v>-5.8095817565918004</v>
      </c>
      <c r="BB872" s="13">
        <v>-0.63312548398971602</v>
      </c>
      <c r="BC872" s="4">
        <v>1</v>
      </c>
      <c r="BD872" s="4">
        <v>20</v>
      </c>
      <c r="BE872" s="4"/>
      <c r="BF872" s="13">
        <v>2.5417132377624498</v>
      </c>
      <c r="BG872" s="4">
        <v>802.95</v>
      </c>
      <c r="BH872" s="13">
        <v>643.75262451171898</v>
      </c>
      <c r="BI872" s="13">
        <v>516901.15625</v>
      </c>
      <c r="BJ872" s="4">
        <v>21</v>
      </c>
      <c r="BK872" s="14">
        <v>13</v>
      </c>
      <c r="BL872" s="14">
        <v>12</v>
      </c>
      <c r="BM872" s="14">
        <v>13</v>
      </c>
      <c r="BN872" s="3" t="s">
        <v>375</v>
      </c>
      <c r="BP872" s="15"/>
      <c r="BQ872" s="15"/>
      <c r="BR872" s="2" t="s">
        <v>161</v>
      </c>
      <c r="BS872" s="2" t="s">
        <v>247</v>
      </c>
      <c r="BT872" s="7" t="s">
        <v>174</v>
      </c>
      <c r="BU872" s="7" t="s">
        <v>173</v>
      </c>
      <c r="BV872" s="9" t="s">
        <v>357</v>
      </c>
      <c r="BW872" s="9"/>
    </row>
    <row r="873" spans="1:75" ht="14.25" customHeight="1" x14ac:dyDescent="0.25">
      <c r="A873" s="1">
        <v>508</v>
      </c>
      <c r="B873" s="1" t="s">
        <v>3668</v>
      </c>
      <c r="C873" s="1" t="s">
        <v>3669</v>
      </c>
      <c r="D873" s="1" t="s">
        <v>1093</v>
      </c>
      <c r="E873" s="1" t="s">
        <v>1094</v>
      </c>
      <c r="F873" s="1" t="s">
        <v>1108</v>
      </c>
      <c r="G873" s="1"/>
      <c r="H873" s="2">
        <v>1</v>
      </c>
      <c r="I873" s="2">
        <v>1</v>
      </c>
      <c r="J873" s="2">
        <v>1</v>
      </c>
      <c r="K873" s="2">
        <v>1</v>
      </c>
      <c r="L873" s="3" t="s">
        <v>127</v>
      </c>
      <c r="O873" s="4">
        <v>2</v>
      </c>
      <c r="P873" s="4" t="s">
        <v>1102</v>
      </c>
      <c r="Q873" s="4"/>
      <c r="R873" s="16">
        <v>5500000</v>
      </c>
      <c r="S873" s="6">
        <v>5500000</v>
      </c>
      <c r="T873" s="16">
        <v>1500000</v>
      </c>
      <c r="U873" s="6">
        <v>1500000</v>
      </c>
      <c r="V873" s="4"/>
      <c r="W873" s="4" t="s">
        <v>1102</v>
      </c>
      <c r="X873" s="4"/>
      <c r="Y873" s="7">
        <v>1</v>
      </c>
      <c r="Z873" s="8">
        <v>4932220</v>
      </c>
      <c r="AA873" s="7" t="s">
        <v>1104</v>
      </c>
      <c r="AB873" s="7"/>
      <c r="AC873" s="9">
        <v>1</v>
      </c>
      <c r="AD873" s="10">
        <v>5775373</v>
      </c>
      <c r="AE873" s="9" t="s">
        <v>1104</v>
      </c>
      <c r="AF873" s="9"/>
      <c r="AG873" s="11">
        <v>4</v>
      </c>
      <c r="AH873" s="11" t="s">
        <v>1105</v>
      </c>
      <c r="AI873" s="11" t="s">
        <v>3670</v>
      </c>
      <c r="AJ873" s="11">
        <v>4</v>
      </c>
      <c r="AK873" s="11" t="s">
        <v>143</v>
      </c>
      <c r="AL873" s="12">
        <v>4</v>
      </c>
      <c r="AM873" s="12" t="s">
        <v>1105</v>
      </c>
      <c r="AN873" s="12"/>
      <c r="AO873" s="12">
        <v>2</v>
      </c>
      <c r="AP873" s="12" t="s">
        <v>132</v>
      </c>
      <c r="AQ873" s="4">
        <v>5</v>
      </c>
      <c r="AR873" s="4" t="s">
        <v>1111</v>
      </c>
      <c r="AS873" s="4"/>
      <c r="AT873" s="13">
        <v>-82.320693969726605</v>
      </c>
      <c r="AU873" s="13">
        <v>-4.3555822372436497</v>
      </c>
      <c r="AV873" s="13">
        <v>-6.0382986068725604</v>
      </c>
      <c r="AW873" s="13">
        <v>-2.6944534778595002</v>
      </c>
      <c r="AX873" s="4">
        <v>1</v>
      </c>
      <c r="AY873" s="13">
        <v>-56.929569244384801</v>
      </c>
      <c r="AZ873" s="13">
        <v>-3.7495076656341602</v>
      </c>
      <c r="BA873" s="13">
        <v>-6.5168151855468803</v>
      </c>
      <c r="BB873" s="13">
        <v>-1.02687311172485</v>
      </c>
      <c r="BC873" s="4">
        <v>1</v>
      </c>
      <c r="BD873" s="4">
        <v>22</v>
      </c>
      <c r="BE873" s="4"/>
      <c r="BF873" s="13">
        <v>3.3438451290130602</v>
      </c>
      <c r="BG873" s="4">
        <v>763.75</v>
      </c>
      <c r="BH873" s="13">
        <v>6.7595105171203604</v>
      </c>
      <c r="BI873" s="13">
        <v>5162.576171875</v>
      </c>
      <c r="BJ873" s="4">
        <v>18</v>
      </c>
      <c r="BK873" s="14">
        <v>12</v>
      </c>
      <c r="BL873" s="14">
        <v>12</v>
      </c>
      <c r="BM873" s="14">
        <v>12</v>
      </c>
      <c r="BN873" s="3" t="s">
        <v>302</v>
      </c>
      <c r="BP873" s="15"/>
      <c r="BQ873" s="15" t="s">
        <v>136</v>
      </c>
      <c r="BR873" s="2" t="s">
        <v>161</v>
      </c>
      <c r="BS873" s="2" t="s">
        <v>172</v>
      </c>
      <c r="BT873" s="7" t="s">
        <v>173</v>
      </c>
      <c r="BU873" s="7" t="s">
        <v>188</v>
      </c>
      <c r="BV873" s="9" t="s">
        <v>357</v>
      </c>
      <c r="BW873" s="9" t="s">
        <v>248</v>
      </c>
    </row>
    <row r="874" spans="1:75" ht="14.25" customHeight="1" x14ac:dyDescent="0.25">
      <c r="A874" s="1">
        <v>509</v>
      </c>
      <c r="B874" s="1" t="s">
        <v>3671</v>
      </c>
      <c r="C874" s="1" t="s">
        <v>3672</v>
      </c>
      <c r="D874" s="1" t="s">
        <v>1093</v>
      </c>
      <c r="E874" s="1" t="s">
        <v>1094</v>
      </c>
      <c r="F874" s="1" t="s">
        <v>1108</v>
      </c>
      <c r="G874" s="1"/>
      <c r="H874" s="2">
        <v>1</v>
      </c>
      <c r="I874" s="2">
        <v>1</v>
      </c>
      <c r="J874" s="2">
        <v>0</v>
      </c>
      <c r="K874" s="2">
        <v>0</v>
      </c>
      <c r="L874" s="3" t="s">
        <v>127</v>
      </c>
      <c r="O874" s="4">
        <v>4</v>
      </c>
      <c r="P874" s="4" t="s">
        <v>1102</v>
      </c>
      <c r="Q874" s="4"/>
      <c r="R874" s="16">
        <v>140000</v>
      </c>
      <c r="S874" s="6">
        <v>140000</v>
      </c>
      <c r="T874" s="16">
        <v>140000</v>
      </c>
      <c r="U874" s="6">
        <v>140000</v>
      </c>
      <c r="V874" s="4"/>
      <c r="W874" s="4" t="s">
        <v>1102</v>
      </c>
      <c r="X874" s="4"/>
      <c r="Y874" s="7">
        <v>3</v>
      </c>
      <c r="Z874" s="8">
        <v>358084</v>
      </c>
      <c r="AA874" s="7" t="s">
        <v>1104</v>
      </c>
      <c r="AB874" s="7"/>
      <c r="AC874" s="9">
        <v>3</v>
      </c>
      <c r="AD874" s="10">
        <v>640838</v>
      </c>
      <c r="AE874" s="9" t="s">
        <v>1104</v>
      </c>
      <c r="AF874" s="9"/>
      <c r="AG874" s="11">
        <v>4</v>
      </c>
      <c r="AH874" s="11" t="s">
        <v>1105</v>
      </c>
      <c r="AI874" s="11"/>
      <c r="AJ874" s="11">
        <v>5</v>
      </c>
      <c r="AK874" s="11" t="s">
        <v>143</v>
      </c>
      <c r="AL874" s="12">
        <v>4</v>
      </c>
      <c r="AM874" s="12" t="s">
        <v>1105</v>
      </c>
      <c r="AN874" s="12"/>
      <c r="AO874" s="12">
        <v>5</v>
      </c>
      <c r="AP874" s="12" t="s">
        <v>132</v>
      </c>
      <c r="AQ874" s="4">
        <v>4</v>
      </c>
      <c r="AR874" s="4" t="s">
        <v>222</v>
      </c>
      <c r="AS874" s="4"/>
      <c r="AT874" s="13">
        <v>-56.214176177978501</v>
      </c>
      <c r="AU874" s="13">
        <v>-1.6713049411773699</v>
      </c>
      <c r="AV874" s="13">
        <v>-4.33786964416504</v>
      </c>
      <c r="AW874" s="13">
        <v>0.52637612819671598</v>
      </c>
      <c r="AX874" s="4"/>
      <c r="AY874" s="13">
        <v>-8.2744426727294904</v>
      </c>
      <c r="AZ874" s="13">
        <v>-0.662175893783569</v>
      </c>
      <c r="BA874" s="13">
        <v>-6.4534144401550302</v>
      </c>
      <c r="BB874" s="13">
        <v>6.1109528541564897</v>
      </c>
      <c r="BC874" s="4"/>
      <c r="BD874" s="4">
        <v>13</v>
      </c>
      <c r="BE874" s="4"/>
      <c r="BF874" s="13">
        <v>4.8642458915710396</v>
      </c>
      <c r="BG874" s="4"/>
      <c r="BH874" s="13"/>
      <c r="BI874" s="13"/>
      <c r="BJ874" s="4"/>
      <c r="BK874" s="14">
        <v>15</v>
      </c>
      <c r="BL874" s="14">
        <v>15</v>
      </c>
      <c r="BM874" s="14">
        <v>15</v>
      </c>
      <c r="BN874" s="3" t="s">
        <v>113</v>
      </c>
      <c r="BP874" s="15"/>
      <c r="BQ874" s="15"/>
      <c r="BR874" s="2" t="s">
        <v>161</v>
      </c>
      <c r="BS874" s="2" t="s">
        <v>162</v>
      </c>
      <c r="BT874" s="7" t="s">
        <v>174</v>
      </c>
      <c r="BU874" s="7" t="s">
        <v>173</v>
      </c>
      <c r="BV874" s="9" t="s">
        <v>164</v>
      </c>
      <c r="BW874" s="9"/>
    </row>
    <row r="875" spans="1:75" ht="14.25" customHeight="1" x14ac:dyDescent="0.25">
      <c r="A875" s="1">
        <v>515</v>
      </c>
      <c r="B875" s="1" t="s">
        <v>3673</v>
      </c>
      <c r="C875" s="1" t="s">
        <v>3674</v>
      </c>
      <c r="D875" s="1" t="s">
        <v>1093</v>
      </c>
      <c r="E875" s="1" t="s">
        <v>1094</v>
      </c>
      <c r="F875" s="1" t="s">
        <v>1108</v>
      </c>
      <c r="G875" s="1" t="s">
        <v>3675</v>
      </c>
      <c r="H875" s="2">
        <v>1</v>
      </c>
      <c r="I875" s="2">
        <v>1</v>
      </c>
      <c r="J875" s="2">
        <v>1</v>
      </c>
      <c r="K875" s="2">
        <v>1</v>
      </c>
      <c r="L875" s="3" t="s">
        <v>127</v>
      </c>
      <c r="O875" s="4">
        <v>4</v>
      </c>
      <c r="P875" s="4" t="s">
        <v>1102</v>
      </c>
      <c r="Q875" s="4"/>
      <c r="R875" s="16">
        <v>56000</v>
      </c>
      <c r="S875" s="6">
        <v>56000</v>
      </c>
      <c r="T875" s="17" t="s">
        <v>3676</v>
      </c>
      <c r="U875" s="6">
        <v>56000</v>
      </c>
      <c r="V875" s="4"/>
      <c r="W875" s="4" t="s">
        <v>1102</v>
      </c>
      <c r="X875" s="4" t="s">
        <v>3677</v>
      </c>
      <c r="Y875" s="7">
        <v>3</v>
      </c>
      <c r="Z875" s="8">
        <v>595395</v>
      </c>
      <c r="AA875" s="7" t="s">
        <v>1104</v>
      </c>
      <c r="AB875" s="7"/>
      <c r="AC875" s="9">
        <v>2</v>
      </c>
      <c r="AD875" s="10">
        <v>1502847</v>
      </c>
      <c r="AE875" s="9" t="s">
        <v>1104</v>
      </c>
      <c r="AF875" s="9"/>
      <c r="AG875" s="11">
        <v>3</v>
      </c>
      <c r="AH875" s="11" t="s">
        <v>1105</v>
      </c>
      <c r="AI875" s="11"/>
      <c r="AJ875" s="11">
        <v>3</v>
      </c>
      <c r="AK875" s="11" t="s">
        <v>143</v>
      </c>
      <c r="AL875" s="12">
        <v>4</v>
      </c>
      <c r="AM875" s="12" t="s">
        <v>1102</v>
      </c>
      <c r="AN875" s="12"/>
      <c r="AO875" s="12"/>
      <c r="AP875" s="12"/>
      <c r="AQ875" s="4">
        <v>5</v>
      </c>
      <c r="AR875" s="4" t="s">
        <v>1111</v>
      </c>
      <c r="AS875" s="4"/>
      <c r="AT875" s="13">
        <v>-58.165184020996101</v>
      </c>
      <c r="AU875" s="13">
        <v>-2.2512454986572301</v>
      </c>
      <c r="AV875" s="13">
        <v>-4.6684799194335902</v>
      </c>
      <c r="AW875" s="13">
        <v>-8.7720453739166294E-3</v>
      </c>
      <c r="AX875" s="4">
        <v>1</v>
      </c>
      <c r="AY875" s="13">
        <v>-50.432685852050803</v>
      </c>
      <c r="AZ875" s="13">
        <v>-5.7317080497741699</v>
      </c>
      <c r="BA875" s="13">
        <v>-12.610063552856399</v>
      </c>
      <c r="BB875" s="13">
        <v>6.1011053621769E-2</v>
      </c>
      <c r="BC875" s="4"/>
      <c r="BD875" s="4">
        <v>12</v>
      </c>
      <c r="BE875" s="4"/>
      <c r="BF875" s="13">
        <v>4.65970754623413</v>
      </c>
      <c r="BG875" s="4">
        <v>309.32499999999999</v>
      </c>
      <c r="BH875" s="13">
        <v>6.9909230805933502E-3</v>
      </c>
      <c r="BI875" s="13">
        <v>2.1624672412872301</v>
      </c>
      <c r="BJ875" s="4"/>
      <c r="BK875" s="14">
        <v>15</v>
      </c>
      <c r="BL875" s="14">
        <v>15</v>
      </c>
      <c r="BM875" s="14">
        <v>15</v>
      </c>
      <c r="BN875" s="3" t="s">
        <v>375</v>
      </c>
      <c r="BO875" s="3" t="s">
        <v>120</v>
      </c>
      <c r="BP875" s="15"/>
      <c r="BQ875" s="15" t="s">
        <v>136</v>
      </c>
      <c r="BR875" s="2" t="s">
        <v>161</v>
      </c>
      <c r="BS875" s="2" t="s">
        <v>1136</v>
      </c>
      <c r="BT875" s="7" t="s">
        <v>174</v>
      </c>
      <c r="BU875" s="7"/>
      <c r="BV875" s="9" t="s">
        <v>1137</v>
      </c>
      <c r="BW875" s="9"/>
    </row>
    <row r="876" spans="1:75" ht="14.25" customHeight="1" x14ac:dyDescent="0.25">
      <c r="A876" s="1">
        <v>516</v>
      </c>
      <c r="B876" s="1" t="s">
        <v>3678</v>
      </c>
      <c r="C876" s="1" t="s">
        <v>3679</v>
      </c>
      <c r="D876" s="1" t="s">
        <v>1093</v>
      </c>
      <c r="E876" s="1" t="s">
        <v>1094</v>
      </c>
      <c r="F876" s="1" t="s">
        <v>1108</v>
      </c>
      <c r="G876" s="1" t="s">
        <v>118</v>
      </c>
      <c r="H876" s="2">
        <v>1</v>
      </c>
      <c r="I876" s="2">
        <v>1</v>
      </c>
      <c r="J876" s="2">
        <v>1</v>
      </c>
      <c r="K876" s="2">
        <v>1</v>
      </c>
      <c r="L876" s="3" t="s">
        <v>127</v>
      </c>
      <c r="O876" s="4">
        <v>3</v>
      </c>
      <c r="P876" s="4" t="s">
        <v>1102</v>
      </c>
      <c r="Q876" s="4"/>
      <c r="R876" s="16">
        <v>1600000</v>
      </c>
      <c r="S876" s="6">
        <v>1600000</v>
      </c>
      <c r="T876" s="16">
        <v>1500000</v>
      </c>
      <c r="U876" s="6">
        <v>1500000</v>
      </c>
      <c r="V876" s="4">
        <v>2012</v>
      </c>
      <c r="W876" s="4" t="s">
        <v>3680</v>
      </c>
      <c r="X876" s="4" t="s">
        <v>3681</v>
      </c>
      <c r="Y876" s="7">
        <v>2</v>
      </c>
      <c r="Z876" s="8">
        <v>1330181</v>
      </c>
      <c r="AA876" s="7" t="s">
        <v>1104</v>
      </c>
      <c r="AB876" s="7"/>
      <c r="AC876" s="9">
        <v>2</v>
      </c>
      <c r="AD876" s="10">
        <v>1059647</v>
      </c>
      <c r="AE876" s="9" t="s">
        <v>1104</v>
      </c>
      <c r="AF876" s="9"/>
      <c r="AG876" s="11">
        <v>4</v>
      </c>
      <c r="AH876" s="11" t="s">
        <v>1105</v>
      </c>
      <c r="AI876" s="11" t="s">
        <v>3682</v>
      </c>
      <c r="AJ876" s="11">
        <v>5</v>
      </c>
      <c r="AK876" s="11" t="s">
        <v>143</v>
      </c>
      <c r="AL876" s="12">
        <v>3</v>
      </c>
      <c r="AM876" s="12" t="s">
        <v>1102</v>
      </c>
      <c r="AN876" s="12"/>
      <c r="AO876" s="12"/>
      <c r="AP876" s="12"/>
      <c r="AQ876" s="4">
        <v>5</v>
      </c>
      <c r="AR876" s="4" t="s">
        <v>1111</v>
      </c>
      <c r="AS876" s="4"/>
      <c r="AT876" s="13">
        <v>-64.398376464843807</v>
      </c>
      <c r="AU876" s="13">
        <v>-2.6159372329711901</v>
      </c>
      <c r="AV876" s="13">
        <v>-3.92984819412231</v>
      </c>
      <c r="AW876" s="13">
        <v>-1.3056381940841699</v>
      </c>
      <c r="AX876" s="4">
        <v>1</v>
      </c>
      <c r="AY876" s="13">
        <v>-45.433628082275398</v>
      </c>
      <c r="AZ876" s="13">
        <v>-4.2357611656189</v>
      </c>
      <c r="BA876" s="13">
        <v>-7.9030389785766602</v>
      </c>
      <c r="BB876" s="13">
        <v>-0.79726409912109397</v>
      </c>
      <c r="BC876" s="4">
        <v>1</v>
      </c>
      <c r="BD876" s="4">
        <v>14</v>
      </c>
      <c r="BE876" s="4"/>
      <c r="BF876" s="13">
        <v>2.6242098808288601</v>
      </c>
      <c r="BG876" s="4">
        <v>753.52499999999998</v>
      </c>
      <c r="BH876" s="13">
        <v>5.5749340057373002</v>
      </c>
      <c r="BI876" s="13">
        <v>4200.85205078125</v>
      </c>
      <c r="BJ876" s="4">
        <v>16</v>
      </c>
      <c r="BK876" s="14">
        <v>14</v>
      </c>
      <c r="BL876" s="14">
        <v>13</v>
      </c>
      <c r="BM876" s="14">
        <v>14</v>
      </c>
      <c r="BN876" s="3" t="s">
        <v>375</v>
      </c>
      <c r="BP876" s="15"/>
      <c r="BQ876" s="15" t="s">
        <v>136</v>
      </c>
      <c r="BR876" s="2" t="s">
        <v>161</v>
      </c>
      <c r="BS876" s="2" t="s">
        <v>1136</v>
      </c>
      <c r="BT876" s="7" t="s">
        <v>173</v>
      </c>
      <c r="BU876" s="7"/>
      <c r="BV876" s="9" t="s">
        <v>1137</v>
      </c>
      <c r="BW876" s="9" t="s">
        <v>248</v>
      </c>
    </row>
    <row r="877" spans="1:75" ht="14.25" customHeight="1" x14ac:dyDescent="0.25">
      <c r="A877" s="1">
        <v>517</v>
      </c>
      <c r="B877" s="1" t="s">
        <v>3683</v>
      </c>
      <c r="C877" s="1" t="s">
        <v>3684</v>
      </c>
      <c r="D877" s="1" t="s">
        <v>1093</v>
      </c>
      <c r="E877" s="1" t="s">
        <v>1094</v>
      </c>
      <c r="F877" s="1" t="s">
        <v>1108</v>
      </c>
      <c r="G877" s="1" t="s">
        <v>118</v>
      </c>
      <c r="H877" s="2">
        <v>1</v>
      </c>
      <c r="I877" s="2">
        <v>1</v>
      </c>
      <c r="J877" s="2">
        <v>1</v>
      </c>
      <c r="K877" s="2">
        <v>1</v>
      </c>
      <c r="L877" s="3" t="s">
        <v>127</v>
      </c>
      <c r="O877" s="4">
        <v>3</v>
      </c>
      <c r="P877" s="4" t="s">
        <v>1102</v>
      </c>
      <c r="Q877" s="4"/>
      <c r="R877" s="16">
        <v>2300000</v>
      </c>
      <c r="S877" s="6">
        <v>2300000</v>
      </c>
      <c r="T877" s="16">
        <v>2300000</v>
      </c>
      <c r="U877" s="6">
        <v>2300000</v>
      </c>
      <c r="V877" s="4"/>
      <c r="W877" s="4" t="s">
        <v>1102</v>
      </c>
      <c r="X877" s="4"/>
      <c r="Y877" s="7">
        <v>2</v>
      </c>
      <c r="Z877" s="8">
        <v>2589119</v>
      </c>
      <c r="AA877" s="7" t="s">
        <v>1104</v>
      </c>
      <c r="AB877" s="7"/>
      <c r="AC877" s="9">
        <v>2</v>
      </c>
      <c r="AD877" s="10">
        <v>1225574</v>
      </c>
      <c r="AE877" s="9" t="s">
        <v>1104</v>
      </c>
      <c r="AF877" s="9"/>
      <c r="AG877" s="11">
        <v>4</v>
      </c>
      <c r="AH877" s="11" t="s">
        <v>1105</v>
      </c>
      <c r="AI877" s="11" t="s">
        <v>3682</v>
      </c>
      <c r="AJ877" s="11">
        <v>5</v>
      </c>
      <c r="AK877" s="11" t="s">
        <v>143</v>
      </c>
      <c r="AL877" s="12">
        <v>4</v>
      </c>
      <c r="AM877" s="12" t="s">
        <v>1102</v>
      </c>
      <c r="AN877" s="12"/>
      <c r="AO877" s="12"/>
      <c r="AP877" s="12"/>
      <c r="AQ877" s="4">
        <v>5</v>
      </c>
      <c r="AR877" s="4" t="s">
        <v>1111</v>
      </c>
      <c r="AS877" s="4"/>
      <c r="AT877" s="13">
        <v>-67.551834106445298</v>
      </c>
      <c r="AU877" s="13">
        <v>-2.8308277130127002</v>
      </c>
      <c r="AV877" s="13">
        <v>-4.2580528259277299</v>
      </c>
      <c r="AW877" s="13">
        <v>-1.4522023200988801</v>
      </c>
      <c r="AX877" s="4">
        <v>1</v>
      </c>
      <c r="AY877" s="13">
        <v>-32.587375640869098</v>
      </c>
      <c r="AZ877" s="13">
        <v>-3.3990232944488499</v>
      </c>
      <c r="BA877" s="13">
        <v>-7.2194938659668004</v>
      </c>
      <c r="BB877" s="13">
        <v>0.110964596271515</v>
      </c>
      <c r="BC877" s="4"/>
      <c r="BD877" s="4">
        <v>12</v>
      </c>
      <c r="BE877" s="4"/>
      <c r="BF877" s="13">
        <v>2.8058505058288601</v>
      </c>
      <c r="BG877" s="4">
        <v>987.25</v>
      </c>
      <c r="BH877" s="13">
        <v>23.4478454589844</v>
      </c>
      <c r="BI877" s="13">
        <v>23148.884765625</v>
      </c>
      <c r="BJ877" s="4"/>
      <c r="BK877" s="14">
        <v>14</v>
      </c>
      <c r="BL877" s="14">
        <v>14</v>
      </c>
      <c r="BM877" s="14">
        <v>14</v>
      </c>
      <c r="BN877" s="3" t="s">
        <v>375</v>
      </c>
      <c r="BO877" s="3" t="s">
        <v>120</v>
      </c>
      <c r="BP877" s="15"/>
      <c r="BQ877" s="15"/>
      <c r="BR877" s="2" t="s">
        <v>161</v>
      </c>
      <c r="BS877" s="2" t="s">
        <v>97</v>
      </c>
      <c r="BT877" s="7" t="s">
        <v>173</v>
      </c>
      <c r="BU877" s="7"/>
      <c r="BV877" s="9" t="s">
        <v>357</v>
      </c>
      <c r="BW877" s="9"/>
    </row>
    <row r="878" spans="1:75" ht="14.25" customHeight="1" x14ac:dyDescent="0.25">
      <c r="A878" s="1">
        <v>518</v>
      </c>
      <c r="B878" s="1" t="s">
        <v>3685</v>
      </c>
      <c r="C878" s="1" t="s">
        <v>3686</v>
      </c>
      <c r="D878" s="1" t="s">
        <v>1093</v>
      </c>
      <c r="E878" s="1" t="s">
        <v>1094</v>
      </c>
      <c r="F878" s="1" t="s">
        <v>1108</v>
      </c>
      <c r="G878" s="1" t="s">
        <v>118</v>
      </c>
      <c r="H878" s="2">
        <v>1</v>
      </c>
      <c r="I878" s="2">
        <v>1</v>
      </c>
      <c r="J878" s="2">
        <v>1</v>
      </c>
      <c r="K878" s="2">
        <v>1</v>
      </c>
      <c r="L878" s="3" t="s">
        <v>127</v>
      </c>
      <c r="O878" s="4">
        <v>3</v>
      </c>
      <c r="P878" s="4" t="s">
        <v>1102</v>
      </c>
      <c r="Q878" s="4"/>
      <c r="R878" s="16">
        <v>3500000</v>
      </c>
      <c r="S878" s="6">
        <v>3500000</v>
      </c>
      <c r="T878" s="16">
        <v>3500000</v>
      </c>
      <c r="U878" s="6">
        <v>3500000</v>
      </c>
      <c r="V878" s="4"/>
      <c r="W878" s="4" t="s">
        <v>1102</v>
      </c>
      <c r="X878" s="4" t="s">
        <v>3687</v>
      </c>
      <c r="Y878" s="7">
        <v>3</v>
      </c>
      <c r="Z878" s="8">
        <v>309066</v>
      </c>
      <c r="AA878" s="7" t="s">
        <v>1104</v>
      </c>
      <c r="AB878" s="7"/>
      <c r="AC878" s="9">
        <v>2</v>
      </c>
      <c r="AD878" s="10">
        <v>2228231</v>
      </c>
      <c r="AE878" s="9" t="s">
        <v>1104</v>
      </c>
      <c r="AF878" s="9"/>
      <c r="AG878" s="11">
        <v>4</v>
      </c>
      <c r="AH878" s="11" t="s">
        <v>1105</v>
      </c>
      <c r="AI878" s="11" t="s">
        <v>3682</v>
      </c>
      <c r="AJ878" s="11">
        <v>5</v>
      </c>
      <c r="AK878" s="11" t="s">
        <v>143</v>
      </c>
      <c r="AL878" s="12">
        <v>4</v>
      </c>
      <c r="AM878" s="12" t="s">
        <v>1105</v>
      </c>
      <c r="AN878" s="12"/>
      <c r="AO878" s="12">
        <v>2</v>
      </c>
      <c r="AP878" s="12" t="s">
        <v>143</v>
      </c>
      <c r="AQ878" s="4">
        <v>4</v>
      </c>
      <c r="AR878" s="4" t="s">
        <v>3688</v>
      </c>
      <c r="AS878" s="4"/>
      <c r="AT878" s="13"/>
      <c r="AU878" s="13"/>
      <c r="AV878" s="13"/>
      <c r="AW878" s="13"/>
      <c r="AX878" s="4"/>
      <c r="AY878" s="13"/>
      <c r="AZ878" s="13"/>
      <c r="BA878" s="13"/>
      <c r="BB878" s="13"/>
      <c r="BC878" s="4"/>
      <c r="BD878" s="4"/>
      <c r="BE878" s="4"/>
      <c r="BF878" s="13"/>
      <c r="BG878" s="4"/>
      <c r="BH878" s="13"/>
      <c r="BI878" s="13"/>
      <c r="BJ878" s="4"/>
      <c r="BK878" s="14">
        <v>14</v>
      </c>
      <c r="BL878" s="14">
        <v>13</v>
      </c>
      <c r="BM878" s="14">
        <v>14</v>
      </c>
      <c r="BN878" s="3" t="s">
        <v>86</v>
      </c>
      <c r="BP878" s="15"/>
      <c r="BQ878" s="15" t="s">
        <v>136</v>
      </c>
      <c r="BR878" s="2" t="s">
        <v>161</v>
      </c>
      <c r="BS878" s="2" t="s">
        <v>247</v>
      </c>
      <c r="BT878" s="7" t="s">
        <v>173</v>
      </c>
      <c r="BU878" s="7"/>
      <c r="BV878" s="9" t="s">
        <v>357</v>
      </c>
      <c r="BW878" s="9" t="s">
        <v>248</v>
      </c>
    </row>
    <row r="879" spans="1:75" ht="14.25" customHeight="1" x14ac:dyDescent="0.25">
      <c r="A879" s="1">
        <v>519</v>
      </c>
      <c r="B879" s="1" t="s">
        <v>3689</v>
      </c>
      <c r="C879" s="1" t="s">
        <v>3690</v>
      </c>
      <c r="D879" s="1" t="s">
        <v>1093</v>
      </c>
      <c r="E879" s="1" t="s">
        <v>1094</v>
      </c>
      <c r="F879" s="1" t="s">
        <v>1108</v>
      </c>
      <c r="G879" s="1"/>
      <c r="H879" s="2">
        <v>1</v>
      </c>
      <c r="I879" s="2">
        <v>1</v>
      </c>
      <c r="J879" s="2">
        <v>1</v>
      </c>
      <c r="K879" s="2">
        <v>1</v>
      </c>
      <c r="L879" s="3" t="s">
        <v>127</v>
      </c>
      <c r="O879" s="4">
        <v>4</v>
      </c>
      <c r="P879" s="4" t="s">
        <v>1102</v>
      </c>
      <c r="Q879" s="4"/>
      <c r="R879" s="16">
        <v>150000</v>
      </c>
      <c r="S879" s="6">
        <v>150000</v>
      </c>
      <c r="T879" s="16">
        <v>150000</v>
      </c>
      <c r="U879" s="6">
        <v>150000</v>
      </c>
      <c r="V879" s="4"/>
      <c r="W879" s="4" t="s">
        <v>1102</v>
      </c>
      <c r="X879" s="4"/>
      <c r="Y879" s="7">
        <v>2</v>
      </c>
      <c r="Z879" s="8">
        <v>2372728</v>
      </c>
      <c r="AA879" s="7" t="s">
        <v>1104</v>
      </c>
      <c r="AB879" s="7"/>
      <c r="AC879" s="9">
        <v>2</v>
      </c>
      <c r="AD879" s="10">
        <v>1676041</v>
      </c>
      <c r="AE879" s="9" t="s">
        <v>1104</v>
      </c>
      <c r="AF879" s="9"/>
      <c r="AG879" s="11">
        <v>3</v>
      </c>
      <c r="AH879" s="11" t="s">
        <v>1105</v>
      </c>
      <c r="AI879" s="11" t="s">
        <v>3682</v>
      </c>
      <c r="AJ879" s="11">
        <v>4</v>
      </c>
      <c r="AK879" s="11" t="s">
        <v>332</v>
      </c>
      <c r="AL879" s="12">
        <v>4</v>
      </c>
      <c r="AM879" s="12" t="s">
        <v>1105</v>
      </c>
      <c r="AN879" s="12"/>
      <c r="AO879" s="12">
        <v>2</v>
      </c>
      <c r="AP879" s="12" t="s">
        <v>132</v>
      </c>
      <c r="AQ879" s="4">
        <v>5</v>
      </c>
      <c r="AR879" s="4" t="s">
        <v>1111</v>
      </c>
      <c r="AS879" s="4"/>
      <c r="AT879" s="13">
        <v>-85.244606018066406</v>
      </c>
      <c r="AU879" s="13">
        <v>-4.78249216079712</v>
      </c>
      <c r="AV879" s="13">
        <v>-6.6385126113891602</v>
      </c>
      <c r="AW879" s="13">
        <v>-2.7942883968353298</v>
      </c>
      <c r="AX879" s="4">
        <v>1</v>
      </c>
      <c r="AY879" s="13">
        <v>-58.944541931152301</v>
      </c>
      <c r="AZ879" s="13">
        <v>-7.1909470558166504</v>
      </c>
      <c r="BA879" s="13">
        <v>-13.286648750305201</v>
      </c>
      <c r="BB879" s="13">
        <v>-1.31999707221985</v>
      </c>
      <c r="BC879" s="4">
        <v>1</v>
      </c>
      <c r="BD879" s="4">
        <v>12</v>
      </c>
      <c r="BE879" s="4"/>
      <c r="BF879" s="13">
        <v>3.8442242145538299</v>
      </c>
      <c r="BG879" s="4">
        <v>837.35</v>
      </c>
      <c r="BH879" s="13">
        <v>9.7498254776000994</v>
      </c>
      <c r="BI879" s="13">
        <v>8164.01611328125</v>
      </c>
      <c r="BJ879" s="4">
        <v>9</v>
      </c>
      <c r="BK879" s="14">
        <v>14</v>
      </c>
      <c r="BL879" s="14">
        <v>15</v>
      </c>
      <c r="BM879" s="14">
        <v>15</v>
      </c>
      <c r="BN879" s="3" t="s">
        <v>375</v>
      </c>
      <c r="BP879" s="15"/>
      <c r="BQ879" s="15"/>
      <c r="BR879" s="2" t="s">
        <v>161</v>
      </c>
      <c r="BS879" s="2" t="s">
        <v>247</v>
      </c>
      <c r="BT879" s="7" t="s">
        <v>303</v>
      </c>
      <c r="BU879" s="7"/>
      <c r="BV879" s="9" t="s">
        <v>357</v>
      </c>
      <c r="BW879" s="9"/>
    </row>
    <row r="880" spans="1:75" ht="14.25" customHeight="1" x14ac:dyDescent="0.25">
      <c r="A880" s="1">
        <v>520</v>
      </c>
      <c r="B880" s="1" t="s">
        <v>3691</v>
      </c>
      <c r="C880" s="1" t="s">
        <v>3692</v>
      </c>
      <c r="D880" s="1" t="s">
        <v>1093</v>
      </c>
      <c r="E880" s="1" t="s">
        <v>1094</v>
      </c>
      <c r="F880" s="1" t="s">
        <v>1108</v>
      </c>
      <c r="G880" s="1" t="s">
        <v>118</v>
      </c>
      <c r="H880" s="2">
        <v>1</v>
      </c>
      <c r="I880" s="2">
        <v>1</v>
      </c>
      <c r="J880" s="2">
        <v>1</v>
      </c>
      <c r="K880" s="2">
        <v>1</v>
      </c>
      <c r="L880" s="3" t="s">
        <v>127</v>
      </c>
      <c r="O880" s="4">
        <v>3</v>
      </c>
      <c r="P880" s="4" t="s">
        <v>3693</v>
      </c>
      <c r="Q880" s="4" t="s">
        <v>3694</v>
      </c>
      <c r="R880" s="16">
        <v>650000</v>
      </c>
      <c r="S880" s="6">
        <v>650000</v>
      </c>
      <c r="T880" s="16">
        <v>520000</v>
      </c>
      <c r="U880" s="6">
        <v>520000</v>
      </c>
      <c r="V880" s="4"/>
      <c r="W880" s="4" t="s">
        <v>3693</v>
      </c>
      <c r="X880" s="4" t="s">
        <v>3695</v>
      </c>
      <c r="Y880" s="7">
        <v>3</v>
      </c>
      <c r="Z880" s="8">
        <v>366891</v>
      </c>
      <c r="AA880" s="7" t="s">
        <v>1104</v>
      </c>
      <c r="AB880" s="7"/>
      <c r="AC880" s="9">
        <v>2</v>
      </c>
      <c r="AD880" s="10">
        <v>3048312</v>
      </c>
      <c r="AE880" s="9" t="s">
        <v>1104</v>
      </c>
      <c r="AF880" s="9"/>
      <c r="AG880" s="11">
        <v>3</v>
      </c>
      <c r="AH880" s="11" t="s">
        <v>3696</v>
      </c>
      <c r="AI880" s="11" t="s">
        <v>3697</v>
      </c>
      <c r="AJ880" s="11">
        <v>3</v>
      </c>
      <c r="AK880" s="11" t="s">
        <v>332</v>
      </c>
      <c r="AL880" s="12">
        <v>4</v>
      </c>
      <c r="AM880" s="12" t="s">
        <v>1109</v>
      </c>
      <c r="AN880" s="12" t="s">
        <v>3698</v>
      </c>
      <c r="AO880" s="12">
        <v>2</v>
      </c>
      <c r="AP880" s="12" t="s">
        <v>132</v>
      </c>
      <c r="AQ880" s="4">
        <v>5</v>
      </c>
      <c r="AR880" s="4" t="s">
        <v>1111</v>
      </c>
      <c r="AS880" s="4"/>
      <c r="AT880" s="13">
        <v>-78.889587402343807</v>
      </c>
      <c r="AU880" s="13">
        <v>-3.9397618770599401</v>
      </c>
      <c r="AV880" s="13">
        <v>-6.3017244338989302</v>
      </c>
      <c r="AW880" s="13">
        <v>-1.6563962697982799</v>
      </c>
      <c r="AX880" s="4">
        <v>1</v>
      </c>
      <c r="AY880" s="13">
        <v>-35.856666564941399</v>
      </c>
      <c r="AZ880" s="13">
        <v>-3.6769006252288801</v>
      </c>
      <c r="BA880" s="13">
        <v>-10.207872390747101</v>
      </c>
      <c r="BB880" s="13">
        <v>2.64721775054932</v>
      </c>
      <c r="BC880" s="4"/>
      <c r="BD880" s="4">
        <v>12</v>
      </c>
      <c r="BE880" s="4"/>
      <c r="BF880" s="13">
        <v>4.6453285217285201</v>
      </c>
      <c r="BG880" s="4">
        <v>373.67500000000001</v>
      </c>
      <c r="BH880" s="13">
        <v>45.118518829345703</v>
      </c>
      <c r="BI880" s="13">
        <v>16859.662109375</v>
      </c>
      <c r="BJ880" s="4"/>
      <c r="BK880" s="14">
        <v>14</v>
      </c>
      <c r="BL880" s="14">
        <v>14</v>
      </c>
      <c r="BM880" s="14">
        <v>14</v>
      </c>
      <c r="BN880" s="3" t="s">
        <v>375</v>
      </c>
      <c r="BP880" s="15"/>
      <c r="BQ880" s="15" t="s">
        <v>136</v>
      </c>
      <c r="BR880" s="2" t="s">
        <v>161</v>
      </c>
      <c r="BS880" s="2" t="s">
        <v>247</v>
      </c>
      <c r="BT880" s="7" t="s">
        <v>173</v>
      </c>
      <c r="BU880" s="7"/>
      <c r="BV880" s="9" t="s">
        <v>137</v>
      </c>
      <c r="BW880" s="9"/>
    </row>
    <row r="881" spans="1:75" ht="14.25" customHeight="1" x14ac:dyDescent="0.25">
      <c r="A881" s="1">
        <v>523</v>
      </c>
      <c r="B881" s="1" t="s">
        <v>3699</v>
      </c>
      <c r="C881" s="1" t="s">
        <v>3700</v>
      </c>
      <c r="D881" s="1" t="s">
        <v>1093</v>
      </c>
      <c r="E881" s="1" t="s">
        <v>1094</v>
      </c>
      <c r="F881" s="1" t="s">
        <v>1108</v>
      </c>
      <c r="G881" s="1" t="s">
        <v>118</v>
      </c>
      <c r="H881" s="2">
        <v>1</v>
      </c>
      <c r="I881" s="2">
        <v>1</v>
      </c>
      <c r="J881" s="2">
        <v>1</v>
      </c>
      <c r="K881" s="2">
        <v>0</v>
      </c>
      <c r="L881" s="3" t="s">
        <v>127</v>
      </c>
      <c r="O881" s="4">
        <v>3</v>
      </c>
      <c r="P881" s="4" t="s">
        <v>1102</v>
      </c>
      <c r="Q881" s="4"/>
      <c r="R881" s="16">
        <v>3500000</v>
      </c>
      <c r="S881" s="6">
        <v>3500000</v>
      </c>
      <c r="T881" s="16">
        <v>3500000</v>
      </c>
      <c r="U881" s="6">
        <v>3500000</v>
      </c>
      <c r="V881" s="4"/>
      <c r="W881" s="4" t="s">
        <v>1102</v>
      </c>
      <c r="X881" s="4"/>
      <c r="Y881" s="7">
        <v>1</v>
      </c>
      <c r="Z881" s="8">
        <v>4267361</v>
      </c>
      <c r="AA881" s="7" t="s">
        <v>1104</v>
      </c>
      <c r="AB881" s="7"/>
      <c r="AC881" s="9">
        <v>2</v>
      </c>
      <c r="AD881" s="10">
        <v>1608507</v>
      </c>
      <c r="AE881" s="9" t="s">
        <v>1104</v>
      </c>
      <c r="AF881" s="9"/>
      <c r="AG881" s="11">
        <v>3</v>
      </c>
      <c r="AH881" s="11" t="s">
        <v>1105</v>
      </c>
      <c r="AI881" s="11"/>
      <c r="AJ881" s="11">
        <v>3</v>
      </c>
      <c r="AK881" s="11" t="s">
        <v>132</v>
      </c>
      <c r="AL881" s="12">
        <v>3</v>
      </c>
      <c r="AM881" s="12" t="s">
        <v>1105</v>
      </c>
      <c r="AN881" s="12"/>
      <c r="AO881" s="12">
        <v>2</v>
      </c>
      <c r="AP881" s="12" t="s">
        <v>143</v>
      </c>
      <c r="AQ881" s="4">
        <v>4</v>
      </c>
      <c r="AR881" s="4" t="s">
        <v>133</v>
      </c>
      <c r="AS881" s="4" t="s">
        <v>3701</v>
      </c>
      <c r="AT881" s="13">
        <v>-44.617218017578097</v>
      </c>
      <c r="AU881" s="13">
        <v>-1.1535120010376001</v>
      </c>
      <c r="AV881" s="13">
        <v>-2.3299999237060498</v>
      </c>
      <c r="AW881" s="13">
        <v>-0.20899799466133101</v>
      </c>
      <c r="AX881" s="4">
        <v>1</v>
      </c>
      <c r="AY881" s="13">
        <v>-9.12744140625</v>
      </c>
      <c r="AZ881" s="13">
        <v>-0.79700714349746704</v>
      </c>
      <c r="BA881" s="13">
        <v>-3.8399999141693102</v>
      </c>
      <c r="BB881" s="13">
        <v>1.3057949542999301</v>
      </c>
      <c r="BC881" s="4"/>
      <c r="BD881" s="4">
        <v>12</v>
      </c>
      <c r="BE881" s="4" t="s">
        <v>134</v>
      </c>
      <c r="BF881" s="13">
        <v>2.1210019588470499</v>
      </c>
      <c r="BG881" s="4">
        <v>595</v>
      </c>
      <c r="BH881" s="13">
        <v>2.5699999183416401E-2</v>
      </c>
      <c r="BI881" s="13">
        <v>15.285799980163601</v>
      </c>
      <c r="BJ881" s="4"/>
      <c r="BK881" s="14">
        <v>11</v>
      </c>
      <c r="BL881" s="14">
        <v>12</v>
      </c>
      <c r="BM881" s="14">
        <v>12</v>
      </c>
      <c r="BP881" s="15"/>
      <c r="BQ881" s="15"/>
      <c r="BR881" s="2" t="s">
        <v>211</v>
      </c>
      <c r="BS881" s="2" t="s">
        <v>239</v>
      </c>
      <c r="BT881" s="7" t="s">
        <v>241</v>
      </c>
      <c r="BU881" s="7" t="s">
        <v>527</v>
      </c>
      <c r="BV881" s="9" t="s">
        <v>241</v>
      </c>
      <c r="BW881" s="9"/>
    </row>
    <row r="882" spans="1:75" ht="14.25" customHeight="1" x14ac:dyDescent="0.25">
      <c r="A882" s="1">
        <v>527</v>
      </c>
      <c r="B882" s="1" t="s">
        <v>3702</v>
      </c>
      <c r="C882" s="1" t="s">
        <v>3703</v>
      </c>
      <c r="D882" s="1" t="s">
        <v>1093</v>
      </c>
      <c r="E882" s="1" t="s">
        <v>1094</v>
      </c>
      <c r="F882" s="1" t="s">
        <v>1108</v>
      </c>
      <c r="G882" s="1" t="s">
        <v>118</v>
      </c>
      <c r="H882" s="2">
        <v>1</v>
      </c>
      <c r="I882" s="2">
        <v>1</v>
      </c>
      <c r="J882" s="2">
        <v>1</v>
      </c>
      <c r="K882" s="2">
        <v>1</v>
      </c>
      <c r="L882" s="3" t="s">
        <v>127</v>
      </c>
      <c r="O882" s="4">
        <v>3</v>
      </c>
      <c r="P882" s="4" t="s">
        <v>1102</v>
      </c>
      <c r="Q882" s="4"/>
      <c r="R882" s="16">
        <v>2000000</v>
      </c>
      <c r="S882" s="6">
        <v>2000000</v>
      </c>
      <c r="T882" s="16">
        <v>2000000</v>
      </c>
      <c r="U882" s="6">
        <v>2000000</v>
      </c>
      <c r="V882" s="4">
        <v>2012</v>
      </c>
      <c r="W882" s="4" t="s">
        <v>1102</v>
      </c>
      <c r="X882" s="4"/>
      <c r="Y882" s="7">
        <v>1</v>
      </c>
      <c r="Z882" s="8">
        <v>11945808</v>
      </c>
      <c r="AA882" s="7" t="s">
        <v>1104</v>
      </c>
      <c r="AB882" s="7"/>
      <c r="AC882" s="9">
        <v>1</v>
      </c>
      <c r="AD882" s="10">
        <v>9599369</v>
      </c>
      <c r="AE882" s="9" t="s">
        <v>1104</v>
      </c>
      <c r="AF882" s="9"/>
      <c r="AG882" s="11">
        <v>3</v>
      </c>
      <c r="AH882" s="11" t="s">
        <v>1105</v>
      </c>
      <c r="AI882" s="11" t="s">
        <v>3682</v>
      </c>
      <c r="AJ882" s="11">
        <v>3</v>
      </c>
      <c r="AK882" s="11" t="s">
        <v>143</v>
      </c>
      <c r="AL882" s="12">
        <v>3</v>
      </c>
      <c r="AM882" s="12" t="s">
        <v>1105</v>
      </c>
      <c r="AN882" s="12"/>
      <c r="AO882" s="12">
        <v>2</v>
      </c>
      <c r="AP882" s="12" t="s">
        <v>132</v>
      </c>
      <c r="AQ882" s="4">
        <v>2</v>
      </c>
      <c r="AR882" s="4" t="s">
        <v>133</v>
      </c>
      <c r="AS882" s="4"/>
      <c r="AT882" s="13">
        <v>25.624263763427699</v>
      </c>
      <c r="AU882" s="13">
        <v>0.44834685325622597</v>
      </c>
      <c r="AV882" s="13">
        <v>-0.18500000238418601</v>
      </c>
      <c r="AW882" s="13">
        <v>1.0099999904632599</v>
      </c>
      <c r="AX882" s="4"/>
      <c r="AY882" s="13">
        <v>0.18204753100872001</v>
      </c>
      <c r="AZ882" s="13">
        <v>1.81984901428223E-2</v>
      </c>
      <c r="BA882" s="13">
        <v>-1.1900000572204601</v>
      </c>
      <c r="BB882" s="13">
        <v>1.1599999666214</v>
      </c>
      <c r="BC882" s="4"/>
      <c r="BD882" s="4">
        <v>10</v>
      </c>
      <c r="BE882" s="4" t="s">
        <v>134</v>
      </c>
      <c r="BF882" s="13">
        <v>1.1950000524520901</v>
      </c>
      <c r="BG882" s="4">
        <v>2131.5</v>
      </c>
      <c r="BH882" s="13">
        <v>4.25</v>
      </c>
      <c r="BI882" s="13">
        <v>9061.7802734375</v>
      </c>
      <c r="BJ882" s="4"/>
      <c r="BK882" s="14">
        <v>9</v>
      </c>
      <c r="BL882" s="14">
        <v>9</v>
      </c>
      <c r="BM882" s="14">
        <v>9</v>
      </c>
      <c r="BP882" s="15"/>
      <c r="BQ882" s="15" t="s">
        <v>136</v>
      </c>
      <c r="BR882" s="2" t="s">
        <v>172</v>
      </c>
      <c r="BS882" s="2" t="s">
        <v>247</v>
      </c>
      <c r="BT882" s="7" t="s">
        <v>137</v>
      </c>
      <c r="BU882" s="7"/>
      <c r="BV882" s="9" t="s">
        <v>137</v>
      </c>
      <c r="BW882" s="9"/>
    </row>
    <row r="883" spans="1:75" ht="14.25" customHeight="1" x14ac:dyDescent="0.25">
      <c r="A883" s="1">
        <v>530</v>
      </c>
      <c r="B883" s="1" t="s">
        <v>3704</v>
      </c>
      <c r="C883" s="1" t="s">
        <v>3705</v>
      </c>
      <c r="D883" s="1" t="s">
        <v>1093</v>
      </c>
      <c r="E883" s="1" t="s">
        <v>1094</v>
      </c>
      <c r="F883" s="1" t="s">
        <v>1108</v>
      </c>
      <c r="G883" s="1" t="s">
        <v>118</v>
      </c>
      <c r="H883" s="2">
        <v>1</v>
      </c>
      <c r="I883" s="2">
        <v>1</v>
      </c>
      <c r="J883" s="2">
        <v>1</v>
      </c>
      <c r="K883" s="2">
        <v>1</v>
      </c>
      <c r="L883" s="3" t="s">
        <v>127</v>
      </c>
      <c r="O883" s="4">
        <v>3</v>
      </c>
      <c r="P883" s="4" t="s">
        <v>1102</v>
      </c>
      <c r="Q883" s="4"/>
      <c r="R883" s="16">
        <v>660000</v>
      </c>
      <c r="S883" s="6">
        <v>660000</v>
      </c>
      <c r="T883" s="16">
        <v>660000</v>
      </c>
      <c r="U883" s="6">
        <v>660000</v>
      </c>
      <c r="V883" s="4"/>
      <c r="W883" s="4" t="s">
        <v>1102</v>
      </c>
      <c r="X883" s="4"/>
      <c r="Y883" s="7">
        <v>1</v>
      </c>
      <c r="Z883" s="8">
        <v>13610960</v>
      </c>
      <c r="AA883" s="7" t="s">
        <v>1104</v>
      </c>
      <c r="AB883" s="7"/>
      <c r="AC883" s="9">
        <v>1</v>
      </c>
      <c r="AD883" s="10">
        <v>19528957</v>
      </c>
      <c r="AE883" s="9" t="s">
        <v>1104</v>
      </c>
      <c r="AF883" s="9"/>
      <c r="AG883" s="11">
        <v>3</v>
      </c>
      <c r="AH883" s="11" t="s">
        <v>1105</v>
      </c>
      <c r="AI883" s="11"/>
      <c r="AJ883" s="11">
        <v>3</v>
      </c>
      <c r="AK883" s="11" t="s">
        <v>143</v>
      </c>
      <c r="AL883" s="12">
        <v>2</v>
      </c>
      <c r="AM883" s="12" t="s">
        <v>1105</v>
      </c>
      <c r="AN883" s="12"/>
      <c r="AO883" s="12">
        <v>2</v>
      </c>
      <c r="AP883" s="12" t="s">
        <v>132</v>
      </c>
      <c r="AQ883" s="4">
        <v>5</v>
      </c>
      <c r="AR883" s="4" t="s">
        <v>133</v>
      </c>
      <c r="AS883" s="4"/>
      <c r="AT883" s="13">
        <v>-54.805988311767599</v>
      </c>
      <c r="AU883" s="13">
        <v>-1.54460656642914</v>
      </c>
      <c r="AV883" s="13">
        <v>-2.2699999809265101</v>
      </c>
      <c r="AW883" s="13">
        <v>-1.1799999475479099</v>
      </c>
      <c r="AX883" s="4">
        <v>1</v>
      </c>
      <c r="AY883" s="13">
        <v>-9.5821342468261701</v>
      </c>
      <c r="AZ883" s="13">
        <v>-0.91142857074737504</v>
      </c>
      <c r="BA883" s="13">
        <v>-1.78999996185303</v>
      </c>
      <c r="BB883" s="13">
        <v>0.43799999356269798</v>
      </c>
      <c r="BC883" s="4"/>
      <c r="BD883" s="4">
        <v>11</v>
      </c>
      <c r="BE883" s="4" t="s">
        <v>134</v>
      </c>
      <c r="BF883" s="13">
        <v>1.0900000333786</v>
      </c>
      <c r="BG883" s="4">
        <v>3159.5</v>
      </c>
      <c r="BH883" s="13">
        <v>0.466500014066696</v>
      </c>
      <c r="BI883" s="13">
        <v>1384.24951171875</v>
      </c>
      <c r="BJ883" s="4"/>
      <c r="BK883" s="14">
        <v>12</v>
      </c>
      <c r="BL883" s="14">
        <v>11</v>
      </c>
      <c r="BM883" s="14">
        <v>12</v>
      </c>
      <c r="BN883" s="3" t="s">
        <v>302</v>
      </c>
      <c r="BP883" s="15"/>
      <c r="BQ883" s="15"/>
      <c r="BR883" s="2" t="s">
        <v>172</v>
      </c>
      <c r="BS883" s="2" t="s">
        <v>247</v>
      </c>
      <c r="BT883" s="7" t="s">
        <v>137</v>
      </c>
      <c r="BU883" s="7"/>
      <c r="BV883" s="9" t="s">
        <v>212</v>
      </c>
      <c r="BW883" s="9"/>
    </row>
    <row r="884" spans="1:75" ht="14.25" customHeight="1" x14ac:dyDescent="0.25">
      <c r="A884" s="1">
        <v>532</v>
      </c>
      <c r="B884" s="1" t="s">
        <v>3706</v>
      </c>
      <c r="C884" s="1" t="s">
        <v>3707</v>
      </c>
      <c r="D884" s="1" t="s">
        <v>1093</v>
      </c>
      <c r="E884" s="1" t="s">
        <v>1094</v>
      </c>
      <c r="F884" s="1" t="s">
        <v>1108</v>
      </c>
      <c r="G884" s="1"/>
      <c r="H884" s="2">
        <v>1</v>
      </c>
      <c r="I884" s="2">
        <v>1</v>
      </c>
      <c r="J884" s="2">
        <v>1</v>
      </c>
      <c r="K884" s="2">
        <v>1</v>
      </c>
      <c r="L884" s="3" t="s">
        <v>127</v>
      </c>
      <c r="O884" s="4">
        <v>4</v>
      </c>
      <c r="P884" s="4" t="s">
        <v>1102</v>
      </c>
      <c r="Q884" s="4"/>
      <c r="R884" s="16">
        <v>190000</v>
      </c>
      <c r="S884" s="6">
        <v>190000</v>
      </c>
      <c r="T884" s="16">
        <v>190000</v>
      </c>
      <c r="U884" s="6">
        <v>190000</v>
      </c>
      <c r="V884" s="4"/>
      <c r="W884" s="4" t="s">
        <v>1102</v>
      </c>
      <c r="X884" s="4"/>
      <c r="Y884" s="7">
        <v>1</v>
      </c>
      <c r="Z884" s="8">
        <v>5531901</v>
      </c>
      <c r="AA884" s="7" t="s">
        <v>1104</v>
      </c>
      <c r="AB884" s="7"/>
      <c r="AC884" s="9">
        <v>1</v>
      </c>
      <c r="AD884" s="10">
        <v>16280555</v>
      </c>
      <c r="AE884" s="9" t="s">
        <v>1104</v>
      </c>
      <c r="AF884" s="9"/>
      <c r="AG884" s="11">
        <v>3</v>
      </c>
      <c r="AH884" s="11" t="s">
        <v>1105</v>
      </c>
      <c r="AI884" s="11"/>
      <c r="AJ884" s="11">
        <v>3</v>
      </c>
      <c r="AK884" s="11" t="s">
        <v>132</v>
      </c>
      <c r="AL884" s="12">
        <v>3</v>
      </c>
      <c r="AM884" s="12" t="s">
        <v>1109</v>
      </c>
      <c r="AN884" s="12" t="s">
        <v>3708</v>
      </c>
      <c r="AO884" s="12">
        <v>1</v>
      </c>
      <c r="AP884" s="12" t="s">
        <v>143</v>
      </c>
      <c r="AQ884" s="4">
        <v>2</v>
      </c>
      <c r="AR884" s="4" t="s">
        <v>133</v>
      </c>
      <c r="AS884" s="4"/>
      <c r="AT884" s="13">
        <v>23.447532653808601</v>
      </c>
      <c r="AU884" s="13">
        <v>0.41370916366577098</v>
      </c>
      <c r="AV884" s="13">
        <v>-0.89200001955032304</v>
      </c>
      <c r="AW884" s="13">
        <v>2.1900000572204599</v>
      </c>
      <c r="AX884" s="4"/>
      <c r="AY884" s="13">
        <v>10.713080406189</v>
      </c>
      <c r="AZ884" s="13">
        <v>1.02419233322144</v>
      </c>
      <c r="BA884" s="13">
        <v>-2.09270095825195</v>
      </c>
      <c r="BB884" s="13">
        <v>6.4899997711181596</v>
      </c>
      <c r="BC884" s="4"/>
      <c r="BD884" s="4">
        <v>10</v>
      </c>
      <c r="BE884" s="4" t="s">
        <v>134</v>
      </c>
      <c r="BF884" s="13">
        <v>3.0820000171661399</v>
      </c>
      <c r="BG884" s="4">
        <v>221.5</v>
      </c>
      <c r="BH884" s="13">
        <v>0.27099999785423301</v>
      </c>
      <c r="BI884" s="13">
        <v>58.784999847412102</v>
      </c>
      <c r="BJ884" s="4"/>
      <c r="BK884" s="14">
        <v>10</v>
      </c>
      <c r="BL884" s="14">
        <v>10</v>
      </c>
      <c r="BM884" s="14">
        <v>10</v>
      </c>
      <c r="BP884" s="15"/>
      <c r="BQ884" s="15"/>
      <c r="BR884" s="2" t="s">
        <v>211</v>
      </c>
      <c r="BS884" s="2" t="s">
        <v>740</v>
      </c>
      <c r="BT884" s="7" t="s">
        <v>303</v>
      </c>
      <c r="BU884" s="7"/>
      <c r="BV884" s="9" t="s">
        <v>212</v>
      </c>
      <c r="BW884" s="9"/>
    </row>
    <row r="885" spans="1:75" ht="14.25" customHeight="1" x14ac:dyDescent="0.25">
      <c r="A885" s="1">
        <v>534</v>
      </c>
      <c r="B885" s="1" t="s">
        <v>3709</v>
      </c>
      <c r="C885" s="1" t="s">
        <v>3710</v>
      </c>
      <c r="D885" s="1" t="s">
        <v>1093</v>
      </c>
      <c r="E885" s="1" t="s">
        <v>1094</v>
      </c>
      <c r="F885" s="1" t="s">
        <v>1108</v>
      </c>
      <c r="G885" s="1" t="s">
        <v>3711</v>
      </c>
      <c r="H885" s="2">
        <v>1</v>
      </c>
      <c r="I885" s="2">
        <v>1</v>
      </c>
      <c r="J885" s="2">
        <v>1</v>
      </c>
      <c r="K885" s="2">
        <v>1</v>
      </c>
      <c r="L885" s="3" t="s">
        <v>127</v>
      </c>
      <c r="O885" s="4">
        <v>5</v>
      </c>
      <c r="P885" s="4" t="s">
        <v>1102</v>
      </c>
      <c r="Q885" s="4"/>
      <c r="R885" s="16">
        <v>18000</v>
      </c>
      <c r="S885" s="6">
        <v>18000</v>
      </c>
      <c r="T885" s="16">
        <v>16000</v>
      </c>
      <c r="U885" s="6">
        <v>16000</v>
      </c>
      <c r="V885" s="4"/>
      <c r="W885" s="4" t="s">
        <v>3712</v>
      </c>
      <c r="X885" s="4" t="s">
        <v>3713</v>
      </c>
      <c r="Y885" s="7">
        <v>2</v>
      </c>
      <c r="Z885" s="8">
        <v>1113390</v>
      </c>
      <c r="AA885" s="7" t="s">
        <v>1104</v>
      </c>
      <c r="AB885" s="7"/>
      <c r="AC885" s="9">
        <v>3</v>
      </c>
      <c r="AD885" s="10">
        <v>432230</v>
      </c>
      <c r="AE885" s="9" t="s">
        <v>1104</v>
      </c>
      <c r="AF885" s="9"/>
      <c r="AG885" s="11">
        <v>4</v>
      </c>
      <c r="AH885" s="11" t="s">
        <v>1105</v>
      </c>
      <c r="AI885" s="11"/>
      <c r="AJ885" s="11">
        <v>5</v>
      </c>
      <c r="AK885" s="11" t="s">
        <v>143</v>
      </c>
      <c r="AL885" s="12">
        <v>3</v>
      </c>
      <c r="AM885" s="12" t="s">
        <v>1109</v>
      </c>
      <c r="AN885" s="12" t="s">
        <v>3714</v>
      </c>
      <c r="AO885" s="12">
        <v>2</v>
      </c>
      <c r="AP885" s="12" t="s">
        <v>132</v>
      </c>
      <c r="AQ885" s="4">
        <v>3</v>
      </c>
      <c r="AR885" s="4" t="s">
        <v>1102</v>
      </c>
      <c r="AS885" s="4" t="s">
        <v>3715</v>
      </c>
      <c r="AT885" s="13"/>
      <c r="AU885" s="13"/>
      <c r="AV885" s="13"/>
      <c r="AW885" s="13"/>
      <c r="AX885" s="4"/>
      <c r="AY885" s="13"/>
      <c r="AZ885" s="13"/>
      <c r="BA885" s="13"/>
      <c r="BB885" s="13"/>
      <c r="BC885" s="4"/>
      <c r="BD885" s="4"/>
      <c r="BE885" s="4"/>
      <c r="BF885" s="13"/>
      <c r="BG885" s="4"/>
      <c r="BH885" s="13"/>
      <c r="BI885" s="13"/>
      <c r="BJ885" s="4"/>
      <c r="BK885" s="14">
        <v>14</v>
      </c>
      <c r="BL885" s="14">
        <v>14</v>
      </c>
      <c r="BM885" s="14">
        <v>14</v>
      </c>
      <c r="BN885" s="3" t="s">
        <v>113</v>
      </c>
      <c r="BP885" s="15"/>
      <c r="BQ885" s="15"/>
      <c r="BR885" s="2" t="s">
        <v>161</v>
      </c>
      <c r="BS885" s="2" t="s">
        <v>162</v>
      </c>
      <c r="BT885" s="7" t="s">
        <v>539</v>
      </c>
      <c r="BU885" s="7" t="s">
        <v>173</v>
      </c>
      <c r="BV885" s="9" t="s">
        <v>357</v>
      </c>
      <c r="BW885" s="9"/>
    </row>
    <row r="886" spans="1:75" ht="14.25" customHeight="1" x14ac:dyDescent="0.25">
      <c r="A886" s="1">
        <v>535</v>
      </c>
      <c r="B886" s="1" t="s">
        <v>3716</v>
      </c>
      <c r="C886" s="1" t="s">
        <v>3717</v>
      </c>
      <c r="D886" s="1" t="s">
        <v>1093</v>
      </c>
      <c r="E886" s="1" t="s">
        <v>1094</v>
      </c>
      <c r="F886" s="1" t="s">
        <v>1108</v>
      </c>
      <c r="G886" s="1" t="s">
        <v>118</v>
      </c>
      <c r="H886" s="2">
        <v>1</v>
      </c>
      <c r="I886" s="2">
        <v>1</v>
      </c>
      <c r="J886" s="2">
        <v>1</v>
      </c>
      <c r="K886" s="2">
        <v>1</v>
      </c>
      <c r="L886" s="3" t="s">
        <v>127</v>
      </c>
      <c r="O886" s="4">
        <v>3</v>
      </c>
      <c r="P886" s="4" t="s">
        <v>1102</v>
      </c>
      <c r="Q886" s="4" t="s">
        <v>3640</v>
      </c>
      <c r="R886" s="16">
        <v>660000</v>
      </c>
      <c r="S886" s="6">
        <v>660000</v>
      </c>
      <c r="T886" s="16">
        <v>660000</v>
      </c>
      <c r="U886" s="6">
        <v>660000</v>
      </c>
      <c r="V886" s="4"/>
      <c r="W886" s="4" t="s">
        <v>1102</v>
      </c>
      <c r="X886" s="4"/>
      <c r="Y886" s="7">
        <v>1</v>
      </c>
      <c r="Z886" s="8">
        <v>4577413</v>
      </c>
      <c r="AA886" s="7" t="s">
        <v>1104</v>
      </c>
      <c r="AB886" s="7"/>
      <c r="AC886" s="9">
        <v>1</v>
      </c>
      <c r="AD886" s="10">
        <v>20603785</v>
      </c>
      <c r="AE886" s="9" t="s">
        <v>1104</v>
      </c>
      <c r="AF886" s="9"/>
      <c r="AG886" s="11">
        <v>4</v>
      </c>
      <c r="AH886" s="11" t="s">
        <v>1105</v>
      </c>
      <c r="AI886" s="11"/>
      <c r="AJ886" s="11">
        <v>5</v>
      </c>
      <c r="AK886" s="11" t="s">
        <v>143</v>
      </c>
      <c r="AL886" s="12">
        <v>4</v>
      </c>
      <c r="AM886" s="12" t="s">
        <v>1109</v>
      </c>
      <c r="AN886" s="12" t="s">
        <v>3718</v>
      </c>
      <c r="AO886" s="12">
        <v>1</v>
      </c>
      <c r="AP886" s="12" t="s">
        <v>132</v>
      </c>
      <c r="AQ886" s="4">
        <v>5</v>
      </c>
      <c r="AR886" s="4" t="s">
        <v>1111</v>
      </c>
      <c r="AS886" s="4"/>
      <c r="AT886" s="13">
        <v>-77.481674194335895</v>
      </c>
      <c r="AU886" s="13">
        <v>-3.7581939697265598</v>
      </c>
      <c r="AV886" s="13">
        <v>-5.0283107757568404</v>
      </c>
      <c r="AW886" s="13">
        <v>-2.5242948532104501</v>
      </c>
      <c r="AX886" s="4">
        <v>1</v>
      </c>
      <c r="AY886" s="13">
        <v>-61.640743255615199</v>
      </c>
      <c r="AZ886" s="13">
        <v>-7.1051588058471697</v>
      </c>
      <c r="BA886" s="13">
        <v>-10.6220846176147</v>
      </c>
      <c r="BB886" s="13">
        <v>-3.5114822387695299</v>
      </c>
      <c r="BC886" s="4">
        <v>1</v>
      </c>
      <c r="BD886" s="4">
        <v>13</v>
      </c>
      <c r="BE886" s="4"/>
      <c r="BF886" s="13">
        <v>2.5040159225463898</v>
      </c>
      <c r="BG886" s="4">
        <v>918.375</v>
      </c>
      <c r="BH886" s="13">
        <v>5.0107302665710396</v>
      </c>
      <c r="BI886" s="13">
        <v>4601.7294921875</v>
      </c>
      <c r="BJ886" s="4">
        <v>9</v>
      </c>
      <c r="BK886" s="14">
        <v>13</v>
      </c>
      <c r="BL886" s="14">
        <v>13</v>
      </c>
      <c r="BM886" s="14">
        <v>13</v>
      </c>
      <c r="BN886" s="3" t="s">
        <v>375</v>
      </c>
      <c r="BP886" s="15"/>
      <c r="BQ886" s="15" t="s">
        <v>136</v>
      </c>
      <c r="BR886" s="2" t="s">
        <v>211</v>
      </c>
      <c r="BS886" s="2" t="s">
        <v>247</v>
      </c>
      <c r="BT886" s="7" t="s">
        <v>303</v>
      </c>
      <c r="BU886" s="7"/>
      <c r="BV886" s="9" t="s">
        <v>137</v>
      </c>
      <c r="BW886" s="9"/>
    </row>
    <row r="887" spans="1:75" ht="14.25" customHeight="1" x14ac:dyDescent="0.25">
      <c r="A887" s="1">
        <v>536</v>
      </c>
      <c r="B887" s="1" t="s">
        <v>3719</v>
      </c>
      <c r="C887" s="1" t="s">
        <v>3720</v>
      </c>
      <c r="D887" s="1" t="s">
        <v>1093</v>
      </c>
      <c r="E887" s="1" t="s">
        <v>1094</v>
      </c>
      <c r="F887" s="1" t="s">
        <v>1108</v>
      </c>
      <c r="G887" s="1"/>
      <c r="H887" s="2">
        <v>1</v>
      </c>
      <c r="I887" s="2">
        <v>1</v>
      </c>
      <c r="J887" s="2">
        <v>1</v>
      </c>
      <c r="K887" s="2">
        <v>1</v>
      </c>
      <c r="L887" s="3" t="s">
        <v>127</v>
      </c>
      <c r="O887" s="4">
        <v>4</v>
      </c>
      <c r="P887" s="4" t="s">
        <v>1102</v>
      </c>
      <c r="Q887" s="4"/>
      <c r="R887" s="16">
        <v>250000</v>
      </c>
      <c r="S887" s="6">
        <v>250000</v>
      </c>
      <c r="T887" s="16">
        <v>250000</v>
      </c>
      <c r="U887" s="6">
        <v>250000</v>
      </c>
      <c r="V887" s="4"/>
      <c r="W887" s="4" t="s">
        <v>1102</v>
      </c>
      <c r="X887" s="4" t="s">
        <v>3721</v>
      </c>
      <c r="Y887" s="7">
        <v>2</v>
      </c>
      <c r="Z887" s="8">
        <v>2510297</v>
      </c>
      <c r="AA887" s="7" t="s">
        <v>1104</v>
      </c>
      <c r="AB887" s="7"/>
      <c r="AC887" s="9">
        <v>2</v>
      </c>
      <c r="AD887" s="10">
        <v>2719479</v>
      </c>
      <c r="AE887" s="9" t="s">
        <v>1104</v>
      </c>
      <c r="AF887" s="9"/>
      <c r="AG887" s="11">
        <v>4</v>
      </c>
      <c r="AH887" s="11" t="s">
        <v>1105</v>
      </c>
      <c r="AI887" s="11"/>
      <c r="AJ887" s="11">
        <v>2</v>
      </c>
      <c r="AK887" s="11" t="s">
        <v>143</v>
      </c>
      <c r="AL887" s="12">
        <v>4</v>
      </c>
      <c r="AM887" s="12" t="s">
        <v>1105</v>
      </c>
      <c r="AN887" s="12"/>
      <c r="AO887" s="12">
        <v>2</v>
      </c>
      <c r="AP887" s="12" t="s">
        <v>132</v>
      </c>
      <c r="AQ887" s="4">
        <v>4</v>
      </c>
      <c r="AR887" s="4" t="s">
        <v>133</v>
      </c>
      <c r="AS887" s="4"/>
      <c r="AT887" s="13">
        <v>-26.773155212402301</v>
      </c>
      <c r="AU887" s="13">
        <v>-0.60974097251892101</v>
      </c>
      <c r="AV887" s="13">
        <v>-0.96750301122665405</v>
      </c>
      <c r="AW887" s="13">
        <v>-0.143999993801117</v>
      </c>
      <c r="AX887" s="4">
        <v>1</v>
      </c>
      <c r="AY887" s="13">
        <v>-14.4244194030762</v>
      </c>
      <c r="AZ887" s="13">
        <v>-0.91038399934768699</v>
      </c>
      <c r="BA887" s="13">
        <v>-2.0099999904632599</v>
      </c>
      <c r="BB887" s="13">
        <v>-0.18850000202655801</v>
      </c>
      <c r="BC887" s="4">
        <v>1</v>
      </c>
      <c r="BD887" s="4">
        <v>17</v>
      </c>
      <c r="BE887" s="4" t="s">
        <v>134</v>
      </c>
      <c r="BF887" s="13">
        <v>0.823503017425537</v>
      </c>
      <c r="BG887" s="4">
        <v>838.5</v>
      </c>
      <c r="BH887" s="13">
        <v>1.45500004291534</v>
      </c>
      <c r="BI887" s="13">
        <v>1322.76501464844</v>
      </c>
      <c r="BJ887" s="4"/>
      <c r="BK887" s="14">
        <v>14</v>
      </c>
      <c r="BL887" s="14">
        <v>14</v>
      </c>
      <c r="BM887" s="14">
        <v>14</v>
      </c>
      <c r="BN887" s="3" t="s">
        <v>86</v>
      </c>
      <c r="BP887" s="15"/>
      <c r="BQ887" s="15"/>
      <c r="BR887" s="2" t="s">
        <v>172</v>
      </c>
      <c r="BS887" s="2" t="s">
        <v>247</v>
      </c>
      <c r="BT887" s="7" t="s">
        <v>248</v>
      </c>
      <c r="BU887" s="7" t="s">
        <v>148</v>
      </c>
      <c r="BV887" s="9" t="s">
        <v>357</v>
      </c>
      <c r="BW887" s="9" t="s">
        <v>148</v>
      </c>
    </row>
    <row r="888" spans="1:75" ht="14.25" customHeight="1" x14ac:dyDescent="0.25">
      <c r="A888" s="1">
        <v>539</v>
      </c>
      <c r="B888" s="1" t="s">
        <v>3722</v>
      </c>
      <c r="C888" s="1" t="s">
        <v>3723</v>
      </c>
      <c r="D888" s="1" t="s">
        <v>1093</v>
      </c>
      <c r="E888" s="1" t="s">
        <v>1094</v>
      </c>
      <c r="F888" s="1" t="s">
        <v>1108</v>
      </c>
      <c r="G888" s="1" t="s">
        <v>118</v>
      </c>
      <c r="H888" s="2">
        <v>1</v>
      </c>
      <c r="I888" s="2">
        <v>1</v>
      </c>
      <c r="J888" s="2">
        <v>1</v>
      </c>
      <c r="K888" s="2">
        <v>1</v>
      </c>
      <c r="L888" s="3" t="s">
        <v>127</v>
      </c>
      <c r="O888" s="4">
        <v>4</v>
      </c>
      <c r="P888" s="4" t="s">
        <v>1102</v>
      </c>
      <c r="Q888" s="4"/>
      <c r="R888" s="16">
        <v>140000</v>
      </c>
      <c r="S888" s="6">
        <v>140000</v>
      </c>
      <c r="T888" s="16">
        <v>140000</v>
      </c>
      <c r="U888" s="6">
        <v>140000</v>
      </c>
      <c r="V888" s="4"/>
      <c r="W888" s="4" t="s">
        <v>1102</v>
      </c>
      <c r="X888" s="4"/>
      <c r="Y888" s="7">
        <v>1</v>
      </c>
      <c r="Z888" s="8">
        <v>4397341</v>
      </c>
      <c r="AA888" s="7" t="s">
        <v>1104</v>
      </c>
      <c r="AB888" s="7"/>
      <c r="AC888" s="9">
        <v>1</v>
      </c>
      <c r="AD888" s="10">
        <v>21289337</v>
      </c>
      <c r="AE888" s="9" t="s">
        <v>1104</v>
      </c>
      <c r="AF888" s="9"/>
      <c r="AG888" s="11">
        <v>4</v>
      </c>
      <c r="AH888" s="11" t="s">
        <v>1109</v>
      </c>
      <c r="AI888" s="11" t="s">
        <v>3724</v>
      </c>
      <c r="AJ888" s="11">
        <v>4</v>
      </c>
      <c r="AK888" s="11" t="s">
        <v>143</v>
      </c>
      <c r="AL888" s="12">
        <v>4</v>
      </c>
      <c r="AM888" s="12" t="s">
        <v>1109</v>
      </c>
      <c r="AN888" s="12" t="s">
        <v>3725</v>
      </c>
      <c r="AO888" s="12">
        <v>2</v>
      </c>
      <c r="AP888" s="12" t="s">
        <v>132</v>
      </c>
      <c r="AQ888" s="4">
        <v>5</v>
      </c>
      <c r="AR888" s="4" t="s">
        <v>1111</v>
      </c>
      <c r="AS888" s="4"/>
      <c r="AT888" s="13">
        <v>-43.350955963134801</v>
      </c>
      <c r="AU888" s="13">
        <v>-1.4591815471649201</v>
      </c>
      <c r="AV888" s="13">
        <v>-2.46368408203125</v>
      </c>
      <c r="AW888" s="13">
        <v>-0.50821143388748202</v>
      </c>
      <c r="AX888" s="4">
        <v>1</v>
      </c>
      <c r="AY888" s="13">
        <v>-42.915027618408203</v>
      </c>
      <c r="AZ888" s="13">
        <v>-3.7229533195495601</v>
      </c>
      <c r="BA888" s="13">
        <v>-6.5213451385498002</v>
      </c>
      <c r="BB888" s="13">
        <v>-1.0918488502502399</v>
      </c>
      <c r="BC888" s="4">
        <v>1</v>
      </c>
      <c r="BD888" s="4">
        <v>15</v>
      </c>
      <c r="BE888" s="4"/>
      <c r="BF888" s="13">
        <v>1.95547270774841</v>
      </c>
      <c r="BG888" s="4">
        <v>1008.175</v>
      </c>
      <c r="BH888" s="13">
        <v>6.6103415489196804</v>
      </c>
      <c r="BI888" s="13">
        <v>6664.38134765625</v>
      </c>
      <c r="BJ888" s="4">
        <v>18</v>
      </c>
      <c r="BK888" s="14">
        <v>14</v>
      </c>
      <c r="BL888" s="14">
        <v>14</v>
      </c>
      <c r="BM888" s="14">
        <v>14</v>
      </c>
      <c r="BN888" s="3" t="s">
        <v>375</v>
      </c>
      <c r="BP888" s="15"/>
      <c r="BQ888" s="15" t="s">
        <v>136</v>
      </c>
      <c r="BR888" s="2" t="s">
        <v>211</v>
      </c>
      <c r="BS888" s="2" t="s">
        <v>247</v>
      </c>
      <c r="BT888" s="7" t="s">
        <v>303</v>
      </c>
      <c r="BU888" s="7"/>
      <c r="BV888" s="9" t="s">
        <v>137</v>
      </c>
      <c r="BW888" s="9"/>
    </row>
    <row r="889" spans="1:75" ht="14.25" customHeight="1" x14ac:dyDescent="0.25">
      <c r="A889" s="1">
        <v>543</v>
      </c>
      <c r="B889" s="1" t="s">
        <v>3726</v>
      </c>
      <c r="C889" s="1" t="s">
        <v>3727</v>
      </c>
      <c r="D889" s="1" t="s">
        <v>1093</v>
      </c>
      <c r="E889" s="1" t="s">
        <v>1094</v>
      </c>
      <c r="F889" s="1" t="s">
        <v>1108</v>
      </c>
      <c r="G889" s="1" t="s">
        <v>118</v>
      </c>
      <c r="H889" s="2">
        <v>1</v>
      </c>
      <c r="I889" s="2">
        <v>1</v>
      </c>
      <c r="J889" s="2">
        <v>1</v>
      </c>
      <c r="K889" s="2">
        <v>1</v>
      </c>
      <c r="L889" s="3" t="s">
        <v>127</v>
      </c>
      <c r="O889" s="4">
        <v>3</v>
      </c>
      <c r="P889" s="4" t="s">
        <v>1102</v>
      </c>
      <c r="Q889" s="4"/>
      <c r="R889" s="16">
        <v>1500000</v>
      </c>
      <c r="S889" s="6">
        <v>1500000</v>
      </c>
      <c r="T889" s="16">
        <v>1500000</v>
      </c>
      <c r="U889" s="6">
        <v>1500000</v>
      </c>
      <c r="V889" s="4">
        <v>2012</v>
      </c>
      <c r="W889" s="4" t="s">
        <v>1102</v>
      </c>
      <c r="X889" s="4"/>
      <c r="Y889" s="7">
        <v>2</v>
      </c>
      <c r="Z889" s="8">
        <v>3820285</v>
      </c>
      <c r="AA889" s="7" t="s">
        <v>1104</v>
      </c>
      <c r="AB889" s="7"/>
      <c r="AC889" s="9">
        <v>1</v>
      </c>
      <c r="AD889" s="10">
        <v>5977525</v>
      </c>
      <c r="AE889" s="9" t="s">
        <v>1104</v>
      </c>
      <c r="AF889" s="9"/>
      <c r="AG889" s="11">
        <v>3</v>
      </c>
      <c r="AH889" s="11" t="s">
        <v>1105</v>
      </c>
      <c r="AI889" s="11"/>
      <c r="AJ889" s="11">
        <v>3</v>
      </c>
      <c r="AK889" s="11" t="s">
        <v>143</v>
      </c>
      <c r="AL889" s="12">
        <v>4</v>
      </c>
      <c r="AM889" s="12" t="s">
        <v>1102</v>
      </c>
      <c r="AN889" s="12"/>
      <c r="AO889" s="12"/>
      <c r="AP889" s="12"/>
      <c r="AQ889" s="4">
        <v>3</v>
      </c>
      <c r="AR889" s="4" t="s">
        <v>133</v>
      </c>
      <c r="AS889" s="4"/>
      <c r="AT889" s="13">
        <v>-13.991575241088899</v>
      </c>
      <c r="AU889" s="13">
        <v>-0.29583424329757702</v>
      </c>
      <c r="AV889" s="13">
        <v>-1.20000004768372</v>
      </c>
      <c r="AW889" s="13">
        <v>0.39449900388717701</v>
      </c>
      <c r="AX889" s="4"/>
      <c r="AY889" s="13">
        <v>-3.72305512428284</v>
      </c>
      <c r="AZ889" s="13">
        <v>-0.37873208522796598</v>
      </c>
      <c r="BA889" s="13">
        <v>-2.7422010898590101</v>
      </c>
      <c r="BB889" s="13">
        <v>2.5</v>
      </c>
      <c r="BC889" s="4"/>
      <c r="BD889" s="4">
        <v>10</v>
      </c>
      <c r="BE889" s="4" t="s">
        <v>134</v>
      </c>
      <c r="BF889" s="13">
        <v>1.59449899196625</v>
      </c>
      <c r="BG889" s="4">
        <v>634.5</v>
      </c>
      <c r="BH889" s="13">
        <v>1.2300000190734901</v>
      </c>
      <c r="BI889" s="13">
        <v>780.33001708984398</v>
      </c>
      <c r="BJ889" s="4"/>
      <c r="BK889" s="14">
        <v>11</v>
      </c>
      <c r="BL889" s="14">
        <v>11</v>
      </c>
      <c r="BM889" s="14">
        <v>11</v>
      </c>
      <c r="BP889" s="15"/>
      <c r="BQ889" s="15"/>
      <c r="BR889" s="2" t="s">
        <v>457</v>
      </c>
      <c r="BS889" s="2" t="s">
        <v>1136</v>
      </c>
      <c r="BT889" s="7" t="s">
        <v>248</v>
      </c>
      <c r="BU889" s="7" t="s">
        <v>147</v>
      </c>
      <c r="BV889" s="9" t="s">
        <v>212</v>
      </c>
      <c r="BW889" s="9" t="s">
        <v>147</v>
      </c>
    </row>
    <row r="890" spans="1:75" ht="14.25" customHeight="1" x14ac:dyDescent="0.25">
      <c r="A890" s="1">
        <v>544</v>
      </c>
      <c r="B890" s="1" t="s">
        <v>3728</v>
      </c>
      <c r="C890" s="1" t="s">
        <v>3729</v>
      </c>
      <c r="D890" s="1" t="s">
        <v>1093</v>
      </c>
      <c r="E890" s="1" t="s">
        <v>1094</v>
      </c>
      <c r="F890" s="1" t="s">
        <v>1108</v>
      </c>
      <c r="G890" s="1" t="s">
        <v>118</v>
      </c>
      <c r="H890" s="2">
        <v>1</v>
      </c>
      <c r="I890" s="2">
        <v>1</v>
      </c>
      <c r="J890" s="2">
        <v>1</v>
      </c>
      <c r="K890" s="2">
        <v>1</v>
      </c>
      <c r="L890" s="3" t="s">
        <v>127</v>
      </c>
      <c r="O890" s="4">
        <v>3</v>
      </c>
      <c r="P890" s="4" t="s">
        <v>1102</v>
      </c>
      <c r="Q890" s="4"/>
      <c r="R890" s="16">
        <v>4100000</v>
      </c>
      <c r="S890" s="6">
        <v>4100000</v>
      </c>
      <c r="T890" s="16">
        <v>2500000</v>
      </c>
      <c r="U890" s="6">
        <v>2500000</v>
      </c>
      <c r="V890" s="4"/>
      <c r="W890" s="4" t="s">
        <v>1102</v>
      </c>
      <c r="X890" s="4"/>
      <c r="Y890" s="7">
        <v>1</v>
      </c>
      <c r="Z890" s="8">
        <v>9104053</v>
      </c>
      <c r="AA890" s="7" t="s">
        <v>1104</v>
      </c>
      <c r="AB890" s="7"/>
      <c r="AC890" s="9">
        <v>1</v>
      </c>
      <c r="AD890" s="10">
        <v>7129419</v>
      </c>
      <c r="AE890" s="9" t="s">
        <v>1104</v>
      </c>
      <c r="AF890" s="9"/>
      <c r="AG890" s="11">
        <v>3</v>
      </c>
      <c r="AH890" s="11" t="s">
        <v>1105</v>
      </c>
      <c r="AI890" s="11"/>
      <c r="AJ890" s="11">
        <v>4</v>
      </c>
      <c r="AK890" s="11" t="s">
        <v>143</v>
      </c>
      <c r="AL890" s="12">
        <v>3</v>
      </c>
      <c r="AM890" s="12" t="s">
        <v>1102</v>
      </c>
      <c r="AN890" s="12"/>
      <c r="AO890" s="12"/>
      <c r="AP890" s="12"/>
      <c r="AQ890" s="4">
        <v>4</v>
      </c>
      <c r="AR890" s="4" t="s">
        <v>1100</v>
      </c>
      <c r="AS890" s="4" t="s">
        <v>3730</v>
      </c>
      <c r="AT890" s="13"/>
      <c r="AU890" s="13"/>
      <c r="AV890" s="13"/>
      <c r="AW890" s="13"/>
      <c r="AX890" s="4"/>
      <c r="AY890" s="13"/>
      <c r="AZ890" s="13"/>
      <c r="BA890" s="13"/>
      <c r="BB890" s="13"/>
      <c r="BC890" s="4"/>
      <c r="BD890" s="4"/>
      <c r="BE890" s="4"/>
      <c r="BF890" s="13"/>
      <c r="BG890" s="4"/>
      <c r="BH890" s="13"/>
      <c r="BI890" s="13"/>
      <c r="BJ890" s="4"/>
      <c r="BK890" s="14">
        <v>11</v>
      </c>
      <c r="BL890" s="14">
        <v>11</v>
      </c>
      <c r="BM890" s="14">
        <v>11</v>
      </c>
      <c r="BP890" s="15"/>
      <c r="BQ890" s="15"/>
      <c r="BR890" s="2" t="s">
        <v>161</v>
      </c>
      <c r="BS890" s="2" t="s">
        <v>1368</v>
      </c>
      <c r="BT890" s="7" t="s">
        <v>173</v>
      </c>
      <c r="BU890" s="7"/>
      <c r="BV890" s="9" t="s">
        <v>1154</v>
      </c>
      <c r="BW890" s="9" t="s">
        <v>163</v>
      </c>
    </row>
    <row r="891" spans="1:75" ht="14.25" customHeight="1" x14ac:dyDescent="0.25">
      <c r="A891" s="1">
        <v>545</v>
      </c>
      <c r="B891" s="1" t="s">
        <v>3731</v>
      </c>
      <c r="C891" s="1" t="s">
        <v>3732</v>
      </c>
      <c r="D891" s="1" t="s">
        <v>1093</v>
      </c>
      <c r="E891" s="1" t="s">
        <v>1094</v>
      </c>
      <c r="F891" s="1" t="s">
        <v>1108</v>
      </c>
      <c r="G891" s="1" t="s">
        <v>118</v>
      </c>
      <c r="H891" s="2">
        <v>1</v>
      </c>
      <c r="I891" s="2">
        <v>1</v>
      </c>
      <c r="J891" s="2">
        <v>1</v>
      </c>
      <c r="K891" s="2">
        <v>1</v>
      </c>
      <c r="L891" s="3" t="s">
        <v>127</v>
      </c>
      <c r="O891" s="4">
        <v>3</v>
      </c>
      <c r="P891" s="4" t="s">
        <v>1102</v>
      </c>
      <c r="Q891" s="4"/>
      <c r="R891" s="16">
        <v>2200000</v>
      </c>
      <c r="S891" s="6">
        <v>2200000</v>
      </c>
      <c r="T891" s="16">
        <v>1600000</v>
      </c>
      <c r="U891" s="6">
        <v>1600000</v>
      </c>
      <c r="V891" s="4"/>
      <c r="W891" s="4" t="s">
        <v>1102</v>
      </c>
      <c r="X891" s="4"/>
      <c r="Y891" s="7">
        <v>2</v>
      </c>
      <c r="Z891" s="8">
        <v>3868011</v>
      </c>
      <c r="AA891" s="7" t="s">
        <v>1104</v>
      </c>
      <c r="AB891" s="7"/>
      <c r="AC891" s="9">
        <v>1</v>
      </c>
      <c r="AD891" s="10">
        <v>11955845</v>
      </c>
      <c r="AE891" s="9" t="s">
        <v>1104</v>
      </c>
      <c r="AF891" s="9"/>
      <c r="AG891" s="11">
        <v>4</v>
      </c>
      <c r="AH891" s="11" t="s">
        <v>1109</v>
      </c>
      <c r="AI891" s="11" t="s">
        <v>3733</v>
      </c>
      <c r="AJ891" s="11">
        <v>5</v>
      </c>
      <c r="AK891" s="11" t="s">
        <v>143</v>
      </c>
      <c r="AL891" s="12">
        <v>2</v>
      </c>
      <c r="AM891" s="12" t="s">
        <v>1102</v>
      </c>
      <c r="AN891" s="12"/>
      <c r="AO891" s="12"/>
      <c r="AP891" s="12"/>
      <c r="AQ891" s="4">
        <v>4</v>
      </c>
      <c r="AR891" s="4" t="s">
        <v>1102</v>
      </c>
      <c r="AS891" s="4" t="s">
        <v>3734</v>
      </c>
      <c r="AT891" s="13"/>
      <c r="AU891" s="13"/>
      <c r="AV891" s="13"/>
      <c r="AW891" s="13"/>
      <c r="AX891" s="4"/>
      <c r="AY891" s="13"/>
      <c r="AZ891" s="13"/>
      <c r="BA891" s="13"/>
      <c r="BB891" s="13"/>
      <c r="BC891" s="4"/>
      <c r="BD891" s="4"/>
      <c r="BE891" s="4"/>
      <c r="BF891" s="13"/>
      <c r="BG891" s="4"/>
      <c r="BH891" s="13"/>
      <c r="BI891" s="13"/>
      <c r="BJ891" s="4"/>
      <c r="BK891" s="14">
        <v>13</v>
      </c>
      <c r="BL891" s="14">
        <v>10</v>
      </c>
      <c r="BM891" s="14">
        <v>13</v>
      </c>
      <c r="BP891" s="15"/>
      <c r="BQ891" s="15"/>
      <c r="BR891" s="2" t="s">
        <v>161</v>
      </c>
      <c r="BS891" s="2" t="s">
        <v>247</v>
      </c>
      <c r="BT891" s="7" t="s">
        <v>173</v>
      </c>
      <c r="BU891" s="7"/>
      <c r="BV891" s="9" t="s">
        <v>1154</v>
      </c>
      <c r="BW891" s="9" t="s">
        <v>163</v>
      </c>
    </row>
    <row r="892" spans="1:75" ht="14.25" customHeight="1" x14ac:dyDescent="0.25">
      <c r="A892" s="1">
        <v>548</v>
      </c>
      <c r="B892" s="1" t="s">
        <v>3735</v>
      </c>
      <c r="C892" s="1" t="s">
        <v>3736</v>
      </c>
      <c r="D892" s="1" t="s">
        <v>616</v>
      </c>
      <c r="E892" s="1" t="s">
        <v>1094</v>
      </c>
      <c r="F892" s="1" t="s">
        <v>3737</v>
      </c>
      <c r="G892" s="1" t="s">
        <v>118</v>
      </c>
      <c r="H892" s="2">
        <v>1</v>
      </c>
      <c r="I892" s="2">
        <v>1</v>
      </c>
      <c r="J892" s="2">
        <v>0</v>
      </c>
      <c r="K892" s="2">
        <v>1</v>
      </c>
      <c r="L892" s="3" t="s">
        <v>127</v>
      </c>
      <c r="N892" s="3">
        <v>1</v>
      </c>
      <c r="O892" s="4">
        <v>5</v>
      </c>
      <c r="P892" s="4" t="s">
        <v>1145</v>
      </c>
      <c r="Q892" s="4" t="s">
        <v>1146</v>
      </c>
      <c r="R892" s="16">
        <v>32000</v>
      </c>
      <c r="S892" s="6">
        <v>32000</v>
      </c>
      <c r="T892" s="17"/>
      <c r="U892" s="6"/>
      <c r="V892" s="4"/>
      <c r="W892" s="4"/>
      <c r="X892" s="4"/>
      <c r="Y892" s="7">
        <v>5</v>
      </c>
      <c r="Z892" s="8">
        <v>16100</v>
      </c>
      <c r="AA892" s="7" t="s">
        <v>1145</v>
      </c>
      <c r="AB892" s="7"/>
      <c r="AC892" s="9">
        <v>1</v>
      </c>
      <c r="AD892" s="10">
        <v>9168165</v>
      </c>
      <c r="AE892" s="9" t="s">
        <v>1148</v>
      </c>
      <c r="AF892" s="9" t="s">
        <v>3738</v>
      </c>
      <c r="AG892" s="11">
        <v>2</v>
      </c>
      <c r="AH892" s="11" t="s">
        <v>1048</v>
      </c>
      <c r="AI892" s="11"/>
      <c r="AJ892" s="11"/>
      <c r="AK892" s="11"/>
      <c r="AL892" s="12">
        <v>2</v>
      </c>
      <c r="AM892" s="12" t="s">
        <v>1048</v>
      </c>
      <c r="AN892" s="12"/>
      <c r="AO892" s="12"/>
      <c r="AP892" s="12"/>
      <c r="AQ892" s="4">
        <v>3</v>
      </c>
      <c r="AR892" s="4" t="s">
        <v>621</v>
      </c>
      <c r="AS892" s="4"/>
      <c r="AT892" s="13"/>
      <c r="AU892" s="13"/>
      <c r="AV892" s="13"/>
      <c r="AW892" s="13"/>
      <c r="AX892" s="4"/>
      <c r="AY892" s="13"/>
      <c r="AZ892" s="13"/>
      <c r="BA892" s="13"/>
      <c r="BB892" s="13"/>
      <c r="BC892" s="4"/>
      <c r="BD892" s="4"/>
      <c r="BE892" s="4"/>
      <c r="BF892" s="13"/>
      <c r="BG892" s="4"/>
      <c r="BH892" s="13"/>
      <c r="BI892" s="13"/>
      <c r="BJ892" s="4"/>
      <c r="BK892" s="14">
        <v>15</v>
      </c>
      <c r="BL892" s="14">
        <v>11</v>
      </c>
      <c r="BM892" s="14">
        <v>15</v>
      </c>
      <c r="BN892" s="3" t="s">
        <v>86</v>
      </c>
      <c r="BP892" s="15"/>
      <c r="BQ892" s="15"/>
      <c r="BR892" s="2" t="s">
        <v>1152</v>
      </c>
      <c r="BS892" s="2" t="s">
        <v>1152</v>
      </c>
      <c r="BT892" s="7" t="s">
        <v>1153</v>
      </c>
      <c r="BU892" s="7" t="s">
        <v>163</v>
      </c>
      <c r="BV892" s="9" t="s">
        <v>1154</v>
      </c>
      <c r="BW892" s="9"/>
    </row>
    <row r="893" spans="1:75" ht="14.25" customHeight="1" x14ac:dyDescent="0.25">
      <c r="A893" s="1">
        <v>549</v>
      </c>
      <c r="B893" s="1" t="s">
        <v>3739</v>
      </c>
      <c r="C893" s="1" t="s">
        <v>3740</v>
      </c>
      <c r="D893" s="1" t="s">
        <v>616</v>
      </c>
      <c r="E893" s="1" t="s">
        <v>1094</v>
      </c>
      <c r="F893" s="1" t="s">
        <v>3737</v>
      </c>
      <c r="G893" s="1" t="s">
        <v>118</v>
      </c>
      <c r="H893" s="2">
        <v>1</v>
      </c>
      <c r="I893" s="2">
        <v>1</v>
      </c>
      <c r="J893" s="2">
        <v>1</v>
      </c>
      <c r="K893" s="2">
        <v>1</v>
      </c>
      <c r="L893" s="3" t="s">
        <v>127</v>
      </c>
      <c r="N893" s="3">
        <v>1</v>
      </c>
      <c r="O893" s="4">
        <v>5</v>
      </c>
      <c r="P893" s="4" t="s">
        <v>1145</v>
      </c>
      <c r="Q893" s="4"/>
      <c r="R893" s="16">
        <v>11000</v>
      </c>
      <c r="S893" s="6">
        <v>11000</v>
      </c>
      <c r="T893" s="17"/>
      <c r="U893" s="6"/>
      <c r="V893" s="4"/>
      <c r="W893" s="4"/>
      <c r="X893" s="4"/>
      <c r="Y893" s="7">
        <v>2</v>
      </c>
      <c r="Z893" s="8"/>
      <c r="AA893" s="7" t="s">
        <v>271</v>
      </c>
      <c r="AB893" s="7" t="s">
        <v>3741</v>
      </c>
      <c r="AC893" s="9">
        <v>1</v>
      </c>
      <c r="AD893" s="10"/>
      <c r="AE893" s="9" t="s">
        <v>369</v>
      </c>
      <c r="AF893" s="9" t="s">
        <v>3742</v>
      </c>
      <c r="AG893" s="11">
        <v>2</v>
      </c>
      <c r="AH893" s="11" t="s">
        <v>1048</v>
      </c>
      <c r="AI893" s="11"/>
      <c r="AJ893" s="11"/>
      <c r="AK893" s="11"/>
      <c r="AL893" s="12">
        <v>2</v>
      </c>
      <c r="AM893" s="12" t="s">
        <v>1048</v>
      </c>
      <c r="AN893" s="12"/>
      <c r="AO893" s="12"/>
      <c r="AP893" s="12"/>
      <c r="AQ893" s="4">
        <v>3</v>
      </c>
      <c r="AR893" s="4" t="s">
        <v>621</v>
      </c>
      <c r="AS893" s="4"/>
      <c r="AT893" s="13"/>
      <c r="AU893" s="13"/>
      <c r="AV893" s="13"/>
      <c r="AW893" s="13"/>
      <c r="AX893" s="4"/>
      <c r="AY893" s="13"/>
      <c r="AZ893" s="13"/>
      <c r="BA893" s="13"/>
      <c r="BB893" s="13"/>
      <c r="BC893" s="4"/>
      <c r="BD893" s="4"/>
      <c r="BE893" s="4"/>
      <c r="BF893" s="13"/>
      <c r="BG893" s="4"/>
      <c r="BH893" s="13"/>
      <c r="BI893" s="13"/>
      <c r="BJ893" s="4"/>
      <c r="BK893" s="14">
        <v>12</v>
      </c>
      <c r="BL893" s="14">
        <v>11</v>
      </c>
      <c r="BM893" s="14">
        <v>12</v>
      </c>
      <c r="BP893" s="15"/>
      <c r="BQ893" s="15"/>
      <c r="BR893" s="2" t="s">
        <v>1383</v>
      </c>
      <c r="BS893" s="2" t="s">
        <v>247</v>
      </c>
      <c r="BT893" s="7" t="s">
        <v>1153</v>
      </c>
      <c r="BU893" s="7" t="s">
        <v>163</v>
      </c>
      <c r="BV893" s="9" t="s">
        <v>1154</v>
      </c>
      <c r="BW893" s="9"/>
    </row>
    <row r="894" spans="1:75" ht="14.25" customHeight="1" x14ac:dyDescent="0.25">
      <c r="A894" s="1">
        <v>550</v>
      </c>
      <c r="B894" s="1" t="s">
        <v>3743</v>
      </c>
      <c r="C894" s="1" t="s">
        <v>3744</v>
      </c>
      <c r="D894" s="1" t="s">
        <v>616</v>
      </c>
      <c r="E894" s="1" t="s">
        <v>1094</v>
      </c>
      <c r="F894" s="1" t="s">
        <v>3737</v>
      </c>
      <c r="G894" s="1" t="s">
        <v>118</v>
      </c>
      <c r="H894" s="2">
        <v>1</v>
      </c>
      <c r="I894" s="2">
        <v>1</v>
      </c>
      <c r="J894" s="2">
        <v>1</v>
      </c>
      <c r="K894" s="2">
        <v>1</v>
      </c>
      <c r="L894" s="3" t="s">
        <v>127</v>
      </c>
      <c r="O894" s="4">
        <v>3</v>
      </c>
      <c r="P894" s="4" t="s">
        <v>1145</v>
      </c>
      <c r="Q894" s="4" t="s">
        <v>1146</v>
      </c>
      <c r="R894" s="16">
        <v>1100000</v>
      </c>
      <c r="S894" s="6">
        <v>1100000</v>
      </c>
      <c r="T894" s="17"/>
      <c r="U894" s="6"/>
      <c r="V894" s="4"/>
      <c r="W894" s="4"/>
      <c r="X894" s="4"/>
      <c r="Y894" s="7">
        <v>2</v>
      </c>
      <c r="Z894" s="8">
        <v>2039348</v>
      </c>
      <c r="AA894" s="7" t="s">
        <v>154</v>
      </c>
      <c r="AB894" s="7"/>
      <c r="AC894" s="9">
        <v>1</v>
      </c>
      <c r="AD894" s="10">
        <v>66922740</v>
      </c>
      <c r="AE894" s="9" t="s">
        <v>155</v>
      </c>
      <c r="AF894" s="9"/>
      <c r="AG894" s="11">
        <v>2</v>
      </c>
      <c r="AH894" s="11" t="s">
        <v>1149</v>
      </c>
      <c r="AI894" s="11"/>
      <c r="AJ894" s="11">
        <v>2</v>
      </c>
      <c r="AK894" s="11" t="s">
        <v>143</v>
      </c>
      <c r="AL894" s="12">
        <v>2</v>
      </c>
      <c r="AM894" s="12" t="s">
        <v>1048</v>
      </c>
      <c r="AN894" s="12"/>
      <c r="AO894" s="12"/>
      <c r="AP894" s="12"/>
      <c r="AQ894" s="4">
        <v>3</v>
      </c>
      <c r="AR894" s="4" t="s">
        <v>621</v>
      </c>
      <c r="AS894" s="4"/>
      <c r="AT894" s="13"/>
      <c r="AU894" s="13"/>
      <c r="AV894" s="13"/>
      <c r="AW894" s="13"/>
      <c r="AX894" s="4"/>
      <c r="AY894" s="13"/>
      <c r="AZ894" s="13"/>
      <c r="BA894" s="13"/>
      <c r="BB894" s="13"/>
      <c r="BC894" s="4"/>
      <c r="BD894" s="4"/>
      <c r="BE894" s="4"/>
      <c r="BF894" s="13"/>
      <c r="BG894" s="4"/>
      <c r="BH894" s="13"/>
      <c r="BI894" s="13"/>
      <c r="BJ894" s="4"/>
      <c r="BK894" s="14">
        <v>10</v>
      </c>
      <c r="BL894" s="14">
        <v>9</v>
      </c>
      <c r="BM894" s="14">
        <v>10</v>
      </c>
      <c r="BP894" s="15"/>
      <c r="BQ894" s="15"/>
      <c r="BR894" s="2" t="s">
        <v>161</v>
      </c>
      <c r="BS894" s="2" t="s">
        <v>247</v>
      </c>
      <c r="BT894" s="7" t="s">
        <v>173</v>
      </c>
      <c r="BU894" s="7"/>
      <c r="BV894" s="9" t="s">
        <v>1154</v>
      </c>
      <c r="BW894" s="9"/>
    </row>
    <row r="895" spans="1:75" ht="14.25" customHeight="1" x14ac:dyDescent="0.25">
      <c r="A895" s="1">
        <v>551</v>
      </c>
      <c r="B895" s="1" t="s">
        <v>3745</v>
      </c>
      <c r="C895" s="1" t="s">
        <v>3746</v>
      </c>
      <c r="D895" s="1" t="s">
        <v>616</v>
      </c>
      <c r="E895" s="1" t="s">
        <v>1094</v>
      </c>
      <c r="F895" s="1" t="s">
        <v>3737</v>
      </c>
      <c r="G895" s="1" t="s">
        <v>118</v>
      </c>
      <c r="H895" s="2">
        <v>1</v>
      </c>
      <c r="I895" s="2">
        <v>1</v>
      </c>
      <c r="J895" s="2">
        <v>1</v>
      </c>
      <c r="K895" s="2">
        <v>1</v>
      </c>
      <c r="L895" s="3" t="s">
        <v>127</v>
      </c>
      <c r="O895" s="4">
        <v>3</v>
      </c>
      <c r="P895" s="4" t="s">
        <v>1145</v>
      </c>
      <c r="Q895" s="4" t="s">
        <v>1146</v>
      </c>
      <c r="R895" s="16">
        <v>3500000</v>
      </c>
      <c r="S895" s="6">
        <v>3500000</v>
      </c>
      <c r="T895" s="17"/>
      <c r="U895" s="6"/>
      <c r="V895" s="4"/>
      <c r="W895" s="4"/>
      <c r="X895" s="4"/>
      <c r="Y895" s="7">
        <v>1</v>
      </c>
      <c r="Z895" s="8">
        <v>5720194</v>
      </c>
      <c r="AA895" s="7" t="s">
        <v>154</v>
      </c>
      <c r="AB895" s="7"/>
      <c r="AC895" s="9">
        <v>1</v>
      </c>
      <c r="AD895" s="10">
        <v>13994773</v>
      </c>
      <c r="AE895" s="9" t="s">
        <v>155</v>
      </c>
      <c r="AF895" s="9"/>
      <c r="AG895" s="11">
        <v>3</v>
      </c>
      <c r="AH895" s="11" t="s">
        <v>1149</v>
      </c>
      <c r="AI895" s="11"/>
      <c r="AJ895" s="11">
        <v>4</v>
      </c>
      <c r="AK895" s="11" t="s">
        <v>143</v>
      </c>
      <c r="AL895" s="12">
        <v>3</v>
      </c>
      <c r="AM895" s="12" t="s">
        <v>1149</v>
      </c>
      <c r="AN895" s="12"/>
      <c r="AO895" s="12">
        <v>4</v>
      </c>
      <c r="AP895" s="12" t="s">
        <v>332</v>
      </c>
      <c r="AQ895" s="4">
        <v>3</v>
      </c>
      <c r="AR895" s="4" t="s">
        <v>621</v>
      </c>
      <c r="AS895" s="4"/>
      <c r="AT895" s="13"/>
      <c r="AU895" s="13"/>
      <c r="AV895" s="13"/>
      <c r="AW895" s="13"/>
      <c r="AX895" s="4"/>
      <c r="AY895" s="13"/>
      <c r="AZ895" s="13"/>
      <c r="BA895" s="13"/>
      <c r="BB895" s="13"/>
      <c r="BC895" s="4"/>
      <c r="BD895" s="4"/>
      <c r="BE895" s="4"/>
      <c r="BF895" s="13"/>
      <c r="BG895" s="4"/>
      <c r="BH895" s="13"/>
      <c r="BI895" s="13"/>
      <c r="BJ895" s="4"/>
      <c r="BK895" s="14">
        <v>10</v>
      </c>
      <c r="BL895" s="14">
        <v>10</v>
      </c>
      <c r="BM895" s="14">
        <v>10</v>
      </c>
      <c r="BP895" s="15"/>
      <c r="BQ895" s="15"/>
      <c r="BR895" s="2" t="s">
        <v>161</v>
      </c>
      <c r="BS895" s="2" t="s">
        <v>247</v>
      </c>
      <c r="BT895" s="7" t="s">
        <v>173</v>
      </c>
      <c r="BU895" s="7" t="s">
        <v>174</v>
      </c>
      <c r="BV895" s="9" t="s">
        <v>1154</v>
      </c>
      <c r="BW895" s="9" t="s">
        <v>163</v>
      </c>
    </row>
    <row r="896" spans="1:75" ht="14.25" customHeight="1" x14ac:dyDescent="0.25">
      <c r="A896" s="1">
        <v>552</v>
      </c>
      <c r="B896" s="1" t="s">
        <v>3747</v>
      </c>
      <c r="C896" s="1" t="s">
        <v>3748</v>
      </c>
      <c r="D896" s="1" t="s">
        <v>616</v>
      </c>
      <c r="E896" s="1" t="s">
        <v>1094</v>
      </c>
      <c r="F896" s="1" t="s">
        <v>3737</v>
      </c>
      <c r="G896" s="1"/>
      <c r="H896" s="2">
        <v>1</v>
      </c>
      <c r="I896" s="2">
        <v>1</v>
      </c>
      <c r="J896" s="2">
        <v>1</v>
      </c>
      <c r="K896" s="2">
        <v>1</v>
      </c>
      <c r="L896" s="3" t="s">
        <v>127</v>
      </c>
      <c r="O896" s="4">
        <v>3</v>
      </c>
      <c r="P896" s="4" t="s">
        <v>1145</v>
      </c>
      <c r="Q896" s="4" t="s">
        <v>1146</v>
      </c>
      <c r="R896" s="16">
        <v>1700000</v>
      </c>
      <c r="S896" s="6">
        <v>1700000</v>
      </c>
      <c r="T896" s="17"/>
      <c r="U896" s="6"/>
      <c r="V896" s="4"/>
      <c r="W896" s="4"/>
      <c r="X896" s="4"/>
      <c r="Y896" s="7">
        <v>1</v>
      </c>
      <c r="Z896" s="8">
        <v>6657874</v>
      </c>
      <c r="AA896" s="7" t="s">
        <v>154</v>
      </c>
      <c r="AB896" s="7"/>
      <c r="AC896" s="9">
        <v>1</v>
      </c>
      <c r="AD896" s="10"/>
      <c r="AE896" s="9" t="s">
        <v>82</v>
      </c>
      <c r="AF896" s="9" t="s">
        <v>1246</v>
      </c>
      <c r="AG896" s="11">
        <v>3</v>
      </c>
      <c r="AH896" s="11" t="s">
        <v>1149</v>
      </c>
      <c r="AI896" s="11" t="s">
        <v>3749</v>
      </c>
      <c r="AJ896" s="11">
        <v>4</v>
      </c>
      <c r="AK896" s="11" t="s">
        <v>332</v>
      </c>
      <c r="AL896" s="12">
        <v>2</v>
      </c>
      <c r="AM896" s="12" t="s">
        <v>1048</v>
      </c>
      <c r="AN896" s="12"/>
      <c r="AO896" s="12"/>
      <c r="AP896" s="12"/>
      <c r="AQ896" s="4">
        <v>3</v>
      </c>
      <c r="AR896" s="4" t="s">
        <v>621</v>
      </c>
      <c r="AS896" s="4"/>
      <c r="AT896" s="13"/>
      <c r="AU896" s="13"/>
      <c r="AV896" s="13"/>
      <c r="AW896" s="13"/>
      <c r="AX896" s="4"/>
      <c r="AY896" s="13"/>
      <c r="AZ896" s="13"/>
      <c r="BA896" s="13"/>
      <c r="BB896" s="13"/>
      <c r="BC896" s="4"/>
      <c r="BD896" s="4"/>
      <c r="BE896" s="4"/>
      <c r="BF896" s="13"/>
      <c r="BG896" s="4"/>
      <c r="BH896" s="13"/>
      <c r="BI896" s="13"/>
      <c r="BJ896" s="4"/>
      <c r="BK896" s="14">
        <v>10</v>
      </c>
      <c r="BL896" s="14">
        <v>9</v>
      </c>
      <c r="BM896" s="14">
        <v>10</v>
      </c>
      <c r="BP896" s="15"/>
      <c r="BQ896" s="15"/>
      <c r="BR896" s="2" t="s">
        <v>161</v>
      </c>
      <c r="BS896" s="2" t="s">
        <v>247</v>
      </c>
      <c r="BT896" s="7" t="s">
        <v>174</v>
      </c>
      <c r="BU896" s="7" t="s">
        <v>539</v>
      </c>
      <c r="BV896" s="9" t="s">
        <v>1154</v>
      </c>
      <c r="BW896" s="9"/>
    </row>
    <row r="897" spans="1:75" ht="14.25" customHeight="1" x14ac:dyDescent="0.25">
      <c r="A897" s="1">
        <v>1462</v>
      </c>
      <c r="B897" s="1" t="s">
        <v>3750</v>
      </c>
      <c r="C897" s="1" t="s">
        <v>3751</v>
      </c>
      <c r="D897" s="1" t="s">
        <v>77</v>
      </c>
      <c r="E897" s="1" t="s">
        <v>2396</v>
      </c>
      <c r="F897" s="1" t="s">
        <v>3752</v>
      </c>
      <c r="G897" s="1" t="s">
        <v>3753</v>
      </c>
      <c r="H897" s="2">
        <v>0</v>
      </c>
      <c r="I897" s="2">
        <v>0</v>
      </c>
      <c r="J897" s="2">
        <v>1</v>
      </c>
      <c r="K897" s="2">
        <v>1</v>
      </c>
      <c r="L897" s="3" t="s">
        <v>80</v>
      </c>
      <c r="O897" s="4">
        <v>4</v>
      </c>
      <c r="P897" s="4" t="s">
        <v>112</v>
      </c>
      <c r="Q897" s="4"/>
      <c r="R897" s="5"/>
      <c r="S897" s="6"/>
      <c r="T897" s="17"/>
      <c r="U897" s="6"/>
      <c r="V897" s="4"/>
      <c r="W897" s="4"/>
      <c r="X897" s="4"/>
      <c r="Y897" s="7">
        <v>5</v>
      </c>
      <c r="Z897" s="8">
        <v>75541</v>
      </c>
      <c r="AA897" s="7" t="s">
        <v>92</v>
      </c>
      <c r="AB897" s="7"/>
      <c r="AC897" s="9">
        <v>5</v>
      </c>
      <c r="AD897" s="10">
        <v>75541</v>
      </c>
      <c r="AE897" s="9" t="s">
        <v>92</v>
      </c>
      <c r="AF897" s="9"/>
      <c r="AG897" s="11">
        <v>3</v>
      </c>
      <c r="AH897" s="11" t="s">
        <v>93</v>
      </c>
      <c r="AI897" s="11"/>
      <c r="AJ897" s="11"/>
      <c r="AK897" s="11"/>
      <c r="AL897" s="12">
        <v>3</v>
      </c>
      <c r="AM897" s="12" t="s">
        <v>93</v>
      </c>
      <c r="AN897" s="12" t="s">
        <v>394</v>
      </c>
      <c r="AO897" s="12"/>
      <c r="AP897" s="12"/>
      <c r="AQ897" s="4">
        <v>3</v>
      </c>
      <c r="AR897" s="4" t="s">
        <v>83</v>
      </c>
      <c r="AS897" s="4"/>
      <c r="AT897" s="13"/>
      <c r="AU897" s="13"/>
      <c r="AV897" s="13"/>
      <c r="AW897" s="13"/>
      <c r="AX897" s="4"/>
      <c r="AY897" s="13"/>
      <c r="AZ897" s="13"/>
      <c r="BA897" s="13"/>
      <c r="BB897" s="13"/>
      <c r="BC897" s="4"/>
      <c r="BD897" s="4"/>
      <c r="BE897" s="4"/>
      <c r="BF897" s="13"/>
      <c r="BG897" s="4"/>
      <c r="BH897" s="13"/>
      <c r="BI897" s="13"/>
      <c r="BJ897" s="4"/>
      <c r="BK897" s="14">
        <v>15</v>
      </c>
      <c r="BL897" s="14">
        <v>15</v>
      </c>
      <c r="BM897" s="14">
        <v>15</v>
      </c>
      <c r="BN897" s="3" t="s">
        <v>86</v>
      </c>
      <c r="BP897" s="15"/>
      <c r="BQ897" s="15"/>
      <c r="BR897" s="2" t="s">
        <v>409</v>
      </c>
      <c r="BS897" s="2" t="s">
        <v>409</v>
      </c>
      <c r="BT897" s="7" t="s">
        <v>2922</v>
      </c>
      <c r="BU897" s="7"/>
      <c r="BV897" s="9" t="s">
        <v>2922</v>
      </c>
      <c r="BW897" s="9"/>
    </row>
    <row r="898" spans="1:75" ht="14.25" customHeight="1" x14ac:dyDescent="0.25">
      <c r="A898" s="1">
        <v>1463</v>
      </c>
      <c r="B898" s="1" t="s">
        <v>3754</v>
      </c>
      <c r="C898" s="1" t="s">
        <v>3755</v>
      </c>
      <c r="D898" s="1" t="s">
        <v>77</v>
      </c>
      <c r="E898" s="1" t="s">
        <v>2396</v>
      </c>
      <c r="F898" s="1" t="s">
        <v>3752</v>
      </c>
      <c r="G898" s="1" t="s">
        <v>3756</v>
      </c>
      <c r="H898" s="2">
        <v>0</v>
      </c>
      <c r="I898" s="2">
        <v>0</v>
      </c>
      <c r="J898" s="2">
        <v>0</v>
      </c>
      <c r="K898" s="2">
        <v>1</v>
      </c>
      <c r="L898" s="3" t="s">
        <v>80</v>
      </c>
      <c r="O898" s="4">
        <v>3</v>
      </c>
      <c r="P898" s="4" t="s">
        <v>81</v>
      </c>
      <c r="Q898" s="4"/>
      <c r="R898" s="5"/>
      <c r="S898" s="6"/>
      <c r="T898" s="17"/>
      <c r="U898" s="6"/>
      <c r="V898" s="4"/>
      <c r="W898" s="4"/>
      <c r="X898" s="4"/>
      <c r="Y898" s="7">
        <v>1</v>
      </c>
      <c r="Z898" s="8">
        <v>4192409</v>
      </c>
      <c r="AA898" s="7" t="s">
        <v>82</v>
      </c>
      <c r="AB898" s="7"/>
      <c r="AC898" s="9">
        <v>1</v>
      </c>
      <c r="AD898" s="10">
        <v>4192409</v>
      </c>
      <c r="AE898" s="9" t="s">
        <v>82</v>
      </c>
      <c r="AF898" s="9"/>
      <c r="AG898" s="11">
        <v>3</v>
      </c>
      <c r="AH898" s="11" t="s">
        <v>83</v>
      </c>
      <c r="AI898" s="11"/>
      <c r="AJ898" s="11"/>
      <c r="AK898" s="11"/>
      <c r="AL898" s="12">
        <v>3</v>
      </c>
      <c r="AM898" s="12" t="s">
        <v>83</v>
      </c>
      <c r="AN898" s="12"/>
      <c r="AO898" s="12"/>
      <c r="AP898" s="12"/>
      <c r="AQ898" s="4">
        <v>3</v>
      </c>
      <c r="AR898" s="4" t="s">
        <v>83</v>
      </c>
      <c r="AS898" s="4" t="s">
        <v>3132</v>
      </c>
      <c r="AT898" s="13"/>
      <c r="AU898" s="13"/>
      <c r="AV898" s="13"/>
      <c r="AW898" s="13"/>
      <c r="AX898" s="4"/>
      <c r="AY898" s="13"/>
      <c r="AZ898" s="13"/>
      <c r="BA898" s="13"/>
      <c r="BB898" s="13"/>
      <c r="BC898" s="4"/>
      <c r="BD898" s="4"/>
      <c r="BE898" s="4"/>
      <c r="BF898" s="13"/>
      <c r="BG898" s="4"/>
      <c r="BH898" s="13"/>
      <c r="BI898" s="13"/>
      <c r="BJ898" s="4"/>
      <c r="BK898" s="14">
        <v>10</v>
      </c>
      <c r="BL898" s="14">
        <v>10</v>
      </c>
      <c r="BM898" s="14">
        <v>10</v>
      </c>
      <c r="BP898" s="15"/>
      <c r="BQ898" s="15"/>
      <c r="BR898" s="2" t="s">
        <v>740</v>
      </c>
      <c r="BS898" s="2" t="s">
        <v>740</v>
      </c>
      <c r="BT898" s="7" t="s">
        <v>2917</v>
      </c>
      <c r="BU898" s="7"/>
      <c r="BV898" s="9" t="s">
        <v>2917</v>
      </c>
      <c r="BW898" s="9"/>
    </row>
    <row r="899" spans="1:75" ht="14.25" customHeight="1" x14ac:dyDescent="0.25">
      <c r="A899" s="1">
        <v>1464</v>
      </c>
      <c r="B899" s="1" t="s">
        <v>3757</v>
      </c>
      <c r="C899" s="1" t="s">
        <v>3758</v>
      </c>
      <c r="D899" s="1" t="s">
        <v>77</v>
      </c>
      <c r="E899" s="1" t="s">
        <v>2396</v>
      </c>
      <c r="F899" s="1" t="s">
        <v>3752</v>
      </c>
      <c r="G899" s="1" t="s">
        <v>118</v>
      </c>
      <c r="H899" s="2">
        <v>0</v>
      </c>
      <c r="I899" s="2">
        <v>0</v>
      </c>
      <c r="J899" s="2">
        <v>1</v>
      </c>
      <c r="K899" s="2">
        <v>1</v>
      </c>
      <c r="L899" s="3" t="s">
        <v>127</v>
      </c>
      <c r="O899" s="4">
        <v>2</v>
      </c>
      <c r="P899" s="4" t="s">
        <v>112</v>
      </c>
      <c r="Q899" s="4"/>
      <c r="R899" s="5"/>
      <c r="S899" s="6"/>
      <c r="T899" s="17"/>
      <c r="U899" s="6"/>
      <c r="V899" s="4"/>
      <c r="W899" s="4"/>
      <c r="X899" s="4"/>
      <c r="Y899" s="7">
        <v>1</v>
      </c>
      <c r="Z899" s="8">
        <v>10363687</v>
      </c>
      <c r="AA899" s="7" t="s">
        <v>92</v>
      </c>
      <c r="AB899" s="7"/>
      <c r="AC899" s="9">
        <v>1</v>
      </c>
      <c r="AD899" s="10">
        <v>17714429</v>
      </c>
      <c r="AE899" s="9" t="s">
        <v>82</v>
      </c>
      <c r="AF899" s="9"/>
      <c r="AG899" s="11">
        <v>2</v>
      </c>
      <c r="AH899" s="11" t="s">
        <v>93</v>
      </c>
      <c r="AI899" s="11"/>
      <c r="AJ899" s="11"/>
      <c r="AK899" s="11"/>
      <c r="AL899" s="12">
        <v>2</v>
      </c>
      <c r="AM899" s="12" t="s">
        <v>93</v>
      </c>
      <c r="AN899" s="12"/>
      <c r="AO899" s="12"/>
      <c r="AP899" s="12"/>
      <c r="AQ899" s="4">
        <v>3</v>
      </c>
      <c r="AR899" s="4" t="s">
        <v>83</v>
      </c>
      <c r="AS899" s="4"/>
      <c r="AT899" s="13"/>
      <c r="AU899" s="13"/>
      <c r="AV899" s="13"/>
      <c r="AW899" s="13"/>
      <c r="AX899" s="4"/>
      <c r="AY899" s="13"/>
      <c r="AZ899" s="13"/>
      <c r="BA899" s="13"/>
      <c r="BB899" s="13"/>
      <c r="BC899" s="4"/>
      <c r="BD899" s="4"/>
      <c r="BE899" s="4"/>
      <c r="BF899" s="13"/>
      <c r="BG899" s="4"/>
      <c r="BH899" s="13"/>
      <c r="BI899" s="13"/>
      <c r="BJ899" s="4"/>
      <c r="BK899" s="14">
        <v>8</v>
      </c>
      <c r="BL899" s="14">
        <v>8</v>
      </c>
      <c r="BM899" s="14">
        <v>8</v>
      </c>
      <c r="BP899" s="15" t="s">
        <v>135</v>
      </c>
      <c r="BQ899" s="15"/>
      <c r="BR899" s="2" t="s">
        <v>97</v>
      </c>
      <c r="BS899" s="2" t="s">
        <v>97</v>
      </c>
      <c r="BT899" s="7" t="s">
        <v>777</v>
      </c>
      <c r="BU899" s="7" t="s">
        <v>2938</v>
      </c>
      <c r="BV899" s="9" t="s">
        <v>777</v>
      </c>
      <c r="BW899" s="9"/>
    </row>
    <row r="900" spans="1:75" ht="14.25" customHeight="1" x14ac:dyDescent="0.25">
      <c r="A900" s="1">
        <v>1465</v>
      </c>
      <c r="B900" s="1" t="s">
        <v>3759</v>
      </c>
      <c r="C900" s="1" t="s">
        <v>3760</v>
      </c>
      <c r="D900" s="1" t="s">
        <v>77</v>
      </c>
      <c r="E900" s="1" t="s">
        <v>2396</v>
      </c>
      <c r="F900" s="1" t="s">
        <v>3752</v>
      </c>
      <c r="G900" s="1"/>
      <c r="H900" s="2">
        <v>1</v>
      </c>
      <c r="I900" s="2">
        <v>1</v>
      </c>
      <c r="J900" s="2">
        <v>1</v>
      </c>
      <c r="K900" s="2">
        <v>1</v>
      </c>
      <c r="L900" s="3" t="s">
        <v>127</v>
      </c>
      <c r="O900" s="4">
        <v>2</v>
      </c>
      <c r="P900" s="4" t="s">
        <v>424</v>
      </c>
      <c r="Q900" s="4"/>
      <c r="R900" s="16">
        <v>27000000</v>
      </c>
      <c r="S900" s="6">
        <v>27000000</v>
      </c>
      <c r="T900" s="16">
        <v>20000000</v>
      </c>
      <c r="U900" s="6">
        <v>20000000</v>
      </c>
      <c r="V900" s="4">
        <v>2010.5</v>
      </c>
      <c r="W900" s="4" t="s">
        <v>425</v>
      </c>
      <c r="X900" s="4"/>
      <c r="Y900" s="7">
        <v>1</v>
      </c>
      <c r="Z900" s="8">
        <v>9961583</v>
      </c>
      <c r="AA900" s="7" t="s">
        <v>92</v>
      </c>
      <c r="AB900" s="7"/>
      <c r="AC900" s="9">
        <v>2</v>
      </c>
      <c r="AD900" s="10">
        <v>1478141</v>
      </c>
      <c r="AE900" s="9" t="s">
        <v>92</v>
      </c>
      <c r="AF900" s="9"/>
      <c r="AG900" s="11">
        <v>2</v>
      </c>
      <c r="AH900" s="11" t="s">
        <v>131</v>
      </c>
      <c r="AI900" s="11" t="s">
        <v>3761</v>
      </c>
      <c r="AJ900" s="11">
        <v>2</v>
      </c>
      <c r="AK900" s="11" t="s">
        <v>132</v>
      </c>
      <c r="AL900" s="12">
        <v>2</v>
      </c>
      <c r="AM900" s="12" t="s">
        <v>131</v>
      </c>
      <c r="AN900" s="12" t="s">
        <v>3762</v>
      </c>
      <c r="AO900" s="12">
        <v>2</v>
      </c>
      <c r="AP900" s="12" t="s">
        <v>132</v>
      </c>
      <c r="AQ900" s="4">
        <v>3</v>
      </c>
      <c r="AR900" s="4" t="s">
        <v>133</v>
      </c>
      <c r="AS900" s="4"/>
      <c r="AT900" s="13">
        <v>-24.492292404174801</v>
      </c>
      <c r="AU900" s="13">
        <v>-0.55014955997466997</v>
      </c>
      <c r="AV900" s="13">
        <v>-0.87999999523162797</v>
      </c>
      <c r="AW900" s="13">
        <v>-0.222000002861023</v>
      </c>
      <c r="AX900" s="4">
        <v>1</v>
      </c>
      <c r="AY900" s="13">
        <v>-5.33544969558716</v>
      </c>
      <c r="AZ900" s="13">
        <v>-0.54827022552490201</v>
      </c>
      <c r="BA900" s="13">
        <v>-1.9299999475479099</v>
      </c>
      <c r="BB900" s="13">
        <v>0.66579598188400302</v>
      </c>
      <c r="BC900" s="4"/>
      <c r="BD900" s="4">
        <v>10</v>
      </c>
      <c r="BE900" s="4" t="s">
        <v>134</v>
      </c>
      <c r="BF900" s="13">
        <v>0.65799999237060502</v>
      </c>
      <c r="BG900" s="4">
        <v>3333</v>
      </c>
      <c r="BH900" s="13">
        <v>1.70000004768372</v>
      </c>
      <c r="BI900" s="13">
        <v>5665.68017578125</v>
      </c>
      <c r="BJ900" s="4"/>
      <c r="BK900" s="14">
        <v>8</v>
      </c>
      <c r="BL900" s="14">
        <v>9</v>
      </c>
      <c r="BM900" s="14">
        <v>9</v>
      </c>
      <c r="BP900" s="15" t="s">
        <v>135</v>
      </c>
      <c r="BQ900" s="15"/>
      <c r="BR900" s="2" t="s">
        <v>172</v>
      </c>
      <c r="BS900" s="2" t="s">
        <v>247</v>
      </c>
      <c r="BT900" s="7" t="s">
        <v>777</v>
      </c>
      <c r="BU900" s="7" t="s">
        <v>3763</v>
      </c>
      <c r="BV900" s="9" t="s">
        <v>777</v>
      </c>
      <c r="BW900" s="9"/>
    </row>
    <row r="901" spans="1:75" ht="14.25" customHeight="1" x14ac:dyDescent="0.25">
      <c r="A901" s="1">
        <v>1466</v>
      </c>
      <c r="B901" s="1" t="s">
        <v>3764</v>
      </c>
      <c r="C901" s="1" t="s">
        <v>3765</v>
      </c>
      <c r="D901" s="1" t="s">
        <v>77</v>
      </c>
      <c r="E901" s="1" t="s">
        <v>2396</v>
      </c>
      <c r="F901" s="1" t="s">
        <v>3752</v>
      </c>
      <c r="G901" s="1"/>
      <c r="H901" s="2">
        <v>0</v>
      </c>
      <c r="I901" s="2">
        <v>0</v>
      </c>
      <c r="J901" s="2">
        <v>0</v>
      </c>
      <c r="K901" s="2">
        <v>1</v>
      </c>
      <c r="L901" s="3" t="s">
        <v>127</v>
      </c>
      <c r="O901" s="4">
        <v>1</v>
      </c>
      <c r="P901" s="4" t="s">
        <v>81</v>
      </c>
      <c r="Q901" s="4"/>
      <c r="R901" s="5"/>
      <c r="S901" s="6"/>
      <c r="T901" s="17"/>
      <c r="U901" s="6"/>
      <c r="V901" s="4"/>
      <c r="W901" s="4"/>
      <c r="X901" s="4"/>
      <c r="Y901" s="7">
        <v>1</v>
      </c>
      <c r="Z901" s="8">
        <v>13868928</v>
      </c>
      <c r="AA901" s="7" t="s">
        <v>82</v>
      </c>
      <c r="AB901" s="7"/>
      <c r="AC901" s="9">
        <v>1</v>
      </c>
      <c r="AD901" s="10">
        <v>13868928</v>
      </c>
      <c r="AE901" s="9" t="s">
        <v>82</v>
      </c>
      <c r="AF901" s="9"/>
      <c r="AG901" s="11">
        <v>3</v>
      </c>
      <c r="AH901" s="11" t="s">
        <v>83</v>
      </c>
      <c r="AI901" s="11" t="s">
        <v>3766</v>
      </c>
      <c r="AJ901" s="11"/>
      <c r="AK901" s="11"/>
      <c r="AL901" s="12">
        <v>3</v>
      </c>
      <c r="AM901" s="12" t="s">
        <v>83</v>
      </c>
      <c r="AN901" s="12"/>
      <c r="AO901" s="12"/>
      <c r="AP901" s="12"/>
      <c r="AQ901" s="4">
        <v>2</v>
      </c>
      <c r="AR901" s="4" t="s">
        <v>83</v>
      </c>
      <c r="AS901" s="4"/>
      <c r="AT901" s="13"/>
      <c r="AU901" s="13"/>
      <c r="AV901" s="13"/>
      <c r="AW901" s="13"/>
      <c r="AX901" s="4"/>
      <c r="AY901" s="13"/>
      <c r="AZ901" s="13"/>
      <c r="BA901" s="13"/>
      <c r="BB901" s="13"/>
      <c r="BC901" s="4"/>
      <c r="BD901" s="4"/>
      <c r="BE901" s="4"/>
      <c r="BF901" s="13"/>
      <c r="BG901" s="4"/>
      <c r="BH901" s="13"/>
      <c r="BI901" s="13"/>
      <c r="BJ901" s="4"/>
      <c r="BK901" s="14">
        <v>7</v>
      </c>
      <c r="BL901" s="14">
        <v>7</v>
      </c>
      <c r="BM901" s="14">
        <v>7</v>
      </c>
      <c r="BP901" s="15" t="s">
        <v>135</v>
      </c>
      <c r="BQ901" s="15"/>
      <c r="BR901" s="2" t="s">
        <v>97</v>
      </c>
      <c r="BS901" s="2" t="s">
        <v>97</v>
      </c>
      <c r="BT901" s="7" t="s">
        <v>777</v>
      </c>
      <c r="BU901" s="7"/>
      <c r="BV901" s="9" t="s">
        <v>777</v>
      </c>
      <c r="BW901" s="9"/>
    </row>
    <row r="902" spans="1:75" ht="14.25" customHeight="1" x14ac:dyDescent="0.25">
      <c r="A902" s="1">
        <v>1467</v>
      </c>
      <c r="B902" s="1" t="s">
        <v>3767</v>
      </c>
      <c r="C902" s="1" t="s">
        <v>3768</v>
      </c>
      <c r="D902" s="1" t="s">
        <v>77</v>
      </c>
      <c r="E902" s="1" t="s">
        <v>2396</v>
      </c>
      <c r="F902" s="1" t="s">
        <v>3752</v>
      </c>
      <c r="G902" s="1"/>
      <c r="H902" s="2">
        <v>0</v>
      </c>
      <c r="I902" s="2">
        <v>0</v>
      </c>
      <c r="J902" s="2">
        <v>0</v>
      </c>
      <c r="K902" s="2">
        <v>1</v>
      </c>
      <c r="L902" s="3" t="s">
        <v>127</v>
      </c>
      <c r="N902" s="3">
        <v>1</v>
      </c>
      <c r="O902" s="4">
        <v>1</v>
      </c>
      <c r="P902" s="4" t="s">
        <v>81</v>
      </c>
      <c r="Q902" s="4"/>
      <c r="R902" s="5"/>
      <c r="S902" s="6"/>
      <c r="T902" s="17"/>
      <c r="U902" s="6"/>
      <c r="V902" s="4"/>
      <c r="W902" s="4"/>
      <c r="X902" s="4"/>
      <c r="Y902" s="7">
        <v>1</v>
      </c>
      <c r="Z902" s="8">
        <v>8254794</v>
      </c>
      <c r="AA902" s="7" t="s">
        <v>82</v>
      </c>
      <c r="AB902" s="7"/>
      <c r="AC902" s="9">
        <v>1</v>
      </c>
      <c r="AD902" s="10">
        <v>14589473</v>
      </c>
      <c r="AE902" s="9" t="s">
        <v>82</v>
      </c>
      <c r="AF902" s="9"/>
      <c r="AG902" s="11">
        <v>3</v>
      </c>
      <c r="AH902" s="11" t="s">
        <v>83</v>
      </c>
      <c r="AI902" s="11"/>
      <c r="AJ902" s="11"/>
      <c r="AK902" s="11"/>
      <c r="AL902" s="12">
        <v>2</v>
      </c>
      <c r="AM902" s="12" t="s">
        <v>83</v>
      </c>
      <c r="AN902" s="12"/>
      <c r="AO902" s="12"/>
      <c r="AP902" s="12"/>
      <c r="AQ902" s="4">
        <v>3</v>
      </c>
      <c r="AR902" s="4" t="s">
        <v>83</v>
      </c>
      <c r="AS902" s="4"/>
      <c r="AT902" s="13"/>
      <c r="AU902" s="13"/>
      <c r="AV902" s="13"/>
      <c r="AW902" s="13"/>
      <c r="AX902" s="4"/>
      <c r="AY902" s="13"/>
      <c r="AZ902" s="13"/>
      <c r="BA902" s="13"/>
      <c r="BB902" s="13"/>
      <c r="BC902" s="4"/>
      <c r="BD902" s="4"/>
      <c r="BE902" s="4"/>
      <c r="BF902" s="13"/>
      <c r="BG902" s="4"/>
      <c r="BH902" s="13"/>
      <c r="BI902" s="13"/>
      <c r="BJ902" s="4"/>
      <c r="BK902" s="14">
        <v>8</v>
      </c>
      <c r="BL902" s="14">
        <v>7</v>
      </c>
      <c r="BM902" s="14">
        <v>8</v>
      </c>
      <c r="BP902" s="15"/>
      <c r="BQ902" s="15"/>
      <c r="BR902" s="2" t="s">
        <v>740</v>
      </c>
      <c r="BS902" s="2" t="s">
        <v>740</v>
      </c>
      <c r="BT902" s="7" t="s">
        <v>777</v>
      </c>
      <c r="BU902" s="7" t="s">
        <v>3763</v>
      </c>
      <c r="BV902" s="9" t="s">
        <v>777</v>
      </c>
      <c r="BW902" s="9" t="s">
        <v>3763</v>
      </c>
    </row>
    <row r="903" spans="1:75" ht="14.25" customHeight="1" x14ac:dyDescent="0.25">
      <c r="A903" s="1">
        <v>1468</v>
      </c>
      <c r="B903" s="1" t="s">
        <v>3769</v>
      </c>
      <c r="C903" s="1" t="s">
        <v>3770</v>
      </c>
      <c r="D903" s="1" t="s">
        <v>77</v>
      </c>
      <c r="E903" s="1" t="s">
        <v>2396</v>
      </c>
      <c r="F903" s="1" t="s">
        <v>3752</v>
      </c>
      <c r="G903" s="1"/>
      <c r="H903" s="2">
        <v>1</v>
      </c>
      <c r="I903" s="2">
        <v>1</v>
      </c>
      <c r="J903" s="2">
        <v>1</v>
      </c>
      <c r="K903" s="2">
        <v>1</v>
      </c>
      <c r="L903" s="3" t="s">
        <v>127</v>
      </c>
      <c r="O903" s="4">
        <v>2</v>
      </c>
      <c r="P903" s="4" t="s">
        <v>424</v>
      </c>
      <c r="Q903" s="4"/>
      <c r="R903" s="16">
        <v>9300000</v>
      </c>
      <c r="S903" s="6">
        <v>9300000</v>
      </c>
      <c r="T903" s="16">
        <v>8700000</v>
      </c>
      <c r="U903" s="6">
        <v>8700000</v>
      </c>
      <c r="V903" s="4">
        <v>2010.5</v>
      </c>
      <c r="W903" s="4" t="s">
        <v>425</v>
      </c>
      <c r="X903" s="4"/>
      <c r="Y903" s="7">
        <v>1</v>
      </c>
      <c r="Z903" s="8">
        <v>5717544</v>
      </c>
      <c r="AA903" s="7" t="s">
        <v>92</v>
      </c>
      <c r="AB903" s="7"/>
      <c r="AC903" s="9">
        <v>1</v>
      </c>
      <c r="AD903" s="10">
        <v>11655661</v>
      </c>
      <c r="AE903" s="9" t="s">
        <v>92</v>
      </c>
      <c r="AF903" s="9"/>
      <c r="AG903" s="11">
        <v>3</v>
      </c>
      <c r="AH903" s="11" t="s">
        <v>518</v>
      </c>
      <c r="AI903" s="11" t="s">
        <v>3771</v>
      </c>
      <c r="AJ903" s="11">
        <v>2</v>
      </c>
      <c r="AK903" s="11" t="s">
        <v>132</v>
      </c>
      <c r="AL903" s="12">
        <v>3</v>
      </c>
      <c r="AM903" s="12" t="s">
        <v>271</v>
      </c>
      <c r="AN903" s="12" t="s">
        <v>3772</v>
      </c>
      <c r="AO903" s="12"/>
      <c r="AP903" s="12"/>
      <c r="AQ903" s="4">
        <v>3</v>
      </c>
      <c r="AR903" s="4" t="s">
        <v>133</v>
      </c>
      <c r="AS903" s="4"/>
      <c r="AT903" s="13">
        <v>-22.261581420898398</v>
      </c>
      <c r="AU903" s="13">
        <v>-0.492532968521118</v>
      </c>
      <c r="AV903" s="13">
        <v>-1.0389980077743499</v>
      </c>
      <c r="AW903" s="13">
        <v>0.16699999570846599</v>
      </c>
      <c r="AX903" s="4"/>
      <c r="AY903" s="13">
        <v>-11.142489433288601</v>
      </c>
      <c r="AZ903" s="13">
        <v>-1.1746574640273999</v>
      </c>
      <c r="BA903" s="13">
        <v>-2.6480970382690399</v>
      </c>
      <c r="BB903" s="13">
        <v>0.54100000858306896</v>
      </c>
      <c r="BC903" s="4"/>
      <c r="BD903" s="4">
        <v>10</v>
      </c>
      <c r="BE903" s="4" t="s">
        <v>134</v>
      </c>
      <c r="BF903" s="13">
        <v>1.2059979438781701</v>
      </c>
      <c r="BG903" s="4">
        <v>2444.5</v>
      </c>
      <c r="BH903" s="13">
        <v>6.1350002288818404</v>
      </c>
      <c r="BI903" s="13">
        <v>14974.0703125</v>
      </c>
      <c r="BJ903" s="4"/>
      <c r="BK903" s="14">
        <v>9</v>
      </c>
      <c r="BL903" s="14">
        <v>9</v>
      </c>
      <c r="BM903" s="14">
        <v>9</v>
      </c>
      <c r="BP903" s="15" t="s">
        <v>135</v>
      </c>
      <c r="BQ903" s="15"/>
      <c r="BR903" s="2" t="s">
        <v>172</v>
      </c>
      <c r="BS903" s="2" t="s">
        <v>740</v>
      </c>
      <c r="BT903" s="7" t="s">
        <v>777</v>
      </c>
      <c r="BU903" s="7" t="s">
        <v>3763</v>
      </c>
      <c r="BV903" s="9" t="s">
        <v>777</v>
      </c>
      <c r="BW903" s="9" t="s">
        <v>3763</v>
      </c>
    </row>
    <row r="904" spans="1:75" ht="14.25" customHeight="1" x14ac:dyDescent="0.25">
      <c r="A904" s="1">
        <v>1470</v>
      </c>
      <c r="B904" s="1" t="s">
        <v>3773</v>
      </c>
      <c r="C904" s="1" t="s">
        <v>3774</v>
      </c>
      <c r="D904" s="1" t="s">
        <v>77</v>
      </c>
      <c r="E904" s="1" t="s">
        <v>2396</v>
      </c>
      <c r="F904" s="1" t="s">
        <v>3752</v>
      </c>
      <c r="G904" s="1"/>
      <c r="H904" s="2">
        <v>0</v>
      </c>
      <c r="I904" s="2">
        <v>0</v>
      </c>
      <c r="J904" s="2">
        <v>1</v>
      </c>
      <c r="K904" s="2">
        <v>1</v>
      </c>
      <c r="L904" s="3" t="s">
        <v>127</v>
      </c>
      <c r="O904" s="4">
        <v>2</v>
      </c>
      <c r="P904" s="4" t="s">
        <v>112</v>
      </c>
      <c r="Q904" s="4"/>
      <c r="R904" s="5"/>
      <c r="S904" s="6"/>
      <c r="T904" s="17"/>
      <c r="U904" s="6"/>
      <c r="V904" s="4"/>
      <c r="W904" s="4"/>
      <c r="X904" s="4"/>
      <c r="Y904" s="7">
        <v>1</v>
      </c>
      <c r="Z904" s="8">
        <v>15164156</v>
      </c>
      <c r="AA904" s="7" t="s">
        <v>92</v>
      </c>
      <c r="AB904" s="7"/>
      <c r="AC904" s="9">
        <v>1</v>
      </c>
      <c r="AD904" s="10">
        <v>14811729</v>
      </c>
      <c r="AE904" s="9" t="s">
        <v>92</v>
      </c>
      <c r="AF904" s="9"/>
      <c r="AG904" s="11">
        <v>2</v>
      </c>
      <c r="AH904" s="11" t="s">
        <v>93</v>
      </c>
      <c r="AI904" s="11"/>
      <c r="AJ904" s="11"/>
      <c r="AK904" s="11"/>
      <c r="AL904" s="12">
        <v>2</v>
      </c>
      <c r="AM904" s="12" t="s">
        <v>93</v>
      </c>
      <c r="AN904" s="12" t="s">
        <v>394</v>
      </c>
      <c r="AO904" s="12"/>
      <c r="AP904" s="12"/>
      <c r="AQ904" s="4">
        <v>2</v>
      </c>
      <c r="AR904" s="4" t="s">
        <v>83</v>
      </c>
      <c r="AS904" s="4"/>
      <c r="AT904" s="13"/>
      <c r="AU904" s="13"/>
      <c r="AV904" s="13"/>
      <c r="AW904" s="13"/>
      <c r="AX904" s="4"/>
      <c r="AY904" s="13"/>
      <c r="AZ904" s="13"/>
      <c r="BA904" s="13"/>
      <c r="BB904" s="13"/>
      <c r="BC904" s="4"/>
      <c r="BD904" s="4"/>
      <c r="BE904" s="4"/>
      <c r="BF904" s="13"/>
      <c r="BG904" s="4"/>
      <c r="BH904" s="13"/>
      <c r="BI904" s="13"/>
      <c r="BJ904" s="4"/>
      <c r="BK904" s="14">
        <v>7</v>
      </c>
      <c r="BL904" s="14">
        <v>7</v>
      </c>
      <c r="BM904" s="14">
        <v>7</v>
      </c>
      <c r="BP904" s="15" t="s">
        <v>135</v>
      </c>
      <c r="BQ904" s="15"/>
      <c r="BR904" s="2" t="s">
        <v>97</v>
      </c>
      <c r="BS904" s="2" t="s">
        <v>97</v>
      </c>
      <c r="BT904" s="7" t="s">
        <v>777</v>
      </c>
      <c r="BU904" s="7" t="s">
        <v>2938</v>
      </c>
      <c r="BV904" s="9" t="s">
        <v>777</v>
      </c>
      <c r="BW904" s="9" t="s">
        <v>2938</v>
      </c>
    </row>
    <row r="905" spans="1:75" ht="14.25" customHeight="1" x14ac:dyDescent="0.25">
      <c r="A905" s="1">
        <v>1471</v>
      </c>
      <c r="B905" s="1" t="s">
        <v>3775</v>
      </c>
      <c r="C905" s="1" t="s">
        <v>3776</v>
      </c>
      <c r="D905" s="1" t="s">
        <v>77</v>
      </c>
      <c r="E905" s="1" t="s">
        <v>2396</v>
      </c>
      <c r="F905" s="1" t="s">
        <v>3752</v>
      </c>
      <c r="G905" s="1" t="s">
        <v>118</v>
      </c>
      <c r="H905" s="2">
        <v>0</v>
      </c>
      <c r="I905" s="2">
        <v>0</v>
      </c>
      <c r="J905" s="2">
        <v>1</v>
      </c>
      <c r="K905" s="2">
        <v>0</v>
      </c>
      <c r="L905" s="3" t="s">
        <v>127</v>
      </c>
      <c r="O905" s="4">
        <v>5</v>
      </c>
      <c r="P905" s="4" t="s">
        <v>112</v>
      </c>
      <c r="Q905" s="4"/>
      <c r="R905" s="5"/>
      <c r="S905" s="6"/>
      <c r="T905" s="17"/>
      <c r="U905" s="6"/>
      <c r="V905" s="4"/>
      <c r="W905" s="4"/>
      <c r="X905" s="4"/>
      <c r="Y905" s="7">
        <v>4</v>
      </c>
      <c r="Z905" s="8">
        <v>188675</v>
      </c>
      <c r="AA905" s="7" t="s">
        <v>92</v>
      </c>
      <c r="AB905" s="7"/>
      <c r="AC905" s="9">
        <v>4</v>
      </c>
      <c r="AD905" s="10"/>
      <c r="AE905" s="9" t="s">
        <v>93</v>
      </c>
      <c r="AF905" s="9"/>
      <c r="AG905" s="11">
        <v>4</v>
      </c>
      <c r="AH905" s="11" t="s">
        <v>93</v>
      </c>
      <c r="AI905" s="11"/>
      <c r="AJ905" s="11"/>
      <c r="AK905" s="11"/>
      <c r="AL905" s="12">
        <v>3</v>
      </c>
      <c r="AM905" s="12" t="s">
        <v>93</v>
      </c>
      <c r="AN905" s="12" t="s">
        <v>839</v>
      </c>
      <c r="AO905" s="12"/>
      <c r="AP905" s="12"/>
      <c r="AQ905" s="4">
        <v>4</v>
      </c>
      <c r="AR905" s="4" t="s">
        <v>441</v>
      </c>
      <c r="AS905" s="4" t="s">
        <v>999</v>
      </c>
      <c r="AT905" s="13"/>
      <c r="AU905" s="13"/>
      <c r="AV905" s="13"/>
      <c r="AW905" s="13"/>
      <c r="AX905" s="4"/>
      <c r="AY905" s="13"/>
      <c r="AZ905" s="13"/>
      <c r="BA905" s="13"/>
      <c r="BB905" s="13"/>
      <c r="BC905" s="4"/>
      <c r="BD905" s="4"/>
      <c r="BE905" s="4"/>
      <c r="BF905" s="13"/>
      <c r="BG905" s="4"/>
      <c r="BH905" s="13"/>
      <c r="BI905" s="13"/>
      <c r="BJ905" s="4"/>
      <c r="BK905" s="14">
        <v>17</v>
      </c>
      <c r="BL905" s="14">
        <v>16</v>
      </c>
      <c r="BM905" s="14">
        <v>17</v>
      </c>
      <c r="BN905" s="3" t="s">
        <v>312</v>
      </c>
      <c r="BO905" s="3" t="s">
        <v>114</v>
      </c>
      <c r="BP905" s="15"/>
      <c r="BQ905" s="15"/>
      <c r="BR905" s="2" t="s">
        <v>409</v>
      </c>
      <c r="BS905" s="2" t="s">
        <v>409</v>
      </c>
      <c r="BT905" s="7" t="s">
        <v>2922</v>
      </c>
      <c r="BU905" s="7"/>
      <c r="BV905" s="9" t="s">
        <v>792</v>
      </c>
      <c r="BW905" s="9"/>
    </row>
    <row r="906" spans="1:75" ht="14.25" customHeight="1" x14ac:dyDescent="0.25">
      <c r="A906" s="1">
        <v>1474</v>
      </c>
      <c r="B906" s="1" t="s">
        <v>3777</v>
      </c>
      <c r="C906" s="1" t="s">
        <v>3778</v>
      </c>
      <c r="D906" s="1" t="s">
        <v>77</v>
      </c>
      <c r="E906" s="1" t="s">
        <v>2396</v>
      </c>
      <c r="F906" s="1" t="s">
        <v>3752</v>
      </c>
      <c r="G906" s="1"/>
      <c r="H906" s="2">
        <v>1</v>
      </c>
      <c r="I906" s="2">
        <v>1</v>
      </c>
      <c r="J906" s="2">
        <v>1</v>
      </c>
      <c r="K906" s="2">
        <v>1</v>
      </c>
      <c r="L906" s="3" t="s">
        <v>127</v>
      </c>
      <c r="O906" s="4">
        <v>1</v>
      </c>
      <c r="P906" s="4" t="s">
        <v>3779</v>
      </c>
      <c r="Q906" s="4"/>
      <c r="R906" s="16">
        <v>190000000</v>
      </c>
      <c r="S906" s="6">
        <v>190000000</v>
      </c>
      <c r="T906" s="16">
        <v>47000000</v>
      </c>
      <c r="U906" s="6">
        <v>47000000</v>
      </c>
      <c r="V906" s="4">
        <v>2010.5</v>
      </c>
      <c r="W906" s="4" t="s">
        <v>1919</v>
      </c>
      <c r="X906" s="4"/>
      <c r="Y906" s="7">
        <v>1</v>
      </c>
      <c r="Z906" s="8">
        <v>42908680</v>
      </c>
      <c r="AA906" s="7" t="s">
        <v>92</v>
      </c>
      <c r="AB906" s="7"/>
      <c r="AC906" s="9">
        <v>1</v>
      </c>
      <c r="AD906" s="10">
        <v>62552397</v>
      </c>
      <c r="AE906" s="9" t="s">
        <v>92</v>
      </c>
      <c r="AF906" s="9"/>
      <c r="AG906" s="11">
        <v>2</v>
      </c>
      <c r="AH906" s="11" t="s">
        <v>131</v>
      </c>
      <c r="AI906" s="11" t="s">
        <v>3780</v>
      </c>
      <c r="AJ906" s="11">
        <v>2</v>
      </c>
      <c r="AK906" s="11" t="s">
        <v>132</v>
      </c>
      <c r="AL906" s="12">
        <v>3</v>
      </c>
      <c r="AM906" s="12" t="s">
        <v>131</v>
      </c>
      <c r="AN906" s="12" t="s">
        <v>3781</v>
      </c>
      <c r="AO906" s="12">
        <v>3</v>
      </c>
      <c r="AP906" s="12" t="s">
        <v>143</v>
      </c>
      <c r="AQ906" s="4">
        <v>4</v>
      </c>
      <c r="AR906" s="4" t="s">
        <v>133</v>
      </c>
      <c r="AS906" s="4"/>
      <c r="AT906" s="13">
        <v>-40.607219696044901</v>
      </c>
      <c r="AU906" s="13">
        <v>-1.0166984796523999</v>
      </c>
      <c r="AV906" s="13">
        <v>-1.2678979635238601</v>
      </c>
      <c r="AW906" s="13">
        <v>-0.69400000572204601</v>
      </c>
      <c r="AX906" s="4">
        <v>1</v>
      </c>
      <c r="AY906" s="13">
        <v>-17.874879837036101</v>
      </c>
      <c r="AZ906" s="13">
        <v>-1.9505569934845</v>
      </c>
      <c r="BA906" s="13">
        <v>-2.3099999427795401</v>
      </c>
      <c r="BB906" s="13">
        <v>-1.6799999475479099</v>
      </c>
      <c r="BC906" s="4">
        <v>1</v>
      </c>
      <c r="BD906" s="4">
        <v>10</v>
      </c>
      <c r="BE906" s="4" t="s">
        <v>134</v>
      </c>
      <c r="BF906" s="13">
        <v>0.57389801740646396</v>
      </c>
      <c r="BG906" s="4">
        <v>4533</v>
      </c>
      <c r="BH906" s="13">
        <v>12.7150001525879</v>
      </c>
      <c r="BI906" s="13">
        <v>57631.3515625</v>
      </c>
      <c r="BJ906" s="4"/>
      <c r="BK906" s="14">
        <v>8</v>
      </c>
      <c r="BL906" s="14">
        <v>9</v>
      </c>
      <c r="BM906" s="14">
        <v>9</v>
      </c>
      <c r="BP906" s="15" t="s">
        <v>135</v>
      </c>
      <c r="BQ906" s="15" t="s">
        <v>146</v>
      </c>
      <c r="BR906" s="2" t="s">
        <v>172</v>
      </c>
      <c r="BS906" s="2" t="s">
        <v>740</v>
      </c>
      <c r="BT906" s="7" t="s">
        <v>777</v>
      </c>
      <c r="BU906" s="7"/>
      <c r="BV906" s="9" t="s">
        <v>777</v>
      </c>
      <c r="BW906" s="9"/>
    </row>
    <row r="907" spans="1:75" ht="14.25" customHeight="1" x14ac:dyDescent="0.25">
      <c r="A907" s="1">
        <v>1476</v>
      </c>
      <c r="B907" s="1" t="s">
        <v>3782</v>
      </c>
      <c r="C907" s="1" t="s">
        <v>3783</v>
      </c>
      <c r="D907" s="1" t="s">
        <v>77</v>
      </c>
      <c r="E907" s="1" t="s">
        <v>2396</v>
      </c>
      <c r="F907" s="1" t="s">
        <v>3752</v>
      </c>
      <c r="G907" s="1"/>
      <c r="H907" s="2">
        <v>1</v>
      </c>
      <c r="I907" s="2">
        <v>1</v>
      </c>
      <c r="J907" s="2">
        <v>1</v>
      </c>
      <c r="K907" s="2">
        <v>1</v>
      </c>
      <c r="L907" s="3" t="s">
        <v>127</v>
      </c>
      <c r="O907" s="4">
        <v>1</v>
      </c>
      <c r="P907" s="4" t="s">
        <v>3784</v>
      </c>
      <c r="Q907" s="4"/>
      <c r="R907" s="16">
        <v>83000000</v>
      </c>
      <c r="S907" s="6">
        <v>83000000</v>
      </c>
      <c r="T907" s="16">
        <v>78000000</v>
      </c>
      <c r="U907" s="6">
        <v>78000000</v>
      </c>
      <c r="V907" s="4">
        <v>2010.5</v>
      </c>
      <c r="W907" s="4" t="s">
        <v>531</v>
      </c>
      <c r="X907" s="4"/>
      <c r="Y907" s="7">
        <v>1</v>
      </c>
      <c r="Z907" s="8">
        <v>11966484</v>
      </c>
      <c r="AA907" s="7" t="s">
        <v>92</v>
      </c>
      <c r="AB907" s="7"/>
      <c r="AC907" s="9">
        <v>1</v>
      </c>
      <c r="AD907" s="10">
        <v>11736723</v>
      </c>
      <c r="AE907" s="9" t="s">
        <v>92</v>
      </c>
      <c r="AF907" s="9"/>
      <c r="AG907" s="11">
        <v>2</v>
      </c>
      <c r="AH907" s="11" t="s">
        <v>518</v>
      </c>
      <c r="AI907" s="11" t="s">
        <v>519</v>
      </c>
      <c r="AJ907" s="11">
        <v>2</v>
      </c>
      <c r="AK907" s="11" t="s">
        <v>132</v>
      </c>
      <c r="AL907" s="12">
        <v>2</v>
      </c>
      <c r="AM907" s="12" t="s">
        <v>271</v>
      </c>
      <c r="AN907" s="12" t="s">
        <v>3785</v>
      </c>
      <c r="AO907" s="12"/>
      <c r="AP907" s="12"/>
      <c r="AQ907" s="4">
        <v>1</v>
      </c>
      <c r="AR907" s="4" t="s">
        <v>133</v>
      </c>
      <c r="AS907" s="4"/>
      <c r="AT907" s="13">
        <v>124.72999572753901</v>
      </c>
      <c r="AU907" s="13">
        <v>1.6040840148925799</v>
      </c>
      <c r="AV907" s="13">
        <v>0.69600301980972301</v>
      </c>
      <c r="AW907" s="13">
        <v>2.8499999046325701</v>
      </c>
      <c r="AX907" s="4">
        <v>1</v>
      </c>
      <c r="AY907" s="13">
        <v>26.625135421752901</v>
      </c>
      <c r="AZ907" s="13">
        <v>2.3895723819732702</v>
      </c>
      <c r="BA907" s="13">
        <v>0.64899897575378396</v>
      </c>
      <c r="BB907" s="13">
        <v>5.1999998092651403</v>
      </c>
      <c r="BC907" s="4">
        <v>1</v>
      </c>
      <c r="BD907" s="4">
        <v>10</v>
      </c>
      <c r="BE907" s="4" t="s">
        <v>134</v>
      </c>
      <c r="BF907" s="13">
        <v>2.1539969444274898</v>
      </c>
      <c r="BG907" s="4">
        <v>3358.5</v>
      </c>
      <c r="BH907" s="13">
        <v>50.939998626708999</v>
      </c>
      <c r="BI907" s="13">
        <v>170877.6875</v>
      </c>
      <c r="BJ907" s="4"/>
      <c r="BK907" s="14">
        <v>5</v>
      </c>
      <c r="BL907" s="14">
        <v>5</v>
      </c>
      <c r="BM907" s="14">
        <v>5</v>
      </c>
      <c r="BP907" s="15" t="s">
        <v>135</v>
      </c>
      <c r="BQ907" s="15"/>
      <c r="BR907" s="2" t="s">
        <v>172</v>
      </c>
      <c r="BS907" s="2" t="s">
        <v>1136</v>
      </c>
      <c r="BT907" s="7" t="s">
        <v>777</v>
      </c>
      <c r="BU907" s="7"/>
      <c r="BV907" s="9" t="s">
        <v>777</v>
      </c>
      <c r="BW907" s="9"/>
    </row>
    <row r="908" spans="1:75" ht="14.25" customHeight="1" x14ac:dyDescent="0.25">
      <c r="A908" s="1">
        <v>1477</v>
      </c>
      <c r="B908" s="1" t="s">
        <v>3786</v>
      </c>
      <c r="C908" s="1" t="s">
        <v>3787</v>
      </c>
      <c r="D908" s="1" t="s">
        <v>77</v>
      </c>
      <c r="E908" s="1" t="s">
        <v>2396</v>
      </c>
      <c r="F908" s="1" t="s">
        <v>3752</v>
      </c>
      <c r="G908" s="1"/>
      <c r="H908" s="2">
        <v>0</v>
      </c>
      <c r="I908" s="2">
        <v>1</v>
      </c>
      <c r="J908" s="2">
        <v>1</v>
      </c>
      <c r="K908" s="2">
        <v>0</v>
      </c>
      <c r="L908" s="3" t="s">
        <v>127</v>
      </c>
      <c r="O908" s="4">
        <v>2</v>
      </c>
      <c r="P908" s="4" t="s">
        <v>470</v>
      </c>
      <c r="Q908" s="4"/>
      <c r="R908" s="16">
        <v>9600000</v>
      </c>
      <c r="S908" s="6">
        <v>9600000</v>
      </c>
      <c r="T908" s="16">
        <v>2800000</v>
      </c>
      <c r="U908" s="6">
        <v>2800000</v>
      </c>
      <c r="V908" s="4">
        <v>2010.5</v>
      </c>
      <c r="W908" s="4" t="s">
        <v>425</v>
      </c>
      <c r="X908" s="4"/>
      <c r="Y908" s="7">
        <v>3</v>
      </c>
      <c r="Z908" s="8">
        <v>989679</v>
      </c>
      <c r="AA908" s="7" t="s">
        <v>92</v>
      </c>
      <c r="AB908" s="7"/>
      <c r="AC908" s="9">
        <v>3</v>
      </c>
      <c r="AD908" s="10">
        <v>462838</v>
      </c>
      <c r="AE908" s="9" t="s">
        <v>92</v>
      </c>
      <c r="AF908" s="9"/>
      <c r="AG908" s="11">
        <v>2</v>
      </c>
      <c r="AH908" s="11" t="s">
        <v>131</v>
      </c>
      <c r="AI908" s="11" t="s">
        <v>3788</v>
      </c>
      <c r="AJ908" s="11">
        <v>2</v>
      </c>
      <c r="AK908" s="11" t="s">
        <v>132</v>
      </c>
      <c r="AL908" s="12">
        <v>2</v>
      </c>
      <c r="AM908" s="12" t="s">
        <v>131</v>
      </c>
      <c r="AN908" s="12" t="s">
        <v>3789</v>
      </c>
      <c r="AO908" s="12">
        <v>2</v>
      </c>
      <c r="AP908" s="12" t="s">
        <v>132</v>
      </c>
      <c r="AQ908" s="4">
        <v>2</v>
      </c>
      <c r="AR908" s="4" t="s">
        <v>3790</v>
      </c>
      <c r="AS908" s="4"/>
      <c r="AT908" s="13">
        <v>19253.20703125</v>
      </c>
      <c r="AU908" s="13">
        <v>12.1519107818604</v>
      </c>
      <c r="AV908" s="13">
        <v>5.4499998092651403</v>
      </c>
      <c r="AW908" s="13">
        <v>18.995403289794901</v>
      </c>
      <c r="AX908" s="4">
        <v>1</v>
      </c>
      <c r="AY908" s="13">
        <v>-70.067451477050795</v>
      </c>
      <c r="AZ908" s="13">
        <v>-11.3786840438843</v>
      </c>
      <c r="BA908" s="13">
        <v>-17.700000762939499</v>
      </c>
      <c r="BB908" s="13">
        <v>-5.1163969039917001</v>
      </c>
      <c r="BC908" s="4">
        <v>1</v>
      </c>
      <c r="BD908" s="4">
        <v>10</v>
      </c>
      <c r="BE908" s="4" t="s">
        <v>134</v>
      </c>
      <c r="BF908" s="13">
        <v>13.545402526855501</v>
      </c>
      <c r="BG908" s="4">
        <v>133</v>
      </c>
      <c r="BH908" s="13">
        <v>47.439998626708999</v>
      </c>
      <c r="BI908" s="13">
        <v>6309.52001953125</v>
      </c>
      <c r="BJ908" s="4"/>
      <c r="BK908" s="14">
        <v>9</v>
      </c>
      <c r="BL908" s="14">
        <v>9</v>
      </c>
      <c r="BM908" s="14">
        <v>9</v>
      </c>
      <c r="BP908" s="15" t="s">
        <v>135</v>
      </c>
      <c r="BQ908" s="15"/>
      <c r="BR908" s="2" t="s">
        <v>247</v>
      </c>
      <c r="BS908" s="2" t="s">
        <v>247</v>
      </c>
      <c r="BT908" s="7" t="s">
        <v>776</v>
      </c>
      <c r="BU908" s="7"/>
      <c r="BV908" s="9" t="s">
        <v>777</v>
      </c>
      <c r="BW908" s="9"/>
    </row>
    <row r="909" spans="1:75" ht="14.25" customHeight="1" x14ac:dyDescent="0.25">
      <c r="A909" s="1">
        <v>1478</v>
      </c>
      <c r="B909" s="1" t="s">
        <v>3791</v>
      </c>
      <c r="C909" s="1" t="s">
        <v>3792</v>
      </c>
      <c r="D909" s="1" t="s">
        <v>77</v>
      </c>
      <c r="E909" s="1" t="s">
        <v>2396</v>
      </c>
      <c r="F909" s="1" t="s">
        <v>3793</v>
      </c>
      <c r="G909" s="1"/>
      <c r="H909" s="2">
        <v>1</v>
      </c>
      <c r="I909" s="2">
        <v>1</v>
      </c>
      <c r="J909" s="2">
        <v>1</v>
      </c>
      <c r="K909" s="2">
        <v>1</v>
      </c>
      <c r="L909" s="3" t="s">
        <v>80</v>
      </c>
      <c r="O909" s="4">
        <v>3</v>
      </c>
      <c r="P909" s="4" t="s">
        <v>424</v>
      </c>
      <c r="Q909" s="4"/>
      <c r="R909" s="16">
        <v>4300000</v>
      </c>
      <c r="S909" s="6">
        <v>4300000</v>
      </c>
      <c r="T909" s="16">
        <v>2300000</v>
      </c>
      <c r="U909" s="6">
        <v>2300000</v>
      </c>
      <c r="V909" s="4">
        <v>2010.5</v>
      </c>
      <c r="W909" s="4" t="s">
        <v>425</v>
      </c>
      <c r="X909" s="4"/>
      <c r="Y909" s="7">
        <v>2</v>
      </c>
      <c r="Z909" s="8">
        <v>2161505</v>
      </c>
      <c r="AA909" s="7" t="s">
        <v>3794</v>
      </c>
      <c r="AB909" s="7" t="s">
        <v>3795</v>
      </c>
      <c r="AC909" s="9">
        <v>2</v>
      </c>
      <c r="AD909" s="10">
        <v>2161505</v>
      </c>
      <c r="AE909" s="9" t="s">
        <v>92</v>
      </c>
      <c r="AF909" s="9" t="s">
        <v>3796</v>
      </c>
      <c r="AG909" s="11">
        <v>3</v>
      </c>
      <c r="AH909" s="11" t="s">
        <v>131</v>
      </c>
      <c r="AI909" s="11"/>
      <c r="AJ909" s="11">
        <v>3</v>
      </c>
      <c r="AK909" s="11" t="s">
        <v>143</v>
      </c>
      <c r="AL909" s="12">
        <v>3</v>
      </c>
      <c r="AM909" s="12" t="s">
        <v>131</v>
      </c>
      <c r="AN909" s="12"/>
      <c r="AO909" s="12">
        <v>3</v>
      </c>
      <c r="AP909" s="12" t="s">
        <v>132</v>
      </c>
      <c r="AQ909" s="4">
        <v>3</v>
      </c>
      <c r="AR909" s="4" t="s">
        <v>133</v>
      </c>
      <c r="AS909" s="4"/>
      <c r="AT909" s="13">
        <v>-30.2249946594238</v>
      </c>
      <c r="AU909" s="13">
        <v>-0.702597916126251</v>
      </c>
      <c r="AV909" s="13">
        <v>-1.52909803390503</v>
      </c>
      <c r="AW909" s="13">
        <v>8.2699999213218703E-2</v>
      </c>
      <c r="AX909" s="4"/>
      <c r="AY909" s="13">
        <v>-3.92754030227661</v>
      </c>
      <c r="AZ909" s="13">
        <v>-0.39996865391731301</v>
      </c>
      <c r="BA909" s="13">
        <v>-2.4284009933471702</v>
      </c>
      <c r="BB909" s="13">
        <v>1.76850605010986</v>
      </c>
      <c r="BC909" s="4"/>
      <c r="BD909" s="4">
        <v>10</v>
      </c>
      <c r="BE909" s="4" t="s">
        <v>134</v>
      </c>
      <c r="BF909" s="13">
        <v>1.6117980480194101</v>
      </c>
      <c r="BG909" s="4">
        <v>507.5</v>
      </c>
      <c r="BH909" s="13">
        <v>1.8099999427795399</v>
      </c>
      <c r="BI909" s="13">
        <v>917.80999755859398</v>
      </c>
      <c r="BJ909" s="4"/>
      <c r="BK909" s="14">
        <v>11</v>
      </c>
      <c r="BL909" s="14">
        <v>11</v>
      </c>
      <c r="BM909" s="14">
        <v>11</v>
      </c>
      <c r="BP909" s="15" t="s">
        <v>135</v>
      </c>
      <c r="BQ909" s="15"/>
      <c r="BR909" s="2" t="s">
        <v>256</v>
      </c>
      <c r="BS909" s="2" t="s">
        <v>256</v>
      </c>
      <c r="BT909" s="7" t="s">
        <v>428</v>
      </c>
      <c r="BU909" s="7" t="s">
        <v>438</v>
      </c>
      <c r="BV909" s="9" t="s">
        <v>428</v>
      </c>
      <c r="BW909" s="9" t="s">
        <v>438</v>
      </c>
    </row>
    <row r="910" spans="1:75" ht="14.25" customHeight="1" x14ac:dyDescent="0.25">
      <c r="A910" s="1">
        <v>1486</v>
      </c>
      <c r="B910" s="1" t="s">
        <v>3797</v>
      </c>
      <c r="C910" s="1" t="s">
        <v>3798</v>
      </c>
      <c r="D910" s="1" t="s">
        <v>77</v>
      </c>
      <c r="E910" s="1" t="s">
        <v>2396</v>
      </c>
      <c r="F910" s="1" t="s">
        <v>3799</v>
      </c>
      <c r="G910" s="1"/>
      <c r="H910" s="2">
        <v>0</v>
      </c>
      <c r="I910" s="2">
        <v>1</v>
      </c>
      <c r="J910" s="2">
        <v>0</v>
      </c>
      <c r="K910" s="2">
        <v>0</v>
      </c>
      <c r="L910" s="3" t="s">
        <v>127</v>
      </c>
      <c r="O910" s="4">
        <v>1</v>
      </c>
      <c r="P910" s="4" t="s">
        <v>3800</v>
      </c>
      <c r="Q910" s="4" t="s">
        <v>3801</v>
      </c>
      <c r="R910" s="16">
        <v>170000000</v>
      </c>
      <c r="S910" s="6">
        <v>170000000</v>
      </c>
      <c r="T910" s="16">
        <v>8200000</v>
      </c>
      <c r="U910" s="6">
        <v>8200000</v>
      </c>
      <c r="V910" s="4">
        <v>2010.5</v>
      </c>
      <c r="W910" s="4" t="s">
        <v>425</v>
      </c>
      <c r="X910" s="4"/>
      <c r="Y910" s="7">
        <v>1</v>
      </c>
      <c r="Z910" s="8">
        <v>13523404</v>
      </c>
      <c r="AA910" s="7" t="s">
        <v>3802</v>
      </c>
      <c r="AB910" s="7" t="s">
        <v>3803</v>
      </c>
      <c r="AC910" s="9">
        <v>2</v>
      </c>
      <c r="AD910" s="10">
        <v>1981146</v>
      </c>
      <c r="AE910" s="9" t="s">
        <v>283</v>
      </c>
      <c r="AF910" s="9"/>
      <c r="AG910" s="11">
        <v>4</v>
      </c>
      <c r="AH910" s="11" t="s">
        <v>131</v>
      </c>
      <c r="AI910" s="11" t="s">
        <v>3804</v>
      </c>
      <c r="AJ910" s="11">
        <v>5</v>
      </c>
      <c r="AK910" s="11" t="s">
        <v>132</v>
      </c>
      <c r="AL910" s="12">
        <v>3</v>
      </c>
      <c r="AM910" s="12" t="s">
        <v>271</v>
      </c>
      <c r="AN910" s="12" t="s">
        <v>3805</v>
      </c>
      <c r="AO910" s="12"/>
      <c r="AP910" s="12"/>
      <c r="AQ910" s="4">
        <v>3</v>
      </c>
      <c r="AR910" s="4" t="s">
        <v>532</v>
      </c>
      <c r="AS910" s="4"/>
      <c r="AT910" s="13">
        <v>-33.704483032226598</v>
      </c>
      <c r="AU910" s="13">
        <v>-1.3756027221679701</v>
      </c>
      <c r="AV910" s="13">
        <v>-4.0238018035888699</v>
      </c>
      <c r="AW910" s="13">
        <v>1.03999996185303</v>
      </c>
      <c r="AX910" s="4"/>
      <c r="AY910" s="13">
        <v>-5.0178465843200701</v>
      </c>
      <c r="AZ910" s="13">
        <v>-0.51337599754333496</v>
      </c>
      <c r="BA910" s="13">
        <v>-4.8471980094909703</v>
      </c>
      <c r="BB910" s="13">
        <v>4.1389942169189498</v>
      </c>
      <c r="BC910" s="4"/>
      <c r="BD910" s="4">
        <v>10</v>
      </c>
      <c r="BE910" s="4" t="s">
        <v>210</v>
      </c>
      <c r="BF910" s="13">
        <v>5.0638017654418901</v>
      </c>
      <c r="BG910" s="4">
        <v>26</v>
      </c>
      <c r="BH910" s="13">
        <v>5.46000003814697</v>
      </c>
      <c r="BI910" s="13">
        <v>141.96000671386699</v>
      </c>
      <c r="BJ910" s="4"/>
      <c r="BK910" s="14">
        <v>9</v>
      </c>
      <c r="BL910" s="14">
        <v>9</v>
      </c>
      <c r="BM910" s="14">
        <v>9</v>
      </c>
      <c r="BP910" s="15"/>
      <c r="BQ910" s="15"/>
      <c r="BR910" s="2" t="s">
        <v>161</v>
      </c>
      <c r="BS910" s="2" t="s">
        <v>3608</v>
      </c>
      <c r="BT910" s="7" t="s">
        <v>174</v>
      </c>
      <c r="BU910" s="7"/>
      <c r="BV910" s="9" t="s">
        <v>797</v>
      </c>
      <c r="BW910" s="9"/>
    </row>
    <row r="911" spans="1:75" ht="14.25" customHeight="1" x14ac:dyDescent="0.25">
      <c r="A911" s="1">
        <v>1492</v>
      </c>
      <c r="B911" s="1" t="s">
        <v>3806</v>
      </c>
      <c r="C911" s="1" t="s">
        <v>3807</v>
      </c>
      <c r="D911" s="1" t="s">
        <v>77</v>
      </c>
      <c r="E911" s="1" t="s">
        <v>2396</v>
      </c>
      <c r="F911" s="1" t="s">
        <v>3808</v>
      </c>
      <c r="G911" s="1"/>
      <c r="H911" s="2">
        <v>0</v>
      </c>
      <c r="I911" s="2">
        <v>1</v>
      </c>
      <c r="J911" s="2">
        <v>1</v>
      </c>
      <c r="K911" s="2">
        <v>0</v>
      </c>
      <c r="L911" s="3" t="s">
        <v>80</v>
      </c>
      <c r="O911" s="4">
        <v>3</v>
      </c>
      <c r="P911" s="4" t="s">
        <v>424</v>
      </c>
      <c r="Q911" s="4"/>
      <c r="R911" s="16">
        <v>2200000</v>
      </c>
      <c r="S911" s="6">
        <v>2200000</v>
      </c>
      <c r="T911" s="16">
        <v>1800000</v>
      </c>
      <c r="U911" s="6">
        <v>1800000</v>
      </c>
      <c r="V911" s="4">
        <v>2010.5</v>
      </c>
      <c r="W911" s="4" t="s">
        <v>425</v>
      </c>
      <c r="X911" s="4"/>
      <c r="Y911" s="7">
        <v>4</v>
      </c>
      <c r="Z911" s="8">
        <v>245861</v>
      </c>
      <c r="AA911" s="7" t="s">
        <v>92</v>
      </c>
      <c r="AB911" s="7"/>
      <c r="AC911" s="9">
        <v>4</v>
      </c>
      <c r="AD911" s="10">
        <v>245861</v>
      </c>
      <c r="AE911" s="9" t="s">
        <v>92</v>
      </c>
      <c r="AF911" s="9"/>
      <c r="AG911" s="11">
        <v>3</v>
      </c>
      <c r="AH911" s="11" t="s">
        <v>131</v>
      </c>
      <c r="AI911" s="11" t="s">
        <v>3809</v>
      </c>
      <c r="AJ911" s="11">
        <v>2</v>
      </c>
      <c r="AK911" s="11" t="s">
        <v>132</v>
      </c>
      <c r="AL911" s="12">
        <v>4</v>
      </c>
      <c r="AM911" s="12" t="s">
        <v>131</v>
      </c>
      <c r="AN911" s="12"/>
      <c r="AO911" s="12">
        <v>4</v>
      </c>
      <c r="AP911" s="12" t="s">
        <v>132</v>
      </c>
      <c r="AQ911" s="4">
        <v>3</v>
      </c>
      <c r="AR911" s="4" t="s">
        <v>133</v>
      </c>
      <c r="AS911" s="4"/>
      <c r="AT911" s="13">
        <v>-19.1869106292725</v>
      </c>
      <c r="AU911" s="13">
        <v>-0.41679167747497597</v>
      </c>
      <c r="AV911" s="13">
        <v>-0.94969898462295499</v>
      </c>
      <c r="AW911" s="13">
        <v>0.225999996066093</v>
      </c>
      <c r="AX911" s="4"/>
      <c r="AY911" s="13">
        <v>-2.3912084102630602</v>
      </c>
      <c r="AZ911" s="13">
        <v>-0.24212738871574399</v>
      </c>
      <c r="BA911" s="13">
        <v>-1.8200000524520901</v>
      </c>
      <c r="BB911" s="13">
        <v>1.4901039600372299</v>
      </c>
      <c r="BC911" s="4"/>
      <c r="BD911" s="4">
        <v>10</v>
      </c>
      <c r="BE911" s="4" t="s">
        <v>134</v>
      </c>
      <c r="BF911" s="13">
        <v>1.17569899559021</v>
      </c>
      <c r="BG911" s="4">
        <v>173.5</v>
      </c>
      <c r="BH911" s="13">
        <v>6.7249999046325701</v>
      </c>
      <c r="BI911" s="13">
        <v>1165.89001464844</v>
      </c>
      <c r="BJ911" s="4"/>
      <c r="BK911" s="14">
        <v>13</v>
      </c>
      <c r="BL911" s="14">
        <v>14</v>
      </c>
      <c r="BM911" s="14">
        <v>14</v>
      </c>
      <c r="BN911" s="3" t="s">
        <v>86</v>
      </c>
      <c r="BP911" s="15"/>
      <c r="BQ911" s="15"/>
      <c r="BR911" s="2" t="s">
        <v>162</v>
      </c>
      <c r="BS911" s="2" t="s">
        <v>162</v>
      </c>
      <c r="BT911" s="7" t="s">
        <v>429</v>
      </c>
      <c r="BU911" s="7"/>
      <c r="BV911" s="9" t="s">
        <v>429</v>
      </c>
      <c r="BW911" s="9"/>
    </row>
    <row r="912" spans="1:75" ht="14.25" customHeight="1" x14ac:dyDescent="0.25">
      <c r="A912" s="1">
        <v>1497</v>
      </c>
      <c r="B912" s="1" t="s">
        <v>3810</v>
      </c>
      <c r="C912" s="1" t="s">
        <v>3811</v>
      </c>
      <c r="D912" s="1" t="s">
        <v>77</v>
      </c>
      <c r="E912" s="1" t="s">
        <v>2396</v>
      </c>
      <c r="F912" s="1" t="s">
        <v>3812</v>
      </c>
      <c r="G912" s="1" t="s">
        <v>3813</v>
      </c>
      <c r="H912" s="2">
        <v>1</v>
      </c>
      <c r="I912" s="2">
        <v>1</v>
      </c>
      <c r="J912" s="2">
        <v>1</v>
      </c>
      <c r="K912" s="2">
        <v>0</v>
      </c>
      <c r="L912" s="3" t="s">
        <v>127</v>
      </c>
      <c r="O912" s="4">
        <v>1</v>
      </c>
      <c r="P912" s="4" t="s">
        <v>1919</v>
      </c>
      <c r="Q912" s="4"/>
      <c r="R912" s="16">
        <v>100000000</v>
      </c>
      <c r="S912" s="6">
        <v>100000000</v>
      </c>
      <c r="T912" s="16">
        <v>100000000</v>
      </c>
      <c r="U912" s="6">
        <v>100000000</v>
      </c>
      <c r="V912" s="4">
        <v>2010.5</v>
      </c>
      <c r="W912" s="4" t="s">
        <v>1919</v>
      </c>
      <c r="X912" s="4"/>
      <c r="Y912" s="7">
        <v>1</v>
      </c>
      <c r="Z912" s="8">
        <v>9221284</v>
      </c>
      <c r="AA912" s="7" t="s">
        <v>92</v>
      </c>
      <c r="AB912" s="7"/>
      <c r="AC912" s="9">
        <v>1</v>
      </c>
      <c r="AD912" s="10">
        <v>5694035</v>
      </c>
      <c r="AE912" s="9" t="s">
        <v>92</v>
      </c>
      <c r="AF912" s="9"/>
      <c r="AG912" s="11">
        <v>3</v>
      </c>
      <c r="AH912" s="11" t="s">
        <v>131</v>
      </c>
      <c r="AI912" s="11"/>
      <c r="AJ912" s="11">
        <v>4</v>
      </c>
      <c r="AK912" s="11" t="s">
        <v>332</v>
      </c>
      <c r="AL912" s="12">
        <v>2</v>
      </c>
      <c r="AM912" s="12" t="s">
        <v>131</v>
      </c>
      <c r="AN912" s="12"/>
      <c r="AO912" s="12">
        <v>2</v>
      </c>
      <c r="AP912" s="12" t="s">
        <v>143</v>
      </c>
      <c r="AQ912" s="4">
        <v>2</v>
      </c>
      <c r="AR912" s="4" t="s">
        <v>133</v>
      </c>
      <c r="AS912" s="4"/>
      <c r="AT912" s="13">
        <v>26.278013229370099</v>
      </c>
      <c r="AU912" s="13">
        <v>0.458780378103256</v>
      </c>
      <c r="AV912" s="13">
        <v>-0.30000001192092901</v>
      </c>
      <c r="AW912" s="13">
        <v>1.0599999427795399</v>
      </c>
      <c r="AX912" s="4"/>
      <c r="AY912" s="13">
        <v>-4.3317246437072798</v>
      </c>
      <c r="AZ912" s="13">
        <v>-0.44341585040092502</v>
      </c>
      <c r="BA912" s="13">
        <v>-3.9100000858306898</v>
      </c>
      <c r="BB912" s="13">
        <v>1.5642050504684399</v>
      </c>
      <c r="BC912" s="4"/>
      <c r="BD912" s="4">
        <v>10</v>
      </c>
      <c r="BE912" s="4" t="s">
        <v>134</v>
      </c>
      <c r="BF912" s="13">
        <v>1.3600000143051101</v>
      </c>
      <c r="BG912" s="4">
        <v>1541</v>
      </c>
      <c r="BH912" s="13">
        <v>11.3699998855591</v>
      </c>
      <c r="BI912" s="13">
        <v>17511.599609375</v>
      </c>
      <c r="BJ912" s="4"/>
      <c r="BK912" s="14">
        <v>7</v>
      </c>
      <c r="BL912" s="14">
        <v>6</v>
      </c>
      <c r="BM912" s="14">
        <v>7</v>
      </c>
      <c r="BP912" s="15"/>
      <c r="BQ912" s="15"/>
      <c r="BR912" s="2" t="s">
        <v>211</v>
      </c>
      <c r="BS912" s="2" t="s">
        <v>172</v>
      </c>
      <c r="BT912" s="7" t="s">
        <v>527</v>
      </c>
      <c r="BU912" s="7" t="s">
        <v>428</v>
      </c>
      <c r="BV912" s="9" t="s">
        <v>509</v>
      </c>
      <c r="BW912" s="9"/>
    </row>
    <row r="913" spans="1:75" ht="14.25" customHeight="1" x14ac:dyDescent="0.25">
      <c r="A913" s="1">
        <v>1498</v>
      </c>
      <c r="B913" s="1" t="s">
        <v>3814</v>
      </c>
      <c r="C913" s="1" t="s">
        <v>3815</v>
      </c>
      <c r="D913" s="1" t="s">
        <v>77</v>
      </c>
      <c r="E913" s="1" t="s">
        <v>2396</v>
      </c>
      <c r="F913" s="1" t="s">
        <v>3812</v>
      </c>
      <c r="G913" s="1"/>
      <c r="H913" s="2">
        <v>1</v>
      </c>
      <c r="I913" s="2">
        <v>1</v>
      </c>
      <c r="J913" s="2">
        <v>1</v>
      </c>
      <c r="K913" s="2">
        <v>0</v>
      </c>
      <c r="L913" s="3" t="s">
        <v>127</v>
      </c>
      <c r="O913" s="4">
        <v>1</v>
      </c>
      <c r="P913" s="4" t="s">
        <v>2693</v>
      </c>
      <c r="Q913" s="4"/>
      <c r="R913" s="16">
        <v>140000000</v>
      </c>
      <c r="S913" s="6">
        <v>140000000</v>
      </c>
      <c r="T913" s="16">
        <v>130000000</v>
      </c>
      <c r="U913" s="6">
        <v>130000000</v>
      </c>
      <c r="V913" s="4">
        <v>2010.5</v>
      </c>
      <c r="W913" s="4" t="s">
        <v>579</v>
      </c>
      <c r="X913" s="4"/>
      <c r="Y913" s="7">
        <v>1</v>
      </c>
      <c r="Z913" s="8">
        <v>6250316</v>
      </c>
      <c r="AA913" s="7" t="s">
        <v>92</v>
      </c>
      <c r="AB913" s="7"/>
      <c r="AC913" s="9">
        <v>1</v>
      </c>
      <c r="AD913" s="10">
        <v>8227834</v>
      </c>
      <c r="AE913" s="9" t="s">
        <v>92</v>
      </c>
      <c r="AF913" s="9"/>
      <c r="AG913" s="11">
        <v>3</v>
      </c>
      <c r="AH913" s="11" t="s">
        <v>131</v>
      </c>
      <c r="AI913" s="11" t="s">
        <v>3816</v>
      </c>
      <c r="AJ913" s="11">
        <v>3</v>
      </c>
      <c r="AK913" s="11" t="s">
        <v>143</v>
      </c>
      <c r="AL913" s="12">
        <v>2</v>
      </c>
      <c r="AM913" s="12" t="s">
        <v>131</v>
      </c>
      <c r="AN913" s="12"/>
      <c r="AO913" s="12">
        <v>2</v>
      </c>
      <c r="AP913" s="12" t="s">
        <v>132</v>
      </c>
      <c r="AQ913" s="4">
        <v>5</v>
      </c>
      <c r="AR913" s="4" t="s">
        <v>133</v>
      </c>
      <c r="AS913" s="4"/>
      <c r="AT913" s="13">
        <v>-30.125108718872099</v>
      </c>
      <c r="AU913" s="13">
        <v>-0.70077478885650601</v>
      </c>
      <c r="AV913" s="13">
        <v>-1.1000000238418599</v>
      </c>
      <c r="AW913" s="13">
        <v>-0.163000002503395</v>
      </c>
      <c r="AX913" s="4">
        <v>1</v>
      </c>
      <c r="AY913" s="13">
        <v>-33.914333343505902</v>
      </c>
      <c r="AZ913" s="13">
        <v>-4.0581912994384801</v>
      </c>
      <c r="BA913" s="13">
        <v>-5.28999996185303</v>
      </c>
      <c r="BB913" s="13">
        <v>-2.6199998855590798</v>
      </c>
      <c r="BC913" s="4">
        <v>1</v>
      </c>
      <c r="BD913" s="4">
        <v>10</v>
      </c>
      <c r="BE913" s="4" t="s">
        <v>134</v>
      </c>
      <c r="BF913" s="13">
        <v>0.93699997663497903</v>
      </c>
      <c r="BG913" s="4">
        <v>1307.5</v>
      </c>
      <c r="BH913" s="13">
        <v>2.6849999427795401</v>
      </c>
      <c r="BI913" s="13">
        <v>3502.19995117188</v>
      </c>
      <c r="BJ913" s="4">
        <v>17</v>
      </c>
      <c r="BK913" s="14">
        <v>10</v>
      </c>
      <c r="BL913" s="14">
        <v>9</v>
      </c>
      <c r="BM913" s="14">
        <v>10</v>
      </c>
      <c r="BN913" s="3" t="s">
        <v>302</v>
      </c>
      <c r="BP913" s="15"/>
      <c r="BQ913" s="15"/>
      <c r="BR913" s="2" t="s">
        <v>172</v>
      </c>
      <c r="BS913" s="2" t="s">
        <v>172</v>
      </c>
      <c r="BT913" s="7" t="s">
        <v>527</v>
      </c>
      <c r="BU913" s="7" t="s">
        <v>428</v>
      </c>
      <c r="BV913" s="9" t="s">
        <v>509</v>
      </c>
      <c r="BW913" s="9"/>
    </row>
    <row r="914" spans="1:75" ht="14.25" customHeight="1" x14ac:dyDescent="0.25">
      <c r="A914" s="1">
        <v>1500</v>
      </c>
      <c r="B914" s="1" t="s">
        <v>3817</v>
      </c>
      <c r="C914" s="1" t="s">
        <v>3818</v>
      </c>
      <c r="D914" s="1" t="s">
        <v>77</v>
      </c>
      <c r="E914" s="1" t="s">
        <v>2396</v>
      </c>
      <c r="F914" s="1" t="s">
        <v>3819</v>
      </c>
      <c r="G914" s="1"/>
      <c r="H914" s="2">
        <v>1</v>
      </c>
      <c r="I914" s="2">
        <v>1</v>
      </c>
      <c r="J914" s="2">
        <v>0</v>
      </c>
      <c r="K914" s="2">
        <v>0</v>
      </c>
      <c r="L914" s="3" t="s">
        <v>127</v>
      </c>
      <c r="O914" s="4">
        <v>2</v>
      </c>
      <c r="P914" s="4" t="s">
        <v>530</v>
      </c>
      <c r="Q914" s="4"/>
      <c r="R914" s="16">
        <v>5000000</v>
      </c>
      <c r="S914" s="6">
        <v>5000000</v>
      </c>
      <c r="T914" s="16">
        <v>2500000</v>
      </c>
      <c r="U914" s="6">
        <v>2500000</v>
      </c>
      <c r="V914" s="4">
        <v>2010.5</v>
      </c>
      <c r="W914" s="4" t="s">
        <v>531</v>
      </c>
      <c r="X914" s="4"/>
      <c r="Y914" s="7">
        <v>1</v>
      </c>
      <c r="Z914" s="8">
        <v>7976520</v>
      </c>
      <c r="AA914" s="7" t="s">
        <v>92</v>
      </c>
      <c r="AB914" s="7"/>
      <c r="AC914" s="9">
        <v>1</v>
      </c>
      <c r="AD914" s="10">
        <v>13944722</v>
      </c>
      <c r="AE914" s="9" t="s">
        <v>92</v>
      </c>
      <c r="AF914" s="9"/>
      <c r="AG914" s="11">
        <v>3</v>
      </c>
      <c r="AH914" s="11" t="s">
        <v>131</v>
      </c>
      <c r="AI914" s="11" t="s">
        <v>3820</v>
      </c>
      <c r="AJ914" s="11">
        <v>4</v>
      </c>
      <c r="AK914" s="11" t="s">
        <v>143</v>
      </c>
      <c r="AL914" s="12">
        <v>3</v>
      </c>
      <c r="AM914" s="12" t="s">
        <v>131</v>
      </c>
      <c r="AN914" s="12"/>
      <c r="AO914" s="12">
        <v>4</v>
      </c>
      <c r="AP914" s="12" t="s">
        <v>143</v>
      </c>
      <c r="AQ914" s="4">
        <v>5</v>
      </c>
      <c r="AR914" s="4" t="s">
        <v>208</v>
      </c>
      <c r="AS914" s="4"/>
      <c r="AT914" s="13">
        <v>-70.229827880859403</v>
      </c>
      <c r="AU914" s="13">
        <v>-3.0710511207580602</v>
      </c>
      <c r="AV914" s="13">
        <v>-4.4828000068664604</v>
      </c>
      <c r="AW914" s="13">
        <v>-1.4099999666214</v>
      </c>
      <c r="AX914" s="4">
        <v>1</v>
      </c>
      <c r="AY914" s="13">
        <v>-19.758457183837901</v>
      </c>
      <c r="AZ914" s="13">
        <v>-2.1789846420288099</v>
      </c>
      <c r="BA914" s="13">
        <v>-5.5300002098083496</v>
      </c>
      <c r="BB914" s="13">
        <v>1.0578989982605</v>
      </c>
      <c r="BC914" s="4"/>
      <c r="BD914" s="4">
        <v>10</v>
      </c>
      <c r="BE914" s="4" t="s">
        <v>210</v>
      </c>
      <c r="BF914" s="13">
        <v>3.0727999210357702</v>
      </c>
      <c r="BG914" s="4">
        <v>130</v>
      </c>
      <c r="BH914" s="13">
        <v>0.86400002241134599</v>
      </c>
      <c r="BI914" s="13">
        <v>112.31999969482401</v>
      </c>
      <c r="BJ914" s="4"/>
      <c r="BK914" s="14">
        <v>11</v>
      </c>
      <c r="BL914" s="14">
        <v>11</v>
      </c>
      <c r="BM914" s="14">
        <v>11</v>
      </c>
      <c r="BN914" s="3" t="s">
        <v>302</v>
      </c>
      <c r="BP914" s="15"/>
      <c r="BQ914" s="15"/>
      <c r="BR914" s="2" t="s">
        <v>211</v>
      </c>
      <c r="BS914" s="2" t="s">
        <v>172</v>
      </c>
      <c r="BT914" s="7" t="s">
        <v>527</v>
      </c>
      <c r="BU914" s="7"/>
      <c r="BV914" s="9" t="s">
        <v>527</v>
      </c>
      <c r="BW914" s="9"/>
    </row>
    <row r="915" spans="1:75" ht="14.25" customHeight="1" x14ac:dyDescent="0.25">
      <c r="A915" s="1">
        <v>1501</v>
      </c>
      <c r="B915" s="1" t="s">
        <v>3821</v>
      </c>
      <c r="C915" s="1" t="s">
        <v>3822</v>
      </c>
      <c r="D915" s="1" t="s">
        <v>77</v>
      </c>
      <c r="E915" s="1" t="s">
        <v>2396</v>
      </c>
      <c r="F915" s="1" t="s">
        <v>3819</v>
      </c>
      <c r="G915" s="1" t="s">
        <v>118</v>
      </c>
      <c r="H915" s="2">
        <v>1</v>
      </c>
      <c r="I915" s="2">
        <v>1</v>
      </c>
      <c r="J915" s="2">
        <v>1</v>
      </c>
      <c r="K915" s="2">
        <v>1</v>
      </c>
      <c r="L915" s="3" t="s">
        <v>127</v>
      </c>
      <c r="O915" s="4">
        <v>1</v>
      </c>
      <c r="P915" s="4" t="s">
        <v>2693</v>
      </c>
      <c r="Q915" s="4" t="s">
        <v>3823</v>
      </c>
      <c r="R915" s="16">
        <v>64000000</v>
      </c>
      <c r="S915" s="6">
        <v>64000000</v>
      </c>
      <c r="T915" s="16">
        <v>64000000</v>
      </c>
      <c r="U915" s="6">
        <v>64000000</v>
      </c>
      <c r="V915" s="4">
        <v>2010.5</v>
      </c>
      <c r="W915" s="4" t="s">
        <v>579</v>
      </c>
      <c r="X915" s="4"/>
      <c r="Y915" s="7">
        <v>1</v>
      </c>
      <c r="Z915" s="8">
        <v>7413995</v>
      </c>
      <c r="AA915" s="7" t="s">
        <v>92</v>
      </c>
      <c r="AB915" s="7"/>
      <c r="AC915" s="9">
        <v>1</v>
      </c>
      <c r="AD915" s="10">
        <v>10991636</v>
      </c>
      <c r="AE915" s="9" t="s">
        <v>92</v>
      </c>
      <c r="AF915" s="9"/>
      <c r="AG915" s="11">
        <v>2</v>
      </c>
      <c r="AH915" s="11" t="s">
        <v>131</v>
      </c>
      <c r="AI915" s="11" t="s">
        <v>3824</v>
      </c>
      <c r="AJ915" s="11">
        <v>2</v>
      </c>
      <c r="AK915" s="11" t="s">
        <v>132</v>
      </c>
      <c r="AL915" s="12">
        <v>2</v>
      </c>
      <c r="AM915" s="12" t="s">
        <v>131</v>
      </c>
      <c r="AN915" s="12" t="s">
        <v>3824</v>
      </c>
      <c r="AO915" s="12">
        <v>2</v>
      </c>
      <c r="AP915" s="12" t="s">
        <v>132</v>
      </c>
      <c r="AQ915" s="4">
        <v>4</v>
      </c>
      <c r="AR915" s="4" t="s">
        <v>133</v>
      </c>
      <c r="AS915" s="4"/>
      <c r="AT915" s="13">
        <v>-2.6866979598999001</v>
      </c>
      <c r="AU915" s="13">
        <v>-5.3401030600071002E-2</v>
      </c>
      <c r="AV915" s="13">
        <v>-0.39899998903274497</v>
      </c>
      <c r="AW915" s="13">
        <v>0.25499999523162797</v>
      </c>
      <c r="AX915" s="4"/>
      <c r="AY915" s="13">
        <v>-31.2847290039063</v>
      </c>
      <c r="AZ915" s="13">
        <v>-3.67815065383911</v>
      </c>
      <c r="BA915" s="13">
        <v>-4.5599999427795401</v>
      </c>
      <c r="BB915" s="13">
        <v>-2.9000000953674299</v>
      </c>
      <c r="BC915" s="4">
        <v>1</v>
      </c>
      <c r="BD915" s="4">
        <v>10</v>
      </c>
      <c r="BE915" s="4" t="s">
        <v>134</v>
      </c>
      <c r="BF915" s="13">
        <v>0.653999984264374</v>
      </c>
      <c r="BG915" s="4">
        <v>3005.5</v>
      </c>
      <c r="BH915" s="13">
        <v>5.0500001907348597</v>
      </c>
      <c r="BI915" s="13">
        <v>15175.75</v>
      </c>
      <c r="BJ915" s="4"/>
      <c r="BK915" s="14">
        <v>8</v>
      </c>
      <c r="BL915" s="14">
        <v>8</v>
      </c>
      <c r="BM915" s="14">
        <v>8</v>
      </c>
      <c r="BP915" s="15" t="s">
        <v>135</v>
      </c>
      <c r="BQ915" s="15"/>
      <c r="BR915" s="2" t="s">
        <v>172</v>
      </c>
      <c r="BS915" s="2" t="s">
        <v>172</v>
      </c>
      <c r="BT915" s="7" t="s">
        <v>509</v>
      </c>
      <c r="BU915" s="7"/>
      <c r="BV915" s="9" t="s">
        <v>509</v>
      </c>
      <c r="BW915" s="9"/>
    </row>
    <row r="916" spans="1:75" ht="14.25" customHeight="1" x14ac:dyDescent="0.25">
      <c r="A916" s="1">
        <v>1502</v>
      </c>
      <c r="B916" s="1" t="s">
        <v>3825</v>
      </c>
      <c r="C916" s="1" t="s">
        <v>3826</v>
      </c>
      <c r="D916" s="1" t="s">
        <v>77</v>
      </c>
      <c r="E916" s="1" t="s">
        <v>2396</v>
      </c>
      <c r="F916" s="1" t="s">
        <v>3827</v>
      </c>
      <c r="G916" s="1"/>
      <c r="H916" s="2">
        <v>0</v>
      </c>
      <c r="I916" s="2">
        <v>0</v>
      </c>
      <c r="J916" s="2">
        <v>0</v>
      </c>
      <c r="K916" s="2">
        <v>1</v>
      </c>
      <c r="L916" s="3" t="s">
        <v>80</v>
      </c>
      <c r="O916" s="4">
        <v>5</v>
      </c>
      <c r="P916" s="4" t="s">
        <v>81</v>
      </c>
      <c r="Q916" s="4"/>
      <c r="R916" s="5"/>
      <c r="S916" s="6"/>
      <c r="T916" s="17"/>
      <c r="U916" s="6"/>
      <c r="V916" s="4"/>
      <c r="W916" s="4"/>
      <c r="X916" s="4"/>
      <c r="Y916" s="7">
        <v>5</v>
      </c>
      <c r="Z916" s="8">
        <v>6574</v>
      </c>
      <c r="AA916" s="7" t="s">
        <v>82</v>
      </c>
      <c r="AB916" s="7"/>
      <c r="AC916" s="9">
        <v>5</v>
      </c>
      <c r="AD916" s="10">
        <v>6574</v>
      </c>
      <c r="AE916" s="9" t="s">
        <v>82</v>
      </c>
      <c r="AF916" s="9"/>
      <c r="AG916" s="11">
        <v>4</v>
      </c>
      <c r="AH916" s="11" t="s">
        <v>83</v>
      </c>
      <c r="AI916" s="11"/>
      <c r="AJ916" s="11"/>
      <c r="AK916" s="11"/>
      <c r="AL916" s="12">
        <v>4</v>
      </c>
      <c r="AM916" s="12" t="s">
        <v>83</v>
      </c>
      <c r="AN916" s="12"/>
      <c r="AO916" s="12"/>
      <c r="AP916" s="12"/>
      <c r="AQ916" s="4">
        <v>3</v>
      </c>
      <c r="AR916" s="4" t="s">
        <v>83</v>
      </c>
      <c r="AS916" s="4"/>
      <c r="AT916" s="13"/>
      <c r="AU916" s="13"/>
      <c r="AV916" s="13"/>
      <c r="AW916" s="13"/>
      <c r="AX916" s="4"/>
      <c r="AY916" s="13"/>
      <c r="AZ916" s="13"/>
      <c r="BA916" s="13"/>
      <c r="BB916" s="13"/>
      <c r="BC916" s="4"/>
      <c r="BD916" s="4"/>
      <c r="BE916" s="4"/>
      <c r="BF916" s="13"/>
      <c r="BG916" s="4"/>
      <c r="BH916" s="13"/>
      <c r="BI916" s="13"/>
      <c r="BJ916" s="4"/>
      <c r="BK916" s="14">
        <v>17</v>
      </c>
      <c r="BL916" s="14">
        <v>17</v>
      </c>
      <c r="BM916" s="14">
        <v>17</v>
      </c>
      <c r="BN916" s="3" t="s">
        <v>312</v>
      </c>
      <c r="BP916" s="15"/>
      <c r="BQ916" s="15"/>
      <c r="BR916" s="2" t="s">
        <v>87</v>
      </c>
      <c r="BS916" s="2" t="s">
        <v>87</v>
      </c>
      <c r="BT916" s="7" t="s">
        <v>88</v>
      </c>
      <c r="BU916" s="7"/>
      <c r="BV916" s="9" t="s">
        <v>88</v>
      </c>
      <c r="BW916" s="9"/>
    </row>
    <row r="917" spans="1:75" ht="14.25" customHeight="1" x14ac:dyDescent="0.25">
      <c r="A917" s="1">
        <v>1513</v>
      </c>
      <c r="B917" s="1" t="s">
        <v>3828</v>
      </c>
      <c r="C917" s="1" t="s">
        <v>3829</v>
      </c>
      <c r="D917" s="1" t="s">
        <v>77</v>
      </c>
      <c r="E917" s="1" t="s">
        <v>2396</v>
      </c>
      <c r="F917" s="1" t="s">
        <v>3830</v>
      </c>
      <c r="G917" s="1"/>
      <c r="H917" s="2">
        <v>1</v>
      </c>
      <c r="I917" s="2">
        <v>1</v>
      </c>
      <c r="J917" s="2">
        <v>1</v>
      </c>
      <c r="K917" s="2">
        <v>0</v>
      </c>
      <c r="L917" s="3" t="s">
        <v>80</v>
      </c>
      <c r="O917" s="4">
        <v>3</v>
      </c>
      <c r="P917" s="4" t="s">
        <v>424</v>
      </c>
      <c r="Q917" s="4"/>
      <c r="R917" s="16">
        <v>3300000</v>
      </c>
      <c r="S917" s="6">
        <v>3300000</v>
      </c>
      <c r="T917" s="16">
        <v>3100000</v>
      </c>
      <c r="U917" s="6">
        <v>3100000</v>
      </c>
      <c r="V917" s="4">
        <v>2010.5</v>
      </c>
      <c r="W917" s="4" t="s">
        <v>425</v>
      </c>
      <c r="X917" s="4"/>
      <c r="Y917" s="7">
        <v>2</v>
      </c>
      <c r="Z917" s="8">
        <v>1952917</v>
      </c>
      <c r="AA917" s="7" t="s">
        <v>92</v>
      </c>
      <c r="AB917" s="7"/>
      <c r="AC917" s="9">
        <v>2</v>
      </c>
      <c r="AD917" s="10">
        <v>1952917</v>
      </c>
      <c r="AE917" s="9" t="s">
        <v>92</v>
      </c>
      <c r="AF917" s="9"/>
      <c r="AG917" s="11">
        <v>4</v>
      </c>
      <c r="AH917" s="11" t="s">
        <v>131</v>
      </c>
      <c r="AI917" s="11"/>
      <c r="AJ917" s="11">
        <v>5</v>
      </c>
      <c r="AK917" s="11" t="s">
        <v>143</v>
      </c>
      <c r="AL917" s="12">
        <v>3</v>
      </c>
      <c r="AM917" s="12" t="s">
        <v>131</v>
      </c>
      <c r="AN917" s="12"/>
      <c r="AO917" s="12">
        <v>3</v>
      </c>
      <c r="AP917" s="12" t="s">
        <v>132</v>
      </c>
      <c r="AQ917" s="4">
        <v>2</v>
      </c>
      <c r="AR917" s="4" t="s">
        <v>133</v>
      </c>
      <c r="AS917" s="4"/>
      <c r="AT917" s="13">
        <v>-21.412279129028299</v>
      </c>
      <c r="AU917" s="13">
        <v>-0.47076809406280501</v>
      </c>
      <c r="AV917" s="13">
        <v>-1.3979970216751101</v>
      </c>
      <c r="AW917" s="13">
        <v>0.40000000596046398</v>
      </c>
      <c r="AX917" s="4"/>
      <c r="AY917" s="13">
        <v>2.9350671768188499</v>
      </c>
      <c r="AZ917" s="13">
        <v>0.28973302245140098</v>
      </c>
      <c r="BA917" s="13">
        <v>-1.3600000143051101</v>
      </c>
      <c r="BB917" s="13">
        <v>2.1662950515747101</v>
      </c>
      <c r="BC917" s="4"/>
      <c r="BD917" s="4">
        <v>10</v>
      </c>
      <c r="BE917" s="4" t="s">
        <v>134</v>
      </c>
      <c r="BF917" s="13">
        <v>1.79799699783325</v>
      </c>
      <c r="BG917" s="4">
        <v>247</v>
      </c>
      <c r="BH917" s="13">
        <v>2.5199999809265101</v>
      </c>
      <c r="BI917" s="13">
        <v>623.45001220703102</v>
      </c>
      <c r="BJ917" s="4"/>
      <c r="BK917" s="14">
        <v>11</v>
      </c>
      <c r="BL917" s="14">
        <v>10</v>
      </c>
      <c r="BM917" s="14">
        <v>11</v>
      </c>
      <c r="BP917" s="15" t="s">
        <v>135</v>
      </c>
      <c r="BQ917" s="15"/>
      <c r="BR917" s="2" t="s">
        <v>555</v>
      </c>
      <c r="BS917" s="2" t="s">
        <v>555</v>
      </c>
      <c r="BT917" s="7" t="s">
        <v>428</v>
      </c>
      <c r="BU917" s="7" t="s">
        <v>437</v>
      </c>
      <c r="BV917" s="9" t="s">
        <v>428</v>
      </c>
      <c r="BW917" s="9" t="s">
        <v>437</v>
      </c>
    </row>
    <row r="918" spans="1:75" ht="14.25" customHeight="1" x14ac:dyDescent="0.25">
      <c r="A918" s="1">
        <v>1514</v>
      </c>
      <c r="B918" s="1" t="s">
        <v>3831</v>
      </c>
      <c r="C918" s="1" t="s">
        <v>3832</v>
      </c>
      <c r="D918" s="1" t="s">
        <v>77</v>
      </c>
      <c r="E918" s="1" t="s">
        <v>2396</v>
      </c>
      <c r="F918" s="1" t="s">
        <v>3830</v>
      </c>
      <c r="G918" s="1"/>
      <c r="H918" s="2">
        <v>0</v>
      </c>
      <c r="I918" s="2">
        <v>1</v>
      </c>
      <c r="J918" s="2">
        <v>0</v>
      </c>
      <c r="K918" s="2">
        <v>0</v>
      </c>
      <c r="L918" s="3" t="s">
        <v>80</v>
      </c>
      <c r="O918" s="4">
        <v>3</v>
      </c>
      <c r="P918" s="4" t="s">
        <v>425</v>
      </c>
      <c r="Q918" s="4" t="s">
        <v>3833</v>
      </c>
      <c r="R918" s="16">
        <v>1600000</v>
      </c>
      <c r="S918" s="6">
        <v>1600000</v>
      </c>
      <c r="T918" s="16">
        <v>1600000</v>
      </c>
      <c r="U918" s="6">
        <v>1600000</v>
      </c>
      <c r="V918" s="4">
        <v>2010.5</v>
      </c>
      <c r="W918" s="4" t="s">
        <v>425</v>
      </c>
      <c r="X918" s="4"/>
      <c r="Y918" s="7">
        <v>3</v>
      </c>
      <c r="Z918" s="8">
        <v>941670</v>
      </c>
      <c r="AA918" s="7" t="s">
        <v>92</v>
      </c>
      <c r="AB918" s="7" t="s">
        <v>3834</v>
      </c>
      <c r="AC918" s="9">
        <v>3</v>
      </c>
      <c r="AD918" s="10">
        <v>941670</v>
      </c>
      <c r="AE918" s="9" t="s">
        <v>92</v>
      </c>
      <c r="AF918" s="9" t="s">
        <v>3835</v>
      </c>
      <c r="AG918" s="11">
        <v>4</v>
      </c>
      <c r="AH918" s="11" t="s">
        <v>131</v>
      </c>
      <c r="AI918" s="11" t="s">
        <v>3836</v>
      </c>
      <c r="AJ918" s="11">
        <v>5</v>
      </c>
      <c r="AK918" s="11" t="s">
        <v>132</v>
      </c>
      <c r="AL918" s="12">
        <v>3</v>
      </c>
      <c r="AM918" s="12" t="s">
        <v>131</v>
      </c>
      <c r="AN918" s="12" t="s">
        <v>3837</v>
      </c>
      <c r="AO918" s="12">
        <v>3</v>
      </c>
      <c r="AP918" s="12" t="s">
        <v>143</v>
      </c>
      <c r="AQ918" s="4">
        <v>3</v>
      </c>
      <c r="AR918" s="4" t="s">
        <v>133</v>
      </c>
      <c r="AS918" s="4"/>
      <c r="AT918" s="13">
        <v>-21.629076004028299</v>
      </c>
      <c r="AU918" s="13">
        <v>-0.47664681077003501</v>
      </c>
      <c r="AV918" s="13">
        <v>-0.94700002670288097</v>
      </c>
      <c r="AW918" s="13">
        <v>-0.12680299580097201</v>
      </c>
      <c r="AX918" s="4">
        <v>1</v>
      </c>
      <c r="AY918" s="13">
        <v>-11.336663246154799</v>
      </c>
      <c r="AZ918" s="13">
        <v>-1.19592833518982</v>
      </c>
      <c r="BA918" s="13">
        <v>-2.5099999904632599</v>
      </c>
      <c r="BB918" s="13">
        <v>-8.4100000560283703E-2</v>
      </c>
      <c r="BC918" s="4">
        <v>1</v>
      </c>
      <c r="BD918" s="4">
        <v>10</v>
      </c>
      <c r="BE918" s="4" t="s">
        <v>134</v>
      </c>
      <c r="BF918" s="13">
        <v>0.82019698619842496</v>
      </c>
      <c r="BG918" s="4">
        <v>532.5</v>
      </c>
      <c r="BH918" s="13">
        <v>1.71000003814697</v>
      </c>
      <c r="BI918" s="13">
        <v>910.5</v>
      </c>
      <c r="BJ918" s="4"/>
      <c r="BK918" s="14">
        <v>13</v>
      </c>
      <c r="BL918" s="14">
        <v>12</v>
      </c>
      <c r="BM918" s="14">
        <v>13</v>
      </c>
      <c r="BP918" s="15"/>
      <c r="BQ918" s="15"/>
      <c r="BR918" s="2" t="s">
        <v>239</v>
      </c>
      <c r="BS918" s="2" t="s">
        <v>239</v>
      </c>
      <c r="BT918" s="7" t="s">
        <v>241</v>
      </c>
      <c r="BU918" s="7"/>
      <c r="BV918" s="9" t="s">
        <v>241</v>
      </c>
      <c r="BW918" s="9"/>
    </row>
    <row r="919" spans="1:75" ht="14.25" customHeight="1" x14ac:dyDescent="0.25">
      <c r="A919" s="1">
        <v>1516</v>
      </c>
      <c r="B919" s="1" t="s">
        <v>3838</v>
      </c>
      <c r="C919" s="1" t="s">
        <v>3839</v>
      </c>
      <c r="D919" s="1" t="s">
        <v>77</v>
      </c>
      <c r="E919" s="1" t="s">
        <v>2396</v>
      </c>
      <c r="F919" s="1" t="s">
        <v>3840</v>
      </c>
      <c r="G919" s="1"/>
      <c r="H919" s="2">
        <v>1</v>
      </c>
      <c r="I919" s="2">
        <v>1</v>
      </c>
      <c r="J919" s="2">
        <v>1</v>
      </c>
      <c r="K919" s="2">
        <v>1</v>
      </c>
      <c r="L919" s="3" t="s">
        <v>127</v>
      </c>
      <c r="O919" s="4">
        <v>2</v>
      </c>
      <c r="P919" s="4" t="s">
        <v>1840</v>
      </c>
      <c r="Q919" s="4"/>
      <c r="R919" s="16">
        <v>11000000</v>
      </c>
      <c r="S919" s="6">
        <v>11000000</v>
      </c>
      <c r="T919" s="16">
        <v>9500000</v>
      </c>
      <c r="U919" s="6">
        <v>9500000</v>
      </c>
      <c r="V919" s="4">
        <v>2010.5</v>
      </c>
      <c r="W919" s="4" t="s">
        <v>579</v>
      </c>
      <c r="X919" s="4"/>
      <c r="Y919" s="7">
        <v>1</v>
      </c>
      <c r="Z919" s="8">
        <v>6526126</v>
      </c>
      <c r="AA919" s="7" t="s">
        <v>92</v>
      </c>
      <c r="AB919" s="7"/>
      <c r="AC919" s="9">
        <v>1</v>
      </c>
      <c r="AD919" s="10">
        <v>12128297</v>
      </c>
      <c r="AE919" s="9" t="s">
        <v>92</v>
      </c>
      <c r="AF919" s="9"/>
      <c r="AG919" s="11">
        <v>3</v>
      </c>
      <c r="AH919" s="11" t="s">
        <v>131</v>
      </c>
      <c r="AI919" s="11" t="s">
        <v>3841</v>
      </c>
      <c r="AJ919" s="11">
        <v>3</v>
      </c>
      <c r="AK919" s="11" t="s">
        <v>143</v>
      </c>
      <c r="AL919" s="12">
        <v>3</v>
      </c>
      <c r="AM919" s="12" t="s">
        <v>131</v>
      </c>
      <c r="AN919" s="12" t="s">
        <v>3842</v>
      </c>
      <c r="AO919" s="12">
        <v>2</v>
      </c>
      <c r="AP919" s="12" t="s">
        <v>143</v>
      </c>
      <c r="AQ919" s="4">
        <v>2</v>
      </c>
      <c r="AR919" s="4" t="s">
        <v>133</v>
      </c>
      <c r="AS919" s="4"/>
      <c r="AT919" s="13">
        <v>24.836750030517599</v>
      </c>
      <c r="AU919" s="13">
        <v>0.43564826250076299</v>
      </c>
      <c r="AV919" s="13">
        <v>7.7699996531009702E-2</v>
      </c>
      <c r="AW919" s="13">
        <v>0.84700000286102295</v>
      </c>
      <c r="AX919" s="4">
        <v>1</v>
      </c>
      <c r="AY919" s="13">
        <v>-6.2724752426147496</v>
      </c>
      <c r="AZ919" s="13">
        <v>-0.645707547664642</v>
      </c>
      <c r="BA919" s="13">
        <v>-1.9700000286102299</v>
      </c>
      <c r="BB919" s="13">
        <v>0.46770599484443698</v>
      </c>
      <c r="BC919" s="4"/>
      <c r="BD919" s="4">
        <v>10</v>
      </c>
      <c r="BE919" s="4" t="s">
        <v>134</v>
      </c>
      <c r="BF919" s="13">
        <v>0.76929998397827104</v>
      </c>
      <c r="BG919" s="4">
        <v>1296.5</v>
      </c>
      <c r="BH919" s="13">
        <v>0.30099999904632602</v>
      </c>
      <c r="BI919" s="13">
        <v>390.23199462890602</v>
      </c>
      <c r="BJ919" s="4"/>
      <c r="BK919" s="14">
        <v>8</v>
      </c>
      <c r="BL919" s="14">
        <v>8</v>
      </c>
      <c r="BM919" s="14">
        <v>8</v>
      </c>
      <c r="BP919" s="15"/>
      <c r="BQ919" s="15"/>
      <c r="BR919" s="2" t="s">
        <v>172</v>
      </c>
      <c r="BS919" s="2" t="s">
        <v>172</v>
      </c>
      <c r="BT919" s="7" t="s">
        <v>509</v>
      </c>
      <c r="BU919" s="7"/>
      <c r="BV919" s="9" t="s">
        <v>509</v>
      </c>
      <c r="BW919" s="9"/>
    </row>
    <row r="920" spans="1:75" ht="14.25" customHeight="1" x14ac:dyDescent="0.25">
      <c r="A920" s="1">
        <v>1517</v>
      </c>
      <c r="B920" s="1" t="s">
        <v>3843</v>
      </c>
      <c r="C920" s="1" t="s">
        <v>3844</v>
      </c>
      <c r="D920" s="1" t="s">
        <v>77</v>
      </c>
      <c r="E920" s="1" t="s">
        <v>2396</v>
      </c>
      <c r="F920" s="1" t="s">
        <v>3845</v>
      </c>
      <c r="G920" s="1"/>
      <c r="H920" s="2">
        <v>0</v>
      </c>
      <c r="I920" s="2">
        <v>0</v>
      </c>
      <c r="J920" s="2">
        <v>1</v>
      </c>
      <c r="K920" s="2">
        <v>1</v>
      </c>
      <c r="L920" s="3" t="s">
        <v>80</v>
      </c>
      <c r="O920" s="4">
        <v>2</v>
      </c>
      <c r="P920" s="4" t="s">
        <v>112</v>
      </c>
      <c r="Q920" s="4" t="s">
        <v>3846</v>
      </c>
      <c r="R920" s="5"/>
      <c r="S920" s="6"/>
      <c r="T920" s="17"/>
      <c r="U920" s="6"/>
      <c r="V920" s="4"/>
      <c r="W920" s="4"/>
      <c r="X920" s="4"/>
      <c r="Y920" s="7">
        <v>1</v>
      </c>
      <c r="Z920" s="8">
        <v>9188612</v>
      </c>
      <c r="AA920" s="7" t="s">
        <v>92</v>
      </c>
      <c r="AB920" s="7" t="s">
        <v>3847</v>
      </c>
      <c r="AC920" s="9">
        <v>1</v>
      </c>
      <c r="AD920" s="10">
        <v>9188612</v>
      </c>
      <c r="AE920" s="9" t="s">
        <v>92</v>
      </c>
      <c r="AF920" s="9" t="s">
        <v>3848</v>
      </c>
      <c r="AG920" s="11">
        <v>3</v>
      </c>
      <c r="AH920" s="11" t="s">
        <v>93</v>
      </c>
      <c r="AI920" s="11"/>
      <c r="AJ920" s="11"/>
      <c r="AK920" s="11"/>
      <c r="AL920" s="12">
        <v>3</v>
      </c>
      <c r="AM920" s="12" t="s">
        <v>93</v>
      </c>
      <c r="AN920" s="12" t="s">
        <v>3849</v>
      </c>
      <c r="AO920" s="12"/>
      <c r="AP920" s="12"/>
      <c r="AQ920" s="4">
        <v>4</v>
      </c>
      <c r="AR920" s="4" t="s">
        <v>83</v>
      </c>
      <c r="AS920" s="4"/>
      <c r="AT920" s="13"/>
      <c r="AU920" s="13"/>
      <c r="AV920" s="13"/>
      <c r="AW920" s="13"/>
      <c r="AX920" s="4"/>
      <c r="AY920" s="13"/>
      <c r="AZ920" s="13"/>
      <c r="BA920" s="13"/>
      <c r="BB920" s="13"/>
      <c r="BC920" s="4"/>
      <c r="BD920" s="4"/>
      <c r="BE920" s="4"/>
      <c r="BF920" s="13"/>
      <c r="BG920" s="4"/>
      <c r="BH920" s="13"/>
      <c r="BI920" s="13"/>
      <c r="BJ920" s="4"/>
      <c r="BK920" s="14">
        <v>10</v>
      </c>
      <c r="BL920" s="14">
        <v>10</v>
      </c>
      <c r="BM920" s="14">
        <v>10</v>
      </c>
      <c r="BP920" s="15"/>
      <c r="BQ920" s="15"/>
      <c r="BR920" s="2" t="s">
        <v>97</v>
      </c>
      <c r="BS920" s="2" t="s">
        <v>97</v>
      </c>
      <c r="BT920" s="7" t="s">
        <v>98</v>
      </c>
      <c r="BU920" s="7"/>
      <c r="BV920" s="9" t="s">
        <v>98</v>
      </c>
      <c r="BW920" s="9"/>
    </row>
    <row r="921" spans="1:75" ht="14.25" customHeight="1" x14ac:dyDescent="0.25">
      <c r="A921" s="1">
        <v>1518</v>
      </c>
      <c r="B921" s="1" t="s">
        <v>3850</v>
      </c>
      <c r="C921" s="1" t="s">
        <v>3851</v>
      </c>
      <c r="D921" s="1" t="s">
        <v>77</v>
      </c>
      <c r="E921" s="1" t="s">
        <v>2396</v>
      </c>
      <c r="F921" s="1" t="s">
        <v>3845</v>
      </c>
      <c r="G921" s="1"/>
      <c r="H921" s="2">
        <v>0</v>
      </c>
      <c r="I921" s="2">
        <v>0</v>
      </c>
      <c r="J921" s="2">
        <v>0</v>
      </c>
      <c r="K921" s="2">
        <v>1</v>
      </c>
      <c r="L921" s="3" t="s">
        <v>80</v>
      </c>
      <c r="O921" s="4">
        <v>3</v>
      </c>
      <c r="P921" s="4" t="s">
        <v>81</v>
      </c>
      <c r="Q921" s="4"/>
      <c r="R921" s="5"/>
      <c r="S921" s="6"/>
      <c r="T921" s="17"/>
      <c r="U921" s="6"/>
      <c r="V921" s="4"/>
      <c r="W921" s="4"/>
      <c r="X921" s="4"/>
      <c r="Y921" s="7">
        <v>3</v>
      </c>
      <c r="Z921" s="8">
        <v>552590</v>
      </c>
      <c r="AA921" s="7" t="s">
        <v>82</v>
      </c>
      <c r="AB921" s="7"/>
      <c r="AC921" s="9">
        <v>3</v>
      </c>
      <c r="AD921" s="10">
        <v>552590</v>
      </c>
      <c r="AE921" s="9" t="s">
        <v>82</v>
      </c>
      <c r="AF921" s="9"/>
      <c r="AG921" s="11">
        <v>4</v>
      </c>
      <c r="AH921" s="11" t="s">
        <v>83</v>
      </c>
      <c r="AI921" s="11"/>
      <c r="AJ921" s="11"/>
      <c r="AK921" s="11"/>
      <c r="AL921" s="12">
        <v>4</v>
      </c>
      <c r="AM921" s="12" t="s">
        <v>83</v>
      </c>
      <c r="AN921" s="12"/>
      <c r="AO921" s="12"/>
      <c r="AP921" s="12"/>
      <c r="AQ921" s="4">
        <v>5</v>
      </c>
      <c r="AR921" s="4" t="s">
        <v>83</v>
      </c>
      <c r="AS921" s="4"/>
      <c r="AT921" s="13"/>
      <c r="AU921" s="13"/>
      <c r="AV921" s="13"/>
      <c r="AW921" s="13"/>
      <c r="AX921" s="4"/>
      <c r="AY921" s="13"/>
      <c r="AZ921" s="13"/>
      <c r="BA921" s="13"/>
      <c r="BB921" s="13"/>
      <c r="BC921" s="4"/>
      <c r="BD921" s="4"/>
      <c r="BE921" s="4"/>
      <c r="BF921" s="13"/>
      <c r="BG921" s="4"/>
      <c r="BH921" s="13"/>
      <c r="BI921" s="13"/>
      <c r="BJ921" s="4"/>
      <c r="BK921" s="14">
        <v>15</v>
      </c>
      <c r="BL921" s="14">
        <v>15</v>
      </c>
      <c r="BM921" s="14">
        <v>15</v>
      </c>
      <c r="BN921" s="3" t="s">
        <v>113</v>
      </c>
      <c r="BP921" s="15"/>
      <c r="BQ921" s="15"/>
      <c r="BR921" s="2" t="s">
        <v>87</v>
      </c>
      <c r="BS921" s="2" t="s">
        <v>87</v>
      </c>
      <c r="BT921" s="7" t="s">
        <v>98</v>
      </c>
      <c r="BU921" s="7"/>
      <c r="BV921" s="9" t="s">
        <v>98</v>
      </c>
      <c r="BW921" s="9"/>
    </row>
    <row r="922" spans="1:75" ht="14.25" customHeight="1" x14ac:dyDescent="0.25">
      <c r="A922" s="1">
        <v>1519</v>
      </c>
      <c r="B922" s="1" t="s">
        <v>3852</v>
      </c>
      <c r="C922" s="1" t="s">
        <v>3853</v>
      </c>
      <c r="D922" s="1" t="s">
        <v>77</v>
      </c>
      <c r="E922" s="1" t="s">
        <v>2396</v>
      </c>
      <c r="F922" s="1" t="s">
        <v>3845</v>
      </c>
      <c r="G922" s="1" t="s">
        <v>118</v>
      </c>
      <c r="H922" s="2">
        <v>0</v>
      </c>
      <c r="I922" s="2">
        <v>0</v>
      </c>
      <c r="J922" s="2">
        <v>0</v>
      </c>
      <c r="K922" s="2">
        <v>1</v>
      </c>
      <c r="L922" s="3" t="s">
        <v>80</v>
      </c>
      <c r="O922" s="4">
        <v>5</v>
      </c>
      <c r="P922" s="4" t="s">
        <v>81</v>
      </c>
      <c r="Q922" s="4"/>
      <c r="R922" s="5"/>
      <c r="S922" s="6"/>
      <c r="T922" s="17"/>
      <c r="U922" s="6"/>
      <c r="V922" s="4"/>
      <c r="W922" s="4"/>
      <c r="X922" s="4"/>
      <c r="Y922" s="7">
        <v>4</v>
      </c>
      <c r="Z922" s="8">
        <v>143340</v>
      </c>
      <c r="AA922" s="7" t="s">
        <v>82</v>
      </c>
      <c r="AB922" s="7"/>
      <c r="AC922" s="9">
        <v>4</v>
      </c>
      <c r="AD922" s="10">
        <v>143340</v>
      </c>
      <c r="AE922" s="9" t="s">
        <v>82</v>
      </c>
      <c r="AF922" s="9"/>
      <c r="AG922" s="11">
        <v>5</v>
      </c>
      <c r="AH922" s="11" t="s">
        <v>83</v>
      </c>
      <c r="AI922" s="11"/>
      <c r="AJ922" s="11"/>
      <c r="AK922" s="11"/>
      <c r="AL922" s="12">
        <v>4</v>
      </c>
      <c r="AM922" s="12" t="s">
        <v>83</v>
      </c>
      <c r="AN922" s="12"/>
      <c r="AO922" s="12"/>
      <c r="AP922" s="12"/>
      <c r="AQ922" s="4">
        <v>5</v>
      </c>
      <c r="AR922" s="4" t="s">
        <v>83</v>
      </c>
      <c r="AS922" s="4"/>
      <c r="AT922" s="13"/>
      <c r="AU922" s="13"/>
      <c r="AV922" s="13"/>
      <c r="AW922" s="13"/>
      <c r="AX922" s="4"/>
      <c r="AY922" s="13"/>
      <c r="AZ922" s="13"/>
      <c r="BA922" s="13"/>
      <c r="BB922" s="13"/>
      <c r="BC922" s="4"/>
      <c r="BD922" s="4"/>
      <c r="BE922" s="4"/>
      <c r="BF922" s="13"/>
      <c r="BG922" s="4"/>
      <c r="BH922" s="13"/>
      <c r="BI922" s="13"/>
      <c r="BJ922" s="4"/>
      <c r="BK922" s="14">
        <v>19</v>
      </c>
      <c r="BL922" s="14">
        <v>18</v>
      </c>
      <c r="BM922" s="14">
        <v>19</v>
      </c>
      <c r="BN922" s="3" t="s">
        <v>312</v>
      </c>
      <c r="BP922" s="15"/>
      <c r="BQ922" s="15"/>
      <c r="BR922" s="2" t="s">
        <v>121</v>
      </c>
      <c r="BS922" s="2" t="s">
        <v>121</v>
      </c>
      <c r="BT922" s="7" t="s">
        <v>98</v>
      </c>
      <c r="BU922" s="7"/>
      <c r="BV922" s="9" t="s">
        <v>98</v>
      </c>
      <c r="BW922" s="9"/>
    </row>
    <row r="923" spans="1:75" ht="14.25" customHeight="1" x14ac:dyDescent="0.25">
      <c r="A923" s="1">
        <v>1521</v>
      </c>
      <c r="B923" s="1" t="s">
        <v>3854</v>
      </c>
      <c r="C923" s="1" t="s">
        <v>3855</v>
      </c>
      <c r="D923" s="1" t="s">
        <v>77</v>
      </c>
      <c r="E923" s="1" t="s">
        <v>2396</v>
      </c>
      <c r="F923" s="1" t="s">
        <v>3845</v>
      </c>
      <c r="G923" s="1" t="s">
        <v>3856</v>
      </c>
      <c r="H923" s="2">
        <v>0</v>
      </c>
      <c r="I923" s="2">
        <v>0</v>
      </c>
      <c r="J923" s="2">
        <v>1</v>
      </c>
      <c r="K923" s="2">
        <v>0</v>
      </c>
      <c r="L923" s="3" t="s">
        <v>80</v>
      </c>
      <c r="O923" s="4">
        <v>5</v>
      </c>
      <c r="P923" s="4" t="s">
        <v>2304</v>
      </c>
      <c r="Q923" s="4" t="s">
        <v>3857</v>
      </c>
      <c r="R923" s="5"/>
      <c r="S923" s="6"/>
      <c r="T923" s="17"/>
      <c r="U923" s="6"/>
      <c r="V923" s="4"/>
      <c r="W923" s="4"/>
      <c r="X923" s="4"/>
      <c r="Y923" s="7">
        <v>5</v>
      </c>
      <c r="Z923" s="8">
        <v>15798</v>
      </c>
      <c r="AA923" s="7" t="s">
        <v>2311</v>
      </c>
      <c r="AB923" s="7" t="s">
        <v>3858</v>
      </c>
      <c r="AC923" s="9">
        <v>5</v>
      </c>
      <c r="AD923" s="10">
        <v>15798</v>
      </c>
      <c r="AE923" s="9" t="s">
        <v>2311</v>
      </c>
      <c r="AF923" s="9" t="s">
        <v>3858</v>
      </c>
      <c r="AG923" s="11">
        <v>4</v>
      </c>
      <c r="AH923" s="11" t="s">
        <v>2304</v>
      </c>
      <c r="AI923" s="11"/>
      <c r="AJ923" s="11"/>
      <c r="AK923" s="11"/>
      <c r="AL923" s="12">
        <v>4</v>
      </c>
      <c r="AM923" s="12" t="s">
        <v>2304</v>
      </c>
      <c r="AN923" s="12"/>
      <c r="AO923" s="12"/>
      <c r="AP923" s="12"/>
      <c r="AQ923" s="4">
        <v>4</v>
      </c>
      <c r="AR923" s="4" t="s">
        <v>2304</v>
      </c>
      <c r="AS923" s="4" t="s">
        <v>3859</v>
      </c>
      <c r="AT923" s="13"/>
      <c r="AU923" s="13"/>
      <c r="AV923" s="13"/>
      <c r="AW923" s="13"/>
      <c r="AX923" s="4"/>
      <c r="AY923" s="13"/>
      <c r="AZ923" s="13"/>
      <c r="BA923" s="13"/>
      <c r="BB923" s="13"/>
      <c r="BC923" s="4"/>
      <c r="BD923" s="4"/>
      <c r="BE923" s="4"/>
      <c r="BF923" s="13"/>
      <c r="BG923" s="4"/>
      <c r="BH923" s="13"/>
      <c r="BI923" s="13"/>
      <c r="BJ923" s="4"/>
      <c r="BK923" s="14">
        <v>18</v>
      </c>
      <c r="BL923" s="14">
        <v>18</v>
      </c>
      <c r="BM923" s="14">
        <v>18</v>
      </c>
      <c r="BN923" s="3" t="s">
        <v>312</v>
      </c>
      <c r="BP923" s="15"/>
      <c r="BQ923" s="15"/>
      <c r="BR923" s="2" t="s">
        <v>115</v>
      </c>
      <c r="BS923" s="2" t="s">
        <v>115</v>
      </c>
      <c r="BT923" s="7" t="s">
        <v>109</v>
      </c>
      <c r="BU923" s="7"/>
      <c r="BV923" s="9" t="s">
        <v>109</v>
      </c>
      <c r="BW923" s="9"/>
    </row>
    <row r="924" spans="1:75" ht="14.25" customHeight="1" x14ac:dyDescent="0.25">
      <c r="A924" s="1">
        <v>1522</v>
      </c>
      <c r="B924" s="1" t="s">
        <v>3860</v>
      </c>
      <c r="C924" s="1" t="s">
        <v>3861</v>
      </c>
      <c r="D924" s="1" t="s">
        <v>77</v>
      </c>
      <c r="E924" s="1" t="s">
        <v>2396</v>
      </c>
      <c r="F924" s="1" t="s">
        <v>3845</v>
      </c>
      <c r="G924" s="1" t="s">
        <v>3862</v>
      </c>
      <c r="H924" s="2">
        <v>0</v>
      </c>
      <c r="I924" s="2">
        <v>0</v>
      </c>
      <c r="J924" s="2">
        <v>1</v>
      </c>
      <c r="K924" s="2">
        <v>1</v>
      </c>
      <c r="L924" s="3" t="s">
        <v>80</v>
      </c>
      <c r="O924" s="4">
        <v>3</v>
      </c>
      <c r="P924" s="4" t="s">
        <v>3028</v>
      </c>
      <c r="Q924" s="4" t="s">
        <v>3863</v>
      </c>
      <c r="R924" s="5"/>
      <c r="S924" s="6"/>
      <c r="T924" s="17"/>
      <c r="U924" s="6"/>
      <c r="V924" s="4"/>
      <c r="W924" s="4"/>
      <c r="X924" s="4"/>
      <c r="Y924" s="7">
        <v>3</v>
      </c>
      <c r="Z924" s="8">
        <v>760783</v>
      </c>
      <c r="AA924" s="7" t="s">
        <v>3864</v>
      </c>
      <c r="AB924" s="7" t="s">
        <v>3865</v>
      </c>
      <c r="AC924" s="9">
        <v>3</v>
      </c>
      <c r="AD924" s="10">
        <v>760783</v>
      </c>
      <c r="AE924" s="9" t="s">
        <v>3864</v>
      </c>
      <c r="AF924" s="9" t="s">
        <v>3865</v>
      </c>
      <c r="AG924" s="11">
        <v>4</v>
      </c>
      <c r="AH924" s="11" t="s">
        <v>93</v>
      </c>
      <c r="AI924" s="11"/>
      <c r="AJ924" s="11"/>
      <c r="AK924" s="11"/>
      <c r="AL924" s="12">
        <v>4</v>
      </c>
      <c r="AM924" s="12" t="s">
        <v>93</v>
      </c>
      <c r="AN924" s="12" t="s">
        <v>1002</v>
      </c>
      <c r="AO924" s="12"/>
      <c r="AP924" s="12"/>
      <c r="AQ924" s="4">
        <v>4</v>
      </c>
      <c r="AR924" s="4" t="s">
        <v>83</v>
      </c>
      <c r="AS924" s="4" t="s">
        <v>3866</v>
      </c>
      <c r="AT924" s="13"/>
      <c r="AU924" s="13"/>
      <c r="AV924" s="13"/>
      <c r="AW924" s="13"/>
      <c r="AX924" s="4"/>
      <c r="AY924" s="13"/>
      <c r="AZ924" s="13"/>
      <c r="BA924" s="13"/>
      <c r="BB924" s="13"/>
      <c r="BC924" s="4"/>
      <c r="BD924" s="4"/>
      <c r="BE924" s="4"/>
      <c r="BF924" s="13"/>
      <c r="BG924" s="4"/>
      <c r="BH924" s="13"/>
      <c r="BI924" s="13"/>
      <c r="BJ924" s="4"/>
      <c r="BK924" s="14">
        <v>14</v>
      </c>
      <c r="BL924" s="14">
        <v>14</v>
      </c>
      <c r="BM924" s="14">
        <v>14</v>
      </c>
      <c r="BN924" s="3" t="s">
        <v>86</v>
      </c>
      <c r="BP924" s="15"/>
      <c r="BQ924" s="15"/>
      <c r="BR924" s="2" t="s">
        <v>97</v>
      </c>
      <c r="BS924" s="2" t="s">
        <v>97</v>
      </c>
      <c r="BT924" s="7" t="s">
        <v>797</v>
      </c>
      <c r="BU924" s="7"/>
      <c r="BV924" s="9" t="s">
        <v>797</v>
      </c>
      <c r="BW924" s="9"/>
    </row>
    <row r="925" spans="1:75" ht="14.25" customHeight="1" x14ac:dyDescent="0.25">
      <c r="A925" s="1">
        <v>1523</v>
      </c>
      <c r="B925" s="1" t="s">
        <v>3867</v>
      </c>
      <c r="C925" s="1" t="s">
        <v>3868</v>
      </c>
      <c r="D925" s="1" t="s">
        <v>77</v>
      </c>
      <c r="E925" s="1" t="s">
        <v>2396</v>
      </c>
      <c r="F925" s="1" t="s">
        <v>3845</v>
      </c>
      <c r="G925" s="1"/>
      <c r="H925" s="2">
        <v>1</v>
      </c>
      <c r="I925" s="2">
        <v>1</v>
      </c>
      <c r="J925" s="2">
        <v>1</v>
      </c>
      <c r="K925" s="2">
        <v>1</v>
      </c>
      <c r="L925" s="3" t="s">
        <v>127</v>
      </c>
      <c r="O925" s="4">
        <v>1</v>
      </c>
      <c r="P925" s="4" t="s">
        <v>424</v>
      </c>
      <c r="Q925" s="4"/>
      <c r="R925" s="16">
        <v>260000000</v>
      </c>
      <c r="S925" s="6">
        <v>260000000</v>
      </c>
      <c r="T925" s="16">
        <v>230000000</v>
      </c>
      <c r="U925" s="6">
        <v>230000000</v>
      </c>
      <c r="V925" s="4">
        <v>2010.5</v>
      </c>
      <c r="W925" s="4" t="s">
        <v>425</v>
      </c>
      <c r="X925" s="4"/>
      <c r="Y925" s="7">
        <v>1</v>
      </c>
      <c r="Z925" s="8">
        <v>6577715</v>
      </c>
      <c r="AA925" s="7" t="s">
        <v>92</v>
      </c>
      <c r="AB925" s="7"/>
      <c r="AC925" s="9">
        <v>2</v>
      </c>
      <c r="AD925" s="10">
        <v>2998138</v>
      </c>
      <c r="AE925" s="9" t="s">
        <v>92</v>
      </c>
      <c r="AF925" s="9"/>
      <c r="AG925" s="11">
        <v>2</v>
      </c>
      <c r="AH925" s="11" t="s">
        <v>131</v>
      </c>
      <c r="AI925" s="11" t="s">
        <v>3869</v>
      </c>
      <c r="AJ925" s="11">
        <v>2</v>
      </c>
      <c r="AK925" s="11" t="s">
        <v>132</v>
      </c>
      <c r="AL925" s="12">
        <v>2</v>
      </c>
      <c r="AM925" s="12" t="s">
        <v>131</v>
      </c>
      <c r="AN925" s="12" t="s">
        <v>3870</v>
      </c>
      <c r="AO925" s="12">
        <v>2</v>
      </c>
      <c r="AP925" s="12" t="s">
        <v>132</v>
      </c>
      <c r="AQ925" s="4">
        <v>3</v>
      </c>
      <c r="AR925" s="4" t="s">
        <v>133</v>
      </c>
      <c r="AS925" s="4"/>
      <c r="AT925" s="13">
        <v>5.7367253303527797</v>
      </c>
      <c r="AU925" s="13">
        <v>0.10949099063873299</v>
      </c>
      <c r="AV925" s="13">
        <v>-0.337000012397766</v>
      </c>
      <c r="AW925" s="13">
        <v>0.49730500578880299</v>
      </c>
      <c r="AX925" s="4"/>
      <c r="AY925" s="13">
        <v>-18.986394882202099</v>
      </c>
      <c r="AZ925" s="13">
        <v>-2.0801486968994101</v>
      </c>
      <c r="BA925" s="13">
        <v>-3.0799999237060498</v>
      </c>
      <c r="BB925" s="13">
        <v>-1.2589989900589</v>
      </c>
      <c r="BC925" s="4">
        <v>1</v>
      </c>
      <c r="BD925" s="4">
        <v>10</v>
      </c>
      <c r="BE925" s="4" t="s">
        <v>134</v>
      </c>
      <c r="BF925" s="13">
        <v>0.83430498838424705</v>
      </c>
      <c r="BG925" s="4">
        <v>2275.5</v>
      </c>
      <c r="BH925" s="13">
        <v>2.7599999904632599</v>
      </c>
      <c r="BI925" s="13">
        <v>6279.68994140625</v>
      </c>
      <c r="BJ925" s="4"/>
      <c r="BK925" s="14">
        <v>7</v>
      </c>
      <c r="BL925" s="14">
        <v>8</v>
      </c>
      <c r="BM925" s="14">
        <v>8</v>
      </c>
      <c r="BP925" s="15"/>
      <c r="BQ925" s="15"/>
      <c r="BR925" s="2" t="s">
        <v>172</v>
      </c>
      <c r="BS925" s="2" t="s">
        <v>247</v>
      </c>
      <c r="BT925" s="7" t="s">
        <v>1827</v>
      </c>
      <c r="BU925" s="7"/>
      <c r="BV925" s="9" t="s">
        <v>1827</v>
      </c>
      <c r="BW925" s="9"/>
    </row>
    <row r="926" spans="1:75" ht="14.25" customHeight="1" x14ac:dyDescent="0.25">
      <c r="A926" s="1">
        <v>1528</v>
      </c>
      <c r="B926" s="1" t="s">
        <v>3871</v>
      </c>
      <c r="C926" s="1" t="s">
        <v>3872</v>
      </c>
      <c r="D926" s="1" t="s">
        <v>77</v>
      </c>
      <c r="E926" s="1" t="s">
        <v>2396</v>
      </c>
      <c r="F926" s="1" t="s">
        <v>3873</v>
      </c>
      <c r="G926" s="1"/>
      <c r="H926" s="2">
        <v>1</v>
      </c>
      <c r="I926" s="2">
        <v>1</v>
      </c>
      <c r="J926" s="2">
        <v>1</v>
      </c>
      <c r="K926" s="2">
        <v>1</v>
      </c>
      <c r="L926" s="3" t="s">
        <v>127</v>
      </c>
      <c r="O926" s="4">
        <v>3</v>
      </c>
      <c r="P926" s="4" t="s">
        <v>424</v>
      </c>
      <c r="Q926" s="4"/>
      <c r="R926" s="16">
        <v>4100000</v>
      </c>
      <c r="S926" s="6">
        <v>4100000</v>
      </c>
      <c r="T926" s="16">
        <v>3400000</v>
      </c>
      <c r="U926" s="6">
        <v>3400000</v>
      </c>
      <c r="V926" s="4">
        <v>2010.5</v>
      </c>
      <c r="W926" s="4" t="s">
        <v>425</v>
      </c>
      <c r="X926" s="4"/>
      <c r="Y926" s="7">
        <v>1</v>
      </c>
      <c r="Z926" s="8">
        <v>5419669</v>
      </c>
      <c r="AA926" s="7" t="s">
        <v>92</v>
      </c>
      <c r="AB926" s="7"/>
      <c r="AC926" s="9">
        <v>2</v>
      </c>
      <c r="AD926" s="10">
        <v>3100173</v>
      </c>
      <c r="AE926" s="9" t="s">
        <v>92</v>
      </c>
      <c r="AF926" s="9"/>
      <c r="AG926" s="11">
        <v>3</v>
      </c>
      <c r="AH926" s="11" t="s">
        <v>131</v>
      </c>
      <c r="AI926" s="11"/>
      <c r="AJ926" s="11">
        <v>2</v>
      </c>
      <c r="AK926" s="11" t="s">
        <v>332</v>
      </c>
      <c r="AL926" s="12">
        <v>2</v>
      </c>
      <c r="AM926" s="12" t="s">
        <v>131</v>
      </c>
      <c r="AN926" s="12"/>
      <c r="AO926" s="12">
        <v>2</v>
      </c>
      <c r="AP926" s="12" t="s">
        <v>132</v>
      </c>
      <c r="AQ926" s="4">
        <v>5</v>
      </c>
      <c r="AR926" s="4" t="s">
        <v>133</v>
      </c>
      <c r="AS926" s="4"/>
      <c r="AT926" s="13">
        <v>-44.393558502197301</v>
      </c>
      <c r="AU926" s="13">
        <v>-1.1460602283477801</v>
      </c>
      <c r="AV926" s="13">
        <v>-1.49359703063965</v>
      </c>
      <c r="AW926" s="13">
        <v>-0.730000019073486</v>
      </c>
      <c r="AX926" s="4">
        <v>1</v>
      </c>
      <c r="AY926" s="13">
        <v>-31.362480163574201</v>
      </c>
      <c r="AZ926" s="13">
        <v>-3.6961092948913601</v>
      </c>
      <c r="BA926" s="13">
        <v>-5.2300000190734899</v>
      </c>
      <c r="BB926" s="13">
        <v>-2.4648010730743399</v>
      </c>
      <c r="BC926" s="4">
        <v>1</v>
      </c>
      <c r="BD926" s="4">
        <v>10</v>
      </c>
      <c r="BE926" s="4" t="s">
        <v>134</v>
      </c>
      <c r="BF926" s="13">
        <v>0.763597011566162</v>
      </c>
      <c r="BG926" s="4">
        <v>994.5</v>
      </c>
      <c r="BH926" s="13">
        <v>1.78999996185303</v>
      </c>
      <c r="BI926" s="13">
        <v>1779.75</v>
      </c>
      <c r="BJ926" s="4">
        <v>18</v>
      </c>
      <c r="BK926" s="14">
        <v>12</v>
      </c>
      <c r="BL926" s="14">
        <v>12</v>
      </c>
      <c r="BM926" s="14">
        <v>12</v>
      </c>
      <c r="BN926" s="3" t="s">
        <v>302</v>
      </c>
      <c r="BP926" s="15"/>
      <c r="BQ926" s="15"/>
      <c r="BR926" s="2" t="s">
        <v>297</v>
      </c>
      <c r="BS926" s="2" t="s">
        <v>297</v>
      </c>
      <c r="BT926" s="7" t="s">
        <v>475</v>
      </c>
      <c r="BU926" s="7"/>
      <c r="BV926" s="9" t="s">
        <v>475</v>
      </c>
      <c r="BW926" s="9"/>
    </row>
    <row r="927" spans="1:75" ht="14.25" customHeight="1" x14ac:dyDescent="0.25">
      <c r="A927" s="1">
        <v>1529</v>
      </c>
      <c r="B927" s="1" t="s">
        <v>3874</v>
      </c>
      <c r="C927" s="1" t="s">
        <v>3875</v>
      </c>
      <c r="D927" s="1" t="s">
        <v>77</v>
      </c>
      <c r="E927" s="1" t="s">
        <v>2396</v>
      </c>
      <c r="F927" s="1" t="s">
        <v>3873</v>
      </c>
      <c r="G927" s="1" t="s">
        <v>118</v>
      </c>
      <c r="H927" s="2">
        <v>0</v>
      </c>
      <c r="I927" s="2">
        <v>0</v>
      </c>
      <c r="J927" s="2">
        <v>1</v>
      </c>
      <c r="K927" s="2">
        <v>1</v>
      </c>
      <c r="L927" s="3" t="s">
        <v>80</v>
      </c>
      <c r="O927" s="4">
        <v>5</v>
      </c>
      <c r="P927" s="4" t="s">
        <v>112</v>
      </c>
      <c r="Q927" s="4"/>
      <c r="R927" s="5"/>
      <c r="S927" s="6"/>
      <c r="T927" s="17"/>
      <c r="U927" s="6"/>
      <c r="V927" s="4"/>
      <c r="W927" s="4"/>
      <c r="X927" s="4"/>
      <c r="Y927" s="7">
        <v>4</v>
      </c>
      <c r="Z927" s="8">
        <v>178189</v>
      </c>
      <c r="AA927" s="7" t="s">
        <v>92</v>
      </c>
      <c r="AB927" s="7"/>
      <c r="AC927" s="9">
        <v>4</v>
      </c>
      <c r="AD927" s="10">
        <v>178189</v>
      </c>
      <c r="AE927" s="9" t="s">
        <v>92</v>
      </c>
      <c r="AF927" s="9"/>
      <c r="AG927" s="11">
        <v>4</v>
      </c>
      <c r="AH927" s="11" t="s">
        <v>93</v>
      </c>
      <c r="AI927" s="11"/>
      <c r="AJ927" s="11"/>
      <c r="AK927" s="11"/>
      <c r="AL927" s="12">
        <v>4</v>
      </c>
      <c r="AM927" s="12" t="s">
        <v>93</v>
      </c>
      <c r="AN927" s="12" t="s">
        <v>408</v>
      </c>
      <c r="AO927" s="12"/>
      <c r="AP927" s="12"/>
      <c r="AQ927" s="4">
        <v>5</v>
      </c>
      <c r="AR927" s="4" t="s">
        <v>83</v>
      </c>
      <c r="AS927" s="4" t="s">
        <v>3876</v>
      </c>
      <c r="AT927" s="13"/>
      <c r="AU927" s="13"/>
      <c r="AV927" s="13"/>
      <c r="AW927" s="13"/>
      <c r="AX927" s="4"/>
      <c r="AY927" s="13"/>
      <c r="AZ927" s="13"/>
      <c r="BA927" s="13"/>
      <c r="BB927" s="13"/>
      <c r="BC927" s="4"/>
      <c r="BD927" s="4"/>
      <c r="BE927" s="4"/>
      <c r="BF927" s="13"/>
      <c r="BG927" s="4"/>
      <c r="BH927" s="13"/>
      <c r="BI927" s="13"/>
      <c r="BJ927" s="4"/>
      <c r="BK927" s="14">
        <v>18</v>
      </c>
      <c r="BL927" s="14">
        <v>18</v>
      </c>
      <c r="BM927" s="14">
        <v>18</v>
      </c>
      <c r="BN927" s="3" t="s">
        <v>312</v>
      </c>
      <c r="BP927" s="15"/>
      <c r="BQ927" s="15"/>
      <c r="BR927" s="2" t="s">
        <v>115</v>
      </c>
      <c r="BS927" s="2" t="s">
        <v>115</v>
      </c>
      <c r="BT927" s="7" t="s">
        <v>98</v>
      </c>
      <c r="BU927" s="7"/>
      <c r="BV927" s="9" t="s">
        <v>98</v>
      </c>
      <c r="BW927" s="9"/>
    </row>
    <row r="928" spans="1:75" ht="14.25" customHeight="1" x14ac:dyDescent="0.25">
      <c r="A928" s="1">
        <v>1530</v>
      </c>
      <c r="B928" s="1" t="s">
        <v>3877</v>
      </c>
      <c r="C928" s="1" t="s">
        <v>3878</v>
      </c>
      <c r="D928" s="1" t="s">
        <v>77</v>
      </c>
      <c r="E928" s="1" t="s">
        <v>2396</v>
      </c>
      <c r="F928" s="1" t="s">
        <v>3873</v>
      </c>
      <c r="G928" s="1"/>
      <c r="H928" s="2">
        <v>0</v>
      </c>
      <c r="I928" s="2">
        <v>0</v>
      </c>
      <c r="J928" s="2">
        <v>0</v>
      </c>
      <c r="K928" s="2">
        <v>1</v>
      </c>
      <c r="L928" s="3" t="s">
        <v>80</v>
      </c>
      <c r="O928" s="4">
        <v>2</v>
      </c>
      <c r="P928" s="4" t="s">
        <v>81</v>
      </c>
      <c r="Q928" s="4"/>
      <c r="R928" s="5"/>
      <c r="S928" s="6"/>
      <c r="T928" s="17"/>
      <c r="U928" s="6"/>
      <c r="V928" s="4"/>
      <c r="W928" s="4"/>
      <c r="X928" s="4"/>
      <c r="Y928" s="7">
        <v>1</v>
      </c>
      <c r="Z928" s="8">
        <v>4798152</v>
      </c>
      <c r="AA928" s="7" t="s">
        <v>82</v>
      </c>
      <c r="AB928" s="7"/>
      <c r="AC928" s="9">
        <v>1</v>
      </c>
      <c r="AD928" s="10">
        <v>4798152</v>
      </c>
      <c r="AE928" s="9" t="s">
        <v>82</v>
      </c>
      <c r="AF928" s="9"/>
      <c r="AG928" s="11">
        <v>3</v>
      </c>
      <c r="AH928" s="11" t="s">
        <v>83</v>
      </c>
      <c r="AI928" s="11"/>
      <c r="AJ928" s="11"/>
      <c r="AK928" s="11"/>
      <c r="AL928" s="12">
        <v>3</v>
      </c>
      <c r="AM928" s="12" t="s">
        <v>83</v>
      </c>
      <c r="AN928" s="12"/>
      <c r="AO928" s="12"/>
      <c r="AP928" s="12"/>
      <c r="AQ928" s="4">
        <v>4</v>
      </c>
      <c r="AR928" s="4" t="s">
        <v>83</v>
      </c>
      <c r="AS928" s="4"/>
      <c r="AT928" s="13"/>
      <c r="AU928" s="13"/>
      <c r="AV928" s="13"/>
      <c r="AW928" s="13"/>
      <c r="AX928" s="4"/>
      <c r="AY928" s="13"/>
      <c r="AZ928" s="13"/>
      <c r="BA928" s="13"/>
      <c r="BB928" s="13"/>
      <c r="BC928" s="4"/>
      <c r="BD928" s="4"/>
      <c r="BE928" s="4"/>
      <c r="BF928" s="13"/>
      <c r="BG928" s="4"/>
      <c r="BH928" s="13"/>
      <c r="BI928" s="13"/>
      <c r="BJ928" s="4"/>
      <c r="BK928" s="14">
        <v>10</v>
      </c>
      <c r="BL928" s="14">
        <v>10</v>
      </c>
      <c r="BM928" s="14">
        <v>10</v>
      </c>
      <c r="BP928" s="15"/>
      <c r="BQ928" s="15"/>
      <c r="BR928" s="2" t="s">
        <v>97</v>
      </c>
      <c r="BS928" s="2" t="s">
        <v>97</v>
      </c>
      <c r="BT928" s="7" t="s">
        <v>98</v>
      </c>
      <c r="BU928" s="7"/>
      <c r="BV928" s="9" t="s">
        <v>98</v>
      </c>
      <c r="BW928" s="9"/>
    </row>
    <row r="929" spans="1:75" ht="14.25" customHeight="1" x14ac:dyDescent="0.25">
      <c r="A929" s="1">
        <v>1531</v>
      </c>
      <c r="B929" s="1" t="s">
        <v>3879</v>
      </c>
      <c r="C929" s="1" t="s">
        <v>3880</v>
      </c>
      <c r="D929" s="1" t="s">
        <v>77</v>
      </c>
      <c r="E929" s="1" t="s">
        <v>2396</v>
      </c>
      <c r="F929" s="1" t="s">
        <v>3873</v>
      </c>
      <c r="G929" s="1"/>
      <c r="H929" s="2">
        <v>1</v>
      </c>
      <c r="I929" s="2">
        <v>1</v>
      </c>
      <c r="J929" s="2">
        <v>1</v>
      </c>
      <c r="K929" s="2">
        <v>0</v>
      </c>
      <c r="L929" s="3" t="s">
        <v>80</v>
      </c>
      <c r="O929" s="4">
        <v>3</v>
      </c>
      <c r="P929" s="4" t="s">
        <v>470</v>
      </c>
      <c r="Q929" s="4"/>
      <c r="R929" s="16">
        <v>1000000</v>
      </c>
      <c r="S929" s="6">
        <v>1000000</v>
      </c>
      <c r="T929" s="16">
        <v>420000</v>
      </c>
      <c r="U929" s="6">
        <v>420000</v>
      </c>
      <c r="V929" s="4">
        <v>2010.5</v>
      </c>
      <c r="W929" s="4" t="s">
        <v>425</v>
      </c>
      <c r="X929" s="4"/>
      <c r="Y929" s="7">
        <v>1</v>
      </c>
      <c r="Z929" s="8">
        <v>4298579</v>
      </c>
      <c r="AA929" s="7" t="s">
        <v>92</v>
      </c>
      <c r="AB929" s="7"/>
      <c r="AC929" s="9">
        <v>1</v>
      </c>
      <c r="AD929" s="10">
        <v>4298579</v>
      </c>
      <c r="AE929" s="9" t="s">
        <v>92</v>
      </c>
      <c r="AF929" s="9"/>
      <c r="AG929" s="11">
        <v>2</v>
      </c>
      <c r="AH929" s="11" t="s">
        <v>131</v>
      </c>
      <c r="AI929" s="11"/>
      <c r="AJ929" s="11">
        <v>2</v>
      </c>
      <c r="AK929" s="11" t="s">
        <v>132</v>
      </c>
      <c r="AL929" s="12">
        <v>2</v>
      </c>
      <c r="AM929" s="12" t="s">
        <v>131</v>
      </c>
      <c r="AN929" s="12"/>
      <c r="AO929" s="12">
        <v>2</v>
      </c>
      <c r="AP929" s="12" t="s">
        <v>132</v>
      </c>
      <c r="AQ929" s="4">
        <v>3</v>
      </c>
      <c r="AR929" s="4" t="s">
        <v>133</v>
      </c>
      <c r="AS929" s="4"/>
      <c r="AT929" s="13">
        <v>-17.8049430847168</v>
      </c>
      <c r="AU929" s="13">
        <v>-0.383307725191116</v>
      </c>
      <c r="AV929" s="13">
        <v>-1.6399999856948899</v>
      </c>
      <c r="AW929" s="13">
        <v>0.38609498739242598</v>
      </c>
      <c r="AX929" s="4"/>
      <c r="AY929" s="13">
        <v>-3.4032297134399401</v>
      </c>
      <c r="AZ929" s="13">
        <v>-0.34555783867835999</v>
      </c>
      <c r="BA929" s="13">
        <v>-2.6300001144409202</v>
      </c>
      <c r="BB929" s="13">
        <v>1.5900000333786</v>
      </c>
      <c r="BC929" s="4"/>
      <c r="BD929" s="4">
        <v>10</v>
      </c>
      <c r="BE929" s="4" t="s">
        <v>134</v>
      </c>
      <c r="BF929" s="13">
        <v>2.02609491348267</v>
      </c>
      <c r="BG929" s="4">
        <v>367.5</v>
      </c>
      <c r="BH929" s="13">
        <v>0.181999996304512</v>
      </c>
      <c r="BI929" s="13">
        <v>66.889999389648395</v>
      </c>
      <c r="BJ929" s="4"/>
      <c r="BK929" s="14">
        <v>9</v>
      </c>
      <c r="BL929" s="14">
        <v>9</v>
      </c>
      <c r="BM929" s="14">
        <v>9</v>
      </c>
      <c r="BP929" s="15"/>
      <c r="BQ929" s="15"/>
      <c r="BR929" s="2" t="s">
        <v>297</v>
      </c>
      <c r="BS929" s="2" t="s">
        <v>297</v>
      </c>
      <c r="BT929" s="7" t="s">
        <v>475</v>
      </c>
      <c r="BU929" s="7"/>
      <c r="BV929" s="9" t="s">
        <v>475</v>
      </c>
      <c r="BW929" s="9"/>
    </row>
    <row r="930" spans="1:75" ht="14.25" customHeight="1" x14ac:dyDescent="0.25">
      <c r="A930" s="1">
        <v>1532</v>
      </c>
      <c r="B930" s="1" t="s">
        <v>3881</v>
      </c>
      <c r="C930" s="1" t="s">
        <v>3882</v>
      </c>
      <c r="D930" s="1" t="s">
        <v>77</v>
      </c>
      <c r="E930" s="1" t="s">
        <v>2396</v>
      </c>
      <c r="F930" s="1" t="s">
        <v>3873</v>
      </c>
      <c r="G930" s="1" t="s">
        <v>118</v>
      </c>
      <c r="H930" s="2">
        <v>0</v>
      </c>
      <c r="I930" s="2">
        <v>0</v>
      </c>
      <c r="J930" s="2">
        <v>1</v>
      </c>
      <c r="K930" s="2">
        <v>0</v>
      </c>
      <c r="L930" s="3" t="s">
        <v>80</v>
      </c>
      <c r="O930" s="4">
        <v>5</v>
      </c>
      <c r="P930" s="4" t="s">
        <v>112</v>
      </c>
      <c r="Q930" s="4"/>
      <c r="R930" s="5"/>
      <c r="S930" s="6"/>
      <c r="T930" s="17"/>
      <c r="U930" s="6"/>
      <c r="V930" s="4"/>
      <c r="W930" s="4"/>
      <c r="X930" s="4"/>
      <c r="Y930" s="7">
        <v>5</v>
      </c>
      <c r="Z930" s="8">
        <v>11559</v>
      </c>
      <c r="AA930" s="7" t="s">
        <v>92</v>
      </c>
      <c r="AB930" s="7"/>
      <c r="AC930" s="9">
        <v>5</v>
      </c>
      <c r="AD930" s="10">
        <v>11559</v>
      </c>
      <c r="AE930" s="9" t="s">
        <v>92</v>
      </c>
      <c r="AF930" s="9"/>
      <c r="AG930" s="11">
        <v>5</v>
      </c>
      <c r="AH930" s="11" t="s">
        <v>743</v>
      </c>
      <c r="AI930" s="11" t="s">
        <v>3883</v>
      </c>
      <c r="AJ930" s="11"/>
      <c r="AK930" s="11"/>
      <c r="AL930" s="12">
        <v>5</v>
      </c>
      <c r="AM930" s="12" t="s">
        <v>93</v>
      </c>
      <c r="AN930" s="12" t="s">
        <v>805</v>
      </c>
      <c r="AO930" s="12"/>
      <c r="AP930" s="12"/>
      <c r="AQ930" s="4">
        <v>4</v>
      </c>
      <c r="AR930" s="4" t="s">
        <v>93</v>
      </c>
      <c r="AS930" s="4"/>
      <c r="AT930" s="13"/>
      <c r="AU930" s="13"/>
      <c r="AV930" s="13"/>
      <c r="AW930" s="13"/>
      <c r="AX930" s="4"/>
      <c r="AY930" s="13"/>
      <c r="AZ930" s="13"/>
      <c r="BA930" s="13"/>
      <c r="BB930" s="13"/>
      <c r="BC930" s="4"/>
      <c r="BD930" s="4"/>
      <c r="BE930" s="4"/>
      <c r="BF930" s="13"/>
      <c r="BG930" s="4"/>
      <c r="BH930" s="13"/>
      <c r="BI930" s="13"/>
      <c r="BJ930" s="4"/>
      <c r="BK930" s="14">
        <v>19</v>
      </c>
      <c r="BL930" s="14">
        <v>19</v>
      </c>
      <c r="BM930" s="14">
        <v>19</v>
      </c>
      <c r="BN930" s="3" t="s">
        <v>312</v>
      </c>
      <c r="BO930" s="3" t="s">
        <v>120</v>
      </c>
      <c r="BP930" s="15"/>
      <c r="BQ930" s="15"/>
      <c r="BR930" s="2" t="s">
        <v>115</v>
      </c>
      <c r="BS930" s="2" t="s">
        <v>115</v>
      </c>
      <c r="BT930" s="7" t="s">
        <v>98</v>
      </c>
      <c r="BU930" s="7"/>
      <c r="BV930" s="9" t="s">
        <v>98</v>
      </c>
      <c r="BW930" s="9"/>
    </row>
    <row r="931" spans="1:75" ht="14.25" customHeight="1" x14ac:dyDescent="0.25">
      <c r="A931" s="1">
        <v>1548</v>
      </c>
      <c r="B931" s="1" t="s">
        <v>3884</v>
      </c>
      <c r="C931" s="1" t="s">
        <v>3885</v>
      </c>
      <c r="D931" s="1" t="s">
        <v>77</v>
      </c>
      <c r="E931" s="1" t="s">
        <v>2396</v>
      </c>
      <c r="F931" s="1" t="s">
        <v>3873</v>
      </c>
      <c r="G931" s="1"/>
      <c r="H931" s="2">
        <v>0</v>
      </c>
      <c r="I931" s="2">
        <v>0</v>
      </c>
      <c r="J931" s="2">
        <v>1</v>
      </c>
      <c r="K931" s="2">
        <v>1</v>
      </c>
      <c r="L931" s="3" t="s">
        <v>80</v>
      </c>
      <c r="O931" s="4">
        <v>3</v>
      </c>
      <c r="P931" s="4" t="s">
        <v>112</v>
      </c>
      <c r="Q931" s="4"/>
      <c r="R931" s="5"/>
      <c r="S931" s="6"/>
      <c r="T931" s="17"/>
      <c r="U931" s="6"/>
      <c r="V931" s="4"/>
      <c r="W931" s="4"/>
      <c r="X931" s="4"/>
      <c r="Y931" s="7">
        <v>2</v>
      </c>
      <c r="Z931" s="8">
        <v>2531605</v>
      </c>
      <c r="AA931" s="7" t="s">
        <v>92</v>
      </c>
      <c r="AB931" s="7"/>
      <c r="AC931" s="9">
        <v>2</v>
      </c>
      <c r="AD931" s="10">
        <v>2531605</v>
      </c>
      <c r="AE931" s="9" t="s">
        <v>92</v>
      </c>
      <c r="AF931" s="9"/>
      <c r="AG931" s="11">
        <v>3</v>
      </c>
      <c r="AH931" s="11" t="s">
        <v>93</v>
      </c>
      <c r="AI931" s="11" t="s">
        <v>3886</v>
      </c>
      <c r="AJ931" s="11"/>
      <c r="AK931" s="11"/>
      <c r="AL931" s="12">
        <v>3</v>
      </c>
      <c r="AM931" s="12" t="s">
        <v>93</v>
      </c>
      <c r="AN931" s="12" t="s">
        <v>3052</v>
      </c>
      <c r="AO931" s="12"/>
      <c r="AP931" s="12"/>
      <c r="AQ931" s="4">
        <v>4</v>
      </c>
      <c r="AR931" s="4" t="s">
        <v>83</v>
      </c>
      <c r="AS931" s="4"/>
      <c r="AT931" s="13"/>
      <c r="AU931" s="13"/>
      <c r="AV931" s="13"/>
      <c r="AW931" s="13"/>
      <c r="AX931" s="4"/>
      <c r="AY931" s="13"/>
      <c r="AZ931" s="13"/>
      <c r="BA931" s="13"/>
      <c r="BB931" s="13"/>
      <c r="BC931" s="4"/>
      <c r="BD931" s="4"/>
      <c r="BE931" s="4"/>
      <c r="BF931" s="13"/>
      <c r="BG931" s="4"/>
      <c r="BH931" s="13"/>
      <c r="BI931" s="13"/>
      <c r="BJ931" s="4"/>
      <c r="BK931" s="14">
        <v>12</v>
      </c>
      <c r="BL931" s="14">
        <v>12</v>
      </c>
      <c r="BM931" s="14">
        <v>12</v>
      </c>
      <c r="BP931" s="15"/>
      <c r="BQ931" s="15"/>
      <c r="BR931" s="2" t="s">
        <v>97</v>
      </c>
      <c r="BS931" s="2" t="s">
        <v>97</v>
      </c>
      <c r="BT931" s="7" t="s">
        <v>98</v>
      </c>
      <c r="BU931" s="7"/>
      <c r="BV931" s="9" t="s">
        <v>98</v>
      </c>
      <c r="BW931" s="9"/>
    </row>
    <row r="932" spans="1:75" ht="14.25" customHeight="1" x14ac:dyDescent="0.25">
      <c r="A932" s="1">
        <v>1549</v>
      </c>
      <c r="B932" s="1" t="s">
        <v>3887</v>
      </c>
      <c r="C932" s="1" t="s">
        <v>3888</v>
      </c>
      <c r="D932" s="1" t="s">
        <v>77</v>
      </c>
      <c r="E932" s="1" t="s">
        <v>2396</v>
      </c>
      <c r="F932" s="1" t="s">
        <v>3873</v>
      </c>
      <c r="G932" s="1"/>
      <c r="H932" s="2">
        <v>0</v>
      </c>
      <c r="I932" s="2">
        <v>0</v>
      </c>
      <c r="J932" s="2">
        <v>1</v>
      </c>
      <c r="K932" s="2">
        <v>1</v>
      </c>
      <c r="L932" s="3" t="s">
        <v>80</v>
      </c>
      <c r="O932" s="4">
        <v>3</v>
      </c>
      <c r="P932" s="4" t="s">
        <v>3889</v>
      </c>
      <c r="Q932" s="4"/>
      <c r="R932" s="5"/>
      <c r="S932" s="6"/>
      <c r="T932" s="17"/>
      <c r="U932" s="6"/>
      <c r="V932" s="4"/>
      <c r="W932" s="4"/>
      <c r="X932" s="4"/>
      <c r="Y932" s="7">
        <v>3</v>
      </c>
      <c r="Z932" s="8">
        <v>715438</v>
      </c>
      <c r="AA932" s="7" t="s">
        <v>3890</v>
      </c>
      <c r="AB932" s="7" t="s">
        <v>3891</v>
      </c>
      <c r="AC932" s="9">
        <v>3</v>
      </c>
      <c r="AD932" s="10">
        <v>715438</v>
      </c>
      <c r="AE932" s="9" t="s">
        <v>3890</v>
      </c>
      <c r="AF932" s="9" t="s">
        <v>3891</v>
      </c>
      <c r="AG932" s="11">
        <v>4</v>
      </c>
      <c r="AH932" s="11" t="s">
        <v>93</v>
      </c>
      <c r="AI932" s="11" t="s">
        <v>3886</v>
      </c>
      <c r="AJ932" s="11"/>
      <c r="AK932" s="11"/>
      <c r="AL932" s="12">
        <v>4</v>
      </c>
      <c r="AM932" s="12" t="s">
        <v>93</v>
      </c>
      <c r="AN932" s="12" t="s">
        <v>3052</v>
      </c>
      <c r="AO932" s="12"/>
      <c r="AP932" s="12"/>
      <c r="AQ932" s="4">
        <v>4</v>
      </c>
      <c r="AR932" s="4" t="s">
        <v>83</v>
      </c>
      <c r="AS932" s="4"/>
      <c r="AT932" s="13"/>
      <c r="AU932" s="13"/>
      <c r="AV932" s="13"/>
      <c r="AW932" s="13"/>
      <c r="AX932" s="4"/>
      <c r="AY932" s="13"/>
      <c r="AZ932" s="13"/>
      <c r="BA932" s="13"/>
      <c r="BB932" s="13"/>
      <c r="BC932" s="4"/>
      <c r="BD932" s="4"/>
      <c r="BE932" s="4"/>
      <c r="BF932" s="13"/>
      <c r="BG932" s="4"/>
      <c r="BH932" s="13"/>
      <c r="BI932" s="13"/>
      <c r="BJ932" s="4"/>
      <c r="BK932" s="14">
        <v>14</v>
      </c>
      <c r="BL932" s="14">
        <v>14</v>
      </c>
      <c r="BM932" s="14">
        <v>14</v>
      </c>
      <c r="BN932" s="3" t="s">
        <v>86</v>
      </c>
      <c r="BP932" s="15"/>
      <c r="BQ932" s="15"/>
      <c r="BR932" s="2" t="s">
        <v>87</v>
      </c>
      <c r="BS932" s="2" t="s">
        <v>87</v>
      </c>
      <c r="BT932" s="7" t="s">
        <v>88</v>
      </c>
      <c r="BU932" s="7" t="s">
        <v>437</v>
      </c>
      <c r="BV932" s="9" t="s">
        <v>88</v>
      </c>
      <c r="BW932" s="9" t="s">
        <v>437</v>
      </c>
    </row>
    <row r="933" spans="1:75" ht="14.25" customHeight="1" x14ac:dyDescent="0.25">
      <c r="A933" s="1">
        <v>1550</v>
      </c>
      <c r="B933" s="1" t="s">
        <v>3892</v>
      </c>
      <c r="C933" s="1" t="s">
        <v>3893</v>
      </c>
      <c r="D933" s="1" t="s">
        <v>77</v>
      </c>
      <c r="E933" s="1" t="s">
        <v>2396</v>
      </c>
      <c r="F933" s="1" t="s">
        <v>3873</v>
      </c>
      <c r="G933" s="1"/>
      <c r="H933" s="2">
        <v>0</v>
      </c>
      <c r="I933" s="2">
        <v>0</v>
      </c>
      <c r="J933" s="2">
        <v>0</v>
      </c>
      <c r="K933" s="2">
        <v>1</v>
      </c>
      <c r="L933" s="3" t="s">
        <v>80</v>
      </c>
      <c r="O933" s="4">
        <v>3</v>
      </c>
      <c r="P933" s="4" t="s">
        <v>81</v>
      </c>
      <c r="Q933" s="4"/>
      <c r="R933" s="5"/>
      <c r="S933" s="6"/>
      <c r="T933" s="17"/>
      <c r="U933" s="6"/>
      <c r="V933" s="4"/>
      <c r="W933" s="4"/>
      <c r="X933" s="4"/>
      <c r="Y933" s="7">
        <v>4</v>
      </c>
      <c r="Z933" s="8">
        <v>292503</v>
      </c>
      <c r="AA933" s="7" t="s">
        <v>82</v>
      </c>
      <c r="AB933" s="7"/>
      <c r="AC933" s="9">
        <v>4</v>
      </c>
      <c r="AD933" s="10">
        <v>292503</v>
      </c>
      <c r="AE933" s="9" t="s">
        <v>82</v>
      </c>
      <c r="AF933" s="9"/>
      <c r="AG933" s="11">
        <v>4</v>
      </c>
      <c r="AH933" s="11" t="s">
        <v>83</v>
      </c>
      <c r="AI933" s="11"/>
      <c r="AJ933" s="11"/>
      <c r="AK933" s="11"/>
      <c r="AL933" s="12">
        <v>4</v>
      </c>
      <c r="AM933" s="12" t="s">
        <v>83</v>
      </c>
      <c r="AN933" s="12"/>
      <c r="AO933" s="12"/>
      <c r="AP933" s="12"/>
      <c r="AQ933" s="4">
        <v>5</v>
      </c>
      <c r="AR933" s="4" t="s">
        <v>83</v>
      </c>
      <c r="AS933" s="4"/>
      <c r="AT933" s="13"/>
      <c r="AU933" s="13"/>
      <c r="AV933" s="13"/>
      <c r="AW933" s="13"/>
      <c r="AX933" s="4"/>
      <c r="AY933" s="13"/>
      <c r="AZ933" s="13"/>
      <c r="BA933" s="13"/>
      <c r="BB933" s="13"/>
      <c r="BC933" s="4"/>
      <c r="BD933" s="4"/>
      <c r="BE933" s="4"/>
      <c r="BF933" s="13"/>
      <c r="BG933" s="4"/>
      <c r="BH933" s="13"/>
      <c r="BI933" s="13"/>
      <c r="BJ933" s="4"/>
      <c r="BK933" s="14">
        <v>16</v>
      </c>
      <c r="BL933" s="14">
        <v>16</v>
      </c>
      <c r="BM933" s="14">
        <v>16</v>
      </c>
      <c r="BN933" s="3" t="s">
        <v>312</v>
      </c>
      <c r="BP933" s="15"/>
      <c r="BQ933" s="15"/>
      <c r="BR933" s="2" t="s">
        <v>115</v>
      </c>
      <c r="BS933" s="2" t="s">
        <v>115</v>
      </c>
      <c r="BT933" s="7" t="s">
        <v>98</v>
      </c>
      <c r="BU933" s="7"/>
      <c r="BV933" s="9" t="s">
        <v>98</v>
      </c>
      <c r="BW933" s="9"/>
    </row>
    <row r="934" spans="1:75" ht="14.25" customHeight="1" x14ac:dyDescent="0.25">
      <c r="A934" s="1">
        <v>1551</v>
      </c>
      <c r="B934" s="1" t="s">
        <v>3894</v>
      </c>
      <c r="C934" s="1" t="s">
        <v>3895</v>
      </c>
      <c r="D934" s="1" t="s">
        <v>77</v>
      </c>
      <c r="E934" s="1" t="s">
        <v>2396</v>
      </c>
      <c r="F934" s="1" t="s">
        <v>3873</v>
      </c>
      <c r="G934" s="1"/>
      <c r="H934" s="2">
        <v>0</v>
      </c>
      <c r="I934" s="2">
        <v>0</v>
      </c>
      <c r="J934" s="2">
        <v>1</v>
      </c>
      <c r="K934" s="2">
        <v>1</v>
      </c>
      <c r="L934" s="3" t="s">
        <v>80</v>
      </c>
      <c r="O934" s="4">
        <v>4</v>
      </c>
      <c r="P934" s="4" t="s">
        <v>112</v>
      </c>
      <c r="Q934" s="4"/>
      <c r="R934" s="5"/>
      <c r="S934" s="6"/>
      <c r="T934" s="17"/>
      <c r="U934" s="6"/>
      <c r="V934" s="4"/>
      <c r="W934" s="4"/>
      <c r="X934" s="4"/>
      <c r="Y934" s="7">
        <v>3</v>
      </c>
      <c r="Z934" s="8">
        <v>407687</v>
      </c>
      <c r="AA934" s="7" t="s">
        <v>92</v>
      </c>
      <c r="AB934" s="7"/>
      <c r="AC934" s="9">
        <v>3</v>
      </c>
      <c r="AD934" s="10">
        <v>407687</v>
      </c>
      <c r="AE934" s="9" t="s">
        <v>92</v>
      </c>
      <c r="AF934" s="9"/>
      <c r="AG934" s="11">
        <v>3</v>
      </c>
      <c r="AH934" s="11" t="s">
        <v>271</v>
      </c>
      <c r="AI934" s="11"/>
      <c r="AJ934" s="11"/>
      <c r="AK934" s="11"/>
      <c r="AL934" s="12">
        <v>3</v>
      </c>
      <c r="AM934" s="12" t="s">
        <v>271</v>
      </c>
      <c r="AN934" s="12" t="s">
        <v>698</v>
      </c>
      <c r="AO934" s="12"/>
      <c r="AP934" s="12"/>
      <c r="AQ934" s="4">
        <v>4</v>
      </c>
      <c r="AR934" s="4" t="s">
        <v>83</v>
      </c>
      <c r="AS934" s="4"/>
      <c r="AT934" s="13"/>
      <c r="AU934" s="13"/>
      <c r="AV934" s="13"/>
      <c r="AW934" s="13"/>
      <c r="AX934" s="4"/>
      <c r="AY934" s="13"/>
      <c r="AZ934" s="13"/>
      <c r="BA934" s="13"/>
      <c r="BB934" s="13"/>
      <c r="BC934" s="4"/>
      <c r="BD934" s="4"/>
      <c r="BE934" s="4"/>
      <c r="BF934" s="13"/>
      <c r="BG934" s="4"/>
      <c r="BH934" s="13"/>
      <c r="BI934" s="13"/>
      <c r="BJ934" s="4"/>
      <c r="BK934" s="14">
        <v>14</v>
      </c>
      <c r="BL934" s="14">
        <v>14</v>
      </c>
      <c r="BM934" s="14">
        <v>14</v>
      </c>
      <c r="BN934" s="3" t="s">
        <v>86</v>
      </c>
      <c r="BP934" s="15"/>
      <c r="BQ934" s="15"/>
      <c r="BR934" s="2" t="s">
        <v>115</v>
      </c>
      <c r="BS934" s="2" t="s">
        <v>115</v>
      </c>
      <c r="BT934" s="7" t="s">
        <v>98</v>
      </c>
      <c r="BU934" s="7" t="s">
        <v>109</v>
      </c>
      <c r="BV934" s="9" t="s">
        <v>98</v>
      </c>
      <c r="BW934" s="9" t="s">
        <v>109</v>
      </c>
    </row>
    <row r="935" spans="1:75" ht="14.25" customHeight="1" x14ac:dyDescent="0.25">
      <c r="A935" s="1">
        <v>1552</v>
      </c>
      <c r="B935" s="1" t="s">
        <v>3896</v>
      </c>
      <c r="C935" s="1" t="s">
        <v>3897</v>
      </c>
      <c r="D935" s="1" t="s">
        <v>77</v>
      </c>
      <c r="E935" s="1" t="s">
        <v>2396</v>
      </c>
      <c r="F935" s="1" t="s">
        <v>3873</v>
      </c>
      <c r="G935" s="1"/>
      <c r="H935" s="2">
        <v>0</v>
      </c>
      <c r="I935" s="2">
        <v>0</v>
      </c>
      <c r="J935" s="2">
        <v>1</v>
      </c>
      <c r="K935" s="2">
        <v>1</v>
      </c>
      <c r="L935" s="3" t="s">
        <v>80</v>
      </c>
      <c r="O935" s="4">
        <v>4</v>
      </c>
      <c r="P935" s="4" t="s">
        <v>112</v>
      </c>
      <c r="Q935" s="4" t="s">
        <v>3898</v>
      </c>
      <c r="R935" s="5"/>
      <c r="S935" s="6"/>
      <c r="T935" s="17"/>
      <c r="U935" s="6"/>
      <c r="V935" s="4"/>
      <c r="W935" s="4"/>
      <c r="X935" s="4"/>
      <c r="Y935" s="7">
        <v>3</v>
      </c>
      <c r="Z935" s="8">
        <v>781836</v>
      </c>
      <c r="AA935" s="7" t="s">
        <v>92</v>
      </c>
      <c r="AB935" s="7"/>
      <c r="AC935" s="9">
        <v>3</v>
      </c>
      <c r="AD935" s="10">
        <v>781836</v>
      </c>
      <c r="AE935" s="9" t="s">
        <v>92</v>
      </c>
      <c r="AF935" s="9"/>
      <c r="AG935" s="11">
        <v>4</v>
      </c>
      <c r="AH935" s="11" t="s">
        <v>93</v>
      </c>
      <c r="AI935" s="11"/>
      <c r="AJ935" s="11"/>
      <c r="AK935" s="11"/>
      <c r="AL935" s="12">
        <v>4</v>
      </c>
      <c r="AM935" s="12" t="s">
        <v>93</v>
      </c>
      <c r="AN935" s="12" t="s">
        <v>698</v>
      </c>
      <c r="AO935" s="12"/>
      <c r="AP935" s="12"/>
      <c r="AQ935" s="4">
        <v>4</v>
      </c>
      <c r="AR935" s="4" t="s">
        <v>83</v>
      </c>
      <c r="AS935" s="4" t="s">
        <v>3899</v>
      </c>
      <c r="AT935" s="13"/>
      <c r="AU935" s="13"/>
      <c r="AV935" s="13"/>
      <c r="AW935" s="13"/>
      <c r="AX935" s="4"/>
      <c r="AY935" s="13"/>
      <c r="AZ935" s="13"/>
      <c r="BA935" s="13"/>
      <c r="BB935" s="13"/>
      <c r="BC935" s="4"/>
      <c r="BD935" s="4"/>
      <c r="BE935" s="4"/>
      <c r="BF935" s="13"/>
      <c r="BG935" s="4"/>
      <c r="BH935" s="13"/>
      <c r="BI935" s="13"/>
      <c r="BJ935" s="4"/>
      <c r="BK935" s="14">
        <v>15</v>
      </c>
      <c r="BL935" s="14">
        <v>15</v>
      </c>
      <c r="BM935" s="14">
        <v>15</v>
      </c>
      <c r="BN935" s="3" t="s">
        <v>86</v>
      </c>
      <c r="BP935" s="15"/>
      <c r="BQ935" s="15"/>
      <c r="BR935" s="2" t="s">
        <v>121</v>
      </c>
      <c r="BS935" s="2" t="s">
        <v>121</v>
      </c>
      <c r="BT935" s="7" t="s">
        <v>109</v>
      </c>
      <c r="BU935" s="7"/>
      <c r="BV935" s="9" t="s">
        <v>109</v>
      </c>
      <c r="BW935" s="9"/>
    </row>
    <row r="936" spans="1:75" ht="14.25" customHeight="1" x14ac:dyDescent="0.25">
      <c r="A936" s="1">
        <v>1564</v>
      </c>
      <c r="B936" s="1" t="s">
        <v>3900</v>
      </c>
      <c r="C936" s="1" t="s">
        <v>3901</v>
      </c>
      <c r="D936" s="1" t="s">
        <v>77</v>
      </c>
      <c r="E936" s="1" t="s">
        <v>2396</v>
      </c>
      <c r="F936" s="1" t="s">
        <v>3873</v>
      </c>
      <c r="G936" s="1"/>
      <c r="H936" s="2">
        <v>0</v>
      </c>
      <c r="I936" s="2">
        <v>1</v>
      </c>
      <c r="J936" s="2">
        <v>1</v>
      </c>
      <c r="K936" s="2">
        <v>0</v>
      </c>
      <c r="L936" s="3" t="s">
        <v>80</v>
      </c>
      <c r="O936" s="4">
        <v>2</v>
      </c>
      <c r="P936" s="4" t="s">
        <v>470</v>
      </c>
      <c r="Q936" s="4"/>
      <c r="R936" s="16">
        <v>8500000</v>
      </c>
      <c r="S936" s="6">
        <v>8500000</v>
      </c>
      <c r="T936" s="16">
        <v>3000000</v>
      </c>
      <c r="U936" s="6">
        <v>3000000</v>
      </c>
      <c r="V936" s="4">
        <v>2010.5</v>
      </c>
      <c r="W936" s="4" t="s">
        <v>425</v>
      </c>
      <c r="X936" s="4"/>
      <c r="Y936" s="7">
        <v>2</v>
      </c>
      <c r="Z936" s="8">
        <v>1849554</v>
      </c>
      <c r="AA936" s="7" t="s">
        <v>92</v>
      </c>
      <c r="AB936" s="7"/>
      <c r="AC936" s="9">
        <v>2</v>
      </c>
      <c r="AD936" s="10">
        <v>1849554</v>
      </c>
      <c r="AE936" s="9" t="s">
        <v>92</v>
      </c>
      <c r="AF936" s="9"/>
      <c r="AG936" s="11">
        <v>3</v>
      </c>
      <c r="AH936" s="11" t="s">
        <v>454</v>
      </c>
      <c r="AI936" s="11" t="s">
        <v>3902</v>
      </c>
      <c r="AJ936" s="11">
        <v>2</v>
      </c>
      <c r="AK936" s="11" t="s">
        <v>132</v>
      </c>
      <c r="AL936" s="12">
        <v>2</v>
      </c>
      <c r="AM936" s="12" t="s">
        <v>131</v>
      </c>
      <c r="AN936" s="12" t="s">
        <v>3903</v>
      </c>
      <c r="AO936" s="12">
        <v>2</v>
      </c>
      <c r="AP936" s="12" t="s">
        <v>132</v>
      </c>
      <c r="AQ936" s="4">
        <v>5</v>
      </c>
      <c r="AR936" s="4" t="s">
        <v>133</v>
      </c>
      <c r="AS936" s="4"/>
      <c r="AT936" s="13">
        <v>-64.648391723632798</v>
      </c>
      <c r="AU936" s="13">
        <v>-2.0167160034179701</v>
      </c>
      <c r="AV936" s="13">
        <v>-2.6400001049041699</v>
      </c>
      <c r="AW936" s="13">
        <v>-1.4636989831924401</v>
      </c>
      <c r="AX936" s="4">
        <v>1</v>
      </c>
      <c r="AY936" s="13">
        <v>-11.217919349670399</v>
      </c>
      <c r="AZ936" s="13">
        <v>-1.18216669559479</v>
      </c>
      <c r="BA936" s="13">
        <v>-4.7399997711181596</v>
      </c>
      <c r="BB936" s="13">
        <v>1.7613049745559699</v>
      </c>
      <c r="BC936" s="4"/>
      <c r="BD936" s="4">
        <v>10</v>
      </c>
      <c r="BE936" s="4" t="s">
        <v>134</v>
      </c>
      <c r="BF936" s="13">
        <v>1.1763010025024401</v>
      </c>
      <c r="BG936" s="4">
        <v>260</v>
      </c>
      <c r="BH936" s="13">
        <v>6.875</v>
      </c>
      <c r="BI936" s="13">
        <v>1785.72497558594</v>
      </c>
      <c r="BJ936" s="4"/>
      <c r="BK936" s="14">
        <v>12</v>
      </c>
      <c r="BL936" s="14">
        <v>11</v>
      </c>
      <c r="BM936" s="14">
        <v>12</v>
      </c>
      <c r="BN936" s="3" t="s">
        <v>302</v>
      </c>
      <c r="BP936" s="15" t="s">
        <v>135</v>
      </c>
      <c r="BQ936" s="15"/>
      <c r="BR936" s="2" t="s">
        <v>297</v>
      </c>
      <c r="BS936" s="2" t="s">
        <v>297</v>
      </c>
      <c r="BT936" s="7" t="s">
        <v>475</v>
      </c>
      <c r="BU936" s="7"/>
      <c r="BV936" s="9" t="s">
        <v>475</v>
      </c>
      <c r="BW936" s="9"/>
    </row>
    <row r="937" spans="1:75" ht="14.25" customHeight="1" x14ac:dyDescent="0.25">
      <c r="A937" s="1">
        <v>1565</v>
      </c>
      <c r="B937" s="1" t="s">
        <v>3904</v>
      </c>
      <c r="C937" s="1" t="s">
        <v>3905</v>
      </c>
      <c r="D937" s="1" t="s">
        <v>77</v>
      </c>
      <c r="E937" s="1" t="s">
        <v>2396</v>
      </c>
      <c r="F937" s="1" t="s">
        <v>3873</v>
      </c>
      <c r="G937" s="1"/>
      <c r="H937" s="2">
        <v>1</v>
      </c>
      <c r="I937" s="2">
        <v>1</v>
      </c>
      <c r="J937" s="2">
        <v>1</v>
      </c>
      <c r="K937" s="2">
        <v>0</v>
      </c>
      <c r="L937" s="3" t="s">
        <v>127</v>
      </c>
      <c r="O937" s="4">
        <v>2</v>
      </c>
      <c r="P937" s="4" t="s">
        <v>424</v>
      </c>
      <c r="Q937" s="4"/>
      <c r="R937" s="16">
        <v>7900000</v>
      </c>
      <c r="S937" s="6">
        <v>7900000</v>
      </c>
      <c r="T937" s="16">
        <v>4600000</v>
      </c>
      <c r="U937" s="6">
        <v>4600000</v>
      </c>
      <c r="V937" s="4">
        <v>2010.5</v>
      </c>
      <c r="W937" s="4" t="s">
        <v>425</v>
      </c>
      <c r="X937" s="4"/>
      <c r="Y937" s="7">
        <v>2</v>
      </c>
      <c r="Z937" s="8">
        <v>3303063</v>
      </c>
      <c r="AA937" s="7" t="s">
        <v>92</v>
      </c>
      <c r="AB937" s="7"/>
      <c r="AC937" s="9">
        <v>2</v>
      </c>
      <c r="AD937" s="10">
        <v>3151415</v>
      </c>
      <c r="AE937" s="9" t="s">
        <v>92</v>
      </c>
      <c r="AF937" s="9"/>
      <c r="AG937" s="11">
        <v>3</v>
      </c>
      <c r="AH937" s="11" t="s">
        <v>131</v>
      </c>
      <c r="AI937" s="11" t="s">
        <v>3906</v>
      </c>
      <c r="AJ937" s="11">
        <v>2</v>
      </c>
      <c r="AK937" s="11" t="s">
        <v>132</v>
      </c>
      <c r="AL937" s="12">
        <v>3</v>
      </c>
      <c r="AM937" s="12" t="s">
        <v>131</v>
      </c>
      <c r="AN937" s="12" t="s">
        <v>3907</v>
      </c>
      <c r="AO937" s="12">
        <v>2</v>
      </c>
      <c r="AP937" s="12" t="s">
        <v>132</v>
      </c>
      <c r="AQ937" s="4">
        <v>3</v>
      </c>
      <c r="AR937" s="4" t="s">
        <v>133</v>
      </c>
      <c r="AS937" s="4"/>
      <c r="AT937" s="13">
        <v>-30.316278457641602</v>
      </c>
      <c r="AU937" s="13">
        <v>-0.70628637075424205</v>
      </c>
      <c r="AV937" s="13">
        <v>-1.4800000190734901</v>
      </c>
      <c r="AW937" s="13">
        <v>3.8695000112056697E-2</v>
      </c>
      <c r="AX937" s="4"/>
      <c r="AY937" s="13">
        <v>-0.59201508760452304</v>
      </c>
      <c r="AZ937" s="13">
        <v>-6.1084460467100102E-2</v>
      </c>
      <c r="BA937" s="13">
        <v>-2.4700000286102299</v>
      </c>
      <c r="BB937" s="13">
        <v>2.1559000015258798</v>
      </c>
      <c r="BC937" s="4"/>
      <c r="BD937" s="4">
        <v>10</v>
      </c>
      <c r="BE937" s="4" t="s">
        <v>134</v>
      </c>
      <c r="BF937" s="13">
        <v>1.5186949968337999</v>
      </c>
      <c r="BG937" s="4">
        <v>979.5</v>
      </c>
      <c r="BH937" s="13">
        <v>2.9449999332428001</v>
      </c>
      <c r="BI937" s="13">
        <v>2877.5400390625</v>
      </c>
      <c r="BJ937" s="4"/>
      <c r="BK937" s="14">
        <v>10</v>
      </c>
      <c r="BL937" s="14">
        <v>10</v>
      </c>
      <c r="BM937" s="14">
        <v>10</v>
      </c>
      <c r="BP937" s="15" t="s">
        <v>135</v>
      </c>
      <c r="BQ937" s="15"/>
      <c r="BR937" s="2" t="s">
        <v>256</v>
      </c>
      <c r="BS937" s="2" t="s">
        <v>256</v>
      </c>
      <c r="BT937" s="7" t="s">
        <v>475</v>
      </c>
      <c r="BU937" s="7" t="s">
        <v>428</v>
      </c>
      <c r="BV937" s="9" t="s">
        <v>475</v>
      </c>
      <c r="BW937" s="9" t="s">
        <v>428</v>
      </c>
    </row>
    <row r="938" spans="1:75" ht="14.25" customHeight="1" x14ac:dyDescent="0.25">
      <c r="A938" s="1">
        <v>1566</v>
      </c>
      <c r="B938" s="1" t="s">
        <v>3908</v>
      </c>
      <c r="C938" s="1" t="s">
        <v>3909</v>
      </c>
      <c r="D938" s="1" t="s">
        <v>77</v>
      </c>
      <c r="E938" s="1" t="s">
        <v>2396</v>
      </c>
      <c r="F938" s="1" t="s">
        <v>3873</v>
      </c>
      <c r="G938" s="1"/>
      <c r="H938" s="2">
        <v>1</v>
      </c>
      <c r="I938" s="2">
        <v>1</v>
      </c>
      <c r="J938" s="2">
        <v>1</v>
      </c>
      <c r="K938" s="2">
        <v>1</v>
      </c>
      <c r="L938" s="3" t="s">
        <v>80</v>
      </c>
      <c r="O938" s="4">
        <v>2</v>
      </c>
      <c r="P938" s="4" t="s">
        <v>424</v>
      </c>
      <c r="Q938" s="4"/>
      <c r="R938" s="16">
        <v>19000000</v>
      </c>
      <c r="S938" s="6">
        <v>19000000</v>
      </c>
      <c r="T938" s="16">
        <v>18000000</v>
      </c>
      <c r="U938" s="6">
        <v>18000000</v>
      </c>
      <c r="V938" s="4">
        <v>2010.5</v>
      </c>
      <c r="W938" s="4" t="s">
        <v>425</v>
      </c>
      <c r="X938" s="4"/>
      <c r="Y938" s="7">
        <v>2</v>
      </c>
      <c r="Z938" s="8">
        <v>3207537</v>
      </c>
      <c r="AA938" s="7" t="s">
        <v>92</v>
      </c>
      <c r="AB938" s="7"/>
      <c r="AC938" s="9">
        <v>2</v>
      </c>
      <c r="AD938" s="10">
        <v>3207537</v>
      </c>
      <c r="AE938" s="9" t="s">
        <v>92</v>
      </c>
      <c r="AF938" s="9"/>
      <c r="AG938" s="11">
        <v>2</v>
      </c>
      <c r="AH938" s="11" t="s">
        <v>131</v>
      </c>
      <c r="AI938" s="11" t="s">
        <v>3910</v>
      </c>
      <c r="AJ938" s="11">
        <v>2</v>
      </c>
      <c r="AK938" s="11" t="s">
        <v>132</v>
      </c>
      <c r="AL938" s="12">
        <v>2</v>
      </c>
      <c r="AM938" s="12" t="s">
        <v>131</v>
      </c>
      <c r="AN938" s="12" t="s">
        <v>3911</v>
      </c>
      <c r="AO938" s="12">
        <v>2</v>
      </c>
      <c r="AP938" s="12" t="s">
        <v>143</v>
      </c>
      <c r="AQ938" s="4">
        <v>1</v>
      </c>
      <c r="AR938" s="4" t="s">
        <v>133</v>
      </c>
      <c r="AS938" s="4"/>
      <c r="AT938" s="13">
        <v>87.478065490722699</v>
      </c>
      <c r="AU938" s="13">
        <v>1.24102699756622</v>
      </c>
      <c r="AV938" s="13">
        <v>1.1062979698181199</v>
      </c>
      <c r="AW938" s="13">
        <v>1.4400000572204601</v>
      </c>
      <c r="AX938" s="4">
        <v>1</v>
      </c>
      <c r="AY938" s="13">
        <v>17.402248382568398</v>
      </c>
      <c r="AZ938" s="13">
        <v>1.61858451366425</v>
      </c>
      <c r="BA938" s="13">
        <v>0.88300001621246305</v>
      </c>
      <c r="BB938" s="13">
        <v>2.09150290489197</v>
      </c>
      <c r="BC938" s="4">
        <v>1</v>
      </c>
      <c r="BD938" s="4">
        <v>10</v>
      </c>
      <c r="BE938" s="4" t="s">
        <v>134</v>
      </c>
      <c r="BF938" s="13">
        <v>0.33370199799537698</v>
      </c>
      <c r="BG938" s="4">
        <v>1859</v>
      </c>
      <c r="BH938" s="13">
        <v>10.9099998474121</v>
      </c>
      <c r="BI938" s="13">
        <v>20282.759765625</v>
      </c>
      <c r="BJ938" s="4"/>
      <c r="BK938" s="14">
        <v>7</v>
      </c>
      <c r="BL938" s="14">
        <v>7</v>
      </c>
      <c r="BM938" s="14">
        <v>7</v>
      </c>
      <c r="BP938" s="15" t="s">
        <v>135</v>
      </c>
      <c r="BQ938" s="15"/>
      <c r="BR938" s="2" t="s">
        <v>239</v>
      </c>
      <c r="BS938" s="2" t="s">
        <v>239</v>
      </c>
      <c r="BT938" s="7" t="s">
        <v>241</v>
      </c>
      <c r="BU938" s="7"/>
      <c r="BV938" s="9" t="s">
        <v>241</v>
      </c>
      <c r="BW938" s="9"/>
    </row>
    <row r="939" spans="1:75" ht="14.25" customHeight="1" x14ac:dyDescent="0.25">
      <c r="A939" s="1">
        <v>1567</v>
      </c>
      <c r="B939" s="1" t="s">
        <v>3912</v>
      </c>
      <c r="C939" s="1" t="s">
        <v>3913</v>
      </c>
      <c r="D939" s="1" t="s">
        <v>77</v>
      </c>
      <c r="E939" s="1" t="s">
        <v>2396</v>
      </c>
      <c r="F939" s="1" t="s">
        <v>3873</v>
      </c>
      <c r="G939" s="1"/>
      <c r="H939" s="2">
        <v>1</v>
      </c>
      <c r="I939" s="2">
        <v>1</v>
      </c>
      <c r="J939" s="2">
        <v>1</v>
      </c>
      <c r="K939" s="2">
        <v>1</v>
      </c>
      <c r="L939" s="3" t="s">
        <v>127</v>
      </c>
      <c r="O939" s="4">
        <v>1</v>
      </c>
      <c r="P939" s="4" t="s">
        <v>470</v>
      </c>
      <c r="Q939" s="4" t="s">
        <v>3914</v>
      </c>
      <c r="R939" s="16">
        <v>190000000</v>
      </c>
      <c r="S939" s="6">
        <v>190000000</v>
      </c>
      <c r="T939" s="16">
        <v>43000000</v>
      </c>
      <c r="U939" s="6">
        <v>43000000</v>
      </c>
      <c r="V939" s="4">
        <v>2010.5</v>
      </c>
      <c r="W939" s="4" t="s">
        <v>425</v>
      </c>
      <c r="X939" s="4"/>
      <c r="Y939" s="7">
        <v>1</v>
      </c>
      <c r="Z939" s="8">
        <v>24553814</v>
      </c>
      <c r="AA939" s="7" t="s">
        <v>92</v>
      </c>
      <c r="AB939" s="7"/>
      <c r="AC939" s="9">
        <v>1</v>
      </c>
      <c r="AD939" s="10">
        <v>20935058</v>
      </c>
      <c r="AE939" s="9" t="s">
        <v>92</v>
      </c>
      <c r="AF939" s="9"/>
      <c r="AG939" s="11">
        <v>2</v>
      </c>
      <c r="AH939" s="11" t="s">
        <v>131</v>
      </c>
      <c r="AI939" s="11"/>
      <c r="AJ939" s="11">
        <v>3</v>
      </c>
      <c r="AK939" s="11" t="s">
        <v>143</v>
      </c>
      <c r="AL939" s="12">
        <v>2</v>
      </c>
      <c r="AM939" s="12" t="s">
        <v>131</v>
      </c>
      <c r="AN939" s="12"/>
      <c r="AO939" s="12">
        <v>2</v>
      </c>
      <c r="AP939" s="12" t="s">
        <v>143</v>
      </c>
      <c r="AQ939" s="4">
        <v>1</v>
      </c>
      <c r="AR939" s="4" t="s">
        <v>133</v>
      </c>
      <c r="AS939" s="4"/>
      <c r="AT939" s="13">
        <v>24.4412517547607</v>
      </c>
      <c r="AU939" s="13">
        <v>0.42977869510650601</v>
      </c>
      <c r="AV939" s="13">
        <v>0.215804994106293</v>
      </c>
      <c r="AW939" s="13">
        <v>0.70300000905990601</v>
      </c>
      <c r="AX939" s="4">
        <v>1</v>
      </c>
      <c r="AY939" s="13">
        <v>14.451459884643601</v>
      </c>
      <c r="AZ939" s="13">
        <v>1.3594262599945099</v>
      </c>
      <c r="BA939" s="13">
        <v>0.60100001096725497</v>
      </c>
      <c r="BB939" s="13">
        <v>1.9258019924163801</v>
      </c>
      <c r="BC939" s="4">
        <v>1</v>
      </c>
      <c r="BD939" s="4">
        <v>10</v>
      </c>
      <c r="BE939" s="4" t="s">
        <v>134</v>
      </c>
      <c r="BF939" s="13">
        <v>0.487194985151291</v>
      </c>
      <c r="BG939" s="4">
        <v>3188.5</v>
      </c>
      <c r="BH939" s="13">
        <v>5.125</v>
      </c>
      <c r="BI939" s="13">
        <v>16337.1298828125</v>
      </c>
      <c r="BJ939" s="4"/>
      <c r="BK939" s="14">
        <v>5</v>
      </c>
      <c r="BL939" s="14">
        <v>5</v>
      </c>
      <c r="BM939" s="14">
        <v>5</v>
      </c>
      <c r="BP939" s="15" t="s">
        <v>135</v>
      </c>
      <c r="BQ939" s="15"/>
      <c r="BR939" s="2" t="s">
        <v>247</v>
      </c>
      <c r="BS939" s="2" t="s">
        <v>247</v>
      </c>
      <c r="BT939" s="7" t="s">
        <v>1827</v>
      </c>
      <c r="BU939" s="7" t="s">
        <v>603</v>
      </c>
      <c r="BV939" s="9" t="s">
        <v>458</v>
      </c>
      <c r="BW939" s="9" t="s">
        <v>603</v>
      </c>
    </row>
    <row r="940" spans="1:75" ht="14.25" customHeight="1" x14ac:dyDescent="0.25">
      <c r="A940" s="1">
        <v>1568</v>
      </c>
      <c r="B940" s="1" t="s">
        <v>3915</v>
      </c>
      <c r="C940" s="1" t="s">
        <v>3916</v>
      </c>
      <c r="D940" s="1" t="s">
        <v>77</v>
      </c>
      <c r="E940" s="1" t="s">
        <v>2396</v>
      </c>
      <c r="F940" s="1" t="s">
        <v>3873</v>
      </c>
      <c r="G940" s="1" t="s">
        <v>118</v>
      </c>
      <c r="H940" s="2">
        <v>0</v>
      </c>
      <c r="I940" s="2">
        <v>0</v>
      </c>
      <c r="J940" s="2">
        <v>1</v>
      </c>
      <c r="K940" s="2">
        <v>0</v>
      </c>
      <c r="L940" s="3" t="s">
        <v>80</v>
      </c>
      <c r="O940" s="4">
        <v>5</v>
      </c>
      <c r="P940" s="4" t="s">
        <v>112</v>
      </c>
      <c r="Q940" s="4"/>
      <c r="R940" s="5"/>
      <c r="S940" s="6"/>
      <c r="T940" s="17"/>
      <c r="U940" s="6"/>
      <c r="V940" s="4"/>
      <c r="W940" s="4"/>
      <c r="X940" s="4"/>
      <c r="Y940" s="7">
        <v>5</v>
      </c>
      <c r="Z940" s="8">
        <v>135</v>
      </c>
      <c r="AA940" s="7" t="s">
        <v>92</v>
      </c>
      <c r="AB940" s="7"/>
      <c r="AC940" s="9">
        <v>5</v>
      </c>
      <c r="AD940" s="10">
        <v>135</v>
      </c>
      <c r="AE940" s="9" t="s">
        <v>92</v>
      </c>
      <c r="AF940" s="9"/>
      <c r="AG940" s="11">
        <v>3</v>
      </c>
      <c r="AH940" s="11" t="s">
        <v>93</v>
      </c>
      <c r="AI940" s="11"/>
      <c r="AJ940" s="11"/>
      <c r="AK940" s="11"/>
      <c r="AL940" s="12">
        <v>3</v>
      </c>
      <c r="AM940" s="12" t="s">
        <v>93</v>
      </c>
      <c r="AN940" s="12" t="s">
        <v>3917</v>
      </c>
      <c r="AO940" s="12"/>
      <c r="AP940" s="12"/>
      <c r="AQ940" s="4">
        <v>3</v>
      </c>
      <c r="AR940" s="4" t="s">
        <v>441</v>
      </c>
      <c r="AS940" s="4" t="s">
        <v>3918</v>
      </c>
      <c r="AT940" s="13"/>
      <c r="AU940" s="13"/>
      <c r="AV940" s="13"/>
      <c r="AW940" s="13"/>
      <c r="AX940" s="4"/>
      <c r="AY940" s="13"/>
      <c r="AZ940" s="13"/>
      <c r="BA940" s="13"/>
      <c r="BB940" s="13"/>
      <c r="BC940" s="4"/>
      <c r="BD940" s="4"/>
      <c r="BE940" s="4"/>
      <c r="BF940" s="13"/>
      <c r="BG940" s="4"/>
      <c r="BH940" s="13"/>
      <c r="BI940" s="13"/>
      <c r="BJ940" s="4"/>
      <c r="BK940" s="14">
        <v>16</v>
      </c>
      <c r="BL940" s="14">
        <v>16</v>
      </c>
      <c r="BM940" s="14">
        <v>16</v>
      </c>
      <c r="BN940" s="3" t="s">
        <v>86</v>
      </c>
      <c r="BO940" s="3" t="s">
        <v>120</v>
      </c>
      <c r="BP940" s="15"/>
      <c r="BQ940" s="15"/>
      <c r="BR940" s="2" t="s">
        <v>108</v>
      </c>
      <c r="BS940" s="2" t="s">
        <v>108</v>
      </c>
      <c r="BT940" s="7" t="s">
        <v>760</v>
      </c>
      <c r="BU940" s="7"/>
      <c r="BV940" s="9" t="s">
        <v>760</v>
      </c>
      <c r="BW940" s="9"/>
    </row>
    <row r="941" spans="1:75" ht="14.25" customHeight="1" x14ac:dyDescent="0.25">
      <c r="A941" s="1">
        <v>1569</v>
      </c>
      <c r="B941" s="1" t="s">
        <v>3919</v>
      </c>
      <c r="C941" s="1" t="s">
        <v>3920</v>
      </c>
      <c r="D941" s="1" t="s">
        <v>77</v>
      </c>
      <c r="E941" s="1" t="s">
        <v>2396</v>
      </c>
      <c r="F941" s="1" t="s">
        <v>3873</v>
      </c>
      <c r="G941" s="1" t="s">
        <v>118</v>
      </c>
      <c r="H941" s="2">
        <v>0</v>
      </c>
      <c r="I941" s="2">
        <v>0</v>
      </c>
      <c r="J941" s="2">
        <v>1</v>
      </c>
      <c r="K941" s="2">
        <v>0</v>
      </c>
      <c r="L941" s="3" t="s">
        <v>80</v>
      </c>
      <c r="O941" s="4">
        <v>5</v>
      </c>
      <c r="P941" s="4" t="s">
        <v>112</v>
      </c>
      <c r="Q941" s="4"/>
      <c r="R941" s="5"/>
      <c r="S941" s="6"/>
      <c r="T941" s="17"/>
      <c r="U941" s="6"/>
      <c r="V941" s="4"/>
      <c r="W941" s="4"/>
      <c r="X941" s="4"/>
      <c r="Y941" s="7">
        <v>5</v>
      </c>
      <c r="Z941" s="8">
        <v>32</v>
      </c>
      <c r="AA941" s="7" t="s">
        <v>92</v>
      </c>
      <c r="AB941" s="7"/>
      <c r="AC941" s="9">
        <v>5</v>
      </c>
      <c r="AD941" s="10">
        <v>32</v>
      </c>
      <c r="AE941" s="9" t="s">
        <v>92</v>
      </c>
      <c r="AF941" s="9"/>
      <c r="AG941" s="11">
        <v>3</v>
      </c>
      <c r="AH941" s="11" t="s">
        <v>93</v>
      </c>
      <c r="AI941" s="11"/>
      <c r="AJ941" s="11"/>
      <c r="AK941" s="11"/>
      <c r="AL941" s="12">
        <v>3</v>
      </c>
      <c r="AM941" s="12" t="s">
        <v>93</v>
      </c>
      <c r="AN941" s="12" t="s">
        <v>3917</v>
      </c>
      <c r="AO941" s="12"/>
      <c r="AP941" s="12"/>
      <c r="AQ941" s="4">
        <v>3</v>
      </c>
      <c r="AR941" s="4" t="s">
        <v>441</v>
      </c>
      <c r="AS941" s="4" t="s">
        <v>3921</v>
      </c>
      <c r="AT941" s="13"/>
      <c r="AU941" s="13"/>
      <c r="AV941" s="13"/>
      <c r="AW941" s="13"/>
      <c r="AX941" s="4"/>
      <c r="AY941" s="13"/>
      <c r="AZ941" s="13"/>
      <c r="BA941" s="13"/>
      <c r="BB941" s="13"/>
      <c r="BC941" s="4"/>
      <c r="BD941" s="4"/>
      <c r="BE941" s="4"/>
      <c r="BF941" s="13"/>
      <c r="BG941" s="4"/>
      <c r="BH941" s="13"/>
      <c r="BI941" s="13"/>
      <c r="BJ941" s="4"/>
      <c r="BK941" s="14">
        <v>16</v>
      </c>
      <c r="BL941" s="14">
        <v>16</v>
      </c>
      <c r="BM941" s="14">
        <v>16</v>
      </c>
      <c r="BN941" s="3" t="s">
        <v>86</v>
      </c>
      <c r="BO941" s="3" t="s">
        <v>114</v>
      </c>
      <c r="BP941" s="15"/>
      <c r="BQ941" s="15"/>
      <c r="BR941" s="2" t="s">
        <v>108</v>
      </c>
      <c r="BS941" s="2" t="s">
        <v>108</v>
      </c>
      <c r="BT941" s="7" t="s">
        <v>760</v>
      </c>
      <c r="BU941" s="7"/>
      <c r="BV941" s="9" t="s">
        <v>760</v>
      </c>
      <c r="BW941" s="9"/>
    </row>
    <row r="942" spans="1:75" ht="14.25" customHeight="1" x14ac:dyDescent="0.25">
      <c r="A942" s="1">
        <v>1570</v>
      </c>
      <c r="B942" s="1" t="s">
        <v>3922</v>
      </c>
      <c r="C942" s="1" t="s">
        <v>3923</v>
      </c>
      <c r="D942" s="1" t="s">
        <v>77</v>
      </c>
      <c r="E942" s="1" t="s">
        <v>2396</v>
      </c>
      <c r="F942" s="1" t="s">
        <v>3873</v>
      </c>
      <c r="G942" s="1"/>
      <c r="H942" s="2">
        <v>0</v>
      </c>
      <c r="I942" s="2">
        <v>0</v>
      </c>
      <c r="J942" s="2">
        <v>1</v>
      </c>
      <c r="K942" s="2">
        <v>1</v>
      </c>
      <c r="L942" s="3" t="s">
        <v>80</v>
      </c>
      <c r="O942" s="4">
        <v>4</v>
      </c>
      <c r="P942" s="4" t="s">
        <v>81</v>
      </c>
      <c r="Q942" s="4" t="s">
        <v>1012</v>
      </c>
      <c r="R942" s="5"/>
      <c r="S942" s="6"/>
      <c r="T942" s="17"/>
      <c r="U942" s="6"/>
      <c r="V942" s="4"/>
      <c r="W942" s="4"/>
      <c r="X942" s="4"/>
      <c r="Y942" s="7">
        <v>4</v>
      </c>
      <c r="Z942" s="8">
        <v>98793</v>
      </c>
      <c r="AA942" s="7" t="s">
        <v>92</v>
      </c>
      <c r="AB942" s="7"/>
      <c r="AC942" s="9">
        <v>4</v>
      </c>
      <c r="AD942" s="10">
        <v>98793</v>
      </c>
      <c r="AE942" s="9" t="s">
        <v>92</v>
      </c>
      <c r="AF942" s="9"/>
      <c r="AG942" s="11">
        <v>3</v>
      </c>
      <c r="AH942" s="11" t="s">
        <v>93</v>
      </c>
      <c r="AI942" s="11"/>
      <c r="AJ942" s="11"/>
      <c r="AK942" s="11"/>
      <c r="AL942" s="12">
        <v>3</v>
      </c>
      <c r="AM942" s="12" t="s">
        <v>93</v>
      </c>
      <c r="AN942" s="12" t="s">
        <v>698</v>
      </c>
      <c r="AO942" s="12"/>
      <c r="AP942" s="12"/>
      <c r="AQ942" s="4">
        <v>4</v>
      </c>
      <c r="AR942" s="4" t="s">
        <v>83</v>
      </c>
      <c r="AS942" s="4" t="s">
        <v>3924</v>
      </c>
      <c r="AT942" s="13"/>
      <c r="AU942" s="13"/>
      <c r="AV942" s="13"/>
      <c r="AW942" s="13"/>
      <c r="AX942" s="4"/>
      <c r="AY942" s="13"/>
      <c r="AZ942" s="13"/>
      <c r="BA942" s="13"/>
      <c r="BB942" s="13"/>
      <c r="BC942" s="4"/>
      <c r="BD942" s="4"/>
      <c r="BE942" s="4"/>
      <c r="BF942" s="13"/>
      <c r="BG942" s="4"/>
      <c r="BH942" s="13"/>
      <c r="BI942" s="13"/>
      <c r="BJ942" s="4"/>
      <c r="BK942" s="14">
        <v>15</v>
      </c>
      <c r="BL942" s="14">
        <v>15</v>
      </c>
      <c r="BM942" s="14">
        <v>15</v>
      </c>
      <c r="BN942" s="3" t="s">
        <v>86</v>
      </c>
      <c r="BP942" s="15"/>
      <c r="BQ942" s="15"/>
      <c r="BR942" s="2" t="s">
        <v>409</v>
      </c>
      <c r="BS942" s="2" t="s">
        <v>409</v>
      </c>
      <c r="BT942" s="7" t="s">
        <v>88</v>
      </c>
      <c r="BU942" s="7"/>
      <c r="BV942" s="9" t="s">
        <v>88</v>
      </c>
      <c r="BW942" s="9"/>
    </row>
    <row r="943" spans="1:75" ht="14.25" customHeight="1" x14ac:dyDescent="0.25">
      <c r="A943" s="1">
        <v>1571</v>
      </c>
      <c r="B943" s="1" t="s">
        <v>3925</v>
      </c>
      <c r="C943" s="1" t="s">
        <v>3926</v>
      </c>
      <c r="D943" s="1" t="s">
        <v>77</v>
      </c>
      <c r="E943" s="1" t="s">
        <v>2396</v>
      </c>
      <c r="F943" s="1" t="s">
        <v>3873</v>
      </c>
      <c r="G943" s="1"/>
      <c r="H943" s="2">
        <v>0</v>
      </c>
      <c r="I943" s="2">
        <v>0</v>
      </c>
      <c r="J943" s="2">
        <v>0</v>
      </c>
      <c r="K943" s="2">
        <v>1</v>
      </c>
      <c r="L943" s="3" t="s">
        <v>80</v>
      </c>
      <c r="O943" s="4">
        <v>4</v>
      </c>
      <c r="P943" s="4" t="s">
        <v>81</v>
      </c>
      <c r="Q943" s="4"/>
      <c r="R943" s="5"/>
      <c r="S943" s="6"/>
      <c r="T943" s="17"/>
      <c r="U943" s="6"/>
      <c r="V943" s="4"/>
      <c r="W943" s="4"/>
      <c r="X943" s="4"/>
      <c r="Y943" s="7">
        <v>5</v>
      </c>
      <c r="Z943" s="8">
        <v>17421</v>
      </c>
      <c r="AA943" s="7" t="s">
        <v>82</v>
      </c>
      <c r="AB943" s="7"/>
      <c r="AC943" s="9">
        <v>5</v>
      </c>
      <c r="AD943" s="10">
        <v>17421</v>
      </c>
      <c r="AE943" s="9" t="s">
        <v>82</v>
      </c>
      <c r="AF943" s="9"/>
      <c r="AG943" s="11">
        <v>3</v>
      </c>
      <c r="AH943" s="11" t="s">
        <v>83</v>
      </c>
      <c r="AI943" s="11"/>
      <c r="AJ943" s="11"/>
      <c r="AK943" s="11"/>
      <c r="AL943" s="12">
        <v>3</v>
      </c>
      <c r="AM943" s="12" t="s">
        <v>83</v>
      </c>
      <c r="AN943" s="12"/>
      <c r="AO943" s="12"/>
      <c r="AP943" s="12"/>
      <c r="AQ943" s="4">
        <v>3</v>
      </c>
      <c r="AR943" s="4" t="s">
        <v>83</v>
      </c>
      <c r="AS943" s="4"/>
      <c r="AT943" s="13"/>
      <c r="AU943" s="13"/>
      <c r="AV943" s="13"/>
      <c r="AW943" s="13"/>
      <c r="AX943" s="4"/>
      <c r="AY943" s="13"/>
      <c r="AZ943" s="13"/>
      <c r="BA943" s="13"/>
      <c r="BB943" s="13"/>
      <c r="BC943" s="4"/>
      <c r="BD943" s="4"/>
      <c r="BE943" s="4"/>
      <c r="BF943" s="13"/>
      <c r="BG943" s="4"/>
      <c r="BH943" s="13"/>
      <c r="BI943" s="13"/>
      <c r="BJ943" s="4"/>
      <c r="BK943" s="14">
        <v>15</v>
      </c>
      <c r="BL943" s="14">
        <v>15</v>
      </c>
      <c r="BM943" s="14">
        <v>15</v>
      </c>
      <c r="BN943" s="3" t="s">
        <v>86</v>
      </c>
      <c r="BP943" s="15"/>
      <c r="BQ943" s="15"/>
      <c r="BR943" s="2" t="s">
        <v>87</v>
      </c>
      <c r="BS943" s="2" t="s">
        <v>87</v>
      </c>
      <c r="BT943" s="7" t="s">
        <v>88</v>
      </c>
      <c r="BU943" s="7"/>
      <c r="BV943" s="9" t="s">
        <v>88</v>
      </c>
      <c r="BW943" s="9"/>
    </row>
    <row r="944" spans="1:75" ht="14.25" customHeight="1" x14ac:dyDescent="0.25">
      <c r="A944" s="1">
        <v>1572</v>
      </c>
      <c r="B944" s="1" t="s">
        <v>3927</v>
      </c>
      <c r="C944" s="1" t="s">
        <v>3928</v>
      </c>
      <c r="D944" s="1" t="s">
        <v>77</v>
      </c>
      <c r="E944" s="1" t="s">
        <v>2396</v>
      </c>
      <c r="F944" s="1" t="s">
        <v>3873</v>
      </c>
      <c r="G944" s="1"/>
      <c r="H944" s="2">
        <v>1</v>
      </c>
      <c r="I944" s="2">
        <v>1</v>
      </c>
      <c r="J944" s="2">
        <v>1</v>
      </c>
      <c r="K944" s="2">
        <v>0</v>
      </c>
      <c r="L944" s="3" t="s">
        <v>127</v>
      </c>
      <c r="O944" s="4">
        <v>2</v>
      </c>
      <c r="P944" s="4" t="s">
        <v>425</v>
      </c>
      <c r="Q944" s="4" t="s">
        <v>3929</v>
      </c>
      <c r="R944" s="16">
        <v>7500000</v>
      </c>
      <c r="S944" s="6">
        <v>7500000</v>
      </c>
      <c r="T944" s="16">
        <v>7500000</v>
      </c>
      <c r="U944" s="6">
        <v>7500000</v>
      </c>
      <c r="V944" s="4">
        <v>2010.5</v>
      </c>
      <c r="W944" s="4" t="s">
        <v>425</v>
      </c>
      <c r="X944" s="4"/>
      <c r="Y944" s="7">
        <v>2</v>
      </c>
      <c r="Z944" s="8">
        <v>1238488</v>
      </c>
      <c r="AA944" s="7" t="s">
        <v>92</v>
      </c>
      <c r="AB944" s="7"/>
      <c r="AC944" s="9">
        <v>2</v>
      </c>
      <c r="AD944" s="10">
        <v>1199052</v>
      </c>
      <c r="AE944" s="9" t="s">
        <v>82</v>
      </c>
      <c r="AF944" s="9"/>
      <c r="AG944" s="11">
        <v>3</v>
      </c>
      <c r="AH944" s="11" t="s">
        <v>3930</v>
      </c>
      <c r="AI944" s="11" t="s">
        <v>2889</v>
      </c>
      <c r="AJ944" s="11">
        <v>2</v>
      </c>
      <c r="AK944" s="11" t="s">
        <v>132</v>
      </c>
      <c r="AL944" s="12">
        <v>3</v>
      </c>
      <c r="AM944" s="12" t="s">
        <v>3930</v>
      </c>
      <c r="AN944" s="12"/>
      <c r="AO944" s="12">
        <v>2</v>
      </c>
      <c r="AP944" s="12" t="s">
        <v>132</v>
      </c>
      <c r="AQ944" s="4">
        <v>2</v>
      </c>
      <c r="AR944" s="4" t="s">
        <v>133</v>
      </c>
      <c r="AS944" s="4"/>
      <c r="AT944" s="13">
        <v>8.31579494476318</v>
      </c>
      <c r="AU944" s="13">
        <v>0.157151579856873</v>
      </c>
      <c r="AV944" s="13">
        <v>-0.77689898014068604</v>
      </c>
      <c r="AW944" s="13">
        <v>1.6499999761581401</v>
      </c>
      <c r="AX944" s="4"/>
      <c r="AY944" s="13">
        <v>-7.6015462875366202</v>
      </c>
      <c r="AZ944" s="13">
        <v>-0.78715610504150402</v>
      </c>
      <c r="BA944" s="13">
        <v>-2.4700000286102299</v>
      </c>
      <c r="BB944" s="13">
        <v>1.4199969768524201</v>
      </c>
      <c r="BC944" s="4"/>
      <c r="BD944" s="4">
        <v>10</v>
      </c>
      <c r="BE944" s="4" t="s">
        <v>134</v>
      </c>
      <c r="BF944" s="13">
        <v>2.4268989562988299</v>
      </c>
      <c r="BG944" s="4">
        <v>382</v>
      </c>
      <c r="BH944" s="13">
        <v>5.5199999809265101</v>
      </c>
      <c r="BI944" s="13">
        <v>2104.7099609375</v>
      </c>
      <c r="BJ944" s="4"/>
      <c r="BK944" s="14">
        <v>9</v>
      </c>
      <c r="BL944" s="14">
        <v>9</v>
      </c>
      <c r="BM944" s="14">
        <v>9</v>
      </c>
      <c r="BP944" s="15"/>
      <c r="BQ944" s="15"/>
      <c r="BR944" s="2" t="s">
        <v>162</v>
      </c>
      <c r="BS944" s="2" t="s">
        <v>162</v>
      </c>
      <c r="BT944" s="7" t="s">
        <v>428</v>
      </c>
      <c r="BU944" s="7"/>
      <c r="BV944" s="9" t="s">
        <v>428</v>
      </c>
      <c r="BW944" s="9"/>
    </row>
    <row r="945" spans="1:75" ht="14.25" customHeight="1" x14ac:dyDescent="0.25">
      <c r="A945" s="1">
        <v>1573</v>
      </c>
      <c r="B945" s="1" t="s">
        <v>3931</v>
      </c>
      <c r="C945" s="1" t="s">
        <v>3932</v>
      </c>
      <c r="D945" s="1" t="s">
        <v>77</v>
      </c>
      <c r="E945" s="1" t="s">
        <v>2396</v>
      </c>
      <c r="F945" s="1" t="s">
        <v>3873</v>
      </c>
      <c r="G945" s="1"/>
      <c r="H945" s="2">
        <v>1</v>
      </c>
      <c r="I945" s="2">
        <v>1</v>
      </c>
      <c r="J945" s="2">
        <v>1</v>
      </c>
      <c r="K945" s="2">
        <v>0</v>
      </c>
      <c r="L945" s="3" t="s">
        <v>127</v>
      </c>
      <c r="O945" s="4">
        <v>2</v>
      </c>
      <c r="P945" s="4" t="s">
        <v>579</v>
      </c>
      <c r="Q945" s="4" t="s">
        <v>3933</v>
      </c>
      <c r="R945" s="16">
        <v>11000000</v>
      </c>
      <c r="S945" s="6">
        <v>11000000</v>
      </c>
      <c r="T945" s="16">
        <v>11000000</v>
      </c>
      <c r="U945" s="6">
        <v>11000000</v>
      </c>
      <c r="V945" s="4">
        <v>2010.5</v>
      </c>
      <c r="W945" s="4" t="s">
        <v>579</v>
      </c>
      <c r="X945" s="4"/>
      <c r="Y945" s="7">
        <v>2</v>
      </c>
      <c r="Z945" s="8">
        <v>2760019</v>
      </c>
      <c r="AA945" s="7" t="s">
        <v>92</v>
      </c>
      <c r="AB945" s="7"/>
      <c r="AC945" s="9">
        <v>2</v>
      </c>
      <c r="AD945" s="10">
        <v>2581057</v>
      </c>
      <c r="AE945" s="9" t="s">
        <v>92</v>
      </c>
      <c r="AF945" s="9"/>
      <c r="AG945" s="11">
        <v>4</v>
      </c>
      <c r="AH945" s="11" t="s">
        <v>131</v>
      </c>
      <c r="AI945" s="11"/>
      <c r="AJ945" s="11">
        <v>4</v>
      </c>
      <c r="AK945" s="11" t="s">
        <v>143</v>
      </c>
      <c r="AL945" s="12">
        <v>2</v>
      </c>
      <c r="AM945" s="12" t="s">
        <v>131</v>
      </c>
      <c r="AN945" s="12"/>
      <c r="AO945" s="12">
        <v>2</v>
      </c>
      <c r="AP945" s="12" t="s">
        <v>143</v>
      </c>
      <c r="AQ945" s="4">
        <v>4</v>
      </c>
      <c r="AR945" s="4" t="s">
        <v>133</v>
      </c>
      <c r="AS945" s="4"/>
      <c r="AT945" s="13">
        <v>15.0614128112793</v>
      </c>
      <c r="AU945" s="13">
        <v>0.27575185894966098</v>
      </c>
      <c r="AV945" s="13">
        <v>-0.82700002193450906</v>
      </c>
      <c r="AW945" s="13">
        <v>1.1482950448989899</v>
      </c>
      <c r="AX945" s="4"/>
      <c r="AY945" s="13">
        <v>-33.208934783935497</v>
      </c>
      <c r="AZ945" s="13">
        <v>-3.9513208866119398</v>
      </c>
      <c r="BA945" s="13">
        <v>-5.3484969139099103</v>
      </c>
      <c r="BB945" s="13">
        <v>-1.87000000476837</v>
      </c>
      <c r="BC945" s="4">
        <v>1</v>
      </c>
      <c r="BD945" s="4">
        <v>10</v>
      </c>
      <c r="BE945" s="4" t="s">
        <v>134</v>
      </c>
      <c r="BF945" s="13">
        <v>1.9752949476242101</v>
      </c>
      <c r="BG945" s="4">
        <v>1003</v>
      </c>
      <c r="BH945" s="13">
        <v>4.9850001335143999</v>
      </c>
      <c r="BI945" s="13">
        <v>4996.98486328125</v>
      </c>
      <c r="BJ945" s="4"/>
      <c r="BK945" s="14">
        <v>12</v>
      </c>
      <c r="BL945" s="14">
        <v>10</v>
      </c>
      <c r="BM945" s="14">
        <v>12</v>
      </c>
      <c r="BP945" s="15"/>
      <c r="BQ945" s="15"/>
      <c r="BR945" s="2" t="s">
        <v>211</v>
      </c>
      <c r="BS945" s="2" t="s">
        <v>239</v>
      </c>
      <c r="BT945" s="7" t="s">
        <v>527</v>
      </c>
      <c r="BU945" s="7" t="s">
        <v>241</v>
      </c>
      <c r="BV945" s="9" t="s">
        <v>241</v>
      </c>
      <c r="BW945" s="9"/>
    </row>
    <row r="946" spans="1:75" ht="14.25" customHeight="1" x14ac:dyDescent="0.25">
      <c r="A946" s="1">
        <v>1575</v>
      </c>
      <c r="B946" s="1" t="s">
        <v>3934</v>
      </c>
      <c r="C946" s="1" t="s">
        <v>3935</v>
      </c>
      <c r="D946" s="1" t="s">
        <v>77</v>
      </c>
      <c r="E946" s="1" t="s">
        <v>2396</v>
      </c>
      <c r="F946" s="1" t="s">
        <v>3873</v>
      </c>
      <c r="G946" s="1" t="s">
        <v>3936</v>
      </c>
      <c r="H946" s="2">
        <v>1</v>
      </c>
      <c r="I946" s="2">
        <v>1</v>
      </c>
      <c r="J946" s="2">
        <v>1</v>
      </c>
      <c r="K946" s="2">
        <v>0</v>
      </c>
      <c r="L946" s="3" t="s">
        <v>127</v>
      </c>
      <c r="O946" s="4">
        <v>2</v>
      </c>
      <c r="P946" s="4" t="s">
        <v>425</v>
      </c>
      <c r="Q946" s="4" t="s">
        <v>3937</v>
      </c>
      <c r="R946" s="16">
        <v>5000000</v>
      </c>
      <c r="S946" s="6">
        <v>5000000</v>
      </c>
      <c r="T946" s="16">
        <v>5000000</v>
      </c>
      <c r="U946" s="6">
        <v>5000000</v>
      </c>
      <c r="V946" s="4">
        <v>2010.5</v>
      </c>
      <c r="W946" s="4" t="s">
        <v>425</v>
      </c>
      <c r="X946" s="4"/>
      <c r="Y946" s="7">
        <v>2</v>
      </c>
      <c r="Z946" s="8">
        <v>1871195</v>
      </c>
      <c r="AA946" s="7" t="s">
        <v>3938</v>
      </c>
      <c r="AB946" s="7"/>
      <c r="AC946" s="9">
        <v>2</v>
      </c>
      <c r="AD946" s="10">
        <v>1465254</v>
      </c>
      <c r="AE946" s="9" t="s">
        <v>3938</v>
      </c>
      <c r="AF946" s="9"/>
      <c r="AG946" s="11">
        <v>3</v>
      </c>
      <c r="AH946" s="11" t="s">
        <v>3939</v>
      </c>
      <c r="AI946" s="11" t="s">
        <v>3940</v>
      </c>
      <c r="AJ946" s="11">
        <v>3</v>
      </c>
      <c r="AK946" s="11" t="s">
        <v>143</v>
      </c>
      <c r="AL946" s="12">
        <v>3</v>
      </c>
      <c r="AM946" s="12" t="s">
        <v>3939</v>
      </c>
      <c r="AN946" s="12" t="s">
        <v>3941</v>
      </c>
      <c r="AO946" s="12">
        <v>2</v>
      </c>
      <c r="AP946" s="12" t="s">
        <v>143</v>
      </c>
      <c r="AQ946" s="4">
        <v>2</v>
      </c>
      <c r="AR946" s="4" t="s">
        <v>133</v>
      </c>
      <c r="AS946" s="4"/>
      <c r="AT946" s="13">
        <v>32.234745025634801</v>
      </c>
      <c r="AU946" s="13">
        <v>0.54928344488143899</v>
      </c>
      <c r="AV946" s="13">
        <v>-0.72600001096725497</v>
      </c>
      <c r="AW946" s="13">
        <v>1.5288950204849201</v>
      </c>
      <c r="AX946" s="4"/>
      <c r="AY946" s="13">
        <v>-6.7826671600341797</v>
      </c>
      <c r="AZ946" s="13">
        <v>-0.69998598098754905</v>
      </c>
      <c r="BA946" s="13">
        <v>-2.9500000476837198</v>
      </c>
      <c r="BB946" s="13">
        <v>1.03999996185303</v>
      </c>
      <c r="BC946" s="4"/>
      <c r="BD946" s="4">
        <v>10</v>
      </c>
      <c r="BE946" s="4" t="s">
        <v>134</v>
      </c>
      <c r="BF946" s="13">
        <v>2.2548949718475302</v>
      </c>
      <c r="BG946" s="4">
        <v>696</v>
      </c>
      <c r="BH946" s="13">
        <v>0.91500002145767201</v>
      </c>
      <c r="BI946" s="13">
        <v>636.73498535156295</v>
      </c>
      <c r="BJ946" s="4"/>
      <c r="BK946" s="14">
        <v>9</v>
      </c>
      <c r="BL946" s="14">
        <v>9</v>
      </c>
      <c r="BM946" s="14">
        <v>9</v>
      </c>
      <c r="BP946" s="15"/>
      <c r="BQ946" s="15" t="s">
        <v>136</v>
      </c>
      <c r="BR946" s="2" t="s">
        <v>457</v>
      </c>
      <c r="BS946" s="2" t="s">
        <v>239</v>
      </c>
      <c r="BT946" s="7" t="s">
        <v>585</v>
      </c>
      <c r="BU946" s="7" t="s">
        <v>248</v>
      </c>
      <c r="BV946" s="9" t="s">
        <v>248</v>
      </c>
      <c r="BW946" s="9" t="s">
        <v>585</v>
      </c>
    </row>
    <row r="947" spans="1:75" ht="14.25" customHeight="1" x14ac:dyDescent="0.25">
      <c r="A947" s="1">
        <v>1576</v>
      </c>
      <c r="B947" s="1" t="s">
        <v>3942</v>
      </c>
      <c r="C947" s="1" t="s">
        <v>3943</v>
      </c>
      <c r="D947" s="1" t="s">
        <v>77</v>
      </c>
      <c r="E947" s="1" t="s">
        <v>2396</v>
      </c>
      <c r="F947" s="1" t="s">
        <v>3873</v>
      </c>
      <c r="G947" s="1" t="s">
        <v>3944</v>
      </c>
      <c r="H947" s="2">
        <v>0</v>
      </c>
      <c r="I947" s="2">
        <v>0</v>
      </c>
      <c r="J947" s="2">
        <v>1</v>
      </c>
      <c r="K947" s="2">
        <v>1</v>
      </c>
      <c r="L947" s="3" t="s">
        <v>80</v>
      </c>
      <c r="O947" s="4">
        <v>2</v>
      </c>
      <c r="P947" s="4" t="s">
        <v>1970</v>
      </c>
      <c r="Q947" s="4" t="s">
        <v>3945</v>
      </c>
      <c r="R947" s="16">
        <v>510000</v>
      </c>
      <c r="S947" s="6">
        <v>510000</v>
      </c>
      <c r="T947" s="16">
        <v>5000000</v>
      </c>
      <c r="U947" s="6">
        <v>5000000</v>
      </c>
      <c r="V947" s="4">
        <v>2010.5</v>
      </c>
      <c r="W947" s="4" t="s">
        <v>425</v>
      </c>
      <c r="X947" s="4"/>
      <c r="Y947" s="7">
        <v>1</v>
      </c>
      <c r="Z947" s="8">
        <v>4773331</v>
      </c>
      <c r="AA947" s="7" t="s">
        <v>3938</v>
      </c>
      <c r="AB947" s="7"/>
      <c r="AC947" s="9">
        <v>1</v>
      </c>
      <c r="AD947" s="10">
        <v>4773331</v>
      </c>
      <c r="AE947" s="9" t="s">
        <v>3938</v>
      </c>
      <c r="AF947" s="9"/>
      <c r="AG947" s="11">
        <v>4</v>
      </c>
      <c r="AH947" s="11" t="s">
        <v>3946</v>
      </c>
      <c r="AI947" s="11" t="s">
        <v>3947</v>
      </c>
      <c r="AJ947" s="11"/>
      <c r="AK947" s="11"/>
      <c r="AL947" s="12">
        <v>4</v>
      </c>
      <c r="AM947" s="12" t="s">
        <v>3946</v>
      </c>
      <c r="AN947" s="12" t="s">
        <v>3948</v>
      </c>
      <c r="AO947" s="12"/>
      <c r="AP947" s="12"/>
      <c r="AQ947" s="4">
        <v>5</v>
      </c>
      <c r="AR947" s="4" t="s">
        <v>3946</v>
      </c>
      <c r="AS947" s="4" t="s">
        <v>3949</v>
      </c>
      <c r="AT947" s="13"/>
      <c r="AU947" s="13"/>
      <c r="AV947" s="13"/>
      <c r="AW947" s="13"/>
      <c r="AX947" s="4"/>
      <c r="AY947" s="13"/>
      <c r="AZ947" s="13"/>
      <c r="BA947" s="13"/>
      <c r="BB947" s="13"/>
      <c r="BC947" s="4"/>
      <c r="BD947" s="4"/>
      <c r="BE947" s="4"/>
      <c r="BF947" s="13"/>
      <c r="BG947" s="4"/>
      <c r="BH947" s="13"/>
      <c r="BI947" s="13"/>
      <c r="BJ947" s="4"/>
      <c r="BK947" s="14">
        <v>12</v>
      </c>
      <c r="BL947" s="14">
        <v>12</v>
      </c>
      <c r="BM947" s="14">
        <v>12</v>
      </c>
      <c r="BN947" s="3" t="s">
        <v>302</v>
      </c>
      <c r="BP947" s="15"/>
      <c r="BQ947" s="15"/>
      <c r="BR947" s="2" t="s">
        <v>1136</v>
      </c>
      <c r="BS947" s="2" t="s">
        <v>1136</v>
      </c>
      <c r="BT947" s="7" t="s">
        <v>248</v>
      </c>
      <c r="BU947" s="7" t="s">
        <v>1137</v>
      </c>
      <c r="BV947" s="9" t="s">
        <v>248</v>
      </c>
      <c r="BW947" s="9" t="s">
        <v>1137</v>
      </c>
    </row>
    <row r="948" spans="1:75" ht="14.25" customHeight="1" x14ac:dyDescent="0.25">
      <c r="A948" s="1">
        <v>1577</v>
      </c>
      <c r="B948" s="1" t="s">
        <v>3950</v>
      </c>
      <c r="C948" s="1" t="s">
        <v>3951</v>
      </c>
      <c r="D948" s="1" t="s">
        <v>77</v>
      </c>
      <c r="E948" s="1" t="s">
        <v>2396</v>
      </c>
      <c r="F948" s="1" t="s">
        <v>3873</v>
      </c>
      <c r="G948" s="1"/>
      <c r="H948" s="2">
        <v>1</v>
      </c>
      <c r="I948" s="2">
        <v>1</v>
      </c>
      <c r="J948" s="2">
        <v>1</v>
      </c>
      <c r="K948" s="2">
        <v>0</v>
      </c>
      <c r="L948" s="3" t="s">
        <v>127</v>
      </c>
      <c r="O948" s="4">
        <v>2</v>
      </c>
      <c r="P948" s="4" t="s">
        <v>424</v>
      </c>
      <c r="Q948" s="4"/>
      <c r="R948" s="16">
        <v>11000000</v>
      </c>
      <c r="S948" s="6">
        <v>11000000</v>
      </c>
      <c r="T948" s="16">
        <v>11000000</v>
      </c>
      <c r="U948" s="6">
        <v>11000000</v>
      </c>
      <c r="V948" s="4">
        <v>2010.5</v>
      </c>
      <c r="W948" s="4" t="s">
        <v>425</v>
      </c>
      <c r="X948" s="4"/>
      <c r="Y948" s="7">
        <v>1</v>
      </c>
      <c r="Z948" s="8">
        <v>4844019</v>
      </c>
      <c r="AA948" s="7" t="s">
        <v>92</v>
      </c>
      <c r="AB948" s="7"/>
      <c r="AC948" s="9">
        <v>1</v>
      </c>
      <c r="AD948" s="10">
        <v>4296915</v>
      </c>
      <c r="AE948" s="9" t="s">
        <v>92</v>
      </c>
      <c r="AF948" s="9"/>
      <c r="AG948" s="11">
        <v>3</v>
      </c>
      <c r="AH948" s="11" t="s">
        <v>131</v>
      </c>
      <c r="AI948" s="11" t="s">
        <v>3952</v>
      </c>
      <c r="AJ948" s="11">
        <v>2</v>
      </c>
      <c r="AK948" s="11" t="s">
        <v>132</v>
      </c>
      <c r="AL948" s="12">
        <v>3</v>
      </c>
      <c r="AM948" s="12" t="s">
        <v>131</v>
      </c>
      <c r="AN948" s="12"/>
      <c r="AO948" s="12">
        <v>2</v>
      </c>
      <c r="AP948" s="12" t="s">
        <v>132</v>
      </c>
      <c r="AQ948" s="4">
        <v>1</v>
      </c>
      <c r="AR948" s="4" t="s">
        <v>133</v>
      </c>
      <c r="AS948" s="4"/>
      <c r="AT948" s="13">
        <v>155.25328063964801</v>
      </c>
      <c r="AU948" s="13">
        <v>1.85494220256805</v>
      </c>
      <c r="AV948" s="13">
        <v>0.84899997711181596</v>
      </c>
      <c r="AW948" s="13">
        <v>2.53720307350159</v>
      </c>
      <c r="AX948" s="4">
        <v>1</v>
      </c>
      <c r="AY948" s="13">
        <v>25.133207321166999</v>
      </c>
      <c r="AZ948" s="13">
        <v>2.2705895900726301</v>
      </c>
      <c r="BA948" s="13">
        <v>0.414000004529953</v>
      </c>
      <c r="BB948" s="13">
        <v>4.1900000572204599</v>
      </c>
      <c r="BC948" s="4">
        <v>1</v>
      </c>
      <c r="BD948" s="4">
        <v>10</v>
      </c>
      <c r="BE948" s="4" t="s">
        <v>134</v>
      </c>
      <c r="BF948" s="13">
        <v>1.6882029771804801</v>
      </c>
      <c r="BG948" s="4">
        <v>813.5</v>
      </c>
      <c r="BH948" s="13">
        <v>0.67100000381469704</v>
      </c>
      <c r="BI948" s="13">
        <v>545.89300537109398</v>
      </c>
      <c r="BJ948" s="4"/>
      <c r="BK948" s="14">
        <v>7</v>
      </c>
      <c r="BL948" s="14">
        <v>7</v>
      </c>
      <c r="BM948" s="14">
        <v>7</v>
      </c>
      <c r="BP948" s="15"/>
      <c r="BQ948" s="15"/>
      <c r="BR948" s="2" t="s">
        <v>172</v>
      </c>
      <c r="BS948" s="2" t="s">
        <v>172</v>
      </c>
      <c r="BT948" s="7" t="s">
        <v>147</v>
      </c>
      <c r="BU948" s="7"/>
      <c r="BV948" s="9" t="s">
        <v>137</v>
      </c>
      <c r="BW948" s="9" t="s">
        <v>148</v>
      </c>
    </row>
    <row r="949" spans="1:75" ht="14.25" customHeight="1" x14ac:dyDescent="0.25">
      <c r="A949" s="1">
        <v>1578</v>
      </c>
      <c r="B949" s="1" t="s">
        <v>3953</v>
      </c>
      <c r="C949" s="1" t="s">
        <v>3954</v>
      </c>
      <c r="D949" s="1" t="s">
        <v>77</v>
      </c>
      <c r="E949" s="1" t="s">
        <v>2396</v>
      </c>
      <c r="F949" s="1" t="s">
        <v>3873</v>
      </c>
      <c r="G949" s="1" t="s">
        <v>118</v>
      </c>
      <c r="H949" s="2">
        <v>0</v>
      </c>
      <c r="I949" s="2">
        <v>0</v>
      </c>
      <c r="J949" s="2">
        <v>0</v>
      </c>
      <c r="K949" s="2">
        <v>1</v>
      </c>
      <c r="L949" s="3" t="s">
        <v>80</v>
      </c>
      <c r="O949" s="4">
        <v>5</v>
      </c>
      <c r="P949" s="4" t="s">
        <v>81</v>
      </c>
      <c r="Q949" s="4"/>
      <c r="R949" s="5"/>
      <c r="S949" s="6"/>
      <c r="T949" s="17"/>
      <c r="U949" s="6"/>
      <c r="V949" s="4"/>
      <c r="W949" s="4"/>
      <c r="X949" s="4"/>
      <c r="Y949" s="7">
        <v>5</v>
      </c>
      <c r="Z949" s="8">
        <v>1499</v>
      </c>
      <c r="AA949" s="7" t="s">
        <v>82</v>
      </c>
      <c r="AB949" s="7"/>
      <c r="AC949" s="9">
        <v>5</v>
      </c>
      <c r="AD949" s="10">
        <v>1499</v>
      </c>
      <c r="AE949" s="9" t="s">
        <v>82</v>
      </c>
      <c r="AF949" s="9"/>
      <c r="AG949" s="11">
        <v>4</v>
      </c>
      <c r="AH949" s="11" t="s">
        <v>83</v>
      </c>
      <c r="AI949" s="11"/>
      <c r="AJ949" s="11"/>
      <c r="AK949" s="11"/>
      <c r="AL949" s="12">
        <v>4</v>
      </c>
      <c r="AM949" s="12" t="s">
        <v>83</v>
      </c>
      <c r="AN949" s="12"/>
      <c r="AO949" s="12"/>
      <c r="AP949" s="12"/>
      <c r="AQ949" s="4">
        <v>3</v>
      </c>
      <c r="AR949" s="4" t="s">
        <v>83</v>
      </c>
      <c r="AS949" s="4"/>
      <c r="AT949" s="13"/>
      <c r="AU949" s="13"/>
      <c r="AV949" s="13"/>
      <c r="AW949" s="13"/>
      <c r="AX949" s="4"/>
      <c r="AY949" s="13"/>
      <c r="AZ949" s="13"/>
      <c r="BA949" s="13"/>
      <c r="BB949" s="13"/>
      <c r="BC949" s="4"/>
      <c r="BD949" s="4"/>
      <c r="BE949" s="4"/>
      <c r="BF949" s="13"/>
      <c r="BG949" s="4"/>
      <c r="BH949" s="13"/>
      <c r="BI949" s="13"/>
      <c r="BJ949" s="4"/>
      <c r="BK949" s="14">
        <v>17</v>
      </c>
      <c r="BL949" s="14">
        <v>17</v>
      </c>
      <c r="BM949" s="14">
        <v>17</v>
      </c>
      <c r="BN949" s="3" t="s">
        <v>312</v>
      </c>
      <c r="BP949" s="15"/>
      <c r="BQ949" s="15"/>
      <c r="BR949" s="2" t="s">
        <v>87</v>
      </c>
      <c r="BS949" s="2" t="s">
        <v>87</v>
      </c>
      <c r="BT949" s="7" t="s">
        <v>927</v>
      </c>
      <c r="BU949" s="7"/>
      <c r="BV949" s="9" t="s">
        <v>927</v>
      </c>
      <c r="BW949" s="9"/>
    </row>
    <row r="950" spans="1:75" ht="14.25" customHeight="1" x14ac:dyDescent="0.25">
      <c r="A950" s="1">
        <v>1579</v>
      </c>
      <c r="B950" s="1" t="s">
        <v>3955</v>
      </c>
      <c r="C950" s="1" t="s">
        <v>3956</v>
      </c>
      <c r="D950" s="1" t="s">
        <v>77</v>
      </c>
      <c r="E950" s="1" t="s">
        <v>2396</v>
      </c>
      <c r="F950" s="1" t="s">
        <v>3957</v>
      </c>
      <c r="G950" s="1"/>
      <c r="H950" s="2">
        <v>0</v>
      </c>
      <c r="I950" s="2">
        <v>0</v>
      </c>
      <c r="J950" s="2">
        <v>1</v>
      </c>
      <c r="K950" s="2">
        <v>0</v>
      </c>
      <c r="L950" s="3" t="s">
        <v>80</v>
      </c>
      <c r="O950" s="4">
        <v>3</v>
      </c>
      <c r="P950" s="4" t="s">
        <v>112</v>
      </c>
      <c r="Q950" s="4"/>
      <c r="R950" s="5"/>
      <c r="S950" s="6"/>
      <c r="T950" s="17"/>
      <c r="U950" s="6"/>
      <c r="V950" s="4"/>
      <c r="W950" s="4"/>
      <c r="X950" s="4"/>
      <c r="Y950" s="7">
        <v>3</v>
      </c>
      <c r="Z950" s="8">
        <v>485229</v>
      </c>
      <c r="AA950" s="7" t="s">
        <v>92</v>
      </c>
      <c r="AB950" s="7"/>
      <c r="AC950" s="9">
        <v>3</v>
      </c>
      <c r="AD950" s="10">
        <v>485229</v>
      </c>
      <c r="AE950" s="9" t="s">
        <v>92</v>
      </c>
      <c r="AF950" s="9" t="s">
        <v>3958</v>
      </c>
      <c r="AG950" s="11">
        <v>3</v>
      </c>
      <c r="AH950" s="11" t="s">
        <v>93</v>
      </c>
      <c r="AI950" s="11"/>
      <c r="AJ950" s="11"/>
      <c r="AK950" s="11"/>
      <c r="AL950" s="12">
        <v>3</v>
      </c>
      <c r="AM950" s="12" t="s">
        <v>93</v>
      </c>
      <c r="AN950" s="12" t="s">
        <v>3959</v>
      </c>
      <c r="AO950" s="12"/>
      <c r="AP950" s="12"/>
      <c r="AQ950" s="4">
        <v>3</v>
      </c>
      <c r="AR950" s="4" t="s">
        <v>93</v>
      </c>
      <c r="AS950" s="4"/>
      <c r="AT950" s="13"/>
      <c r="AU950" s="13"/>
      <c r="AV950" s="13"/>
      <c r="AW950" s="13"/>
      <c r="AX950" s="4"/>
      <c r="AY950" s="13"/>
      <c r="AZ950" s="13"/>
      <c r="BA950" s="13"/>
      <c r="BB950" s="13"/>
      <c r="BC950" s="4"/>
      <c r="BD950" s="4"/>
      <c r="BE950" s="4"/>
      <c r="BF950" s="13"/>
      <c r="BG950" s="4"/>
      <c r="BH950" s="13"/>
      <c r="BI950" s="13"/>
      <c r="BJ950" s="4"/>
      <c r="BK950" s="14">
        <v>12</v>
      </c>
      <c r="BL950" s="14">
        <v>12</v>
      </c>
      <c r="BM950" s="14">
        <v>12</v>
      </c>
      <c r="BP950" s="15"/>
      <c r="BQ950" s="15"/>
      <c r="BR950" s="2" t="s">
        <v>409</v>
      </c>
      <c r="BS950" s="2" t="s">
        <v>409</v>
      </c>
      <c r="BT950" s="7" t="s">
        <v>438</v>
      </c>
      <c r="BU950" s="7" t="s">
        <v>437</v>
      </c>
      <c r="BV950" s="9" t="s">
        <v>438</v>
      </c>
      <c r="BW950" s="9" t="s">
        <v>437</v>
      </c>
    </row>
    <row r="951" spans="1:75" ht="14.25" customHeight="1" x14ac:dyDescent="0.25">
      <c r="A951" s="1">
        <v>1580</v>
      </c>
      <c r="B951" s="1" t="s">
        <v>3960</v>
      </c>
      <c r="C951" s="1" t="s">
        <v>3961</v>
      </c>
      <c r="D951" s="1" t="s">
        <v>77</v>
      </c>
      <c r="E951" s="1" t="s">
        <v>2396</v>
      </c>
      <c r="F951" s="1" t="s">
        <v>3957</v>
      </c>
      <c r="G951" s="1" t="s">
        <v>118</v>
      </c>
      <c r="H951" s="2">
        <v>0</v>
      </c>
      <c r="I951" s="2">
        <v>0</v>
      </c>
      <c r="J951" s="2">
        <v>1</v>
      </c>
      <c r="K951" s="2">
        <v>1</v>
      </c>
      <c r="L951" s="3" t="s">
        <v>80</v>
      </c>
      <c r="O951" s="4">
        <v>4</v>
      </c>
      <c r="P951" s="4" t="s">
        <v>81</v>
      </c>
      <c r="Q951" s="4" t="s">
        <v>3962</v>
      </c>
      <c r="R951" s="5"/>
      <c r="S951" s="6"/>
      <c r="T951" s="17"/>
      <c r="U951" s="6"/>
      <c r="V951" s="4"/>
      <c r="W951" s="4"/>
      <c r="X951" s="4"/>
      <c r="Y951" s="7">
        <v>4</v>
      </c>
      <c r="Z951" s="8">
        <v>93125</v>
      </c>
      <c r="AA951" s="7" t="s">
        <v>92</v>
      </c>
      <c r="AB951" s="7"/>
      <c r="AC951" s="9">
        <v>4</v>
      </c>
      <c r="AD951" s="10">
        <v>93125</v>
      </c>
      <c r="AE951" s="9" t="s">
        <v>92</v>
      </c>
      <c r="AF951" s="9"/>
      <c r="AG951" s="11">
        <v>3</v>
      </c>
      <c r="AH951" s="11" t="s">
        <v>93</v>
      </c>
      <c r="AI951" s="11" t="s">
        <v>393</v>
      </c>
      <c r="AJ951" s="11"/>
      <c r="AK951" s="11"/>
      <c r="AL951" s="12">
        <v>3</v>
      </c>
      <c r="AM951" s="12" t="s">
        <v>93</v>
      </c>
      <c r="AN951" s="12" t="s">
        <v>3963</v>
      </c>
      <c r="AO951" s="12"/>
      <c r="AP951" s="12"/>
      <c r="AQ951" s="4">
        <v>4</v>
      </c>
      <c r="AR951" s="4" t="s">
        <v>83</v>
      </c>
      <c r="AS951" s="4"/>
      <c r="AT951" s="13"/>
      <c r="AU951" s="13"/>
      <c r="AV951" s="13"/>
      <c r="AW951" s="13"/>
      <c r="AX951" s="4"/>
      <c r="AY951" s="13"/>
      <c r="AZ951" s="13"/>
      <c r="BA951" s="13"/>
      <c r="BB951" s="13"/>
      <c r="BC951" s="4"/>
      <c r="BD951" s="4"/>
      <c r="BE951" s="4"/>
      <c r="BF951" s="13"/>
      <c r="BG951" s="4"/>
      <c r="BH951" s="13"/>
      <c r="BI951" s="13"/>
      <c r="BJ951" s="4"/>
      <c r="BK951" s="14">
        <v>15</v>
      </c>
      <c r="BL951" s="14">
        <v>15</v>
      </c>
      <c r="BM951" s="14">
        <v>15</v>
      </c>
      <c r="BN951" s="3" t="s">
        <v>86</v>
      </c>
      <c r="BP951" s="15"/>
      <c r="BQ951" s="15"/>
      <c r="BR951" s="2" t="s">
        <v>409</v>
      </c>
      <c r="BS951" s="2" t="s">
        <v>409</v>
      </c>
      <c r="BT951" s="7" t="s">
        <v>88</v>
      </c>
      <c r="BU951" s="7" t="s">
        <v>438</v>
      </c>
      <c r="BV951" s="9" t="s">
        <v>88</v>
      </c>
      <c r="BW951" s="9" t="s">
        <v>438</v>
      </c>
    </row>
    <row r="952" spans="1:75" ht="14.25" customHeight="1" x14ac:dyDescent="0.25">
      <c r="A952" s="1">
        <v>1581</v>
      </c>
      <c r="B952" s="1" t="s">
        <v>3964</v>
      </c>
      <c r="C952" s="1" t="s">
        <v>3965</v>
      </c>
      <c r="D952" s="1" t="s">
        <v>77</v>
      </c>
      <c r="E952" s="1" t="s">
        <v>2396</v>
      </c>
      <c r="F952" s="1" t="s">
        <v>3957</v>
      </c>
      <c r="G952" s="1" t="s">
        <v>118</v>
      </c>
      <c r="H952" s="2">
        <v>0</v>
      </c>
      <c r="I952" s="2">
        <v>0</v>
      </c>
      <c r="J952" s="2">
        <v>1</v>
      </c>
      <c r="K952" s="2">
        <v>1</v>
      </c>
      <c r="L952" s="3" t="s">
        <v>80</v>
      </c>
      <c r="O952" s="4">
        <v>5</v>
      </c>
      <c r="P952" s="4" t="s">
        <v>112</v>
      </c>
      <c r="Q952" s="4"/>
      <c r="R952" s="5"/>
      <c r="S952" s="6"/>
      <c r="T952" s="17"/>
      <c r="U952" s="6"/>
      <c r="V952" s="4"/>
      <c r="W952" s="4"/>
      <c r="X952" s="4"/>
      <c r="Y952" s="7">
        <v>4</v>
      </c>
      <c r="Z952" s="8">
        <v>146791</v>
      </c>
      <c r="AA952" s="7" t="s">
        <v>92</v>
      </c>
      <c r="AB952" s="7"/>
      <c r="AC952" s="9">
        <v>4</v>
      </c>
      <c r="AD952" s="10">
        <v>146791</v>
      </c>
      <c r="AE952" s="9" t="s">
        <v>92</v>
      </c>
      <c r="AF952" s="9"/>
      <c r="AG952" s="11">
        <v>4</v>
      </c>
      <c r="AH952" s="11" t="s">
        <v>93</v>
      </c>
      <c r="AI952" s="11"/>
      <c r="AJ952" s="11"/>
      <c r="AK952" s="11"/>
      <c r="AL952" s="12">
        <v>4</v>
      </c>
      <c r="AM952" s="12" t="s">
        <v>93</v>
      </c>
      <c r="AN952" s="12" t="s">
        <v>698</v>
      </c>
      <c r="AO952" s="12"/>
      <c r="AP952" s="12"/>
      <c r="AQ952" s="4">
        <v>4</v>
      </c>
      <c r="AR952" s="4" t="s">
        <v>83</v>
      </c>
      <c r="AS952" s="4" t="s">
        <v>3966</v>
      </c>
      <c r="AT952" s="13"/>
      <c r="AU952" s="13"/>
      <c r="AV952" s="13"/>
      <c r="AW952" s="13"/>
      <c r="AX952" s="4"/>
      <c r="AY952" s="13"/>
      <c r="AZ952" s="13"/>
      <c r="BA952" s="13"/>
      <c r="BB952" s="13"/>
      <c r="BC952" s="4"/>
      <c r="BD952" s="4"/>
      <c r="BE952" s="4"/>
      <c r="BF952" s="13"/>
      <c r="BG952" s="4"/>
      <c r="BH952" s="13"/>
      <c r="BI952" s="13"/>
      <c r="BJ952" s="4"/>
      <c r="BK952" s="14">
        <v>17</v>
      </c>
      <c r="BL952" s="14">
        <v>17</v>
      </c>
      <c r="BM952" s="14">
        <v>17</v>
      </c>
      <c r="BN952" s="3" t="s">
        <v>312</v>
      </c>
      <c r="BP952" s="15"/>
      <c r="BQ952" s="15"/>
      <c r="BR952" s="2" t="s">
        <v>115</v>
      </c>
      <c r="BS952" s="2" t="s">
        <v>115</v>
      </c>
      <c r="BT952" s="7" t="s">
        <v>109</v>
      </c>
      <c r="BU952" s="7"/>
      <c r="BV952" s="9" t="s">
        <v>109</v>
      </c>
      <c r="BW952" s="9"/>
    </row>
    <row r="953" spans="1:75" ht="14.25" customHeight="1" x14ac:dyDescent="0.25">
      <c r="A953" s="1">
        <v>1582</v>
      </c>
      <c r="B953" s="1" t="s">
        <v>3967</v>
      </c>
      <c r="C953" s="1" t="s">
        <v>3968</v>
      </c>
      <c r="D953" s="1" t="s">
        <v>77</v>
      </c>
      <c r="E953" s="1" t="s">
        <v>2396</v>
      </c>
      <c r="F953" s="1" t="s">
        <v>3957</v>
      </c>
      <c r="G953" s="1" t="s">
        <v>118</v>
      </c>
      <c r="H953" s="2">
        <v>1</v>
      </c>
      <c r="I953" s="2">
        <v>1</v>
      </c>
      <c r="J953" s="2">
        <v>1</v>
      </c>
      <c r="K953" s="2">
        <v>1</v>
      </c>
      <c r="L953" s="3" t="s">
        <v>127</v>
      </c>
      <c r="O953" s="4">
        <v>2</v>
      </c>
      <c r="P953" s="4" t="s">
        <v>424</v>
      </c>
      <c r="Q953" s="4"/>
      <c r="R953" s="16">
        <v>29000000</v>
      </c>
      <c r="S953" s="6">
        <v>29000000</v>
      </c>
      <c r="T953" s="16">
        <v>29000000</v>
      </c>
      <c r="U953" s="6">
        <v>29000000</v>
      </c>
      <c r="V953" s="4">
        <v>2010.5</v>
      </c>
      <c r="W953" s="4" t="s">
        <v>425</v>
      </c>
      <c r="X953" s="4"/>
      <c r="Y953" s="7">
        <v>1</v>
      </c>
      <c r="Z953" s="8">
        <v>6812629</v>
      </c>
      <c r="AA953" s="7" t="s">
        <v>92</v>
      </c>
      <c r="AB953" s="7"/>
      <c r="AC953" s="9">
        <v>2</v>
      </c>
      <c r="AD953" s="10">
        <v>1656048</v>
      </c>
      <c r="AE953" s="9" t="s">
        <v>92</v>
      </c>
      <c r="AF953" s="9"/>
      <c r="AG953" s="11">
        <v>2</v>
      </c>
      <c r="AH953" s="11" t="s">
        <v>131</v>
      </c>
      <c r="AI953" s="11" t="s">
        <v>3969</v>
      </c>
      <c r="AJ953" s="11">
        <v>2</v>
      </c>
      <c r="AK953" s="11" t="s">
        <v>132</v>
      </c>
      <c r="AL953" s="12">
        <v>3</v>
      </c>
      <c r="AM953" s="12" t="s">
        <v>131</v>
      </c>
      <c r="AN953" s="12" t="s">
        <v>3970</v>
      </c>
      <c r="AO953" s="12">
        <v>3</v>
      </c>
      <c r="AP953" s="12" t="s">
        <v>132</v>
      </c>
      <c r="AQ953" s="4">
        <v>1</v>
      </c>
      <c r="AR953" s="4" t="s">
        <v>133</v>
      </c>
      <c r="AS953" s="4"/>
      <c r="AT953" s="13">
        <v>4.6244959831237802</v>
      </c>
      <c r="AU953" s="13">
        <v>8.8697582483291598E-2</v>
      </c>
      <c r="AV953" s="13">
        <v>1.75999999046326E-2</v>
      </c>
      <c r="AW953" s="13">
        <v>0.18400000035762801</v>
      </c>
      <c r="AX953" s="4">
        <v>1</v>
      </c>
      <c r="AY953" s="13">
        <v>1.6609845161437999</v>
      </c>
      <c r="AZ953" s="13">
        <v>0.16481809318065599</v>
      </c>
      <c r="BA953" s="13">
        <v>-0.158601999282837</v>
      </c>
      <c r="BB953" s="13">
        <v>0.60799998044967696</v>
      </c>
      <c r="BC953" s="4"/>
      <c r="BD953" s="4">
        <v>10</v>
      </c>
      <c r="BE953" s="4" t="s">
        <v>134</v>
      </c>
      <c r="BF953" s="13">
        <v>0.16640000045299499</v>
      </c>
      <c r="BG953" s="4">
        <v>3122</v>
      </c>
      <c r="BH953" s="13">
        <v>2.16499996185303</v>
      </c>
      <c r="BI953" s="13">
        <v>6758.919921875</v>
      </c>
      <c r="BJ953" s="4"/>
      <c r="BK953" s="14">
        <v>6</v>
      </c>
      <c r="BL953" s="14">
        <v>8</v>
      </c>
      <c r="BM953" s="14">
        <v>8</v>
      </c>
      <c r="BP953" s="15" t="s">
        <v>135</v>
      </c>
      <c r="BQ953" s="15"/>
      <c r="BR953" s="2" t="s">
        <v>239</v>
      </c>
      <c r="BS953" s="2" t="s">
        <v>115</v>
      </c>
      <c r="BT953" s="7" t="s">
        <v>241</v>
      </c>
      <c r="BU953" s="7" t="s">
        <v>428</v>
      </c>
      <c r="BV953" s="9" t="s">
        <v>797</v>
      </c>
      <c r="BW953" s="9"/>
    </row>
    <row r="954" spans="1:75" ht="14.25" customHeight="1" x14ac:dyDescent="0.25">
      <c r="A954" s="1">
        <v>1588</v>
      </c>
      <c r="B954" s="1" t="s">
        <v>3971</v>
      </c>
      <c r="C954" s="1" t="s">
        <v>3972</v>
      </c>
      <c r="D954" s="1" t="s">
        <v>77</v>
      </c>
      <c r="E954" s="1" t="s">
        <v>2396</v>
      </c>
      <c r="F954" s="1" t="s">
        <v>3957</v>
      </c>
      <c r="G954" s="1"/>
      <c r="H954" s="2">
        <v>0</v>
      </c>
      <c r="I954" s="2">
        <v>1</v>
      </c>
      <c r="J954" s="2">
        <v>1</v>
      </c>
      <c r="K954" s="2">
        <v>0</v>
      </c>
      <c r="L954" s="3" t="s">
        <v>80</v>
      </c>
      <c r="O954" s="4">
        <v>3</v>
      </c>
      <c r="P954" s="4" t="s">
        <v>470</v>
      </c>
      <c r="Q954" s="4"/>
      <c r="R954" s="16">
        <v>3100000</v>
      </c>
      <c r="S954" s="6">
        <v>3100000</v>
      </c>
      <c r="T954" s="16">
        <v>1000000</v>
      </c>
      <c r="U954" s="6">
        <v>1000000</v>
      </c>
      <c r="V954" s="4">
        <v>2010.5</v>
      </c>
      <c r="W954" s="4" t="s">
        <v>425</v>
      </c>
      <c r="X954" s="4"/>
      <c r="Y954" s="7">
        <v>2</v>
      </c>
      <c r="Z954" s="8">
        <v>2015252</v>
      </c>
      <c r="AA954" s="7" t="s">
        <v>92</v>
      </c>
      <c r="AB954" s="7"/>
      <c r="AC954" s="9">
        <v>2</v>
      </c>
      <c r="AD954" s="10">
        <v>2015252</v>
      </c>
      <c r="AE954" s="9" t="s">
        <v>92</v>
      </c>
      <c r="AF954" s="9"/>
      <c r="AG954" s="11">
        <v>2</v>
      </c>
      <c r="AH954" s="11" t="s">
        <v>131</v>
      </c>
      <c r="AI954" s="11" t="s">
        <v>3973</v>
      </c>
      <c r="AJ954" s="11">
        <v>2</v>
      </c>
      <c r="AK954" s="11" t="s">
        <v>132</v>
      </c>
      <c r="AL954" s="12">
        <v>2</v>
      </c>
      <c r="AM954" s="12" t="s">
        <v>131</v>
      </c>
      <c r="AN954" s="12" t="s">
        <v>3974</v>
      </c>
      <c r="AO954" s="12">
        <v>2</v>
      </c>
      <c r="AP954" s="12" t="s">
        <v>143</v>
      </c>
      <c r="AQ954" s="4">
        <v>2</v>
      </c>
      <c r="AR954" s="4" t="s">
        <v>2190</v>
      </c>
      <c r="AS954" s="4"/>
      <c r="AT954" s="13"/>
      <c r="AU954" s="13"/>
      <c r="AV954" s="13"/>
      <c r="AW954" s="13"/>
      <c r="AX954" s="4"/>
      <c r="AY954" s="13"/>
      <c r="AZ954" s="13"/>
      <c r="BA954" s="13"/>
      <c r="BB954" s="13"/>
      <c r="BC954" s="4"/>
      <c r="BD954" s="4"/>
      <c r="BE954" s="4"/>
      <c r="BF954" s="13"/>
      <c r="BG954" s="4"/>
      <c r="BH954" s="13"/>
      <c r="BI954" s="13"/>
      <c r="BJ954" s="4"/>
      <c r="BK954" s="14">
        <v>9</v>
      </c>
      <c r="BL954" s="14">
        <v>9</v>
      </c>
      <c r="BM954" s="14">
        <v>9</v>
      </c>
      <c r="BP954" s="15" t="s">
        <v>135</v>
      </c>
      <c r="BQ954" s="15"/>
      <c r="BR954" s="2" t="s">
        <v>297</v>
      </c>
      <c r="BS954" s="2" t="s">
        <v>297</v>
      </c>
      <c r="BT954" s="7" t="s">
        <v>475</v>
      </c>
      <c r="BU954" s="7"/>
      <c r="BV954" s="9" t="s">
        <v>475</v>
      </c>
      <c r="BW954" s="9"/>
    </row>
    <row r="955" spans="1:75" ht="14.25" customHeight="1" x14ac:dyDescent="0.25">
      <c r="A955" s="1">
        <v>1589</v>
      </c>
      <c r="B955" s="1" t="s">
        <v>3975</v>
      </c>
      <c r="C955" s="1" t="s">
        <v>3976</v>
      </c>
      <c r="D955" s="1" t="s">
        <v>77</v>
      </c>
      <c r="E955" s="1" t="s">
        <v>2396</v>
      </c>
      <c r="F955" s="1" t="s">
        <v>3957</v>
      </c>
      <c r="G955" s="1"/>
      <c r="H955" s="2">
        <v>0</v>
      </c>
      <c r="I955" s="2">
        <v>0</v>
      </c>
      <c r="J955" s="2">
        <v>1</v>
      </c>
      <c r="K955" s="2">
        <v>0</v>
      </c>
      <c r="L955" s="3" t="s">
        <v>80</v>
      </c>
      <c r="O955" s="4">
        <v>5</v>
      </c>
      <c r="P955" s="4" t="s">
        <v>112</v>
      </c>
      <c r="Q955" s="4"/>
      <c r="R955" s="5"/>
      <c r="S955" s="6"/>
      <c r="T955" s="17"/>
      <c r="U955" s="6"/>
      <c r="V955" s="4"/>
      <c r="W955" s="4"/>
      <c r="X955" s="4"/>
      <c r="Y955" s="7">
        <v>4</v>
      </c>
      <c r="Z955" s="8">
        <v>111698</v>
      </c>
      <c r="AA955" s="7" t="s">
        <v>92</v>
      </c>
      <c r="AB955" s="7"/>
      <c r="AC955" s="9">
        <v>4</v>
      </c>
      <c r="AD955" s="10">
        <v>111698</v>
      </c>
      <c r="AE955" s="9" t="s">
        <v>92</v>
      </c>
      <c r="AF955" s="9"/>
      <c r="AG955" s="11">
        <v>3</v>
      </c>
      <c r="AH955" s="11" t="s">
        <v>93</v>
      </c>
      <c r="AI955" s="11"/>
      <c r="AJ955" s="11"/>
      <c r="AK955" s="11"/>
      <c r="AL955" s="12">
        <v>3</v>
      </c>
      <c r="AM955" s="12" t="s">
        <v>93</v>
      </c>
      <c r="AN955" s="12" t="s">
        <v>3977</v>
      </c>
      <c r="AO955" s="12"/>
      <c r="AP955" s="12"/>
      <c r="AQ955" s="4">
        <v>4</v>
      </c>
      <c r="AR955" s="4" t="s">
        <v>93</v>
      </c>
      <c r="AS955" s="4"/>
      <c r="AT955" s="13"/>
      <c r="AU955" s="13"/>
      <c r="AV955" s="13"/>
      <c r="AW955" s="13"/>
      <c r="AX955" s="4"/>
      <c r="AY955" s="13"/>
      <c r="AZ955" s="13"/>
      <c r="BA955" s="13"/>
      <c r="BB955" s="13"/>
      <c r="BC955" s="4"/>
      <c r="BD955" s="4"/>
      <c r="BE955" s="4"/>
      <c r="BF955" s="13"/>
      <c r="BG955" s="4"/>
      <c r="BH955" s="13"/>
      <c r="BI955" s="13"/>
      <c r="BJ955" s="4"/>
      <c r="BK955" s="14">
        <v>16</v>
      </c>
      <c r="BL955" s="14">
        <v>16</v>
      </c>
      <c r="BM955" s="14">
        <v>16</v>
      </c>
      <c r="BN955" s="3" t="s">
        <v>86</v>
      </c>
      <c r="BP955" s="15"/>
      <c r="BQ955" s="15"/>
      <c r="BR955" s="2" t="s">
        <v>409</v>
      </c>
      <c r="BS955" s="2" t="s">
        <v>409</v>
      </c>
      <c r="BT955" s="7" t="s">
        <v>475</v>
      </c>
      <c r="BU955" s="7" t="s">
        <v>438</v>
      </c>
      <c r="BV955" s="9" t="s">
        <v>475</v>
      </c>
      <c r="BW955" s="9" t="s">
        <v>438</v>
      </c>
    </row>
    <row r="956" spans="1:75" ht="14.25" customHeight="1" x14ac:dyDescent="0.25">
      <c r="A956" s="1">
        <v>1590</v>
      </c>
      <c r="B956" s="1" t="s">
        <v>3978</v>
      </c>
      <c r="C956" s="1" t="s">
        <v>3979</v>
      </c>
      <c r="D956" s="1" t="s">
        <v>77</v>
      </c>
      <c r="E956" s="1" t="s">
        <v>2396</v>
      </c>
      <c r="F956" s="1" t="s">
        <v>3957</v>
      </c>
      <c r="G956" s="1"/>
      <c r="H956" s="2">
        <v>1</v>
      </c>
      <c r="I956" s="2">
        <v>1</v>
      </c>
      <c r="J956" s="2">
        <v>0</v>
      </c>
      <c r="K956" s="2">
        <v>0</v>
      </c>
      <c r="L956" s="3" t="s">
        <v>127</v>
      </c>
      <c r="O956" s="4">
        <v>2</v>
      </c>
      <c r="P956" s="4" t="s">
        <v>531</v>
      </c>
      <c r="Q956" s="4"/>
      <c r="R956" s="16">
        <v>6200000</v>
      </c>
      <c r="S956" s="6">
        <v>6200000</v>
      </c>
      <c r="T956" s="16">
        <v>6200000</v>
      </c>
      <c r="U956" s="6">
        <v>6200000</v>
      </c>
      <c r="V956" s="4">
        <v>2010.5</v>
      </c>
      <c r="W956" s="4" t="s">
        <v>531</v>
      </c>
      <c r="X956" s="4"/>
      <c r="Y956" s="7">
        <v>1</v>
      </c>
      <c r="Z956" s="8">
        <v>5662789</v>
      </c>
      <c r="AA956" s="7" t="s">
        <v>92</v>
      </c>
      <c r="AB956" s="7"/>
      <c r="AC956" s="9">
        <v>2</v>
      </c>
      <c r="AD956" s="10">
        <v>1525235</v>
      </c>
      <c r="AE956" s="9" t="s">
        <v>92</v>
      </c>
      <c r="AF956" s="9"/>
      <c r="AG956" s="11">
        <v>4</v>
      </c>
      <c r="AH956" s="11" t="s">
        <v>131</v>
      </c>
      <c r="AI956" s="11" t="s">
        <v>3980</v>
      </c>
      <c r="AJ956" s="11">
        <v>5</v>
      </c>
      <c r="AK956" s="11" t="s">
        <v>132</v>
      </c>
      <c r="AL956" s="12">
        <v>3</v>
      </c>
      <c r="AM956" s="12" t="s">
        <v>131</v>
      </c>
      <c r="AN956" s="12" t="s">
        <v>3980</v>
      </c>
      <c r="AO956" s="12">
        <v>2</v>
      </c>
      <c r="AP956" s="12" t="s">
        <v>332</v>
      </c>
      <c r="AQ956" s="4">
        <v>4</v>
      </c>
      <c r="AR956" s="4" t="s">
        <v>133</v>
      </c>
      <c r="AS956" s="4"/>
      <c r="AT956" s="13">
        <v>-40.922565460205099</v>
      </c>
      <c r="AU956" s="13">
        <v>-1.02664411067963</v>
      </c>
      <c r="AV956" s="13">
        <v>-1.21000003814697</v>
      </c>
      <c r="AW956" s="13">
        <v>-0.87630200386047397</v>
      </c>
      <c r="AX956" s="4">
        <v>1</v>
      </c>
      <c r="AY956" s="13">
        <v>-8.98760890960693</v>
      </c>
      <c r="AZ956" s="13">
        <v>-0.93461078405380205</v>
      </c>
      <c r="BA956" s="13">
        <v>-1.58000004291534</v>
      </c>
      <c r="BB956" s="13">
        <v>-0.40770199894905101</v>
      </c>
      <c r="BC956" s="4">
        <v>1</v>
      </c>
      <c r="BD956" s="4">
        <v>10</v>
      </c>
      <c r="BE956" s="4" t="s">
        <v>134</v>
      </c>
      <c r="BF956" s="13">
        <v>0.33369800448417702</v>
      </c>
      <c r="BG956" s="4">
        <v>2918</v>
      </c>
      <c r="BH956" s="13">
        <v>2.7149999141693102</v>
      </c>
      <c r="BI956" s="13">
        <v>7922.365234375</v>
      </c>
      <c r="BJ956" s="4"/>
      <c r="BK956" s="14">
        <v>11</v>
      </c>
      <c r="BL956" s="14">
        <v>11</v>
      </c>
      <c r="BM956" s="14">
        <v>11</v>
      </c>
      <c r="BP956" s="15"/>
      <c r="BQ956" s="15"/>
      <c r="BR956" s="2" t="s">
        <v>239</v>
      </c>
      <c r="BS956" s="2" t="s">
        <v>239</v>
      </c>
      <c r="BT956" s="7" t="s">
        <v>241</v>
      </c>
      <c r="BU956" s="7"/>
      <c r="BV956" s="9" t="s">
        <v>241</v>
      </c>
      <c r="BW956" s="9"/>
    </row>
    <row r="957" spans="1:75" ht="14.25" customHeight="1" x14ac:dyDescent="0.25">
      <c r="A957" s="1">
        <v>1591</v>
      </c>
      <c r="B957" s="1" t="s">
        <v>3981</v>
      </c>
      <c r="C957" s="1" t="s">
        <v>3982</v>
      </c>
      <c r="D957" s="1" t="s">
        <v>77</v>
      </c>
      <c r="E957" s="1" t="s">
        <v>2396</v>
      </c>
      <c r="F957" s="1" t="s">
        <v>3957</v>
      </c>
      <c r="G957" s="1"/>
      <c r="H957" s="2">
        <v>0</v>
      </c>
      <c r="I957" s="2">
        <v>1</v>
      </c>
      <c r="J957" s="2">
        <v>1</v>
      </c>
      <c r="K957" s="2">
        <v>0</v>
      </c>
      <c r="L957" s="3" t="s">
        <v>80</v>
      </c>
      <c r="O957" s="4">
        <v>4</v>
      </c>
      <c r="P957" s="4" t="s">
        <v>470</v>
      </c>
      <c r="Q957" s="4"/>
      <c r="R957" s="16">
        <v>280000</v>
      </c>
      <c r="S957" s="6">
        <v>280000</v>
      </c>
      <c r="T957" s="16">
        <v>96000</v>
      </c>
      <c r="U957" s="6">
        <v>96000</v>
      </c>
      <c r="V957" s="4">
        <v>2010.5</v>
      </c>
      <c r="W957" s="4" t="s">
        <v>425</v>
      </c>
      <c r="X957" s="4"/>
      <c r="Y957" s="7">
        <v>4</v>
      </c>
      <c r="Z957" s="8">
        <v>298906</v>
      </c>
      <c r="AA957" s="7" t="s">
        <v>92</v>
      </c>
      <c r="AB957" s="7"/>
      <c r="AC957" s="9">
        <v>4</v>
      </c>
      <c r="AD957" s="10">
        <v>298906</v>
      </c>
      <c r="AE957" s="9" t="s">
        <v>92</v>
      </c>
      <c r="AF957" s="9"/>
      <c r="AG957" s="11">
        <v>2</v>
      </c>
      <c r="AH957" s="11" t="s">
        <v>131</v>
      </c>
      <c r="AI957" s="11"/>
      <c r="AJ957" s="11">
        <v>2</v>
      </c>
      <c r="AK957" s="11" t="s">
        <v>143</v>
      </c>
      <c r="AL957" s="12">
        <v>3</v>
      </c>
      <c r="AM957" s="12" t="s">
        <v>131</v>
      </c>
      <c r="AN957" s="12" t="s">
        <v>3983</v>
      </c>
      <c r="AO957" s="12">
        <v>3</v>
      </c>
      <c r="AP957" s="12" t="s">
        <v>132</v>
      </c>
      <c r="AQ957" s="4">
        <v>1</v>
      </c>
      <c r="AR957" s="4" t="s">
        <v>133</v>
      </c>
      <c r="AS957" s="4" t="s">
        <v>3984</v>
      </c>
      <c r="AT957" s="13">
        <v>858.64056396484398</v>
      </c>
      <c r="AU957" s="13">
        <v>4.5327305793762198</v>
      </c>
      <c r="AV957" s="13">
        <v>2.9400000572204599</v>
      </c>
      <c r="AW957" s="13">
        <v>6.1241979598998997</v>
      </c>
      <c r="AX957" s="4">
        <v>1</v>
      </c>
      <c r="AY957" s="13">
        <v>-0.29454970359802202</v>
      </c>
      <c r="AZ957" s="13">
        <v>-2.96247396618128E-2</v>
      </c>
      <c r="BA957" s="13">
        <v>-3.7599999904632599</v>
      </c>
      <c r="BB957" s="13">
        <v>3.92359495162964</v>
      </c>
      <c r="BC957" s="4"/>
      <c r="BD957" s="4">
        <v>10</v>
      </c>
      <c r="BE957" s="4" t="s">
        <v>134</v>
      </c>
      <c r="BF957" s="13">
        <v>3.1841979026794398</v>
      </c>
      <c r="BG957" s="4">
        <v>43</v>
      </c>
      <c r="BH957" s="13">
        <v>0.22849999368190799</v>
      </c>
      <c r="BI957" s="13">
        <v>9.6284999847412092</v>
      </c>
      <c r="BJ957" s="4"/>
      <c r="BK957" s="14">
        <v>11</v>
      </c>
      <c r="BL957" s="14">
        <v>12</v>
      </c>
      <c r="BM957" s="14">
        <v>12</v>
      </c>
      <c r="BP957" s="15"/>
      <c r="BQ957" s="15"/>
      <c r="BR957" s="2" t="s">
        <v>115</v>
      </c>
      <c r="BS957" s="2" t="s">
        <v>115</v>
      </c>
      <c r="BT957" s="7" t="s">
        <v>109</v>
      </c>
      <c r="BU957" s="7"/>
      <c r="BV957" s="9" t="s">
        <v>109</v>
      </c>
      <c r="BW957" s="9"/>
    </row>
    <row r="958" spans="1:75" ht="14.25" customHeight="1" x14ac:dyDescent="0.25">
      <c r="A958" s="1">
        <v>1592</v>
      </c>
      <c r="B958" s="1" t="s">
        <v>3985</v>
      </c>
      <c r="C958" s="1" t="s">
        <v>3986</v>
      </c>
      <c r="D958" s="1" t="s">
        <v>77</v>
      </c>
      <c r="E958" s="1" t="s">
        <v>2396</v>
      </c>
      <c r="F958" s="1" t="s">
        <v>3957</v>
      </c>
      <c r="G958" s="1" t="s">
        <v>118</v>
      </c>
      <c r="H958" s="2">
        <v>0</v>
      </c>
      <c r="I958" s="2">
        <v>0</v>
      </c>
      <c r="J958" s="2">
        <v>1</v>
      </c>
      <c r="K958" s="2">
        <v>0</v>
      </c>
      <c r="L958" s="3" t="s">
        <v>80</v>
      </c>
      <c r="O958" s="4">
        <v>5</v>
      </c>
      <c r="P958" s="4" t="s">
        <v>112</v>
      </c>
      <c r="Q958" s="4"/>
      <c r="R958" s="5"/>
      <c r="S958" s="6"/>
      <c r="T958" s="17"/>
      <c r="U958" s="6"/>
      <c r="V958" s="4"/>
      <c r="W958" s="4"/>
      <c r="X958" s="4"/>
      <c r="Y958" s="7">
        <v>5</v>
      </c>
      <c r="Z958" s="8">
        <v>489</v>
      </c>
      <c r="AA958" s="7" t="s">
        <v>92</v>
      </c>
      <c r="AB958" s="7"/>
      <c r="AC958" s="9">
        <v>5</v>
      </c>
      <c r="AD958" s="10">
        <v>489</v>
      </c>
      <c r="AE958" s="9" t="s">
        <v>92</v>
      </c>
      <c r="AF958" s="9"/>
      <c r="AG958" s="11">
        <v>5</v>
      </c>
      <c r="AH958" s="11" t="s">
        <v>93</v>
      </c>
      <c r="AI958" s="11"/>
      <c r="AJ958" s="11"/>
      <c r="AK958" s="11"/>
      <c r="AL958" s="12">
        <v>5</v>
      </c>
      <c r="AM958" s="12" t="s">
        <v>93</v>
      </c>
      <c r="AN958" s="12" t="s">
        <v>3987</v>
      </c>
      <c r="AO958" s="12"/>
      <c r="AP958" s="12"/>
      <c r="AQ958" s="4">
        <v>5</v>
      </c>
      <c r="AR958" s="4" t="s">
        <v>93</v>
      </c>
      <c r="AS958" s="4"/>
      <c r="AT958" s="13"/>
      <c r="AU958" s="13"/>
      <c r="AV958" s="13"/>
      <c r="AW958" s="13"/>
      <c r="AX958" s="4"/>
      <c r="AY958" s="13"/>
      <c r="AZ958" s="13"/>
      <c r="BA958" s="13"/>
      <c r="BB958" s="13"/>
      <c r="BC958" s="4"/>
      <c r="BD958" s="4"/>
      <c r="BE958" s="4"/>
      <c r="BF958" s="13"/>
      <c r="BG958" s="4"/>
      <c r="BH958" s="13"/>
      <c r="BI958" s="13"/>
      <c r="BJ958" s="4"/>
      <c r="BK958" s="14">
        <v>20</v>
      </c>
      <c r="BL958" s="14">
        <v>20</v>
      </c>
      <c r="BM958" s="14">
        <v>20</v>
      </c>
      <c r="BN958" s="3" t="s">
        <v>312</v>
      </c>
      <c r="BO958" s="3" t="s">
        <v>899</v>
      </c>
      <c r="BP958" s="15"/>
      <c r="BQ958" s="15"/>
      <c r="BR958" s="2" t="s">
        <v>115</v>
      </c>
      <c r="BS958" s="2" t="s">
        <v>115</v>
      </c>
      <c r="BT958" s="7" t="s">
        <v>109</v>
      </c>
      <c r="BU958" s="7"/>
      <c r="BV958" s="9" t="s">
        <v>109</v>
      </c>
      <c r="BW958" s="9"/>
    </row>
    <row r="959" spans="1:75" ht="14.25" customHeight="1" x14ac:dyDescent="0.25">
      <c r="A959" s="1">
        <v>1593</v>
      </c>
      <c r="B959" s="1" t="s">
        <v>3988</v>
      </c>
      <c r="C959" s="1" t="s">
        <v>3989</v>
      </c>
      <c r="D959" s="1" t="s">
        <v>77</v>
      </c>
      <c r="E959" s="1" t="s">
        <v>2396</v>
      </c>
      <c r="F959" s="1" t="s">
        <v>3957</v>
      </c>
      <c r="G959" s="1" t="s">
        <v>118</v>
      </c>
      <c r="H959" s="2">
        <v>0</v>
      </c>
      <c r="I959" s="2">
        <v>1</v>
      </c>
      <c r="J959" s="2">
        <v>1</v>
      </c>
      <c r="K959" s="2">
        <v>0</v>
      </c>
      <c r="L959" s="3" t="s">
        <v>127</v>
      </c>
      <c r="O959" s="4">
        <v>4</v>
      </c>
      <c r="P959" s="4" t="s">
        <v>424</v>
      </c>
      <c r="Q959" s="4"/>
      <c r="R959" s="16">
        <v>83000</v>
      </c>
      <c r="S959" s="6">
        <v>83000</v>
      </c>
      <c r="T959" s="16">
        <v>56000</v>
      </c>
      <c r="U959" s="6">
        <v>56000</v>
      </c>
      <c r="V959" s="4">
        <v>2010.5</v>
      </c>
      <c r="W959" s="4" t="s">
        <v>425</v>
      </c>
      <c r="X959" s="4"/>
      <c r="Y959" s="7">
        <v>3</v>
      </c>
      <c r="Z959" s="8">
        <v>774912</v>
      </c>
      <c r="AA959" s="7" t="s">
        <v>92</v>
      </c>
      <c r="AB959" s="7"/>
      <c r="AC959" s="9">
        <v>4</v>
      </c>
      <c r="AD959" s="10">
        <v>284153</v>
      </c>
      <c r="AE959" s="9" t="s">
        <v>92</v>
      </c>
      <c r="AF959" s="9"/>
      <c r="AG959" s="11">
        <v>4</v>
      </c>
      <c r="AH959" s="11" t="s">
        <v>800</v>
      </c>
      <c r="AI959" s="11" t="s">
        <v>3990</v>
      </c>
      <c r="AJ959" s="11">
        <v>2</v>
      </c>
      <c r="AK959" s="11" t="s">
        <v>143</v>
      </c>
      <c r="AL959" s="12">
        <v>3</v>
      </c>
      <c r="AM959" s="12" t="s">
        <v>131</v>
      </c>
      <c r="AN959" s="12" t="s">
        <v>3991</v>
      </c>
      <c r="AO959" s="12">
        <v>1</v>
      </c>
      <c r="AP959" s="12" t="s">
        <v>132</v>
      </c>
      <c r="AQ959" s="4">
        <v>5</v>
      </c>
      <c r="AR959" s="4" t="s">
        <v>133</v>
      </c>
      <c r="AS959" s="4"/>
      <c r="AT959" s="13">
        <v>-86.322479248046903</v>
      </c>
      <c r="AU959" s="13">
        <v>-3.82704877853394</v>
      </c>
      <c r="AV959" s="13">
        <v>-5.5500001907348597</v>
      </c>
      <c r="AW959" s="13">
        <v>-2.3548009395599401</v>
      </c>
      <c r="AX959" s="4">
        <v>1</v>
      </c>
      <c r="AY959" s="13">
        <v>-1.4436628818512001</v>
      </c>
      <c r="AZ959" s="13">
        <v>-0.14529123902320901</v>
      </c>
      <c r="BA959" s="13">
        <v>-3.54830002784729</v>
      </c>
      <c r="BB959" s="13">
        <v>3.4200000762939502</v>
      </c>
      <c r="BC959" s="4"/>
      <c r="BD959" s="4">
        <v>10</v>
      </c>
      <c r="BE959" s="4" t="s">
        <v>134</v>
      </c>
      <c r="BF959" s="13">
        <v>3.1951990127563499</v>
      </c>
      <c r="BG959" s="4">
        <v>84.5</v>
      </c>
      <c r="BH959" s="13">
        <v>0.29899999499321001</v>
      </c>
      <c r="BI959" s="13">
        <v>25.274999618530298</v>
      </c>
      <c r="BJ959" s="4"/>
      <c r="BK959" s="14">
        <v>16</v>
      </c>
      <c r="BL959" s="14">
        <v>16</v>
      </c>
      <c r="BM959" s="14">
        <v>16</v>
      </c>
      <c r="BN959" s="3" t="s">
        <v>312</v>
      </c>
      <c r="BO959" s="3" t="s">
        <v>114</v>
      </c>
      <c r="BP959" s="15"/>
      <c r="BQ959" s="15" t="s">
        <v>136</v>
      </c>
      <c r="BR959" s="2" t="s">
        <v>297</v>
      </c>
      <c r="BS959" s="2" t="s">
        <v>297</v>
      </c>
      <c r="BT959" s="7" t="s">
        <v>475</v>
      </c>
      <c r="BU959" s="7"/>
      <c r="BV959" s="9" t="s">
        <v>475</v>
      </c>
      <c r="BW959" s="9"/>
    </row>
    <row r="960" spans="1:75" ht="14.25" customHeight="1" x14ac:dyDescent="0.25">
      <c r="A960" s="1">
        <v>1645</v>
      </c>
      <c r="B960" s="1" t="s">
        <v>3992</v>
      </c>
      <c r="C960" s="1" t="s">
        <v>3993</v>
      </c>
      <c r="D960" s="1" t="s">
        <v>77</v>
      </c>
      <c r="E960" s="1" t="s">
        <v>2396</v>
      </c>
      <c r="F960" s="1" t="s">
        <v>3994</v>
      </c>
      <c r="G960" s="1"/>
      <c r="H960" s="2">
        <v>0</v>
      </c>
      <c r="I960" s="2">
        <v>0</v>
      </c>
      <c r="J960" s="2">
        <v>1</v>
      </c>
      <c r="K960" s="2">
        <v>1</v>
      </c>
      <c r="L960" s="3" t="s">
        <v>80</v>
      </c>
      <c r="O960" s="4">
        <v>4</v>
      </c>
      <c r="P960" s="4" t="s">
        <v>112</v>
      </c>
      <c r="Q960" s="4"/>
      <c r="R960" s="5"/>
      <c r="S960" s="6"/>
      <c r="T960" s="17"/>
      <c r="U960" s="6"/>
      <c r="V960" s="4"/>
      <c r="W960" s="4"/>
      <c r="X960" s="4"/>
      <c r="Y960" s="7">
        <v>4</v>
      </c>
      <c r="Z960" s="8">
        <v>119727</v>
      </c>
      <c r="AA960" s="7" t="s">
        <v>92</v>
      </c>
      <c r="AB960" s="7"/>
      <c r="AC960" s="9">
        <v>4</v>
      </c>
      <c r="AD960" s="10">
        <v>119727</v>
      </c>
      <c r="AE960" s="9" t="s">
        <v>92</v>
      </c>
      <c r="AF960" s="9"/>
      <c r="AG960" s="11">
        <v>4</v>
      </c>
      <c r="AH960" s="11" t="s">
        <v>93</v>
      </c>
      <c r="AI960" s="11"/>
      <c r="AJ960" s="11"/>
      <c r="AK960" s="11"/>
      <c r="AL960" s="12">
        <v>4</v>
      </c>
      <c r="AM960" s="12" t="s">
        <v>93</v>
      </c>
      <c r="AN960" s="12" t="s">
        <v>3995</v>
      </c>
      <c r="AO960" s="12"/>
      <c r="AP960" s="12"/>
      <c r="AQ960" s="4">
        <v>4</v>
      </c>
      <c r="AR960" s="4" t="s">
        <v>83</v>
      </c>
      <c r="AS960" s="4"/>
      <c r="AT960" s="13"/>
      <c r="AU960" s="13"/>
      <c r="AV960" s="13"/>
      <c r="AW960" s="13"/>
      <c r="AX960" s="4"/>
      <c r="AY960" s="13"/>
      <c r="AZ960" s="13"/>
      <c r="BA960" s="13"/>
      <c r="BB960" s="13"/>
      <c r="BC960" s="4"/>
      <c r="BD960" s="4"/>
      <c r="BE960" s="4"/>
      <c r="BF960" s="13"/>
      <c r="BG960" s="4"/>
      <c r="BH960" s="13"/>
      <c r="BI960" s="13"/>
      <c r="BJ960" s="4"/>
      <c r="BK960" s="14">
        <v>16</v>
      </c>
      <c r="BL960" s="14">
        <v>16</v>
      </c>
      <c r="BM960" s="14">
        <v>16</v>
      </c>
      <c r="BN960" s="3" t="s">
        <v>86</v>
      </c>
      <c r="BP960" s="15"/>
      <c r="BQ960" s="15"/>
      <c r="BR960" s="2" t="s">
        <v>87</v>
      </c>
      <c r="BS960" s="2" t="s">
        <v>87</v>
      </c>
      <c r="BT960" s="7" t="s">
        <v>88</v>
      </c>
      <c r="BU960" s="7"/>
      <c r="BV960" s="9" t="s">
        <v>88</v>
      </c>
      <c r="BW960" s="9"/>
    </row>
    <row r="961" spans="1:75" ht="14.25" customHeight="1" x14ac:dyDescent="0.25">
      <c r="A961" s="1">
        <v>1647</v>
      </c>
      <c r="B961" s="1" t="s">
        <v>3996</v>
      </c>
      <c r="C961" s="1" t="s">
        <v>3997</v>
      </c>
      <c r="D961" s="1" t="s">
        <v>77</v>
      </c>
      <c r="E961" s="1" t="s">
        <v>2396</v>
      </c>
      <c r="F961" s="1" t="s">
        <v>3994</v>
      </c>
      <c r="G961" s="1"/>
      <c r="H961" s="2">
        <v>0</v>
      </c>
      <c r="I961" s="2">
        <v>0</v>
      </c>
      <c r="J961" s="2">
        <v>0</v>
      </c>
      <c r="K961" s="2">
        <v>1</v>
      </c>
      <c r="L961" s="3" t="s">
        <v>80</v>
      </c>
      <c r="O961" s="4">
        <v>3</v>
      </c>
      <c r="P961" s="4" t="s">
        <v>81</v>
      </c>
      <c r="Q961" s="4"/>
      <c r="R961" s="5"/>
      <c r="S961" s="6"/>
      <c r="T961" s="17"/>
      <c r="U961" s="6"/>
      <c r="V961" s="4"/>
      <c r="W961" s="4"/>
      <c r="X961" s="4"/>
      <c r="Y961" s="7">
        <v>4</v>
      </c>
      <c r="Z961" s="8">
        <v>118120</v>
      </c>
      <c r="AA961" s="7" t="s">
        <v>82</v>
      </c>
      <c r="AB961" s="7"/>
      <c r="AC961" s="9">
        <v>4</v>
      </c>
      <c r="AD961" s="10">
        <v>118120</v>
      </c>
      <c r="AE961" s="9" t="s">
        <v>82</v>
      </c>
      <c r="AF961" s="9"/>
      <c r="AG961" s="11">
        <v>3</v>
      </c>
      <c r="AH961" s="11" t="s">
        <v>83</v>
      </c>
      <c r="AI961" s="11"/>
      <c r="AJ961" s="11"/>
      <c r="AK961" s="11"/>
      <c r="AL961" s="12">
        <v>3</v>
      </c>
      <c r="AM961" s="12" t="s">
        <v>83</v>
      </c>
      <c r="AN961" s="12"/>
      <c r="AO961" s="12"/>
      <c r="AP961" s="12"/>
      <c r="AQ961" s="4">
        <v>4</v>
      </c>
      <c r="AR961" s="4" t="s">
        <v>83</v>
      </c>
      <c r="AS961" s="4"/>
      <c r="AT961" s="13"/>
      <c r="AU961" s="13"/>
      <c r="AV961" s="13"/>
      <c r="AW961" s="13"/>
      <c r="AX961" s="4"/>
      <c r="AY961" s="13"/>
      <c r="AZ961" s="13"/>
      <c r="BA961" s="13"/>
      <c r="BB961" s="13"/>
      <c r="BC961" s="4"/>
      <c r="BD961" s="4"/>
      <c r="BE961" s="4"/>
      <c r="BF961" s="13"/>
      <c r="BG961" s="4"/>
      <c r="BH961" s="13"/>
      <c r="BI961" s="13"/>
      <c r="BJ961" s="4"/>
      <c r="BK961" s="14">
        <v>14</v>
      </c>
      <c r="BL961" s="14">
        <v>14</v>
      </c>
      <c r="BM961" s="14">
        <v>14</v>
      </c>
      <c r="BN961" s="3" t="s">
        <v>86</v>
      </c>
      <c r="BP961" s="15"/>
      <c r="BQ961" s="15"/>
      <c r="BR961" s="2" t="s">
        <v>87</v>
      </c>
      <c r="BS961" s="2" t="s">
        <v>87</v>
      </c>
      <c r="BT961" s="7" t="s">
        <v>88</v>
      </c>
      <c r="BU961" s="7"/>
      <c r="BV961" s="9" t="s">
        <v>88</v>
      </c>
      <c r="BW961" s="9"/>
    </row>
    <row r="962" spans="1:75" ht="14.25" customHeight="1" x14ac:dyDescent="0.25">
      <c r="A962" s="1">
        <v>1648</v>
      </c>
      <c r="B962" s="1" t="s">
        <v>3998</v>
      </c>
      <c r="C962" s="1" t="s">
        <v>3999</v>
      </c>
      <c r="D962" s="1" t="s">
        <v>77</v>
      </c>
      <c r="E962" s="1" t="s">
        <v>2396</v>
      </c>
      <c r="F962" s="1" t="s">
        <v>3994</v>
      </c>
      <c r="G962" s="1"/>
      <c r="H962" s="2">
        <v>0</v>
      </c>
      <c r="I962" s="2">
        <v>1</v>
      </c>
      <c r="J962" s="2">
        <v>1</v>
      </c>
      <c r="K962" s="2">
        <v>1</v>
      </c>
      <c r="L962" s="3" t="s">
        <v>80</v>
      </c>
      <c r="O962" s="4">
        <v>2</v>
      </c>
      <c r="P962" s="4" t="s">
        <v>706</v>
      </c>
      <c r="Q962" s="4"/>
      <c r="R962" s="16">
        <v>20000000</v>
      </c>
      <c r="S962" s="6">
        <v>20000000</v>
      </c>
      <c r="T962" s="17" t="s">
        <v>795</v>
      </c>
      <c r="U962" s="6">
        <v>5000</v>
      </c>
      <c r="V962" s="4"/>
      <c r="W962" s="4" t="s">
        <v>543</v>
      </c>
      <c r="X962" s="4" t="s">
        <v>4000</v>
      </c>
      <c r="Y962" s="7">
        <v>2</v>
      </c>
      <c r="Z962" s="8">
        <v>1062491</v>
      </c>
      <c r="AA962" s="7" t="s">
        <v>92</v>
      </c>
      <c r="AB962" s="7"/>
      <c r="AC962" s="9">
        <v>2</v>
      </c>
      <c r="AD962" s="10">
        <v>1062491</v>
      </c>
      <c r="AE962" s="9" t="s">
        <v>92</v>
      </c>
      <c r="AF962" s="9"/>
      <c r="AG962" s="11">
        <v>2</v>
      </c>
      <c r="AH962" s="11" t="s">
        <v>271</v>
      </c>
      <c r="AI962" s="11"/>
      <c r="AJ962" s="11"/>
      <c r="AK962" s="11"/>
      <c r="AL962" s="12">
        <v>2</v>
      </c>
      <c r="AM962" s="12" t="s">
        <v>271</v>
      </c>
      <c r="AN962" s="12" t="s">
        <v>394</v>
      </c>
      <c r="AO962" s="12"/>
      <c r="AP962" s="12"/>
      <c r="AQ962" s="4">
        <v>2</v>
      </c>
      <c r="AR962" s="4" t="s">
        <v>93</v>
      </c>
      <c r="AS962" s="4"/>
      <c r="AT962" s="13"/>
      <c r="AU962" s="13"/>
      <c r="AV962" s="13"/>
      <c r="AW962" s="13"/>
      <c r="AX962" s="4"/>
      <c r="AY962" s="13"/>
      <c r="AZ962" s="13"/>
      <c r="BA962" s="13"/>
      <c r="BB962" s="13"/>
      <c r="BC962" s="4"/>
      <c r="BD962" s="4"/>
      <c r="BE962" s="4"/>
      <c r="BF962" s="13"/>
      <c r="BG962" s="4"/>
      <c r="BH962" s="13"/>
      <c r="BI962" s="13"/>
      <c r="BJ962" s="4"/>
      <c r="BK962" s="14">
        <v>8</v>
      </c>
      <c r="BL962" s="14">
        <v>8</v>
      </c>
      <c r="BM962" s="14">
        <v>8</v>
      </c>
      <c r="BP962" s="15" t="s">
        <v>135</v>
      </c>
      <c r="BQ962" s="15"/>
      <c r="BR962" s="2" t="s">
        <v>400</v>
      </c>
      <c r="BS962" s="2" t="s">
        <v>400</v>
      </c>
      <c r="BT962" s="7" t="s">
        <v>458</v>
      </c>
      <c r="BU962" s="7" t="s">
        <v>603</v>
      </c>
      <c r="BV962" s="9" t="s">
        <v>458</v>
      </c>
      <c r="BW962" s="9" t="s">
        <v>603</v>
      </c>
    </row>
    <row r="963" spans="1:75" ht="14.25" customHeight="1" x14ac:dyDescent="0.25">
      <c r="A963" s="1">
        <v>1651</v>
      </c>
      <c r="B963" s="1" t="s">
        <v>4001</v>
      </c>
      <c r="C963" s="1" t="s">
        <v>4002</v>
      </c>
      <c r="D963" s="1" t="s">
        <v>77</v>
      </c>
      <c r="E963" s="1" t="s">
        <v>2396</v>
      </c>
      <c r="F963" s="1" t="s">
        <v>3994</v>
      </c>
      <c r="G963" s="1"/>
      <c r="H963" s="2">
        <v>0</v>
      </c>
      <c r="I963" s="2">
        <v>0</v>
      </c>
      <c r="J963" s="2">
        <v>1</v>
      </c>
      <c r="K963" s="2">
        <v>1</v>
      </c>
      <c r="L963" s="3" t="s">
        <v>80</v>
      </c>
      <c r="O963" s="4">
        <v>3</v>
      </c>
      <c r="P963" s="4" t="s">
        <v>112</v>
      </c>
      <c r="Q963" s="4"/>
      <c r="R963" s="5"/>
      <c r="S963" s="6"/>
      <c r="T963" s="17"/>
      <c r="U963" s="6"/>
      <c r="V963" s="4"/>
      <c r="W963" s="4"/>
      <c r="X963" s="4"/>
      <c r="Y963" s="7">
        <v>3</v>
      </c>
      <c r="Z963" s="8">
        <v>645847</v>
      </c>
      <c r="AA963" s="7" t="s">
        <v>92</v>
      </c>
      <c r="AB963" s="7"/>
      <c r="AC963" s="9">
        <v>3</v>
      </c>
      <c r="AD963" s="10">
        <v>645847</v>
      </c>
      <c r="AE963" s="9" t="s">
        <v>92</v>
      </c>
      <c r="AF963" s="9"/>
      <c r="AG963" s="11">
        <v>3</v>
      </c>
      <c r="AH963" s="11" t="s">
        <v>93</v>
      </c>
      <c r="AI963" s="11"/>
      <c r="AJ963" s="11"/>
      <c r="AK963" s="11"/>
      <c r="AL963" s="12">
        <v>3</v>
      </c>
      <c r="AM963" s="12" t="s">
        <v>93</v>
      </c>
      <c r="AN963" s="12" t="s">
        <v>698</v>
      </c>
      <c r="AO963" s="12"/>
      <c r="AP963" s="12"/>
      <c r="AQ963" s="4">
        <v>4</v>
      </c>
      <c r="AR963" s="4" t="s">
        <v>83</v>
      </c>
      <c r="AS963" s="4"/>
      <c r="AT963" s="13"/>
      <c r="AU963" s="13"/>
      <c r="AV963" s="13"/>
      <c r="AW963" s="13"/>
      <c r="AX963" s="4"/>
      <c r="AY963" s="13"/>
      <c r="AZ963" s="13"/>
      <c r="BA963" s="13"/>
      <c r="BB963" s="13"/>
      <c r="BC963" s="4"/>
      <c r="BD963" s="4"/>
      <c r="BE963" s="4"/>
      <c r="BF963" s="13"/>
      <c r="BG963" s="4"/>
      <c r="BH963" s="13"/>
      <c r="BI963" s="13"/>
      <c r="BJ963" s="4"/>
      <c r="BK963" s="14">
        <v>13</v>
      </c>
      <c r="BL963" s="14">
        <v>13</v>
      </c>
      <c r="BM963" s="14">
        <v>13</v>
      </c>
      <c r="BP963" s="15"/>
      <c r="BQ963" s="15"/>
      <c r="BR963" s="2" t="s">
        <v>400</v>
      </c>
      <c r="BS963" s="2" t="s">
        <v>400</v>
      </c>
      <c r="BT963" s="7" t="s">
        <v>797</v>
      </c>
      <c r="BU963" s="7"/>
      <c r="BV963" s="9" t="s">
        <v>797</v>
      </c>
      <c r="BW963" s="9"/>
    </row>
    <row r="964" spans="1:75" ht="14.25" customHeight="1" x14ac:dyDescent="0.25">
      <c r="A964" s="1">
        <v>1652</v>
      </c>
      <c r="B964" s="1" t="s">
        <v>4003</v>
      </c>
      <c r="C964" s="1" t="s">
        <v>4004</v>
      </c>
      <c r="D964" s="1" t="s">
        <v>77</v>
      </c>
      <c r="E964" s="1" t="s">
        <v>2396</v>
      </c>
      <c r="F964" s="1" t="s">
        <v>3994</v>
      </c>
      <c r="G964" s="1"/>
      <c r="H964" s="2">
        <v>0</v>
      </c>
      <c r="I964" s="2">
        <v>0</v>
      </c>
      <c r="J964" s="2">
        <v>1</v>
      </c>
      <c r="K964" s="2">
        <v>0</v>
      </c>
      <c r="L964" s="3" t="s">
        <v>127</v>
      </c>
      <c r="O964" s="4">
        <v>3</v>
      </c>
      <c r="P964" s="4" t="s">
        <v>271</v>
      </c>
      <c r="Q964" s="4"/>
      <c r="R964" s="5"/>
      <c r="S964" s="6"/>
      <c r="T964" s="17"/>
      <c r="U964" s="6"/>
      <c r="V964" s="4"/>
      <c r="W964" s="4"/>
      <c r="X964" s="4"/>
      <c r="Y964" s="7">
        <v>3</v>
      </c>
      <c r="Z964" s="8">
        <v>317784</v>
      </c>
      <c r="AA964" s="7" t="s">
        <v>92</v>
      </c>
      <c r="AB964" s="7"/>
      <c r="AC964" s="9">
        <v>3</v>
      </c>
      <c r="AD964" s="10">
        <v>317784</v>
      </c>
      <c r="AE964" s="9" t="s">
        <v>92</v>
      </c>
      <c r="AF964" s="9"/>
      <c r="AG964" s="11">
        <v>2</v>
      </c>
      <c r="AH964" s="11" t="s">
        <v>271</v>
      </c>
      <c r="AI964" s="11"/>
      <c r="AJ964" s="11"/>
      <c r="AK964" s="11"/>
      <c r="AL964" s="12">
        <v>2</v>
      </c>
      <c r="AM964" s="12" t="s">
        <v>271</v>
      </c>
      <c r="AN964" s="12" t="s">
        <v>394</v>
      </c>
      <c r="AO964" s="12"/>
      <c r="AP964" s="12"/>
      <c r="AQ964" s="4">
        <v>2</v>
      </c>
      <c r="AR964" s="4" t="s">
        <v>93</v>
      </c>
      <c r="AS964" s="4"/>
      <c r="AT964" s="13"/>
      <c r="AU964" s="13"/>
      <c r="AV964" s="13"/>
      <c r="AW964" s="13"/>
      <c r="AX964" s="4"/>
      <c r="AY964" s="13"/>
      <c r="AZ964" s="13"/>
      <c r="BA964" s="13"/>
      <c r="BB964" s="13"/>
      <c r="BC964" s="4"/>
      <c r="BD964" s="4"/>
      <c r="BE964" s="4"/>
      <c r="BF964" s="13"/>
      <c r="BG964" s="4"/>
      <c r="BH964" s="13"/>
      <c r="BI964" s="13"/>
      <c r="BJ964" s="4"/>
      <c r="BK964" s="14">
        <v>10</v>
      </c>
      <c r="BL964" s="14">
        <v>10</v>
      </c>
      <c r="BM964" s="14">
        <v>10</v>
      </c>
      <c r="BP964" s="15" t="s">
        <v>135</v>
      </c>
      <c r="BQ964" s="15"/>
      <c r="BR964" s="2" t="s">
        <v>108</v>
      </c>
      <c r="BS964" s="2" t="s">
        <v>108</v>
      </c>
      <c r="BT964" s="7" t="s">
        <v>109</v>
      </c>
      <c r="BU964" s="7"/>
      <c r="BV964" s="9" t="s">
        <v>109</v>
      </c>
      <c r="BW964" s="9"/>
    </row>
    <row r="965" spans="1:75" ht="14.25" customHeight="1" x14ac:dyDescent="0.25">
      <c r="A965" s="1">
        <v>1653</v>
      </c>
      <c r="B965" s="1" t="s">
        <v>4005</v>
      </c>
      <c r="C965" s="1" t="s">
        <v>4006</v>
      </c>
      <c r="D965" s="1" t="s">
        <v>77</v>
      </c>
      <c r="E965" s="1" t="s">
        <v>2396</v>
      </c>
      <c r="F965" s="1" t="s">
        <v>3994</v>
      </c>
      <c r="G965" s="1" t="s">
        <v>118</v>
      </c>
      <c r="H965" s="2">
        <v>0</v>
      </c>
      <c r="I965" s="2">
        <v>0</v>
      </c>
      <c r="J965" s="2">
        <v>1</v>
      </c>
      <c r="K965" s="2">
        <v>1</v>
      </c>
      <c r="L965" s="3" t="s">
        <v>80</v>
      </c>
      <c r="O965" s="4">
        <v>4</v>
      </c>
      <c r="P965" s="4" t="s">
        <v>81</v>
      </c>
      <c r="Q965" s="4" t="s">
        <v>4007</v>
      </c>
      <c r="R965" s="5"/>
      <c r="S965" s="6"/>
      <c r="T965" s="17"/>
      <c r="U965" s="6"/>
      <c r="V965" s="4"/>
      <c r="W965" s="4"/>
      <c r="X965" s="4"/>
      <c r="Y965" s="7">
        <v>5</v>
      </c>
      <c r="Z965" s="8">
        <v>61317</v>
      </c>
      <c r="AA965" s="7" t="s">
        <v>92</v>
      </c>
      <c r="AB965" s="7"/>
      <c r="AC965" s="9">
        <v>5</v>
      </c>
      <c r="AD965" s="10">
        <v>61317</v>
      </c>
      <c r="AE965" s="9" t="s">
        <v>92</v>
      </c>
      <c r="AF965" s="9"/>
      <c r="AG965" s="11">
        <v>3</v>
      </c>
      <c r="AH965" s="11" t="s">
        <v>93</v>
      </c>
      <c r="AI965" s="11" t="s">
        <v>4008</v>
      </c>
      <c r="AJ965" s="11"/>
      <c r="AK965" s="11"/>
      <c r="AL965" s="12">
        <v>3</v>
      </c>
      <c r="AM965" s="12" t="s">
        <v>93</v>
      </c>
      <c r="AN965" s="12" t="s">
        <v>394</v>
      </c>
      <c r="AO965" s="12"/>
      <c r="AP965" s="12"/>
      <c r="AQ965" s="4">
        <v>4</v>
      </c>
      <c r="AR965" s="4" t="s">
        <v>83</v>
      </c>
      <c r="AS965" s="4" t="s">
        <v>4009</v>
      </c>
      <c r="AT965" s="13"/>
      <c r="AU965" s="13"/>
      <c r="AV965" s="13"/>
      <c r="AW965" s="13"/>
      <c r="AX965" s="4"/>
      <c r="AY965" s="13"/>
      <c r="AZ965" s="13"/>
      <c r="BA965" s="13"/>
      <c r="BB965" s="13"/>
      <c r="BC965" s="4"/>
      <c r="BD965" s="4"/>
      <c r="BE965" s="4"/>
      <c r="BF965" s="13"/>
      <c r="BG965" s="4"/>
      <c r="BH965" s="13"/>
      <c r="BI965" s="13"/>
      <c r="BJ965" s="4"/>
      <c r="BK965" s="14">
        <v>16</v>
      </c>
      <c r="BL965" s="14">
        <v>16</v>
      </c>
      <c r="BM965" s="14">
        <v>16</v>
      </c>
      <c r="BN965" s="3" t="s">
        <v>86</v>
      </c>
      <c r="BP965" s="15"/>
      <c r="BQ965" s="15"/>
      <c r="BR965" s="2" t="s">
        <v>409</v>
      </c>
      <c r="BS965" s="2" t="s">
        <v>409</v>
      </c>
      <c r="BT965" s="7" t="s">
        <v>438</v>
      </c>
      <c r="BU965" s="7"/>
      <c r="BV965" s="9" t="s">
        <v>438</v>
      </c>
      <c r="BW965" s="9"/>
    </row>
    <row r="966" spans="1:75" ht="14.25" customHeight="1" x14ac:dyDescent="0.25">
      <c r="A966" s="1">
        <v>1654</v>
      </c>
      <c r="B966" s="1" t="s">
        <v>4010</v>
      </c>
      <c r="C966" s="1" t="s">
        <v>4011</v>
      </c>
      <c r="D966" s="1" t="s">
        <v>77</v>
      </c>
      <c r="E966" s="1" t="s">
        <v>2396</v>
      </c>
      <c r="F966" s="1" t="s">
        <v>3994</v>
      </c>
      <c r="G966" s="1"/>
      <c r="H966" s="2">
        <v>1</v>
      </c>
      <c r="I966" s="2">
        <v>1</v>
      </c>
      <c r="J966" s="2">
        <v>1</v>
      </c>
      <c r="K966" s="2">
        <v>0</v>
      </c>
      <c r="L966" s="3" t="s">
        <v>127</v>
      </c>
      <c r="O966" s="4">
        <v>1</v>
      </c>
      <c r="P966" s="4" t="s">
        <v>2683</v>
      </c>
      <c r="Q966" s="4"/>
      <c r="R966" s="16">
        <v>370000000</v>
      </c>
      <c r="S966" s="6">
        <v>370000000</v>
      </c>
      <c r="T966" s="16">
        <v>370000000</v>
      </c>
      <c r="U966" s="6">
        <v>370000000</v>
      </c>
      <c r="V966" s="4">
        <v>2010.5</v>
      </c>
      <c r="W966" s="4" t="s">
        <v>1919</v>
      </c>
      <c r="X966" s="4"/>
      <c r="Y966" s="7">
        <v>1</v>
      </c>
      <c r="Z966" s="8">
        <v>16401793</v>
      </c>
      <c r="AA966" s="7" t="s">
        <v>92</v>
      </c>
      <c r="AB966" s="7"/>
      <c r="AC966" s="9">
        <v>1</v>
      </c>
      <c r="AD966" s="10">
        <v>9457200</v>
      </c>
      <c r="AE966" s="9" t="s">
        <v>92</v>
      </c>
      <c r="AF966" s="9"/>
      <c r="AG966" s="11">
        <v>2</v>
      </c>
      <c r="AH966" s="11" t="s">
        <v>131</v>
      </c>
      <c r="AI966" s="11"/>
      <c r="AJ966" s="11">
        <v>2</v>
      </c>
      <c r="AK966" s="11" t="s">
        <v>143</v>
      </c>
      <c r="AL966" s="12">
        <v>2</v>
      </c>
      <c r="AM966" s="12" t="s">
        <v>131</v>
      </c>
      <c r="AN966" s="12"/>
      <c r="AO966" s="12">
        <v>2</v>
      </c>
      <c r="AP966" s="12" t="s">
        <v>132</v>
      </c>
      <c r="AQ966" s="4">
        <v>3</v>
      </c>
      <c r="AR966" s="4" t="s">
        <v>133</v>
      </c>
      <c r="AS966" s="4"/>
      <c r="AT966" s="13">
        <v>3.3959097862243701</v>
      </c>
      <c r="AU966" s="13">
        <v>6.5446995198726696E-2</v>
      </c>
      <c r="AV966" s="13">
        <v>-0.158000007271767</v>
      </c>
      <c r="AW966" s="13">
        <v>0.24699999392032601</v>
      </c>
      <c r="AX966" s="4"/>
      <c r="AY966" s="13">
        <v>-9.5428171157836896</v>
      </c>
      <c r="AZ966" s="13">
        <v>-0.99783158302307096</v>
      </c>
      <c r="BA966" s="13">
        <v>-1.37999999523163</v>
      </c>
      <c r="BB966" s="13">
        <v>-0.356000006198883</v>
      </c>
      <c r="BC966" s="4">
        <v>1</v>
      </c>
      <c r="BD966" s="4">
        <v>10</v>
      </c>
      <c r="BE966" s="4" t="s">
        <v>134</v>
      </c>
      <c r="BF966" s="13">
        <v>0.40500000119209301</v>
      </c>
      <c r="BG966" s="4">
        <v>4641.5</v>
      </c>
      <c r="BH966" s="13">
        <v>29.709999084472699</v>
      </c>
      <c r="BI966" s="13">
        <v>137859.921875</v>
      </c>
      <c r="BJ966" s="4"/>
      <c r="BK966" s="14">
        <v>7</v>
      </c>
      <c r="BL966" s="14">
        <v>7</v>
      </c>
      <c r="BM966" s="14">
        <v>7</v>
      </c>
      <c r="BP966" s="15" t="s">
        <v>135</v>
      </c>
      <c r="BQ966" s="15"/>
      <c r="BR966" s="2" t="s">
        <v>172</v>
      </c>
      <c r="BS966" s="2" t="s">
        <v>172</v>
      </c>
      <c r="BT966" s="7" t="s">
        <v>509</v>
      </c>
      <c r="BU966" s="7"/>
      <c r="BV966" s="9" t="s">
        <v>509</v>
      </c>
      <c r="BW966" s="9"/>
    </row>
    <row r="967" spans="1:75" ht="14.25" customHeight="1" x14ac:dyDescent="0.25">
      <c r="A967" s="1">
        <v>1660</v>
      </c>
      <c r="B967" s="1" t="s">
        <v>4012</v>
      </c>
      <c r="C967" s="1" t="s">
        <v>4013</v>
      </c>
      <c r="D967" s="1" t="s">
        <v>77</v>
      </c>
      <c r="E967" s="1" t="s">
        <v>2396</v>
      </c>
      <c r="F967" s="1" t="s">
        <v>3994</v>
      </c>
      <c r="G967" s="1"/>
      <c r="H967" s="2">
        <v>1</v>
      </c>
      <c r="I967" s="2">
        <v>1</v>
      </c>
      <c r="J967" s="2">
        <v>1</v>
      </c>
      <c r="K967" s="2">
        <v>0</v>
      </c>
      <c r="L967" s="3" t="s">
        <v>127</v>
      </c>
      <c r="O967" s="4">
        <v>2</v>
      </c>
      <c r="P967" s="4" t="s">
        <v>1906</v>
      </c>
      <c r="Q967" s="4" t="s">
        <v>3933</v>
      </c>
      <c r="R967" s="16">
        <v>35000000</v>
      </c>
      <c r="S967" s="6">
        <v>35000000</v>
      </c>
      <c r="T967" s="16">
        <v>35000000</v>
      </c>
      <c r="U967" s="6">
        <v>35000000</v>
      </c>
      <c r="V967" s="4">
        <v>2010.5</v>
      </c>
      <c r="W967" s="4" t="s">
        <v>1906</v>
      </c>
      <c r="X967" s="4"/>
      <c r="Y967" s="7">
        <v>2</v>
      </c>
      <c r="Z967" s="8">
        <v>3298140</v>
      </c>
      <c r="AA967" s="7" t="s">
        <v>92</v>
      </c>
      <c r="AB967" s="7"/>
      <c r="AC967" s="9">
        <v>3</v>
      </c>
      <c r="AD967" s="10">
        <v>793419</v>
      </c>
      <c r="AE967" s="9" t="s">
        <v>92</v>
      </c>
      <c r="AF967" s="9"/>
      <c r="AG967" s="11">
        <v>3</v>
      </c>
      <c r="AH967" s="11" t="s">
        <v>131</v>
      </c>
      <c r="AI967" s="11" t="s">
        <v>4014</v>
      </c>
      <c r="AJ967" s="11">
        <v>4</v>
      </c>
      <c r="AK967" s="11" t="s">
        <v>332</v>
      </c>
      <c r="AL967" s="12">
        <v>2</v>
      </c>
      <c r="AM967" s="12" t="s">
        <v>131</v>
      </c>
      <c r="AN967" s="12" t="s">
        <v>4015</v>
      </c>
      <c r="AO967" s="12">
        <v>2</v>
      </c>
      <c r="AP967" s="12" t="s">
        <v>132</v>
      </c>
      <c r="AQ967" s="4">
        <v>3</v>
      </c>
      <c r="AR967" s="4" t="s">
        <v>133</v>
      </c>
      <c r="AS967" s="4"/>
      <c r="AT967" s="13">
        <v>-19.9019660949707</v>
      </c>
      <c r="AU967" s="13">
        <v>-0.43475186824798601</v>
      </c>
      <c r="AV967" s="13">
        <v>-1.5821989774703999</v>
      </c>
      <c r="AW967" s="13">
        <v>1.0599999427795399</v>
      </c>
      <c r="AX967" s="4"/>
      <c r="AY967" s="13">
        <v>-24.152198791503899</v>
      </c>
      <c r="AZ967" s="13">
        <v>-2.7262976169586199</v>
      </c>
      <c r="BA967" s="13">
        <v>-3.8699998855590798</v>
      </c>
      <c r="BB967" s="13">
        <v>-1.37999999523163</v>
      </c>
      <c r="BC967" s="4">
        <v>1</v>
      </c>
      <c r="BD967" s="4">
        <v>10</v>
      </c>
      <c r="BE967" s="4" t="s">
        <v>134</v>
      </c>
      <c r="BF967" s="13">
        <v>2.6421990394592298</v>
      </c>
      <c r="BG967" s="4">
        <v>471</v>
      </c>
      <c r="BH967" s="13">
        <v>7.75</v>
      </c>
      <c r="BI967" s="13">
        <v>3650.25</v>
      </c>
      <c r="BJ967" s="4"/>
      <c r="BK967" s="14">
        <v>10</v>
      </c>
      <c r="BL967" s="14">
        <v>10</v>
      </c>
      <c r="BM967" s="14">
        <v>10</v>
      </c>
      <c r="BP967" s="15"/>
      <c r="BQ967" s="15"/>
      <c r="BR967" s="2" t="s">
        <v>162</v>
      </c>
      <c r="BS967" s="2" t="s">
        <v>162</v>
      </c>
      <c r="BT967" s="7" t="s">
        <v>428</v>
      </c>
      <c r="BU967" s="7"/>
      <c r="BV967" s="9" t="s">
        <v>428</v>
      </c>
      <c r="BW967" s="9"/>
    </row>
    <row r="968" spans="1:75" ht="14.25" customHeight="1" x14ac:dyDescent="0.25">
      <c r="A968" s="1">
        <v>1661</v>
      </c>
      <c r="B968" s="1" t="s">
        <v>4016</v>
      </c>
      <c r="C968" s="1" t="s">
        <v>4017</v>
      </c>
      <c r="D968" s="1" t="s">
        <v>77</v>
      </c>
      <c r="E968" s="1" t="s">
        <v>2396</v>
      </c>
      <c r="F968" s="1" t="s">
        <v>3994</v>
      </c>
      <c r="G968" s="1"/>
      <c r="H968" s="2">
        <v>0</v>
      </c>
      <c r="I968" s="2">
        <v>0</v>
      </c>
      <c r="J968" s="2">
        <v>1</v>
      </c>
      <c r="K968" s="2">
        <v>0</v>
      </c>
      <c r="L968" s="3" t="s">
        <v>80</v>
      </c>
      <c r="O968" s="4">
        <v>5</v>
      </c>
      <c r="P968" s="4" t="s">
        <v>112</v>
      </c>
      <c r="Q968" s="4" t="s">
        <v>4018</v>
      </c>
      <c r="R968" s="5"/>
      <c r="S968" s="6"/>
      <c r="T968" s="17"/>
      <c r="U968" s="6"/>
      <c r="V968" s="4"/>
      <c r="W968" s="4"/>
      <c r="X968" s="4"/>
      <c r="Y968" s="7">
        <v>3</v>
      </c>
      <c r="Z968" s="8">
        <v>336647</v>
      </c>
      <c r="AA968" s="7" t="s">
        <v>92</v>
      </c>
      <c r="AB968" s="7"/>
      <c r="AC968" s="9">
        <v>3</v>
      </c>
      <c r="AD968" s="10">
        <v>336647</v>
      </c>
      <c r="AE968" s="9" t="s">
        <v>92</v>
      </c>
      <c r="AF968" s="9"/>
      <c r="AG968" s="11">
        <v>3</v>
      </c>
      <c r="AH968" s="11" t="s">
        <v>93</v>
      </c>
      <c r="AI968" s="11"/>
      <c r="AJ968" s="11"/>
      <c r="AK968" s="11"/>
      <c r="AL968" s="12">
        <v>3</v>
      </c>
      <c r="AM968" s="12" t="s">
        <v>93</v>
      </c>
      <c r="AN968" s="12" t="s">
        <v>805</v>
      </c>
      <c r="AO968" s="12"/>
      <c r="AP968" s="12"/>
      <c r="AQ968" s="4">
        <v>4</v>
      </c>
      <c r="AR968" s="4" t="s">
        <v>93</v>
      </c>
      <c r="AS968" s="4"/>
      <c r="AT968" s="13"/>
      <c r="AU968" s="13"/>
      <c r="AV968" s="13"/>
      <c r="AW968" s="13"/>
      <c r="AX968" s="4"/>
      <c r="AY968" s="13"/>
      <c r="AZ968" s="13"/>
      <c r="BA968" s="13"/>
      <c r="BB968" s="13"/>
      <c r="BC968" s="4"/>
      <c r="BD968" s="4"/>
      <c r="BE968" s="4"/>
      <c r="BF968" s="13"/>
      <c r="BG968" s="4"/>
      <c r="BH968" s="13"/>
      <c r="BI968" s="13"/>
      <c r="BJ968" s="4"/>
      <c r="BK968" s="14">
        <v>15</v>
      </c>
      <c r="BL968" s="14">
        <v>15</v>
      </c>
      <c r="BM968" s="14">
        <v>15</v>
      </c>
      <c r="BN968" s="3" t="s">
        <v>86</v>
      </c>
      <c r="BP968" s="15"/>
      <c r="BQ968" s="15"/>
      <c r="BR968" s="2" t="s">
        <v>409</v>
      </c>
      <c r="BS968" s="2" t="s">
        <v>409</v>
      </c>
      <c r="BT968" s="7" t="s">
        <v>438</v>
      </c>
      <c r="BU968" s="7" t="s">
        <v>437</v>
      </c>
      <c r="BV968" s="9" t="s">
        <v>438</v>
      </c>
      <c r="BW968" s="9" t="s">
        <v>437</v>
      </c>
    </row>
    <row r="969" spans="1:75" ht="14.25" customHeight="1" x14ac:dyDescent="0.25">
      <c r="A969" s="1">
        <v>1670</v>
      </c>
      <c r="B969" s="1" t="s">
        <v>4019</v>
      </c>
      <c r="C969" s="1" t="s">
        <v>4020</v>
      </c>
      <c r="D969" s="1" t="s">
        <v>77</v>
      </c>
      <c r="E969" s="1" t="s">
        <v>2396</v>
      </c>
      <c r="F969" s="1" t="s">
        <v>4021</v>
      </c>
      <c r="G969" s="1" t="s">
        <v>4022</v>
      </c>
      <c r="H969" s="2">
        <v>1</v>
      </c>
      <c r="I969" s="2">
        <v>1</v>
      </c>
      <c r="J969" s="2">
        <v>0</v>
      </c>
      <c r="K969" s="2">
        <v>0</v>
      </c>
      <c r="L969" s="3" t="s">
        <v>127</v>
      </c>
      <c r="O969" s="4">
        <v>1</v>
      </c>
      <c r="P969" s="4" t="s">
        <v>659</v>
      </c>
      <c r="Q969" s="4" t="s">
        <v>4023</v>
      </c>
      <c r="R969" s="16">
        <v>50000000</v>
      </c>
      <c r="S969" s="6">
        <v>50000000</v>
      </c>
      <c r="T969" s="16">
        <v>220000</v>
      </c>
      <c r="U969" s="6">
        <v>220000</v>
      </c>
      <c r="V969" s="4">
        <v>2010.5</v>
      </c>
      <c r="W969" s="4" t="s">
        <v>425</v>
      </c>
      <c r="X969" s="4"/>
      <c r="Y969" s="7">
        <v>1</v>
      </c>
      <c r="Z969" s="8">
        <v>6348041</v>
      </c>
      <c r="AA969" s="7" t="s">
        <v>537</v>
      </c>
      <c r="AB969" s="7"/>
      <c r="AC969" s="9">
        <v>1</v>
      </c>
      <c r="AD969" s="10"/>
      <c r="AE969" s="9" t="s">
        <v>537</v>
      </c>
      <c r="AF969" s="9"/>
      <c r="AG969" s="11">
        <v>2</v>
      </c>
      <c r="AH969" s="11" t="s">
        <v>271</v>
      </c>
      <c r="AI969" s="11" t="s">
        <v>3804</v>
      </c>
      <c r="AJ969" s="11"/>
      <c r="AK969" s="11"/>
      <c r="AL969" s="12">
        <v>3</v>
      </c>
      <c r="AM969" s="12" t="s">
        <v>271</v>
      </c>
      <c r="AN969" s="12" t="s">
        <v>4024</v>
      </c>
      <c r="AO969" s="12"/>
      <c r="AP969" s="12"/>
      <c r="AQ969" s="4">
        <v>3</v>
      </c>
      <c r="AR969" s="4" t="s">
        <v>537</v>
      </c>
      <c r="AS969" s="4"/>
      <c r="AT969" s="13"/>
      <c r="AU969" s="13"/>
      <c r="AV969" s="13"/>
      <c r="AW969" s="13"/>
      <c r="AX969" s="4"/>
      <c r="AY969" s="13"/>
      <c r="AZ969" s="13"/>
      <c r="BA969" s="13"/>
      <c r="BB969" s="13"/>
      <c r="BC969" s="4"/>
      <c r="BD969" s="4"/>
      <c r="BE969" s="4"/>
      <c r="BF969" s="13"/>
      <c r="BG969" s="4"/>
      <c r="BH969" s="13"/>
      <c r="BI969" s="13"/>
      <c r="BJ969" s="4"/>
      <c r="BK969" s="14">
        <v>7</v>
      </c>
      <c r="BL969" s="14">
        <v>8</v>
      </c>
      <c r="BM969" s="14">
        <v>8</v>
      </c>
      <c r="BP969" s="15"/>
      <c r="BQ969" s="15"/>
      <c r="BR969" s="2" t="s">
        <v>161</v>
      </c>
      <c r="BS969" s="2" t="s">
        <v>3608</v>
      </c>
      <c r="BT969" s="7" t="s">
        <v>174</v>
      </c>
      <c r="BU969" s="7"/>
      <c r="BV969" s="9" t="s">
        <v>137</v>
      </c>
      <c r="BW969" s="9"/>
    </row>
    <row r="970" spans="1:75" ht="14.25" customHeight="1" x14ac:dyDescent="0.25">
      <c r="A970" s="1">
        <v>1678</v>
      </c>
      <c r="B970" s="1" t="s">
        <v>4025</v>
      </c>
      <c r="C970" s="1" t="s">
        <v>4026</v>
      </c>
      <c r="D970" s="1" t="s">
        <v>77</v>
      </c>
      <c r="E970" s="1" t="s">
        <v>2396</v>
      </c>
      <c r="F970" s="1" t="s">
        <v>4021</v>
      </c>
      <c r="G970" s="1"/>
      <c r="H970" s="2">
        <v>1</v>
      </c>
      <c r="I970" s="2">
        <v>1</v>
      </c>
      <c r="J970" s="2">
        <v>0</v>
      </c>
      <c r="K970" s="2">
        <v>0</v>
      </c>
      <c r="L970" s="3" t="s">
        <v>127</v>
      </c>
      <c r="O970" s="4">
        <v>3</v>
      </c>
      <c r="P970" s="4" t="s">
        <v>535</v>
      </c>
      <c r="Q970" s="4"/>
      <c r="R970" s="16">
        <v>2600000</v>
      </c>
      <c r="S970" s="6">
        <v>2600000</v>
      </c>
      <c r="T970" s="16">
        <v>260000</v>
      </c>
      <c r="U970" s="6">
        <v>260000</v>
      </c>
      <c r="V970" s="4">
        <v>2010.5</v>
      </c>
      <c r="W970" s="4" t="s">
        <v>536</v>
      </c>
      <c r="X970" s="4"/>
      <c r="Y970" s="7">
        <v>1</v>
      </c>
      <c r="Z970" s="8">
        <v>29225702</v>
      </c>
      <c r="AA970" s="7" t="s">
        <v>283</v>
      </c>
      <c r="AB970" s="7"/>
      <c r="AC970" s="9">
        <v>1</v>
      </c>
      <c r="AD970" s="10">
        <v>9956951</v>
      </c>
      <c r="AE970" s="9" t="s">
        <v>283</v>
      </c>
      <c r="AF970" s="9"/>
      <c r="AG970" s="11">
        <v>2</v>
      </c>
      <c r="AH970" s="11" t="s">
        <v>271</v>
      </c>
      <c r="AI970" s="11" t="s">
        <v>3804</v>
      </c>
      <c r="AJ970" s="11"/>
      <c r="AK970" s="11"/>
      <c r="AL970" s="12">
        <v>2</v>
      </c>
      <c r="AM970" s="12" t="s">
        <v>271</v>
      </c>
      <c r="AN970" s="12" t="s">
        <v>4024</v>
      </c>
      <c r="AO970" s="12"/>
      <c r="AP970" s="12"/>
      <c r="AQ970" s="4">
        <v>3</v>
      </c>
      <c r="AR970" s="4" t="s">
        <v>537</v>
      </c>
      <c r="AS970" s="4"/>
      <c r="AT970" s="13"/>
      <c r="AU970" s="13"/>
      <c r="AV970" s="13"/>
      <c r="AW970" s="13"/>
      <c r="AX970" s="4"/>
      <c r="AY970" s="13"/>
      <c r="AZ970" s="13"/>
      <c r="BA970" s="13"/>
      <c r="BB970" s="13"/>
      <c r="BC970" s="4"/>
      <c r="BD970" s="4"/>
      <c r="BE970" s="4"/>
      <c r="BF970" s="13"/>
      <c r="BG970" s="4"/>
      <c r="BH970" s="13"/>
      <c r="BI970" s="13"/>
      <c r="BJ970" s="4"/>
      <c r="BK970" s="14">
        <v>9</v>
      </c>
      <c r="BL970" s="14">
        <v>9</v>
      </c>
      <c r="BM970" s="14">
        <v>9</v>
      </c>
      <c r="BP970" s="15"/>
      <c r="BQ970" s="15" t="s">
        <v>136</v>
      </c>
      <c r="BR970" s="2" t="s">
        <v>161</v>
      </c>
      <c r="BS970" s="2" t="s">
        <v>3608</v>
      </c>
      <c r="BT970" s="7" t="s">
        <v>174</v>
      </c>
      <c r="BU970" s="7" t="s">
        <v>539</v>
      </c>
      <c r="BV970" s="9" t="s">
        <v>458</v>
      </c>
      <c r="BW970" s="9"/>
    </row>
    <row r="971" spans="1:75" ht="14.25" customHeight="1" x14ac:dyDescent="0.25">
      <c r="A971" s="1">
        <v>1680</v>
      </c>
      <c r="B971" s="1" t="s">
        <v>4027</v>
      </c>
      <c r="C971" s="1" t="s">
        <v>4028</v>
      </c>
      <c r="D971" s="1" t="s">
        <v>77</v>
      </c>
      <c r="E971" s="1" t="s">
        <v>2396</v>
      </c>
      <c r="F971" s="1" t="s">
        <v>4029</v>
      </c>
      <c r="G971" s="1"/>
      <c r="H971" s="2">
        <v>0</v>
      </c>
      <c r="I971" s="2">
        <v>1</v>
      </c>
      <c r="J971" s="2">
        <v>1</v>
      </c>
      <c r="K971" s="2">
        <v>1</v>
      </c>
      <c r="L971" s="3" t="s">
        <v>80</v>
      </c>
      <c r="O971" s="4">
        <v>3</v>
      </c>
      <c r="P971" s="4" t="s">
        <v>470</v>
      </c>
      <c r="Q971" s="4"/>
      <c r="R971" s="16">
        <v>1900000</v>
      </c>
      <c r="S971" s="6">
        <v>1900000</v>
      </c>
      <c r="T971" s="16">
        <v>92000</v>
      </c>
      <c r="U971" s="6">
        <v>92000</v>
      </c>
      <c r="V971" s="4">
        <v>2010.5</v>
      </c>
      <c r="W971" s="4" t="s">
        <v>425</v>
      </c>
      <c r="X971" s="4"/>
      <c r="Y971" s="7">
        <v>3</v>
      </c>
      <c r="Z971" s="8">
        <v>694398</v>
      </c>
      <c r="AA971" s="7" t="s">
        <v>92</v>
      </c>
      <c r="AB971" s="7"/>
      <c r="AC971" s="9">
        <v>3</v>
      </c>
      <c r="AD971" s="10">
        <v>694398</v>
      </c>
      <c r="AE971" s="9" t="s">
        <v>92</v>
      </c>
      <c r="AF971" s="9"/>
      <c r="AG971" s="11">
        <v>4</v>
      </c>
      <c r="AH971" s="11" t="s">
        <v>131</v>
      </c>
      <c r="AI971" s="11"/>
      <c r="AJ971" s="11">
        <v>5</v>
      </c>
      <c r="AK971" s="11" t="s">
        <v>143</v>
      </c>
      <c r="AL971" s="12">
        <v>4</v>
      </c>
      <c r="AM971" s="12" t="s">
        <v>131</v>
      </c>
      <c r="AN971" s="12" t="s">
        <v>698</v>
      </c>
      <c r="AO971" s="12">
        <v>4</v>
      </c>
      <c r="AP971" s="12" t="s">
        <v>143</v>
      </c>
      <c r="AQ971" s="4">
        <v>3</v>
      </c>
      <c r="AR971" s="4" t="s">
        <v>93</v>
      </c>
      <c r="AS971" s="4"/>
      <c r="AT971" s="13"/>
      <c r="AU971" s="13"/>
      <c r="AV971" s="13"/>
      <c r="AW971" s="13"/>
      <c r="AX971" s="4"/>
      <c r="AY971" s="13"/>
      <c r="AZ971" s="13"/>
      <c r="BA971" s="13"/>
      <c r="BB971" s="13"/>
      <c r="BC971" s="4"/>
      <c r="BD971" s="4"/>
      <c r="BE971" s="4"/>
      <c r="BF971" s="13"/>
      <c r="BG971" s="4"/>
      <c r="BH971" s="13"/>
      <c r="BI971" s="13"/>
      <c r="BJ971" s="4"/>
      <c r="BK971" s="14">
        <v>13</v>
      </c>
      <c r="BL971" s="14">
        <v>13</v>
      </c>
      <c r="BM971" s="14">
        <v>13</v>
      </c>
      <c r="BP971" s="15"/>
      <c r="BQ971" s="15"/>
      <c r="BR971" s="2" t="s">
        <v>409</v>
      </c>
      <c r="BS971" s="2" t="s">
        <v>409</v>
      </c>
      <c r="BT971" s="7" t="s">
        <v>437</v>
      </c>
      <c r="BU971" s="7" t="s">
        <v>438</v>
      </c>
      <c r="BV971" s="9" t="s">
        <v>437</v>
      </c>
      <c r="BW971" s="9" t="s">
        <v>438</v>
      </c>
    </row>
    <row r="972" spans="1:75" ht="14.25" customHeight="1" x14ac:dyDescent="0.25">
      <c r="A972" s="1">
        <v>1689</v>
      </c>
      <c r="B972" s="1" t="s">
        <v>4030</v>
      </c>
      <c r="C972" s="1" t="s">
        <v>4031</v>
      </c>
      <c r="D972" s="1" t="s">
        <v>77</v>
      </c>
      <c r="E972" s="1" t="s">
        <v>2396</v>
      </c>
      <c r="F972" s="1" t="s">
        <v>4032</v>
      </c>
      <c r="G972" s="1"/>
      <c r="H972" s="2">
        <v>0</v>
      </c>
      <c r="I972" s="2">
        <v>1</v>
      </c>
      <c r="J972" s="2">
        <v>0</v>
      </c>
      <c r="K972" s="2">
        <v>1</v>
      </c>
      <c r="L972" s="3" t="s">
        <v>80</v>
      </c>
      <c r="M972" s="3">
        <v>1</v>
      </c>
      <c r="O972" s="4">
        <v>1</v>
      </c>
      <c r="P972" s="4" t="s">
        <v>81</v>
      </c>
      <c r="Q972" s="4"/>
      <c r="R972" s="5"/>
      <c r="S972" s="6"/>
      <c r="T972" s="17"/>
      <c r="U972" s="6"/>
      <c r="V972" s="4"/>
      <c r="W972" s="4"/>
      <c r="X972" s="4"/>
      <c r="Y972" s="7">
        <v>1</v>
      </c>
      <c r="Z972" s="8"/>
      <c r="AA972" s="7" t="s">
        <v>272</v>
      </c>
      <c r="AB972" s="7"/>
      <c r="AC972" s="9">
        <v>1</v>
      </c>
      <c r="AD972" s="10"/>
      <c r="AE972" s="9" t="s">
        <v>272</v>
      </c>
      <c r="AF972" s="9"/>
      <c r="AG972" s="11">
        <v>1</v>
      </c>
      <c r="AH972" s="11" t="s">
        <v>1089</v>
      </c>
      <c r="AI972" s="11"/>
      <c r="AJ972" s="11"/>
      <c r="AK972" s="11"/>
      <c r="AL972" s="12">
        <v>1</v>
      </c>
      <c r="AM972" s="12" t="s">
        <v>1089</v>
      </c>
      <c r="AN972" s="12"/>
      <c r="AO972" s="12"/>
      <c r="AP972" s="12"/>
      <c r="AQ972" s="4">
        <v>1</v>
      </c>
      <c r="AR972" s="4" t="s">
        <v>83</v>
      </c>
      <c r="AS972" s="4"/>
      <c r="AT972" s="13"/>
      <c r="AU972" s="13"/>
      <c r="AV972" s="13"/>
      <c r="AW972" s="13"/>
      <c r="AX972" s="4"/>
      <c r="AY972" s="13"/>
      <c r="AZ972" s="13"/>
      <c r="BA972" s="13"/>
      <c r="BB972" s="13"/>
      <c r="BC972" s="4"/>
      <c r="BD972" s="4"/>
      <c r="BE972" s="4"/>
      <c r="BF972" s="13"/>
      <c r="BG972" s="4"/>
      <c r="BH972" s="13"/>
      <c r="BI972" s="13"/>
      <c r="BJ972" s="4"/>
      <c r="BK972" s="14">
        <v>4</v>
      </c>
      <c r="BL972" s="14">
        <v>4</v>
      </c>
      <c r="BM972" s="14">
        <v>4</v>
      </c>
      <c r="BP972" s="15"/>
      <c r="BQ972" s="15" t="s">
        <v>2503</v>
      </c>
      <c r="BR972" s="2" t="s">
        <v>12</v>
      </c>
      <c r="BS972" s="2" t="s">
        <v>12</v>
      </c>
      <c r="BT972" s="7" t="s">
        <v>603</v>
      </c>
      <c r="BU972" s="7"/>
      <c r="BV972" s="9" t="s">
        <v>603</v>
      </c>
      <c r="BW972" s="9"/>
    </row>
    <row r="973" spans="1:75" ht="14.25" customHeight="1" x14ac:dyDescent="0.25">
      <c r="A973" s="1">
        <v>1690</v>
      </c>
      <c r="B973" s="1" t="s">
        <v>4033</v>
      </c>
      <c r="C973" s="1" t="s">
        <v>4034</v>
      </c>
      <c r="D973" s="1" t="s">
        <v>77</v>
      </c>
      <c r="E973" s="1" t="s">
        <v>2396</v>
      </c>
      <c r="F973" s="1" t="s">
        <v>4032</v>
      </c>
      <c r="G973" s="1"/>
      <c r="H973" s="2">
        <v>0</v>
      </c>
      <c r="I973" s="2">
        <v>0</v>
      </c>
      <c r="J973" s="2">
        <v>0</v>
      </c>
      <c r="K973" s="2">
        <v>1</v>
      </c>
      <c r="L973" s="3" t="s">
        <v>80</v>
      </c>
      <c r="M973" s="3">
        <v>1</v>
      </c>
      <c r="O973" s="4">
        <v>1</v>
      </c>
      <c r="P973" s="4" t="s">
        <v>81</v>
      </c>
      <c r="Q973" s="4"/>
      <c r="R973" s="5"/>
      <c r="S973" s="6"/>
      <c r="T973" s="17"/>
      <c r="U973" s="6"/>
      <c r="V973" s="4"/>
      <c r="W973" s="4"/>
      <c r="X973" s="4"/>
      <c r="Y973" s="7">
        <v>1</v>
      </c>
      <c r="Z973" s="8"/>
      <c r="AA973" s="7" t="s">
        <v>272</v>
      </c>
      <c r="AB973" s="7"/>
      <c r="AC973" s="9">
        <v>1</v>
      </c>
      <c r="AD973" s="10"/>
      <c r="AE973" s="9" t="s">
        <v>272</v>
      </c>
      <c r="AF973" s="9"/>
      <c r="AG973" s="11">
        <v>1</v>
      </c>
      <c r="AH973" s="11" t="s">
        <v>83</v>
      </c>
      <c r="AI973" s="11"/>
      <c r="AJ973" s="11"/>
      <c r="AK973" s="11"/>
      <c r="AL973" s="12">
        <v>1</v>
      </c>
      <c r="AM973" s="12" t="s">
        <v>83</v>
      </c>
      <c r="AN973" s="12"/>
      <c r="AO973" s="12"/>
      <c r="AP973" s="12"/>
      <c r="AQ973" s="4">
        <v>1</v>
      </c>
      <c r="AR973" s="4" t="s">
        <v>83</v>
      </c>
      <c r="AS973" s="4"/>
      <c r="AT973" s="13"/>
      <c r="AU973" s="13"/>
      <c r="AV973" s="13"/>
      <c r="AW973" s="13"/>
      <c r="AX973" s="4"/>
      <c r="AY973" s="13"/>
      <c r="AZ973" s="13"/>
      <c r="BA973" s="13"/>
      <c r="BB973" s="13"/>
      <c r="BC973" s="4"/>
      <c r="BD973" s="4"/>
      <c r="BE973" s="4"/>
      <c r="BF973" s="13"/>
      <c r="BG973" s="4"/>
      <c r="BH973" s="13"/>
      <c r="BI973" s="13"/>
      <c r="BJ973" s="4"/>
      <c r="BK973" s="14">
        <v>4</v>
      </c>
      <c r="BL973" s="14">
        <v>4</v>
      </c>
      <c r="BM973" s="14">
        <v>4</v>
      </c>
      <c r="BP973" s="15"/>
      <c r="BQ973" s="15" t="s">
        <v>2503</v>
      </c>
      <c r="BR973" s="2" t="s">
        <v>12</v>
      </c>
      <c r="BS973" s="2" t="s">
        <v>12</v>
      </c>
      <c r="BT973" s="7" t="s">
        <v>603</v>
      </c>
      <c r="BU973" s="7"/>
      <c r="BV973" s="9" t="s">
        <v>603</v>
      </c>
      <c r="BW973" s="9"/>
    </row>
    <row r="974" spans="1:75" ht="14.25" customHeight="1" x14ac:dyDescent="0.25">
      <c r="A974" s="1">
        <v>1698</v>
      </c>
      <c r="B974" s="1" t="s">
        <v>4035</v>
      </c>
      <c r="C974" s="1" t="s">
        <v>4036</v>
      </c>
      <c r="D974" s="1" t="s">
        <v>77</v>
      </c>
      <c r="E974" s="1" t="s">
        <v>2396</v>
      </c>
      <c r="F974" s="1" t="s">
        <v>4037</v>
      </c>
      <c r="G974" s="1"/>
      <c r="H974" s="2">
        <v>1</v>
      </c>
      <c r="I974" s="2">
        <v>1</v>
      </c>
      <c r="J974" s="2">
        <v>1</v>
      </c>
      <c r="K974" s="2">
        <v>1</v>
      </c>
      <c r="L974" s="3" t="s">
        <v>80</v>
      </c>
      <c r="M974" s="3">
        <v>1</v>
      </c>
      <c r="O974" s="4">
        <v>1</v>
      </c>
      <c r="P974" s="4" t="s">
        <v>4038</v>
      </c>
      <c r="Q974" s="4"/>
      <c r="R974" s="16">
        <v>740000000</v>
      </c>
      <c r="S974" s="6">
        <v>740000000</v>
      </c>
      <c r="T974" s="16">
        <v>93000000</v>
      </c>
      <c r="U974" s="6">
        <v>93000000</v>
      </c>
      <c r="V974" s="4">
        <v>2010.5</v>
      </c>
      <c r="W974" s="4" t="s">
        <v>1906</v>
      </c>
      <c r="X974" s="4"/>
      <c r="Y974" s="7">
        <v>1</v>
      </c>
      <c r="Z974" s="8">
        <v>77653203</v>
      </c>
      <c r="AA974" s="7" t="s">
        <v>92</v>
      </c>
      <c r="AB974" s="7"/>
      <c r="AC974" s="9">
        <v>1</v>
      </c>
      <c r="AD974" s="10">
        <v>77653203</v>
      </c>
      <c r="AE974" s="9" t="s">
        <v>815</v>
      </c>
      <c r="AF974" s="9"/>
      <c r="AG974" s="11">
        <v>2</v>
      </c>
      <c r="AH974" s="11" t="s">
        <v>518</v>
      </c>
      <c r="AI974" s="11" t="s">
        <v>4039</v>
      </c>
      <c r="AJ974" s="11">
        <v>2</v>
      </c>
      <c r="AK974" s="11" t="s">
        <v>132</v>
      </c>
      <c r="AL974" s="12">
        <v>2</v>
      </c>
      <c r="AM974" s="12" t="s">
        <v>131</v>
      </c>
      <c r="AN974" s="12"/>
      <c r="AO974" s="12">
        <v>2</v>
      </c>
      <c r="AP974" s="12" t="s">
        <v>132</v>
      </c>
      <c r="AQ974" s="4">
        <v>5</v>
      </c>
      <c r="AR974" s="4" t="s">
        <v>133</v>
      </c>
      <c r="AS974" s="4"/>
      <c r="AT974" s="13">
        <v>-81.330963134765597</v>
      </c>
      <c r="AU974" s="13">
        <v>-3.2352371215820299</v>
      </c>
      <c r="AV974" s="13">
        <v>-3.66860008239746</v>
      </c>
      <c r="AW974" s="13">
        <v>-2.7599999904632599</v>
      </c>
      <c r="AX974" s="4">
        <v>1</v>
      </c>
      <c r="AY974" s="13">
        <v>-15.7242126464844</v>
      </c>
      <c r="AZ974" s="13">
        <v>-1.54385161399841</v>
      </c>
      <c r="BA974" s="13">
        <v>-2.05310010910034</v>
      </c>
      <c r="BB974" s="13">
        <v>-0.90499997138977095</v>
      </c>
      <c r="BC974" s="4">
        <v>1</v>
      </c>
      <c r="BD974" s="4">
        <v>11</v>
      </c>
      <c r="BE974" s="4" t="s">
        <v>134</v>
      </c>
      <c r="BF974" s="13">
        <v>0.90859997272491499</v>
      </c>
      <c r="BG974" s="4">
        <v>3963.5</v>
      </c>
      <c r="BH974" s="13">
        <v>34.564998626708999</v>
      </c>
      <c r="BI974" s="13">
        <v>136928.140625</v>
      </c>
      <c r="BJ974" s="4"/>
      <c r="BK974" s="14">
        <v>9</v>
      </c>
      <c r="BL974" s="14">
        <v>9</v>
      </c>
      <c r="BM974" s="14">
        <v>9</v>
      </c>
      <c r="BP974" s="15" t="s">
        <v>135</v>
      </c>
      <c r="BQ974" s="15" t="s">
        <v>146</v>
      </c>
      <c r="BR974" s="2" t="s">
        <v>12</v>
      </c>
      <c r="BS974" s="2" t="s">
        <v>12</v>
      </c>
      <c r="BT974" s="7" t="s">
        <v>603</v>
      </c>
      <c r="BU974" s="7"/>
      <c r="BV974" s="9" t="s">
        <v>603</v>
      </c>
      <c r="BW974" s="9"/>
    </row>
    <row r="975" spans="1:75" ht="14.25" customHeight="1" x14ac:dyDescent="0.25">
      <c r="A975" s="1">
        <v>1699</v>
      </c>
      <c r="B975" s="1" t="s">
        <v>4040</v>
      </c>
      <c r="C975" s="1" t="s">
        <v>4041</v>
      </c>
      <c r="D975" s="1" t="s">
        <v>77</v>
      </c>
      <c r="E975" s="1" t="s">
        <v>2396</v>
      </c>
      <c r="F975" s="1" t="s">
        <v>4037</v>
      </c>
      <c r="G975" s="1"/>
      <c r="H975" s="2">
        <v>0</v>
      </c>
      <c r="I975" s="2">
        <v>1</v>
      </c>
      <c r="J975" s="2">
        <v>0</v>
      </c>
      <c r="K975" s="2">
        <v>0</v>
      </c>
      <c r="L975" s="3" t="s">
        <v>80</v>
      </c>
      <c r="M975" s="3">
        <v>1</v>
      </c>
      <c r="O975" s="4">
        <v>1</v>
      </c>
      <c r="P975" s="4" t="s">
        <v>659</v>
      </c>
      <c r="Q975" s="4" t="s">
        <v>4042</v>
      </c>
      <c r="R975" s="16">
        <v>250000000</v>
      </c>
      <c r="S975" s="6">
        <v>250000000</v>
      </c>
      <c r="T975" s="16">
        <v>150000</v>
      </c>
      <c r="U975" s="6">
        <v>150000</v>
      </c>
      <c r="V975" s="4">
        <v>2010.5</v>
      </c>
      <c r="W975" s="4" t="s">
        <v>425</v>
      </c>
      <c r="X975" s="4"/>
      <c r="Y975" s="7">
        <v>1</v>
      </c>
      <c r="Z975" s="8">
        <v>8694200</v>
      </c>
      <c r="AA975" s="7" t="s">
        <v>92</v>
      </c>
      <c r="AB975" s="7"/>
      <c r="AC975" s="9">
        <v>1</v>
      </c>
      <c r="AD975" s="10">
        <v>8694200</v>
      </c>
      <c r="AE975" s="9" t="s">
        <v>815</v>
      </c>
      <c r="AF975" s="9"/>
      <c r="AG975" s="11">
        <v>1</v>
      </c>
      <c r="AH975" s="11" t="s">
        <v>131</v>
      </c>
      <c r="AI975" s="11"/>
      <c r="AJ975" s="11">
        <v>1</v>
      </c>
      <c r="AK975" s="11" t="s">
        <v>132</v>
      </c>
      <c r="AL975" s="12">
        <v>2</v>
      </c>
      <c r="AM975" s="12" t="s">
        <v>131</v>
      </c>
      <c r="AN975" s="12"/>
      <c r="AO975" s="12">
        <v>2</v>
      </c>
      <c r="AP975" s="12" t="s">
        <v>143</v>
      </c>
      <c r="AQ975" s="4">
        <v>1</v>
      </c>
      <c r="AR975" s="4" t="s">
        <v>133</v>
      </c>
      <c r="AS975" s="4"/>
      <c r="AT975" s="13">
        <v>1288.98547363281</v>
      </c>
      <c r="AU975" s="13">
        <v>5.2978281974792498</v>
      </c>
      <c r="AV975" s="13">
        <v>4.0081019401550302</v>
      </c>
      <c r="AW975" s="13">
        <v>6.7300000190734899</v>
      </c>
      <c r="AX975" s="4">
        <v>1</v>
      </c>
      <c r="AY975" s="13">
        <v>55.493320465087898</v>
      </c>
      <c r="AZ975" s="13">
        <v>4.5133500099182102</v>
      </c>
      <c r="BA975" s="13">
        <v>0.239999994635582</v>
      </c>
      <c r="BB975" s="13">
        <v>9.3274955749511701</v>
      </c>
      <c r="BC975" s="4">
        <v>1</v>
      </c>
      <c r="BD975" s="4">
        <v>10</v>
      </c>
      <c r="BE975" s="4" t="s">
        <v>134</v>
      </c>
      <c r="BF975" s="13">
        <v>2.7218980789184601</v>
      </c>
      <c r="BG975" s="4">
        <v>50</v>
      </c>
      <c r="BH975" s="13">
        <v>0.54500001668930098</v>
      </c>
      <c r="BI975" s="13">
        <v>27.25</v>
      </c>
      <c r="BJ975" s="4"/>
      <c r="BK975" s="14">
        <v>4</v>
      </c>
      <c r="BL975" s="14">
        <v>5</v>
      </c>
      <c r="BM975" s="14">
        <v>5</v>
      </c>
      <c r="BP975" s="15" t="s">
        <v>135</v>
      </c>
      <c r="BQ975" s="15"/>
      <c r="BR975" s="2" t="s">
        <v>12</v>
      </c>
      <c r="BS975" s="2" t="s">
        <v>12</v>
      </c>
      <c r="BT975" s="7" t="s">
        <v>603</v>
      </c>
      <c r="BU975" s="7"/>
      <c r="BV975" s="9" t="s">
        <v>603</v>
      </c>
      <c r="BW975" s="9"/>
    </row>
    <row r="976" spans="1:75" ht="14.25" customHeight="1" x14ac:dyDescent="0.25">
      <c r="A976" s="1">
        <v>1700</v>
      </c>
      <c r="B976" s="1" t="s">
        <v>4043</v>
      </c>
      <c r="C976" s="1" t="s">
        <v>4044</v>
      </c>
      <c r="D976" s="1" t="s">
        <v>77</v>
      </c>
      <c r="E976" s="1" t="s">
        <v>2396</v>
      </c>
      <c r="F976" s="1" t="s">
        <v>4045</v>
      </c>
      <c r="G976" s="1"/>
      <c r="H976" s="2">
        <v>1</v>
      </c>
      <c r="I976" s="2">
        <v>1</v>
      </c>
      <c r="J976" s="2">
        <v>0</v>
      </c>
      <c r="K976" s="2">
        <v>0</v>
      </c>
      <c r="L976" s="3" t="s">
        <v>127</v>
      </c>
      <c r="O976" s="4">
        <v>2</v>
      </c>
      <c r="P976" s="4" t="s">
        <v>2079</v>
      </c>
      <c r="Q976" s="4" t="s">
        <v>4046</v>
      </c>
      <c r="R976" s="16">
        <v>20000000</v>
      </c>
      <c r="S976" s="6">
        <v>20000000</v>
      </c>
      <c r="T976" s="17" t="s">
        <v>4047</v>
      </c>
      <c r="U976" s="6">
        <v>1000000</v>
      </c>
      <c r="V976" s="4"/>
      <c r="W976" s="4" t="s">
        <v>543</v>
      </c>
      <c r="X976" s="4" t="s">
        <v>4048</v>
      </c>
      <c r="Y976" s="7">
        <v>1</v>
      </c>
      <c r="Z976" s="8">
        <v>8800363</v>
      </c>
      <c r="AA976" s="7" t="s">
        <v>537</v>
      </c>
      <c r="AB976" s="7"/>
      <c r="AC976" s="9">
        <v>1</v>
      </c>
      <c r="AD976" s="10">
        <v>4954181</v>
      </c>
      <c r="AE976" s="9" t="s">
        <v>283</v>
      </c>
      <c r="AF976" s="9"/>
      <c r="AG976" s="11">
        <v>2</v>
      </c>
      <c r="AH976" s="11" t="s">
        <v>271</v>
      </c>
      <c r="AI976" s="11" t="s">
        <v>4049</v>
      </c>
      <c r="AJ976" s="11"/>
      <c r="AK976" s="11"/>
      <c r="AL976" s="12">
        <v>2</v>
      </c>
      <c r="AM976" s="12" t="s">
        <v>271</v>
      </c>
      <c r="AN976" s="12" t="s">
        <v>4024</v>
      </c>
      <c r="AO976" s="12"/>
      <c r="AP976" s="12"/>
      <c r="AQ976" s="4">
        <v>3</v>
      </c>
      <c r="AR976" s="4" t="s">
        <v>537</v>
      </c>
      <c r="AS976" s="4"/>
      <c r="AT976" s="13"/>
      <c r="AU976" s="13"/>
      <c r="AV976" s="13"/>
      <c r="AW976" s="13"/>
      <c r="AX976" s="4"/>
      <c r="AY976" s="13"/>
      <c r="AZ976" s="13"/>
      <c r="BA976" s="13"/>
      <c r="BB976" s="13"/>
      <c r="BC976" s="4"/>
      <c r="BD976" s="4"/>
      <c r="BE976" s="4"/>
      <c r="BF976" s="13"/>
      <c r="BG976" s="4"/>
      <c r="BH976" s="13"/>
      <c r="BI976" s="13"/>
      <c r="BJ976" s="4"/>
      <c r="BK976" s="14">
        <v>8</v>
      </c>
      <c r="BL976" s="14">
        <v>8</v>
      </c>
      <c r="BM976" s="14">
        <v>8</v>
      </c>
      <c r="BP976" s="15"/>
      <c r="BQ976" s="15" t="s">
        <v>136</v>
      </c>
      <c r="BR976" s="2" t="s">
        <v>161</v>
      </c>
      <c r="BS976" s="2" t="s">
        <v>3608</v>
      </c>
      <c r="BT976" s="7" t="s">
        <v>174</v>
      </c>
      <c r="BU976" s="7"/>
      <c r="BV976" s="9" t="s">
        <v>458</v>
      </c>
      <c r="BW976" s="9"/>
    </row>
    <row r="977" spans="1:75" ht="14.25" customHeight="1" x14ac:dyDescent="0.25">
      <c r="A977" s="1">
        <v>1703</v>
      </c>
      <c r="B977" s="1" t="s">
        <v>4050</v>
      </c>
      <c r="C977" s="1" t="s">
        <v>4051</v>
      </c>
      <c r="D977" s="1" t="s">
        <v>77</v>
      </c>
      <c r="E977" s="1" t="s">
        <v>2396</v>
      </c>
      <c r="F977" s="1" t="s">
        <v>4045</v>
      </c>
      <c r="G977" s="1"/>
      <c r="H977" s="2">
        <v>0</v>
      </c>
      <c r="I977" s="2">
        <v>1</v>
      </c>
      <c r="J977" s="2">
        <v>0</v>
      </c>
      <c r="K977" s="2">
        <v>0</v>
      </c>
      <c r="L977" s="3" t="s">
        <v>127</v>
      </c>
      <c r="O977" s="4">
        <v>1</v>
      </c>
      <c r="P977" s="4" t="s">
        <v>659</v>
      </c>
      <c r="Q977" s="4" t="s">
        <v>4052</v>
      </c>
      <c r="R977" s="16">
        <v>860000000</v>
      </c>
      <c r="S977" s="6">
        <v>860000000</v>
      </c>
      <c r="T977" s="17" t="s">
        <v>1869</v>
      </c>
      <c r="U977" s="6">
        <v>500</v>
      </c>
      <c r="V977" s="4"/>
      <c r="W977" s="4" t="s">
        <v>543</v>
      </c>
      <c r="X977" s="4" t="s">
        <v>4053</v>
      </c>
      <c r="Y977" s="7">
        <v>1</v>
      </c>
      <c r="Z977" s="8">
        <v>39490024</v>
      </c>
      <c r="AA977" s="7" t="s">
        <v>283</v>
      </c>
      <c r="AB977" s="7"/>
      <c r="AC977" s="9">
        <v>1</v>
      </c>
      <c r="AD977" s="10">
        <v>24599358</v>
      </c>
      <c r="AE977" s="9" t="s">
        <v>283</v>
      </c>
      <c r="AF977" s="9"/>
      <c r="AG977" s="11">
        <v>2</v>
      </c>
      <c r="AH977" s="11" t="s">
        <v>271</v>
      </c>
      <c r="AI977" s="11" t="s">
        <v>3804</v>
      </c>
      <c r="AJ977" s="11"/>
      <c r="AK977" s="11"/>
      <c r="AL977" s="12">
        <v>2</v>
      </c>
      <c r="AM977" s="12" t="s">
        <v>271</v>
      </c>
      <c r="AN977" s="12" t="s">
        <v>4024</v>
      </c>
      <c r="AO977" s="12"/>
      <c r="AP977" s="12"/>
      <c r="AQ977" s="4">
        <v>3</v>
      </c>
      <c r="AR977" s="4" t="s">
        <v>537</v>
      </c>
      <c r="AS977" s="4"/>
      <c r="AT977" s="13"/>
      <c r="AU977" s="13"/>
      <c r="AV977" s="13"/>
      <c r="AW977" s="13"/>
      <c r="AX977" s="4"/>
      <c r="AY977" s="13"/>
      <c r="AZ977" s="13"/>
      <c r="BA977" s="13"/>
      <c r="BB977" s="13"/>
      <c r="BC977" s="4"/>
      <c r="BD977" s="4"/>
      <c r="BE977" s="4"/>
      <c r="BF977" s="13"/>
      <c r="BG977" s="4"/>
      <c r="BH977" s="13"/>
      <c r="BI977" s="13"/>
      <c r="BJ977" s="4"/>
      <c r="BK977" s="14">
        <v>7</v>
      </c>
      <c r="BL977" s="14">
        <v>7</v>
      </c>
      <c r="BM977" s="14">
        <v>7</v>
      </c>
      <c r="BP977" s="15"/>
      <c r="BQ977" s="15" t="s">
        <v>136</v>
      </c>
      <c r="BR977" s="2" t="s">
        <v>161</v>
      </c>
      <c r="BS977" s="2" t="s">
        <v>3608</v>
      </c>
      <c r="BT977" s="7" t="s">
        <v>1153</v>
      </c>
      <c r="BU977" s="7" t="s">
        <v>212</v>
      </c>
      <c r="BV977" s="9" t="s">
        <v>458</v>
      </c>
      <c r="BW977" s="9"/>
    </row>
    <row r="978" spans="1:75" ht="14.25" customHeight="1" x14ac:dyDescent="0.25">
      <c r="A978" s="1">
        <v>1707</v>
      </c>
      <c r="B978" s="1" t="s">
        <v>4054</v>
      </c>
      <c r="C978" s="1" t="s">
        <v>4055</v>
      </c>
      <c r="D978" s="1" t="s">
        <v>77</v>
      </c>
      <c r="E978" s="1" t="s">
        <v>2396</v>
      </c>
      <c r="F978" s="1" t="s">
        <v>4045</v>
      </c>
      <c r="G978" s="1"/>
      <c r="H978" s="2">
        <v>0</v>
      </c>
      <c r="I978" s="2">
        <v>1</v>
      </c>
      <c r="J978" s="2">
        <v>0</v>
      </c>
      <c r="K978" s="2">
        <v>0</v>
      </c>
      <c r="L978" s="3" t="s">
        <v>127</v>
      </c>
      <c r="O978" s="4">
        <v>3</v>
      </c>
      <c r="P978" s="4" t="s">
        <v>706</v>
      </c>
      <c r="Q978" s="4"/>
      <c r="R978" s="16">
        <v>2000000</v>
      </c>
      <c r="S978" s="6">
        <v>2000000</v>
      </c>
      <c r="T978" s="17" t="s">
        <v>682</v>
      </c>
      <c r="U978" s="6">
        <v>50</v>
      </c>
      <c r="V978" s="4"/>
      <c r="W978" s="4" t="s">
        <v>543</v>
      </c>
      <c r="X978" s="4" t="s">
        <v>4056</v>
      </c>
      <c r="Y978" s="7">
        <v>2</v>
      </c>
      <c r="Z978" s="8">
        <v>3792384</v>
      </c>
      <c r="AA978" s="7" t="s">
        <v>283</v>
      </c>
      <c r="AB978" s="7"/>
      <c r="AC978" s="9">
        <v>1</v>
      </c>
      <c r="AD978" s="10">
        <v>11426368</v>
      </c>
      <c r="AE978" s="9" t="s">
        <v>283</v>
      </c>
      <c r="AF978" s="9"/>
      <c r="AG978" s="11">
        <v>2</v>
      </c>
      <c r="AH978" s="11" t="s">
        <v>271</v>
      </c>
      <c r="AI978" s="11" t="s">
        <v>3804</v>
      </c>
      <c r="AJ978" s="11"/>
      <c r="AK978" s="11"/>
      <c r="AL978" s="12">
        <v>2</v>
      </c>
      <c r="AM978" s="12" t="s">
        <v>271</v>
      </c>
      <c r="AN978" s="12" t="s">
        <v>4024</v>
      </c>
      <c r="AO978" s="12"/>
      <c r="AP978" s="12"/>
      <c r="AQ978" s="4">
        <v>3</v>
      </c>
      <c r="AR978" s="4" t="s">
        <v>537</v>
      </c>
      <c r="AS978" s="4"/>
      <c r="AT978" s="13"/>
      <c r="AU978" s="13"/>
      <c r="AV978" s="13"/>
      <c r="AW978" s="13"/>
      <c r="AX978" s="4"/>
      <c r="AY978" s="13"/>
      <c r="AZ978" s="13"/>
      <c r="BA978" s="13"/>
      <c r="BB978" s="13"/>
      <c r="BC978" s="4"/>
      <c r="BD978" s="4"/>
      <c r="BE978" s="4"/>
      <c r="BF978" s="13"/>
      <c r="BG978" s="4"/>
      <c r="BH978" s="13"/>
      <c r="BI978" s="13"/>
      <c r="BJ978" s="4"/>
      <c r="BK978" s="14">
        <v>10</v>
      </c>
      <c r="BL978" s="14">
        <v>9</v>
      </c>
      <c r="BM978" s="14">
        <v>10</v>
      </c>
      <c r="BP978" s="15"/>
      <c r="BQ978" s="15" t="s">
        <v>136</v>
      </c>
      <c r="BR978" s="2" t="s">
        <v>161</v>
      </c>
      <c r="BS978" s="2" t="s">
        <v>3608</v>
      </c>
      <c r="BT978" s="7" t="s">
        <v>174</v>
      </c>
      <c r="BU978" s="7"/>
      <c r="BV978" s="9" t="s">
        <v>248</v>
      </c>
      <c r="BW978" s="9"/>
    </row>
    <row r="979" spans="1:75" ht="14.25" customHeight="1" x14ac:dyDescent="0.25">
      <c r="A979" s="1">
        <v>1708</v>
      </c>
      <c r="B979" s="1" t="s">
        <v>4057</v>
      </c>
      <c r="C979" s="1" t="s">
        <v>4058</v>
      </c>
      <c r="D979" s="1" t="s">
        <v>77</v>
      </c>
      <c r="E979" s="1" t="s">
        <v>2396</v>
      </c>
      <c r="F979" s="1" t="s">
        <v>4045</v>
      </c>
      <c r="G979" s="1"/>
      <c r="H979" s="2">
        <v>1</v>
      </c>
      <c r="I979" s="2">
        <v>1</v>
      </c>
      <c r="J979" s="2">
        <v>1</v>
      </c>
      <c r="K979" s="2">
        <v>1</v>
      </c>
      <c r="L979" s="3" t="s">
        <v>127</v>
      </c>
      <c r="O979" s="4">
        <v>2</v>
      </c>
      <c r="P979" s="4" t="s">
        <v>4059</v>
      </c>
      <c r="Q979" s="4"/>
      <c r="R979" s="16">
        <v>20000000</v>
      </c>
      <c r="S979" s="6">
        <v>20000000</v>
      </c>
      <c r="T979" s="16">
        <v>18000000</v>
      </c>
      <c r="U979" s="6">
        <v>18000000</v>
      </c>
      <c r="V979" s="4">
        <v>2010.5</v>
      </c>
      <c r="W979" s="4" t="s">
        <v>536</v>
      </c>
      <c r="X979" s="4"/>
      <c r="Y979" s="7">
        <v>1</v>
      </c>
      <c r="Z979" s="8">
        <v>5956629</v>
      </c>
      <c r="AA979" s="7" t="s">
        <v>92</v>
      </c>
      <c r="AB979" s="7"/>
      <c r="AC979" s="9">
        <v>1</v>
      </c>
      <c r="AD979" s="10">
        <v>5514771</v>
      </c>
      <c r="AE979" s="9" t="s">
        <v>92</v>
      </c>
      <c r="AF979" s="9"/>
      <c r="AG979" s="11">
        <v>3</v>
      </c>
      <c r="AH979" s="11" t="s">
        <v>131</v>
      </c>
      <c r="AI979" s="11"/>
      <c r="AJ979" s="11">
        <v>4</v>
      </c>
      <c r="AK979" s="11" t="s">
        <v>332</v>
      </c>
      <c r="AL979" s="12">
        <v>2</v>
      </c>
      <c r="AM979" s="12" t="s">
        <v>131</v>
      </c>
      <c r="AN979" s="12"/>
      <c r="AO979" s="12">
        <v>2</v>
      </c>
      <c r="AP979" s="12" t="s">
        <v>143</v>
      </c>
      <c r="AQ979" s="4">
        <v>3</v>
      </c>
      <c r="AR979" s="4" t="s">
        <v>184</v>
      </c>
      <c r="AS979" s="4"/>
      <c r="AT979" s="13">
        <v>-88.652336120605497</v>
      </c>
      <c r="AU979" s="13">
        <v>-4.3439650535583496</v>
      </c>
      <c r="AV979" s="13">
        <v>-20.720146179199201</v>
      </c>
      <c r="AW979" s="13">
        <v>6.3807420730590803</v>
      </c>
      <c r="AX979" s="4"/>
      <c r="AY979" s="13">
        <v>-13.6411695480347</v>
      </c>
      <c r="AZ979" s="13">
        <v>-1.4558892250061</v>
      </c>
      <c r="BA979" s="13">
        <v>-14.8079528808594</v>
      </c>
      <c r="BB979" s="13">
        <v>14.2289371490479</v>
      </c>
      <c r="BC979" s="4"/>
      <c r="BD979" s="4">
        <v>10</v>
      </c>
      <c r="BE979" s="4"/>
      <c r="BF979" s="13">
        <v>27.100887298583999</v>
      </c>
      <c r="BG979" s="4"/>
      <c r="BH979" s="13"/>
      <c r="BI979" s="13"/>
      <c r="BJ979" s="4"/>
      <c r="BK979" s="14">
        <v>9</v>
      </c>
      <c r="BL979" s="14">
        <v>8</v>
      </c>
      <c r="BM979" s="14">
        <v>9</v>
      </c>
      <c r="BN979" s="3" t="s">
        <v>302</v>
      </c>
      <c r="BP979" s="15"/>
      <c r="BQ979" s="15" t="s">
        <v>136</v>
      </c>
      <c r="BR979" s="2" t="s">
        <v>161</v>
      </c>
      <c r="BS979" s="2" t="s">
        <v>172</v>
      </c>
      <c r="BT979" s="7" t="s">
        <v>539</v>
      </c>
      <c r="BU979" s="7" t="s">
        <v>174</v>
      </c>
      <c r="BV979" s="9" t="s">
        <v>603</v>
      </c>
      <c r="BW979" s="9" t="s">
        <v>357</v>
      </c>
    </row>
    <row r="980" spans="1:75" ht="14.25" customHeight="1" x14ac:dyDescent="0.25">
      <c r="A980" s="1">
        <v>1710</v>
      </c>
      <c r="B980" s="1" t="s">
        <v>4060</v>
      </c>
      <c r="C980" s="1" t="s">
        <v>4061</v>
      </c>
      <c r="D980" s="1" t="s">
        <v>77</v>
      </c>
      <c r="E980" s="1" t="s">
        <v>2396</v>
      </c>
      <c r="F980" s="1" t="s">
        <v>4045</v>
      </c>
      <c r="G980" s="1" t="s">
        <v>118</v>
      </c>
      <c r="H980" s="2">
        <v>1</v>
      </c>
      <c r="I980" s="2">
        <v>1</v>
      </c>
      <c r="J980" s="2">
        <v>1</v>
      </c>
      <c r="K980" s="2">
        <v>0</v>
      </c>
      <c r="L980" s="3" t="s">
        <v>127</v>
      </c>
      <c r="O980" s="4">
        <v>3</v>
      </c>
      <c r="P980" s="4" t="s">
        <v>425</v>
      </c>
      <c r="Q980" s="4"/>
      <c r="R980" s="16">
        <v>1400000</v>
      </c>
      <c r="S980" s="6">
        <v>1400000</v>
      </c>
      <c r="T980" s="16">
        <v>1400000</v>
      </c>
      <c r="U980" s="6">
        <v>1400000</v>
      </c>
      <c r="V980" s="4">
        <v>2010.5</v>
      </c>
      <c r="W980" s="4" t="s">
        <v>425</v>
      </c>
      <c r="X980" s="4"/>
      <c r="Y980" s="7">
        <v>2</v>
      </c>
      <c r="Z980" s="8">
        <v>1157665</v>
      </c>
      <c r="AA980" s="7" t="s">
        <v>92</v>
      </c>
      <c r="AB980" s="7"/>
      <c r="AC980" s="9">
        <v>2</v>
      </c>
      <c r="AD980" s="10">
        <v>1689913</v>
      </c>
      <c r="AE980" s="9" t="s">
        <v>92</v>
      </c>
      <c r="AF980" s="9" t="s">
        <v>3958</v>
      </c>
      <c r="AG980" s="11">
        <v>4</v>
      </c>
      <c r="AH980" s="11" t="s">
        <v>131</v>
      </c>
      <c r="AI980" s="11" t="s">
        <v>4062</v>
      </c>
      <c r="AJ980" s="11">
        <v>3</v>
      </c>
      <c r="AK980" s="11" t="s">
        <v>332</v>
      </c>
      <c r="AL980" s="12">
        <v>4</v>
      </c>
      <c r="AM980" s="12" t="s">
        <v>131</v>
      </c>
      <c r="AN980" s="12" t="s">
        <v>4063</v>
      </c>
      <c r="AO980" s="12">
        <v>2</v>
      </c>
      <c r="AP980" s="12" t="s">
        <v>132</v>
      </c>
      <c r="AQ980" s="4">
        <v>5</v>
      </c>
      <c r="AR980" s="4" t="s">
        <v>133</v>
      </c>
      <c r="AS980" s="4"/>
      <c r="AT980" s="13">
        <v>-84.218498229980497</v>
      </c>
      <c r="AU980" s="13">
        <v>-3.55198073387146</v>
      </c>
      <c r="AV980" s="13">
        <v>-4.6399998664856001</v>
      </c>
      <c r="AW980" s="13">
        <v>-2.7296009063720699</v>
      </c>
      <c r="AX980" s="4">
        <v>1</v>
      </c>
      <c r="AY980" s="13">
        <v>-48.335819244384801</v>
      </c>
      <c r="AZ980" s="13">
        <v>-6.3934640884399396</v>
      </c>
      <c r="BA980" s="13">
        <v>-10</v>
      </c>
      <c r="BB980" s="13">
        <v>-3.43499803543091</v>
      </c>
      <c r="BC980" s="4">
        <v>1</v>
      </c>
      <c r="BD980" s="4">
        <v>10</v>
      </c>
      <c r="BE980" s="4" t="s">
        <v>134</v>
      </c>
      <c r="BF980" s="13">
        <v>1.9103989601135301</v>
      </c>
      <c r="BG980" s="4">
        <v>279.5</v>
      </c>
      <c r="BH980" s="13">
        <v>3.0350000858306898</v>
      </c>
      <c r="BI980" s="13">
        <v>847.85498046875</v>
      </c>
      <c r="BJ980" s="4">
        <v>10</v>
      </c>
      <c r="BK980" s="14">
        <v>14</v>
      </c>
      <c r="BL980" s="14">
        <v>14</v>
      </c>
      <c r="BM980" s="14">
        <v>14</v>
      </c>
      <c r="BN980" s="3" t="s">
        <v>375</v>
      </c>
      <c r="BO980" s="3" t="s">
        <v>114</v>
      </c>
      <c r="BP980" s="15"/>
      <c r="BQ980" s="15" t="s">
        <v>136</v>
      </c>
      <c r="BR980" s="2" t="s">
        <v>457</v>
      </c>
      <c r="BS980" s="2" t="s">
        <v>297</v>
      </c>
      <c r="BT980" s="7" t="s">
        <v>585</v>
      </c>
      <c r="BU980" s="7"/>
      <c r="BV980" s="9" t="s">
        <v>474</v>
      </c>
      <c r="BW980" s="9"/>
    </row>
    <row r="981" spans="1:75" ht="14.25" customHeight="1" x14ac:dyDescent="0.25">
      <c r="A981" s="1">
        <v>1711</v>
      </c>
      <c r="B981" s="1" t="s">
        <v>4064</v>
      </c>
      <c r="C981" s="1" t="s">
        <v>4065</v>
      </c>
      <c r="D981" s="1" t="s">
        <v>77</v>
      </c>
      <c r="E981" s="1" t="s">
        <v>2396</v>
      </c>
      <c r="F981" s="1" t="s">
        <v>4045</v>
      </c>
      <c r="G981" s="1" t="s">
        <v>4066</v>
      </c>
      <c r="H981" s="2">
        <v>0</v>
      </c>
      <c r="I981" s="2">
        <v>0</v>
      </c>
      <c r="J981" s="2">
        <v>0</v>
      </c>
      <c r="K981" s="2">
        <v>1</v>
      </c>
      <c r="L981" s="3" t="s">
        <v>80</v>
      </c>
      <c r="O981" s="4">
        <v>2</v>
      </c>
      <c r="P981" s="4" t="s">
        <v>81</v>
      </c>
      <c r="Q981" s="4" t="s">
        <v>4067</v>
      </c>
      <c r="R981" s="5"/>
      <c r="S981" s="6"/>
      <c r="T981" s="17"/>
      <c r="U981" s="6"/>
      <c r="V981" s="4"/>
      <c r="W981" s="4"/>
      <c r="X981" s="4"/>
      <c r="Y981" s="7">
        <v>1</v>
      </c>
      <c r="Z981" s="8">
        <v>7237024</v>
      </c>
      <c r="AA981" s="7" t="s">
        <v>82</v>
      </c>
      <c r="AB981" s="7" t="s">
        <v>4068</v>
      </c>
      <c r="AC981" s="9">
        <v>1</v>
      </c>
      <c r="AD981" s="10">
        <v>7237024</v>
      </c>
      <c r="AE981" s="9" t="s">
        <v>82</v>
      </c>
      <c r="AF981" s="9" t="s">
        <v>4069</v>
      </c>
      <c r="AG981" s="11">
        <v>4</v>
      </c>
      <c r="AH981" s="11" t="s">
        <v>83</v>
      </c>
      <c r="AI981" s="11" t="s">
        <v>4070</v>
      </c>
      <c r="AJ981" s="11"/>
      <c r="AK981" s="11"/>
      <c r="AL981" s="12">
        <v>4</v>
      </c>
      <c r="AM981" s="12" t="s">
        <v>83</v>
      </c>
      <c r="AN981" s="12"/>
      <c r="AO981" s="12"/>
      <c r="AP981" s="12"/>
      <c r="AQ981" s="4">
        <v>3</v>
      </c>
      <c r="AR981" s="4" t="s">
        <v>83</v>
      </c>
      <c r="AS981" s="4"/>
      <c r="AT981" s="13"/>
      <c r="AU981" s="13"/>
      <c r="AV981" s="13"/>
      <c r="AW981" s="13"/>
      <c r="AX981" s="4"/>
      <c r="AY981" s="13"/>
      <c r="AZ981" s="13"/>
      <c r="BA981" s="13"/>
      <c r="BB981" s="13"/>
      <c r="BC981" s="4"/>
      <c r="BD981" s="4"/>
      <c r="BE981" s="4"/>
      <c r="BF981" s="13"/>
      <c r="BG981" s="4"/>
      <c r="BH981" s="13"/>
      <c r="BI981" s="13"/>
      <c r="BJ981" s="4"/>
      <c r="BK981" s="14">
        <v>10</v>
      </c>
      <c r="BL981" s="14">
        <v>10</v>
      </c>
      <c r="BM981" s="14">
        <v>10</v>
      </c>
      <c r="BP981" s="15"/>
      <c r="BQ981" s="15" t="s">
        <v>2503</v>
      </c>
      <c r="BR981" s="2" t="s">
        <v>740</v>
      </c>
      <c r="BS981" s="2" t="s">
        <v>740</v>
      </c>
      <c r="BT981" s="7" t="s">
        <v>463</v>
      </c>
      <c r="BU981" s="7"/>
      <c r="BV981" s="9" t="s">
        <v>463</v>
      </c>
      <c r="BW981" s="9"/>
    </row>
    <row r="982" spans="1:75" ht="14.25" customHeight="1" x14ac:dyDescent="0.25">
      <c r="A982" s="1">
        <v>1714</v>
      </c>
      <c r="B982" s="1" t="s">
        <v>4071</v>
      </c>
      <c r="C982" s="1" t="s">
        <v>4072</v>
      </c>
      <c r="D982" s="1" t="s">
        <v>77</v>
      </c>
      <c r="E982" s="1" t="s">
        <v>2396</v>
      </c>
      <c r="F982" s="1" t="s">
        <v>4073</v>
      </c>
      <c r="G982" s="1" t="s">
        <v>4074</v>
      </c>
      <c r="H982" s="2">
        <v>0</v>
      </c>
      <c r="I982" s="2">
        <v>0</v>
      </c>
      <c r="J982" s="2">
        <v>1</v>
      </c>
      <c r="K982" s="2">
        <v>1</v>
      </c>
      <c r="L982" s="3" t="s">
        <v>80</v>
      </c>
      <c r="O982" s="4">
        <v>4</v>
      </c>
      <c r="P982" s="4" t="s">
        <v>112</v>
      </c>
      <c r="Q982" s="4" t="s">
        <v>4075</v>
      </c>
      <c r="R982" s="5"/>
      <c r="S982" s="6"/>
      <c r="T982" s="17"/>
      <c r="U982" s="6"/>
      <c r="V982" s="4"/>
      <c r="W982" s="4"/>
      <c r="X982" s="4"/>
      <c r="Y982" s="7">
        <v>3</v>
      </c>
      <c r="Z982" s="8">
        <v>464921</v>
      </c>
      <c r="AA982" s="7" t="s">
        <v>92</v>
      </c>
      <c r="AB982" s="7"/>
      <c r="AC982" s="9">
        <v>3</v>
      </c>
      <c r="AD982" s="10">
        <v>464921</v>
      </c>
      <c r="AE982" s="9" t="s">
        <v>92</v>
      </c>
      <c r="AF982" s="9"/>
      <c r="AG982" s="11">
        <v>3</v>
      </c>
      <c r="AH982" s="11" t="s">
        <v>93</v>
      </c>
      <c r="AI982" s="11"/>
      <c r="AJ982" s="11"/>
      <c r="AK982" s="11"/>
      <c r="AL982" s="12">
        <v>3</v>
      </c>
      <c r="AM982" s="12" t="s">
        <v>93</v>
      </c>
      <c r="AN982" s="12" t="s">
        <v>4076</v>
      </c>
      <c r="AO982" s="12"/>
      <c r="AP982" s="12"/>
      <c r="AQ982" s="4">
        <v>4</v>
      </c>
      <c r="AR982" s="4" t="s">
        <v>83</v>
      </c>
      <c r="AS982" s="4"/>
      <c r="AT982" s="13"/>
      <c r="AU982" s="13"/>
      <c r="AV982" s="13"/>
      <c r="AW982" s="13"/>
      <c r="AX982" s="4"/>
      <c r="AY982" s="13"/>
      <c r="AZ982" s="13"/>
      <c r="BA982" s="13"/>
      <c r="BB982" s="13"/>
      <c r="BC982" s="4"/>
      <c r="BD982" s="4"/>
      <c r="BE982" s="4"/>
      <c r="BF982" s="13"/>
      <c r="BG982" s="4"/>
      <c r="BH982" s="13"/>
      <c r="BI982" s="13"/>
      <c r="BJ982" s="4"/>
      <c r="BK982" s="14">
        <v>14</v>
      </c>
      <c r="BL982" s="14">
        <v>14</v>
      </c>
      <c r="BM982" s="14">
        <v>14</v>
      </c>
      <c r="BN982" s="3" t="s">
        <v>86</v>
      </c>
      <c r="BP982" s="15"/>
      <c r="BQ982" s="15"/>
      <c r="BR982" s="2" t="s">
        <v>409</v>
      </c>
      <c r="BS982" s="2" t="s">
        <v>409</v>
      </c>
      <c r="BT982" s="7" t="s">
        <v>438</v>
      </c>
      <c r="BU982" s="7" t="s">
        <v>88</v>
      </c>
      <c r="BV982" s="9" t="s">
        <v>438</v>
      </c>
      <c r="BW982" s="9" t="s">
        <v>88</v>
      </c>
    </row>
    <row r="983" spans="1:75" ht="14.25" customHeight="1" x14ac:dyDescent="0.25">
      <c r="A983" s="1">
        <v>1717</v>
      </c>
      <c r="B983" s="1" t="s">
        <v>4077</v>
      </c>
      <c r="C983" s="1" t="s">
        <v>4078</v>
      </c>
      <c r="D983" s="1" t="s">
        <v>77</v>
      </c>
      <c r="E983" s="1" t="s">
        <v>2396</v>
      </c>
      <c r="F983" s="1" t="s">
        <v>4073</v>
      </c>
      <c r="G983" s="1" t="s">
        <v>118</v>
      </c>
      <c r="H983" s="2">
        <v>0</v>
      </c>
      <c r="I983" s="2">
        <v>0</v>
      </c>
      <c r="J983" s="2">
        <v>1</v>
      </c>
      <c r="K983" s="2">
        <v>1</v>
      </c>
      <c r="L983" s="3" t="s">
        <v>80</v>
      </c>
      <c r="O983" s="4">
        <v>4</v>
      </c>
      <c r="P983" s="4" t="s">
        <v>112</v>
      </c>
      <c r="Q983" s="4"/>
      <c r="R983" s="5"/>
      <c r="S983" s="6"/>
      <c r="T983" s="17"/>
      <c r="U983" s="6"/>
      <c r="V983" s="4"/>
      <c r="W983" s="4"/>
      <c r="X983" s="4"/>
      <c r="Y983" s="7">
        <v>4</v>
      </c>
      <c r="Z983" s="8">
        <v>161337</v>
      </c>
      <c r="AA983" s="7" t="s">
        <v>92</v>
      </c>
      <c r="AB983" s="7"/>
      <c r="AC983" s="9">
        <v>4</v>
      </c>
      <c r="AD983" s="10">
        <v>161337</v>
      </c>
      <c r="AE983" s="9" t="s">
        <v>92</v>
      </c>
      <c r="AF983" s="9"/>
      <c r="AG983" s="11">
        <v>4</v>
      </c>
      <c r="AH983" s="11" t="s">
        <v>93</v>
      </c>
      <c r="AI983" s="11"/>
      <c r="AJ983" s="11"/>
      <c r="AK983" s="11"/>
      <c r="AL983" s="12">
        <v>4</v>
      </c>
      <c r="AM983" s="12" t="s">
        <v>93</v>
      </c>
      <c r="AN983" s="12" t="s">
        <v>4079</v>
      </c>
      <c r="AO983" s="12"/>
      <c r="AP983" s="12"/>
      <c r="AQ983" s="4">
        <v>4</v>
      </c>
      <c r="AR983" s="4" t="s">
        <v>83</v>
      </c>
      <c r="AS983" s="4"/>
      <c r="AT983" s="13"/>
      <c r="AU983" s="13"/>
      <c r="AV983" s="13"/>
      <c r="AW983" s="13"/>
      <c r="AX983" s="4"/>
      <c r="AY983" s="13"/>
      <c r="AZ983" s="13"/>
      <c r="BA983" s="13"/>
      <c r="BB983" s="13"/>
      <c r="BC983" s="4"/>
      <c r="BD983" s="4"/>
      <c r="BE983" s="4"/>
      <c r="BF983" s="13"/>
      <c r="BG983" s="4"/>
      <c r="BH983" s="13"/>
      <c r="BI983" s="13"/>
      <c r="BJ983" s="4"/>
      <c r="BK983" s="14">
        <v>16</v>
      </c>
      <c r="BL983" s="14">
        <v>16</v>
      </c>
      <c r="BM983" s="14">
        <v>16</v>
      </c>
      <c r="BN983" s="3" t="s">
        <v>86</v>
      </c>
      <c r="BP983" s="15"/>
      <c r="BQ983" s="15"/>
      <c r="BR983" s="2" t="s">
        <v>87</v>
      </c>
      <c r="BS983" s="2" t="s">
        <v>87</v>
      </c>
      <c r="BT983" s="7" t="s">
        <v>88</v>
      </c>
      <c r="BU983" s="7"/>
      <c r="BV983" s="9" t="s">
        <v>88</v>
      </c>
      <c r="BW983" s="9"/>
    </row>
    <row r="984" spans="1:75" ht="14.25" customHeight="1" x14ac:dyDescent="0.25">
      <c r="A984" s="1">
        <v>1718</v>
      </c>
      <c r="B984" s="1" t="s">
        <v>4080</v>
      </c>
      <c r="C984" s="1" t="s">
        <v>4081</v>
      </c>
      <c r="D984" s="1" t="s">
        <v>77</v>
      </c>
      <c r="E984" s="1" t="s">
        <v>2396</v>
      </c>
      <c r="F984" s="1" t="s">
        <v>4073</v>
      </c>
      <c r="G984" s="1" t="s">
        <v>118</v>
      </c>
      <c r="H984" s="2">
        <v>0</v>
      </c>
      <c r="I984" s="2">
        <v>0</v>
      </c>
      <c r="J984" s="2">
        <v>0</v>
      </c>
      <c r="K984" s="2">
        <v>1</v>
      </c>
      <c r="L984" s="3" t="s">
        <v>80</v>
      </c>
      <c r="O984" s="4">
        <v>4</v>
      </c>
      <c r="P984" s="4" t="s">
        <v>81</v>
      </c>
      <c r="Q984" s="4"/>
      <c r="R984" s="5"/>
      <c r="S984" s="6"/>
      <c r="T984" s="17"/>
      <c r="U984" s="6"/>
      <c r="V984" s="4"/>
      <c r="W984" s="4"/>
      <c r="X984" s="4"/>
      <c r="Y984" s="7">
        <v>5</v>
      </c>
      <c r="Z984" s="8">
        <v>17505</v>
      </c>
      <c r="AA984" s="7" t="s">
        <v>82</v>
      </c>
      <c r="AB984" s="7"/>
      <c r="AC984" s="9">
        <v>5</v>
      </c>
      <c r="AD984" s="10">
        <v>17505</v>
      </c>
      <c r="AE984" s="9" t="s">
        <v>82</v>
      </c>
      <c r="AF984" s="9"/>
      <c r="AG984" s="11">
        <v>3</v>
      </c>
      <c r="AH984" s="11" t="s">
        <v>83</v>
      </c>
      <c r="AI984" s="11"/>
      <c r="AJ984" s="11"/>
      <c r="AK984" s="11"/>
      <c r="AL984" s="12">
        <v>3</v>
      </c>
      <c r="AM984" s="12" t="s">
        <v>83</v>
      </c>
      <c r="AN984" s="12"/>
      <c r="AO984" s="12"/>
      <c r="AP984" s="12"/>
      <c r="AQ984" s="4">
        <v>3</v>
      </c>
      <c r="AR984" s="4" t="s">
        <v>83</v>
      </c>
      <c r="AS984" s="4"/>
      <c r="AT984" s="13"/>
      <c r="AU984" s="13"/>
      <c r="AV984" s="13"/>
      <c r="AW984" s="13"/>
      <c r="AX984" s="4"/>
      <c r="AY984" s="13"/>
      <c r="AZ984" s="13"/>
      <c r="BA984" s="13"/>
      <c r="BB984" s="13"/>
      <c r="BC984" s="4"/>
      <c r="BD984" s="4"/>
      <c r="BE984" s="4"/>
      <c r="BF984" s="13"/>
      <c r="BG984" s="4"/>
      <c r="BH984" s="13"/>
      <c r="BI984" s="13"/>
      <c r="BJ984" s="4"/>
      <c r="BK984" s="14">
        <v>15</v>
      </c>
      <c r="BL984" s="14">
        <v>15</v>
      </c>
      <c r="BM984" s="14">
        <v>15</v>
      </c>
      <c r="BN984" s="3" t="s">
        <v>86</v>
      </c>
      <c r="BP984" s="15"/>
      <c r="BQ984" s="15"/>
      <c r="BR984" s="2" t="s">
        <v>87</v>
      </c>
      <c r="BS984" s="2" t="s">
        <v>87</v>
      </c>
      <c r="BT984" s="7" t="s">
        <v>88</v>
      </c>
      <c r="BU984" s="7"/>
      <c r="BV984" s="9" t="s">
        <v>88</v>
      </c>
      <c r="BW984" s="9"/>
    </row>
    <row r="985" spans="1:75" ht="14.25" customHeight="1" x14ac:dyDescent="0.25">
      <c r="A985" s="1">
        <v>1720</v>
      </c>
      <c r="B985" s="1" t="s">
        <v>4082</v>
      </c>
      <c r="C985" s="1" t="s">
        <v>4083</v>
      </c>
      <c r="D985" s="1" t="s">
        <v>77</v>
      </c>
      <c r="E985" s="1" t="s">
        <v>2396</v>
      </c>
      <c r="F985" s="1" t="s">
        <v>4073</v>
      </c>
      <c r="G985" s="1" t="s">
        <v>4084</v>
      </c>
      <c r="H985" s="2">
        <v>0</v>
      </c>
      <c r="I985" s="2">
        <v>0</v>
      </c>
      <c r="J985" s="2">
        <v>1</v>
      </c>
      <c r="K985" s="2">
        <v>0</v>
      </c>
      <c r="L985" s="3" t="s">
        <v>80</v>
      </c>
      <c r="O985" s="4">
        <v>4</v>
      </c>
      <c r="P985" s="4" t="s">
        <v>3028</v>
      </c>
      <c r="Q985" s="4" t="s">
        <v>4085</v>
      </c>
      <c r="R985" s="16">
        <v>460000</v>
      </c>
      <c r="S985" s="6">
        <v>460000</v>
      </c>
      <c r="T985" s="17"/>
      <c r="U985" s="6"/>
      <c r="V985" s="4"/>
      <c r="W985" s="4"/>
      <c r="X985" s="4"/>
      <c r="Y985" s="7">
        <v>4</v>
      </c>
      <c r="Z985" s="8">
        <v>144861</v>
      </c>
      <c r="AA985" s="7" t="s">
        <v>1283</v>
      </c>
      <c r="AB985" s="7" t="s">
        <v>4086</v>
      </c>
      <c r="AC985" s="9">
        <v>4</v>
      </c>
      <c r="AD985" s="10">
        <v>144861</v>
      </c>
      <c r="AE985" s="9" t="s">
        <v>1283</v>
      </c>
      <c r="AF985" s="9" t="s">
        <v>4086</v>
      </c>
      <c r="AG985" s="11">
        <v>3</v>
      </c>
      <c r="AH985" s="11" t="s">
        <v>1973</v>
      </c>
      <c r="AI985" s="11" t="s">
        <v>4087</v>
      </c>
      <c r="AJ985" s="11"/>
      <c r="AK985" s="11"/>
      <c r="AL985" s="12">
        <v>3</v>
      </c>
      <c r="AM985" s="12" t="s">
        <v>1973</v>
      </c>
      <c r="AN985" s="12" t="s">
        <v>4088</v>
      </c>
      <c r="AO985" s="12"/>
      <c r="AP985" s="12"/>
      <c r="AQ985" s="4">
        <v>3</v>
      </c>
      <c r="AR985" s="4" t="s">
        <v>4089</v>
      </c>
      <c r="AS985" s="4" t="s">
        <v>4090</v>
      </c>
      <c r="AT985" s="13"/>
      <c r="AU985" s="13"/>
      <c r="AV985" s="13"/>
      <c r="AW985" s="13"/>
      <c r="AX985" s="4"/>
      <c r="AY985" s="13"/>
      <c r="AZ985" s="13"/>
      <c r="BA985" s="13"/>
      <c r="BB985" s="13"/>
      <c r="BC985" s="4"/>
      <c r="BD985" s="4"/>
      <c r="BE985" s="4"/>
      <c r="BF985" s="13"/>
      <c r="BG985" s="4"/>
      <c r="BH985" s="13"/>
      <c r="BI985" s="13"/>
      <c r="BJ985" s="4"/>
      <c r="BK985" s="14">
        <v>14</v>
      </c>
      <c r="BL985" s="14">
        <v>14</v>
      </c>
      <c r="BM985" s="14">
        <v>14</v>
      </c>
      <c r="BN985" s="3" t="s">
        <v>86</v>
      </c>
      <c r="BP985" s="15"/>
      <c r="BQ985" s="15"/>
      <c r="BR985" s="2" t="s">
        <v>108</v>
      </c>
      <c r="BS985" s="2" t="s">
        <v>108</v>
      </c>
      <c r="BT985" s="7" t="s">
        <v>109</v>
      </c>
      <c r="BU985" s="7" t="s">
        <v>458</v>
      </c>
      <c r="BV985" s="9" t="s">
        <v>109</v>
      </c>
      <c r="BW985" s="9" t="s">
        <v>458</v>
      </c>
    </row>
    <row r="986" spans="1:75" ht="14.25" customHeight="1" x14ac:dyDescent="0.25">
      <c r="A986" s="1">
        <v>1721</v>
      </c>
      <c r="B986" s="1" t="s">
        <v>4091</v>
      </c>
      <c r="C986" s="1" t="s">
        <v>4092</v>
      </c>
      <c r="D986" s="1" t="s">
        <v>77</v>
      </c>
      <c r="E986" s="1" t="s">
        <v>2396</v>
      </c>
      <c r="F986" s="1" t="s">
        <v>4073</v>
      </c>
      <c r="G986" s="1"/>
      <c r="H986" s="2">
        <v>0</v>
      </c>
      <c r="I986" s="2">
        <v>0</v>
      </c>
      <c r="J986" s="2">
        <v>1</v>
      </c>
      <c r="K986" s="2">
        <v>1</v>
      </c>
      <c r="L986" s="3" t="s">
        <v>80</v>
      </c>
      <c r="O986" s="4">
        <v>3</v>
      </c>
      <c r="P986" s="4" t="s">
        <v>3028</v>
      </c>
      <c r="Q986" s="4" t="s">
        <v>4093</v>
      </c>
      <c r="R986" s="16">
        <v>1500000</v>
      </c>
      <c r="S986" s="6">
        <v>1500000</v>
      </c>
      <c r="T986" s="17"/>
      <c r="U986" s="6"/>
      <c r="V986" s="4"/>
      <c r="W986" s="4"/>
      <c r="X986" s="4"/>
      <c r="Y986" s="7">
        <v>3</v>
      </c>
      <c r="Z986" s="8">
        <v>579494</v>
      </c>
      <c r="AA986" s="7" t="s">
        <v>1283</v>
      </c>
      <c r="AB986" s="7" t="s">
        <v>4094</v>
      </c>
      <c r="AC986" s="9">
        <v>3</v>
      </c>
      <c r="AD986" s="10">
        <v>579494</v>
      </c>
      <c r="AE986" s="9" t="s">
        <v>1283</v>
      </c>
      <c r="AF986" s="9" t="s">
        <v>4094</v>
      </c>
      <c r="AG986" s="11">
        <v>2</v>
      </c>
      <c r="AH986" s="11" t="s">
        <v>83</v>
      </c>
      <c r="AI986" s="11" t="s">
        <v>4095</v>
      </c>
      <c r="AJ986" s="11"/>
      <c r="AK986" s="11"/>
      <c r="AL986" s="12">
        <v>2</v>
      </c>
      <c r="AM986" s="12" t="s">
        <v>83</v>
      </c>
      <c r="AN986" s="12" t="s">
        <v>4096</v>
      </c>
      <c r="AO986" s="12"/>
      <c r="AP986" s="12"/>
      <c r="AQ986" s="4">
        <v>3</v>
      </c>
      <c r="AR986" s="4" t="s">
        <v>83</v>
      </c>
      <c r="AS986" s="4" t="s">
        <v>4095</v>
      </c>
      <c r="AT986" s="13"/>
      <c r="AU986" s="13"/>
      <c r="AV986" s="13"/>
      <c r="AW986" s="13"/>
      <c r="AX986" s="4"/>
      <c r="AY986" s="13"/>
      <c r="AZ986" s="13"/>
      <c r="BA986" s="13"/>
      <c r="BB986" s="13"/>
      <c r="BC986" s="4"/>
      <c r="BD986" s="4"/>
      <c r="BE986" s="4"/>
      <c r="BF986" s="13"/>
      <c r="BG986" s="4"/>
      <c r="BH986" s="13"/>
      <c r="BI986" s="13"/>
      <c r="BJ986" s="4"/>
      <c r="BK986" s="14">
        <v>11</v>
      </c>
      <c r="BL986" s="14">
        <v>11</v>
      </c>
      <c r="BM986" s="14">
        <v>11</v>
      </c>
      <c r="BP986" s="15"/>
      <c r="BQ986" s="15"/>
      <c r="BR986" s="2" t="s">
        <v>108</v>
      </c>
      <c r="BS986" s="2" t="s">
        <v>108</v>
      </c>
      <c r="BT986" s="7" t="s">
        <v>109</v>
      </c>
      <c r="BU986" s="7"/>
      <c r="BV986" s="9" t="s">
        <v>109</v>
      </c>
      <c r="BW986" s="9"/>
    </row>
    <row r="987" spans="1:75" ht="14.25" customHeight="1" x14ac:dyDescent="0.25">
      <c r="A987" s="1">
        <v>1722</v>
      </c>
      <c r="B987" s="1" t="s">
        <v>4097</v>
      </c>
      <c r="C987" s="1" t="s">
        <v>4098</v>
      </c>
      <c r="D987" s="1" t="s">
        <v>77</v>
      </c>
      <c r="E987" s="1" t="s">
        <v>2396</v>
      </c>
      <c r="F987" s="1" t="s">
        <v>4073</v>
      </c>
      <c r="G987" s="1" t="s">
        <v>118</v>
      </c>
      <c r="H987" s="2">
        <v>0</v>
      </c>
      <c r="I987" s="2">
        <v>0</v>
      </c>
      <c r="J987" s="2">
        <v>0</v>
      </c>
      <c r="K987" s="2">
        <v>1</v>
      </c>
      <c r="L987" s="3" t="s">
        <v>80</v>
      </c>
      <c r="O987" s="4">
        <v>3</v>
      </c>
      <c r="P987" s="4" t="s">
        <v>81</v>
      </c>
      <c r="Q987" s="4"/>
      <c r="R987" s="5"/>
      <c r="S987" s="6"/>
      <c r="T987" s="17"/>
      <c r="U987" s="6"/>
      <c r="V987" s="4"/>
      <c r="W987" s="4"/>
      <c r="X987" s="4"/>
      <c r="Y987" s="7">
        <v>4</v>
      </c>
      <c r="Z987" s="8">
        <v>111975</v>
      </c>
      <c r="AA987" s="7" t="s">
        <v>82</v>
      </c>
      <c r="AB987" s="7"/>
      <c r="AC987" s="9">
        <v>4</v>
      </c>
      <c r="AD987" s="10">
        <v>111975</v>
      </c>
      <c r="AE987" s="9" t="s">
        <v>82</v>
      </c>
      <c r="AF987" s="9"/>
      <c r="AG987" s="11">
        <v>2</v>
      </c>
      <c r="AH987" s="11" t="s">
        <v>83</v>
      </c>
      <c r="AI987" s="11"/>
      <c r="AJ987" s="11"/>
      <c r="AK987" s="11"/>
      <c r="AL987" s="12">
        <v>2</v>
      </c>
      <c r="AM987" s="12" t="s">
        <v>83</v>
      </c>
      <c r="AN987" s="12"/>
      <c r="AO987" s="12"/>
      <c r="AP987" s="12"/>
      <c r="AQ987" s="4">
        <v>2</v>
      </c>
      <c r="AR987" s="4" t="s">
        <v>83</v>
      </c>
      <c r="AS987" s="4"/>
      <c r="AT987" s="13"/>
      <c r="AU987" s="13"/>
      <c r="AV987" s="13"/>
      <c r="AW987" s="13"/>
      <c r="AX987" s="4"/>
      <c r="AY987" s="13"/>
      <c r="AZ987" s="13"/>
      <c r="BA987" s="13"/>
      <c r="BB987" s="13"/>
      <c r="BC987" s="4"/>
      <c r="BD987" s="4"/>
      <c r="BE987" s="4"/>
      <c r="BF987" s="13"/>
      <c r="BG987" s="4"/>
      <c r="BH987" s="13"/>
      <c r="BI987" s="13"/>
      <c r="BJ987" s="4"/>
      <c r="BK987" s="14">
        <v>11</v>
      </c>
      <c r="BL987" s="14">
        <v>11</v>
      </c>
      <c r="BM987" s="14">
        <v>11</v>
      </c>
      <c r="BP987" s="15"/>
      <c r="BQ987" s="15"/>
      <c r="BR987" s="2" t="s">
        <v>400</v>
      </c>
      <c r="BS987" s="2" t="s">
        <v>400</v>
      </c>
      <c r="BT987" s="7" t="s">
        <v>98</v>
      </c>
      <c r="BU987" s="7"/>
      <c r="BV987" s="9" t="s">
        <v>98</v>
      </c>
      <c r="BW987" s="9"/>
    </row>
    <row r="988" spans="1:75" ht="14.25" customHeight="1" x14ac:dyDescent="0.25">
      <c r="A988" s="1">
        <v>1723</v>
      </c>
      <c r="B988" s="1" t="s">
        <v>4099</v>
      </c>
      <c r="C988" s="1" t="s">
        <v>4100</v>
      </c>
      <c r="D988" s="1" t="s">
        <v>77</v>
      </c>
      <c r="E988" s="1" t="s">
        <v>2396</v>
      </c>
      <c r="F988" s="1" t="s">
        <v>4073</v>
      </c>
      <c r="G988" s="1"/>
      <c r="H988" s="2">
        <v>0</v>
      </c>
      <c r="I988" s="2">
        <v>0</v>
      </c>
      <c r="J988" s="2">
        <v>1</v>
      </c>
      <c r="K988" s="2">
        <v>1</v>
      </c>
      <c r="L988" s="3" t="s">
        <v>80</v>
      </c>
      <c r="O988" s="4">
        <v>3</v>
      </c>
      <c r="P988" s="4" t="s">
        <v>81</v>
      </c>
      <c r="Q988" s="4" t="s">
        <v>4101</v>
      </c>
      <c r="R988" s="5"/>
      <c r="S988" s="6"/>
      <c r="T988" s="17"/>
      <c r="U988" s="6"/>
      <c r="V988" s="4"/>
      <c r="W988" s="4"/>
      <c r="X988" s="4"/>
      <c r="Y988" s="7">
        <v>1</v>
      </c>
      <c r="Z988" s="8">
        <v>4791819</v>
      </c>
      <c r="AA988" s="7" t="s">
        <v>92</v>
      </c>
      <c r="AB988" s="7"/>
      <c r="AC988" s="9">
        <v>1</v>
      </c>
      <c r="AD988" s="10">
        <v>4791819</v>
      </c>
      <c r="AE988" s="9" t="s">
        <v>82</v>
      </c>
      <c r="AF988" s="9"/>
      <c r="AG988" s="11">
        <v>3</v>
      </c>
      <c r="AH988" s="11" t="s">
        <v>93</v>
      </c>
      <c r="AI988" s="11" t="s">
        <v>4102</v>
      </c>
      <c r="AJ988" s="11"/>
      <c r="AK988" s="11"/>
      <c r="AL988" s="12">
        <v>3</v>
      </c>
      <c r="AM988" s="12" t="s">
        <v>93</v>
      </c>
      <c r="AN988" s="12" t="s">
        <v>698</v>
      </c>
      <c r="AO988" s="12"/>
      <c r="AP988" s="12"/>
      <c r="AQ988" s="4">
        <v>3</v>
      </c>
      <c r="AR988" s="4" t="s">
        <v>83</v>
      </c>
      <c r="AS988" s="4"/>
      <c r="AT988" s="13"/>
      <c r="AU988" s="13"/>
      <c r="AV988" s="13"/>
      <c r="AW988" s="13"/>
      <c r="AX988" s="4"/>
      <c r="AY988" s="13"/>
      <c r="AZ988" s="13"/>
      <c r="BA988" s="13"/>
      <c r="BB988" s="13"/>
      <c r="BC988" s="4"/>
      <c r="BD988" s="4"/>
      <c r="BE988" s="4"/>
      <c r="BF988" s="13"/>
      <c r="BG988" s="4"/>
      <c r="BH988" s="13"/>
      <c r="BI988" s="13"/>
      <c r="BJ988" s="4"/>
      <c r="BK988" s="14">
        <v>10</v>
      </c>
      <c r="BL988" s="14">
        <v>10</v>
      </c>
      <c r="BM988" s="14">
        <v>10</v>
      </c>
      <c r="BP988" s="15"/>
      <c r="BQ988" s="15"/>
      <c r="BR988" s="2" t="s">
        <v>97</v>
      </c>
      <c r="BS988" s="2" t="s">
        <v>97</v>
      </c>
      <c r="BT988" s="7" t="s">
        <v>98</v>
      </c>
      <c r="BU988" s="7"/>
      <c r="BV988" s="9" t="s">
        <v>98</v>
      </c>
      <c r="BW988" s="9"/>
    </row>
    <row r="989" spans="1:75" ht="14.25" customHeight="1" x14ac:dyDescent="0.25">
      <c r="A989" s="1">
        <v>1724</v>
      </c>
      <c r="B989" s="1" t="s">
        <v>4103</v>
      </c>
      <c r="C989" s="1" t="s">
        <v>4104</v>
      </c>
      <c r="D989" s="1" t="s">
        <v>77</v>
      </c>
      <c r="E989" s="1" t="s">
        <v>2396</v>
      </c>
      <c r="F989" s="1" t="s">
        <v>4073</v>
      </c>
      <c r="G989" s="1"/>
      <c r="H989" s="2">
        <v>0</v>
      </c>
      <c r="I989" s="2">
        <v>0</v>
      </c>
      <c r="J989" s="2">
        <v>1</v>
      </c>
      <c r="K989" s="2">
        <v>1</v>
      </c>
      <c r="L989" s="3" t="s">
        <v>80</v>
      </c>
      <c r="O989" s="4">
        <v>3</v>
      </c>
      <c r="P989" s="4" t="s">
        <v>112</v>
      </c>
      <c r="Q989" s="4" t="s">
        <v>4105</v>
      </c>
      <c r="R989" s="5"/>
      <c r="S989" s="6"/>
      <c r="T989" s="17"/>
      <c r="U989" s="6"/>
      <c r="V989" s="4"/>
      <c r="W989" s="4"/>
      <c r="X989" s="4"/>
      <c r="Y989" s="7">
        <v>3</v>
      </c>
      <c r="Z989" s="8">
        <v>611469</v>
      </c>
      <c r="AA989" s="7" t="s">
        <v>92</v>
      </c>
      <c r="AB989" s="7" t="s">
        <v>4106</v>
      </c>
      <c r="AC989" s="9">
        <v>3</v>
      </c>
      <c r="AD989" s="10">
        <v>617072</v>
      </c>
      <c r="AE989" s="9" t="s">
        <v>92</v>
      </c>
      <c r="AF989" s="9" t="s">
        <v>4107</v>
      </c>
      <c r="AG989" s="11">
        <v>3</v>
      </c>
      <c r="AH989" s="11" t="s">
        <v>4108</v>
      </c>
      <c r="AI989" s="11" t="s">
        <v>4109</v>
      </c>
      <c r="AJ989" s="11"/>
      <c r="AK989" s="11"/>
      <c r="AL989" s="12">
        <v>3</v>
      </c>
      <c r="AM989" s="12" t="s">
        <v>4108</v>
      </c>
      <c r="AN989" s="12" t="s">
        <v>698</v>
      </c>
      <c r="AO989" s="12"/>
      <c r="AP989" s="12"/>
      <c r="AQ989" s="4">
        <v>3</v>
      </c>
      <c r="AR989" s="4" t="s">
        <v>83</v>
      </c>
      <c r="AS989" s="4" t="s">
        <v>4110</v>
      </c>
      <c r="AT989" s="13"/>
      <c r="AU989" s="13"/>
      <c r="AV989" s="13"/>
      <c r="AW989" s="13"/>
      <c r="AX989" s="4"/>
      <c r="AY989" s="13"/>
      <c r="AZ989" s="13"/>
      <c r="BA989" s="13"/>
      <c r="BB989" s="13"/>
      <c r="BC989" s="4"/>
      <c r="BD989" s="4"/>
      <c r="BE989" s="4"/>
      <c r="BF989" s="13"/>
      <c r="BG989" s="4"/>
      <c r="BH989" s="13"/>
      <c r="BI989" s="13"/>
      <c r="BJ989" s="4"/>
      <c r="BK989" s="14">
        <v>12</v>
      </c>
      <c r="BL989" s="14">
        <v>12</v>
      </c>
      <c r="BM989" s="14">
        <v>12</v>
      </c>
      <c r="BP989" s="15"/>
      <c r="BQ989" s="15"/>
      <c r="BR989" s="2" t="s">
        <v>400</v>
      </c>
      <c r="BS989" s="2" t="s">
        <v>400</v>
      </c>
      <c r="BT989" s="7" t="s">
        <v>98</v>
      </c>
      <c r="BU989" s="7"/>
      <c r="BV989" s="9" t="s">
        <v>98</v>
      </c>
      <c r="BW989" s="9"/>
    </row>
    <row r="990" spans="1:75" ht="14.25" customHeight="1" x14ac:dyDescent="0.25">
      <c r="A990" s="1">
        <v>1780</v>
      </c>
      <c r="B990" s="1" t="s">
        <v>4111</v>
      </c>
      <c r="C990" s="1" t="s">
        <v>4112</v>
      </c>
      <c r="D990" s="1" t="s">
        <v>77</v>
      </c>
      <c r="E990" s="1" t="s">
        <v>2396</v>
      </c>
      <c r="F990" s="1" t="s">
        <v>4073</v>
      </c>
      <c r="G990" s="1" t="s">
        <v>118</v>
      </c>
      <c r="H990" s="2">
        <v>0</v>
      </c>
      <c r="I990" s="2">
        <v>1</v>
      </c>
      <c r="J990" s="2">
        <v>0</v>
      </c>
      <c r="K990" s="2">
        <v>0</v>
      </c>
      <c r="L990" s="3" t="s">
        <v>127</v>
      </c>
      <c r="O990" s="4">
        <v>4</v>
      </c>
      <c r="P990" s="4" t="s">
        <v>4113</v>
      </c>
      <c r="Q990" s="4" t="s">
        <v>4114</v>
      </c>
      <c r="R990" s="16">
        <v>130000</v>
      </c>
      <c r="S990" s="6">
        <v>130000</v>
      </c>
      <c r="T990" s="16">
        <v>85000</v>
      </c>
      <c r="U990" s="6">
        <v>85000</v>
      </c>
      <c r="V990" s="4"/>
      <c r="W990" s="4" t="s">
        <v>4115</v>
      </c>
      <c r="X990" s="4"/>
      <c r="Y990" s="7">
        <v>5</v>
      </c>
      <c r="Z990" s="8">
        <v>70000</v>
      </c>
      <c r="AA990" s="7" t="s">
        <v>537</v>
      </c>
      <c r="AB990" s="7" t="s">
        <v>4116</v>
      </c>
      <c r="AC990" s="9">
        <v>4</v>
      </c>
      <c r="AD990" s="10">
        <v>162764</v>
      </c>
      <c r="AE990" s="9" t="s">
        <v>92</v>
      </c>
      <c r="AF990" s="9"/>
      <c r="AG990" s="11">
        <v>5</v>
      </c>
      <c r="AH990" s="11" t="s">
        <v>800</v>
      </c>
      <c r="AI990" s="11" t="s">
        <v>4117</v>
      </c>
      <c r="AJ990" s="11">
        <v>5</v>
      </c>
      <c r="AK990" s="11" t="s">
        <v>132</v>
      </c>
      <c r="AL990" s="12">
        <v>4</v>
      </c>
      <c r="AM990" s="12" t="s">
        <v>131</v>
      </c>
      <c r="AN990" s="12"/>
      <c r="AO990" s="12">
        <v>5</v>
      </c>
      <c r="AP990" s="12" t="s">
        <v>132</v>
      </c>
      <c r="AQ990" s="4">
        <v>3</v>
      </c>
      <c r="AR990" s="4" t="s">
        <v>665</v>
      </c>
      <c r="AS990" s="4"/>
      <c r="AT990" s="13"/>
      <c r="AU990" s="13"/>
      <c r="AV990" s="13"/>
      <c r="AW990" s="13"/>
      <c r="AX990" s="4"/>
      <c r="AY990" s="13"/>
      <c r="AZ990" s="13"/>
      <c r="BA990" s="13"/>
      <c r="BB990" s="13"/>
      <c r="BC990" s="4"/>
      <c r="BD990" s="4"/>
      <c r="BE990" s="4"/>
      <c r="BF990" s="13"/>
      <c r="BG990" s="4"/>
      <c r="BH990" s="13"/>
      <c r="BI990" s="13"/>
      <c r="BJ990" s="4"/>
      <c r="BK990" s="14">
        <v>17</v>
      </c>
      <c r="BL990" s="14">
        <v>15</v>
      </c>
      <c r="BM990" s="14">
        <v>17</v>
      </c>
      <c r="BN990" s="3" t="s">
        <v>312</v>
      </c>
      <c r="BO990" s="3" t="s">
        <v>414</v>
      </c>
      <c r="BP990" s="15"/>
      <c r="BQ990" s="15"/>
      <c r="BR990" s="2" t="s">
        <v>555</v>
      </c>
      <c r="BS990" s="2" t="s">
        <v>555</v>
      </c>
      <c r="BT990" s="7" t="s">
        <v>539</v>
      </c>
      <c r="BU990" s="7"/>
      <c r="BV990" s="9" t="s">
        <v>539</v>
      </c>
      <c r="BW990" s="9" t="s">
        <v>556</v>
      </c>
    </row>
    <row r="991" spans="1:75" ht="14.25" customHeight="1" x14ac:dyDescent="0.25">
      <c r="A991" s="1">
        <v>1781</v>
      </c>
      <c r="B991" s="1" t="s">
        <v>4118</v>
      </c>
      <c r="C991" s="1" t="s">
        <v>4119</v>
      </c>
      <c r="D991" s="1" t="s">
        <v>77</v>
      </c>
      <c r="E991" s="1" t="s">
        <v>2396</v>
      </c>
      <c r="F991" s="1" t="s">
        <v>4073</v>
      </c>
      <c r="G991" s="1"/>
      <c r="H991" s="2">
        <v>1</v>
      </c>
      <c r="I991" s="2">
        <v>1</v>
      </c>
      <c r="J991" s="2">
        <v>1</v>
      </c>
      <c r="K991" s="2">
        <v>0</v>
      </c>
      <c r="L991" s="3" t="s">
        <v>80</v>
      </c>
      <c r="O991" s="4">
        <v>2</v>
      </c>
      <c r="P991" s="4" t="s">
        <v>424</v>
      </c>
      <c r="Q991" s="4"/>
      <c r="R991" s="16">
        <v>40000000</v>
      </c>
      <c r="S991" s="6">
        <v>40000000</v>
      </c>
      <c r="T991" s="16">
        <v>33000000</v>
      </c>
      <c r="U991" s="6">
        <v>33000000</v>
      </c>
      <c r="V991" s="4">
        <v>2010.5</v>
      </c>
      <c r="W991" s="4" t="s">
        <v>425</v>
      </c>
      <c r="X991" s="4"/>
      <c r="Y991" s="7">
        <v>1</v>
      </c>
      <c r="Z991" s="8">
        <v>7550911</v>
      </c>
      <c r="AA991" s="7" t="s">
        <v>92</v>
      </c>
      <c r="AB991" s="7"/>
      <c r="AC991" s="9">
        <v>1</v>
      </c>
      <c r="AD991" s="10">
        <v>7550911</v>
      </c>
      <c r="AE991" s="9" t="s">
        <v>92</v>
      </c>
      <c r="AF991" s="9"/>
      <c r="AG991" s="11">
        <v>2</v>
      </c>
      <c r="AH991" s="11" t="s">
        <v>131</v>
      </c>
      <c r="AI991" s="11"/>
      <c r="AJ991" s="11">
        <v>2</v>
      </c>
      <c r="AK991" s="11" t="s">
        <v>332</v>
      </c>
      <c r="AL991" s="12">
        <v>2</v>
      </c>
      <c r="AM991" s="12" t="s">
        <v>131</v>
      </c>
      <c r="AN991" s="12"/>
      <c r="AO991" s="12">
        <v>2</v>
      </c>
      <c r="AP991" s="12" t="s">
        <v>143</v>
      </c>
      <c r="AQ991" s="4">
        <v>1</v>
      </c>
      <c r="AR991" s="4" t="s">
        <v>133</v>
      </c>
      <c r="AS991" s="4"/>
      <c r="AT991" s="13">
        <v>30.054569244384801</v>
      </c>
      <c r="AU991" s="13">
        <v>0.51652961969375599</v>
      </c>
      <c r="AV991" s="13">
        <v>0.13680499792098999</v>
      </c>
      <c r="AW991" s="13">
        <v>1.03999996185303</v>
      </c>
      <c r="AX991" s="4">
        <v>1</v>
      </c>
      <c r="AY991" s="13">
        <v>3.9529151916503902</v>
      </c>
      <c r="AZ991" s="13">
        <v>0.38897392153739901</v>
      </c>
      <c r="BA991" s="13">
        <v>-1.00179898738861</v>
      </c>
      <c r="BB991" s="13">
        <v>2.2799999713897701</v>
      </c>
      <c r="BC991" s="4"/>
      <c r="BD991" s="4">
        <v>10</v>
      </c>
      <c r="BE991" s="4" t="s">
        <v>134</v>
      </c>
      <c r="BF991" s="13">
        <v>0.90319502353668202</v>
      </c>
      <c r="BG991" s="4">
        <v>3229</v>
      </c>
      <c r="BH991" s="13">
        <v>5.4099998474121103</v>
      </c>
      <c r="BI991" s="13">
        <v>17470.890625</v>
      </c>
      <c r="BJ991" s="4"/>
      <c r="BK991" s="14">
        <v>6</v>
      </c>
      <c r="BL991" s="14">
        <v>6</v>
      </c>
      <c r="BM991" s="14">
        <v>6</v>
      </c>
      <c r="BP991" s="15" t="s">
        <v>135</v>
      </c>
      <c r="BQ991" s="15"/>
      <c r="BR991" s="2" t="s">
        <v>172</v>
      </c>
      <c r="BS991" s="2" t="s">
        <v>172</v>
      </c>
      <c r="BT991" s="7" t="s">
        <v>458</v>
      </c>
      <c r="BU991" s="7" t="s">
        <v>475</v>
      </c>
      <c r="BV991" s="9" t="s">
        <v>458</v>
      </c>
      <c r="BW991" s="9" t="s">
        <v>475</v>
      </c>
    </row>
    <row r="992" spans="1:75" ht="14.25" customHeight="1" x14ac:dyDescent="0.25">
      <c r="A992" s="1">
        <v>1782</v>
      </c>
      <c r="B992" s="1" t="s">
        <v>4120</v>
      </c>
      <c r="C992" s="1" t="s">
        <v>4121</v>
      </c>
      <c r="D992" s="1" t="s">
        <v>77</v>
      </c>
      <c r="E992" s="1" t="s">
        <v>2396</v>
      </c>
      <c r="F992" s="1" t="s">
        <v>4073</v>
      </c>
      <c r="G992" s="1"/>
      <c r="H992" s="2">
        <v>1</v>
      </c>
      <c r="I992" s="2">
        <v>1</v>
      </c>
      <c r="J992" s="2">
        <v>1</v>
      </c>
      <c r="K992" s="2">
        <v>0</v>
      </c>
      <c r="L992" s="3" t="s">
        <v>127</v>
      </c>
      <c r="O992" s="4">
        <v>2</v>
      </c>
      <c r="P992" s="4" t="s">
        <v>579</v>
      </c>
      <c r="Q992" s="4"/>
      <c r="R992" s="16">
        <v>6500000</v>
      </c>
      <c r="S992" s="6">
        <v>6500000</v>
      </c>
      <c r="T992" s="16">
        <v>6500000</v>
      </c>
      <c r="U992" s="6">
        <v>6500000</v>
      </c>
      <c r="V992" s="4">
        <v>2010.5</v>
      </c>
      <c r="W992" s="4" t="s">
        <v>579</v>
      </c>
      <c r="X992" s="4"/>
      <c r="Y992" s="7">
        <v>1</v>
      </c>
      <c r="Z992" s="8">
        <v>4516639</v>
      </c>
      <c r="AA992" s="7" t="s">
        <v>92</v>
      </c>
      <c r="AB992" s="7"/>
      <c r="AC992" s="9">
        <v>1</v>
      </c>
      <c r="AD992" s="10">
        <v>4586271</v>
      </c>
      <c r="AE992" s="9" t="s">
        <v>92</v>
      </c>
      <c r="AF992" s="9"/>
      <c r="AG992" s="11">
        <v>2</v>
      </c>
      <c r="AH992" s="11" t="s">
        <v>454</v>
      </c>
      <c r="AI992" s="11" t="s">
        <v>4122</v>
      </c>
      <c r="AJ992" s="11">
        <v>2</v>
      </c>
      <c r="AK992" s="11" t="s">
        <v>143</v>
      </c>
      <c r="AL992" s="12">
        <v>2</v>
      </c>
      <c r="AM992" s="12" t="s">
        <v>131</v>
      </c>
      <c r="AN992" s="12"/>
      <c r="AO992" s="12">
        <v>2</v>
      </c>
      <c r="AP992" s="12" t="s">
        <v>132</v>
      </c>
      <c r="AQ992" s="4">
        <v>3</v>
      </c>
      <c r="AR992" s="4" t="s">
        <v>133</v>
      </c>
      <c r="AS992" s="4"/>
      <c r="AT992" s="13">
        <v>-43.074958801269503</v>
      </c>
      <c r="AU992" s="13">
        <v>-1.0985913276672401</v>
      </c>
      <c r="AV992" s="13">
        <v>-1.6000000238418599</v>
      </c>
      <c r="AW992" s="13">
        <v>-0.80030000209808305</v>
      </c>
      <c r="AX992" s="4">
        <v>1</v>
      </c>
      <c r="AY992" s="13">
        <v>4.2992725372314498</v>
      </c>
      <c r="AZ992" s="13">
        <v>0.42171794176101701</v>
      </c>
      <c r="BA992" s="13">
        <v>-1.3099999427795399</v>
      </c>
      <c r="BB992" s="13">
        <v>2.03429508209229</v>
      </c>
      <c r="BC992" s="4"/>
      <c r="BD992" s="4">
        <v>10</v>
      </c>
      <c r="BE992" s="4" t="s">
        <v>134</v>
      </c>
      <c r="BF992" s="13">
        <v>0.79970002174377397</v>
      </c>
      <c r="BG992" s="4">
        <v>1593</v>
      </c>
      <c r="BH992" s="13">
        <v>1.2400000095367401</v>
      </c>
      <c r="BI992" s="13">
        <v>1973.7099609375</v>
      </c>
      <c r="BJ992" s="4"/>
      <c r="BK992" s="14">
        <v>8</v>
      </c>
      <c r="BL992" s="14">
        <v>8</v>
      </c>
      <c r="BM992" s="14">
        <v>8</v>
      </c>
      <c r="BP992" s="15" t="s">
        <v>135</v>
      </c>
      <c r="BQ992" s="15"/>
      <c r="BR992" s="2" t="s">
        <v>172</v>
      </c>
      <c r="BS992" s="2" t="s">
        <v>172</v>
      </c>
      <c r="BT992" s="7" t="s">
        <v>527</v>
      </c>
      <c r="BU992" s="7" t="s">
        <v>428</v>
      </c>
      <c r="BV992" s="9" t="s">
        <v>241</v>
      </c>
      <c r="BW992" s="9" t="s">
        <v>428</v>
      </c>
    </row>
    <row r="993" spans="1:75" ht="14.25" customHeight="1" x14ac:dyDescent="0.25">
      <c r="A993" s="1">
        <v>1783</v>
      </c>
      <c r="B993" s="1" t="s">
        <v>4123</v>
      </c>
      <c r="C993" s="1" t="s">
        <v>4124</v>
      </c>
      <c r="D993" s="1" t="s">
        <v>77</v>
      </c>
      <c r="E993" s="1" t="s">
        <v>2396</v>
      </c>
      <c r="F993" s="1" t="s">
        <v>4073</v>
      </c>
      <c r="G993" s="1" t="s">
        <v>118</v>
      </c>
      <c r="H993" s="2">
        <v>1</v>
      </c>
      <c r="I993" s="2">
        <v>1</v>
      </c>
      <c r="J993" s="2">
        <v>1</v>
      </c>
      <c r="K993" s="2">
        <v>0</v>
      </c>
      <c r="L993" s="3" t="s">
        <v>127</v>
      </c>
      <c r="O993" s="4">
        <v>3</v>
      </c>
      <c r="P993" s="4" t="s">
        <v>424</v>
      </c>
      <c r="Q993" s="4"/>
      <c r="R993" s="16">
        <v>3200000</v>
      </c>
      <c r="S993" s="6">
        <v>3200000</v>
      </c>
      <c r="T993" s="16">
        <v>3200000</v>
      </c>
      <c r="U993" s="6">
        <v>3200000</v>
      </c>
      <c r="V993" s="4">
        <v>2010.5</v>
      </c>
      <c r="W993" s="4" t="s">
        <v>425</v>
      </c>
      <c r="X993" s="4"/>
      <c r="Y993" s="7">
        <v>2</v>
      </c>
      <c r="Z993" s="8">
        <v>1499607</v>
      </c>
      <c r="AA993" s="7" t="s">
        <v>92</v>
      </c>
      <c r="AB993" s="7"/>
      <c r="AC993" s="9">
        <v>2</v>
      </c>
      <c r="AD993" s="10">
        <v>2639866</v>
      </c>
      <c r="AE993" s="9" t="s">
        <v>92</v>
      </c>
      <c r="AF993" s="9"/>
      <c r="AG993" s="11">
        <v>4</v>
      </c>
      <c r="AH993" s="11" t="s">
        <v>131</v>
      </c>
      <c r="AI993" s="11"/>
      <c r="AJ993" s="11">
        <v>5</v>
      </c>
      <c r="AK993" s="11" t="s">
        <v>143</v>
      </c>
      <c r="AL993" s="12">
        <v>3</v>
      </c>
      <c r="AM993" s="12" t="s">
        <v>131</v>
      </c>
      <c r="AN993" s="12" t="s">
        <v>4125</v>
      </c>
      <c r="AO993" s="12">
        <v>3</v>
      </c>
      <c r="AP993" s="12" t="s">
        <v>143</v>
      </c>
      <c r="AQ993" s="4">
        <v>3</v>
      </c>
      <c r="AR993" s="4" t="s">
        <v>133</v>
      </c>
      <c r="AS993" s="4"/>
      <c r="AT993" s="13">
        <v>-33.740184783935497</v>
      </c>
      <c r="AU993" s="13">
        <v>-0.80319249629974399</v>
      </c>
      <c r="AV993" s="13">
        <v>-1.72160303592682</v>
      </c>
      <c r="AW993" s="13">
        <v>0.29199999570846602</v>
      </c>
      <c r="AX993" s="4"/>
      <c r="AY993" s="13">
        <v>-1.66645848751068</v>
      </c>
      <c r="AZ993" s="13">
        <v>-0.16786573827266699</v>
      </c>
      <c r="BA993" s="13">
        <v>-2.7799999713897701</v>
      </c>
      <c r="BB993" s="13">
        <v>2.03720307350159</v>
      </c>
      <c r="BC993" s="4"/>
      <c r="BD993" s="4">
        <v>10</v>
      </c>
      <c r="BE993" s="4" t="s">
        <v>134</v>
      </c>
      <c r="BF993" s="13">
        <v>2.0136029720306401</v>
      </c>
      <c r="BG993" s="4">
        <v>489.5</v>
      </c>
      <c r="BH993" s="13">
        <v>1.75499999523163</v>
      </c>
      <c r="BI993" s="13">
        <v>859.344970703125</v>
      </c>
      <c r="BJ993" s="4"/>
      <c r="BK993" s="14">
        <v>12</v>
      </c>
      <c r="BL993" s="14">
        <v>11</v>
      </c>
      <c r="BM993" s="14">
        <v>12</v>
      </c>
      <c r="BN993" s="3" t="s">
        <v>917</v>
      </c>
      <c r="BP993" s="15"/>
      <c r="BQ993" s="15"/>
      <c r="BR993" s="2" t="s">
        <v>555</v>
      </c>
      <c r="BS993" s="2" t="s">
        <v>555</v>
      </c>
      <c r="BT993" s="7" t="s">
        <v>428</v>
      </c>
      <c r="BU993" s="7"/>
      <c r="BV993" s="9" t="s">
        <v>428</v>
      </c>
      <c r="BW993" s="9"/>
    </row>
    <row r="994" spans="1:75" ht="14.25" customHeight="1" x14ac:dyDescent="0.25">
      <c r="A994" s="1">
        <v>1786</v>
      </c>
      <c r="B994" s="1" t="s">
        <v>4126</v>
      </c>
      <c r="C994" s="1" t="s">
        <v>4127</v>
      </c>
      <c r="D994" s="1" t="s">
        <v>77</v>
      </c>
      <c r="E994" s="1" t="s">
        <v>2396</v>
      </c>
      <c r="F994" s="1" t="s">
        <v>4073</v>
      </c>
      <c r="G994" s="1"/>
      <c r="H994" s="2">
        <v>1</v>
      </c>
      <c r="I994" s="2">
        <v>1</v>
      </c>
      <c r="J994" s="2">
        <v>0</v>
      </c>
      <c r="K994" s="2">
        <v>0</v>
      </c>
      <c r="L994" s="3" t="s">
        <v>127</v>
      </c>
      <c r="O994" s="4">
        <v>1</v>
      </c>
      <c r="P994" s="4" t="s">
        <v>530</v>
      </c>
      <c r="Q994" s="4"/>
      <c r="R994" s="16">
        <v>250000000</v>
      </c>
      <c r="S994" s="6">
        <v>250000000</v>
      </c>
      <c r="T994" s="16">
        <v>76000000</v>
      </c>
      <c r="U994" s="6">
        <v>76000000</v>
      </c>
      <c r="V994" s="4">
        <v>2010.5</v>
      </c>
      <c r="W994" s="4" t="s">
        <v>531</v>
      </c>
      <c r="X994" s="4"/>
      <c r="Y994" s="7">
        <v>1</v>
      </c>
      <c r="Z994" s="8">
        <v>16578913</v>
      </c>
      <c r="AA994" s="7" t="s">
        <v>92</v>
      </c>
      <c r="AB994" s="7"/>
      <c r="AC994" s="9">
        <v>1</v>
      </c>
      <c r="AD994" s="10">
        <v>36065450</v>
      </c>
      <c r="AE994" s="9" t="s">
        <v>92</v>
      </c>
      <c r="AF994" s="9"/>
      <c r="AG994" s="11">
        <v>3</v>
      </c>
      <c r="AH994" s="11" t="s">
        <v>131</v>
      </c>
      <c r="AI994" s="11"/>
      <c r="AJ994" s="11">
        <v>4</v>
      </c>
      <c r="AK994" s="11" t="s">
        <v>143</v>
      </c>
      <c r="AL994" s="12">
        <v>2</v>
      </c>
      <c r="AM994" s="12" t="s">
        <v>131</v>
      </c>
      <c r="AN994" s="12"/>
      <c r="AO994" s="12">
        <v>2</v>
      </c>
      <c r="AP994" s="12" t="s">
        <v>143</v>
      </c>
      <c r="AQ994" s="4">
        <v>4</v>
      </c>
      <c r="AR994" s="4" t="s">
        <v>208</v>
      </c>
      <c r="AS994" s="4"/>
      <c r="AT994" s="13">
        <v>-62.319602966308601</v>
      </c>
      <c r="AU994" s="13">
        <v>-2.3655817508697501</v>
      </c>
      <c r="AV994" s="13">
        <v>-4.6100001335143999</v>
      </c>
      <c r="AW994" s="13">
        <v>-0.79799997806549094</v>
      </c>
      <c r="AX994" s="4">
        <v>1</v>
      </c>
      <c r="AY994" s="13">
        <v>4.3560743331909197</v>
      </c>
      <c r="AZ994" s="13">
        <v>0.42696070671081499</v>
      </c>
      <c r="BA994" s="13">
        <v>-9.1978015899658203</v>
      </c>
      <c r="BB994" s="13">
        <v>16.654396057128899</v>
      </c>
      <c r="BC994" s="4"/>
      <c r="BD994" s="4">
        <v>10</v>
      </c>
      <c r="BE994" s="4" t="s">
        <v>210</v>
      </c>
      <c r="BF994" s="13">
        <v>3.81200003623962</v>
      </c>
      <c r="BG994" s="4">
        <v>175.5</v>
      </c>
      <c r="BH994" s="13">
        <v>12.8999996185303</v>
      </c>
      <c r="BI994" s="13">
        <v>2263.94995117188</v>
      </c>
      <c r="BJ994" s="4"/>
      <c r="BK994" s="14">
        <v>9</v>
      </c>
      <c r="BL994" s="14">
        <v>8</v>
      </c>
      <c r="BM994" s="14">
        <v>9</v>
      </c>
      <c r="BN994" s="3" t="s">
        <v>302</v>
      </c>
      <c r="BP994" s="15"/>
      <c r="BQ994" s="15"/>
      <c r="BR994" s="2" t="s">
        <v>161</v>
      </c>
      <c r="BS994" s="2" t="s">
        <v>172</v>
      </c>
      <c r="BT994" s="7" t="s">
        <v>174</v>
      </c>
      <c r="BU994" s="7" t="s">
        <v>527</v>
      </c>
      <c r="BV994" s="9" t="s">
        <v>458</v>
      </c>
      <c r="BW994" s="9"/>
    </row>
    <row r="995" spans="1:75" ht="14.25" customHeight="1" x14ac:dyDescent="0.25">
      <c r="A995" s="1">
        <v>1788</v>
      </c>
      <c r="B995" s="1" t="s">
        <v>4128</v>
      </c>
      <c r="C995" s="1" t="s">
        <v>4129</v>
      </c>
      <c r="D995" s="1" t="s">
        <v>77</v>
      </c>
      <c r="E995" s="1" t="s">
        <v>2396</v>
      </c>
      <c r="F995" s="1" t="s">
        <v>4073</v>
      </c>
      <c r="G995" s="1"/>
      <c r="H995" s="2">
        <v>1</v>
      </c>
      <c r="I995" s="2">
        <v>1</v>
      </c>
      <c r="J995" s="2">
        <v>0</v>
      </c>
      <c r="K995" s="2">
        <v>0</v>
      </c>
      <c r="L995" s="3" t="s">
        <v>127</v>
      </c>
      <c r="O995" s="4">
        <v>2</v>
      </c>
      <c r="P995" s="4" t="s">
        <v>535</v>
      </c>
      <c r="Q995" s="4" t="s">
        <v>4130</v>
      </c>
      <c r="R995" s="16">
        <v>28000000</v>
      </c>
      <c r="S995" s="6">
        <v>28000000</v>
      </c>
      <c r="T995" s="16">
        <v>14000000</v>
      </c>
      <c r="U995" s="6">
        <v>14000000</v>
      </c>
      <c r="V995" s="4">
        <v>2010.5</v>
      </c>
      <c r="W995" s="4" t="s">
        <v>536</v>
      </c>
      <c r="X995" s="4"/>
      <c r="Y995" s="7">
        <v>1</v>
      </c>
      <c r="Z995" s="8">
        <v>4789564</v>
      </c>
      <c r="AA995" s="7" t="s">
        <v>92</v>
      </c>
      <c r="AB995" s="7"/>
      <c r="AC995" s="9">
        <v>1</v>
      </c>
      <c r="AD995" s="10">
        <v>21361264</v>
      </c>
      <c r="AE995" s="9" t="s">
        <v>92</v>
      </c>
      <c r="AF995" s="9"/>
      <c r="AG995" s="11">
        <v>3</v>
      </c>
      <c r="AH995" s="11" t="s">
        <v>131</v>
      </c>
      <c r="AI995" s="11"/>
      <c r="AJ995" s="11">
        <v>4</v>
      </c>
      <c r="AK995" s="11" t="s">
        <v>143</v>
      </c>
      <c r="AL995" s="12">
        <v>2</v>
      </c>
      <c r="AM995" s="12" t="s">
        <v>131</v>
      </c>
      <c r="AN995" s="12"/>
      <c r="AO995" s="12">
        <v>2</v>
      </c>
      <c r="AP995" s="12" t="s">
        <v>132</v>
      </c>
      <c r="AQ995" s="4">
        <v>3</v>
      </c>
      <c r="AR995" s="4" t="s">
        <v>1605</v>
      </c>
      <c r="AS995" s="4" t="s">
        <v>4131</v>
      </c>
      <c r="AT995" s="13"/>
      <c r="AU995" s="13"/>
      <c r="AV995" s="13"/>
      <c r="AW995" s="13"/>
      <c r="AX995" s="4"/>
      <c r="AY995" s="13"/>
      <c r="AZ995" s="13"/>
      <c r="BA995" s="13"/>
      <c r="BB995" s="13"/>
      <c r="BC995" s="4"/>
      <c r="BD995" s="4"/>
      <c r="BE995" s="4"/>
      <c r="BF995" s="13"/>
      <c r="BG995" s="4"/>
      <c r="BH995" s="13"/>
      <c r="BI995" s="13"/>
      <c r="BJ995" s="4"/>
      <c r="BK995" s="14">
        <v>9</v>
      </c>
      <c r="BL995" s="14">
        <v>8</v>
      </c>
      <c r="BM995" s="14">
        <v>9</v>
      </c>
      <c r="BP995" s="15"/>
      <c r="BQ995" s="15"/>
      <c r="BR995" s="2" t="s">
        <v>161</v>
      </c>
      <c r="BS995" s="2" t="s">
        <v>172</v>
      </c>
      <c r="BT995" s="7" t="s">
        <v>174</v>
      </c>
      <c r="BU995" s="7"/>
      <c r="BV995" s="9" t="s">
        <v>458</v>
      </c>
      <c r="BW995" s="9"/>
    </row>
    <row r="996" spans="1:75" ht="14.25" customHeight="1" x14ac:dyDescent="0.25">
      <c r="A996" s="1">
        <v>1789</v>
      </c>
      <c r="B996" s="1" t="s">
        <v>4132</v>
      </c>
      <c r="C996" s="1" t="s">
        <v>4133</v>
      </c>
      <c r="D996" s="1" t="s">
        <v>77</v>
      </c>
      <c r="E996" s="1" t="s">
        <v>2396</v>
      </c>
      <c r="F996" s="1" t="s">
        <v>4073</v>
      </c>
      <c r="G996" s="1"/>
      <c r="H996" s="2">
        <v>1</v>
      </c>
      <c r="I996" s="2">
        <v>1</v>
      </c>
      <c r="J996" s="2">
        <v>1</v>
      </c>
      <c r="K996" s="2">
        <v>1</v>
      </c>
      <c r="L996" s="3" t="s">
        <v>127</v>
      </c>
      <c r="O996" s="4">
        <v>2</v>
      </c>
      <c r="P996" s="4" t="s">
        <v>606</v>
      </c>
      <c r="Q996" s="4"/>
      <c r="R996" s="16">
        <v>26000000</v>
      </c>
      <c r="S996" s="6">
        <v>26000000</v>
      </c>
      <c r="T996" s="16">
        <v>9600000</v>
      </c>
      <c r="U996" s="6">
        <v>9600000</v>
      </c>
      <c r="V996" s="4">
        <v>2010.5</v>
      </c>
      <c r="W996" s="4" t="s">
        <v>425</v>
      </c>
      <c r="X996" s="4"/>
      <c r="Y996" s="7">
        <v>1</v>
      </c>
      <c r="Z996" s="8">
        <v>16842625</v>
      </c>
      <c r="AA996" s="7" t="s">
        <v>92</v>
      </c>
      <c r="AB996" s="7"/>
      <c r="AC996" s="9">
        <v>1</v>
      </c>
      <c r="AD996" s="10">
        <v>29976475</v>
      </c>
      <c r="AE996" s="9" t="s">
        <v>92</v>
      </c>
      <c r="AF996" s="9"/>
      <c r="AG996" s="11">
        <v>4</v>
      </c>
      <c r="AH996" s="11" t="s">
        <v>131</v>
      </c>
      <c r="AI996" s="11" t="s">
        <v>4134</v>
      </c>
      <c r="AJ996" s="11">
        <v>4</v>
      </c>
      <c r="AK996" s="11" t="s">
        <v>132</v>
      </c>
      <c r="AL996" s="12">
        <v>3</v>
      </c>
      <c r="AM996" s="12" t="s">
        <v>131</v>
      </c>
      <c r="AN996" s="12"/>
      <c r="AO996" s="12">
        <v>3</v>
      </c>
      <c r="AP996" s="12" t="s">
        <v>143</v>
      </c>
      <c r="AQ996" s="4">
        <v>2</v>
      </c>
      <c r="AR996" s="4" t="s">
        <v>133</v>
      </c>
      <c r="AS996" s="4"/>
      <c r="AT996" s="13">
        <v>1.95771360397339</v>
      </c>
      <c r="AU996" s="13">
        <v>3.7997506558895097E-2</v>
      </c>
      <c r="AV996" s="13">
        <v>-0.75569701194763195</v>
      </c>
      <c r="AW996" s="13">
        <v>0.94700002670288097</v>
      </c>
      <c r="AX996" s="4"/>
      <c r="AY996" s="13">
        <v>-23.324581146240199</v>
      </c>
      <c r="AZ996" s="13">
        <v>-2.6180369853973402</v>
      </c>
      <c r="BA996" s="13">
        <v>-6.1448988914489702</v>
      </c>
      <c r="BB996" s="13">
        <v>0.68400001525878895</v>
      </c>
      <c r="BC996" s="4"/>
      <c r="BD996" s="4">
        <v>10</v>
      </c>
      <c r="BE996" s="4" t="s">
        <v>134</v>
      </c>
      <c r="BF996" s="13">
        <v>1.70269703865051</v>
      </c>
      <c r="BG996" s="4">
        <v>935</v>
      </c>
      <c r="BH996" s="13">
        <v>4.03999996185303</v>
      </c>
      <c r="BI996" s="13">
        <v>3775.47998046875</v>
      </c>
      <c r="BJ996" s="4"/>
      <c r="BK996" s="14">
        <v>9</v>
      </c>
      <c r="BL996" s="14">
        <v>8</v>
      </c>
      <c r="BM996" s="14">
        <v>9</v>
      </c>
      <c r="BP996" s="15"/>
      <c r="BQ996" s="15"/>
      <c r="BR996" s="2" t="s">
        <v>172</v>
      </c>
      <c r="BS996" s="2" t="s">
        <v>172</v>
      </c>
      <c r="BT996" s="7" t="s">
        <v>509</v>
      </c>
      <c r="BU996" s="7"/>
      <c r="BV996" s="9" t="s">
        <v>509</v>
      </c>
      <c r="BW996" s="9"/>
    </row>
    <row r="997" spans="1:75" ht="14.25" customHeight="1" x14ac:dyDescent="0.25">
      <c r="A997" s="1">
        <v>1790</v>
      </c>
      <c r="B997" s="1" t="s">
        <v>4135</v>
      </c>
      <c r="C997" s="1" t="s">
        <v>4136</v>
      </c>
      <c r="D997" s="1" t="s">
        <v>77</v>
      </c>
      <c r="E997" s="1" t="s">
        <v>2396</v>
      </c>
      <c r="F997" s="1" t="s">
        <v>4073</v>
      </c>
      <c r="G997" s="1"/>
      <c r="H997" s="2">
        <v>0</v>
      </c>
      <c r="I997" s="2">
        <v>1</v>
      </c>
      <c r="J997" s="2">
        <v>0</v>
      </c>
      <c r="K997" s="2">
        <v>0</v>
      </c>
      <c r="L997" s="3" t="s">
        <v>80</v>
      </c>
      <c r="O997" s="4">
        <v>5</v>
      </c>
      <c r="P997" s="4" t="s">
        <v>4137</v>
      </c>
      <c r="Q997" s="4"/>
      <c r="R997" s="16">
        <v>3600</v>
      </c>
      <c r="S997" s="16">
        <v>3600</v>
      </c>
      <c r="T997" s="16">
        <v>3600</v>
      </c>
      <c r="U997" s="16">
        <v>3600</v>
      </c>
      <c r="V997" s="4"/>
      <c r="W997" s="4" t="s">
        <v>4137</v>
      </c>
      <c r="X997" s="4"/>
      <c r="Y997" s="7">
        <v>5</v>
      </c>
      <c r="Z997" s="8">
        <v>70</v>
      </c>
      <c r="AA997" s="7" t="s">
        <v>4138</v>
      </c>
      <c r="AB997" s="7" t="s">
        <v>4139</v>
      </c>
      <c r="AC997" s="9">
        <v>5</v>
      </c>
      <c r="AD997" s="10">
        <v>70</v>
      </c>
      <c r="AE997" s="9" t="s">
        <v>4138</v>
      </c>
      <c r="AF997" s="9" t="s">
        <v>4139</v>
      </c>
      <c r="AG997" s="11">
        <v>5</v>
      </c>
      <c r="AH997" s="11" t="s">
        <v>4138</v>
      </c>
      <c r="AI997" s="11" t="s">
        <v>4140</v>
      </c>
      <c r="AJ997" s="11"/>
      <c r="AK997" s="11"/>
      <c r="AL997" s="12">
        <v>5</v>
      </c>
      <c r="AM997" s="12" t="s">
        <v>4138</v>
      </c>
      <c r="AN997" s="12" t="s">
        <v>4140</v>
      </c>
      <c r="AO997" s="12"/>
      <c r="AP997" s="12"/>
      <c r="AQ997" s="4">
        <v>5</v>
      </c>
      <c r="AR997" s="4" t="s">
        <v>4141</v>
      </c>
      <c r="AS997" s="4" t="s">
        <v>4142</v>
      </c>
      <c r="AT997" s="13">
        <v>-50</v>
      </c>
      <c r="AU997" s="13"/>
      <c r="AV997" s="13"/>
      <c r="AW997" s="13"/>
      <c r="AX997" s="4"/>
      <c r="AY997" s="13">
        <v>-38</v>
      </c>
      <c r="AZ997" s="13"/>
      <c r="BA997" s="13"/>
      <c r="BB997" s="13"/>
      <c r="BC997" s="4"/>
      <c r="BD997" s="4"/>
      <c r="BE997" s="4"/>
      <c r="BF997" s="13"/>
      <c r="BG997" s="4"/>
      <c r="BH997" s="13"/>
      <c r="BI997" s="13"/>
      <c r="BJ997" s="4"/>
      <c r="BK997" s="14">
        <v>20</v>
      </c>
      <c r="BL997" s="14">
        <v>20</v>
      </c>
      <c r="BM997" s="14">
        <v>20</v>
      </c>
      <c r="BN997" s="3" t="s">
        <v>312</v>
      </c>
      <c r="BP997" s="15"/>
      <c r="BQ997" s="15"/>
      <c r="BR997" s="2" t="s">
        <v>555</v>
      </c>
      <c r="BS997" s="2" t="s">
        <v>555</v>
      </c>
      <c r="BT997" s="7" t="s">
        <v>428</v>
      </c>
      <c r="BU997" s="7"/>
      <c r="BV997" s="9" t="s">
        <v>428</v>
      </c>
      <c r="BW997" s="9"/>
    </row>
    <row r="998" spans="1:75" ht="14.25" customHeight="1" x14ac:dyDescent="0.25">
      <c r="A998" s="1">
        <v>1792</v>
      </c>
      <c r="B998" s="1" t="s">
        <v>4143</v>
      </c>
      <c r="C998" s="1" t="s">
        <v>4144</v>
      </c>
      <c r="D998" s="1" t="s">
        <v>77</v>
      </c>
      <c r="E998" s="1" t="s">
        <v>2396</v>
      </c>
      <c r="F998" s="1" t="s">
        <v>4073</v>
      </c>
      <c r="G998" s="1"/>
      <c r="H998" s="2">
        <v>1</v>
      </c>
      <c r="I998" s="2">
        <v>1</v>
      </c>
      <c r="J998" s="2">
        <v>0</v>
      </c>
      <c r="K998" s="2">
        <v>0</v>
      </c>
      <c r="L998" s="3" t="s">
        <v>127</v>
      </c>
      <c r="O998" s="4">
        <v>1</v>
      </c>
      <c r="P998" s="4" t="s">
        <v>4145</v>
      </c>
      <c r="Q998" s="4"/>
      <c r="R998" s="16">
        <v>79000000</v>
      </c>
      <c r="S998" s="6">
        <v>79000000</v>
      </c>
      <c r="T998" s="16">
        <v>40000000</v>
      </c>
      <c r="U998" s="6">
        <v>40000000</v>
      </c>
      <c r="V998" s="4">
        <v>2010.5</v>
      </c>
      <c r="W998" s="4" t="s">
        <v>579</v>
      </c>
      <c r="X998" s="4"/>
      <c r="Y998" s="7">
        <v>1</v>
      </c>
      <c r="Z998" s="8">
        <v>16042276</v>
      </c>
      <c r="AA998" s="7" t="s">
        <v>92</v>
      </c>
      <c r="AB998" s="7"/>
      <c r="AC998" s="9">
        <v>1</v>
      </c>
      <c r="AD998" s="10">
        <v>24053916</v>
      </c>
      <c r="AE998" s="9" t="s">
        <v>92</v>
      </c>
      <c r="AF998" s="9"/>
      <c r="AG998" s="11">
        <v>3</v>
      </c>
      <c r="AH998" s="11" t="s">
        <v>131</v>
      </c>
      <c r="AI998" s="11" t="s">
        <v>4146</v>
      </c>
      <c r="AJ998" s="11">
        <v>4</v>
      </c>
      <c r="AK998" s="11" t="s">
        <v>332</v>
      </c>
      <c r="AL998" s="12">
        <v>3</v>
      </c>
      <c r="AM998" s="12" t="s">
        <v>131</v>
      </c>
      <c r="AN998" s="12" t="s">
        <v>4147</v>
      </c>
      <c r="AO998" s="12">
        <v>2</v>
      </c>
      <c r="AP998" s="12" t="s">
        <v>132</v>
      </c>
      <c r="AQ998" s="4">
        <v>1</v>
      </c>
      <c r="AR998" s="4" t="s">
        <v>133</v>
      </c>
      <c r="AS998" s="4"/>
      <c r="AT998" s="13">
        <v>411.47964477539102</v>
      </c>
      <c r="AU998" s="13">
        <v>3.2533550262451199</v>
      </c>
      <c r="AV998" s="13">
        <v>1.2495039701461801</v>
      </c>
      <c r="AW998" s="13">
        <v>5.4800000190734899</v>
      </c>
      <c r="AX998" s="4">
        <v>1</v>
      </c>
      <c r="AY998" s="13">
        <v>94.369186401367202</v>
      </c>
      <c r="AZ998" s="13">
        <v>6.8740425109863299</v>
      </c>
      <c r="BA998" s="13">
        <v>-0.85250097513198897</v>
      </c>
      <c r="BB998" s="13">
        <v>13.6000003814697</v>
      </c>
      <c r="BC998" s="4"/>
      <c r="BD998" s="4">
        <v>10</v>
      </c>
      <c r="BE998" s="4" t="s">
        <v>134</v>
      </c>
      <c r="BF998" s="13">
        <v>4.2304959297180202</v>
      </c>
      <c r="BG998" s="4">
        <v>634.5</v>
      </c>
      <c r="BH998" s="13">
        <v>5.1950001716613796</v>
      </c>
      <c r="BI998" s="13">
        <v>3303.68994140625</v>
      </c>
      <c r="BJ998" s="4"/>
      <c r="BK998" s="14">
        <v>6</v>
      </c>
      <c r="BL998" s="14">
        <v>6</v>
      </c>
      <c r="BM998" s="14">
        <v>6</v>
      </c>
      <c r="BP998" s="15"/>
      <c r="BQ998" s="15"/>
      <c r="BR998" s="2" t="s">
        <v>211</v>
      </c>
      <c r="BS998" s="2" t="s">
        <v>172</v>
      </c>
      <c r="BT998" s="7" t="s">
        <v>527</v>
      </c>
      <c r="BU998" s="7" t="s">
        <v>428</v>
      </c>
      <c r="BV998" s="9" t="s">
        <v>527</v>
      </c>
      <c r="BW998" s="9"/>
    </row>
    <row r="999" spans="1:75" ht="14.25" customHeight="1" x14ac:dyDescent="0.25">
      <c r="A999" s="1">
        <v>1795</v>
      </c>
      <c r="B999" s="1" t="s">
        <v>4148</v>
      </c>
      <c r="C999" s="1" t="s">
        <v>4149</v>
      </c>
      <c r="D999" s="1" t="s">
        <v>77</v>
      </c>
      <c r="E999" s="1" t="s">
        <v>2396</v>
      </c>
      <c r="F999" s="1" t="s">
        <v>4073</v>
      </c>
      <c r="G999" s="1"/>
      <c r="H999" s="2">
        <v>1</v>
      </c>
      <c r="I999" s="2">
        <v>1</v>
      </c>
      <c r="J999" s="2">
        <v>1</v>
      </c>
      <c r="K999" s="2">
        <v>1</v>
      </c>
      <c r="L999" s="3" t="s">
        <v>127</v>
      </c>
      <c r="O999" s="4">
        <v>2</v>
      </c>
      <c r="P999" s="4" t="s">
        <v>1840</v>
      </c>
      <c r="Q999" s="4"/>
      <c r="R999" s="16">
        <v>46000000</v>
      </c>
      <c r="S999" s="6">
        <v>46000000</v>
      </c>
      <c r="T999" s="16">
        <v>45000000</v>
      </c>
      <c r="U999" s="6">
        <v>45000000</v>
      </c>
      <c r="V999" s="4">
        <v>2010.5</v>
      </c>
      <c r="W999" s="4" t="s">
        <v>579</v>
      </c>
      <c r="X999" s="4"/>
      <c r="Y999" s="7">
        <v>1</v>
      </c>
      <c r="Z999" s="8">
        <v>7779269</v>
      </c>
      <c r="AA999" s="7" t="s">
        <v>92</v>
      </c>
      <c r="AB999" s="7"/>
      <c r="AC999" s="9">
        <v>1</v>
      </c>
      <c r="AD999" s="10">
        <v>11945991</v>
      </c>
      <c r="AE999" s="9" t="s">
        <v>92</v>
      </c>
      <c r="AF999" s="9"/>
      <c r="AG999" s="11">
        <v>3</v>
      </c>
      <c r="AH999" s="11" t="s">
        <v>131</v>
      </c>
      <c r="AI999" s="11" t="s">
        <v>4150</v>
      </c>
      <c r="AJ999" s="11">
        <v>4</v>
      </c>
      <c r="AK999" s="11" t="s">
        <v>143</v>
      </c>
      <c r="AL999" s="12">
        <v>2</v>
      </c>
      <c r="AM999" s="12" t="s">
        <v>131</v>
      </c>
      <c r="AN999" s="12" t="s">
        <v>4151</v>
      </c>
      <c r="AO999" s="12">
        <v>2</v>
      </c>
      <c r="AP999" s="12" t="s">
        <v>132</v>
      </c>
      <c r="AQ999" s="4">
        <v>4</v>
      </c>
      <c r="AR999" s="4" t="s">
        <v>133</v>
      </c>
      <c r="AS999" s="4"/>
      <c r="AT999" s="13">
        <v>-65.374816894531307</v>
      </c>
      <c r="AU999" s="13">
        <v>-2.0597765445709202</v>
      </c>
      <c r="AV999" s="13">
        <v>-3.3043029308319101</v>
      </c>
      <c r="AW999" s="13">
        <v>-0.49099999666214</v>
      </c>
      <c r="AX999" s="4">
        <v>1</v>
      </c>
      <c r="AY999" s="13">
        <v>12.394157409668001</v>
      </c>
      <c r="AZ999" s="13">
        <v>1.1753791570663501</v>
      </c>
      <c r="BA999" s="13">
        <v>-2.9900000095367401</v>
      </c>
      <c r="BB999" s="13">
        <v>5.5310010910034197</v>
      </c>
      <c r="BC999" s="4"/>
      <c r="BD999" s="4">
        <v>10</v>
      </c>
      <c r="BE999" s="4" t="s">
        <v>134</v>
      </c>
      <c r="BF999" s="13">
        <v>2.8133029937744101</v>
      </c>
      <c r="BG999" s="4">
        <v>1699</v>
      </c>
      <c r="BH999" s="13">
        <v>11.0200004577637</v>
      </c>
      <c r="BI999" s="13">
        <v>18689.869140625</v>
      </c>
      <c r="BJ999" s="4"/>
      <c r="BK999" s="14">
        <v>10</v>
      </c>
      <c r="BL999" s="14">
        <v>9</v>
      </c>
      <c r="BM999" s="14">
        <v>10</v>
      </c>
      <c r="BN999" s="3" t="s">
        <v>302</v>
      </c>
      <c r="BP999" s="15" t="s">
        <v>135</v>
      </c>
      <c r="BQ999" s="15"/>
      <c r="BR999" s="2" t="s">
        <v>172</v>
      </c>
      <c r="BS999" s="2" t="s">
        <v>172</v>
      </c>
      <c r="BT999" s="7" t="s">
        <v>527</v>
      </c>
      <c r="BU999" s="7" t="s">
        <v>428</v>
      </c>
      <c r="BV999" s="9" t="s">
        <v>509</v>
      </c>
      <c r="BW999" s="9"/>
    </row>
    <row r="1000" spans="1:75" ht="14.25" customHeight="1" x14ac:dyDescent="0.25">
      <c r="A1000" s="1">
        <v>1803</v>
      </c>
      <c r="B1000" s="1" t="s">
        <v>4152</v>
      </c>
      <c r="C1000" s="1" t="s">
        <v>4153</v>
      </c>
      <c r="D1000" s="1" t="s">
        <v>77</v>
      </c>
      <c r="E1000" s="1" t="s">
        <v>2396</v>
      </c>
      <c r="F1000" s="1" t="s">
        <v>4073</v>
      </c>
      <c r="G1000" s="1"/>
      <c r="H1000" s="2">
        <v>1</v>
      </c>
      <c r="I1000" s="2">
        <v>1</v>
      </c>
      <c r="J1000" s="2">
        <v>1</v>
      </c>
      <c r="K1000" s="2">
        <v>0</v>
      </c>
      <c r="L1000" s="3" t="s">
        <v>127</v>
      </c>
      <c r="O1000" s="4">
        <v>2</v>
      </c>
      <c r="P1000" s="4" t="s">
        <v>1919</v>
      </c>
      <c r="Q1000" s="4"/>
      <c r="R1000" s="16">
        <v>44000000</v>
      </c>
      <c r="S1000" s="6">
        <v>44000000</v>
      </c>
      <c r="T1000" s="16">
        <v>44000000</v>
      </c>
      <c r="U1000" s="6">
        <v>44000000</v>
      </c>
      <c r="V1000" s="4">
        <v>2010.5</v>
      </c>
      <c r="W1000" s="4" t="s">
        <v>1919</v>
      </c>
      <c r="X1000" s="4"/>
      <c r="Y1000" s="7">
        <v>1</v>
      </c>
      <c r="Z1000" s="8">
        <v>7508019</v>
      </c>
      <c r="AA1000" s="7" t="s">
        <v>92</v>
      </c>
      <c r="AB1000" s="7"/>
      <c r="AC1000" s="9">
        <v>1</v>
      </c>
      <c r="AD1000" s="10">
        <v>7626914</v>
      </c>
      <c r="AE1000" s="9" t="s">
        <v>92</v>
      </c>
      <c r="AF1000" s="9"/>
      <c r="AG1000" s="11">
        <v>2</v>
      </c>
      <c r="AH1000" s="11" t="s">
        <v>131</v>
      </c>
      <c r="AI1000" s="11" t="s">
        <v>4154</v>
      </c>
      <c r="AJ1000" s="11">
        <v>3</v>
      </c>
      <c r="AK1000" s="11" t="s">
        <v>132</v>
      </c>
      <c r="AL1000" s="12">
        <v>2</v>
      </c>
      <c r="AM1000" s="12" t="s">
        <v>131</v>
      </c>
      <c r="AN1000" s="12" t="s">
        <v>4155</v>
      </c>
      <c r="AO1000" s="12">
        <v>2</v>
      </c>
      <c r="AP1000" s="12" t="s">
        <v>132</v>
      </c>
      <c r="AQ1000" s="4">
        <v>3</v>
      </c>
      <c r="AR1000" s="4" t="s">
        <v>133</v>
      </c>
      <c r="AS1000" s="4"/>
      <c r="AT1000" s="13">
        <v>-14.560111999511699</v>
      </c>
      <c r="AU1000" s="13">
        <v>-0.308525890111923</v>
      </c>
      <c r="AV1000" s="13">
        <v>-0.76800000667571999</v>
      </c>
      <c r="AW1000" s="13">
        <v>0.108599998056889</v>
      </c>
      <c r="AX1000" s="4"/>
      <c r="AY1000" s="13">
        <v>-20.644435882568398</v>
      </c>
      <c r="AZ1000" s="13">
        <v>-2.2890567779540998</v>
      </c>
      <c r="BA1000" s="13">
        <v>-2.6500000953674299</v>
      </c>
      <c r="BB1000" s="13">
        <v>-1.8500000238418599</v>
      </c>
      <c r="BC1000" s="4">
        <v>1</v>
      </c>
      <c r="BD1000" s="4">
        <v>10</v>
      </c>
      <c r="BE1000" s="4" t="s">
        <v>134</v>
      </c>
      <c r="BF1000" s="13">
        <v>0.87660002708435103</v>
      </c>
      <c r="BG1000" s="4">
        <v>3629</v>
      </c>
      <c r="BH1000" s="13">
        <v>5.7150001525878897</v>
      </c>
      <c r="BI1000" s="13">
        <v>20738.14453125</v>
      </c>
      <c r="BJ1000" s="4"/>
      <c r="BK1000" s="14">
        <v>8</v>
      </c>
      <c r="BL1000" s="14">
        <v>8</v>
      </c>
      <c r="BM1000" s="14">
        <v>8</v>
      </c>
      <c r="BP1000" s="15" t="s">
        <v>135</v>
      </c>
      <c r="BQ1000" s="15"/>
      <c r="BR1000" s="2" t="s">
        <v>172</v>
      </c>
      <c r="BS1000" s="2" t="s">
        <v>172</v>
      </c>
      <c r="BT1000" s="7" t="s">
        <v>458</v>
      </c>
      <c r="BU1000" s="7"/>
      <c r="BV1000" s="9" t="s">
        <v>458</v>
      </c>
      <c r="BW1000" s="9"/>
    </row>
    <row r="1001" spans="1:75" ht="14.25" customHeight="1" x14ac:dyDescent="0.25">
      <c r="A1001" s="1">
        <v>1805</v>
      </c>
      <c r="B1001" s="1" t="s">
        <v>4156</v>
      </c>
      <c r="C1001" s="1" t="s">
        <v>4157</v>
      </c>
      <c r="D1001" s="1" t="s">
        <v>77</v>
      </c>
      <c r="E1001" s="1" t="s">
        <v>2396</v>
      </c>
      <c r="F1001" s="1" t="s">
        <v>4158</v>
      </c>
      <c r="G1001" s="1"/>
      <c r="H1001" s="2">
        <v>0</v>
      </c>
      <c r="I1001" s="2">
        <v>0</v>
      </c>
      <c r="J1001" s="2">
        <v>1</v>
      </c>
      <c r="K1001" s="2">
        <v>1</v>
      </c>
      <c r="L1001" s="3" t="s">
        <v>80</v>
      </c>
      <c r="O1001" s="4">
        <v>5</v>
      </c>
      <c r="P1001" s="4" t="s">
        <v>112</v>
      </c>
      <c r="Q1001" s="4"/>
      <c r="R1001" s="5"/>
      <c r="S1001" s="6"/>
      <c r="T1001" s="17"/>
      <c r="U1001" s="6"/>
      <c r="V1001" s="4"/>
      <c r="W1001" s="4"/>
      <c r="X1001" s="4"/>
      <c r="Y1001" s="7">
        <v>4</v>
      </c>
      <c r="Z1001" s="8">
        <v>147346</v>
      </c>
      <c r="AA1001" s="7" t="s">
        <v>92</v>
      </c>
      <c r="AB1001" s="7"/>
      <c r="AC1001" s="9">
        <v>4</v>
      </c>
      <c r="AD1001" s="10">
        <v>147346</v>
      </c>
      <c r="AE1001" s="9" t="s">
        <v>92</v>
      </c>
      <c r="AF1001" s="9"/>
      <c r="AG1001" s="11">
        <v>4</v>
      </c>
      <c r="AH1001" s="11" t="s">
        <v>93</v>
      </c>
      <c r="AI1001" s="11"/>
      <c r="AJ1001" s="11"/>
      <c r="AK1001" s="11"/>
      <c r="AL1001" s="12">
        <v>4</v>
      </c>
      <c r="AM1001" s="12" t="s">
        <v>93</v>
      </c>
      <c r="AN1001" s="12" t="s">
        <v>4159</v>
      </c>
      <c r="AO1001" s="12"/>
      <c r="AP1001" s="12"/>
      <c r="AQ1001" s="4">
        <v>4</v>
      </c>
      <c r="AR1001" s="4" t="s">
        <v>83</v>
      </c>
      <c r="AS1001" s="4" t="s">
        <v>4160</v>
      </c>
      <c r="AT1001" s="13"/>
      <c r="AU1001" s="13"/>
      <c r="AV1001" s="13"/>
      <c r="AW1001" s="13"/>
      <c r="AX1001" s="4"/>
      <c r="AY1001" s="13"/>
      <c r="AZ1001" s="13"/>
      <c r="BA1001" s="13"/>
      <c r="BB1001" s="13"/>
      <c r="BC1001" s="4"/>
      <c r="BD1001" s="4"/>
      <c r="BE1001" s="4"/>
      <c r="BF1001" s="13"/>
      <c r="BG1001" s="4"/>
      <c r="BH1001" s="13"/>
      <c r="BI1001" s="13"/>
      <c r="BJ1001" s="4"/>
      <c r="BK1001" s="14">
        <v>17</v>
      </c>
      <c r="BL1001" s="14">
        <v>17</v>
      </c>
      <c r="BM1001" s="14">
        <v>17</v>
      </c>
      <c r="BN1001" s="3" t="s">
        <v>312</v>
      </c>
      <c r="BP1001" s="15"/>
      <c r="BQ1001" s="15"/>
      <c r="BR1001" s="2" t="s">
        <v>108</v>
      </c>
      <c r="BS1001" s="2" t="s">
        <v>108</v>
      </c>
      <c r="BT1001" s="7" t="s">
        <v>109</v>
      </c>
      <c r="BU1001" s="7"/>
      <c r="BV1001" s="9" t="s">
        <v>109</v>
      </c>
      <c r="BW1001" s="9"/>
    </row>
    <row r="1002" spans="1:75" ht="14.25" customHeight="1" x14ac:dyDescent="0.25">
      <c r="A1002" s="1">
        <v>1806</v>
      </c>
      <c r="B1002" s="1" t="s">
        <v>4161</v>
      </c>
      <c r="C1002" s="1" t="s">
        <v>4162</v>
      </c>
      <c r="D1002" s="1" t="s">
        <v>77</v>
      </c>
      <c r="E1002" s="1" t="s">
        <v>2396</v>
      </c>
      <c r="F1002" s="1" t="s">
        <v>4163</v>
      </c>
      <c r="G1002" s="1"/>
      <c r="H1002" s="2">
        <v>1</v>
      </c>
      <c r="I1002" s="2">
        <v>1</v>
      </c>
      <c r="J1002" s="2">
        <v>0</v>
      </c>
      <c r="K1002" s="2">
        <v>0</v>
      </c>
      <c r="L1002" s="3" t="s">
        <v>127</v>
      </c>
      <c r="O1002" s="4">
        <v>1</v>
      </c>
      <c r="P1002" s="4" t="s">
        <v>535</v>
      </c>
      <c r="Q1002" s="4"/>
      <c r="R1002" s="16">
        <v>140000000</v>
      </c>
      <c r="S1002" s="6">
        <v>140000000</v>
      </c>
      <c r="T1002" s="16">
        <v>68000000</v>
      </c>
      <c r="U1002" s="6">
        <v>68000000</v>
      </c>
      <c r="V1002" s="4">
        <v>2010.5</v>
      </c>
      <c r="W1002" s="4" t="s">
        <v>536</v>
      </c>
      <c r="X1002" s="4"/>
      <c r="Y1002" s="7">
        <v>1</v>
      </c>
      <c r="Z1002" s="8">
        <v>6644664</v>
      </c>
      <c r="AA1002" s="7" t="s">
        <v>92</v>
      </c>
      <c r="AB1002" s="7"/>
      <c r="AC1002" s="9">
        <v>1</v>
      </c>
      <c r="AD1002" s="10">
        <v>15828604</v>
      </c>
      <c r="AE1002" s="9" t="s">
        <v>92</v>
      </c>
      <c r="AF1002" s="9"/>
      <c r="AG1002" s="11">
        <v>3</v>
      </c>
      <c r="AH1002" s="11" t="s">
        <v>131</v>
      </c>
      <c r="AI1002" s="11"/>
      <c r="AJ1002" s="11">
        <v>4</v>
      </c>
      <c r="AK1002" s="11" t="s">
        <v>143</v>
      </c>
      <c r="AL1002" s="12">
        <v>2</v>
      </c>
      <c r="AM1002" s="12" t="s">
        <v>131</v>
      </c>
      <c r="AN1002" s="12"/>
      <c r="AO1002" s="12">
        <v>2</v>
      </c>
      <c r="AP1002" s="12" t="s">
        <v>132</v>
      </c>
      <c r="AQ1002" s="4">
        <v>5</v>
      </c>
      <c r="AR1002" s="4" t="s">
        <v>532</v>
      </c>
      <c r="AS1002" s="4"/>
      <c r="AT1002" s="13">
        <v>-55.529747009277301</v>
      </c>
      <c r="AU1002" s="13">
        <v>-2.1700358390808101</v>
      </c>
      <c r="AV1002" s="13">
        <v>-5.9699997901916504</v>
      </c>
      <c r="AW1002" s="13">
        <v>1.3314009904861499</v>
      </c>
      <c r="AX1002" s="4"/>
      <c r="AY1002" s="13">
        <v>-30.903520584106399</v>
      </c>
      <c r="AZ1002" s="13">
        <v>-3.6299295425414999</v>
      </c>
      <c r="BA1002" s="13">
        <v>-11.0562028884888</v>
      </c>
      <c r="BB1002" s="13">
        <v>3.1900000572204599</v>
      </c>
      <c r="BC1002" s="4"/>
      <c r="BD1002" s="4">
        <v>10</v>
      </c>
      <c r="BE1002" s="4" t="s">
        <v>210</v>
      </c>
      <c r="BF1002" s="13">
        <v>7.3014011383056596</v>
      </c>
      <c r="BG1002" s="4">
        <v>23.5</v>
      </c>
      <c r="BH1002" s="13">
        <v>16.600000381469702</v>
      </c>
      <c r="BI1002" s="13">
        <v>390.10000610351602</v>
      </c>
      <c r="BJ1002" s="4"/>
      <c r="BK1002" s="14">
        <v>10</v>
      </c>
      <c r="BL1002" s="14">
        <v>9</v>
      </c>
      <c r="BM1002" s="14">
        <v>10</v>
      </c>
      <c r="BN1002" s="3" t="s">
        <v>302</v>
      </c>
      <c r="BP1002" s="15"/>
      <c r="BQ1002" s="15" t="s">
        <v>136</v>
      </c>
      <c r="BR1002" s="2" t="s">
        <v>161</v>
      </c>
      <c r="BS1002" s="2" t="s">
        <v>172</v>
      </c>
      <c r="BT1002" s="7" t="s">
        <v>174</v>
      </c>
      <c r="BU1002" s="7"/>
      <c r="BV1002" s="9" t="s">
        <v>603</v>
      </c>
      <c r="BW1002" s="9" t="s">
        <v>357</v>
      </c>
    </row>
    <row r="1003" spans="1:75" ht="14.25" customHeight="1" x14ac:dyDescent="0.25">
      <c r="A1003" s="1">
        <v>1807</v>
      </c>
      <c r="B1003" s="1" t="s">
        <v>4164</v>
      </c>
      <c r="C1003" s="1" t="s">
        <v>4165</v>
      </c>
      <c r="D1003" s="1" t="s">
        <v>77</v>
      </c>
      <c r="E1003" s="1" t="s">
        <v>2396</v>
      </c>
      <c r="F1003" s="1" t="s">
        <v>4163</v>
      </c>
      <c r="G1003" s="1" t="s">
        <v>118</v>
      </c>
      <c r="H1003" s="2">
        <v>1</v>
      </c>
      <c r="I1003" s="2">
        <v>1</v>
      </c>
      <c r="J1003" s="2">
        <v>1</v>
      </c>
      <c r="K1003" s="2">
        <v>0</v>
      </c>
      <c r="L1003" s="3" t="s">
        <v>127</v>
      </c>
      <c r="O1003" s="4">
        <v>3</v>
      </c>
      <c r="P1003" s="4" t="s">
        <v>425</v>
      </c>
      <c r="Q1003" s="4"/>
      <c r="R1003" s="16">
        <v>3100000</v>
      </c>
      <c r="S1003" s="6">
        <v>3100000</v>
      </c>
      <c r="T1003" s="16">
        <v>3100000</v>
      </c>
      <c r="U1003" s="6">
        <v>3100000</v>
      </c>
      <c r="V1003" s="4">
        <v>2010.5</v>
      </c>
      <c r="W1003" s="4" t="s">
        <v>425</v>
      </c>
      <c r="X1003" s="4"/>
      <c r="Y1003" s="7">
        <v>3</v>
      </c>
      <c r="Z1003" s="8">
        <v>797094</v>
      </c>
      <c r="AA1003" s="7" t="s">
        <v>92</v>
      </c>
      <c r="AB1003" s="7"/>
      <c r="AC1003" s="9">
        <v>2</v>
      </c>
      <c r="AD1003" s="10">
        <v>1436439</v>
      </c>
      <c r="AE1003" s="9" t="s">
        <v>92</v>
      </c>
      <c r="AF1003" s="9"/>
      <c r="AG1003" s="11">
        <v>5</v>
      </c>
      <c r="AH1003" s="11" t="s">
        <v>454</v>
      </c>
      <c r="AI1003" s="11" t="s">
        <v>4166</v>
      </c>
      <c r="AJ1003" s="11">
        <v>5</v>
      </c>
      <c r="AK1003" s="11" t="s">
        <v>143</v>
      </c>
      <c r="AL1003" s="12">
        <v>4</v>
      </c>
      <c r="AM1003" s="12" t="s">
        <v>800</v>
      </c>
      <c r="AN1003" s="12" t="s">
        <v>4167</v>
      </c>
      <c r="AO1003" s="12">
        <v>3</v>
      </c>
      <c r="AP1003" s="12" t="s">
        <v>143</v>
      </c>
      <c r="AQ1003" s="4">
        <v>5</v>
      </c>
      <c r="AR1003" s="4" t="s">
        <v>133</v>
      </c>
      <c r="AS1003" s="4"/>
      <c r="AT1003" s="13">
        <v>-85.5535888671875</v>
      </c>
      <c r="AU1003" s="13">
        <v>-3.7196688652038601</v>
      </c>
      <c r="AV1003" s="13">
        <v>-4.5799999237060502</v>
      </c>
      <c r="AW1003" s="13">
        <v>-2.9356000423431401</v>
      </c>
      <c r="AX1003" s="4">
        <v>1</v>
      </c>
      <c r="AY1003" s="13">
        <v>-25.8970642089844</v>
      </c>
      <c r="AZ1003" s="13">
        <v>-2.9499063491821298</v>
      </c>
      <c r="BA1003" s="13">
        <v>-6.0999999046325701</v>
      </c>
      <c r="BB1003" s="13">
        <v>8.9896000921726199E-2</v>
      </c>
      <c r="BC1003" s="4"/>
      <c r="BD1003" s="4">
        <v>10</v>
      </c>
      <c r="BE1003" s="4" t="s">
        <v>134</v>
      </c>
      <c r="BF1003" s="13">
        <v>1.6444000005721999</v>
      </c>
      <c r="BG1003" s="4">
        <v>247</v>
      </c>
      <c r="BH1003" s="13">
        <v>29.709999084472699</v>
      </c>
      <c r="BI1003" s="13">
        <v>7338.3701171875</v>
      </c>
      <c r="BJ1003" s="4"/>
      <c r="BK1003" s="14">
        <v>16</v>
      </c>
      <c r="BL1003" s="14">
        <v>14</v>
      </c>
      <c r="BM1003" s="14">
        <v>16</v>
      </c>
      <c r="BN1003" s="3" t="s">
        <v>312</v>
      </c>
      <c r="BO1003" s="3" t="s">
        <v>114</v>
      </c>
      <c r="BP1003" s="15"/>
      <c r="BQ1003" s="15" t="s">
        <v>136</v>
      </c>
      <c r="BR1003" s="2" t="s">
        <v>457</v>
      </c>
      <c r="BS1003" s="2" t="s">
        <v>297</v>
      </c>
      <c r="BT1003" s="7" t="s">
        <v>585</v>
      </c>
      <c r="BU1003" s="7"/>
      <c r="BV1003" s="9" t="s">
        <v>474</v>
      </c>
      <c r="BW1003" s="9"/>
    </row>
    <row r="1004" spans="1:75" ht="14.25" customHeight="1" x14ac:dyDescent="0.25">
      <c r="A1004" s="1">
        <v>1808</v>
      </c>
      <c r="B1004" s="1" t="s">
        <v>4168</v>
      </c>
      <c r="C1004" s="1" t="s">
        <v>4169</v>
      </c>
      <c r="D1004" s="1" t="s">
        <v>77</v>
      </c>
      <c r="E1004" s="1" t="s">
        <v>2396</v>
      </c>
      <c r="F1004" s="1" t="s">
        <v>4163</v>
      </c>
      <c r="G1004" s="1" t="s">
        <v>118</v>
      </c>
      <c r="H1004" s="2">
        <v>1</v>
      </c>
      <c r="I1004" s="2">
        <v>1</v>
      </c>
      <c r="J1004" s="2">
        <v>0</v>
      </c>
      <c r="K1004" s="2">
        <v>0</v>
      </c>
      <c r="L1004" s="3" t="s">
        <v>127</v>
      </c>
      <c r="O1004" s="4">
        <v>4</v>
      </c>
      <c r="P1004" s="4" t="s">
        <v>4170</v>
      </c>
      <c r="Q1004" s="4" t="s">
        <v>4171</v>
      </c>
      <c r="R1004" s="16">
        <v>75000</v>
      </c>
      <c r="S1004" s="6">
        <v>75000</v>
      </c>
      <c r="T1004" s="16">
        <v>75000</v>
      </c>
      <c r="U1004" s="6">
        <v>75000</v>
      </c>
      <c r="V1004" s="4"/>
      <c r="W1004" s="4" t="s">
        <v>4170</v>
      </c>
      <c r="X1004" s="4"/>
      <c r="Y1004" s="7">
        <v>3</v>
      </c>
      <c r="Z1004" s="8">
        <v>706714</v>
      </c>
      <c r="AA1004" s="7" t="s">
        <v>92</v>
      </c>
      <c r="AB1004" s="7"/>
      <c r="AC1004" s="9">
        <v>3</v>
      </c>
      <c r="AD1004" s="10">
        <v>539878</v>
      </c>
      <c r="AE1004" s="9" t="s">
        <v>582</v>
      </c>
      <c r="AF1004" s="9" t="s">
        <v>4172</v>
      </c>
      <c r="AG1004" s="11">
        <v>4</v>
      </c>
      <c r="AH1004" s="11" t="s">
        <v>131</v>
      </c>
      <c r="AI1004" s="11" t="s">
        <v>4173</v>
      </c>
      <c r="AJ1004" s="11">
        <v>5</v>
      </c>
      <c r="AK1004" s="11" t="s">
        <v>132</v>
      </c>
      <c r="AL1004" s="12">
        <v>3</v>
      </c>
      <c r="AM1004" s="12" t="s">
        <v>131</v>
      </c>
      <c r="AN1004" s="12" t="s">
        <v>4174</v>
      </c>
      <c r="AO1004" s="12">
        <v>1</v>
      </c>
      <c r="AP1004" s="12" t="s">
        <v>132</v>
      </c>
      <c r="AQ1004" s="4">
        <v>1</v>
      </c>
      <c r="AR1004" s="4" t="s">
        <v>1150</v>
      </c>
      <c r="AS1004" s="4"/>
      <c r="AT1004" s="13">
        <v>139.68515014648401</v>
      </c>
      <c r="AU1004" s="13">
        <v>1.79999995231628</v>
      </c>
      <c r="AV1004" s="13">
        <v>0</v>
      </c>
      <c r="AW1004" s="13">
        <v>3.9000000953674299</v>
      </c>
      <c r="AX1004" s="4">
        <v>1</v>
      </c>
      <c r="AY1004" s="13">
        <v>24.310827255248999</v>
      </c>
      <c r="AZ1004" s="13">
        <v>2.2000000476837198</v>
      </c>
      <c r="BA1004" s="13">
        <v>-1</v>
      </c>
      <c r="BB1004" s="13">
        <v>6.5</v>
      </c>
      <c r="BC1004" s="4"/>
      <c r="BD1004" s="4">
        <v>10</v>
      </c>
      <c r="BE1004" s="4"/>
      <c r="BF1004" s="13">
        <v>3.9000000953674299</v>
      </c>
      <c r="BG1004" s="4"/>
      <c r="BH1004" s="13"/>
      <c r="BI1004" s="13"/>
      <c r="BJ1004" s="4"/>
      <c r="BK1004" s="14">
        <v>12</v>
      </c>
      <c r="BL1004" s="14">
        <v>11</v>
      </c>
      <c r="BM1004" s="14">
        <v>12</v>
      </c>
      <c r="BP1004" s="15"/>
      <c r="BQ1004" s="15" t="s">
        <v>136</v>
      </c>
      <c r="BR1004" s="2" t="s">
        <v>161</v>
      </c>
      <c r="BS1004" s="2" t="s">
        <v>457</v>
      </c>
      <c r="BT1004" s="7" t="s">
        <v>174</v>
      </c>
      <c r="BU1004" s="7"/>
      <c r="BV1004" s="9" t="s">
        <v>585</v>
      </c>
      <c r="BW1004" s="9"/>
    </row>
    <row r="1005" spans="1:75" ht="14.25" customHeight="1" x14ac:dyDescent="0.25">
      <c r="A1005" s="1">
        <v>1809</v>
      </c>
      <c r="B1005" s="1" t="s">
        <v>4175</v>
      </c>
      <c r="C1005" s="1" t="s">
        <v>4176</v>
      </c>
      <c r="D1005" s="1" t="s">
        <v>77</v>
      </c>
      <c r="E1005" s="1" t="s">
        <v>2396</v>
      </c>
      <c r="F1005" s="1" t="s">
        <v>4163</v>
      </c>
      <c r="G1005" s="1" t="s">
        <v>118</v>
      </c>
      <c r="H1005" s="2">
        <v>1</v>
      </c>
      <c r="I1005" s="2">
        <v>1</v>
      </c>
      <c r="J1005" s="2">
        <v>1</v>
      </c>
      <c r="K1005" s="2">
        <v>0</v>
      </c>
      <c r="L1005" s="3" t="s">
        <v>127</v>
      </c>
      <c r="O1005" s="4">
        <v>3</v>
      </c>
      <c r="P1005" s="4" t="s">
        <v>425</v>
      </c>
      <c r="Q1005" s="4"/>
      <c r="R1005" s="16">
        <v>840000</v>
      </c>
      <c r="S1005" s="6">
        <v>840000</v>
      </c>
      <c r="T1005" s="16">
        <v>840000</v>
      </c>
      <c r="U1005" s="6">
        <v>840000</v>
      </c>
      <c r="V1005" s="4">
        <v>2010.5</v>
      </c>
      <c r="W1005" s="4" t="s">
        <v>425</v>
      </c>
      <c r="X1005" s="4"/>
      <c r="Y1005" s="7">
        <v>3</v>
      </c>
      <c r="Z1005" s="8">
        <v>684343</v>
      </c>
      <c r="AA1005" s="7" t="s">
        <v>92</v>
      </c>
      <c r="AB1005" s="7"/>
      <c r="AC1005" s="9">
        <v>3</v>
      </c>
      <c r="AD1005" s="10">
        <v>820781</v>
      </c>
      <c r="AE1005" s="9" t="s">
        <v>92</v>
      </c>
      <c r="AF1005" s="9" t="s">
        <v>4177</v>
      </c>
      <c r="AG1005" s="11">
        <v>5</v>
      </c>
      <c r="AH1005" s="11" t="s">
        <v>454</v>
      </c>
      <c r="AI1005" s="11" t="s">
        <v>4178</v>
      </c>
      <c r="AJ1005" s="11">
        <v>5</v>
      </c>
      <c r="AK1005" s="11" t="s">
        <v>132</v>
      </c>
      <c r="AL1005" s="12">
        <v>4</v>
      </c>
      <c r="AM1005" s="12" t="s">
        <v>800</v>
      </c>
      <c r="AN1005" s="12" t="s">
        <v>4179</v>
      </c>
      <c r="AO1005" s="12">
        <v>3</v>
      </c>
      <c r="AP1005" s="12" t="s">
        <v>132</v>
      </c>
      <c r="AQ1005" s="4">
        <v>5</v>
      </c>
      <c r="AR1005" s="4" t="s">
        <v>133</v>
      </c>
      <c r="AS1005" s="4"/>
      <c r="AT1005" s="13">
        <v>-80.052627563476605</v>
      </c>
      <c r="AU1005" s="13">
        <v>-3.1102061271667498</v>
      </c>
      <c r="AV1005" s="13">
        <v>-5.0999999046325701</v>
      </c>
      <c r="AW1005" s="13">
        <v>-1.40429699420929</v>
      </c>
      <c r="AX1005" s="4">
        <v>1</v>
      </c>
      <c r="AY1005" s="13">
        <v>39.083724975585902</v>
      </c>
      <c r="AZ1005" s="13">
        <v>3.3542187213897701</v>
      </c>
      <c r="BA1005" s="13">
        <v>-3.2799999713897701</v>
      </c>
      <c r="BB1005" s="13">
        <v>11.979997634887701</v>
      </c>
      <c r="BC1005" s="4"/>
      <c r="BD1005" s="4">
        <v>10</v>
      </c>
      <c r="BE1005" s="4" t="s">
        <v>134</v>
      </c>
      <c r="BF1005" s="13">
        <v>3.6957030296325701</v>
      </c>
      <c r="BG1005" s="4">
        <v>142</v>
      </c>
      <c r="BH1005" s="13">
        <v>15.930000305175801</v>
      </c>
      <c r="BI1005" s="13">
        <v>2262.06005859375</v>
      </c>
      <c r="BJ1005" s="4"/>
      <c r="BK1005" s="14">
        <v>16</v>
      </c>
      <c r="BL1005" s="14">
        <v>15</v>
      </c>
      <c r="BM1005" s="14">
        <v>16</v>
      </c>
      <c r="BN1005" s="3" t="s">
        <v>312</v>
      </c>
      <c r="BP1005" s="15"/>
      <c r="BQ1005" s="15" t="s">
        <v>136</v>
      </c>
      <c r="BR1005" s="2" t="s">
        <v>457</v>
      </c>
      <c r="BS1005" s="2" t="s">
        <v>297</v>
      </c>
      <c r="BT1005" s="7" t="s">
        <v>585</v>
      </c>
      <c r="BU1005" s="7"/>
      <c r="BV1005" s="9" t="s">
        <v>474</v>
      </c>
      <c r="BW1005" s="9"/>
    </row>
    <row r="1006" spans="1:75" ht="14.25" customHeight="1" x14ac:dyDescent="0.25">
      <c r="A1006" s="1">
        <v>1810</v>
      </c>
      <c r="B1006" s="1" t="s">
        <v>4180</v>
      </c>
      <c r="C1006" s="1" t="s">
        <v>4181</v>
      </c>
      <c r="D1006" s="1" t="s">
        <v>77</v>
      </c>
      <c r="E1006" s="1" t="s">
        <v>2396</v>
      </c>
      <c r="F1006" s="1" t="s">
        <v>4163</v>
      </c>
      <c r="G1006" s="1"/>
      <c r="H1006" s="2">
        <v>1</v>
      </c>
      <c r="I1006" s="2">
        <v>1</v>
      </c>
      <c r="J1006" s="2">
        <v>0</v>
      </c>
      <c r="K1006" s="2">
        <v>0</v>
      </c>
      <c r="L1006" s="3" t="s">
        <v>127</v>
      </c>
      <c r="O1006" s="4">
        <v>2</v>
      </c>
      <c r="P1006" s="4" t="s">
        <v>4182</v>
      </c>
      <c r="Q1006" s="4"/>
      <c r="R1006" s="16">
        <v>29000000</v>
      </c>
      <c r="S1006" s="6">
        <v>29000000</v>
      </c>
      <c r="T1006" s="16">
        <v>14000000</v>
      </c>
      <c r="U1006" s="6">
        <v>14000000</v>
      </c>
      <c r="V1006" s="4">
        <v>2010.5</v>
      </c>
      <c r="W1006" s="4" t="s">
        <v>4183</v>
      </c>
      <c r="X1006" s="4"/>
      <c r="Y1006" s="7">
        <v>1</v>
      </c>
      <c r="Z1006" s="8">
        <v>7434786</v>
      </c>
      <c r="AA1006" s="7" t="s">
        <v>92</v>
      </c>
      <c r="AB1006" s="7"/>
      <c r="AC1006" s="9">
        <v>1</v>
      </c>
      <c r="AD1006" s="10">
        <v>14864638</v>
      </c>
      <c r="AE1006" s="9" t="s">
        <v>92</v>
      </c>
      <c r="AF1006" s="9"/>
      <c r="AG1006" s="11">
        <v>3</v>
      </c>
      <c r="AH1006" s="11" t="s">
        <v>131</v>
      </c>
      <c r="AI1006" s="11"/>
      <c r="AJ1006" s="11">
        <v>4</v>
      </c>
      <c r="AK1006" s="11" t="s">
        <v>332</v>
      </c>
      <c r="AL1006" s="12">
        <v>2</v>
      </c>
      <c r="AM1006" s="12" t="s">
        <v>131</v>
      </c>
      <c r="AN1006" s="12"/>
      <c r="AO1006" s="12">
        <v>2</v>
      </c>
      <c r="AP1006" s="12" t="s">
        <v>143</v>
      </c>
      <c r="AQ1006" s="4">
        <v>5</v>
      </c>
      <c r="AR1006" s="4" t="s">
        <v>222</v>
      </c>
      <c r="AS1006" s="4"/>
      <c r="AT1006" s="13">
        <v>-61.937129974365199</v>
      </c>
      <c r="AU1006" s="13">
        <v>-1.9519847631454501</v>
      </c>
      <c r="AV1006" s="13">
        <v>-4.0316357612609899</v>
      </c>
      <c r="AW1006" s="13">
        <v>-0.5</v>
      </c>
      <c r="AX1006" s="4">
        <v>1</v>
      </c>
      <c r="AY1006" s="13">
        <v>-9.9632234573364293</v>
      </c>
      <c r="AZ1006" s="13">
        <v>-1.0440315008163501</v>
      </c>
      <c r="BA1006" s="13">
        <v>-3.2000000476837198</v>
      </c>
      <c r="BB1006" s="13">
        <v>1.1952090263366699</v>
      </c>
      <c r="BC1006" s="4"/>
      <c r="BD1006" s="4">
        <v>10</v>
      </c>
      <c r="BE1006" s="4"/>
      <c r="BF1006" s="13">
        <v>3.5316359996795699</v>
      </c>
      <c r="BG1006" s="4"/>
      <c r="BH1006" s="13"/>
      <c r="BI1006" s="13"/>
      <c r="BJ1006" s="4"/>
      <c r="BK1006" s="14">
        <v>11</v>
      </c>
      <c r="BL1006" s="14">
        <v>10</v>
      </c>
      <c r="BM1006" s="14">
        <v>11</v>
      </c>
      <c r="BN1006" s="3" t="s">
        <v>302</v>
      </c>
      <c r="BP1006" s="15"/>
      <c r="BQ1006" s="15" t="s">
        <v>136</v>
      </c>
      <c r="BR1006" s="2" t="s">
        <v>161</v>
      </c>
      <c r="BS1006" s="2" t="s">
        <v>172</v>
      </c>
      <c r="BT1006" s="7" t="s">
        <v>174</v>
      </c>
      <c r="BU1006" s="7"/>
      <c r="BV1006" s="9" t="s">
        <v>603</v>
      </c>
      <c r="BW1006" s="9" t="s">
        <v>357</v>
      </c>
    </row>
    <row r="1007" spans="1:75" ht="14.25" customHeight="1" x14ac:dyDescent="0.25">
      <c r="A1007" s="1">
        <v>1811</v>
      </c>
      <c r="B1007" s="1" t="s">
        <v>4184</v>
      </c>
      <c r="C1007" s="1" t="s">
        <v>4185</v>
      </c>
      <c r="D1007" s="1" t="s">
        <v>77</v>
      </c>
      <c r="E1007" s="1" t="s">
        <v>2396</v>
      </c>
      <c r="F1007" s="1" t="s">
        <v>4163</v>
      </c>
      <c r="G1007" s="1" t="s">
        <v>118</v>
      </c>
      <c r="H1007" s="2">
        <v>0</v>
      </c>
      <c r="I1007" s="2">
        <v>1</v>
      </c>
      <c r="J1007" s="2">
        <v>0</v>
      </c>
      <c r="K1007" s="2">
        <v>0</v>
      </c>
      <c r="L1007" s="3" t="s">
        <v>127</v>
      </c>
      <c r="O1007" s="4">
        <v>5</v>
      </c>
      <c r="P1007" s="4" t="s">
        <v>4186</v>
      </c>
      <c r="Q1007" s="4"/>
      <c r="R1007" s="16">
        <v>31000</v>
      </c>
      <c r="S1007" s="6">
        <v>31000</v>
      </c>
      <c r="T1007" s="16">
        <v>31000</v>
      </c>
      <c r="U1007" s="6">
        <v>31000</v>
      </c>
      <c r="V1007" s="4"/>
      <c r="W1007" s="4" t="s">
        <v>4186</v>
      </c>
      <c r="X1007" s="4"/>
      <c r="Y1007" s="7">
        <v>5</v>
      </c>
      <c r="Z1007" s="8">
        <v>5332</v>
      </c>
      <c r="AA1007" s="7" t="s">
        <v>92</v>
      </c>
      <c r="AB1007" s="7"/>
      <c r="AC1007" s="9">
        <v>5</v>
      </c>
      <c r="AD1007" s="10">
        <v>71913</v>
      </c>
      <c r="AE1007" s="9" t="s">
        <v>92</v>
      </c>
      <c r="AF1007" s="9"/>
      <c r="AG1007" s="11">
        <v>3</v>
      </c>
      <c r="AH1007" s="11" t="s">
        <v>271</v>
      </c>
      <c r="AI1007" s="11" t="s">
        <v>4187</v>
      </c>
      <c r="AJ1007" s="11"/>
      <c r="AK1007" s="11"/>
      <c r="AL1007" s="12">
        <v>2</v>
      </c>
      <c r="AM1007" s="12" t="s">
        <v>271</v>
      </c>
      <c r="AN1007" s="12"/>
      <c r="AO1007" s="12"/>
      <c r="AP1007" s="12"/>
      <c r="AQ1007" s="4">
        <v>3</v>
      </c>
      <c r="AR1007" s="4" t="s">
        <v>537</v>
      </c>
      <c r="AS1007" s="4"/>
      <c r="AT1007" s="13"/>
      <c r="AU1007" s="13"/>
      <c r="AV1007" s="13"/>
      <c r="AW1007" s="13"/>
      <c r="AX1007" s="4"/>
      <c r="AY1007" s="13"/>
      <c r="AZ1007" s="13"/>
      <c r="BA1007" s="13"/>
      <c r="BB1007" s="13"/>
      <c r="BC1007" s="4"/>
      <c r="BD1007" s="4"/>
      <c r="BE1007" s="4"/>
      <c r="BF1007" s="13"/>
      <c r="BG1007" s="4"/>
      <c r="BH1007" s="13"/>
      <c r="BI1007" s="13"/>
      <c r="BJ1007" s="4"/>
      <c r="BK1007" s="14">
        <v>16</v>
      </c>
      <c r="BL1007" s="14">
        <v>15</v>
      </c>
      <c r="BM1007" s="14">
        <v>16</v>
      </c>
      <c r="BN1007" s="3" t="s">
        <v>86</v>
      </c>
      <c r="BP1007" s="15"/>
      <c r="BQ1007" s="15"/>
      <c r="BR1007" s="2" t="s">
        <v>161</v>
      </c>
      <c r="BS1007" s="2" t="s">
        <v>161</v>
      </c>
      <c r="BT1007" s="7" t="s">
        <v>174</v>
      </c>
      <c r="BU1007" s="7"/>
      <c r="BV1007" s="9" t="s">
        <v>148</v>
      </c>
      <c r="BW1007" s="9" t="s">
        <v>357</v>
      </c>
    </row>
    <row r="1008" spans="1:75" ht="14.25" customHeight="1" x14ac:dyDescent="0.25">
      <c r="A1008" s="1">
        <v>1821</v>
      </c>
      <c r="B1008" s="1" t="s">
        <v>4188</v>
      </c>
      <c r="C1008" s="1" t="s">
        <v>4189</v>
      </c>
      <c r="D1008" s="1" t="s">
        <v>77</v>
      </c>
      <c r="E1008" s="1" t="s">
        <v>2396</v>
      </c>
      <c r="F1008" s="1" t="s">
        <v>4190</v>
      </c>
      <c r="G1008" s="1" t="s">
        <v>4191</v>
      </c>
      <c r="H1008" s="2">
        <v>0</v>
      </c>
      <c r="I1008" s="2">
        <v>0</v>
      </c>
      <c r="J1008" s="2">
        <v>0</v>
      </c>
      <c r="K1008" s="2">
        <v>1</v>
      </c>
      <c r="L1008" s="3" t="s">
        <v>80</v>
      </c>
      <c r="O1008" s="4">
        <v>3</v>
      </c>
      <c r="P1008" s="4" t="s">
        <v>81</v>
      </c>
      <c r="Q1008" s="4"/>
      <c r="R1008" s="5"/>
      <c r="S1008" s="6"/>
      <c r="T1008" s="17"/>
      <c r="U1008" s="6"/>
      <c r="V1008" s="4"/>
      <c r="W1008" s="4"/>
      <c r="X1008" s="4"/>
      <c r="Y1008" s="7">
        <v>4</v>
      </c>
      <c r="Z1008" s="8">
        <v>196872</v>
      </c>
      <c r="AA1008" s="7" t="s">
        <v>82</v>
      </c>
      <c r="AB1008" s="7"/>
      <c r="AC1008" s="9">
        <v>4</v>
      </c>
      <c r="AD1008" s="10">
        <v>196872</v>
      </c>
      <c r="AE1008" s="9" t="s">
        <v>82</v>
      </c>
      <c r="AF1008" s="9"/>
      <c r="AG1008" s="11">
        <v>4</v>
      </c>
      <c r="AH1008" s="11" t="s">
        <v>83</v>
      </c>
      <c r="AI1008" s="11"/>
      <c r="AJ1008" s="11"/>
      <c r="AK1008" s="11"/>
      <c r="AL1008" s="12">
        <v>4</v>
      </c>
      <c r="AM1008" s="12" t="s">
        <v>83</v>
      </c>
      <c r="AN1008" s="12"/>
      <c r="AO1008" s="12"/>
      <c r="AP1008" s="12"/>
      <c r="AQ1008" s="4">
        <v>3</v>
      </c>
      <c r="AR1008" s="4" t="s">
        <v>83</v>
      </c>
      <c r="AS1008" s="4"/>
      <c r="AT1008" s="13"/>
      <c r="AU1008" s="13"/>
      <c r="AV1008" s="13"/>
      <c r="AW1008" s="13"/>
      <c r="AX1008" s="4"/>
      <c r="AY1008" s="13"/>
      <c r="AZ1008" s="13"/>
      <c r="BA1008" s="13"/>
      <c r="BB1008" s="13"/>
      <c r="BC1008" s="4"/>
      <c r="BD1008" s="4"/>
      <c r="BE1008" s="4"/>
      <c r="BF1008" s="13"/>
      <c r="BG1008" s="4"/>
      <c r="BH1008" s="13"/>
      <c r="BI1008" s="13"/>
      <c r="BJ1008" s="4"/>
      <c r="BK1008" s="14">
        <v>14</v>
      </c>
      <c r="BL1008" s="14">
        <v>14</v>
      </c>
      <c r="BM1008" s="14">
        <v>14</v>
      </c>
      <c r="BN1008" s="3" t="s">
        <v>86</v>
      </c>
      <c r="BP1008" s="15"/>
      <c r="BQ1008" s="15"/>
      <c r="BR1008" s="2" t="s">
        <v>87</v>
      </c>
      <c r="BS1008" s="2" t="s">
        <v>87</v>
      </c>
      <c r="BT1008" s="7" t="s">
        <v>88</v>
      </c>
      <c r="BU1008" s="7"/>
      <c r="BV1008" s="9" t="s">
        <v>88</v>
      </c>
      <c r="BW1008" s="9"/>
    </row>
    <row r="1009" spans="1:75" ht="14.25" customHeight="1" x14ac:dyDescent="0.25">
      <c r="A1009" s="1">
        <v>1822</v>
      </c>
      <c r="B1009" s="1" t="s">
        <v>4192</v>
      </c>
      <c r="C1009" s="1" t="s">
        <v>4193</v>
      </c>
      <c r="D1009" s="1" t="s">
        <v>77</v>
      </c>
      <c r="E1009" s="1" t="s">
        <v>2396</v>
      </c>
      <c r="F1009" s="1" t="s">
        <v>4190</v>
      </c>
      <c r="G1009" s="1" t="s">
        <v>4194</v>
      </c>
      <c r="H1009" s="2">
        <v>0</v>
      </c>
      <c r="I1009" s="2">
        <v>0</v>
      </c>
      <c r="J1009" s="2">
        <v>0</v>
      </c>
      <c r="K1009" s="2">
        <v>1</v>
      </c>
      <c r="L1009" s="3" t="s">
        <v>80</v>
      </c>
      <c r="O1009" s="4">
        <v>3</v>
      </c>
      <c r="P1009" s="4" t="s">
        <v>81</v>
      </c>
      <c r="Q1009" s="4"/>
      <c r="R1009" s="5"/>
      <c r="S1009" s="6"/>
      <c r="T1009" s="17"/>
      <c r="U1009" s="6"/>
      <c r="V1009" s="4"/>
      <c r="W1009" s="4"/>
      <c r="X1009" s="4"/>
      <c r="Y1009" s="7">
        <v>4</v>
      </c>
      <c r="Z1009" s="8">
        <v>165290</v>
      </c>
      <c r="AA1009" s="7" t="s">
        <v>82</v>
      </c>
      <c r="AB1009" s="7"/>
      <c r="AC1009" s="9">
        <v>4</v>
      </c>
      <c r="AD1009" s="10">
        <v>165290</v>
      </c>
      <c r="AE1009" s="9" t="s">
        <v>82</v>
      </c>
      <c r="AF1009" s="9"/>
      <c r="AG1009" s="11">
        <v>4</v>
      </c>
      <c r="AH1009" s="11" t="s">
        <v>83</v>
      </c>
      <c r="AI1009" s="11"/>
      <c r="AJ1009" s="11"/>
      <c r="AK1009" s="11"/>
      <c r="AL1009" s="12">
        <v>4</v>
      </c>
      <c r="AM1009" s="12" t="s">
        <v>83</v>
      </c>
      <c r="AN1009" s="12"/>
      <c r="AO1009" s="12"/>
      <c r="AP1009" s="12"/>
      <c r="AQ1009" s="4">
        <v>4</v>
      </c>
      <c r="AR1009" s="4" t="s">
        <v>83</v>
      </c>
      <c r="AS1009" s="4"/>
      <c r="AT1009" s="13"/>
      <c r="AU1009" s="13"/>
      <c r="AV1009" s="13"/>
      <c r="AW1009" s="13"/>
      <c r="AX1009" s="4"/>
      <c r="AY1009" s="13"/>
      <c r="AZ1009" s="13"/>
      <c r="BA1009" s="13"/>
      <c r="BB1009" s="13"/>
      <c r="BC1009" s="4"/>
      <c r="BD1009" s="4"/>
      <c r="BE1009" s="4"/>
      <c r="BF1009" s="13"/>
      <c r="BG1009" s="4"/>
      <c r="BH1009" s="13"/>
      <c r="BI1009" s="13"/>
      <c r="BJ1009" s="4"/>
      <c r="BK1009" s="14">
        <v>15</v>
      </c>
      <c r="BL1009" s="14">
        <v>15</v>
      </c>
      <c r="BM1009" s="14">
        <v>15</v>
      </c>
      <c r="BN1009" s="3" t="s">
        <v>86</v>
      </c>
      <c r="BP1009" s="15"/>
      <c r="BQ1009" s="15"/>
      <c r="BR1009" s="2" t="s">
        <v>87</v>
      </c>
      <c r="BS1009" s="2" t="s">
        <v>87</v>
      </c>
      <c r="BT1009" s="7" t="s">
        <v>88</v>
      </c>
      <c r="BU1009" s="7"/>
      <c r="BV1009" s="9" t="s">
        <v>88</v>
      </c>
      <c r="BW1009" s="9"/>
    </row>
    <row r="1010" spans="1:75" ht="14.25" customHeight="1" x14ac:dyDescent="0.25">
      <c r="A1010" s="1">
        <v>1823</v>
      </c>
      <c r="B1010" s="1" t="s">
        <v>4195</v>
      </c>
      <c r="C1010" s="1" t="s">
        <v>4196</v>
      </c>
      <c r="D1010" s="1" t="s">
        <v>77</v>
      </c>
      <c r="E1010" s="1" t="s">
        <v>2396</v>
      </c>
      <c r="F1010" s="1" t="s">
        <v>4190</v>
      </c>
      <c r="G1010" s="1" t="s">
        <v>4197</v>
      </c>
      <c r="H1010" s="2">
        <v>0</v>
      </c>
      <c r="I1010" s="2">
        <v>0</v>
      </c>
      <c r="J1010" s="2">
        <v>0</v>
      </c>
      <c r="K1010" s="2">
        <v>1</v>
      </c>
      <c r="L1010" s="3" t="s">
        <v>80</v>
      </c>
      <c r="O1010" s="4">
        <v>4</v>
      </c>
      <c r="P1010" s="4" t="s">
        <v>81</v>
      </c>
      <c r="Q1010" s="4"/>
      <c r="R1010" s="5"/>
      <c r="S1010" s="6"/>
      <c r="T1010" s="17"/>
      <c r="U1010" s="6"/>
      <c r="V1010" s="4"/>
      <c r="W1010" s="4"/>
      <c r="X1010" s="4"/>
      <c r="Y1010" s="7">
        <v>5</v>
      </c>
      <c r="Z1010" s="8">
        <v>3957</v>
      </c>
      <c r="AA1010" s="7" t="s">
        <v>82</v>
      </c>
      <c r="AB1010" s="7"/>
      <c r="AC1010" s="9">
        <v>5</v>
      </c>
      <c r="AD1010" s="10">
        <v>3957</v>
      </c>
      <c r="AE1010" s="9" t="s">
        <v>82</v>
      </c>
      <c r="AF1010" s="9"/>
      <c r="AG1010" s="11">
        <v>3</v>
      </c>
      <c r="AH1010" s="11" t="s">
        <v>83</v>
      </c>
      <c r="AI1010" s="11"/>
      <c r="AJ1010" s="11"/>
      <c r="AK1010" s="11"/>
      <c r="AL1010" s="12">
        <v>3</v>
      </c>
      <c r="AM1010" s="12" t="s">
        <v>83</v>
      </c>
      <c r="AN1010" s="12"/>
      <c r="AO1010" s="12"/>
      <c r="AP1010" s="12"/>
      <c r="AQ1010" s="4">
        <v>3</v>
      </c>
      <c r="AR1010" s="4" t="s">
        <v>83</v>
      </c>
      <c r="AS1010" s="4"/>
      <c r="AT1010" s="13"/>
      <c r="AU1010" s="13"/>
      <c r="AV1010" s="13"/>
      <c r="AW1010" s="13"/>
      <c r="AX1010" s="4"/>
      <c r="AY1010" s="13"/>
      <c r="AZ1010" s="13"/>
      <c r="BA1010" s="13"/>
      <c r="BB1010" s="13"/>
      <c r="BC1010" s="4"/>
      <c r="BD1010" s="4"/>
      <c r="BE1010" s="4"/>
      <c r="BF1010" s="13"/>
      <c r="BG1010" s="4"/>
      <c r="BH1010" s="13"/>
      <c r="BI1010" s="13"/>
      <c r="BJ1010" s="4"/>
      <c r="BK1010" s="14">
        <v>15</v>
      </c>
      <c r="BL1010" s="14">
        <v>15</v>
      </c>
      <c r="BM1010" s="14">
        <v>15</v>
      </c>
      <c r="BN1010" s="3" t="s">
        <v>86</v>
      </c>
      <c r="BP1010" s="15"/>
      <c r="BQ1010" s="15"/>
      <c r="BR1010" s="2" t="s">
        <v>87</v>
      </c>
      <c r="BS1010" s="2" t="s">
        <v>87</v>
      </c>
      <c r="BT1010" s="7" t="s">
        <v>88</v>
      </c>
      <c r="BU1010" s="7"/>
      <c r="BV1010" s="9" t="s">
        <v>88</v>
      </c>
      <c r="BW1010" s="9"/>
    </row>
    <row r="1011" spans="1:75" ht="14.25" customHeight="1" x14ac:dyDescent="0.25">
      <c r="A1011" s="1">
        <v>1824</v>
      </c>
      <c r="B1011" s="1" t="s">
        <v>4198</v>
      </c>
      <c r="C1011" s="1" t="s">
        <v>4199</v>
      </c>
      <c r="D1011" s="1" t="s">
        <v>77</v>
      </c>
      <c r="E1011" s="1" t="s">
        <v>2396</v>
      </c>
      <c r="F1011" s="1" t="s">
        <v>4190</v>
      </c>
      <c r="G1011" s="1" t="s">
        <v>4200</v>
      </c>
      <c r="H1011" s="2">
        <v>0</v>
      </c>
      <c r="I1011" s="2">
        <v>0</v>
      </c>
      <c r="J1011" s="2">
        <v>1</v>
      </c>
      <c r="K1011" s="2">
        <v>1</v>
      </c>
      <c r="L1011" s="3" t="s">
        <v>80</v>
      </c>
      <c r="O1011" s="4">
        <v>2</v>
      </c>
      <c r="P1011" s="4" t="s">
        <v>81</v>
      </c>
      <c r="Q1011" s="4" t="s">
        <v>4201</v>
      </c>
      <c r="R1011" s="5"/>
      <c r="S1011" s="6"/>
      <c r="T1011" s="17"/>
      <c r="U1011" s="6"/>
      <c r="V1011" s="4"/>
      <c r="W1011" s="4"/>
      <c r="X1011" s="4"/>
      <c r="Y1011" s="7">
        <v>3</v>
      </c>
      <c r="Z1011" s="8">
        <v>584455</v>
      </c>
      <c r="AA1011" s="7" t="s">
        <v>82</v>
      </c>
      <c r="AB1011" s="7"/>
      <c r="AC1011" s="9">
        <v>3</v>
      </c>
      <c r="AD1011" s="10">
        <v>584455</v>
      </c>
      <c r="AE1011" s="9" t="s">
        <v>82</v>
      </c>
      <c r="AF1011" s="9"/>
      <c r="AG1011" s="11">
        <v>3</v>
      </c>
      <c r="AH1011" s="11" t="s">
        <v>83</v>
      </c>
      <c r="AI1011" s="11"/>
      <c r="AJ1011" s="11"/>
      <c r="AK1011" s="11"/>
      <c r="AL1011" s="12">
        <v>3</v>
      </c>
      <c r="AM1011" s="12" t="s">
        <v>83</v>
      </c>
      <c r="AN1011" s="12"/>
      <c r="AO1011" s="12"/>
      <c r="AP1011" s="12"/>
      <c r="AQ1011" s="4">
        <v>3</v>
      </c>
      <c r="AR1011" s="4" t="s">
        <v>83</v>
      </c>
      <c r="AS1011" s="4"/>
      <c r="AT1011" s="13"/>
      <c r="AU1011" s="13"/>
      <c r="AV1011" s="13"/>
      <c r="AW1011" s="13"/>
      <c r="AX1011" s="4"/>
      <c r="AY1011" s="13"/>
      <c r="AZ1011" s="13"/>
      <c r="BA1011" s="13"/>
      <c r="BB1011" s="13"/>
      <c r="BC1011" s="4"/>
      <c r="BD1011" s="4"/>
      <c r="BE1011" s="4"/>
      <c r="BF1011" s="13"/>
      <c r="BG1011" s="4"/>
      <c r="BH1011" s="13"/>
      <c r="BI1011" s="13"/>
      <c r="BJ1011" s="4"/>
      <c r="BK1011" s="14">
        <v>11</v>
      </c>
      <c r="BL1011" s="14">
        <v>11</v>
      </c>
      <c r="BM1011" s="14">
        <v>11</v>
      </c>
      <c r="BP1011" s="15"/>
      <c r="BQ1011" s="15"/>
      <c r="BR1011" s="2" t="s">
        <v>87</v>
      </c>
      <c r="BS1011" s="2" t="s">
        <v>87</v>
      </c>
      <c r="BT1011" s="7" t="s">
        <v>88</v>
      </c>
      <c r="BU1011" s="7"/>
      <c r="BV1011" s="9" t="s">
        <v>88</v>
      </c>
      <c r="BW1011" s="9"/>
    </row>
    <row r="1012" spans="1:75" ht="14.25" customHeight="1" x14ac:dyDescent="0.25">
      <c r="A1012" s="1">
        <v>1825</v>
      </c>
      <c r="B1012" s="1" t="s">
        <v>4202</v>
      </c>
      <c r="C1012" s="1" t="s">
        <v>4203</v>
      </c>
      <c r="D1012" s="1" t="s">
        <v>77</v>
      </c>
      <c r="E1012" s="1" t="s">
        <v>2396</v>
      </c>
      <c r="F1012" s="1" t="s">
        <v>4190</v>
      </c>
      <c r="G1012" s="1" t="s">
        <v>4204</v>
      </c>
      <c r="H1012" s="2">
        <v>0</v>
      </c>
      <c r="I1012" s="2">
        <v>0</v>
      </c>
      <c r="J1012" s="2">
        <v>0</v>
      </c>
      <c r="K1012" s="2">
        <v>1</v>
      </c>
      <c r="L1012" s="3" t="s">
        <v>80</v>
      </c>
      <c r="O1012" s="4">
        <v>5</v>
      </c>
      <c r="P1012" s="4" t="s">
        <v>81</v>
      </c>
      <c r="Q1012" s="4"/>
      <c r="R1012" s="5"/>
      <c r="S1012" s="6"/>
      <c r="T1012" s="17"/>
      <c r="U1012" s="6"/>
      <c r="V1012" s="4"/>
      <c r="W1012" s="4"/>
      <c r="X1012" s="4"/>
      <c r="Y1012" s="7">
        <v>5</v>
      </c>
      <c r="Z1012" s="8">
        <v>1422</v>
      </c>
      <c r="AA1012" s="7" t="s">
        <v>82</v>
      </c>
      <c r="AB1012" s="7"/>
      <c r="AC1012" s="9">
        <v>5</v>
      </c>
      <c r="AD1012" s="10">
        <v>1422</v>
      </c>
      <c r="AE1012" s="9" t="s">
        <v>82</v>
      </c>
      <c r="AF1012" s="9"/>
      <c r="AG1012" s="11">
        <v>4</v>
      </c>
      <c r="AH1012" s="11" t="s">
        <v>83</v>
      </c>
      <c r="AI1012" s="11"/>
      <c r="AJ1012" s="11"/>
      <c r="AK1012" s="11"/>
      <c r="AL1012" s="12">
        <v>4</v>
      </c>
      <c r="AM1012" s="12" t="s">
        <v>83</v>
      </c>
      <c r="AN1012" s="12"/>
      <c r="AO1012" s="12"/>
      <c r="AP1012" s="12"/>
      <c r="AQ1012" s="4">
        <v>4</v>
      </c>
      <c r="AR1012" s="4" t="s">
        <v>83</v>
      </c>
      <c r="AS1012" s="4"/>
      <c r="AT1012" s="13"/>
      <c r="AU1012" s="13"/>
      <c r="AV1012" s="13"/>
      <c r="AW1012" s="13"/>
      <c r="AX1012" s="4"/>
      <c r="AY1012" s="13"/>
      <c r="AZ1012" s="13"/>
      <c r="BA1012" s="13"/>
      <c r="BB1012" s="13"/>
      <c r="BC1012" s="4"/>
      <c r="BD1012" s="4"/>
      <c r="BE1012" s="4"/>
      <c r="BF1012" s="13"/>
      <c r="BG1012" s="4"/>
      <c r="BH1012" s="13"/>
      <c r="BI1012" s="13"/>
      <c r="BJ1012" s="4"/>
      <c r="BK1012" s="14">
        <v>18</v>
      </c>
      <c r="BL1012" s="14">
        <v>18</v>
      </c>
      <c r="BM1012" s="14">
        <v>18</v>
      </c>
      <c r="BN1012" s="3" t="s">
        <v>312</v>
      </c>
      <c r="BP1012" s="15"/>
      <c r="BQ1012" s="15"/>
      <c r="BR1012" s="2" t="s">
        <v>87</v>
      </c>
      <c r="BS1012" s="2" t="s">
        <v>87</v>
      </c>
      <c r="BT1012" s="7" t="s">
        <v>88</v>
      </c>
      <c r="BU1012" s="7"/>
      <c r="BV1012" s="9" t="s">
        <v>88</v>
      </c>
      <c r="BW1012" s="9"/>
    </row>
    <row r="1013" spans="1:75" ht="14.25" customHeight="1" x14ac:dyDescent="0.25">
      <c r="A1013" s="1">
        <v>1826</v>
      </c>
      <c r="B1013" s="1" t="s">
        <v>4205</v>
      </c>
      <c r="C1013" s="1" t="s">
        <v>4206</v>
      </c>
      <c r="D1013" s="1" t="s">
        <v>77</v>
      </c>
      <c r="E1013" s="1" t="s">
        <v>2396</v>
      </c>
      <c r="F1013" s="1" t="s">
        <v>4190</v>
      </c>
      <c r="G1013" s="1" t="s">
        <v>4207</v>
      </c>
      <c r="H1013" s="2">
        <v>0</v>
      </c>
      <c r="I1013" s="2">
        <v>0</v>
      </c>
      <c r="J1013" s="2">
        <v>0</v>
      </c>
      <c r="K1013" s="2">
        <v>1</v>
      </c>
      <c r="L1013" s="3" t="s">
        <v>80</v>
      </c>
      <c r="O1013" s="4">
        <v>5</v>
      </c>
      <c r="P1013" s="4" t="s">
        <v>81</v>
      </c>
      <c r="Q1013" s="4"/>
      <c r="R1013" s="5"/>
      <c r="S1013" s="6"/>
      <c r="T1013" s="17"/>
      <c r="U1013" s="6"/>
      <c r="V1013" s="4"/>
      <c r="W1013" s="4"/>
      <c r="X1013" s="4"/>
      <c r="Y1013" s="7">
        <v>5</v>
      </c>
      <c r="Z1013" s="8">
        <v>993</v>
      </c>
      <c r="AA1013" s="7" t="s">
        <v>82</v>
      </c>
      <c r="AB1013" s="7"/>
      <c r="AC1013" s="9">
        <v>5</v>
      </c>
      <c r="AD1013" s="10">
        <v>993</v>
      </c>
      <c r="AE1013" s="9" t="s">
        <v>82</v>
      </c>
      <c r="AF1013" s="9"/>
      <c r="AG1013" s="11">
        <v>3</v>
      </c>
      <c r="AH1013" s="11" t="s">
        <v>83</v>
      </c>
      <c r="AI1013" s="11"/>
      <c r="AJ1013" s="11"/>
      <c r="AK1013" s="11"/>
      <c r="AL1013" s="12">
        <v>3</v>
      </c>
      <c r="AM1013" s="12" t="s">
        <v>83</v>
      </c>
      <c r="AN1013" s="12"/>
      <c r="AO1013" s="12"/>
      <c r="AP1013" s="12"/>
      <c r="AQ1013" s="4">
        <v>2</v>
      </c>
      <c r="AR1013" s="4" t="s">
        <v>83</v>
      </c>
      <c r="AS1013" s="4"/>
      <c r="AT1013" s="13"/>
      <c r="AU1013" s="13"/>
      <c r="AV1013" s="13"/>
      <c r="AW1013" s="13"/>
      <c r="AX1013" s="4"/>
      <c r="AY1013" s="13"/>
      <c r="AZ1013" s="13"/>
      <c r="BA1013" s="13"/>
      <c r="BB1013" s="13"/>
      <c r="BC1013" s="4"/>
      <c r="BD1013" s="4"/>
      <c r="BE1013" s="4"/>
      <c r="BF1013" s="13"/>
      <c r="BG1013" s="4"/>
      <c r="BH1013" s="13"/>
      <c r="BI1013" s="13"/>
      <c r="BJ1013" s="4"/>
      <c r="BK1013" s="14">
        <v>15</v>
      </c>
      <c r="BL1013" s="14">
        <v>15</v>
      </c>
      <c r="BM1013" s="14">
        <v>15</v>
      </c>
      <c r="BN1013" s="3" t="s">
        <v>86</v>
      </c>
      <c r="BP1013" s="15"/>
      <c r="BQ1013" s="15"/>
      <c r="BR1013" s="2" t="s">
        <v>87</v>
      </c>
      <c r="BS1013" s="2" t="s">
        <v>87</v>
      </c>
      <c r="BT1013" s="7" t="s">
        <v>88</v>
      </c>
      <c r="BU1013" s="7"/>
      <c r="BV1013" s="9" t="s">
        <v>88</v>
      </c>
      <c r="BW1013" s="9"/>
    </row>
    <row r="1014" spans="1:75" ht="14.25" customHeight="1" x14ac:dyDescent="0.25">
      <c r="A1014" s="1">
        <v>1827</v>
      </c>
      <c r="B1014" s="1" t="s">
        <v>4208</v>
      </c>
      <c r="C1014" s="1" t="s">
        <v>4209</v>
      </c>
      <c r="D1014" s="1" t="s">
        <v>77</v>
      </c>
      <c r="E1014" s="1" t="s">
        <v>2396</v>
      </c>
      <c r="F1014" s="1" t="s">
        <v>4190</v>
      </c>
      <c r="G1014" s="1"/>
      <c r="H1014" s="2">
        <v>0</v>
      </c>
      <c r="I1014" s="2">
        <v>1</v>
      </c>
      <c r="J1014" s="2">
        <v>1</v>
      </c>
      <c r="K1014" s="2">
        <v>0</v>
      </c>
      <c r="L1014" s="3" t="s">
        <v>80</v>
      </c>
      <c r="O1014" s="4">
        <v>4</v>
      </c>
      <c r="P1014" s="4" t="s">
        <v>753</v>
      </c>
      <c r="Q1014" s="4" t="s">
        <v>4210</v>
      </c>
      <c r="R1014" s="16">
        <v>200000</v>
      </c>
      <c r="S1014" s="6">
        <v>200000</v>
      </c>
      <c r="T1014" s="16">
        <v>67000</v>
      </c>
      <c r="U1014" s="6">
        <v>67000</v>
      </c>
      <c r="V1014" s="4">
        <v>2010.5</v>
      </c>
      <c r="W1014" s="4" t="s">
        <v>425</v>
      </c>
      <c r="X1014" s="4"/>
      <c r="Y1014" s="7">
        <v>4</v>
      </c>
      <c r="Z1014" s="8">
        <v>176170</v>
      </c>
      <c r="AA1014" s="7" t="s">
        <v>92</v>
      </c>
      <c r="AB1014" s="7"/>
      <c r="AC1014" s="9">
        <v>4</v>
      </c>
      <c r="AD1014" s="10">
        <v>176170</v>
      </c>
      <c r="AE1014" s="9" t="s">
        <v>92</v>
      </c>
      <c r="AF1014" s="9"/>
      <c r="AG1014" s="11">
        <v>3</v>
      </c>
      <c r="AH1014" s="11" t="s">
        <v>131</v>
      </c>
      <c r="AI1014" s="11" t="s">
        <v>4211</v>
      </c>
      <c r="AJ1014" s="11">
        <v>2</v>
      </c>
      <c r="AK1014" s="11" t="s">
        <v>132</v>
      </c>
      <c r="AL1014" s="12">
        <v>3</v>
      </c>
      <c r="AM1014" s="12" t="s">
        <v>131</v>
      </c>
      <c r="AN1014" s="12" t="s">
        <v>3977</v>
      </c>
      <c r="AO1014" s="12">
        <v>1</v>
      </c>
      <c r="AP1014" s="12" t="s">
        <v>132</v>
      </c>
      <c r="AQ1014" s="4">
        <v>4</v>
      </c>
      <c r="AR1014" s="4" t="s">
        <v>673</v>
      </c>
      <c r="AS1014" s="4" t="s">
        <v>4212</v>
      </c>
      <c r="AT1014" s="13"/>
      <c r="AU1014" s="13"/>
      <c r="AV1014" s="13"/>
      <c r="AW1014" s="13"/>
      <c r="AX1014" s="4"/>
      <c r="AY1014" s="13"/>
      <c r="AZ1014" s="13"/>
      <c r="BA1014" s="13"/>
      <c r="BB1014" s="13"/>
      <c r="BC1014" s="4"/>
      <c r="BD1014" s="4"/>
      <c r="BE1014" s="4"/>
      <c r="BF1014" s="13"/>
      <c r="BG1014" s="4"/>
      <c r="BH1014" s="13"/>
      <c r="BI1014" s="13"/>
      <c r="BJ1014" s="4"/>
      <c r="BK1014" s="14">
        <v>15</v>
      </c>
      <c r="BL1014" s="14">
        <v>15</v>
      </c>
      <c r="BM1014" s="14">
        <v>15</v>
      </c>
      <c r="BN1014" s="3" t="s">
        <v>86</v>
      </c>
      <c r="BP1014" s="15"/>
      <c r="BQ1014" s="15"/>
      <c r="BR1014" s="2" t="s">
        <v>297</v>
      </c>
      <c r="BS1014" s="2" t="s">
        <v>297</v>
      </c>
      <c r="BT1014" s="7" t="s">
        <v>475</v>
      </c>
      <c r="BU1014" s="7"/>
      <c r="BV1014" s="9" t="s">
        <v>475</v>
      </c>
      <c r="BW1014" s="9"/>
    </row>
    <row r="1015" spans="1:75" ht="14.25" customHeight="1" x14ac:dyDescent="0.25">
      <c r="A1015" s="1">
        <v>1828</v>
      </c>
      <c r="B1015" s="1" t="s">
        <v>4213</v>
      </c>
      <c r="C1015" s="1" t="s">
        <v>4214</v>
      </c>
      <c r="D1015" s="1" t="s">
        <v>77</v>
      </c>
      <c r="E1015" s="1" t="s">
        <v>2396</v>
      </c>
      <c r="F1015" s="1" t="s">
        <v>4190</v>
      </c>
      <c r="G1015" s="1" t="s">
        <v>118</v>
      </c>
      <c r="H1015" s="2">
        <v>0</v>
      </c>
      <c r="I1015" s="2">
        <v>0</v>
      </c>
      <c r="J1015" s="2">
        <v>1</v>
      </c>
      <c r="K1015" s="2">
        <v>0</v>
      </c>
      <c r="L1015" s="3" t="s">
        <v>80</v>
      </c>
      <c r="O1015" s="4">
        <v>5</v>
      </c>
      <c r="P1015" s="4" t="s">
        <v>112</v>
      </c>
      <c r="Q1015" s="4"/>
      <c r="R1015" s="5"/>
      <c r="S1015" s="6"/>
      <c r="T1015" s="17"/>
      <c r="U1015" s="6"/>
      <c r="V1015" s="4"/>
      <c r="W1015" s="4"/>
      <c r="X1015" s="4"/>
      <c r="Y1015" s="7">
        <v>5</v>
      </c>
      <c r="Z1015" s="8">
        <v>9751</v>
      </c>
      <c r="AA1015" s="7" t="s">
        <v>92</v>
      </c>
      <c r="AB1015" s="7"/>
      <c r="AC1015" s="9">
        <v>5</v>
      </c>
      <c r="AD1015" s="10">
        <v>9751</v>
      </c>
      <c r="AE1015" s="9" t="s">
        <v>92</v>
      </c>
      <c r="AF1015" s="9"/>
      <c r="AG1015" s="11">
        <v>3</v>
      </c>
      <c r="AH1015" s="11" t="s">
        <v>673</v>
      </c>
      <c r="AI1015" s="11" t="s">
        <v>4215</v>
      </c>
      <c r="AJ1015" s="11"/>
      <c r="AK1015" s="11"/>
      <c r="AL1015" s="12">
        <v>3</v>
      </c>
      <c r="AM1015" s="12" t="s">
        <v>93</v>
      </c>
      <c r="AN1015" s="12" t="s">
        <v>805</v>
      </c>
      <c r="AO1015" s="12"/>
      <c r="AP1015" s="12"/>
      <c r="AQ1015" s="4">
        <v>5</v>
      </c>
      <c r="AR1015" s="4" t="s">
        <v>441</v>
      </c>
      <c r="AS1015" s="4" t="s">
        <v>513</v>
      </c>
      <c r="AT1015" s="13"/>
      <c r="AU1015" s="13"/>
      <c r="AV1015" s="13"/>
      <c r="AW1015" s="13"/>
      <c r="AX1015" s="4"/>
      <c r="AY1015" s="13"/>
      <c r="AZ1015" s="13"/>
      <c r="BA1015" s="13"/>
      <c r="BB1015" s="13"/>
      <c r="BC1015" s="4"/>
      <c r="BD1015" s="4"/>
      <c r="BE1015" s="4"/>
      <c r="BF1015" s="13"/>
      <c r="BG1015" s="4"/>
      <c r="BH1015" s="13"/>
      <c r="BI1015" s="13"/>
      <c r="BJ1015" s="4"/>
      <c r="BK1015" s="14">
        <v>18</v>
      </c>
      <c r="BL1015" s="14">
        <v>18</v>
      </c>
      <c r="BM1015" s="14">
        <v>18</v>
      </c>
      <c r="BN1015" s="3" t="s">
        <v>312</v>
      </c>
      <c r="BO1015" s="3" t="s">
        <v>120</v>
      </c>
      <c r="BP1015" s="15"/>
      <c r="BQ1015" s="15"/>
      <c r="BR1015" s="2" t="s">
        <v>108</v>
      </c>
      <c r="BS1015" s="2" t="s">
        <v>108</v>
      </c>
      <c r="BT1015" s="7" t="s">
        <v>109</v>
      </c>
      <c r="BU1015" s="7"/>
      <c r="BV1015" s="9" t="s">
        <v>109</v>
      </c>
      <c r="BW1015" s="9"/>
    </row>
    <row r="1016" spans="1:75" ht="14.25" customHeight="1" x14ac:dyDescent="0.25">
      <c r="A1016" s="1">
        <v>1829</v>
      </c>
      <c r="B1016" s="1" t="s">
        <v>4216</v>
      </c>
      <c r="C1016" s="1" t="s">
        <v>4217</v>
      </c>
      <c r="D1016" s="1" t="s">
        <v>77</v>
      </c>
      <c r="E1016" s="1" t="s">
        <v>2396</v>
      </c>
      <c r="F1016" s="1" t="s">
        <v>4190</v>
      </c>
      <c r="G1016" s="1"/>
      <c r="H1016" s="2">
        <v>0</v>
      </c>
      <c r="I1016" s="2">
        <v>0</v>
      </c>
      <c r="J1016" s="2">
        <v>1</v>
      </c>
      <c r="K1016" s="2">
        <v>1</v>
      </c>
      <c r="L1016" s="3" t="s">
        <v>80</v>
      </c>
      <c r="O1016" s="4">
        <v>3</v>
      </c>
      <c r="P1016" s="4" t="s">
        <v>112</v>
      </c>
      <c r="Q1016" s="4" t="s">
        <v>4218</v>
      </c>
      <c r="R1016" s="5"/>
      <c r="S1016" s="6"/>
      <c r="T1016" s="17"/>
      <c r="U1016" s="6"/>
      <c r="V1016" s="4"/>
      <c r="W1016" s="4"/>
      <c r="X1016" s="4"/>
      <c r="Y1016" s="7">
        <v>4</v>
      </c>
      <c r="Z1016" s="8">
        <v>264471</v>
      </c>
      <c r="AA1016" s="7" t="s">
        <v>92</v>
      </c>
      <c r="AB1016" s="7"/>
      <c r="AC1016" s="9">
        <v>4</v>
      </c>
      <c r="AD1016" s="10">
        <v>264471</v>
      </c>
      <c r="AE1016" s="9" t="s">
        <v>92</v>
      </c>
      <c r="AF1016" s="9"/>
      <c r="AG1016" s="11">
        <v>2</v>
      </c>
      <c r="AH1016" s="11" t="s">
        <v>93</v>
      </c>
      <c r="AI1016" s="11"/>
      <c r="AJ1016" s="11"/>
      <c r="AK1016" s="11"/>
      <c r="AL1016" s="12">
        <v>2</v>
      </c>
      <c r="AM1016" s="12" t="s">
        <v>93</v>
      </c>
      <c r="AN1016" s="12" t="s">
        <v>394</v>
      </c>
      <c r="AO1016" s="12"/>
      <c r="AP1016" s="12"/>
      <c r="AQ1016" s="4">
        <v>2</v>
      </c>
      <c r="AR1016" s="4" t="s">
        <v>83</v>
      </c>
      <c r="AS1016" s="4"/>
      <c r="AT1016" s="13"/>
      <c r="AU1016" s="13"/>
      <c r="AV1016" s="13"/>
      <c r="AW1016" s="13"/>
      <c r="AX1016" s="4"/>
      <c r="AY1016" s="13"/>
      <c r="AZ1016" s="13"/>
      <c r="BA1016" s="13"/>
      <c r="BB1016" s="13"/>
      <c r="BC1016" s="4"/>
      <c r="BD1016" s="4"/>
      <c r="BE1016" s="4"/>
      <c r="BF1016" s="13"/>
      <c r="BG1016" s="4"/>
      <c r="BH1016" s="13"/>
      <c r="BI1016" s="13"/>
      <c r="BJ1016" s="4"/>
      <c r="BK1016" s="14">
        <v>11</v>
      </c>
      <c r="BL1016" s="14">
        <v>11</v>
      </c>
      <c r="BM1016" s="14">
        <v>11</v>
      </c>
      <c r="BP1016" s="15"/>
      <c r="BQ1016" s="15" t="s">
        <v>146</v>
      </c>
      <c r="BR1016" s="2" t="s">
        <v>108</v>
      </c>
      <c r="BS1016" s="2" t="s">
        <v>108</v>
      </c>
      <c r="BT1016" s="7" t="s">
        <v>109</v>
      </c>
      <c r="BU1016" s="7"/>
      <c r="BV1016" s="9" t="s">
        <v>109</v>
      </c>
      <c r="BW1016" s="9"/>
    </row>
    <row r="1017" spans="1:75" ht="14.25" customHeight="1" x14ac:dyDescent="0.25">
      <c r="A1017" s="1">
        <v>1830</v>
      </c>
      <c r="B1017" s="1" t="s">
        <v>4219</v>
      </c>
      <c r="C1017" s="1" t="s">
        <v>4220</v>
      </c>
      <c r="D1017" s="1" t="s">
        <v>77</v>
      </c>
      <c r="E1017" s="1" t="s">
        <v>2396</v>
      </c>
      <c r="F1017" s="1" t="s">
        <v>4190</v>
      </c>
      <c r="G1017" s="1" t="s">
        <v>118</v>
      </c>
      <c r="H1017" s="2">
        <v>0</v>
      </c>
      <c r="I1017" s="2">
        <v>0</v>
      </c>
      <c r="J1017" s="2">
        <v>1</v>
      </c>
      <c r="K1017" s="2">
        <v>0</v>
      </c>
      <c r="L1017" s="3" t="s">
        <v>80</v>
      </c>
      <c r="O1017" s="4">
        <v>5</v>
      </c>
      <c r="P1017" s="4" t="s">
        <v>112</v>
      </c>
      <c r="Q1017" s="4"/>
      <c r="R1017" s="5"/>
      <c r="S1017" s="6"/>
      <c r="T1017" s="17"/>
      <c r="U1017" s="6"/>
      <c r="V1017" s="4"/>
      <c r="W1017" s="4"/>
      <c r="X1017" s="4"/>
      <c r="Y1017" s="7">
        <v>4</v>
      </c>
      <c r="Z1017" s="8">
        <v>84196</v>
      </c>
      <c r="AA1017" s="7" t="s">
        <v>92</v>
      </c>
      <c r="AB1017" s="7"/>
      <c r="AC1017" s="9">
        <v>4</v>
      </c>
      <c r="AD1017" s="10">
        <v>84196</v>
      </c>
      <c r="AE1017" s="9" t="s">
        <v>92</v>
      </c>
      <c r="AF1017" s="9"/>
      <c r="AG1017" s="11">
        <v>3</v>
      </c>
      <c r="AH1017" s="11" t="s">
        <v>93</v>
      </c>
      <c r="AI1017" s="11"/>
      <c r="AJ1017" s="11"/>
      <c r="AK1017" s="11"/>
      <c r="AL1017" s="12">
        <v>3</v>
      </c>
      <c r="AM1017" s="12" t="s">
        <v>93</v>
      </c>
      <c r="AN1017" s="12" t="s">
        <v>3977</v>
      </c>
      <c r="AO1017" s="12"/>
      <c r="AP1017" s="12"/>
      <c r="AQ1017" s="4">
        <v>3</v>
      </c>
      <c r="AR1017" s="4" t="s">
        <v>93</v>
      </c>
      <c r="AS1017" s="4"/>
      <c r="AT1017" s="13"/>
      <c r="AU1017" s="13"/>
      <c r="AV1017" s="13"/>
      <c r="AW1017" s="13"/>
      <c r="AX1017" s="4"/>
      <c r="AY1017" s="13"/>
      <c r="AZ1017" s="13"/>
      <c r="BA1017" s="13"/>
      <c r="BB1017" s="13"/>
      <c r="BC1017" s="4"/>
      <c r="BD1017" s="4"/>
      <c r="BE1017" s="4"/>
      <c r="BF1017" s="13"/>
      <c r="BG1017" s="4"/>
      <c r="BH1017" s="13"/>
      <c r="BI1017" s="13"/>
      <c r="BJ1017" s="4"/>
      <c r="BK1017" s="14">
        <v>15</v>
      </c>
      <c r="BL1017" s="14">
        <v>15</v>
      </c>
      <c r="BM1017" s="14">
        <v>15</v>
      </c>
      <c r="BN1017" s="3" t="s">
        <v>86</v>
      </c>
      <c r="BP1017" s="15"/>
      <c r="BQ1017" s="15"/>
      <c r="BR1017" s="2" t="s">
        <v>108</v>
      </c>
      <c r="BS1017" s="2" t="s">
        <v>108</v>
      </c>
      <c r="BT1017" s="7" t="s">
        <v>109</v>
      </c>
      <c r="BU1017" s="7"/>
      <c r="BV1017" s="9" t="s">
        <v>109</v>
      </c>
      <c r="BW1017" s="9"/>
    </row>
    <row r="1018" spans="1:75" ht="14.25" customHeight="1" x14ac:dyDescent="0.25">
      <c r="A1018" s="1">
        <v>1831</v>
      </c>
      <c r="B1018" s="1" t="s">
        <v>4221</v>
      </c>
      <c r="C1018" s="1" t="s">
        <v>4222</v>
      </c>
      <c r="D1018" s="1" t="s">
        <v>77</v>
      </c>
      <c r="E1018" s="1" t="s">
        <v>2396</v>
      </c>
      <c r="F1018" s="1" t="s">
        <v>4190</v>
      </c>
      <c r="G1018" s="1" t="s">
        <v>118</v>
      </c>
      <c r="H1018" s="2">
        <v>0</v>
      </c>
      <c r="I1018" s="2">
        <v>0</v>
      </c>
      <c r="J1018" s="2">
        <v>1</v>
      </c>
      <c r="K1018" s="2">
        <v>0</v>
      </c>
      <c r="L1018" s="3" t="s">
        <v>80</v>
      </c>
      <c r="O1018" s="4">
        <v>5</v>
      </c>
      <c r="P1018" s="4" t="s">
        <v>112</v>
      </c>
      <c r="Q1018" s="4"/>
      <c r="R1018" s="5"/>
      <c r="S1018" s="6"/>
      <c r="T1018" s="17"/>
      <c r="U1018" s="6"/>
      <c r="V1018" s="4"/>
      <c r="W1018" s="4"/>
      <c r="X1018" s="4"/>
      <c r="Y1018" s="7">
        <v>5</v>
      </c>
      <c r="Z1018" s="8">
        <v>52796</v>
      </c>
      <c r="AA1018" s="7" t="s">
        <v>92</v>
      </c>
      <c r="AB1018" s="7"/>
      <c r="AC1018" s="9">
        <v>5</v>
      </c>
      <c r="AD1018" s="10">
        <v>52796</v>
      </c>
      <c r="AE1018" s="9" t="s">
        <v>92</v>
      </c>
      <c r="AF1018" s="9"/>
      <c r="AG1018" s="11">
        <v>3</v>
      </c>
      <c r="AH1018" s="11" t="s">
        <v>93</v>
      </c>
      <c r="AI1018" s="11"/>
      <c r="AJ1018" s="11"/>
      <c r="AK1018" s="11"/>
      <c r="AL1018" s="12">
        <v>3</v>
      </c>
      <c r="AM1018" s="12" t="s">
        <v>93</v>
      </c>
      <c r="AN1018" s="12" t="s">
        <v>3977</v>
      </c>
      <c r="AO1018" s="12"/>
      <c r="AP1018" s="12"/>
      <c r="AQ1018" s="4">
        <v>3</v>
      </c>
      <c r="AR1018" s="4" t="s">
        <v>93</v>
      </c>
      <c r="AS1018" s="4"/>
      <c r="AT1018" s="13"/>
      <c r="AU1018" s="13"/>
      <c r="AV1018" s="13"/>
      <c r="AW1018" s="13"/>
      <c r="AX1018" s="4"/>
      <c r="AY1018" s="13"/>
      <c r="AZ1018" s="13"/>
      <c r="BA1018" s="13"/>
      <c r="BB1018" s="13"/>
      <c r="BC1018" s="4"/>
      <c r="BD1018" s="4"/>
      <c r="BE1018" s="4"/>
      <c r="BF1018" s="13"/>
      <c r="BG1018" s="4"/>
      <c r="BH1018" s="13"/>
      <c r="BI1018" s="13"/>
      <c r="BJ1018" s="4"/>
      <c r="BK1018" s="14">
        <v>16</v>
      </c>
      <c r="BL1018" s="14">
        <v>16</v>
      </c>
      <c r="BM1018" s="14">
        <v>16</v>
      </c>
      <c r="BN1018" s="3" t="s">
        <v>86</v>
      </c>
      <c r="BP1018" s="15"/>
      <c r="BQ1018" s="15"/>
      <c r="BR1018" s="2" t="s">
        <v>108</v>
      </c>
      <c r="BS1018" s="2" t="s">
        <v>108</v>
      </c>
      <c r="BT1018" s="7" t="s">
        <v>109</v>
      </c>
      <c r="BU1018" s="7"/>
      <c r="BV1018" s="9" t="s">
        <v>109</v>
      </c>
      <c r="BW1018" s="9"/>
    </row>
    <row r="1019" spans="1:75" ht="14.25" customHeight="1" x14ac:dyDescent="0.25">
      <c r="A1019" s="1">
        <v>1832</v>
      </c>
      <c r="B1019" s="1" t="s">
        <v>4223</v>
      </c>
      <c r="C1019" s="1" t="s">
        <v>4224</v>
      </c>
      <c r="D1019" s="1" t="s">
        <v>77</v>
      </c>
      <c r="E1019" s="1" t="s">
        <v>2396</v>
      </c>
      <c r="F1019" s="1" t="s">
        <v>4190</v>
      </c>
      <c r="G1019" s="1"/>
      <c r="H1019" s="2">
        <v>0</v>
      </c>
      <c r="I1019" s="2">
        <v>1</v>
      </c>
      <c r="J1019" s="2">
        <v>1</v>
      </c>
      <c r="K1019" s="2">
        <v>1</v>
      </c>
      <c r="L1019" s="3" t="s">
        <v>80</v>
      </c>
      <c r="O1019" s="4">
        <v>4</v>
      </c>
      <c r="P1019" s="4" t="s">
        <v>470</v>
      </c>
      <c r="Q1019" s="4" t="s">
        <v>4225</v>
      </c>
      <c r="R1019" s="16">
        <v>170000</v>
      </c>
      <c r="S1019" s="6">
        <v>170000</v>
      </c>
      <c r="T1019" s="16">
        <v>33000</v>
      </c>
      <c r="U1019" s="6">
        <v>33000</v>
      </c>
      <c r="V1019" s="4">
        <v>2010.5</v>
      </c>
      <c r="W1019" s="4" t="s">
        <v>425</v>
      </c>
      <c r="X1019" s="4"/>
      <c r="Y1019" s="7">
        <v>3</v>
      </c>
      <c r="Z1019" s="8">
        <v>984366</v>
      </c>
      <c r="AA1019" s="7" t="s">
        <v>92</v>
      </c>
      <c r="AB1019" s="7"/>
      <c r="AC1019" s="9">
        <v>3</v>
      </c>
      <c r="AD1019" s="10">
        <v>984366</v>
      </c>
      <c r="AE1019" s="9" t="s">
        <v>92</v>
      </c>
      <c r="AF1019" s="9"/>
      <c r="AG1019" s="11">
        <v>4</v>
      </c>
      <c r="AH1019" s="11" t="s">
        <v>131</v>
      </c>
      <c r="AI1019" s="11" t="s">
        <v>4226</v>
      </c>
      <c r="AJ1019" s="11">
        <v>4</v>
      </c>
      <c r="AK1019" s="11" t="s">
        <v>132</v>
      </c>
      <c r="AL1019" s="12">
        <v>3</v>
      </c>
      <c r="AM1019" s="12" t="s">
        <v>131</v>
      </c>
      <c r="AN1019" s="12" t="s">
        <v>4227</v>
      </c>
      <c r="AO1019" s="12">
        <v>2</v>
      </c>
      <c r="AP1019" s="12" t="s">
        <v>332</v>
      </c>
      <c r="AQ1019" s="4">
        <v>3</v>
      </c>
      <c r="AR1019" s="4" t="s">
        <v>93</v>
      </c>
      <c r="AS1019" s="4" t="s">
        <v>4228</v>
      </c>
      <c r="AT1019" s="13"/>
      <c r="AU1019" s="13"/>
      <c r="AV1019" s="13"/>
      <c r="AW1019" s="13"/>
      <c r="AX1019" s="4"/>
      <c r="AY1019" s="13"/>
      <c r="AZ1019" s="13"/>
      <c r="BA1019" s="13"/>
      <c r="BB1019" s="13"/>
      <c r="BC1019" s="4"/>
      <c r="BD1019" s="4"/>
      <c r="BE1019" s="4"/>
      <c r="BF1019" s="13"/>
      <c r="BG1019" s="4"/>
      <c r="BH1019" s="13"/>
      <c r="BI1019" s="13"/>
      <c r="BJ1019" s="4"/>
      <c r="BK1019" s="14">
        <v>14</v>
      </c>
      <c r="BL1019" s="14">
        <v>13</v>
      </c>
      <c r="BM1019" s="14">
        <v>14</v>
      </c>
      <c r="BN1019" s="3" t="s">
        <v>86</v>
      </c>
      <c r="BP1019" s="15"/>
      <c r="BQ1019" s="15"/>
      <c r="BR1019" s="2" t="s">
        <v>297</v>
      </c>
      <c r="BS1019" s="2" t="s">
        <v>297</v>
      </c>
      <c r="BT1019" s="7" t="s">
        <v>474</v>
      </c>
      <c r="BU1019" s="7" t="s">
        <v>463</v>
      </c>
      <c r="BV1019" s="9" t="s">
        <v>474</v>
      </c>
      <c r="BW1019" s="9" t="s">
        <v>463</v>
      </c>
    </row>
    <row r="1020" spans="1:75" ht="14.25" customHeight="1" x14ac:dyDescent="0.25">
      <c r="A1020" s="1">
        <v>1833</v>
      </c>
      <c r="B1020" s="1" t="s">
        <v>4229</v>
      </c>
      <c r="C1020" s="1" t="s">
        <v>4230</v>
      </c>
      <c r="D1020" s="1" t="s">
        <v>77</v>
      </c>
      <c r="E1020" s="1" t="s">
        <v>2396</v>
      </c>
      <c r="F1020" s="1" t="s">
        <v>4190</v>
      </c>
      <c r="G1020" s="1" t="s">
        <v>118</v>
      </c>
      <c r="H1020" s="2">
        <v>0</v>
      </c>
      <c r="I1020" s="2">
        <v>1</v>
      </c>
      <c r="J1020" s="2">
        <v>1</v>
      </c>
      <c r="K1020" s="2">
        <v>0</v>
      </c>
      <c r="L1020" s="3" t="s">
        <v>127</v>
      </c>
      <c r="O1020" s="4">
        <v>2</v>
      </c>
      <c r="P1020" s="4" t="s">
        <v>424</v>
      </c>
      <c r="Q1020" s="4" t="s">
        <v>4231</v>
      </c>
      <c r="R1020" s="16">
        <v>14000000</v>
      </c>
      <c r="S1020" s="6">
        <v>14000000</v>
      </c>
      <c r="T1020" s="16">
        <v>9600000</v>
      </c>
      <c r="U1020" s="6">
        <v>9600000</v>
      </c>
      <c r="V1020" s="4">
        <v>2010.5</v>
      </c>
      <c r="W1020" s="4" t="s">
        <v>425</v>
      </c>
      <c r="X1020" s="4"/>
      <c r="Y1020" s="7">
        <v>2</v>
      </c>
      <c r="Z1020" s="8">
        <v>1830404</v>
      </c>
      <c r="AA1020" s="7" t="s">
        <v>580</v>
      </c>
      <c r="AB1020" s="7" t="s">
        <v>4232</v>
      </c>
      <c r="AC1020" s="9">
        <v>2</v>
      </c>
      <c r="AD1020" s="10">
        <v>1133877</v>
      </c>
      <c r="AE1020" s="9" t="s">
        <v>582</v>
      </c>
      <c r="AF1020" s="9" t="s">
        <v>4233</v>
      </c>
      <c r="AG1020" s="11">
        <v>3</v>
      </c>
      <c r="AH1020" s="11" t="s">
        <v>131</v>
      </c>
      <c r="AI1020" s="11"/>
      <c r="AJ1020" s="11">
        <v>2</v>
      </c>
      <c r="AK1020" s="11" t="s">
        <v>143</v>
      </c>
      <c r="AL1020" s="12">
        <v>3</v>
      </c>
      <c r="AM1020" s="12" t="s">
        <v>131</v>
      </c>
      <c r="AN1020" s="12"/>
      <c r="AO1020" s="12">
        <v>3</v>
      </c>
      <c r="AP1020" s="12" t="s">
        <v>143</v>
      </c>
      <c r="AQ1020" s="4">
        <v>4</v>
      </c>
      <c r="AR1020" s="4" t="s">
        <v>133</v>
      </c>
      <c r="AS1020" s="4"/>
      <c r="AT1020" s="13">
        <v>-45.856109619140597</v>
      </c>
      <c r="AU1020" s="13">
        <v>-1.1956551074981701</v>
      </c>
      <c r="AV1020" s="13">
        <v>-1.87999999523163</v>
      </c>
      <c r="AW1020" s="13">
        <v>-0.65100002288818404</v>
      </c>
      <c r="AX1020" s="4">
        <v>1</v>
      </c>
      <c r="AY1020" s="13">
        <v>-28.825756072998001</v>
      </c>
      <c r="AZ1020" s="13">
        <v>-3.3427877426147501</v>
      </c>
      <c r="BA1020" s="13">
        <v>-8.1700000762939506</v>
      </c>
      <c r="BB1020" s="13">
        <v>1.04689598083496</v>
      </c>
      <c r="BC1020" s="4"/>
      <c r="BD1020" s="4">
        <v>10</v>
      </c>
      <c r="BE1020" s="4" t="s">
        <v>134</v>
      </c>
      <c r="BF1020" s="13">
        <v>1.2289999723434399</v>
      </c>
      <c r="BG1020" s="4">
        <v>361.5</v>
      </c>
      <c r="BH1020" s="13">
        <v>29.899999618530298</v>
      </c>
      <c r="BI1020" s="13">
        <v>10801.9501953125</v>
      </c>
      <c r="BJ1020" s="4"/>
      <c r="BK1020" s="14">
        <v>11</v>
      </c>
      <c r="BL1020" s="14">
        <v>11</v>
      </c>
      <c r="BM1020" s="14">
        <v>11</v>
      </c>
      <c r="BP1020" s="15"/>
      <c r="BQ1020" s="15" t="s">
        <v>2503</v>
      </c>
      <c r="BR1020" s="2" t="s">
        <v>457</v>
      </c>
      <c r="BS1020" s="2" t="s">
        <v>297</v>
      </c>
      <c r="BT1020" s="7" t="s">
        <v>585</v>
      </c>
      <c r="BU1020" s="7"/>
      <c r="BV1020" s="9" t="s">
        <v>474</v>
      </c>
      <c r="BW1020" s="9"/>
    </row>
    <row r="1021" spans="1:75" ht="14.25" customHeight="1" x14ac:dyDescent="0.25">
      <c r="A1021" s="1">
        <v>1834</v>
      </c>
      <c r="B1021" s="1" t="s">
        <v>4234</v>
      </c>
      <c r="C1021" s="1" t="s">
        <v>4235</v>
      </c>
      <c r="D1021" s="1" t="s">
        <v>77</v>
      </c>
      <c r="E1021" s="1" t="s">
        <v>2396</v>
      </c>
      <c r="F1021" s="1" t="s">
        <v>4190</v>
      </c>
      <c r="G1021" s="1"/>
      <c r="H1021" s="2">
        <v>0</v>
      </c>
      <c r="I1021" s="2">
        <v>1</v>
      </c>
      <c r="J1021" s="2">
        <v>0</v>
      </c>
      <c r="K1021" s="2">
        <v>0</v>
      </c>
      <c r="L1021" s="3" t="s">
        <v>80</v>
      </c>
      <c r="O1021" s="4">
        <v>4</v>
      </c>
      <c r="P1021" s="4" t="s">
        <v>425</v>
      </c>
      <c r="Q1021" s="4"/>
      <c r="R1021" s="16">
        <v>170000</v>
      </c>
      <c r="S1021" s="6">
        <v>170000</v>
      </c>
      <c r="T1021" s="16">
        <v>170000</v>
      </c>
      <c r="U1021" s="6">
        <v>170000</v>
      </c>
      <c r="V1021" s="4">
        <v>2010.5</v>
      </c>
      <c r="W1021" s="4" t="s">
        <v>425</v>
      </c>
      <c r="X1021" s="4"/>
      <c r="Y1021" s="7">
        <v>3</v>
      </c>
      <c r="Z1021" s="8">
        <v>959934</v>
      </c>
      <c r="AA1021" s="7" t="s">
        <v>92</v>
      </c>
      <c r="AB1021" s="7"/>
      <c r="AC1021" s="9">
        <v>3</v>
      </c>
      <c r="AD1021" s="10">
        <v>959934</v>
      </c>
      <c r="AE1021" s="9" t="s">
        <v>92</v>
      </c>
      <c r="AF1021" s="9"/>
      <c r="AG1021" s="11">
        <v>4</v>
      </c>
      <c r="AH1021" s="11" t="s">
        <v>131</v>
      </c>
      <c r="AI1021" s="11" t="s">
        <v>4236</v>
      </c>
      <c r="AJ1021" s="11">
        <v>3</v>
      </c>
      <c r="AK1021" s="11" t="s">
        <v>143</v>
      </c>
      <c r="AL1021" s="12">
        <v>4</v>
      </c>
      <c r="AM1021" s="12" t="s">
        <v>131</v>
      </c>
      <c r="AN1021" s="12" t="s">
        <v>4236</v>
      </c>
      <c r="AO1021" s="12">
        <v>2</v>
      </c>
      <c r="AP1021" s="12" t="s">
        <v>143</v>
      </c>
      <c r="AQ1021" s="4">
        <v>5</v>
      </c>
      <c r="AR1021" s="4" t="s">
        <v>133</v>
      </c>
      <c r="AS1021" s="4"/>
      <c r="AT1021" s="13">
        <v>-77.138320922851605</v>
      </c>
      <c r="AU1021" s="13">
        <v>-2.8508553504943799</v>
      </c>
      <c r="AV1021" s="13">
        <v>-3.5</v>
      </c>
      <c r="AW1021" s="13">
        <v>-2.2400000095367401</v>
      </c>
      <c r="AX1021" s="4">
        <v>1</v>
      </c>
      <c r="AY1021" s="13">
        <v>13.9013528823853</v>
      </c>
      <c r="AZ1021" s="13">
        <v>1.3102608919143699</v>
      </c>
      <c r="BA1021" s="13">
        <v>-2.1700000762939502</v>
      </c>
      <c r="BB1021" s="13">
        <v>4.2206997871398899</v>
      </c>
      <c r="BC1021" s="4"/>
      <c r="BD1021" s="4">
        <v>10</v>
      </c>
      <c r="BE1021" s="4" t="s">
        <v>134</v>
      </c>
      <c r="BF1021" s="13">
        <v>1.2599999904632599</v>
      </c>
      <c r="BG1021" s="4">
        <v>253</v>
      </c>
      <c r="BH1021" s="13">
        <v>0.60250002145767201</v>
      </c>
      <c r="BI1021" s="13">
        <v>151.82000732421901</v>
      </c>
      <c r="BJ1021" s="4"/>
      <c r="BK1021" s="14">
        <v>16</v>
      </c>
      <c r="BL1021" s="14">
        <v>16</v>
      </c>
      <c r="BM1021" s="14">
        <v>16</v>
      </c>
      <c r="BN1021" s="3" t="s">
        <v>312</v>
      </c>
      <c r="BO1021" s="3" t="s">
        <v>120</v>
      </c>
      <c r="BP1021" s="15"/>
      <c r="BQ1021" s="15"/>
      <c r="BR1021" s="2" t="s">
        <v>239</v>
      </c>
      <c r="BS1021" s="2" t="s">
        <v>239</v>
      </c>
      <c r="BT1021" s="7" t="s">
        <v>241</v>
      </c>
      <c r="BU1021" s="7"/>
      <c r="BV1021" s="9" t="s">
        <v>241</v>
      </c>
      <c r="BW1021" s="9"/>
    </row>
    <row r="1022" spans="1:75" ht="14.25" customHeight="1" x14ac:dyDescent="0.25">
      <c r="A1022" s="1">
        <v>1835</v>
      </c>
      <c r="B1022" s="1" t="s">
        <v>4237</v>
      </c>
      <c r="C1022" s="1" t="s">
        <v>4238</v>
      </c>
      <c r="D1022" s="1" t="s">
        <v>77</v>
      </c>
      <c r="E1022" s="1" t="s">
        <v>2396</v>
      </c>
      <c r="F1022" s="1" t="s">
        <v>4190</v>
      </c>
      <c r="G1022" s="1"/>
      <c r="H1022" s="2">
        <v>1</v>
      </c>
      <c r="I1022" s="2">
        <v>1</v>
      </c>
      <c r="J1022" s="2">
        <v>1</v>
      </c>
      <c r="K1022" s="2">
        <v>1</v>
      </c>
      <c r="L1022" s="3" t="s">
        <v>127</v>
      </c>
      <c r="O1022" s="4">
        <v>2</v>
      </c>
      <c r="P1022" s="4" t="s">
        <v>424</v>
      </c>
      <c r="Q1022" s="4"/>
      <c r="R1022" s="16">
        <v>34000000</v>
      </c>
      <c r="S1022" s="6">
        <v>34000000</v>
      </c>
      <c r="T1022" s="16">
        <v>33000000</v>
      </c>
      <c r="U1022" s="6">
        <v>33000000</v>
      </c>
      <c r="V1022" s="4">
        <v>2010.5</v>
      </c>
      <c r="W1022" s="4" t="s">
        <v>425</v>
      </c>
      <c r="X1022" s="4"/>
      <c r="Y1022" s="7">
        <v>1</v>
      </c>
      <c r="Z1022" s="8">
        <v>5209138</v>
      </c>
      <c r="AA1022" s="7" t="s">
        <v>92</v>
      </c>
      <c r="AB1022" s="7"/>
      <c r="AC1022" s="9">
        <v>2</v>
      </c>
      <c r="AD1022" s="10">
        <v>3402269</v>
      </c>
      <c r="AE1022" s="9" t="s">
        <v>92</v>
      </c>
      <c r="AF1022" s="9"/>
      <c r="AG1022" s="11">
        <v>4</v>
      </c>
      <c r="AH1022" s="11" t="s">
        <v>454</v>
      </c>
      <c r="AI1022" s="11" t="s">
        <v>4239</v>
      </c>
      <c r="AJ1022" s="11">
        <v>2</v>
      </c>
      <c r="AK1022" s="11" t="s">
        <v>143</v>
      </c>
      <c r="AL1022" s="12">
        <v>3</v>
      </c>
      <c r="AM1022" s="12" t="s">
        <v>131</v>
      </c>
      <c r="AN1022" s="12" t="s">
        <v>4240</v>
      </c>
      <c r="AO1022" s="12">
        <v>2</v>
      </c>
      <c r="AP1022" s="12" t="s">
        <v>143</v>
      </c>
      <c r="AQ1022" s="4">
        <v>5</v>
      </c>
      <c r="AR1022" s="4" t="s">
        <v>133</v>
      </c>
      <c r="AS1022" s="4"/>
      <c r="AT1022" s="13">
        <v>-76.188972473144503</v>
      </c>
      <c r="AU1022" s="13">
        <v>-2.7703697681427002</v>
      </c>
      <c r="AV1022" s="13">
        <v>-3.6099998950958301</v>
      </c>
      <c r="AW1022" s="13">
        <v>-1.9922970533371001</v>
      </c>
      <c r="AX1022" s="4">
        <v>1</v>
      </c>
      <c r="AY1022" s="13">
        <v>-36.352500915527301</v>
      </c>
      <c r="AZ1022" s="13">
        <v>-4.4162859916687003</v>
      </c>
      <c r="BA1022" s="13">
        <v>-5.7699999809265101</v>
      </c>
      <c r="BB1022" s="13">
        <v>-3.3688011169433598</v>
      </c>
      <c r="BC1022" s="4">
        <v>1</v>
      </c>
      <c r="BD1022" s="4">
        <v>10</v>
      </c>
      <c r="BE1022" s="4" t="s">
        <v>134</v>
      </c>
      <c r="BF1022" s="13">
        <v>1.61770296096802</v>
      </c>
      <c r="BG1022" s="4">
        <v>2271</v>
      </c>
      <c r="BH1022" s="13">
        <v>6.1750001907348597</v>
      </c>
      <c r="BI1022" s="13">
        <v>14009.7900390625</v>
      </c>
      <c r="BJ1022" s="4">
        <v>15</v>
      </c>
      <c r="BK1022" s="14">
        <v>12</v>
      </c>
      <c r="BL1022" s="14">
        <v>12</v>
      </c>
      <c r="BM1022" s="14">
        <v>12</v>
      </c>
      <c r="BN1022" s="3" t="s">
        <v>302</v>
      </c>
      <c r="BP1022" s="15"/>
      <c r="BQ1022" s="15" t="s">
        <v>146</v>
      </c>
      <c r="BR1022" s="2" t="s">
        <v>172</v>
      </c>
      <c r="BS1022" s="2" t="s">
        <v>172</v>
      </c>
      <c r="BT1022" s="7" t="s">
        <v>585</v>
      </c>
      <c r="BU1022" s="7"/>
      <c r="BV1022" s="9" t="s">
        <v>474</v>
      </c>
      <c r="BW1022" s="9" t="s">
        <v>585</v>
      </c>
    </row>
    <row r="1023" spans="1:75" ht="14.25" customHeight="1" x14ac:dyDescent="0.25">
      <c r="A1023" s="1">
        <v>1836</v>
      </c>
      <c r="B1023" s="1" t="s">
        <v>4241</v>
      </c>
      <c r="C1023" s="1" t="s">
        <v>4242</v>
      </c>
      <c r="D1023" s="1" t="s">
        <v>77</v>
      </c>
      <c r="E1023" s="1" t="s">
        <v>2396</v>
      </c>
      <c r="F1023" s="1" t="s">
        <v>4190</v>
      </c>
      <c r="G1023" s="1"/>
      <c r="H1023" s="2">
        <v>0</v>
      </c>
      <c r="I1023" s="2">
        <v>1</v>
      </c>
      <c r="J1023" s="2">
        <v>1</v>
      </c>
      <c r="K1023" s="2">
        <v>1</v>
      </c>
      <c r="L1023" s="3" t="s">
        <v>80</v>
      </c>
      <c r="O1023" s="4">
        <v>3</v>
      </c>
      <c r="P1023" s="4" t="s">
        <v>470</v>
      </c>
      <c r="Q1023" s="4" t="s">
        <v>4243</v>
      </c>
      <c r="R1023" s="16">
        <v>4800000</v>
      </c>
      <c r="S1023" s="6">
        <v>4800000</v>
      </c>
      <c r="T1023" s="16">
        <v>830000</v>
      </c>
      <c r="U1023" s="6">
        <v>830000</v>
      </c>
      <c r="V1023" s="4">
        <v>2010.5</v>
      </c>
      <c r="W1023" s="4" t="s">
        <v>425</v>
      </c>
      <c r="X1023" s="4"/>
      <c r="Y1023" s="7">
        <v>3</v>
      </c>
      <c r="Z1023" s="8">
        <v>484726</v>
      </c>
      <c r="AA1023" s="7" t="s">
        <v>92</v>
      </c>
      <c r="AB1023" s="7"/>
      <c r="AC1023" s="9">
        <v>3</v>
      </c>
      <c r="AD1023" s="10">
        <v>484726</v>
      </c>
      <c r="AE1023" s="9" t="s">
        <v>92</v>
      </c>
      <c r="AF1023" s="9" t="s">
        <v>4244</v>
      </c>
      <c r="AG1023" s="11">
        <v>3</v>
      </c>
      <c r="AH1023" s="11" t="s">
        <v>131</v>
      </c>
      <c r="AI1023" s="11"/>
      <c r="AJ1023" s="11">
        <v>3</v>
      </c>
      <c r="AK1023" s="11" t="s">
        <v>143</v>
      </c>
      <c r="AL1023" s="12">
        <v>3</v>
      </c>
      <c r="AM1023" s="12" t="s">
        <v>131</v>
      </c>
      <c r="AN1023" s="12" t="s">
        <v>4245</v>
      </c>
      <c r="AO1023" s="12">
        <v>3</v>
      </c>
      <c r="AP1023" s="12" t="s">
        <v>143</v>
      </c>
      <c r="AQ1023" s="4">
        <v>3</v>
      </c>
      <c r="AR1023" s="4" t="s">
        <v>673</v>
      </c>
      <c r="AS1023" s="4"/>
      <c r="AT1023" s="13"/>
      <c r="AU1023" s="13"/>
      <c r="AV1023" s="13"/>
      <c r="AW1023" s="13"/>
      <c r="AX1023" s="4"/>
      <c r="AY1023" s="13"/>
      <c r="AZ1023" s="13"/>
      <c r="BA1023" s="13"/>
      <c r="BB1023" s="13"/>
      <c r="BC1023" s="4"/>
      <c r="BD1023" s="4"/>
      <c r="BE1023" s="4"/>
      <c r="BF1023" s="13"/>
      <c r="BG1023" s="4"/>
      <c r="BH1023" s="13"/>
      <c r="BI1023" s="13"/>
      <c r="BJ1023" s="4"/>
      <c r="BK1023" s="14">
        <v>12</v>
      </c>
      <c r="BL1023" s="14">
        <v>12</v>
      </c>
      <c r="BM1023" s="14">
        <v>12</v>
      </c>
      <c r="BP1023" s="15"/>
      <c r="BQ1023" s="15"/>
      <c r="BR1023" s="2" t="s">
        <v>400</v>
      </c>
      <c r="BS1023" s="2" t="s">
        <v>400</v>
      </c>
      <c r="BT1023" s="7" t="s">
        <v>109</v>
      </c>
      <c r="BU1023" s="7"/>
      <c r="BV1023" s="9" t="s">
        <v>109</v>
      </c>
      <c r="BW1023" s="9"/>
    </row>
    <row r="1024" spans="1:75" ht="14.25" customHeight="1" x14ac:dyDescent="0.25">
      <c r="A1024" s="1">
        <v>1837</v>
      </c>
      <c r="B1024" s="1" t="s">
        <v>4246</v>
      </c>
      <c r="C1024" s="1" t="s">
        <v>4247</v>
      </c>
      <c r="D1024" s="1" t="s">
        <v>77</v>
      </c>
      <c r="E1024" s="1" t="s">
        <v>2396</v>
      </c>
      <c r="F1024" s="1" t="s">
        <v>4190</v>
      </c>
      <c r="G1024" s="1"/>
      <c r="H1024" s="2">
        <v>0</v>
      </c>
      <c r="I1024" s="2">
        <v>0</v>
      </c>
      <c r="J1024" s="2">
        <v>1</v>
      </c>
      <c r="K1024" s="2">
        <v>1</v>
      </c>
      <c r="L1024" s="3" t="s">
        <v>80</v>
      </c>
      <c r="O1024" s="4">
        <v>4</v>
      </c>
      <c r="P1024" s="4" t="s">
        <v>112</v>
      </c>
      <c r="Q1024" s="4"/>
      <c r="R1024" s="5"/>
      <c r="S1024" s="6"/>
      <c r="T1024" s="17"/>
      <c r="U1024" s="6"/>
      <c r="V1024" s="4"/>
      <c r="W1024" s="4"/>
      <c r="X1024" s="4"/>
      <c r="Y1024" s="7">
        <v>4</v>
      </c>
      <c r="Z1024" s="8">
        <v>231235</v>
      </c>
      <c r="AA1024" s="7" t="s">
        <v>92</v>
      </c>
      <c r="AB1024" s="7"/>
      <c r="AC1024" s="9">
        <v>4</v>
      </c>
      <c r="AD1024" s="10">
        <v>231235</v>
      </c>
      <c r="AE1024" s="9" t="s">
        <v>92</v>
      </c>
      <c r="AF1024" s="9"/>
      <c r="AG1024" s="11">
        <v>3</v>
      </c>
      <c r="AH1024" s="11" t="s">
        <v>93</v>
      </c>
      <c r="AI1024" s="11"/>
      <c r="AJ1024" s="11"/>
      <c r="AK1024" s="11"/>
      <c r="AL1024" s="12">
        <v>3</v>
      </c>
      <c r="AM1024" s="12" t="s">
        <v>93</v>
      </c>
      <c r="AN1024" s="12" t="s">
        <v>698</v>
      </c>
      <c r="AO1024" s="12"/>
      <c r="AP1024" s="12"/>
      <c r="AQ1024" s="4">
        <v>4</v>
      </c>
      <c r="AR1024" s="4" t="s">
        <v>83</v>
      </c>
      <c r="AS1024" s="4" t="s">
        <v>4248</v>
      </c>
      <c r="AT1024" s="13"/>
      <c r="AU1024" s="13"/>
      <c r="AV1024" s="13"/>
      <c r="AW1024" s="13"/>
      <c r="AX1024" s="4"/>
      <c r="AY1024" s="13"/>
      <c r="AZ1024" s="13"/>
      <c r="BA1024" s="13"/>
      <c r="BB1024" s="13"/>
      <c r="BC1024" s="4"/>
      <c r="BD1024" s="4"/>
      <c r="BE1024" s="4"/>
      <c r="BF1024" s="13"/>
      <c r="BG1024" s="4"/>
      <c r="BH1024" s="13"/>
      <c r="BI1024" s="13"/>
      <c r="BJ1024" s="4"/>
      <c r="BK1024" s="14">
        <v>15</v>
      </c>
      <c r="BL1024" s="14">
        <v>15</v>
      </c>
      <c r="BM1024" s="14">
        <v>15</v>
      </c>
      <c r="BN1024" s="3" t="s">
        <v>86</v>
      </c>
      <c r="BP1024" s="15"/>
      <c r="BQ1024" s="15"/>
      <c r="BR1024" s="2" t="s">
        <v>115</v>
      </c>
      <c r="BS1024" s="2" t="s">
        <v>115</v>
      </c>
      <c r="BT1024" s="7" t="s">
        <v>98</v>
      </c>
      <c r="BU1024" s="7"/>
      <c r="BV1024" s="9" t="s">
        <v>98</v>
      </c>
      <c r="BW1024" s="9"/>
    </row>
    <row r="1025" spans="1:75" ht="14.25" customHeight="1" x14ac:dyDescent="0.25">
      <c r="A1025" s="1">
        <v>1838</v>
      </c>
      <c r="B1025" s="1" t="s">
        <v>4249</v>
      </c>
      <c r="C1025" s="1" t="s">
        <v>4250</v>
      </c>
      <c r="D1025" s="1" t="s">
        <v>77</v>
      </c>
      <c r="E1025" s="1" t="s">
        <v>2396</v>
      </c>
      <c r="F1025" s="1" t="s">
        <v>4190</v>
      </c>
      <c r="G1025" s="1"/>
      <c r="H1025" s="2">
        <v>0</v>
      </c>
      <c r="I1025" s="2">
        <v>0</v>
      </c>
      <c r="J1025" s="2">
        <v>0</v>
      </c>
      <c r="K1025" s="2">
        <v>1</v>
      </c>
      <c r="L1025" s="3" t="s">
        <v>80</v>
      </c>
      <c r="O1025" s="4">
        <v>2</v>
      </c>
      <c r="P1025" s="4" t="s">
        <v>81</v>
      </c>
      <c r="Q1025" s="4"/>
      <c r="R1025" s="5"/>
      <c r="S1025" s="6"/>
      <c r="T1025" s="17"/>
      <c r="U1025" s="6"/>
      <c r="V1025" s="4"/>
      <c r="W1025" s="4"/>
      <c r="X1025" s="4"/>
      <c r="Y1025" s="7">
        <v>2</v>
      </c>
      <c r="Z1025" s="8">
        <v>1132966</v>
      </c>
      <c r="AA1025" s="7" t="s">
        <v>82</v>
      </c>
      <c r="AB1025" s="7"/>
      <c r="AC1025" s="9">
        <v>2</v>
      </c>
      <c r="AD1025" s="10">
        <v>1132966</v>
      </c>
      <c r="AE1025" s="9" t="s">
        <v>82</v>
      </c>
      <c r="AF1025" s="9"/>
      <c r="AG1025" s="11">
        <v>2</v>
      </c>
      <c r="AH1025" s="11" t="s">
        <v>83</v>
      </c>
      <c r="AI1025" s="11"/>
      <c r="AJ1025" s="11"/>
      <c r="AK1025" s="11"/>
      <c r="AL1025" s="12">
        <v>2</v>
      </c>
      <c r="AM1025" s="12" t="s">
        <v>83</v>
      </c>
      <c r="AN1025" s="12"/>
      <c r="AO1025" s="12"/>
      <c r="AP1025" s="12"/>
      <c r="AQ1025" s="4">
        <v>2</v>
      </c>
      <c r="AR1025" s="4" t="s">
        <v>83</v>
      </c>
      <c r="AS1025" s="4"/>
      <c r="AT1025" s="13"/>
      <c r="AU1025" s="13"/>
      <c r="AV1025" s="13"/>
      <c r="AW1025" s="13"/>
      <c r="AX1025" s="4"/>
      <c r="AY1025" s="13"/>
      <c r="AZ1025" s="13"/>
      <c r="BA1025" s="13"/>
      <c r="BB1025" s="13"/>
      <c r="BC1025" s="4"/>
      <c r="BD1025" s="4"/>
      <c r="BE1025" s="4"/>
      <c r="BF1025" s="13"/>
      <c r="BG1025" s="4"/>
      <c r="BH1025" s="13"/>
      <c r="BI1025" s="13"/>
      <c r="BJ1025" s="4"/>
      <c r="BK1025" s="14">
        <v>8</v>
      </c>
      <c r="BL1025" s="14">
        <v>8</v>
      </c>
      <c r="BM1025" s="14">
        <v>8</v>
      </c>
      <c r="BP1025" s="15"/>
      <c r="BQ1025" s="15"/>
      <c r="BR1025" s="2" t="s">
        <v>97</v>
      </c>
      <c r="BS1025" s="2" t="s">
        <v>97</v>
      </c>
      <c r="BT1025" s="7" t="s">
        <v>98</v>
      </c>
      <c r="BU1025" s="7"/>
      <c r="BV1025" s="9" t="s">
        <v>98</v>
      </c>
      <c r="BW1025" s="9"/>
    </row>
    <row r="1026" spans="1:75" ht="14.25" customHeight="1" x14ac:dyDescent="0.25">
      <c r="A1026" s="1">
        <v>1839</v>
      </c>
      <c r="B1026" s="1" t="s">
        <v>4251</v>
      </c>
      <c r="C1026" s="1" t="s">
        <v>4252</v>
      </c>
      <c r="D1026" s="1" t="s">
        <v>77</v>
      </c>
      <c r="E1026" s="1" t="s">
        <v>2396</v>
      </c>
      <c r="F1026" s="1" t="s">
        <v>4190</v>
      </c>
      <c r="G1026" s="1" t="s">
        <v>4253</v>
      </c>
      <c r="H1026" s="2">
        <v>0</v>
      </c>
      <c r="I1026" s="2">
        <v>1</v>
      </c>
      <c r="J1026" s="2">
        <v>1</v>
      </c>
      <c r="K1026" s="2">
        <v>0</v>
      </c>
      <c r="L1026" s="3" t="s">
        <v>80</v>
      </c>
      <c r="O1026" s="4">
        <v>4</v>
      </c>
      <c r="P1026" s="4" t="s">
        <v>753</v>
      </c>
      <c r="Q1026" s="4"/>
      <c r="R1026" s="16">
        <v>200000</v>
      </c>
      <c r="S1026" s="6">
        <v>200000</v>
      </c>
      <c r="T1026" s="17" t="s">
        <v>682</v>
      </c>
      <c r="U1026" s="6">
        <v>50</v>
      </c>
      <c r="V1026" s="4"/>
      <c r="W1026" s="4" t="s">
        <v>543</v>
      </c>
      <c r="X1026" s="4" t="s">
        <v>787</v>
      </c>
      <c r="Y1026" s="7">
        <v>4</v>
      </c>
      <c r="Z1026" s="8">
        <v>151868</v>
      </c>
      <c r="AA1026" s="7" t="s">
        <v>92</v>
      </c>
      <c r="AB1026" s="7"/>
      <c r="AC1026" s="9">
        <v>4</v>
      </c>
      <c r="AD1026" s="10">
        <v>151868</v>
      </c>
      <c r="AE1026" s="9" t="s">
        <v>92</v>
      </c>
      <c r="AF1026" s="9"/>
      <c r="AG1026" s="11">
        <v>3</v>
      </c>
      <c r="AH1026" s="11" t="s">
        <v>271</v>
      </c>
      <c r="AI1026" s="11" t="s">
        <v>4254</v>
      </c>
      <c r="AJ1026" s="11"/>
      <c r="AK1026" s="11"/>
      <c r="AL1026" s="12">
        <v>3</v>
      </c>
      <c r="AM1026" s="12" t="s">
        <v>271</v>
      </c>
      <c r="AN1026" s="12" t="s">
        <v>4255</v>
      </c>
      <c r="AO1026" s="12"/>
      <c r="AP1026" s="12"/>
      <c r="AQ1026" s="4">
        <v>4</v>
      </c>
      <c r="AR1026" s="4" t="s">
        <v>93</v>
      </c>
      <c r="AS1026" s="4"/>
      <c r="AT1026" s="13"/>
      <c r="AU1026" s="13"/>
      <c r="AV1026" s="13"/>
      <c r="AW1026" s="13"/>
      <c r="AX1026" s="4"/>
      <c r="AY1026" s="13"/>
      <c r="AZ1026" s="13"/>
      <c r="BA1026" s="13"/>
      <c r="BB1026" s="13"/>
      <c r="BC1026" s="4"/>
      <c r="BD1026" s="4"/>
      <c r="BE1026" s="4"/>
      <c r="BF1026" s="13"/>
      <c r="BG1026" s="4"/>
      <c r="BH1026" s="13"/>
      <c r="BI1026" s="13"/>
      <c r="BJ1026" s="4"/>
      <c r="BK1026" s="14">
        <v>15</v>
      </c>
      <c r="BL1026" s="14">
        <v>15</v>
      </c>
      <c r="BM1026" s="14">
        <v>15</v>
      </c>
      <c r="BN1026" s="3" t="s">
        <v>86</v>
      </c>
      <c r="BP1026" s="15"/>
      <c r="BQ1026" s="15"/>
      <c r="BR1026" s="2" t="s">
        <v>108</v>
      </c>
      <c r="BS1026" s="2" t="s">
        <v>108</v>
      </c>
      <c r="BT1026" s="7" t="s">
        <v>109</v>
      </c>
      <c r="BU1026" s="7" t="s">
        <v>475</v>
      </c>
      <c r="BV1026" s="9" t="s">
        <v>109</v>
      </c>
      <c r="BW1026" s="9" t="s">
        <v>475</v>
      </c>
    </row>
    <row r="1027" spans="1:75" ht="14.25" customHeight="1" x14ac:dyDescent="0.25">
      <c r="A1027" s="1">
        <v>1840</v>
      </c>
      <c r="B1027" s="1" t="s">
        <v>4256</v>
      </c>
      <c r="C1027" s="1" t="s">
        <v>4257</v>
      </c>
      <c r="D1027" s="1" t="s">
        <v>77</v>
      </c>
      <c r="E1027" s="1" t="s">
        <v>2396</v>
      </c>
      <c r="F1027" s="1" t="s">
        <v>4190</v>
      </c>
      <c r="G1027" s="1"/>
      <c r="H1027" s="2">
        <v>0</v>
      </c>
      <c r="I1027" s="2">
        <v>1</v>
      </c>
      <c r="J1027" s="2">
        <v>1</v>
      </c>
      <c r="K1027" s="2">
        <v>0</v>
      </c>
      <c r="L1027" s="3" t="s">
        <v>127</v>
      </c>
      <c r="O1027" s="4">
        <v>1</v>
      </c>
      <c r="P1027" s="4" t="s">
        <v>470</v>
      </c>
      <c r="Q1027" s="4" t="s">
        <v>4258</v>
      </c>
      <c r="R1027" s="16">
        <v>62000000</v>
      </c>
      <c r="S1027" s="6">
        <v>62000000</v>
      </c>
      <c r="T1027" s="16">
        <v>31000000</v>
      </c>
      <c r="U1027" s="6">
        <v>31000000</v>
      </c>
      <c r="V1027" s="4">
        <v>2010.5</v>
      </c>
      <c r="W1027" s="4" t="s">
        <v>425</v>
      </c>
      <c r="X1027" s="4"/>
      <c r="Y1027" s="7">
        <v>2</v>
      </c>
      <c r="Z1027" s="8">
        <v>2448937</v>
      </c>
      <c r="AA1027" s="7" t="s">
        <v>92</v>
      </c>
      <c r="AB1027" s="7"/>
      <c r="AC1027" s="9">
        <v>2</v>
      </c>
      <c r="AD1027" s="10">
        <v>1604895</v>
      </c>
      <c r="AE1027" s="9" t="s">
        <v>92</v>
      </c>
      <c r="AF1027" s="9"/>
      <c r="AG1027" s="11">
        <v>2</v>
      </c>
      <c r="AH1027" s="11" t="s">
        <v>131</v>
      </c>
      <c r="AI1027" s="11"/>
      <c r="AJ1027" s="11">
        <v>2</v>
      </c>
      <c r="AK1027" s="11" t="s">
        <v>132</v>
      </c>
      <c r="AL1027" s="12">
        <v>2</v>
      </c>
      <c r="AM1027" s="12" t="s">
        <v>131</v>
      </c>
      <c r="AN1027" s="12" t="s">
        <v>4259</v>
      </c>
      <c r="AO1027" s="12">
        <v>2</v>
      </c>
      <c r="AP1027" s="12" t="s">
        <v>132</v>
      </c>
      <c r="AQ1027" s="4">
        <v>4</v>
      </c>
      <c r="AR1027" s="4" t="s">
        <v>133</v>
      </c>
      <c r="AS1027" s="4"/>
      <c r="AT1027" s="13">
        <v>-34.764186859130902</v>
      </c>
      <c r="AU1027" s="13">
        <v>-0.83378916978836104</v>
      </c>
      <c r="AV1027" s="13">
        <v>-1.37999999523163</v>
      </c>
      <c r="AW1027" s="13">
        <v>-0.27130201458931003</v>
      </c>
      <c r="AX1027" s="4">
        <v>1</v>
      </c>
      <c r="AY1027" s="13">
        <v>-11.7839441299438</v>
      </c>
      <c r="AZ1027" s="13">
        <v>-1.2468006610870399</v>
      </c>
      <c r="BA1027" s="13">
        <v>-2.9700000286102299</v>
      </c>
      <c r="BB1027" s="13">
        <v>8.5699997842311901E-2</v>
      </c>
      <c r="BC1027" s="4"/>
      <c r="BD1027" s="4">
        <v>10</v>
      </c>
      <c r="BE1027" s="4" t="s">
        <v>134</v>
      </c>
      <c r="BF1027" s="13">
        <v>1.10869801044464</v>
      </c>
      <c r="BG1027" s="4">
        <v>458.5</v>
      </c>
      <c r="BH1027" s="13">
        <v>18.944999694824201</v>
      </c>
      <c r="BI1027" s="13">
        <v>8699.400390625</v>
      </c>
      <c r="BJ1027" s="4"/>
      <c r="BK1027" s="14">
        <v>9</v>
      </c>
      <c r="BL1027" s="14">
        <v>9</v>
      </c>
      <c r="BM1027" s="14">
        <v>9</v>
      </c>
      <c r="BP1027" s="15"/>
      <c r="BQ1027" s="15"/>
      <c r="BR1027" s="2" t="s">
        <v>297</v>
      </c>
      <c r="BS1027" s="2" t="s">
        <v>297</v>
      </c>
      <c r="BT1027" s="7" t="s">
        <v>475</v>
      </c>
      <c r="BU1027" s="7"/>
      <c r="BV1027" s="9" t="s">
        <v>475</v>
      </c>
      <c r="BW1027" s="9"/>
    </row>
    <row r="1028" spans="1:75" ht="14.25" customHeight="1" x14ac:dyDescent="0.25">
      <c r="A1028" s="1">
        <v>1841</v>
      </c>
      <c r="B1028" s="1" t="s">
        <v>4260</v>
      </c>
      <c r="C1028" s="1" t="s">
        <v>4261</v>
      </c>
      <c r="D1028" s="1" t="s">
        <v>77</v>
      </c>
      <c r="E1028" s="1" t="s">
        <v>2396</v>
      </c>
      <c r="F1028" s="1" t="s">
        <v>4190</v>
      </c>
      <c r="G1028" s="1"/>
      <c r="H1028" s="2">
        <v>1</v>
      </c>
      <c r="I1028" s="2">
        <v>1</v>
      </c>
      <c r="J1028" s="2">
        <v>1</v>
      </c>
      <c r="K1028" s="2">
        <v>0</v>
      </c>
      <c r="L1028" s="3" t="s">
        <v>127</v>
      </c>
      <c r="O1028" s="4">
        <v>2</v>
      </c>
      <c r="P1028" s="4" t="s">
        <v>424</v>
      </c>
      <c r="Q1028" s="4"/>
      <c r="R1028" s="16">
        <v>11000000</v>
      </c>
      <c r="S1028" s="6">
        <v>11000000</v>
      </c>
      <c r="T1028" s="16">
        <v>11000000</v>
      </c>
      <c r="U1028" s="6">
        <v>11000000</v>
      </c>
      <c r="V1028" s="4">
        <v>2010.5</v>
      </c>
      <c r="W1028" s="4" t="s">
        <v>425</v>
      </c>
      <c r="X1028" s="4"/>
      <c r="Y1028" s="7">
        <v>1</v>
      </c>
      <c r="Z1028" s="8">
        <v>5600832</v>
      </c>
      <c r="AA1028" s="7" t="s">
        <v>92</v>
      </c>
      <c r="AB1028" s="7"/>
      <c r="AC1028" s="9">
        <v>2</v>
      </c>
      <c r="AD1028" s="10">
        <v>2234610</v>
      </c>
      <c r="AE1028" s="9" t="s">
        <v>92</v>
      </c>
      <c r="AF1028" s="9" t="s">
        <v>4262</v>
      </c>
      <c r="AG1028" s="11">
        <v>3</v>
      </c>
      <c r="AH1028" s="11" t="s">
        <v>518</v>
      </c>
      <c r="AI1028" s="11" t="s">
        <v>4263</v>
      </c>
      <c r="AJ1028" s="11">
        <v>2</v>
      </c>
      <c r="AK1028" s="11" t="s">
        <v>132</v>
      </c>
      <c r="AL1028" s="12">
        <v>2</v>
      </c>
      <c r="AM1028" s="12" t="s">
        <v>131</v>
      </c>
      <c r="AN1028" s="12"/>
      <c r="AO1028" s="12">
        <v>2</v>
      </c>
      <c r="AP1028" s="12" t="s">
        <v>132</v>
      </c>
      <c r="AQ1028" s="4">
        <v>4</v>
      </c>
      <c r="AR1028" s="4" t="s">
        <v>133</v>
      </c>
      <c r="AS1028" s="4"/>
      <c r="AT1028" s="13">
        <v>-34.971382141113303</v>
      </c>
      <c r="AU1028" s="13">
        <v>-0.84234839677810702</v>
      </c>
      <c r="AV1028" s="13">
        <v>-1.25</v>
      </c>
      <c r="AW1028" s="13">
        <v>-0.473601013422012</v>
      </c>
      <c r="AX1028" s="4">
        <v>1</v>
      </c>
      <c r="AY1028" s="13">
        <v>-18.822975158691399</v>
      </c>
      <c r="AZ1028" s="13">
        <v>-2.06515669822693</v>
      </c>
      <c r="BA1028" s="13">
        <v>-2.8099999427795401</v>
      </c>
      <c r="BB1028" s="13">
        <v>-1.37999999523163</v>
      </c>
      <c r="BC1028" s="4">
        <v>1</v>
      </c>
      <c r="BD1028" s="4">
        <v>10</v>
      </c>
      <c r="BE1028" s="4" t="s">
        <v>134</v>
      </c>
      <c r="BF1028" s="13">
        <v>0.77639901638030995</v>
      </c>
      <c r="BG1028" s="4">
        <v>1750</v>
      </c>
      <c r="BH1028" s="13">
        <v>4.8699998855590803</v>
      </c>
      <c r="BI1028" s="13">
        <v>8521.1201171875</v>
      </c>
      <c r="BJ1028" s="4"/>
      <c r="BK1028" s="14">
        <v>10</v>
      </c>
      <c r="BL1028" s="14">
        <v>10</v>
      </c>
      <c r="BM1028" s="14">
        <v>10</v>
      </c>
      <c r="BP1028" s="15"/>
      <c r="BQ1028" s="15" t="s">
        <v>146</v>
      </c>
      <c r="BR1028" s="2" t="s">
        <v>457</v>
      </c>
      <c r="BS1028" s="2" t="s">
        <v>108</v>
      </c>
      <c r="BT1028" s="7" t="s">
        <v>458</v>
      </c>
      <c r="BU1028" s="7"/>
      <c r="BV1028" s="9" t="s">
        <v>458</v>
      </c>
      <c r="BW1028" s="9"/>
    </row>
    <row r="1029" spans="1:75" ht="14.25" customHeight="1" x14ac:dyDescent="0.25">
      <c r="A1029" s="1">
        <v>1842</v>
      </c>
      <c r="B1029" s="1" t="s">
        <v>4264</v>
      </c>
      <c r="C1029" s="1" t="s">
        <v>4265</v>
      </c>
      <c r="D1029" s="1" t="s">
        <v>77</v>
      </c>
      <c r="E1029" s="1" t="s">
        <v>2396</v>
      </c>
      <c r="F1029" s="1" t="s">
        <v>4190</v>
      </c>
      <c r="G1029" s="1" t="s">
        <v>118</v>
      </c>
      <c r="H1029" s="2">
        <v>1</v>
      </c>
      <c r="I1029" s="2">
        <v>1</v>
      </c>
      <c r="J1029" s="2">
        <v>1</v>
      </c>
      <c r="K1029" s="2">
        <v>0</v>
      </c>
      <c r="L1029" s="3" t="s">
        <v>127</v>
      </c>
      <c r="O1029" s="4">
        <v>2</v>
      </c>
      <c r="P1029" s="4" t="s">
        <v>425</v>
      </c>
      <c r="Q1029" s="4"/>
      <c r="R1029" s="16">
        <v>12000000</v>
      </c>
      <c r="S1029" s="6">
        <v>12000000</v>
      </c>
      <c r="T1029" s="16">
        <v>12000000</v>
      </c>
      <c r="U1029" s="6">
        <v>12000000</v>
      </c>
      <c r="V1029" s="4">
        <v>2010.5</v>
      </c>
      <c r="W1029" s="4" t="s">
        <v>425</v>
      </c>
      <c r="X1029" s="4"/>
      <c r="Y1029" s="7">
        <v>2</v>
      </c>
      <c r="Z1029" s="8">
        <v>1825915</v>
      </c>
      <c r="AA1029" s="7" t="s">
        <v>92</v>
      </c>
      <c r="AB1029" s="7"/>
      <c r="AC1029" s="9">
        <v>2</v>
      </c>
      <c r="AD1029" s="10">
        <v>1734141</v>
      </c>
      <c r="AE1029" s="9" t="s">
        <v>92</v>
      </c>
      <c r="AF1029" s="9"/>
      <c r="AG1029" s="11">
        <v>3</v>
      </c>
      <c r="AH1029" s="11" t="s">
        <v>131</v>
      </c>
      <c r="AI1029" s="11" t="s">
        <v>4266</v>
      </c>
      <c r="AJ1029" s="11">
        <v>3</v>
      </c>
      <c r="AK1029" s="11" t="s">
        <v>143</v>
      </c>
      <c r="AL1029" s="12">
        <v>3</v>
      </c>
      <c r="AM1029" s="12" t="s">
        <v>131</v>
      </c>
      <c r="AN1029" s="12"/>
      <c r="AO1029" s="12">
        <v>2</v>
      </c>
      <c r="AP1029" s="12" t="s">
        <v>143</v>
      </c>
      <c r="AQ1029" s="4">
        <v>5</v>
      </c>
      <c r="AR1029" s="4" t="s">
        <v>133</v>
      </c>
      <c r="AS1029" s="4"/>
      <c r="AT1029" s="13">
        <v>-87.250938415527301</v>
      </c>
      <c r="AU1029" s="13">
        <v>-3.9596281051635702</v>
      </c>
      <c r="AV1029" s="13">
        <v>-5.7300000190734899</v>
      </c>
      <c r="AW1029" s="13">
        <v>-2.4495010375976598</v>
      </c>
      <c r="AX1029" s="4">
        <v>1</v>
      </c>
      <c r="AY1029" s="13">
        <v>-44.702938079833999</v>
      </c>
      <c r="AZ1029" s="13">
        <v>-5.7516942024231001</v>
      </c>
      <c r="BA1029" s="13">
        <v>-9.0299997329711896</v>
      </c>
      <c r="BB1029" s="13">
        <v>-3.0415000915527299</v>
      </c>
      <c r="BC1029" s="4">
        <v>1</v>
      </c>
      <c r="BD1029" s="4">
        <v>10</v>
      </c>
      <c r="BE1029" s="4" t="s">
        <v>134</v>
      </c>
      <c r="BF1029" s="13">
        <v>3.2804989814758301</v>
      </c>
      <c r="BG1029" s="4">
        <v>585.5</v>
      </c>
      <c r="BH1029" s="13">
        <v>127.88500213623</v>
      </c>
      <c r="BI1029" s="13">
        <v>74831.671875</v>
      </c>
      <c r="BJ1029" s="4">
        <v>12</v>
      </c>
      <c r="BK1029" s="14">
        <v>12</v>
      </c>
      <c r="BL1029" s="14">
        <v>12</v>
      </c>
      <c r="BM1029" s="14">
        <v>12</v>
      </c>
      <c r="BN1029" s="3" t="s">
        <v>302</v>
      </c>
      <c r="BP1029" s="15"/>
      <c r="BQ1029" s="15" t="s">
        <v>136</v>
      </c>
      <c r="BR1029" s="2" t="s">
        <v>457</v>
      </c>
      <c r="BS1029" s="2" t="s">
        <v>297</v>
      </c>
      <c r="BT1029" s="7" t="s">
        <v>585</v>
      </c>
      <c r="BU1029" s="7"/>
      <c r="BV1029" s="9" t="s">
        <v>474</v>
      </c>
      <c r="BW1029" s="9" t="s">
        <v>475</v>
      </c>
    </row>
    <row r="1030" spans="1:75" ht="14.25" customHeight="1" x14ac:dyDescent="0.25">
      <c r="A1030" s="1">
        <v>1843</v>
      </c>
      <c r="B1030" s="1" t="s">
        <v>4267</v>
      </c>
      <c r="C1030" s="1" t="s">
        <v>4268</v>
      </c>
      <c r="D1030" s="1" t="s">
        <v>77</v>
      </c>
      <c r="E1030" s="1" t="s">
        <v>2396</v>
      </c>
      <c r="F1030" s="1" t="s">
        <v>4190</v>
      </c>
      <c r="G1030" s="1"/>
      <c r="H1030" s="2">
        <v>1</v>
      </c>
      <c r="I1030" s="2">
        <v>1</v>
      </c>
      <c r="J1030" s="2">
        <v>1</v>
      </c>
      <c r="K1030" s="2">
        <v>1</v>
      </c>
      <c r="L1030" s="3" t="s">
        <v>127</v>
      </c>
      <c r="O1030" s="4">
        <v>1</v>
      </c>
      <c r="P1030" s="4" t="s">
        <v>1840</v>
      </c>
      <c r="Q1030" s="4"/>
      <c r="R1030" s="16">
        <v>240000000</v>
      </c>
      <c r="S1030" s="6">
        <v>240000000</v>
      </c>
      <c r="T1030" s="16">
        <v>230000000</v>
      </c>
      <c r="U1030" s="6">
        <v>230000000</v>
      </c>
      <c r="V1030" s="4">
        <v>2010.5</v>
      </c>
      <c r="W1030" s="4" t="s">
        <v>579</v>
      </c>
      <c r="X1030" s="4"/>
      <c r="Y1030" s="7">
        <v>1</v>
      </c>
      <c r="Z1030" s="8">
        <v>13328298</v>
      </c>
      <c r="AA1030" s="7" t="s">
        <v>92</v>
      </c>
      <c r="AB1030" s="7"/>
      <c r="AC1030" s="9">
        <v>2</v>
      </c>
      <c r="AD1030" s="10">
        <v>3195124</v>
      </c>
      <c r="AE1030" s="9" t="s">
        <v>92</v>
      </c>
      <c r="AF1030" s="9" t="s">
        <v>4269</v>
      </c>
      <c r="AG1030" s="11">
        <v>3</v>
      </c>
      <c r="AH1030" s="11" t="s">
        <v>518</v>
      </c>
      <c r="AI1030" s="11" t="s">
        <v>4270</v>
      </c>
      <c r="AJ1030" s="11">
        <v>3</v>
      </c>
      <c r="AK1030" s="11" t="s">
        <v>143</v>
      </c>
      <c r="AL1030" s="12">
        <v>2</v>
      </c>
      <c r="AM1030" s="12" t="s">
        <v>131</v>
      </c>
      <c r="AN1030" s="12" t="s">
        <v>4271</v>
      </c>
      <c r="AO1030" s="12">
        <v>2</v>
      </c>
      <c r="AP1030" s="12" t="s">
        <v>132</v>
      </c>
      <c r="AQ1030" s="4">
        <v>4</v>
      </c>
      <c r="AR1030" s="4" t="s">
        <v>133</v>
      </c>
      <c r="AS1030" s="4"/>
      <c r="AT1030" s="13">
        <v>-32.718780517578097</v>
      </c>
      <c r="AU1030" s="13">
        <v>-0.77435266971588101</v>
      </c>
      <c r="AV1030" s="13">
        <v>-1.3899999856948899</v>
      </c>
      <c r="AW1030" s="13">
        <v>-0.374502003192902</v>
      </c>
      <c r="AX1030" s="4">
        <v>1</v>
      </c>
      <c r="AY1030" s="13">
        <v>-24.072017669677699</v>
      </c>
      <c r="AZ1030" s="13">
        <v>-2.71871709823608</v>
      </c>
      <c r="BA1030" s="13">
        <v>-3.4200000762939502</v>
      </c>
      <c r="BB1030" s="13">
        <v>-2.0790989398956299</v>
      </c>
      <c r="BC1030" s="4">
        <v>1</v>
      </c>
      <c r="BD1030" s="4">
        <v>10</v>
      </c>
      <c r="BE1030" s="4" t="s">
        <v>134</v>
      </c>
      <c r="BF1030" s="13">
        <v>1.01549804210663</v>
      </c>
      <c r="BG1030" s="4">
        <v>4123</v>
      </c>
      <c r="BH1030" s="13">
        <v>10.789999961853001</v>
      </c>
      <c r="BI1030" s="13">
        <v>44468.69140625</v>
      </c>
      <c r="BJ1030" s="4"/>
      <c r="BK1030" s="14">
        <v>9</v>
      </c>
      <c r="BL1030" s="14">
        <v>9</v>
      </c>
      <c r="BM1030" s="14">
        <v>9</v>
      </c>
      <c r="BP1030" s="15" t="s">
        <v>135</v>
      </c>
      <c r="BQ1030" s="15"/>
      <c r="BR1030" s="2" t="s">
        <v>172</v>
      </c>
      <c r="BS1030" s="2" t="s">
        <v>172</v>
      </c>
      <c r="BT1030" s="7" t="s">
        <v>509</v>
      </c>
      <c r="BU1030" s="7"/>
      <c r="BV1030" s="9" t="s">
        <v>458</v>
      </c>
      <c r="BW1030" s="9"/>
    </row>
    <row r="1031" spans="1:75" ht="14.25" customHeight="1" x14ac:dyDescent="0.25">
      <c r="A1031" s="1">
        <v>1844</v>
      </c>
      <c r="B1031" s="1" t="s">
        <v>4272</v>
      </c>
      <c r="C1031" s="1" t="s">
        <v>4273</v>
      </c>
      <c r="D1031" s="1" t="s">
        <v>77</v>
      </c>
      <c r="E1031" s="1" t="s">
        <v>2396</v>
      </c>
      <c r="F1031" s="1" t="s">
        <v>4190</v>
      </c>
      <c r="G1031" s="1" t="s">
        <v>118</v>
      </c>
      <c r="H1031" s="2">
        <v>1</v>
      </c>
      <c r="I1031" s="2">
        <v>1</v>
      </c>
      <c r="J1031" s="2">
        <v>1</v>
      </c>
      <c r="K1031" s="2">
        <v>0</v>
      </c>
      <c r="L1031" s="3" t="s">
        <v>127</v>
      </c>
      <c r="O1031" s="4">
        <v>1</v>
      </c>
      <c r="P1031" s="4" t="s">
        <v>579</v>
      </c>
      <c r="Q1031" s="4"/>
      <c r="R1031" s="16">
        <v>60000000</v>
      </c>
      <c r="S1031" s="6">
        <v>60000000</v>
      </c>
      <c r="T1031" s="16">
        <v>60000000</v>
      </c>
      <c r="U1031" s="6">
        <v>60000000</v>
      </c>
      <c r="V1031" s="4">
        <v>2010.5</v>
      </c>
      <c r="W1031" s="4" t="s">
        <v>579</v>
      </c>
      <c r="X1031" s="4"/>
      <c r="Y1031" s="7">
        <v>2</v>
      </c>
      <c r="Z1031" s="8">
        <v>3205847</v>
      </c>
      <c r="AA1031" s="7" t="s">
        <v>92</v>
      </c>
      <c r="AB1031" s="7"/>
      <c r="AC1031" s="9">
        <v>2</v>
      </c>
      <c r="AD1031" s="10">
        <v>1204531</v>
      </c>
      <c r="AE1031" s="9" t="s">
        <v>92</v>
      </c>
      <c r="AF1031" s="9"/>
      <c r="AG1031" s="11">
        <v>3</v>
      </c>
      <c r="AH1031" s="11" t="s">
        <v>131</v>
      </c>
      <c r="AI1031" s="11"/>
      <c r="AJ1031" s="11">
        <v>4</v>
      </c>
      <c r="AK1031" s="11" t="s">
        <v>143</v>
      </c>
      <c r="AL1031" s="12">
        <v>3</v>
      </c>
      <c r="AM1031" s="12" t="s">
        <v>800</v>
      </c>
      <c r="AN1031" s="12" t="s">
        <v>4274</v>
      </c>
      <c r="AO1031" s="12">
        <v>2</v>
      </c>
      <c r="AP1031" s="12" t="s">
        <v>132</v>
      </c>
      <c r="AQ1031" s="4">
        <v>4</v>
      </c>
      <c r="AR1031" s="4" t="s">
        <v>133</v>
      </c>
      <c r="AS1031" s="4"/>
      <c r="AT1031" s="13">
        <v>-43.3907470703125</v>
      </c>
      <c r="AU1031" s="13">
        <v>-1.10881006717682</v>
      </c>
      <c r="AV1031" s="13">
        <v>-1.37999999523163</v>
      </c>
      <c r="AW1031" s="13">
        <v>-0.88200002908706698</v>
      </c>
      <c r="AX1031" s="4">
        <v>1</v>
      </c>
      <c r="AY1031" s="13">
        <v>-18.833459854126001</v>
      </c>
      <c r="AZ1031" s="13">
        <v>-2.0655317306518599</v>
      </c>
      <c r="BA1031" s="13">
        <v>-3.1900000572204599</v>
      </c>
      <c r="BB1031" s="13">
        <v>-1.1629999876022299</v>
      </c>
      <c r="BC1031" s="4">
        <v>1</v>
      </c>
      <c r="BD1031" s="4">
        <v>10</v>
      </c>
      <c r="BE1031" s="4" t="s">
        <v>134</v>
      </c>
      <c r="BF1031" s="13">
        <v>0.49799999594688399</v>
      </c>
      <c r="BG1031" s="4">
        <v>976.5</v>
      </c>
      <c r="BH1031" s="13">
        <v>11.305000305175801</v>
      </c>
      <c r="BI1031" s="13">
        <v>11032.0498046875</v>
      </c>
      <c r="BJ1031" s="4"/>
      <c r="BK1031" s="14">
        <v>10</v>
      </c>
      <c r="BL1031" s="14">
        <v>10</v>
      </c>
      <c r="BM1031" s="14">
        <v>10</v>
      </c>
      <c r="BP1031" s="15"/>
      <c r="BQ1031" s="15" t="s">
        <v>146</v>
      </c>
      <c r="BR1031" s="2" t="s">
        <v>457</v>
      </c>
      <c r="BS1031" s="2" t="s">
        <v>297</v>
      </c>
      <c r="BT1031" s="7" t="s">
        <v>585</v>
      </c>
      <c r="BU1031" s="7" t="s">
        <v>458</v>
      </c>
      <c r="BV1031" s="9" t="s">
        <v>474</v>
      </c>
      <c r="BW1031" s="9" t="s">
        <v>585</v>
      </c>
    </row>
    <row r="1032" spans="1:75" ht="14.25" customHeight="1" x14ac:dyDescent="0.25">
      <c r="A1032" s="1">
        <v>1845</v>
      </c>
      <c r="B1032" s="1" t="s">
        <v>4275</v>
      </c>
      <c r="C1032" s="1" t="s">
        <v>4276</v>
      </c>
      <c r="D1032" s="1" t="s">
        <v>77</v>
      </c>
      <c r="E1032" s="1" t="s">
        <v>2396</v>
      </c>
      <c r="F1032" s="1" t="s">
        <v>4190</v>
      </c>
      <c r="G1032" s="1"/>
      <c r="H1032" s="2">
        <v>0</v>
      </c>
      <c r="I1032" s="2">
        <v>1</v>
      </c>
      <c r="J1032" s="2">
        <v>1</v>
      </c>
      <c r="K1032" s="2">
        <v>0</v>
      </c>
      <c r="L1032" s="3" t="s">
        <v>127</v>
      </c>
      <c r="O1032" s="4">
        <v>3</v>
      </c>
      <c r="P1032" s="4" t="s">
        <v>470</v>
      </c>
      <c r="Q1032" s="4"/>
      <c r="R1032" s="16">
        <v>1100000</v>
      </c>
      <c r="S1032" s="6">
        <v>1100000</v>
      </c>
      <c r="T1032" s="16">
        <v>290000</v>
      </c>
      <c r="U1032" s="6">
        <v>290000</v>
      </c>
      <c r="V1032" s="4">
        <v>2010.5</v>
      </c>
      <c r="W1032" s="4" t="s">
        <v>425</v>
      </c>
      <c r="X1032" s="4"/>
      <c r="Y1032" s="7">
        <v>3</v>
      </c>
      <c r="Z1032" s="8">
        <v>806034</v>
      </c>
      <c r="AA1032" s="7" t="s">
        <v>92</v>
      </c>
      <c r="AB1032" s="7"/>
      <c r="AC1032" s="9">
        <v>3</v>
      </c>
      <c r="AD1032" s="10">
        <v>981585</v>
      </c>
      <c r="AE1032" s="9" t="s">
        <v>92</v>
      </c>
      <c r="AF1032" s="9"/>
      <c r="AG1032" s="11">
        <v>4</v>
      </c>
      <c r="AH1032" s="11" t="s">
        <v>131</v>
      </c>
      <c r="AI1032" s="11"/>
      <c r="AJ1032" s="11">
        <v>4</v>
      </c>
      <c r="AK1032" s="11" t="s">
        <v>143</v>
      </c>
      <c r="AL1032" s="12">
        <v>3</v>
      </c>
      <c r="AM1032" s="12" t="s">
        <v>131</v>
      </c>
      <c r="AN1032" s="12"/>
      <c r="AO1032" s="12">
        <v>2</v>
      </c>
      <c r="AP1032" s="12" t="s">
        <v>143</v>
      </c>
      <c r="AQ1032" s="4">
        <v>5</v>
      </c>
      <c r="AR1032" s="4" t="s">
        <v>133</v>
      </c>
      <c r="AS1032" s="4"/>
      <c r="AT1032" s="13">
        <v>-65.228675842285199</v>
      </c>
      <c r="AU1032" s="13">
        <v>-2.0497026443481401</v>
      </c>
      <c r="AV1032" s="13">
        <v>-2.9100000858306898</v>
      </c>
      <c r="AW1032" s="13">
        <v>-1.1499999761581401</v>
      </c>
      <c r="AX1032" s="4">
        <v>1</v>
      </c>
      <c r="AY1032" s="13">
        <v>-13.7646331787109</v>
      </c>
      <c r="AZ1032" s="13">
        <v>-1.4699547290802</v>
      </c>
      <c r="BA1032" s="13">
        <v>-4.4783000946044904</v>
      </c>
      <c r="BB1032" s="13">
        <v>1.7400000095367401</v>
      </c>
      <c r="BC1032" s="4"/>
      <c r="BD1032" s="4">
        <v>10</v>
      </c>
      <c r="BE1032" s="4" t="s">
        <v>134</v>
      </c>
      <c r="BF1032" s="13">
        <v>1.7599999904632599</v>
      </c>
      <c r="BG1032" s="4">
        <v>87.5</v>
      </c>
      <c r="BH1032" s="13">
        <v>1.1864999532699601</v>
      </c>
      <c r="BI1032" s="13">
        <v>103.592002868652</v>
      </c>
      <c r="BJ1032" s="4"/>
      <c r="BK1032" s="14">
        <v>15</v>
      </c>
      <c r="BL1032" s="14">
        <v>14</v>
      </c>
      <c r="BM1032" s="14">
        <v>15</v>
      </c>
      <c r="BN1032" s="3" t="s">
        <v>113</v>
      </c>
      <c r="BP1032" s="15"/>
      <c r="BQ1032" s="15"/>
      <c r="BR1032" s="2" t="s">
        <v>297</v>
      </c>
      <c r="BS1032" s="2" t="s">
        <v>297</v>
      </c>
      <c r="BT1032" s="7" t="s">
        <v>429</v>
      </c>
      <c r="BU1032" s="7"/>
      <c r="BV1032" s="9" t="s">
        <v>475</v>
      </c>
      <c r="BW1032" s="9" t="s">
        <v>429</v>
      </c>
    </row>
    <row r="1033" spans="1:75" ht="14.25" customHeight="1" x14ac:dyDescent="0.25">
      <c r="A1033" s="1">
        <v>1846</v>
      </c>
      <c r="B1033" s="1" t="s">
        <v>4277</v>
      </c>
      <c r="C1033" s="1" t="s">
        <v>4278</v>
      </c>
      <c r="D1033" s="1" t="s">
        <v>77</v>
      </c>
      <c r="E1033" s="1" t="s">
        <v>2396</v>
      </c>
      <c r="F1033" s="1" t="s">
        <v>4190</v>
      </c>
      <c r="G1033" s="1"/>
      <c r="H1033" s="2">
        <v>1</v>
      </c>
      <c r="I1033" s="2">
        <v>1</v>
      </c>
      <c r="J1033" s="2">
        <v>1</v>
      </c>
      <c r="K1033" s="2">
        <v>0</v>
      </c>
      <c r="L1033" s="3" t="s">
        <v>127</v>
      </c>
      <c r="O1033" s="4">
        <v>2</v>
      </c>
      <c r="P1033" s="4" t="s">
        <v>425</v>
      </c>
      <c r="Q1033" s="4"/>
      <c r="R1033" s="16">
        <v>9300000</v>
      </c>
      <c r="S1033" s="6">
        <v>9300000</v>
      </c>
      <c r="T1033" s="16">
        <v>9300000</v>
      </c>
      <c r="U1033" s="6">
        <v>9300000</v>
      </c>
      <c r="V1033" s="4">
        <v>2010.5</v>
      </c>
      <c r="W1033" s="4" t="s">
        <v>425</v>
      </c>
      <c r="X1033" s="4"/>
      <c r="Y1033" s="7">
        <v>2</v>
      </c>
      <c r="Z1033" s="8">
        <v>3993359</v>
      </c>
      <c r="AA1033" s="7" t="s">
        <v>92</v>
      </c>
      <c r="AB1033" s="7"/>
      <c r="AC1033" s="9">
        <v>2</v>
      </c>
      <c r="AD1033" s="10">
        <v>3185005</v>
      </c>
      <c r="AE1033" s="9" t="s">
        <v>92</v>
      </c>
      <c r="AF1033" s="9"/>
      <c r="AG1033" s="11">
        <v>4</v>
      </c>
      <c r="AH1033" s="11" t="s">
        <v>131</v>
      </c>
      <c r="AI1033" s="11" t="s">
        <v>4279</v>
      </c>
      <c r="AJ1033" s="11">
        <v>4</v>
      </c>
      <c r="AK1033" s="11" t="s">
        <v>143</v>
      </c>
      <c r="AL1033" s="12">
        <v>3</v>
      </c>
      <c r="AM1033" s="12" t="s">
        <v>800</v>
      </c>
      <c r="AN1033" s="12" t="s">
        <v>4280</v>
      </c>
      <c r="AO1033" s="12">
        <v>2</v>
      </c>
      <c r="AP1033" s="12" t="s">
        <v>132</v>
      </c>
      <c r="AQ1033" s="4">
        <v>5</v>
      </c>
      <c r="AR1033" s="4" t="s">
        <v>133</v>
      </c>
      <c r="AS1033" s="4"/>
      <c r="AT1033" s="13">
        <v>-64.240501403808594</v>
      </c>
      <c r="AU1033" s="13">
        <v>-1.99307632446289</v>
      </c>
      <c r="AV1033" s="13">
        <v>-2.2599999904632599</v>
      </c>
      <c r="AW1033" s="13">
        <v>-1.7667000293731701</v>
      </c>
      <c r="AX1033" s="4">
        <v>1</v>
      </c>
      <c r="AY1033" s="13">
        <v>-12.4418592453003</v>
      </c>
      <c r="AZ1033" s="13">
        <v>-1.31906366348267</v>
      </c>
      <c r="BA1033" s="13">
        <v>-1.8600000143051101</v>
      </c>
      <c r="BB1033" s="13">
        <v>-0.88200002908706698</v>
      </c>
      <c r="BC1033" s="4">
        <v>1</v>
      </c>
      <c r="BD1033" s="4">
        <v>10</v>
      </c>
      <c r="BE1033" s="4" t="s">
        <v>134</v>
      </c>
      <c r="BF1033" s="13">
        <v>0.49329999089241</v>
      </c>
      <c r="BG1033" s="4">
        <v>2285</v>
      </c>
      <c r="BH1033" s="13">
        <v>4.9499998092651403</v>
      </c>
      <c r="BI1033" s="13">
        <v>11308.2998046875</v>
      </c>
      <c r="BJ1033" s="4"/>
      <c r="BK1033" s="14">
        <v>13</v>
      </c>
      <c r="BL1033" s="14">
        <v>12</v>
      </c>
      <c r="BM1033" s="14">
        <v>13</v>
      </c>
      <c r="BN1033" s="3" t="s">
        <v>113</v>
      </c>
      <c r="BP1033" s="15"/>
      <c r="BQ1033" s="15" t="s">
        <v>136</v>
      </c>
      <c r="BR1033" s="2" t="s">
        <v>239</v>
      </c>
      <c r="BS1033" s="2" t="s">
        <v>239</v>
      </c>
      <c r="BT1033" s="7" t="s">
        <v>458</v>
      </c>
      <c r="BU1033" s="7" t="s">
        <v>241</v>
      </c>
      <c r="BV1033" s="9" t="s">
        <v>458</v>
      </c>
      <c r="BW1033" s="9"/>
    </row>
    <row r="1034" spans="1:75" ht="14.25" customHeight="1" x14ac:dyDescent="0.25">
      <c r="A1034" s="1">
        <v>1847</v>
      </c>
      <c r="B1034" s="1" t="s">
        <v>4281</v>
      </c>
      <c r="C1034" s="1" t="s">
        <v>4282</v>
      </c>
      <c r="D1034" s="1" t="s">
        <v>77</v>
      </c>
      <c r="E1034" s="1" t="s">
        <v>2396</v>
      </c>
      <c r="F1034" s="1" t="s">
        <v>4190</v>
      </c>
      <c r="G1034" s="1"/>
      <c r="H1034" s="2">
        <v>1</v>
      </c>
      <c r="I1034" s="2">
        <v>1</v>
      </c>
      <c r="J1034" s="2">
        <v>1</v>
      </c>
      <c r="K1034" s="2">
        <v>0</v>
      </c>
      <c r="L1034" s="3" t="s">
        <v>127</v>
      </c>
      <c r="O1034" s="4">
        <v>2</v>
      </c>
      <c r="P1034" s="4" t="s">
        <v>425</v>
      </c>
      <c r="Q1034" s="4"/>
      <c r="R1034" s="16">
        <v>17000000</v>
      </c>
      <c r="S1034" s="6">
        <v>17000000</v>
      </c>
      <c r="T1034" s="16">
        <v>17000000</v>
      </c>
      <c r="U1034" s="6">
        <v>17000000</v>
      </c>
      <c r="V1034" s="4">
        <v>2010.5</v>
      </c>
      <c r="W1034" s="4" t="s">
        <v>425</v>
      </c>
      <c r="X1034" s="4"/>
      <c r="Y1034" s="7">
        <v>2</v>
      </c>
      <c r="Z1034" s="8">
        <v>2821742</v>
      </c>
      <c r="AA1034" s="7" t="s">
        <v>537</v>
      </c>
      <c r="AB1034" s="7" t="s">
        <v>4283</v>
      </c>
      <c r="AC1034" s="9">
        <v>2</v>
      </c>
      <c r="AD1034" s="10">
        <v>1470350</v>
      </c>
      <c r="AE1034" s="9" t="s">
        <v>92</v>
      </c>
      <c r="AF1034" s="9"/>
      <c r="AG1034" s="11">
        <v>3</v>
      </c>
      <c r="AH1034" s="11" t="s">
        <v>131</v>
      </c>
      <c r="AI1034" s="11" t="s">
        <v>4284</v>
      </c>
      <c r="AJ1034" s="11">
        <v>4</v>
      </c>
      <c r="AK1034" s="11" t="s">
        <v>332</v>
      </c>
      <c r="AL1034" s="12">
        <v>3</v>
      </c>
      <c r="AM1034" s="12" t="s">
        <v>800</v>
      </c>
      <c r="AN1034" s="12" t="s">
        <v>4274</v>
      </c>
      <c r="AO1034" s="12">
        <v>2</v>
      </c>
      <c r="AP1034" s="12" t="s">
        <v>143</v>
      </c>
      <c r="AQ1034" s="4">
        <v>5</v>
      </c>
      <c r="AR1034" s="4" t="s">
        <v>133</v>
      </c>
      <c r="AS1034" s="4"/>
      <c r="AT1034" s="13">
        <v>-49.818546295166001</v>
      </c>
      <c r="AU1034" s="13">
        <v>-1.34064912796021</v>
      </c>
      <c r="AV1034" s="13">
        <v>-1.80590200424194</v>
      </c>
      <c r="AW1034" s="13">
        <v>-0.77799999713897705</v>
      </c>
      <c r="AX1034" s="4">
        <v>1</v>
      </c>
      <c r="AY1034" s="13">
        <v>-24.561702728271499</v>
      </c>
      <c r="AZ1034" s="13">
        <v>-2.7758653163909899</v>
      </c>
      <c r="BA1034" s="13">
        <v>-5.1300001144409197</v>
      </c>
      <c r="BB1034" s="13">
        <v>-0.93179899454116799</v>
      </c>
      <c r="BC1034" s="4">
        <v>1</v>
      </c>
      <c r="BD1034" s="4">
        <v>10</v>
      </c>
      <c r="BE1034" s="4" t="s">
        <v>134</v>
      </c>
      <c r="BF1034" s="13">
        <v>1.0279020071029701</v>
      </c>
      <c r="BG1034" s="4">
        <v>740.5</v>
      </c>
      <c r="BH1034" s="13">
        <v>17.844999313354499</v>
      </c>
      <c r="BI1034" s="13">
        <v>13209.35546875</v>
      </c>
      <c r="BJ1034" s="4">
        <v>25</v>
      </c>
      <c r="BK1034" s="14">
        <v>12</v>
      </c>
      <c r="BL1034" s="14">
        <v>12</v>
      </c>
      <c r="BM1034" s="14">
        <v>12</v>
      </c>
      <c r="BN1034" s="3" t="s">
        <v>302</v>
      </c>
      <c r="BP1034" s="15"/>
      <c r="BQ1034" s="15" t="s">
        <v>136</v>
      </c>
      <c r="BR1034" s="2" t="s">
        <v>555</v>
      </c>
      <c r="BS1034" s="2" t="s">
        <v>297</v>
      </c>
      <c r="BT1034" s="7" t="s">
        <v>556</v>
      </c>
      <c r="BU1034" s="7"/>
      <c r="BV1034" s="9" t="s">
        <v>475</v>
      </c>
      <c r="BW1034" s="9"/>
    </row>
    <row r="1035" spans="1:75" ht="14.25" customHeight="1" x14ac:dyDescent="0.25">
      <c r="A1035" s="1">
        <v>1848</v>
      </c>
      <c r="B1035" s="1" t="s">
        <v>4285</v>
      </c>
      <c r="C1035" s="1" t="s">
        <v>4286</v>
      </c>
      <c r="D1035" s="1" t="s">
        <v>77</v>
      </c>
      <c r="E1035" s="1" t="s">
        <v>2396</v>
      </c>
      <c r="F1035" s="1" t="s">
        <v>4190</v>
      </c>
      <c r="G1035" s="1"/>
      <c r="H1035" s="2">
        <v>0</v>
      </c>
      <c r="I1035" s="2">
        <v>0</v>
      </c>
      <c r="J1035" s="2">
        <v>1</v>
      </c>
      <c r="K1035" s="2">
        <v>0</v>
      </c>
      <c r="L1035" s="3" t="s">
        <v>80</v>
      </c>
      <c r="O1035" s="4">
        <v>5</v>
      </c>
      <c r="P1035" s="4" t="s">
        <v>112</v>
      </c>
      <c r="Q1035" s="4"/>
      <c r="R1035" s="5"/>
      <c r="S1035" s="6"/>
      <c r="T1035" s="17"/>
      <c r="U1035" s="6"/>
      <c r="V1035" s="4"/>
      <c r="W1035" s="4"/>
      <c r="X1035" s="4"/>
      <c r="Y1035" s="7">
        <v>5</v>
      </c>
      <c r="Z1035" s="8">
        <v>15215</v>
      </c>
      <c r="AA1035" s="7" t="s">
        <v>4287</v>
      </c>
      <c r="AB1035" s="7" t="s">
        <v>4288</v>
      </c>
      <c r="AC1035" s="9">
        <v>5</v>
      </c>
      <c r="AD1035" s="10">
        <v>15215</v>
      </c>
      <c r="AE1035" s="9" t="s">
        <v>92</v>
      </c>
      <c r="AF1035" s="9" t="s">
        <v>4289</v>
      </c>
      <c r="AG1035" s="11">
        <v>5</v>
      </c>
      <c r="AH1035" s="11" t="s">
        <v>537</v>
      </c>
      <c r="AI1035" s="11" t="s">
        <v>4290</v>
      </c>
      <c r="AJ1035" s="11"/>
      <c r="AK1035" s="11"/>
      <c r="AL1035" s="12">
        <v>4</v>
      </c>
      <c r="AM1035" s="12" t="s">
        <v>93</v>
      </c>
      <c r="AN1035" s="12" t="s">
        <v>4291</v>
      </c>
      <c r="AO1035" s="12"/>
      <c r="AP1035" s="12"/>
      <c r="AQ1035" s="4">
        <v>5</v>
      </c>
      <c r="AR1035" s="4" t="s">
        <v>441</v>
      </c>
      <c r="AS1035" s="4" t="s">
        <v>4292</v>
      </c>
      <c r="AT1035" s="13"/>
      <c r="AU1035" s="13"/>
      <c r="AV1035" s="13"/>
      <c r="AW1035" s="13"/>
      <c r="AX1035" s="4"/>
      <c r="AY1035" s="13"/>
      <c r="AZ1035" s="13"/>
      <c r="BA1035" s="13"/>
      <c r="BB1035" s="13"/>
      <c r="BC1035" s="4"/>
      <c r="BD1035" s="4"/>
      <c r="BE1035" s="4"/>
      <c r="BF1035" s="13"/>
      <c r="BG1035" s="4"/>
      <c r="BH1035" s="13"/>
      <c r="BI1035" s="13"/>
      <c r="BJ1035" s="4"/>
      <c r="BK1035" s="14">
        <v>20</v>
      </c>
      <c r="BL1035" s="14">
        <v>19</v>
      </c>
      <c r="BM1035" s="14">
        <v>20</v>
      </c>
      <c r="BN1035" s="3" t="s">
        <v>312</v>
      </c>
      <c r="BO1035" s="3" t="s">
        <v>414</v>
      </c>
      <c r="BP1035" s="15"/>
      <c r="BQ1035" s="15"/>
      <c r="BR1035" s="2" t="s">
        <v>297</v>
      </c>
      <c r="BS1035" s="2" t="s">
        <v>297</v>
      </c>
      <c r="BT1035" s="7" t="s">
        <v>474</v>
      </c>
      <c r="BU1035" s="7"/>
      <c r="BV1035" s="9" t="s">
        <v>474</v>
      </c>
      <c r="BW1035" s="9"/>
    </row>
    <row r="1036" spans="1:75" ht="14.25" customHeight="1" x14ac:dyDescent="0.25">
      <c r="A1036" s="1">
        <v>1849</v>
      </c>
      <c r="B1036" s="1" t="s">
        <v>4293</v>
      </c>
      <c r="C1036" s="1" t="s">
        <v>4294</v>
      </c>
      <c r="D1036" s="1" t="s">
        <v>77</v>
      </c>
      <c r="E1036" s="1" t="s">
        <v>2396</v>
      </c>
      <c r="F1036" s="1" t="s">
        <v>4190</v>
      </c>
      <c r="G1036" s="1" t="s">
        <v>4295</v>
      </c>
      <c r="H1036" s="2">
        <v>0</v>
      </c>
      <c r="I1036" s="2">
        <v>0</v>
      </c>
      <c r="J1036" s="2">
        <v>0</v>
      </c>
      <c r="K1036" s="2">
        <v>1</v>
      </c>
      <c r="L1036" s="3" t="s">
        <v>80</v>
      </c>
      <c r="O1036" s="4">
        <v>5</v>
      </c>
      <c r="P1036" s="4" t="s">
        <v>81</v>
      </c>
      <c r="Q1036" s="4" t="s">
        <v>4296</v>
      </c>
      <c r="R1036" s="5"/>
      <c r="S1036" s="6"/>
      <c r="T1036" s="17"/>
      <c r="U1036" s="6"/>
      <c r="V1036" s="4"/>
      <c r="W1036" s="4"/>
      <c r="X1036" s="4"/>
      <c r="Y1036" s="7">
        <v>5</v>
      </c>
      <c r="Z1036" s="8">
        <v>3723</v>
      </c>
      <c r="AA1036" s="7" t="s">
        <v>283</v>
      </c>
      <c r="AB1036" s="7"/>
      <c r="AC1036" s="9">
        <v>5</v>
      </c>
      <c r="AD1036" s="10">
        <v>3723</v>
      </c>
      <c r="AE1036" s="9" t="s">
        <v>283</v>
      </c>
      <c r="AF1036" s="9"/>
      <c r="AG1036" s="11">
        <v>3</v>
      </c>
      <c r="AH1036" s="11" t="s">
        <v>83</v>
      </c>
      <c r="AI1036" s="11"/>
      <c r="AJ1036" s="11"/>
      <c r="AK1036" s="11"/>
      <c r="AL1036" s="12">
        <v>3</v>
      </c>
      <c r="AM1036" s="12" t="s">
        <v>83</v>
      </c>
      <c r="AN1036" s="12"/>
      <c r="AO1036" s="12"/>
      <c r="AP1036" s="12"/>
      <c r="AQ1036" s="4">
        <v>3</v>
      </c>
      <c r="AR1036" s="4" t="s">
        <v>83</v>
      </c>
      <c r="AS1036" s="4"/>
      <c r="AT1036" s="13"/>
      <c r="AU1036" s="13"/>
      <c r="AV1036" s="13"/>
      <c r="AW1036" s="13"/>
      <c r="AX1036" s="4"/>
      <c r="AY1036" s="13"/>
      <c r="AZ1036" s="13"/>
      <c r="BA1036" s="13"/>
      <c r="BB1036" s="13"/>
      <c r="BC1036" s="4"/>
      <c r="BD1036" s="4"/>
      <c r="BE1036" s="4"/>
      <c r="BF1036" s="13"/>
      <c r="BG1036" s="4"/>
      <c r="BH1036" s="13"/>
      <c r="BI1036" s="13"/>
      <c r="BJ1036" s="4"/>
      <c r="BK1036" s="14">
        <v>16</v>
      </c>
      <c r="BL1036" s="14">
        <v>16</v>
      </c>
      <c r="BM1036" s="14">
        <v>16</v>
      </c>
      <c r="BN1036" s="3" t="s">
        <v>86</v>
      </c>
      <c r="BP1036" s="15"/>
      <c r="BQ1036" s="15"/>
      <c r="BR1036" s="2" t="s">
        <v>87</v>
      </c>
      <c r="BS1036" s="2" t="s">
        <v>87</v>
      </c>
      <c r="BT1036" s="7" t="s">
        <v>98</v>
      </c>
      <c r="BU1036" s="7"/>
      <c r="BV1036" s="9" t="s">
        <v>98</v>
      </c>
      <c r="BW1036" s="9"/>
    </row>
    <row r="1037" spans="1:75" ht="14.25" customHeight="1" x14ac:dyDescent="0.25">
      <c r="A1037" s="1">
        <v>1851</v>
      </c>
      <c r="B1037" s="1" t="s">
        <v>4297</v>
      </c>
      <c r="C1037" s="1" t="s">
        <v>4298</v>
      </c>
      <c r="D1037" s="1" t="s">
        <v>77</v>
      </c>
      <c r="E1037" s="1" t="s">
        <v>2396</v>
      </c>
      <c r="F1037" s="1" t="s">
        <v>4190</v>
      </c>
      <c r="G1037" s="1"/>
      <c r="H1037" s="2">
        <v>0</v>
      </c>
      <c r="I1037" s="2">
        <v>0</v>
      </c>
      <c r="J1037" s="2">
        <v>1</v>
      </c>
      <c r="K1037" s="2">
        <v>1</v>
      </c>
      <c r="L1037" s="3" t="s">
        <v>80</v>
      </c>
      <c r="O1037" s="4">
        <v>4</v>
      </c>
      <c r="P1037" s="4" t="s">
        <v>112</v>
      </c>
      <c r="Q1037" s="4"/>
      <c r="R1037" s="5"/>
      <c r="S1037" s="6"/>
      <c r="T1037" s="17"/>
      <c r="U1037" s="6"/>
      <c r="V1037" s="4"/>
      <c r="W1037" s="4"/>
      <c r="X1037" s="4"/>
      <c r="Y1037" s="7">
        <v>3</v>
      </c>
      <c r="Z1037" s="8">
        <v>694967</v>
      </c>
      <c r="AA1037" s="7" t="s">
        <v>92</v>
      </c>
      <c r="AB1037" s="7"/>
      <c r="AC1037" s="9">
        <v>3</v>
      </c>
      <c r="AD1037" s="10">
        <v>694967</v>
      </c>
      <c r="AE1037" s="9" t="s">
        <v>92</v>
      </c>
      <c r="AF1037" s="9" t="s">
        <v>4299</v>
      </c>
      <c r="AG1037" s="11">
        <v>4</v>
      </c>
      <c r="AH1037" s="11" t="s">
        <v>93</v>
      </c>
      <c r="AI1037" s="11"/>
      <c r="AJ1037" s="11"/>
      <c r="AK1037" s="11"/>
      <c r="AL1037" s="12">
        <v>4</v>
      </c>
      <c r="AM1037" s="12" t="s">
        <v>93</v>
      </c>
      <c r="AN1037" s="12" t="s">
        <v>3052</v>
      </c>
      <c r="AO1037" s="12"/>
      <c r="AP1037" s="12"/>
      <c r="AQ1037" s="4">
        <v>4</v>
      </c>
      <c r="AR1037" s="4" t="s">
        <v>83</v>
      </c>
      <c r="AS1037" s="4" t="s">
        <v>4300</v>
      </c>
      <c r="AT1037" s="13"/>
      <c r="AU1037" s="13"/>
      <c r="AV1037" s="13"/>
      <c r="AW1037" s="13"/>
      <c r="AX1037" s="4"/>
      <c r="AY1037" s="13"/>
      <c r="AZ1037" s="13"/>
      <c r="BA1037" s="13"/>
      <c r="BB1037" s="13"/>
      <c r="BC1037" s="4"/>
      <c r="BD1037" s="4"/>
      <c r="BE1037" s="4"/>
      <c r="BF1037" s="13"/>
      <c r="BG1037" s="4"/>
      <c r="BH1037" s="13"/>
      <c r="BI1037" s="13"/>
      <c r="BJ1037" s="4"/>
      <c r="BK1037" s="14">
        <v>15</v>
      </c>
      <c r="BL1037" s="14">
        <v>15</v>
      </c>
      <c r="BM1037" s="14">
        <v>15</v>
      </c>
      <c r="BN1037" s="3" t="s">
        <v>86</v>
      </c>
      <c r="BP1037" s="15"/>
      <c r="BQ1037" s="15"/>
      <c r="BR1037" s="2" t="s">
        <v>121</v>
      </c>
      <c r="BS1037" s="2" t="s">
        <v>121</v>
      </c>
      <c r="BT1037" s="7" t="s">
        <v>98</v>
      </c>
      <c r="BU1037" s="7"/>
      <c r="BV1037" s="9" t="s">
        <v>98</v>
      </c>
      <c r="BW1037" s="9"/>
    </row>
    <row r="1038" spans="1:75" ht="14.25" customHeight="1" x14ac:dyDescent="0.25">
      <c r="A1038" s="1">
        <v>1852</v>
      </c>
      <c r="B1038" s="1" t="s">
        <v>4301</v>
      </c>
      <c r="C1038" s="1" t="s">
        <v>4302</v>
      </c>
      <c r="D1038" s="1" t="s">
        <v>77</v>
      </c>
      <c r="E1038" s="1" t="s">
        <v>2396</v>
      </c>
      <c r="F1038" s="1" t="s">
        <v>4190</v>
      </c>
      <c r="G1038" s="1" t="s">
        <v>118</v>
      </c>
      <c r="H1038" s="2">
        <v>0</v>
      </c>
      <c r="I1038" s="2">
        <v>0</v>
      </c>
      <c r="J1038" s="2">
        <v>1</v>
      </c>
      <c r="K1038" s="2">
        <v>0</v>
      </c>
      <c r="L1038" s="3" t="s">
        <v>80</v>
      </c>
      <c r="O1038" s="4">
        <v>5</v>
      </c>
      <c r="P1038" s="4" t="s">
        <v>112</v>
      </c>
      <c r="Q1038" s="4"/>
      <c r="R1038" s="5"/>
      <c r="S1038" s="6"/>
      <c r="T1038" s="17"/>
      <c r="U1038" s="6"/>
      <c r="V1038" s="4"/>
      <c r="W1038" s="4"/>
      <c r="X1038" s="4"/>
      <c r="Y1038" s="7">
        <v>5</v>
      </c>
      <c r="Z1038" s="8">
        <v>79799</v>
      </c>
      <c r="AA1038" s="7" t="s">
        <v>92</v>
      </c>
      <c r="AB1038" s="7"/>
      <c r="AC1038" s="9">
        <v>5</v>
      </c>
      <c r="AD1038" s="10">
        <v>79799</v>
      </c>
      <c r="AE1038" s="9" t="s">
        <v>92</v>
      </c>
      <c r="AF1038" s="9"/>
      <c r="AG1038" s="11">
        <v>3</v>
      </c>
      <c r="AH1038" s="11" t="s">
        <v>93</v>
      </c>
      <c r="AI1038" s="11"/>
      <c r="AJ1038" s="11"/>
      <c r="AK1038" s="11"/>
      <c r="AL1038" s="12">
        <v>3</v>
      </c>
      <c r="AM1038" s="12" t="s">
        <v>93</v>
      </c>
      <c r="AN1038" s="12" t="s">
        <v>4303</v>
      </c>
      <c r="AO1038" s="12"/>
      <c r="AP1038" s="12"/>
      <c r="AQ1038" s="4">
        <v>4</v>
      </c>
      <c r="AR1038" s="4" t="s">
        <v>93</v>
      </c>
      <c r="AS1038" s="4"/>
      <c r="AT1038" s="13"/>
      <c r="AU1038" s="13"/>
      <c r="AV1038" s="13"/>
      <c r="AW1038" s="13"/>
      <c r="AX1038" s="4"/>
      <c r="AY1038" s="13"/>
      <c r="AZ1038" s="13"/>
      <c r="BA1038" s="13"/>
      <c r="BB1038" s="13"/>
      <c r="BC1038" s="4"/>
      <c r="BD1038" s="4"/>
      <c r="BE1038" s="4"/>
      <c r="BF1038" s="13"/>
      <c r="BG1038" s="4"/>
      <c r="BH1038" s="13"/>
      <c r="BI1038" s="13"/>
      <c r="BJ1038" s="4"/>
      <c r="BK1038" s="14">
        <v>17</v>
      </c>
      <c r="BL1038" s="14">
        <v>17</v>
      </c>
      <c r="BM1038" s="14">
        <v>17</v>
      </c>
      <c r="BN1038" s="3" t="s">
        <v>312</v>
      </c>
      <c r="BP1038" s="15"/>
      <c r="BQ1038" s="15"/>
      <c r="BR1038" s="2" t="s">
        <v>409</v>
      </c>
      <c r="BS1038" s="2" t="s">
        <v>409</v>
      </c>
      <c r="BT1038" s="7" t="s">
        <v>437</v>
      </c>
      <c r="BU1038" s="7"/>
      <c r="BV1038" s="9" t="s">
        <v>437</v>
      </c>
      <c r="BW1038" s="9"/>
    </row>
    <row r="1039" spans="1:75" ht="14.25" customHeight="1" x14ac:dyDescent="0.25">
      <c r="A1039" s="1">
        <v>1853</v>
      </c>
      <c r="B1039" s="1" t="s">
        <v>4304</v>
      </c>
      <c r="C1039" s="1" t="s">
        <v>4305</v>
      </c>
      <c r="D1039" s="1" t="s">
        <v>77</v>
      </c>
      <c r="E1039" s="1" t="s">
        <v>2396</v>
      </c>
      <c r="F1039" s="1" t="s">
        <v>4190</v>
      </c>
      <c r="G1039" s="1"/>
      <c r="H1039" s="2">
        <v>0</v>
      </c>
      <c r="I1039" s="2">
        <v>0</v>
      </c>
      <c r="J1039" s="2">
        <v>1</v>
      </c>
      <c r="K1039" s="2">
        <v>1</v>
      </c>
      <c r="L1039" s="3" t="s">
        <v>80</v>
      </c>
      <c r="O1039" s="4">
        <v>3</v>
      </c>
      <c r="P1039" s="4" t="s">
        <v>112</v>
      </c>
      <c r="Q1039" s="4"/>
      <c r="R1039" s="5"/>
      <c r="S1039" s="6"/>
      <c r="T1039" s="17"/>
      <c r="U1039" s="6"/>
      <c r="V1039" s="4"/>
      <c r="W1039" s="4"/>
      <c r="X1039" s="4"/>
      <c r="Y1039" s="7">
        <v>3</v>
      </c>
      <c r="Z1039" s="8">
        <v>618369</v>
      </c>
      <c r="AA1039" s="7" t="s">
        <v>92</v>
      </c>
      <c r="AB1039" s="7"/>
      <c r="AC1039" s="9">
        <v>3</v>
      </c>
      <c r="AD1039" s="10">
        <v>618369</v>
      </c>
      <c r="AE1039" s="9" t="s">
        <v>92</v>
      </c>
      <c r="AF1039" s="9" t="s">
        <v>4299</v>
      </c>
      <c r="AG1039" s="11">
        <v>4</v>
      </c>
      <c r="AH1039" s="11" t="s">
        <v>93</v>
      </c>
      <c r="AI1039" s="11"/>
      <c r="AJ1039" s="11"/>
      <c r="AK1039" s="11"/>
      <c r="AL1039" s="12">
        <v>4</v>
      </c>
      <c r="AM1039" s="12" t="s">
        <v>93</v>
      </c>
      <c r="AN1039" s="12" t="s">
        <v>3849</v>
      </c>
      <c r="AO1039" s="12"/>
      <c r="AP1039" s="12"/>
      <c r="AQ1039" s="4">
        <v>4</v>
      </c>
      <c r="AR1039" s="4" t="s">
        <v>83</v>
      </c>
      <c r="AS1039" s="4"/>
      <c r="AT1039" s="13"/>
      <c r="AU1039" s="13"/>
      <c r="AV1039" s="13"/>
      <c r="AW1039" s="13"/>
      <c r="AX1039" s="4"/>
      <c r="AY1039" s="13"/>
      <c r="AZ1039" s="13"/>
      <c r="BA1039" s="13"/>
      <c r="BB1039" s="13"/>
      <c r="BC1039" s="4"/>
      <c r="BD1039" s="4"/>
      <c r="BE1039" s="4"/>
      <c r="BF1039" s="13"/>
      <c r="BG1039" s="4"/>
      <c r="BH1039" s="13"/>
      <c r="BI1039" s="13"/>
      <c r="BJ1039" s="4"/>
      <c r="BK1039" s="14">
        <v>14</v>
      </c>
      <c r="BL1039" s="14">
        <v>14</v>
      </c>
      <c r="BM1039" s="14">
        <v>14</v>
      </c>
      <c r="BN1039" s="3" t="s">
        <v>86</v>
      </c>
      <c r="BP1039" s="15"/>
      <c r="BQ1039" s="15"/>
      <c r="BR1039" s="2" t="s">
        <v>87</v>
      </c>
      <c r="BS1039" s="2" t="s">
        <v>87</v>
      </c>
      <c r="BT1039" s="7" t="s">
        <v>88</v>
      </c>
      <c r="BU1039" s="7"/>
      <c r="BV1039" s="9" t="s">
        <v>88</v>
      </c>
      <c r="BW1039" s="9"/>
    </row>
    <row r="1040" spans="1:75" ht="14.25" customHeight="1" x14ac:dyDescent="0.25">
      <c r="A1040" s="1">
        <v>1854</v>
      </c>
      <c r="B1040" s="1" t="s">
        <v>4306</v>
      </c>
      <c r="C1040" s="1" t="s">
        <v>4307</v>
      </c>
      <c r="D1040" s="1" t="s">
        <v>77</v>
      </c>
      <c r="E1040" s="1" t="s">
        <v>2396</v>
      </c>
      <c r="F1040" s="1" t="s">
        <v>4190</v>
      </c>
      <c r="G1040" s="1" t="s">
        <v>118</v>
      </c>
      <c r="H1040" s="2">
        <v>0</v>
      </c>
      <c r="I1040" s="2">
        <v>0</v>
      </c>
      <c r="J1040" s="2">
        <v>0</v>
      </c>
      <c r="K1040" s="2">
        <v>1</v>
      </c>
      <c r="L1040" s="3" t="s">
        <v>80</v>
      </c>
      <c r="O1040" s="4">
        <v>4</v>
      </c>
      <c r="P1040" s="4" t="s">
        <v>81</v>
      </c>
      <c r="Q1040" s="4"/>
      <c r="R1040" s="5"/>
      <c r="S1040" s="6"/>
      <c r="T1040" s="17"/>
      <c r="U1040" s="6"/>
      <c r="V1040" s="4"/>
      <c r="W1040" s="4"/>
      <c r="X1040" s="4"/>
      <c r="Y1040" s="7">
        <v>5</v>
      </c>
      <c r="Z1040" s="8">
        <v>9544</v>
      </c>
      <c r="AA1040" s="7" t="s">
        <v>82</v>
      </c>
      <c r="AB1040" s="7"/>
      <c r="AC1040" s="9">
        <v>5</v>
      </c>
      <c r="AD1040" s="10">
        <v>9544</v>
      </c>
      <c r="AE1040" s="9" t="s">
        <v>82</v>
      </c>
      <c r="AF1040" s="9"/>
      <c r="AG1040" s="11">
        <v>3</v>
      </c>
      <c r="AH1040" s="11" t="s">
        <v>83</v>
      </c>
      <c r="AI1040" s="11"/>
      <c r="AJ1040" s="11"/>
      <c r="AK1040" s="11"/>
      <c r="AL1040" s="12">
        <v>3</v>
      </c>
      <c r="AM1040" s="12" t="s">
        <v>83</v>
      </c>
      <c r="AN1040" s="12"/>
      <c r="AO1040" s="12"/>
      <c r="AP1040" s="12"/>
      <c r="AQ1040" s="4">
        <v>3</v>
      </c>
      <c r="AR1040" s="4" t="s">
        <v>83</v>
      </c>
      <c r="AS1040" s="4"/>
      <c r="AT1040" s="13"/>
      <c r="AU1040" s="13"/>
      <c r="AV1040" s="13"/>
      <c r="AW1040" s="13"/>
      <c r="AX1040" s="4"/>
      <c r="AY1040" s="13"/>
      <c r="AZ1040" s="13"/>
      <c r="BA1040" s="13"/>
      <c r="BB1040" s="13"/>
      <c r="BC1040" s="4"/>
      <c r="BD1040" s="4"/>
      <c r="BE1040" s="4"/>
      <c r="BF1040" s="13"/>
      <c r="BG1040" s="4"/>
      <c r="BH1040" s="13"/>
      <c r="BI1040" s="13"/>
      <c r="BJ1040" s="4"/>
      <c r="BK1040" s="14">
        <v>15</v>
      </c>
      <c r="BL1040" s="14">
        <v>15</v>
      </c>
      <c r="BM1040" s="14">
        <v>15</v>
      </c>
      <c r="BN1040" s="3" t="s">
        <v>86</v>
      </c>
      <c r="BP1040" s="15"/>
      <c r="BQ1040" s="15"/>
      <c r="BR1040" s="2" t="s">
        <v>87</v>
      </c>
      <c r="BS1040" s="2" t="s">
        <v>87</v>
      </c>
      <c r="BT1040" s="7" t="s">
        <v>88</v>
      </c>
      <c r="BU1040" s="7"/>
      <c r="BV1040" s="9" t="s">
        <v>88</v>
      </c>
      <c r="BW1040" s="9"/>
    </row>
    <row r="1041" spans="1:75" ht="14.25" customHeight="1" x14ac:dyDescent="0.25">
      <c r="A1041" s="1">
        <v>1855</v>
      </c>
      <c r="B1041" s="1" t="s">
        <v>4308</v>
      </c>
      <c r="C1041" s="1" t="s">
        <v>4309</v>
      </c>
      <c r="D1041" s="1" t="s">
        <v>77</v>
      </c>
      <c r="E1041" s="1" t="s">
        <v>2396</v>
      </c>
      <c r="F1041" s="1" t="s">
        <v>4190</v>
      </c>
      <c r="G1041" s="1"/>
      <c r="H1041" s="2">
        <v>1</v>
      </c>
      <c r="I1041" s="2">
        <v>1</v>
      </c>
      <c r="J1041" s="2">
        <v>1</v>
      </c>
      <c r="K1041" s="2">
        <v>0</v>
      </c>
      <c r="L1041" s="3" t="s">
        <v>127</v>
      </c>
      <c r="O1041" s="4">
        <v>2</v>
      </c>
      <c r="P1041" s="4" t="s">
        <v>1919</v>
      </c>
      <c r="Q1041" s="4"/>
      <c r="R1041" s="16">
        <v>35000000</v>
      </c>
      <c r="S1041" s="6">
        <v>35000000</v>
      </c>
      <c r="T1041" s="16">
        <v>35000000</v>
      </c>
      <c r="U1041" s="6">
        <v>35000000</v>
      </c>
      <c r="V1041" s="4">
        <v>2010.5</v>
      </c>
      <c r="W1041" s="4" t="s">
        <v>1919</v>
      </c>
      <c r="X1041" s="4"/>
      <c r="Y1041" s="7">
        <v>1</v>
      </c>
      <c r="Z1041" s="8">
        <v>7508136</v>
      </c>
      <c r="AA1041" s="7" t="s">
        <v>92</v>
      </c>
      <c r="AB1041" s="7"/>
      <c r="AC1041" s="9">
        <v>2</v>
      </c>
      <c r="AD1041" s="10">
        <v>3430988</v>
      </c>
      <c r="AE1041" s="9" t="s">
        <v>92</v>
      </c>
      <c r="AF1041" s="9"/>
      <c r="AG1041" s="11">
        <v>3</v>
      </c>
      <c r="AH1041" s="11" t="s">
        <v>131</v>
      </c>
      <c r="AI1041" s="11"/>
      <c r="AJ1041" s="11">
        <v>4</v>
      </c>
      <c r="AK1041" s="11" t="s">
        <v>332</v>
      </c>
      <c r="AL1041" s="12">
        <v>3</v>
      </c>
      <c r="AM1041" s="12" t="s">
        <v>131</v>
      </c>
      <c r="AN1041" s="12"/>
      <c r="AO1041" s="12">
        <v>3</v>
      </c>
      <c r="AP1041" s="12" t="s">
        <v>132</v>
      </c>
      <c r="AQ1041" s="4">
        <v>2</v>
      </c>
      <c r="AR1041" s="4" t="s">
        <v>133</v>
      </c>
      <c r="AS1041" s="4"/>
      <c r="AT1041" s="13">
        <v>32.259357452392599</v>
      </c>
      <c r="AU1041" s="13">
        <v>0.55288213491439797</v>
      </c>
      <c r="AV1041" s="13">
        <v>-0.98490101099014304</v>
      </c>
      <c r="AW1041" s="13">
        <v>2.5899999141693102</v>
      </c>
      <c r="AX1041" s="4"/>
      <c r="AY1041" s="13">
        <v>-19.058525085449201</v>
      </c>
      <c r="AZ1041" s="13">
        <v>-2.0940079689025901</v>
      </c>
      <c r="BA1041" s="13">
        <v>-3.6199998855590798</v>
      </c>
      <c r="BB1041" s="13">
        <v>1.2200000286102299</v>
      </c>
      <c r="BC1041" s="4"/>
      <c r="BD1041" s="4">
        <v>10</v>
      </c>
      <c r="BE1041" s="4" t="s">
        <v>134</v>
      </c>
      <c r="BF1041" s="13">
        <v>3.57490110397339</v>
      </c>
      <c r="BG1041" s="4">
        <v>699</v>
      </c>
      <c r="BH1041" s="13">
        <v>5.0349998474121103</v>
      </c>
      <c r="BI1041" s="13">
        <v>3536.09008789063</v>
      </c>
      <c r="BJ1041" s="4"/>
      <c r="BK1041" s="14">
        <v>8</v>
      </c>
      <c r="BL1041" s="14">
        <v>9</v>
      </c>
      <c r="BM1041" s="14">
        <v>9</v>
      </c>
      <c r="BP1041" s="15"/>
      <c r="BQ1041" s="15"/>
      <c r="BR1041" s="2" t="s">
        <v>172</v>
      </c>
      <c r="BS1041" s="2" t="s">
        <v>172</v>
      </c>
      <c r="BT1041" s="7" t="s">
        <v>527</v>
      </c>
      <c r="BU1041" s="7" t="s">
        <v>428</v>
      </c>
      <c r="BV1041" s="9" t="s">
        <v>241</v>
      </c>
      <c r="BW1041" s="9" t="s">
        <v>429</v>
      </c>
    </row>
    <row r="1042" spans="1:75" ht="14.25" customHeight="1" x14ac:dyDescent="0.25">
      <c r="A1042" s="1">
        <v>1856</v>
      </c>
      <c r="B1042" s="1" t="s">
        <v>4310</v>
      </c>
      <c r="C1042" s="1" t="s">
        <v>4311</v>
      </c>
      <c r="D1042" s="1" t="s">
        <v>77</v>
      </c>
      <c r="E1042" s="1" t="s">
        <v>2396</v>
      </c>
      <c r="F1042" s="1" t="s">
        <v>4190</v>
      </c>
      <c r="G1042" s="1"/>
      <c r="H1042" s="2">
        <v>1</v>
      </c>
      <c r="I1042" s="2">
        <v>1</v>
      </c>
      <c r="J1042" s="2">
        <v>0</v>
      </c>
      <c r="K1042" s="2">
        <v>0</v>
      </c>
      <c r="L1042" s="3" t="s">
        <v>127</v>
      </c>
      <c r="O1042" s="4">
        <v>2</v>
      </c>
      <c r="P1042" s="4" t="s">
        <v>531</v>
      </c>
      <c r="Q1042" s="4"/>
      <c r="R1042" s="16">
        <v>26000000</v>
      </c>
      <c r="S1042" s="6">
        <v>26000000</v>
      </c>
      <c r="T1042" s="16">
        <v>26000000</v>
      </c>
      <c r="U1042" s="6">
        <v>26000000</v>
      </c>
      <c r="V1042" s="4">
        <v>2010.5</v>
      </c>
      <c r="W1042" s="4" t="s">
        <v>531</v>
      </c>
      <c r="X1042" s="4"/>
      <c r="Y1042" s="7">
        <v>1</v>
      </c>
      <c r="Z1042" s="8">
        <v>4950654</v>
      </c>
      <c r="AA1042" s="7" t="s">
        <v>92</v>
      </c>
      <c r="AB1042" s="7"/>
      <c r="AC1042" s="9">
        <v>1</v>
      </c>
      <c r="AD1042" s="10">
        <v>6328413</v>
      </c>
      <c r="AE1042" s="9" t="s">
        <v>92</v>
      </c>
      <c r="AF1042" s="9"/>
      <c r="AG1042" s="11">
        <v>4</v>
      </c>
      <c r="AH1042" s="11" t="s">
        <v>131</v>
      </c>
      <c r="AI1042" s="11"/>
      <c r="AJ1042" s="11">
        <v>5</v>
      </c>
      <c r="AK1042" s="11" t="s">
        <v>143</v>
      </c>
      <c r="AL1042" s="12">
        <v>2</v>
      </c>
      <c r="AM1042" s="12" t="s">
        <v>131</v>
      </c>
      <c r="AN1042" s="12"/>
      <c r="AO1042" s="12">
        <v>2</v>
      </c>
      <c r="AP1042" s="12" t="s">
        <v>132</v>
      </c>
      <c r="AQ1042" s="4">
        <v>5</v>
      </c>
      <c r="AR1042" s="4" t="s">
        <v>222</v>
      </c>
      <c r="AS1042" s="4"/>
      <c r="AT1042" s="13">
        <v>-61.135051727294901</v>
      </c>
      <c r="AU1042" s="13">
        <v>-1.9102483987808201</v>
      </c>
      <c r="AV1042" s="13">
        <v>-2.2000000476837198</v>
      </c>
      <c r="AW1042" s="13">
        <v>-1.70000004768372</v>
      </c>
      <c r="AX1042" s="4">
        <v>1</v>
      </c>
      <c r="AY1042" s="13">
        <v>-17.775312423706101</v>
      </c>
      <c r="AZ1042" s="13">
        <v>-1.9381181001663199</v>
      </c>
      <c r="BA1042" s="13">
        <v>-2.7000000476837198</v>
      </c>
      <c r="BB1042" s="13">
        <v>-1.20000004768372</v>
      </c>
      <c r="BC1042" s="4">
        <v>1</v>
      </c>
      <c r="BD1042" s="4">
        <v>10</v>
      </c>
      <c r="BE1042" s="4"/>
      <c r="BF1042" s="13">
        <v>0.5</v>
      </c>
      <c r="BG1042" s="4"/>
      <c r="BH1042" s="13"/>
      <c r="BI1042" s="13"/>
      <c r="BJ1042" s="4"/>
      <c r="BK1042" s="14">
        <v>12</v>
      </c>
      <c r="BL1042" s="14">
        <v>10</v>
      </c>
      <c r="BM1042" s="14">
        <v>12</v>
      </c>
      <c r="BN1042" s="3" t="s">
        <v>302</v>
      </c>
      <c r="BP1042" s="15"/>
      <c r="BQ1042" s="15"/>
      <c r="BR1042" s="2" t="s">
        <v>161</v>
      </c>
      <c r="BS1042" s="2" t="s">
        <v>172</v>
      </c>
      <c r="BT1042" s="7" t="s">
        <v>174</v>
      </c>
      <c r="BU1042" s="7" t="s">
        <v>527</v>
      </c>
      <c r="BV1042" s="9" t="s">
        <v>458</v>
      </c>
      <c r="BW1042" s="9"/>
    </row>
    <row r="1043" spans="1:75" ht="14.25" customHeight="1" x14ac:dyDescent="0.25">
      <c r="A1043" s="1">
        <v>1857</v>
      </c>
      <c r="B1043" s="1" t="s">
        <v>4312</v>
      </c>
      <c r="C1043" s="1" t="s">
        <v>4313</v>
      </c>
      <c r="D1043" s="1" t="s">
        <v>77</v>
      </c>
      <c r="E1043" s="1" t="s">
        <v>2396</v>
      </c>
      <c r="F1043" s="1" t="s">
        <v>4190</v>
      </c>
      <c r="G1043" s="1" t="s">
        <v>118</v>
      </c>
      <c r="H1043" s="2">
        <v>0</v>
      </c>
      <c r="I1043" s="2">
        <v>0</v>
      </c>
      <c r="J1043" s="2">
        <v>0</v>
      </c>
      <c r="K1043" s="2">
        <v>1</v>
      </c>
      <c r="L1043" s="3" t="s">
        <v>80</v>
      </c>
      <c r="O1043" s="4">
        <v>5</v>
      </c>
      <c r="P1043" s="4" t="s">
        <v>81</v>
      </c>
      <c r="Q1043" s="4"/>
      <c r="R1043" s="5"/>
      <c r="S1043" s="6"/>
      <c r="T1043" s="17"/>
      <c r="U1043" s="6"/>
      <c r="V1043" s="4"/>
      <c r="W1043" s="4"/>
      <c r="X1043" s="4"/>
      <c r="Y1043" s="7">
        <v>5</v>
      </c>
      <c r="Z1043" s="8">
        <v>1041</v>
      </c>
      <c r="AA1043" s="7" t="s">
        <v>82</v>
      </c>
      <c r="AB1043" s="7"/>
      <c r="AC1043" s="9">
        <v>5</v>
      </c>
      <c r="AD1043" s="10">
        <v>1041</v>
      </c>
      <c r="AE1043" s="9" t="s">
        <v>82</v>
      </c>
      <c r="AF1043" s="9"/>
      <c r="AG1043" s="11">
        <v>4</v>
      </c>
      <c r="AH1043" s="11" t="s">
        <v>83</v>
      </c>
      <c r="AI1043" s="11"/>
      <c r="AJ1043" s="11"/>
      <c r="AK1043" s="11"/>
      <c r="AL1043" s="12">
        <v>4</v>
      </c>
      <c r="AM1043" s="12" t="s">
        <v>83</v>
      </c>
      <c r="AN1043" s="12"/>
      <c r="AO1043" s="12"/>
      <c r="AP1043" s="12"/>
      <c r="AQ1043" s="4">
        <v>3</v>
      </c>
      <c r="AR1043" s="4" t="s">
        <v>83</v>
      </c>
      <c r="AS1043" s="4"/>
      <c r="AT1043" s="13"/>
      <c r="AU1043" s="13"/>
      <c r="AV1043" s="13"/>
      <c r="AW1043" s="13"/>
      <c r="AX1043" s="4"/>
      <c r="AY1043" s="13"/>
      <c r="AZ1043" s="13"/>
      <c r="BA1043" s="13"/>
      <c r="BB1043" s="13"/>
      <c r="BC1043" s="4"/>
      <c r="BD1043" s="4"/>
      <c r="BE1043" s="4"/>
      <c r="BF1043" s="13"/>
      <c r="BG1043" s="4"/>
      <c r="BH1043" s="13"/>
      <c r="BI1043" s="13"/>
      <c r="BJ1043" s="4"/>
      <c r="BK1043" s="14">
        <v>17</v>
      </c>
      <c r="BL1043" s="14">
        <v>17</v>
      </c>
      <c r="BM1043" s="14">
        <v>17</v>
      </c>
      <c r="BN1043" s="3" t="s">
        <v>312</v>
      </c>
      <c r="BP1043" s="15"/>
      <c r="BQ1043" s="15"/>
      <c r="BR1043" s="2" t="s">
        <v>87</v>
      </c>
      <c r="BS1043" s="2" t="s">
        <v>87</v>
      </c>
      <c r="BT1043" s="7" t="s">
        <v>927</v>
      </c>
      <c r="BU1043" s="7"/>
      <c r="BV1043" s="9" t="s">
        <v>927</v>
      </c>
      <c r="BW1043" s="9"/>
    </row>
    <row r="1044" spans="1:75" ht="14.25" customHeight="1" x14ac:dyDescent="0.25">
      <c r="A1044" s="1">
        <v>1858</v>
      </c>
      <c r="B1044" s="1" t="s">
        <v>4314</v>
      </c>
      <c r="C1044" s="1" t="s">
        <v>4315</v>
      </c>
      <c r="D1044" s="1" t="s">
        <v>77</v>
      </c>
      <c r="E1044" s="1" t="s">
        <v>2396</v>
      </c>
      <c r="F1044" s="1" t="s">
        <v>4190</v>
      </c>
      <c r="G1044" s="1"/>
      <c r="H1044" s="2">
        <v>0</v>
      </c>
      <c r="I1044" s="2">
        <v>0</v>
      </c>
      <c r="J1044" s="2">
        <v>1</v>
      </c>
      <c r="K1044" s="2">
        <v>0</v>
      </c>
      <c r="L1044" s="3" t="s">
        <v>80</v>
      </c>
      <c r="O1044" s="4">
        <v>5</v>
      </c>
      <c r="P1044" s="4" t="s">
        <v>2975</v>
      </c>
      <c r="Q1044" s="4"/>
      <c r="R1044" s="5"/>
      <c r="S1044" s="6"/>
      <c r="T1044" s="17"/>
      <c r="U1044" s="6"/>
      <c r="V1044" s="4"/>
      <c r="W1044" s="4"/>
      <c r="X1044" s="4"/>
      <c r="Y1044" s="7">
        <v>5</v>
      </c>
      <c r="Z1044" s="8"/>
      <c r="AA1044" s="7" t="s">
        <v>2976</v>
      </c>
      <c r="AB1044" s="7"/>
      <c r="AC1044" s="9">
        <v>5</v>
      </c>
      <c r="AD1044" s="10"/>
      <c r="AE1044" s="9" t="s">
        <v>2976</v>
      </c>
      <c r="AF1044" s="9"/>
      <c r="AG1044" s="11">
        <v>4</v>
      </c>
      <c r="AH1044" s="11" t="s">
        <v>2976</v>
      </c>
      <c r="AI1044" s="11"/>
      <c r="AJ1044" s="11"/>
      <c r="AK1044" s="11"/>
      <c r="AL1044" s="12">
        <v>4</v>
      </c>
      <c r="AM1044" s="12" t="s">
        <v>2976</v>
      </c>
      <c r="AN1044" s="12"/>
      <c r="AO1044" s="12"/>
      <c r="AP1044" s="12"/>
      <c r="AQ1044" s="4">
        <v>5</v>
      </c>
      <c r="AR1044" s="4" t="s">
        <v>93</v>
      </c>
      <c r="AS1044" s="4"/>
      <c r="AT1044" s="13"/>
      <c r="AU1044" s="13"/>
      <c r="AV1044" s="13"/>
      <c r="AW1044" s="13"/>
      <c r="AX1044" s="4"/>
      <c r="AY1044" s="13"/>
      <c r="AZ1044" s="13"/>
      <c r="BA1044" s="13"/>
      <c r="BB1044" s="13"/>
      <c r="BC1044" s="4"/>
      <c r="BD1044" s="4"/>
      <c r="BE1044" s="4"/>
      <c r="BF1044" s="13"/>
      <c r="BG1044" s="4"/>
      <c r="BH1044" s="13"/>
      <c r="BI1044" s="13"/>
      <c r="BJ1044" s="4"/>
      <c r="BK1044" s="14">
        <v>19</v>
      </c>
      <c r="BL1044" s="14">
        <v>19</v>
      </c>
      <c r="BM1044" s="14">
        <v>19</v>
      </c>
      <c r="BN1044" s="3" t="s">
        <v>312</v>
      </c>
      <c r="BO1044" s="3" t="s">
        <v>414</v>
      </c>
      <c r="BP1044" s="15"/>
      <c r="BQ1044" s="15"/>
      <c r="BR1044" s="2" t="s">
        <v>108</v>
      </c>
      <c r="BS1044" s="2" t="s">
        <v>108</v>
      </c>
      <c r="BT1044" s="7" t="s">
        <v>760</v>
      </c>
      <c r="BU1044" s="7"/>
      <c r="BV1044" s="9" t="s">
        <v>760</v>
      </c>
      <c r="BW1044" s="9"/>
    </row>
    <row r="1045" spans="1:75" ht="14.25" customHeight="1" x14ac:dyDescent="0.25">
      <c r="A1045" s="1">
        <v>1859</v>
      </c>
      <c r="B1045" s="1" t="s">
        <v>4316</v>
      </c>
      <c r="C1045" s="1" t="s">
        <v>4317</v>
      </c>
      <c r="D1045" s="1" t="s">
        <v>77</v>
      </c>
      <c r="E1045" s="1" t="s">
        <v>2396</v>
      </c>
      <c r="F1045" s="1" t="s">
        <v>4190</v>
      </c>
      <c r="G1045" s="1"/>
      <c r="H1045" s="2">
        <v>1</v>
      </c>
      <c r="I1045" s="2">
        <v>1</v>
      </c>
      <c r="J1045" s="2">
        <v>1</v>
      </c>
      <c r="K1045" s="2">
        <v>0</v>
      </c>
      <c r="L1045" s="3" t="s">
        <v>127</v>
      </c>
      <c r="O1045" s="4">
        <v>1</v>
      </c>
      <c r="P1045" s="4" t="s">
        <v>4318</v>
      </c>
      <c r="Q1045" s="4"/>
      <c r="R1045" s="16">
        <v>220000000</v>
      </c>
      <c r="S1045" s="6">
        <v>220000000</v>
      </c>
      <c r="T1045" s="16">
        <v>220000000</v>
      </c>
      <c r="U1045" s="6">
        <v>220000000</v>
      </c>
      <c r="V1045" s="4">
        <v>2010.5</v>
      </c>
      <c r="W1045" s="4" t="s">
        <v>1919</v>
      </c>
      <c r="X1045" s="4"/>
      <c r="Y1045" s="7">
        <v>1</v>
      </c>
      <c r="Z1045" s="8">
        <v>10123829</v>
      </c>
      <c r="AA1045" s="7" t="s">
        <v>92</v>
      </c>
      <c r="AB1045" s="7"/>
      <c r="AC1045" s="9">
        <v>1</v>
      </c>
      <c r="AD1045" s="10">
        <v>9744972</v>
      </c>
      <c r="AE1045" s="9" t="s">
        <v>92</v>
      </c>
      <c r="AF1045" s="9"/>
      <c r="AG1045" s="11">
        <v>3</v>
      </c>
      <c r="AH1045" s="11" t="s">
        <v>131</v>
      </c>
      <c r="AI1045" s="11"/>
      <c r="AJ1045" s="11">
        <v>3</v>
      </c>
      <c r="AK1045" s="11" t="s">
        <v>143</v>
      </c>
      <c r="AL1045" s="12">
        <v>2</v>
      </c>
      <c r="AM1045" s="12" t="s">
        <v>131</v>
      </c>
      <c r="AN1045" s="12" t="s">
        <v>4319</v>
      </c>
      <c r="AO1045" s="12">
        <v>2</v>
      </c>
      <c r="AP1045" s="12" t="s">
        <v>143</v>
      </c>
      <c r="AQ1045" s="4">
        <v>4</v>
      </c>
      <c r="AR1045" s="4" t="s">
        <v>133</v>
      </c>
      <c r="AS1045" s="4"/>
      <c r="AT1045" s="13">
        <v>-43.641033172607401</v>
      </c>
      <c r="AU1045" s="13">
        <v>-1.1173803806304901</v>
      </c>
      <c r="AV1045" s="13">
        <v>-1.66999995708466</v>
      </c>
      <c r="AW1045" s="13">
        <v>-0.36599999666214</v>
      </c>
      <c r="AX1045" s="4">
        <v>1</v>
      </c>
      <c r="AY1045" s="13">
        <v>-9.7307634353637695</v>
      </c>
      <c r="AZ1045" s="13">
        <v>-1.0185633897781401</v>
      </c>
      <c r="BA1045" s="13">
        <v>-1.9800000190734901</v>
      </c>
      <c r="BB1045" s="13">
        <v>0.66000002622604403</v>
      </c>
      <c r="BC1045" s="4"/>
      <c r="BD1045" s="4">
        <v>10</v>
      </c>
      <c r="BE1045" s="4" t="s">
        <v>134</v>
      </c>
      <c r="BF1045" s="13">
        <v>1.30400002002716</v>
      </c>
      <c r="BG1045" s="4">
        <v>1965</v>
      </c>
      <c r="BH1045" s="13">
        <v>15.289999961853001</v>
      </c>
      <c r="BI1045" s="13">
        <v>30072.83984375</v>
      </c>
      <c r="BJ1045" s="4"/>
      <c r="BK1045" s="14">
        <v>9</v>
      </c>
      <c r="BL1045" s="14">
        <v>8</v>
      </c>
      <c r="BM1045" s="14">
        <v>9</v>
      </c>
      <c r="BP1045" s="15" t="s">
        <v>135</v>
      </c>
      <c r="BQ1045" s="15"/>
      <c r="BR1045" s="2" t="s">
        <v>172</v>
      </c>
      <c r="BS1045" s="2" t="s">
        <v>172</v>
      </c>
      <c r="BT1045" s="7" t="s">
        <v>509</v>
      </c>
      <c r="BU1045" s="7"/>
      <c r="BV1045" s="9" t="s">
        <v>458</v>
      </c>
      <c r="BW1045" s="9"/>
    </row>
    <row r="1046" spans="1:75" ht="14.25" customHeight="1" x14ac:dyDescent="0.25">
      <c r="A1046" s="1">
        <v>1860</v>
      </c>
      <c r="B1046" s="1" t="s">
        <v>4320</v>
      </c>
      <c r="C1046" s="1" t="s">
        <v>4321</v>
      </c>
      <c r="D1046" s="1" t="s">
        <v>77</v>
      </c>
      <c r="E1046" s="1" t="s">
        <v>2396</v>
      </c>
      <c r="F1046" s="1" t="s">
        <v>4190</v>
      </c>
      <c r="G1046" s="1"/>
      <c r="H1046" s="2">
        <v>0</v>
      </c>
      <c r="I1046" s="2">
        <v>1</v>
      </c>
      <c r="J1046" s="2">
        <v>1</v>
      </c>
      <c r="K1046" s="2">
        <v>1</v>
      </c>
      <c r="L1046" s="3" t="s">
        <v>80</v>
      </c>
      <c r="O1046" s="4">
        <v>3</v>
      </c>
      <c r="P1046" s="4" t="s">
        <v>4322</v>
      </c>
      <c r="Q1046" s="4" t="s">
        <v>4323</v>
      </c>
      <c r="R1046" s="16">
        <v>4300000</v>
      </c>
      <c r="S1046" s="6">
        <v>4300000</v>
      </c>
      <c r="T1046" s="16">
        <v>470000</v>
      </c>
      <c r="U1046" s="6">
        <v>470000</v>
      </c>
      <c r="V1046" s="4">
        <v>2010.5</v>
      </c>
      <c r="W1046" s="4" t="s">
        <v>425</v>
      </c>
      <c r="X1046" s="4"/>
      <c r="Y1046" s="7">
        <v>3</v>
      </c>
      <c r="Z1046" s="8">
        <v>473799</v>
      </c>
      <c r="AA1046" s="7" t="s">
        <v>2311</v>
      </c>
      <c r="AB1046" s="7" t="s">
        <v>4324</v>
      </c>
      <c r="AC1046" s="9">
        <v>3</v>
      </c>
      <c r="AD1046" s="10">
        <v>473799</v>
      </c>
      <c r="AE1046" s="9" t="s">
        <v>2311</v>
      </c>
      <c r="AF1046" s="9" t="s">
        <v>4324</v>
      </c>
      <c r="AG1046" s="11">
        <v>4</v>
      </c>
      <c r="AH1046" s="11" t="s">
        <v>4325</v>
      </c>
      <c r="AI1046" s="11" t="s">
        <v>4326</v>
      </c>
      <c r="AJ1046" s="11">
        <v>5</v>
      </c>
      <c r="AK1046" s="11" t="s">
        <v>143</v>
      </c>
      <c r="AL1046" s="12">
        <v>3</v>
      </c>
      <c r="AM1046" s="12" t="s">
        <v>4325</v>
      </c>
      <c r="AN1046" s="12" t="s">
        <v>394</v>
      </c>
      <c r="AO1046" s="12">
        <v>4</v>
      </c>
      <c r="AP1046" s="12" t="s">
        <v>132</v>
      </c>
      <c r="AQ1046" s="4">
        <v>2</v>
      </c>
      <c r="AR1046" s="4" t="s">
        <v>2304</v>
      </c>
      <c r="AS1046" s="4"/>
      <c r="AT1046" s="13"/>
      <c r="AU1046" s="13"/>
      <c r="AV1046" s="13"/>
      <c r="AW1046" s="13"/>
      <c r="AX1046" s="4"/>
      <c r="AY1046" s="13"/>
      <c r="AZ1046" s="13"/>
      <c r="BA1046" s="13"/>
      <c r="BB1046" s="13"/>
      <c r="BC1046" s="4"/>
      <c r="BD1046" s="4"/>
      <c r="BE1046" s="4"/>
      <c r="BF1046" s="13"/>
      <c r="BG1046" s="4"/>
      <c r="BH1046" s="13"/>
      <c r="BI1046" s="13"/>
      <c r="BJ1046" s="4"/>
      <c r="BK1046" s="14">
        <v>12</v>
      </c>
      <c r="BL1046" s="14">
        <v>11</v>
      </c>
      <c r="BM1046" s="14">
        <v>12</v>
      </c>
      <c r="BP1046" s="15"/>
      <c r="BQ1046" s="15"/>
      <c r="BR1046" s="2" t="s">
        <v>409</v>
      </c>
      <c r="BS1046" s="2" t="s">
        <v>409</v>
      </c>
      <c r="BT1046" s="7" t="s">
        <v>437</v>
      </c>
      <c r="BU1046" s="7" t="s">
        <v>438</v>
      </c>
      <c r="BV1046" s="9" t="s">
        <v>437</v>
      </c>
      <c r="BW1046" s="9" t="s">
        <v>438</v>
      </c>
    </row>
    <row r="1047" spans="1:75" ht="14.25" customHeight="1" x14ac:dyDescent="0.25">
      <c r="A1047" s="1">
        <v>1861</v>
      </c>
      <c r="B1047" s="1" t="s">
        <v>4327</v>
      </c>
      <c r="C1047" s="1" t="s">
        <v>4328</v>
      </c>
      <c r="D1047" s="1" t="s">
        <v>77</v>
      </c>
      <c r="E1047" s="1" t="s">
        <v>2396</v>
      </c>
      <c r="F1047" s="1" t="s">
        <v>4190</v>
      </c>
      <c r="G1047" s="1" t="s">
        <v>4329</v>
      </c>
      <c r="H1047" s="2">
        <v>0</v>
      </c>
      <c r="I1047" s="2">
        <v>0</v>
      </c>
      <c r="J1047" s="2">
        <v>1</v>
      </c>
      <c r="K1047" s="2">
        <v>0</v>
      </c>
      <c r="L1047" s="3" t="s">
        <v>80</v>
      </c>
      <c r="O1047" s="4">
        <v>5</v>
      </c>
      <c r="P1047" s="4" t="s">
        <v>2304</v>
      </c>
      <c r="Q1047" s="4"/>
      <c r="R1047" s="5"/>
      <c r="S1047" s="6"/>
      <c r="T1047" s="17"/>
      <c r="U1047" s="6"/>
      <c r="V1047" s="4"/>
      <c r="W1047" s="4"/>
      <c r="X1047" s="4"/>
      <c r="Y1047" s="7">
        <v>5</v>
      </c>
      <c r="Z1047" s="8">
        <v>4799</v>
      </c>
      <c r="AA1047" s="7" t="s">
        <v>4330</v>
      </c>
      <c r="AB1047" s="7"/>
      <c r="AC1047" s="9">
        <v>5</v>
      </c>
      <c r="AD1047" s="10">
        <v>4799</v>
      </c>
      <c r="AE1047" s="9" t="s">
        <v>4330</v>
      </c>
      <c r="AF1047" s="9"/>
      <c r="AG1047" s="11">
        <v>3</v>
      </c>
      <c r="AH1047" s="11" t="s">
        <v>2304</v>
      </c>
      <c r="AI1047" s="11" t="s">
        <v>4331</v>
      </c>
      <c r="AJ1047" s="11"/>
      <c r="AK1047" s="11"/>
      <c r="AL1047" s="12">
        <v>3</v>
      </c>
      <c r="AM1047" s="12" t="s">
        <v>2304</v>
      </c>
      <c r="AN1047" s="12" t="s">
        <v>4332</v>
      </c>
      <c r="AO1047" s="12"/>
      <c r="AP1047" s="12"/>
      <c r="AQ1047" s="4">
        <v>3</v>
      </c>
      <c r="AR1047" s="4" t="s">
        <v>2304</v>
      </c>
      <c r="AS1047" s="4" t="s">
        <v>4333</v>
      </c>
      <c r="AT1047" s="13"/>
      <c r="AU1047" s="13"/>
      <c r="AV1047" s="13"/>
      <c r="AW1047" s="13"/>
      <c r="AX1047" s="4"/>
      <c r="AY1047" s="13"/>
      <c r="AZ1047" s="13"/>
      <c r="BA1047" s="13"/>
      <c r="BB1047" s="13"/>
      <c r="BC1047" s="4"/>
      <c r="BD1047" s="4"/>
      <c r="BE1047" s="4"/>
      <c r="BF1047" s="13"/>
      <c r="BG1047" s="4"/>
      <c r="BH1047" s="13"/>
      <c r="BI1047" s="13"/>
      <c r="BJ1047" s="4"/>
      <c r="BK1047" s="14">
        <v>16</v>
      </c>
      <c r="BL1047" s="14">
        <v>16</v>
      </c>
      <c r="BM1047" s="14">
        <v>16</v>
      </c>
      <c r="BN1047" s="3" t="s">
        <v>86</v>
      </c>
      <c r="BO1047" s="3" t="s">
        <v>120</v>
      </c>
      <c r="BP1047" s="15"/>
      <c r="BQ1047" s="15"/>
      <c r="BR1047" s="2" t="s">
        <v>409</v>
      </c>
      <c r="BS1047" s="2" t="s">
        <v>409</v>
      </c>
      <c r="BT1047" s="7" t="s">
        <v>438</v>
      </c>
      <c r="BU1047" s="7"/>
      <c r="BV1047" s="9" t="s">
        <v>438</v>
      </c>
      <c r="BW1047" s="9"/>
    </row>
    <row r="1048" spans="1:75" ht="14.25" customHeight="1" x14ac:dyDescent="0.25">
      <c r="A1048" s="1">
        <v>1862</v>
      </c>
      <c r="B1048" s="1" t="s">
        <v>4334</v>
      </c>
      <c r="C1048" s="1" t="s">
        <v>4335</v>
      </c>
      <c r="D1048" s="1" t="s">
        <v>77</v>
      </c>
      <c r="E1048" s="1" t="s">
        <v>2396</v>
      </c>
      <c r="F1048" s="1" t="s">
        <v>4190</v>
      </c>
      <c r="G1048" s="1"/>
      <c r="H1048" s="2">
        <v>0</v>
      </c>
      <c r="I1048" s="2">
        <v>0</v>
      </c>
      <c r="J1048" s="2">
        <v>1</v>
      </c>
      <c r="K1048" s="2">
        <v>1</v>
      </c>
      <c r="L1048" s="3" t="s">
        <v>80</v>
      </c>
      <c r="O1048" s="4">
        <v>2</v>
      </c>
      <c r="P1048" s="4" t="s">
        <v>112</v>
      </c>
      <c r="Q1048" s="4"/>
      <c r="R1048" s="5"/>
      <c r="S1048" s="6"/>
      <c r="T1048" s="17"/>
      <c r="U1048" s="6"/>
      <c r="V1048" s="4"/>
      <c r="W1048" s="4"/>
      <c r="X1048" s="4"/>
      <c r="Y1048" s="7">
        <v>1</v>
      </c>
      <c r="Z1048" s="8">
        <v>11347737</v>
      </c>
      <c r="AA1048" s="7" t="s">
        <v>92</v>
      </c>
      <c r="AB1048" s="7"/>
      <c r="AC1048" s="9">
        <v>1</v>
      </c>
      <c r="AD1048" s="10">
        <v>11347737</v>
      </c>
      <c r="AE1048" s="9" t="s">
        <v>92</v>
      </c>
      <c r="AF1048" s="9"/>
      <c r="AG1048" s="11">
        <v>1</v>
      </c>
      <c r="AH1048" s="11" t="s">
        <v>93</v>
      </c>
      <c r="AI1048" s="11" t="s">
        <v>4336</v>
      </c>
      <c r="AJ1048" s="11"/>
      <c r="AK1048" s="11"/>
      <c r="AL1048" s="12">
        <v>1</v>
      </c>
      <c r="AM1048" s="12" t="s">
        <v>93</v>
      </c>
      <c r="AN1048" s="12" t="s">
        <v>394</v>
      </c>
      <c r="AO1048" s="12"/>
      <c r="AP1048" s="12"/>
      <c r="AQ1048" s="4">
        <v>1</v>
      </c>
      <c r="AR1048" s="4" t="s">
        <v>83</v>
      </c>
      <c r="AS1048" s="4" t="s">
        <v>4337</v>
      </c>
      <c r="AT1048" s="13"/>
      <c r="AU1048" s="13"/>
      <c r="AV1048" s="13"/>
      <c r="AW1048" s="13"/>
      <c r="AX1048" s="4"/>
      <c r="AY1048" s="13"/>
      <c r="AZ1048" s="13"/>
      <c r="BA1048" s="13"/>
      <c r="BB1048" s="13"/>
      <c r="BC1048" s="4"/>
      <c r="BD1048" s="4"/>
      <c r="BE1048" s="4"/>
      <c r="BF1048" s="13"/>
      <c r="BG1048" s="4"/>
      <c r="BH1048" s="13"/>
      <c r="BI1048" s="13"/>
      <c r="BJ1048" s="4"/>
      <c r="BK1048" s="14">
        <v>5</v>
      </c>
      <c r="BL1048" s="14">
        <v>5</v>
      </c>
      <c r="BM1048" s="14">
        <v>5</v>
      </c>
      <c r="BP1048" s="15" t="s">
        <v>135</v>
      </c>
      <c r="BQ1048" s="15"/>
      <c r="BR1048" s="2" t="s">
        <v>97</v>
      </c>
      <c r="BS1048" s="2" t="s">
        <v>97</v>
      </c>
      <c r="BT1048" s="7" t="s">
        <v>603</v>
      </c>
      <c r="BU1048" s="7" t="s">
        <v>88</v>
      </c>
      <c r="BV1048" s="9" t="s">
        <v>603</v>
      </c>
      <c r="BW1048" s="9" t="s">
        <v>88</v>
      </c>
    </row>
    <row r="1049" spans="1:75" ht="14.25" customHeight="1" x14ac:dyDescent="0.25">
      <c r="A1049" s="1">
        <v>1863</v>
      </c>
      <c r="B1049" s="1" t="s">
        <v>4338</v>
      </c>
      <c r="C1049" s="1" t="s">
        <v>4339</v>
      </c>
      <c r="D1049" s="1" t="s">
        <v>77</v>
      </c>
      <c r="E1049" s="1" t="s">
        <v>2396</v>
      </c>
      <c r="F1049" s="1" t="s">
        <v>4190</v>
      </c>
      <c r="G1049" s="1"/>
      <c r="H1049" s="2">
        <v>1</v>
      </c>
      <c r="I1049" s="2">
        <v>1</v>
      </c>
      <c r="J1049" s="2">
        <v>1</v>
      </c>
      <c r="K1049" s="2">
        <v>0</v>
      </c>
      <c r="L1049" s="3" t="s">
        <v>127</v>
      </c>
      <c r="O1049" s="4">
        <v>1</v>
      </c>
      <c r="P1049" s="4" t="s">
        <v>531</v>
      </c>
      <c r="Q1049" s="4"/>
      <c r="R1049" s="16">
        <v>79000000</v>
      </c>
      <c r="S1049" s="6">
        <v>79000000</v>
      </c>
      <c r="T1049" s="16">
        <v>79000000</v>
      </c>
      <c r="U1049" s="6">
        <v>79000000</v>
      </c>
      <c r="V1049" s="4">
        <v>2010.5</v>
      </c>
      <c r="W1049" s="4" t="s">
        <v>531</v>
      </c>
      <c r="X1049" s="4"/>
      <c r="Y1049" s="7">
        <v>1</v>
      </c>
      <c r="Z1049" s="8">
        <v>7325502</v>
      </c>
      <c r="AA1049" s="7" t="s">
        <v>92</v>
      </c>
      <c r="AB1049" s="7"/>
      <c r="AC1049" s="9">
        <v>1</v>
      </c>
      <c r="AD1049" s="10">
        <v>7055785</v>
      </c>
      <c r="AE1049" s="9" t="s">
        <v>92</v>
      </c>
      <c r="AF1049" s="9" t="s">
        <v>4340</v>
      </c>
      <c r="AG1049" s="11">
        <v>4</v>
      </c>
      <c r="AH1049" s="11" t="s">
        <v>131</v>
      </c>
      <c r="AI1049" s="11" t="s">
        <v>4341</v>
      </c>
      <c r="AJ1049" s="11">
        <v>5</v>
      </c>
      <c r="AK1049" s="11" t="s">
        <v>143</v>
      </c>
      <c r="AL1049" s="12">
        <v>2</v>
      </c>
      <c r="AM1049" s="12" t="s">
        <v>131</v>
      </c>
      <c r="AN1049" s="12" t="s">
        <v>4342</v>
      </c>
      <c r="AO1049" s="12">
        <v>2</v>
      </c>
      <c r="AP1049" s="12" t="s">
        <v>132</v>
      </c>
      <c r="AQ1049" s="4">
        <v>3</v>
      </c>
      <c r="AR1049" s="4" t="s">
        <v>133</v>
      </c>
      <c r="AS1049" s="4"/>
      <c r="AT1049" s="13">
        <v>-40.119220733642599</v>
      </c>
      <c r="AU1049" s="13">
        <v>-1.00258123874664</v>
      </c>
      <c r="AV1049" s="13">
        <v>-2.9200000762939502</v>
      </c>
      <c r="AW1049" s="13">
        <v>0.18550199270248399</v>
      </c>
      <c r="AX1049" s="4"/>
      <c r="AY1049" s="13">
        <v>-1.7104239463806199</v>
      </c>
      <c r="AZ1049" s="13">
        <v>-0.172382593154907</v>
      </c>
      <c r="BA1049" s="13">
        <v>-1.78999996185303</v>
      </c>
      <c r="BB1049" s="13">
        <v>1.4451980590820299</v>
      </c>
      <c r="BC1049" s="4"/>
      <c r="BD1049" s="4">
        <v>10</v>
      </c>
      <c r="BE1049" s="4" t="s">
        <v>134</v>
      </c>
      <c r="BF1049" s="13">
        <v>3.1055018901825</v>
      </c>
      <c r="BG1049" s="4">
        <v>729.5</v>
      </c>
      <c r="BH1049" s="13">
        <v>10.0950002670288</v>
      </c>
      <c r="BI1049" s="13">
        <v>7395.1298828125</v>
      </c>
      <c r="BJ1049" s="4"/>
      <c r="BK1049" s="14">
        <v>9</v>
      </c>
      <c r="BL1049" s="14">
        <v>7</v>
      </c>
      <c r="BM1049" s="14">
        <v>9</v>
      </c>
      <c r="BP1049" s="15" t="s">
        <v>135</v>
      </c>
      <c r="BQ1049" s="15" t="s">
        <v>136</v>
      </c>
      <c r="BR1049" s="2" t="s">
        <v>172</v>
      </c>
      <c r="BS1049" s="2" t="s">
        <v>172</v>
      </c>
      <c r="BT1049" s="7" t="s">
        <v>174</v>
      </c>
      <c r="BU1049" s="7" t="s">
        <v>527</v>
      </c>
      <c r="BV1049" s="9" t="s">
        <v>458</v>
      </c>
      <c r="BW1049" s="9"/>
    </row>
    <row r="1050" spans="1:75" ht="14.25" customHeight="1" x14ac:dyDescent="0.25">
      <c r="A1050" s="1">
        <v>1864</v>
      </c>
      <c r="B1050" s="1" t="s">
        <v>4343</v>
      </c>
      <c r="C1050" s="1" t="s">
        <v>4344</v>
      </c>
      <c r="D1050" s="1" t="s">
        <v>77</v>
      </c>
      <c r="E1050" s="1" t="s">
        <v>2396</v>
      </c>
      <c r="F1050" s="1" t="s">
        <v>4190</v>
      </c>
      <c r="G1050" s="1" t="s">
        <v>118</v>
      </c>
      <c r="H1050" s="2">
        <v>1</v>
      </c>
      <c r="I1050" s="2">
        <v>1</v>
      </c>
      <c r="J1050" s="2">
        <v>1</v>
      </c>
      <c r="K1050" s="2">
        <v>0</v>
      </c>
      <c r="L1050" s="3" t="s">
        <v>127</v>
      </c>
      <c r="O1050" s="4">
        <v>2</v>
      </c>
      <c r="P1050" s="4" t="s">
        <v>425</v>
      </c>
      <c r="Q1050" s="4"/>
      <c r="R1050" s="16">
        <v>7500000</v>
      </c>
      <c r="S1050" s="6">
        <v>7500000</v>
      </c>
      <c r="T1050" s="16">
        <v>7500000</v>
      </c>
      <c r="U1050" s="6">
        <v>7500000</v>
      </c>
      <c r="V1050" s="4">
        <v>2010.5</v>
      </c>
      <c r="W1050" s="4" t="s">
        <v>425</v>
      </c>
      <c r="X1050" s="4"/>
      <c r="Y1050" s="7">
        <v>2</v>
      </c>
      <c r="Z1050" s="8">
        <v>1665204</v>
      </c>
      <c r="AA1050" s="7" t="s">
        <v>92</v>
      </c>
      <c r="AB1050" s="7"/>
      <c r="AC1050" s="9">
        <v>3</v>
      </c>
      <c r="AD1050" s="10">
        <v>659908</v>
      </c>
      <c r="AE1050" s="9" t="s">
        <v>92</v>
      </c>
      <c r="AF1050" s="9"/>
      <c r="AG1050" s="11">
        <v>4</v>
      </c>
      <c r="AH1050" s="11" t="s">
        <v>131</v>
      </c>
      <c r="AI1050" s="11"/>
      <c r="AJ1050" s="11">
        <v>5</v>
      </c>
      <c r="AK1050" s="11" t="s">
        <v>143</v>
      </c>
      <c r="AL1050" s="12">
        <v>2</v>
      </c>
      <c r="AM1050" s="12" t="s">
        <v>131</v>
      </c>
      <c r="AN1050" s="12" t="s">
        <v>4319</v>
      </c>
      <c r="AO1050" s="12">
        <v>2</v>
      </c>
      <c r="AP1050" s="12" t="s">
        <v>132</v>
      </c>
      <c r="AQ1050" s="4">
        <v>2</v>
      </c>
      <c r="AR1050" s="4" t="s">
        <v>208</v>
      </c>
      <c r="AS1050" s="4"/>
      <c r="AT1050" s="13">
        <v>-31.932336807251001</v>
      </c>
      <c r="AU1050" s="13">
        <v>-0.95800870656967196</v>
      </c>
      <c r="AV1050" s="13">
        <v>-2.25</v>
      </c>
      <c r="AW1050" s="13">
        <v>0.20000000298023199</v>
      </c>
      <c r="AX1050" s="4"/>
      <c r="AY1050" s="13">
        <v>0.30046084523201</v>
      </c>
      <c r="AZ1050" s="13">
        <v>2.98895258456469E-2</v>
      </c>
      <c r="BA1050" s="13">
        <v>-1.83000004291534</v>
      </c>
      <c r="BB1050" s="13">
        <v>2.0607950687408398</v>
      </c>
      <c r="BC1050" s="4"/>
      <c r="BD1050" s="4">
        <v>10</v>
      </c>
      <c r="BE1050" s="4" t="s">
        <v>210</v>
      </c>
      <c r="BF1050" s="13">
        <v>2.4500000476837198</v>
      </c>
      <c r="BG1050" s="4">
        <v>71</v>
      </c>
      <c r="BH1050" s="13">
        <v>7.28999996185303</v>
      </c>
      <c r="BI1050" s="13">
        <v>517.59002685546898</v>
      </c>
      <c r="BJ1050" s="4"/>
      <c r="BK1050" s="14">
        <v>10</v>
      </c>
      <c r="BL1050" s="14">
        <v>9</v>
      </c>
      <c r="BM1050" s="14">
        <v>10</v>
      </c>
      <c r="BP1050" s="15"/>
      <c r="BQ1050" s="15"/>
      <c r="BR1050" s="2" t="s">
        <v>161</v>
      </c>
      <c r="BS1050" s="2" t="s">
        <v>162</v>
      </c>
      <c r="BT1050" s="7" t="s">
        <v>539</v>
      </c>
      <c r="BU1050" s="7" t="s">
        <v>428</v>
      </c>
      <c r="BV1050" s="9" t="s">
        <v>458</v>
      </c>
      <c r="BW1050" s="9"/>
    </row>
    <row r="1051" spans="1:75" ht="14.25" customHeight="1" x14ac:dyDescent="0.25">
      <c r="A1051" s="1">
        <v>1865</v>
      </c>
      <c r="B1051" s="1" t="s">
        <v>4345</v>
      </c>
      <c r="C1051" s="1" t="s">
        <v>4346</v>
      </c>
      <c r="D1051" s="1" t="s">
        <v>77</v>
      </c>
      <c r="E1051" s="1" t="s">
        <v>2396</v>
      </c>
      <c r="F1051" s="1" t="s">
        <v>4190</v>
      </c>
      <c r="G1051" s="1" t="s">
        <v>118</v>
      </c>
      <c r="H1051" s="2">
        <v>1</v>
      </c>
      <c r="I1051" s="2">
        <v>1</v>
      </c>
      <c r="J1051" s="2">
        <v>1</v>
      </c>
      <c r="K1051" s="2">
        <v>0</v>
      </c>
      <c r="L1051" s="3" t="s">
        <v>127</v>
      </c>
      <c r="O1051" s="4">
        <v>3</v>
      </c>
      <c r="P1051" s="4" t="s">
        <v>4347</v>
      </c>
      <c r="Q1051" s="4"/>
      <c r="R1051" s="16">
        <v>2000000</v>
      </c>
      <c r="S1051" s="6">
        <v>2000000</v>
      </c>
      <c r="T1051" s="16">
        <v>2000000</v>
      </c>
      <c r="U1051" s="6">
        <v>2000000</v>
      </c>
      <c r="V1051" s="4"/>
      <c r="W1051" s="4" t="s">
        <v>4348</v>
      </c>
      <c r="X1051" s="4"/>
      <c r="Y1051" s="7">
        <v>2</v>
      </c>
      <c r="Z1051" s="8">
        <v>1687725</v>
      </c>
      <c r="AA1051" s="7" t="s">
        <v>92</v>
      </c>
      <c r="AB1051" s="7"/>
      <c r="AC1051" s="9">
        <v>3</v>
      </c>
      <c r="AD1051" s="10">
        <v>995373</v>
      </c>
      <c r="AE1051" s="9" t="s">
        <v>92</v>
      </c>
      <c r="AF1051" s="9" t="s">
        <v>4349</v>
      </c>
      <c r="AG1051" s="11">
        <v>4</v>
      </c>
      <c r="AH1051" s="11" t="s">
        <v>131</v>
      </c>
      <c r="AI1051" s="11"/>
      <c r="AJ1051" s="11">
        <v>5</v>
      </c>
      <c r="AK1051" s="11" t="s">
        <v>132</v>
      </c>
      <c r="AL1051" s="12">
        <v>2</v>
      </c>
      <c r="AM1051" s="12" t="s">
        <v>131</v>
      </c>
      <c r="AN1051" s="12" t="s">
        <v>4350</v>
      </c>
      <c r="AO1051" s="12">
        <v>1</v>
      </c>
      <c r="AP1051" s="12" t="s">
        <v>143</v>
      </c>
      <c r="AQ1051" s="4">
        <v>5</v>
      </c>
      <c r="AR1051" s="4" t="s">
        <v>222</v>
      </c>
      <c r="AS1051" s="4"/>
      <c r="AT1051" s="13">
        <v>-57.050277709960902</v>
      </c>
      <c r="AU1051" s="13">
        <v>-1.7099864482879601</v>
      </c>
      <c r="AV1051" s="13">
        <v>-2.02730393409729</v>
      </c>
      <c r="AW1051" s="13">
        <v>-1.29999995231628</v>
      </c>
      <c r="AX1051" s="4">
        <v>1</v>
      </c>
      <c r="AY1051" s="13">
        <v>-13.0772562026978</v>
      </c>
      <c r="AZ1051" s="13">
        <v>-1.3917293548584</v>
      </c>
      <c r="BA1051" s="13">
        <v>-2.3238761425018302</v>
      </c>
      <c r="BB1051" s="13">
        <v>-0.20000000298023199</v>
      </c>
      <c r="BC1051" s="4">
        <v>1</v>
      </c>
      <c r="BD1051" s="4">
        <v>10</v>
      </c>
      <c r="BE1051" s="4"/>
      <c r="BF1051" s="13">
        <v>0.72730392217636097</v>
      </c>
      <c r="BG1051" s="4"/>
      <c r="BH1051" s="13"/>
      <c r="BI1051" s="13"/>
      <c r="BJ1051" s="4"/>
      <c r="BK1051" s="14">
        <v>14</v>
      </c>
      <c r="BL1051" s="14">
        <v>13</v>
      </c>
      <c r="BM1051" s="14">
        <v>14</v>
      </c>
      <c r="BN1051" s="3" t="s">
        <v>113</v>
      </c>
      <c r="BO1051" s="3" t="s">
        <v>120</v>
      </c>
      <c r="BP1051" s="15"/>
      <c r="BQ1051" s="15"/>
      <c r="BR1051" s="2" t="s">
        <v>211</v>
      </c>
      <c r="BS1051" s="2" t="s">
        <v>457</v>
      </c>
      <c r="BT1051" s="7" t="s">
        <v>174</v>
      </c>
      <c r="BU1051" s="7" t="s">
        <v>527</v>
      </c>
      <c r="BV1051" s="9" t="s">
        <v>241</v>
      </c>
      <c r="BW1051" s="9" t="s">
        <v>585</v>
      </c>
    </row>
    <row r="1052" spans="1:75" ht="14.25" customHeight="1" x14ac:dyDescent="0.25">
      <c r="A1052" s="1">
        <v>1866</v>
      </c>
      <c r="B1052" s="1" t="s">
        <v>4351</v>
      </c>
      <c r="C1052" s="1" t="s">
        <v>4352</v>
      </c>
      <c r="D1052" s="1" t="s">
        <v>77</v>
      </c>
      <c r="E1052" s="1" t="s">
        <v>2396</v>
      </c>
      <c r="F1052" s="1" t="s">
        <v>4190</v>
      </c>
      <c r="G1052" s="1" t="s">
        <v>118</v>
      </c>
      <c r="H1052" s="2">
        <v>1</v>
      </c>
      <c r="I1052" s="2">
        <v>1</v>
      </c>
      <c r="J1052" s="2">
        <v>1</v>
      </c>
      <c r="K1052" s="2">
        <v>0</v>
      </c>
      <c r="L1052" s="3" t="s">
        <v>127</v>
      </c>
      <c r="O1052" s="4">
        <v>1</v>
      </c>
      <c r="P1052" s="4" t="s">
        <v>1919</v>
      </c>
      <c r="Q1052" s="4"/>
      <c r="R1052" s="16">
        <v>160000000</v>
      </c>
      <c r="S1052" s="6">
        <v>160000000</v>
      </c>
      <c r="T1052" s="16">
        <v>160000000</v>
      </c>
      <c r="U1052" s="6">
        <v>160000000</v>
      </c>
      <c r="V1052" s="4">
        <v>2010.5</v>
      </c>
      <c r="W1052" s="4" t="s">
        <v>1919</v>
      </c>
      <c r="X1052" s="4"/>
      <c r="Y1052" s="7">
        <v>1</v>
      </c>
      <c r="Z1052" s="8">
        <v>5636689</v>
      </c>
      <c r="AA1052" s="7" t="s">
        <v>92</v>
      </c>
      <c r="AB1052" s="7"/>
      <c r="AC1052" s="9">
        <v>2</v>
      </c>
      <c r="AD1052" s="10">
        <v>3985693</v>
      </c>
      <c r="AE1052" s="9" t="s">
        <v>582</v>
      </c>
      <c r="AF1052" s="9" t="s">
        <v>4353</v>
      </c>
      <c r="AG1052" s="11">
        <v>3</v>
      </c>
      <c r="AH1052" s="11" t="s">
        <v>131</v>
      </c>
      <c r="AI1052" s="11"/>
      <c r="AJ1052" s="11">
        <v>4</v>
      </c>
      <c r="AK1052" s="11" t="s">
        <v>332</v>
      </c>
      <c r="AL1052" s="12">
        <v>2</v>
      </c>
      <c r="AM1052" s="12" t="s">
        <v>131</v>
      </c>
      <c r="AN1052" s="12" t="s">
        <v>4319</v>
      </c>
      <c r="AO1052" s="12">
        <v>2</v>
      </c>
      <c r="AP1052" s="12" t="s">
        <v>132</v>
      </c>
      <c r="AQ1052" s="4">
        <v>4</v>
      </c>
      <c r="AR1052" s="4" t="s">
        <v>133</v>
      </c>
      <c r="AS1052" s="4"/>
      <c r="AT1052" s="13">
        <v>-25.34397315979</v>
      </c>
      <c r="AU1052" s="13">
        <v>-0.57156491279602095</v>
      </c>
      <c r="AV1052" s="13">
        <v>-0.89300000667571999</v>
      </c>
      <c r="AW1052" s="13">
        <v>-0.138999998569489</v>
      </c>
      <c r="AX1052" s="4">
        <v>1</v>
      </c>
      <c r="AY1052" s="13">
        <v>-23.1300258636475</v>
      </c>
      <c r="AZ1052" s="13">
        <v>-2.5972049236297599</v>
      </c>
      <c r="BA1052" s="13">
        <v>-4.3400001525878897</v>
      </c>
      <c r="BB1052" s="13">
        <v>-1.65259802341461</v>
      </c>
      <c r="BC1052" s="4">
        <v>1</v>
      </c>
      <c r="BD1052" s="4">
        <v>10</v>
      </c>
      <c r="BE1052" s="4" t="s">
        <v>134</v>
      </c>
      <c r="BF1052" s="13">
        <v>0.75400000810623202</v>
      </c>
      <c r="BG1052" s="4">
        <v>1261</v>
      </c>
      <c r="BH1052" s="13">
        <v>33.25</v>
      </c>
      <c r="BI1052" s="13">
        <v>41865.25</v>
      </c>
      <c r="BJ1052" s="4"/>
      <c r="BK1052" s="14">
        <v>9</v>
      </c>
      <c r="BL1052" s="14">
        <v>9</v>
      </c>
      <c r="BM1052" s="14">
        <v>9</v>
      </c>
      <c r="BP1052" s="15"/>
      <c r="BQ1052" s="15"/>
      <c r="BR1052" s="2" t="s">
        <v>211</v>
      </c>
      <c r="BS1052" s="2" t="s">
        <v>239</v>
      </c>
      <c r="BT1052" s="7" t="s">
        <v>527</v>
      </c>
      <c r="BU1052" s="7"/>
      <c r="BV1052" s="9" t="s">
        <v>241</v>
      </c>
      <c r="BW1052" s="9"/>
    </row>
    <row r="1053" spans="1:75" ht="14.25" customHeight="1" x14ac:dyDescent="0.25">
      <c r="A1053" s="1">
        <v>1867</v>
      </c>
      <c r="B1053" s="1" t="s">
        <v>4354</v>
      </c>
      <c r="C1053" s="1" t="s">
        <v>4355</v>
      </c>
      <c r="D1053" s="1" t="s">
        <v>77</v>
      </c>
      <c r="E1053" s="1" t="s">
        <v>2396</v>
      </c>
      <c r="F1053" s="1" t="s">
        <v>4190</v>
      </c>
      <c r="G1053" s="1" t="s">
        <v>4356</v>
      </c>
      <c r="H1053" s="2">
        <v>0</v>
      </c>
      <c r="I1053" s="2">
        <v>1</v>
      </c>
      <c r="J1053" s="2">
        <v>1</v>
      </c>
      <c r="K1053" s="2">
        <v>0</v>
      </c>
      <c r="L1053" s="3" t="s">
        <v>127</v>
      </c>
      <c r="O1053" s="4">
        <v>4</v>
      </c>
      <c r="P1053" s="4" t="s">
        <v>424</v>
      </c>
      <c r="Q1053" s="4" t="s">
        <v>4357</v>
      </c>
      <c r="R1053" s="16">
        <v>270000</v>
      </c>
      <c r="S1053" s="6">
        <v>270000</v>
      </c>
      <c r="T1053" s="16">
        <v>210000</v>
      </c>
      <c r="U1053" s="6">
        <v>210000</v>
      </c>
      <c r="V1053" s="4">
        <v>2010.5</v>
      </c>
      <c r="W1053" s="4" t="s">
        <v>425</v>
      </c>
      <c r="X1053" s="4"/>
      <c r="Y1053" s="7">
        <v>4</v>
      </c>
      <c r="Z1053" s="8">
        <v>206000</v>
      </c>
      <c r="AA1053" s="7" t="s">
        <v>92</v>
      </c>
      <c r="AB1053" s="7" t="s">
        <v>4358</v>
      </c>
      <c r="AC1053" s="9">
        <v>4</v>
      </c>
      <c r="AD1053" s="10">
        <v>206000</v>
      </c>
      <c r="AE1053" s="9" t="s">
        <v>92</v>
      </c>
      <c r="AF1053" s="9" t="s">
        <v>4359</v>
      </c>
      <c r="AG1053" s="11">
        <v>3</v>
      </c>
      <c r="AH1053" s="11" t="s">
        <v>454</v>
      </c>
      <c r="AI1053" s="11" t="s">
        <v>4360</v>
      </c>
      <c r="AJ1053" s="11">
        <v>3</v>
      </c>
      <c r="AK1053" s="11" t="s">
        <v>143</v>
      </c>
      <c r="AL1053" s="12">
        <v>3</v>
      </c>
      <c r="AM1053" s="12" t="s">
        <v>4361</v>
      </c>
      <c r="AN1053" s="12" t="s">
        <v>4362</v>
      </c>
      <c r="AO1053" s="12">
        <v>2</v>
      </c>
      <c r="AP1053" s="12" t="s">
        <v>132</v>
      </c>
      <c r="AQ1053" s="4">
        <v>2</v>
      </c>
      <c r="AR1053" s="4" t="s">
        <v>2727</v>
      </c>
      <c r="AS1053" s="4"/>
      <c r="AT1053" s="13">
        <v>45.799999237060497</v>
      </c>
      <c r="AU1053" s="13">
        <v>0.74299997091293302</v>
      </c>
      <c r="AV1053" s="13">
        <v>-0.25200000405311601</v>
      </c>
      <c r="AW1053" s="13">
        <v>1.91999995708466</v>
      </c>
      <c r="AX1053" s="4"/>
      <c r="AY1053" s="13">
        <v>-12.699999809265099</v>
      </c>
      <c r="AZ1053" s="13">
        <v>-1.3500000238418599</v>
      </c>
      <c r="BA1053" s="13">
        <v>-4.8499999046325701</v>
      </c>
      <c r="BB1053" s="13">
        <v>1.6900000572204601</v>
      </c>
      <c r="BC1053" s="4"/>
      <c r="BD1053" s="4">
        <v>10</v>
      </c>
      <c r="BE1053" s="4"/>
      <c r="BF1053" s="13">
        <v>2.1719999313354501</v>
      </c>
      <c r="BG1053" s="4">
        <v>63</v>
      </c>
      <c r="BH1053" s="13">
        <v>91.349998474121094</v>
      </c>
      <c r="BI1053" s="13">
        <v>5755.0498046875</v>
      </c>
      <c r="BJ1053" s="4"/>
      <c r="BK1053" s="14">
        <v>13</v>
      </c>
      <c r="BL1053" s="14">
        <v>13</v>
      </c>
      <c r="BM1053" s="14">
        <v>13</v>
      </c>
      <c r="BP1053" s="15"/>
      <c r="BQ1053" s="15"/>
      <c r="BR1053" s="2" t="s">
        <v>162</v>
      </c>
      <c r="BS1053" s="2" t="s">
        <v>297</v>
      </c>
      <c r="BT1053" s="7" t="s">
        <v>429</v>
      </c>
      <c r="BU1053" s="7"/>
      <c r="BV1053" s="9" t="s">
        <v>475</v>
      </c>
      <c r="BW1053" s="9" t="s">
        <v>429</v>
      </c>
    </row>
    <row r="1054" spans="1:75" ht="14.25" customHeight="1" x14ac:dyDescent="0.25">
      <c r="A1054" s="1">
        <v>1868</v>
      </c>
      <c r="B1054" s="1" t="s">
        <v>4363</v>
      </c>
      <c r="C1054" s="1" t="s">
        <v>4364</v>
      </c>
      <c r="D1054" s="1" t="s">
        <v>77</v>
      </c>
      <c r="E1054" s="1" t="s">
        <v>2396</v>
      </c>
      <c r="F1054" s="1" t="s">
        <v>4190</v>
      </c>
      <c r="G1054" s="1"/>
      <c r="H1054" s="2">
        <v>0</v>
      </c>
      <c r="I1054" s="2">
        <v>1</v>
      </c>
      <c r="J1054" s="2">
        <v>1</v>
      </c>
      <c r="K1054" s="2">
        <v>0</v>
      </c>
      <c r="L1054" s="3" t="s">
        <v>127</v>
      </c>
      <c r="O1054" s="4">
        <v>2</v>
      </c>
      <c r="P1054" s="4" t="s">
        <v>425</v>
      </c>
      <c r="Q1054" s="4" t="s">
        <v>4365</v>
      </c>
      <c r="R1054" s="16">
        <v>5400000</v>
      </c>
      <c r="S1054" s="6">
        <v>5400000</v>
      </c>
      <c r="T1054" s="16">
        <v>5400000</v>
      </c>
      <c r="U1054" s="6">
        <v>5400000</v>
      </c>
      <c r="V1054" s="4">
        <v>2010.5</v>
      </c>
      <c r="W1054" s="4" t="s">
        <v>425</v>
      </c>
      <c r="X1054" s="4"/>
      <c r="Y1054" s="7">
        <v>2</v>
      </c>
      <c r="Z1054" s="8">
        <v>1031000</v>
      </c>
      <c r="AA1054" s="7" t="s">
        <v>92</v>
      </c>
      <c r="AB1054" s="7" t="s">
        <v>4358</v>
      </c>
      <c r="AC1054" s="9">
        <v>3</v>
      </c>
      <c r="AD1054" s="10">
        <v>822000</v>
      </c>
      <c r="AE1054" s="9" t="s">
        <v>92</v>
      </c>
      <c r="AF1054" s="9" t="s">
        <v>4366</v>
      </c>
      <c r="AG1054" s="11">
        <v>4</v>
      </c>
      <c r="AH1054" s="11" t="s">
        <v>454</v>
      </c>
      <c r="AI1054" s="11" t="s">
        <v>4367</v>
      </c>
      <c r="AJ1054" s="11">
        <v>4</v>
      </c>
      <c r="AK1054" s="11" t="s">
        <v>143</v>
      </c>
      <c r="AL1054" s="12">
        <v>3</v>
      </c>
      <c r="AM1054" s="12" t="s">
        <v>4361</v>
      </c>
      <c r="AN1054" s="12" t="s">
        <v>4368</v>
      </c>
      <c r="AO1054" s="12">
        <v>1</v>
      </c>
      <c r="AP1054" s="12" t="s">
        <v>132</v>
      </c>
      <c r="AQ1054" s="4">
        <v>5</v>
      </c>
      <c r="AR1054" s="4" t="s">
        <v>2727</v>
      </c>
      <c r="AS1054" s="4"/>
      <c r="AT1054" s="13">
        <v>-37.5</v>
      </c>
      <c r="AU1054" s="13">
        <v>-0.91799998283386197</v>
      </c>
      <c r="AV1054" s="13">
        <v>-1.78999996185303</v>
      </c>
      <c r="AW1054" s="13">
        <v>-2.0099999383091899E-2</v>
      </c>
      <c r="AX1054" s="4">
        <v>1</v>
      </c>
      <c r="AY1054" s="13">
        <v>-29.600000381469702</v>
      </c>
      <c r="AZ1054" s="13">
        <v>-3.4500000476837198</v>
      </c>
      <c r="BA1054" s="13">
        <v>-5.8099999427795401</v>
      </c>
      <c r="BB1054" s="13">
        <v>-0.962000012397766</v>
      </c>
      <c r="BC1054" s="4">
        <v>1</v>
      </c>
      <c r="BD1054" s="4">
        <v>10</v>
      </c>
      <c r="BE1054" s="4"/>
      <c r="BF1054" s="13">
        <v>1.7698999643325799</v>
      </c>
      <c r="BG1054" s="4">
        <v>308</v>
      </c>
      <c r="BH1054" s="13">
        <v>2374.67993164063</v>
      </c>
      <c r="BI1054" s="13">
        <v>731401.4375</v>
      </c>
      <c r="BJ1054" s="4"/>
      <c r="BK1054" s="14">
        <v>13</v>
      </c>
      <c r="BL1054" s="14">
        <v>13</v>
      </c>
      <c r="BM1054" s="14">
        <v>13</v>
      </c>
      <c r="BN1054" s="3" t="s">
        <v>113</v>
      </c>
      <c r="BP1054" s="15"/>
      <c r="BQ1054" s="15"/>
      <c r="BR1054" s="2" t="s">
        <v>555</v>
      </c>
      <c r="BS1054" s="2" t="s">
        <v>297</v>
      </c>
      <c r="BT1054" s="7" t="s">
        <v>556</v>
      </c>
      <c r="BU1054" s="7"/>
      <c r="BV1054" s="9" t="s">
        <v>475</v>
      </c>
      <c r="BW1054" s="9"/>
    </row>
    <row r="1055" spans="1:75" ht="14.25" customHeight="1" x14ac:dyDescent="0.25">
      <c r="A1055" s="1">
        <v>1869</v>
      </c>
      <c r="B1055" s="1" t="s">
        <v>4369</v>
      </c>
      <c r="C1055" s="1" t="s">
        <v>4370</v>
      </c>
      <c r="D1055" s="1" t="s">
        <v>77</v>
      </c>
      <c r="E1055" s="1" t="s">
        <v>2396</v>
      </c>
      <c r="F1055" s="1" t="s">
        <v>4190</v>
      </c>
      <c r="G1055" s="1"/>
      <c r="H1055" s="2">
        <v>0</v>
      </c>
      <c r="I1055" s="2">
        <v>0</v>
      </c>
      <c r="J1055" s="2">
        <v>1</v>
      </c>
      <c r="K1055" s="2">
        <v>0</v>
      </c>
      <c r="L1055" s="3" t="s">
        <v>80</v>
      </c>
      <c r="O1055" s="4">
        <v>4</v>
      </c>
      <c r="P1055" s="4" t="s">
        <v>112</v>
      </c>
      <c r="Q1055" s="4"/>
      <c r="R1055" s="5"/>
      <c r="S1055" s="6"/>
      <c r="T1055" s="17"/>
      <c r="U1055" s="6"/>
      <c r="V1055" s="4"/>
      <c r="W1055" s="4"/>
      <c r="X1055" s="4"/>
      <c r="Y1055" s="7">
        <v>4</v>
      </c>
      <c r="Z1055" s="8">
        <v>295534</v>
      </c>
      <c r="AA1055" s="7" t="s">
        <v>92</v>
      </c>
      <c r="AB1055" s="7"/>
      <c r="AC1055" s="9">
        <v>4</v>
      </c>
      <c r="AD1055" s="10">
        <v>295534</v>
      </c>
      <c r="AE1055" s="9" t="s">
        <v>92</v>
      </c>
      <c r="AF1055" s="9"/>
      <c r="AG1055" s="11">
        <v>2</v>
      </c>
      <c r="AH1055" s="11" t="s">
        <v>93</v>
      </c>
      <c r="AI1055" s="11" t="s">
        <v>445</v>
      </c>
      <c r="AJ1055" s="11"/>
      <c r="AK1055" s="11"/>
      <c r="AL1055" s="12">
        <v>2</v>
      </c>
      <c r="AM1055" s="12" t="s">
        <v>93</v>
      </c>
      <c r="AN1055" s="12" t="s">
        <v>3977</v>
      </c>
      <c r="AO1055" s="12"/>
      <c r="AP1055" s="12"/>
      <c r="AQ1055" s="4">
        <v>3</v>
      </c>
      <c r="AR1055" s="4" t="s">
        <v>441</v>
      </c>
      <c r="AS1055" s="4" t="s">
        <v>4371</v>
      </c>
      <c r="AT1055" s="13"/>
      <c r="AU1055" s="13"/>
      <c r="AV1055" s="13"/>
      <c r="AW1055" s="13"/>
      <c r="AX1055" s="4"/>
      <c r="AY1055" s="13"/>
      <c r="AZ1055" s="13"/>
      <c r="BA1055" s="13"/>
      <c r="BB1055" s="13"/>
      <c r="BC1055" s="4"/>
      <c r="BD1055" s="4"/>
      <c r="BE1055" s="4"/>
      <c r="BF1055" s="13"/>
      <c r="BG1055" s="4"/>
      <c r="BH1055" s="13"/>
      <c r="BI1055" s="13"/>
      <c r="BJ1055" s="4"/>
      <c r="BK1055" s="14">
        <v>13</v>
      </c>
      <c r="BL1055" s="14">
        <v>13</v>
      </c>
      <c r="BM1055" s="14">
        <v>13</v>
      </c>
      <c r="BP1055" s="15"/>
      <c r="BQ1055" s="15" t="s">
        <v>146</v>
      </c>
      <c r="BR1055" s="2" t="s">
        <v>409</v>
      </c>
      <c r="BS1055" s="2" t="s">
        <v>409</v>
      </c>
      <c r="BT1055" s="7" t="s">
        <v>463</v>
      </c>
      <c r="BU1055" s="7"/>
      <c r="BV1055" s="9" t="s">
        <v>463</v>
      </c>
      <c r="BW1055" s="9"/>
    </row>
    <row r="1056" spans="1:75" ht="14.25" customHeight="1" x14ac:dyDescent="0.25">
      <c r="A1056" s="1">
        <v>1870</v>
      </c>
      <c r="B1056" s="1" t="s">
        <v>4372</v>
      </c>
      <c r="C1056" s="1" t="s">
        <v>4373</v>
      </c>
      <c r="D1056" s="1" t="s">
        <v>77</v>
      </c>
      <c r="E1056" s="1" t="s">
        <v>2396</v>
      </c>
      <c r="F1056" s="1" t="s">
        <v>4190</v>
      </c>
      <c r="G1056" s="1"/>
      <c r="H1056" s="2">
        <v>1</v>
      </c>
      <c r="I1056" s="2">
        <v>1</v>
      </c>
      <c r="J1056" s="2">
        <v>1</v>
      </c>
      <c r="K1056" s="2">
        <v>0</v>
      </c>
      <c r="L1056" s="3" t="s">
        <v>127</v>
      </c>
      <c r="O1056" s="4">
        <v>2</v>
      </c>
      <c r="P1056" s="4" t="s">
        <v>425</v>
      </c>
      <c r="Q1056" s="4"/>
      <c r="R1056" s="16">
        <v>35000000</v>
      </c>
      <c r="S1056" s="6">
        <v>35000000</v>
      </c>
      <c r="T1056" s="16">
        <v>35000000</v>
      </c>
      <c r="U1056" s="6">
        <v>35000000</v>
      </c>
      <c r="V1056" s="4">
        <v>2010.5</v>
      </c>
      <c r="W1056" s="4" t="s">
        <v>425</v>
      </c>
      <c r="X1056" s="4"/>
      <c r="Y1056" s="7">
        <v>1</v>
      </c>
      <c r="Z1056" s="8">
        <v>6346442</v>
      </c>
      <c r="AA1056" s="7" t="s">
        <v>92</v>
      </c>
      <c r="AB1056" s="7"/>
      <c r="AC1056" s="9">
        <v>2</v>
      </c>
      <c r="AD1056" s="10">
        <v>3636009</v>
      </c>
      <c r="AE1056" s="9" t="s">
        <v>92</v>
      </c>
      <c r="AF1056" s="9"/>
      <c r="AG1056" s="11">
        <v>3</v>
      </c>
      <c r="AH1056" s="11" t="s">
        <v>131</v>
      </c>
      <c r="AI1056" s="11"/>
      <c r="AJ1056" s="11">
        <v>3</v>
      </c>
      <c r="AK1056" s="11" t="s">
        <v>332</v>
      </c>
      <c r="AL1056" s="12">
        <v>3</v>
      </c>
      <c r="AM1056" s="12" t="s">
        <v>800</v>
      </c>
      <c r="AN1056" s="12" t="s">
        <v>4274</v>
      </c>
      <c r="AO1056" s="12">
        <v>2</v>
      </c>
      <c r="AP1056" s="12" t="s">
        <v>132</v>
      </c>
      <c r="AQ1056" s="4">
        <v>4</v>
      </c>
      <c r="AR1056" s="4" t="s">
        <v>133</v>
      </c>
      <c r="AS1056" s="4"/>
      <c r="AT1056" s="13">
        <v>-47.274986267089801</v>
      </c>
      <c r="AU1056" s="13">
        <v>-1.24862921237946</v>
      </c>
      <c r="AV1056" s="13">
        <v>-2.25</v>
      </c>
      <c r="AW1056" s="13">
        <v>-0.62540197372436501</v>
      </c>
      <c r="AX1056" s="4">
        <v>1</v>
      </c>
      <c r="AY1056" s="13">
        <v>-19.253704071044901</v>
      </c>
      <c r="AZ1056" s="13">
        <v>-2.1198706626892099</v>
      </c>
      <c r="BA1056" s="13">
        <v>-3.0099999904632599</v>
      </c>
      <c r="BB1056" s="13">
        <v>-1.47679996490479</v>
      </c>
      <c r="BC1056" s="4">
        <v>1</v>
      </c>
      <c r="BD1056" s="4">
        <v>10</v>
      </c>
      <c r="BE1056" s="4" t="s">
        <v>134</v>
      </c>
      <c r="BF1056" s="13">
        <v>1.6245980262756301</v>
      </c>
      <c r="BG1056" s="4">
        <v>2387</v>
      </c>
      <c r="BH1056" s="13">
        <v>11.1450004577637</v>
      </c>
      <c r="BI1056" s="13">
        <v>26546.0390625</v>
      </c>
      <c r="BJ1056" s="4"/>
      <c r="BK1056" s="14">
        <v>10</v>
      </c>
      <c r="BL1056" s="14">
        <v>11</v>
      </c>
      <c r="BM1056" s="14">
        <v>11</v>
      </c>
      <c r="BP1056" s="15"/>
      <c r="BQ1056" s="15" t="s">
        <v>146</v>
      </c>
      <c r="BR1056" s="2" t="s">
        <v>457</v>
      </c>
      <c r="BS1056" s="2" t="s">
        <v>297</v>
      </c>
      <c r="BT1056" s="7" t="s">
        <v>585</v>
      </c>
      <c r="BU1056" s="7"/>
      <c r="BV1056" s="9" t="s">
        <v>474</v>
      </c>
      <c r="BW1056" s="9" t="s">
        <v>585</v>
      </c>
    </row>
    <row r="1057" spans="1:75" ht="14.25" customHeight="1" x14ac:dyDescent="0.25">
      <c r="A1057" s="1">
        <v>1871</v>
      </c>
      <c r="B1057" s="1" t="s">
        <v>4374</v>
      </c>
      <c r="C1057" s="1" t="s">
        <v>4375</v>
      </c>
      <c r="D1057" s="1" t="s">
        <v>77</v>
      </c>
      <c r="E1057" s="1" t="s">
        <v>2396</v>
      </c>
      <c r="F1057" s="1" t="s">
        <v>4190</v>
      </c>
      <c r="G1057" s="1" t="s">
        <v>4376</v>
      </c>
      <c r="H1057" s="2">
        <v>1</v>
      </c>
      <c r="I1057" s="2">
        <v>1</v>
      </c>
      <c r="J1057" s="2">
        <v>0</v>
      </c>
      <c r="K1057" s="2">
        <v>0</v>
      </c>
      <c r="L1057" s="3" t="s">
        <v>127</v>
      </c>
      <c r="O1057" s="4">
        <v>2</v>
      </c>
      <c r="P1057" s="4" t="s">
        <v>579</v>
      </c>
      <c r="Q1057" s="4"/>
      <c r="R1057" s="16">
        <v>5100000</v>
      </c>
      <c r="S1057" s="6">
        <v>5100000</v>
      </c>
      <c r="T1057" s="16">
        <v>5100000</v>
      </c>
      <c r="U1057" s="6">
        <v>5100000</v>
      </c>
      <c r="V1057" s="4">
        <v>2010.5</v>
      </c>
      <c r="W1057" s="4" t="s">
        <v>579</v>
      </c>
      <c r="X1057" s="4"/>
      <c r="Y1057" s="7">
        <v>2</v>
      </c>
      <c r="Z1057" s="8">
        <v>2855031</v>
      </c>
      <c r="AA1057" s="7" t="s">
        <v>92</v>
      </c>
      <c r="AB1057" s="7"/>
      <c r="AC1057" s="9">
        <v>3</v>
      </c>
      <c r="AD1057" s="10">
        <v>956903</v>
      </c>
      <c r="AE1057" s="9" t="s">
        <v>92</v>
      </c>
      <c r="AF1057" s="9" t="s">
        <v>4377</v>
      </c>
      <c r="AG1057" s="11">
        <v>4</v>
      </c>
      <c r="AH1057" s="11" t="s">
        <v>131</v>
      </c>
      <c r="AI1057" s="11" t="s">
        <v>4378</v>
      </c>
      <c r="AJ1057" s="11">
        <v>4</v>
      </c>
      <c r="AK1057" s="11" t="s">
        <v>143</v>
      </c>
      <c r="AL1057" s="12">
        <v>3</v>
      </c>
      <c r="AM1057" s="12" t="s">
        <v>131</v>
      </c>
      <c r="AN1057" s="12" t="s">
        <v>4379</v>
      </c>
      <c r="AO1057" s="12">
        <v>1</v>
      </c>
      <c r="AP1057" s="12" t="s">
        <v>132</v>
      </c>
      <c r="AQ1057" s="4">
        <v>5</v>
      </c>
      <c r="AR1057" s="4" t="s">
        <v>133</v>
      </c>
      <c r="AS1057" s="4"/>
      <c r="AT1057" s="13">
        <v>-65.8912353515625</v>
      </c>
      <c r="AU1057" s="13">
        <v>-2.08677053451538</v>
      </c>
      <c r="AV1057" s="13">
        <v>-3.1900000572204599</v>
      </c>
      <c r="AW1057" s="13">
        <v>-1.0099999904632599</v>
      </c>
      <c r="AX1057" s="4">
        <v>1</v>
      </c>
      <c r="AY1057" s="13">
        <v>-36.717327117919901</v>
      </c>
      <c r="AZ1057" s="13">
        <v>-4.4708752632141104</v>
      </c>
      <c r="BA1057" s="13">
        <v>-8.8299999237060494</v>
      </c>
      <c r="BB1057" s="13">
        <v>1.3697000220418001E-2</v>
      </c>
      <c r="BC1057" s="4"/>
      <c r="BD1057" s="4">
        <v>10</v>
      </c>
      <c r="BE1057" s="4" t="s">
        <v>134</v>
      </c>
      <c r="BF1057" s="13">
        <v>2.1800000667571999</v>
      </c>
      <c r="BG1057" s="4">
        <v>416</v>
      </c>
      <c r="BH1057" s="13">
        <v>2.0799999237060498</v>
      </c>
      <c r="BI1057" s="13">
        <v>867.11999511718795</v>
      </c>
      <c r="BJ1057" s="4"/>
      <c r="BK1057" s="14">
        <v>13</v>
      </c>
      <c r="BL1057" s="14">
        <v>13</v>
      </c>
      <c r="BM1057" s="14">
        <v>13</v>
      </c>
      <c r="BN1057" s="3" t="s">
        <v>375</v>
      </c>
      <c r="BP1057" s="15"/>
      <c r="BQ1057" s="15" t="s">
        <v>136</v>
      </c>
      <c r="BR1057" s="2" t="s">
        <v>211</v>
      </c>
      <c r="BS1057" s="2" t="s">
        <v>239</v>
      </c>
      <c r="BT1057" s="7" t="s">
        <v>248</v>
      </c>
      <c r="BU1057" s="7" t="s">
        <v>585</v>
      </c>
      <c r="BV1057" s="9" t="s">
        <v>585</v>
      </c>
      <c r="BW1057" s="9"/>
    </row>
    <row r="1058" spans="1:75" ht="14.25" customHeight="1" x14ac:dyDescent="0.25">
      <c r="A1058" s="1">
        <v>1872</v>
      </c>
      <c r="B1058" s="1" t="s">
        <v>4380</v>
      </c>
      <c r="C1058" s="1" t="s">
        <v>4381</v>
      </c>
      <c r="D1058" s="1" t="s">
        <v>77</v>
      </c>
      <c r="E1058" s="1" t="s">
        <v>2396</v>
      </c>
      <c r="F1058" s="1" t="s">
        <v>4190</v>
      </c>
      <c r="G1058" s="1"/>
      <c r="H1058" s="2">
        <v>0</v>
      </c>
      <c r="I1058" s="2">
        <v>1</v>
      </c>
      <c r="J1058" s="2">
        <v>0</v>
      </c>
      <c r="K1058" s="2">
        <v>0</v>
      </c>
      <c r="L1058" s="3" t="s">
        <v>127</v>
      </c>
      <c r="O1058" s="4">
        <v>4</v>
      </c>
      <c r="P1058" s="4" t="s">
        <v>425</v>
      </c>
      <c r="Q1058" s="4"/>
      <c r="R1058" s="16">
        <v>200000</v>
      </c>
      <c r="S1058" s="6">
        <v>200000</v>
      </c>
      <c r="T1058" s="16">
        <v>200000</v>
      </c>
      <c r="U1058" s="6">
        <v>200000</v>
      </c>
      <c r="V1058" s="4">
        <v>2010.5</v>
      </c>
      <c r="W1058" s="4" t="s">
        <v>425</v>
      </c>
      <c r="X1058" s="4"/>
      <c r="Y1058" s="7">
        <v>4</v>
      </c>
      <c r="Z1058" s="8">
        <v>173335</v>
      </c>
      <c r="AA1058" s="7" t="s">
        <v>92</v>
      </c>
      <c r="AB1058" s="7"/>
      <c r="AC1058" s="9">
        <v>4</v>
      </c>
      <c r="AD1058" s="10">
        <v>136063</v>
      </c>
      <c r="AE1058" s="9" t="s">
        <v>92</v>
      </c>
      <c r="AF1058" s="9" t="s">
        <v>4382</v>
      </c>
      <c r="AG1058" s="11">
        <v>4</v>
      </c>
      <c r="AH1058" s="11" t="s">
        <v>454</v>
      </c>
      <c r="AI1058" s="11" t="s">
        <v>4383</v>
      </c>
      <c r="AJ1058" s="11">
        <v>2</v>
      </c>
      <c r="AK1058" s="11" t="s">
        <v>132</v>
      </c>
      <c r="AL1058" s="12">
        <v>4</v>
      </c>
      <c r="AM1058" s="12" t="s">
        <v>131</v>
      </c>
      <c r="AN1058" s="12" t="s">
        <v>4384</v>
      </c>
      <c r="AO1058" s="12">
        <v>3</v>
      </c>
      <c r="AP1058" s="12" t="s">
        <v>143</v>
      </c>
      <c r="AQ1058" s="4">
        <v>3</v>
      </c>
      <c r="AR1058" s="4" t="s">
        <v>3569</v>
      </c>
      <c r="AS1058" s="4" t="s">
        <v>4385</v>
      </c>
      <c r="AT1058" s="13"/>
      <c r="AU1058" s="13"/>
      <c r="AV1058" s="13"/>
      <c r="AW1058" s="13"/>
      <c r="AX1058" s="4"/>
      <c r="AY1058" s="13"/>
      <c r="AZ1058" s="13"/>
      <c r="BA1058" s="13"/>
      <c r="BB1058" s="13"/>
      <c r="BC1058" s="4"/>
      <c r="BD1058" s="4"/>
      <c r="BE1058" s="4"/>
      <c r="BF1058" s="13"/>
      <c r="BG1058" s="4"/>
      <c r="BH1058" s="13"/>
      <c r="BI1058" s="13"/>
      <c r="BJ1058" s="4"/>
      <c r="BK1058" s="14">
        <v>15</v>
      </c>
      <c r="BL1058" s="14">
        <v>15</v>
      </c>
      <c r="BM1058" s="14">
        <v>15</v>
      </c>
      <c r="BN1058" s="3" t="s">
        <v>86</v>
      </c>
      <c r="BP1058" s="15"/>
      <c r="BQ1058" s="15"/>
      <c r="BR1058" s="2" t="s">
        <v>239</v>
      </c>
      <c r="BS1058" s="2" t="s">
        <v>239</v>
      </c>
      <c r="BT1058" s="7" t="s">
        <v>148</v>
      </c>
      <c r="BU1058" s="7"/>
      <c r="BV1058" s="9" t="s">
        <v>148</v>
      </c>
      <c r="BW1058" s="9"/>
    </row>
    <row r="1059" spans="1:75" ht="14.25" customHeight="1" x14ac:dyDescent="0.25">
      <c r="A1059" s="1">
        <v>1873</v>
      </c>
      <c r="B1059" s="1" t="s">
        <v>4386</v>
      </c>
      <c r="C1059" s="1" t="s">
        <v>4387</v>
      </c>
      <c r="D1059" s="1" t="s">
        <v>77</v>
      </c>
      <c r="E1059" s="1" t="s">
        <v>2396</v>
      </c>
      <c r="F1059" s="1" t="s">
        <v>4190</v>
      </c>
      <c r="G1059" s="1" t="s">
        <v>4388</v>
      </c>
      <c r="H1059" s="2">
        <v>1</v>
      </c>
      <c r="I1059" s="2">
        <v>1</v>
      </c>
      <c r="J1059" s="2">
        <v>0</v>
      </c>
      <c r="K1059" s="2">
        <v>0</v>
      </c>
      <c r="L1059" s="3" t="s">
        <v>127</v>
      </c>
      <c r="O1059" s="4">
        <v>3</v>
      </c>
      <c r="P1059" s="4" t="s">
        <v>579</v>
      </c>
      <c r="Q1059" s="4"/>
      <c r="R1059" s="16">
        <v>1000000</v>
      </c>
      <c r="S1059" s="6">
        <v>1000000</v>
      </c>
      <c r="T1059" s="16">
        <v>1000000</v>
      </c>
      <c r="U1059" s="6">
        <v>1000000</v>
      </c>
      <c r="V1059" s="4">
        <v>2010.5</v>
      </c>
      <c r="W1059" s="4" t="s">
        <v>579</v>
      </c>
      <c r="X1059" s="4"/>
      <c r="Y1059" s="7">
        <v>2</v>
      </c>
      <c r="Z1059" s="8">
        <v>1338870</v>
      </c>
      <c r="AA1059" s="7" t="s">
        <v>92</v>
      </c>
      <c r="AB1059" s="7"/>
      <c r="AC1059" s="9">
        <v>4</v>
      </c>
      <c r="AD1059" s="10">
        <v>211921</v>
      </c>
      <c r="AE1059" s="9" t="s">
        <v>92</v>
      </c>
      <c r="AF1059" s="9"/>
      <c r="AG1059" s="11">
        <v>3</v>
      </c>
      <c r="AH1059" s="11" t="s">
        <v>131</v>
      </c>
      <c r="AI1059" s="11"/>
      <c r="AJ1059" s="11">
        <v>3</v>
      </c>
      <c r="AK1059" s="11" t="s">
        <v>332</v>
      </c>
      <c r="AL1059" s="12">
        <v>4</v>
      </c>
      <c r="AM1059" s="12" t="s">
        <v>131</v>
      </c>
      <c r="AN1059" s="12" t="s">
        <v>4389</v>
      </c>
      <c r="AO1059" s="12">
        <v>4</v>
      </c>
      <c r="AP1059" s="12" t="s">
        <v>332</v>
      </c>
      <c r="AQ1059" s="4">
        <v>3</v>
      </c>
      <c r="AR1059" s="4" t="s">
        <v>133</v>
      </c>
      <c r="AS1059" s="4"/>
      <c r="AT1059" s="13">
        <v>84.397087097167997</v>
      </c>
      <c r="AU1059" s="13">
        <v>1.2068680524826001</v>
      </c>
      <c r="AV1059" s="13">
        <v>-0.91900002956390403</v>
      </c>
      <c r="AW1059" s="13">
        <v>2.8010959625244101</v>
      </c>
      <c r="AX1059" s="4"/>
      <c r="AY1059" s="13">
        <v>-35.698558807372997</v>
      </c>
      <c r="AZ1059" s="13">
        <v>-4.32241010665894</v>
      </c>
      <c r="BA1059" s="13">
        <v>-7.5002012252807599</v>
      </c>
      <c r="BB1059" s="13">
        <v>-9.08999964594841E-2</v>
      </c>
      <c r="BC1059" s="4">
        <v>1</v>
      </c>
      <c r="BD1059" s="4">
        <v>10</v>
      </c>
      <c r="BE1059" s="4" t="s">
        <v>134</v>
      </c>
      <c r="BF1059" s="13">
        <v>3.7200961112976101</v>
      </c>
      <c r="BG1059" s="4">
        <v>220.5</v>
      </c>
      <c r="BH1059" s="13">
        <v>0.11450000107288399</v>
      </c>
      <c r="BI1059" s="13">
        <v>25.2399997711182</v>
      </c>
      <c r="BJ1059" s="4"/>
      <c r="BK1059" s="14">
        <v>11</v>
      </c>
      <c r="BL1059" s="14">
        <v>14</v>
      </c>
      <c r="BM1059" s="14">
        <v>14</v>
      </c>
      <c r="BN1059" s="3" t="s">
        <v>86</v>
      </c>
      <c r="BP1059" s="15"/>
      <c r="BQ1059" s="15"/>
      <c r="BR1059" s="2" t="s">
        <v>457</v>
      </c>
      <c r="BS1059" s="2" t="s">
        <v>239</v>
      </c>
      <c r="BT1059" s="7" t="s">
        <v>248</v>
      </c>
      <c r="BU1059" s="7" t="s">
        <v>148</v>
      </c>
      <c r="BV1059" s="9" t="s">
        <v>148</v>
      </c>
      <c r="BW1059" s="9"/>
    </row>
    <row r="1060" spans="1:75" ht="14.25" customHeight="1" x14ac:dyDescent="0.25">
      <c r="A1060" s="1">
        <v>1874</v>
      </c>
      <c r="B1060" s="1" t="s">
        <v>4390</v>
      </c>
      <c r="C1060" s="1" t="s">
        <v>4391</v>
      </c>
      <c r="D1060" s="1" t="s">
        <v>77</v>
      </c>
      <c r="E1060" s="1" t="s">
        <v>2396</v>
      </c>
      <c r="F1060" s="1" t="s">
        <v>4190</v>
      </c>
      <c r="G1060" s="1" t="s">
        <v>4392</v>
      </c>
      <c r="H1060" s="2">
        <v>0</v>
      </c>
      <c r="I1060" s="2">
        <v>1</v>
      </c>
      <c r="J1060" s="2">
        <v>0</v>
      </c>
      <c r="K1060" s="2">
        <v>0</v>
      </c>
      <c r="L1060" s="3" t="s">
        <v>127</v>
      </c>
      <c r="O1060" s="4">
        <v>4</v>
      </c>
      <c r="P1060" s="4" t="s">
        <v>4393</v>
      </c>
      <c r="Q1060" s="4" t="s">
        <v>4394</v>
      </c>
      <c r="R1060" s="16">
        <v>60000</v>
      </c>
      <c r="S1060" s="6">
        <v>60000</v>
      </c>
      <c r="T1060" s="16">
        <v>60000</v>
      </c>
      <c r="U1060" s="6">
        <v>60000</v>
      </c>
      <c r="V1060" s="4"/>
      <c r="W1060" s="4" t="s">
        <v>4393</v>
      </c>
      <c r="X1060" s="4"/>
      <c r="Y1060" s="7">
        <v>5</v>
      </c>
      <c r="Z1060" s="8">
        <v>69146</v>
      </c>
      <c r="AA1060" s="7" t="s">
        <v>92</v>
      </c>
      <c r="AB1060" s="7"/>
      <c r="AC1060" s="9">
        <v>4</v>
      </c>
      <c r="AD1060" s="10">
        <v>132610</v>
      </c>
      <c r="AE1060" s="9" t="s">
        <v>92</v>
      </c>
      <c r="AF1060" s="9"/>
      <c r="AG1060" s="11">
        <v>5</v>
      </c>
      <c r="AH1060" s="11" t="s">
        <v>454</v>
      </c>
      <c r="AI1060" s="11" t="s">
        <v>4395</v>
      </c>
      <c r="AJ1060" s="11">
        <v>1</v>
      </c>
      <c r="AK1060" s="11" t="s">
        <v>132</v>
      </c>
      <c r="AL1060" s="12">
        <v>4</v>
      </c>
      <c r="AM1060" s="12" t="s">
        <v>131</v>
      </c>
      <c r="AN1060" s="12" t="s">
        <v>4396</v>
      </c>
      <c r="AO1060" s="12">
        <v>4</v>
      </c>
      <c r="AP1060" s="12" t="s">
        <v>143</v>
      </c>
      <c r="AQ1060" s="4">
        <v>5</v>
      </c>
      <c r="AR1060" s="4" t="s">
        <v>4397</v>
      </c>
      <c r="AS1060" s="4" t="s">
        <v>4398</v>
      </c>
      <c r="AT1060" s="13"/>
      <c r="AU1060" s="13"/>
      <c r="AV1060" s="13"/>
      <c r="AW1060" s="13"/>
      <c r="AX1060" s="4"/>
      <c r="AY1060" s="13"/>
      <c r="AZ1060" s="13"/>
      <c r="BA1060" s="13"/>
      <c r="BB1060" s="13"/>
      <c r="BC1060" s="4"/>
      <c r="BD1060" s="4"/>
      <c r="BE1060" s="4"/>
      <c r="BF1060" s="13"/>
      <c r="BG1060" s="4"/>
      <c r="BH1060" s="13"/>
      <c r="BI1060" s="13"/>
      <c r="BJ1060" s="4"/>
      <c r="BK1060" s="14">
        <v>19</v>
      </c>
      <c r="BL1060" s="14">
        <v>17</v>
      </c>
      <c r="BM1060" s="14">
        <v>19</v>
      </c>
      <c r="BN1060" s="3" t="s">
        <v>312</v>
      </c>
      <c r="BO1060" s="3" t="s">
        <v>414</v>
      </c>
      <c r="BP1060" s="15"/>
      <c r="BQ1060" s="15"/>
      <c r="BR1060" s="2" t="s">
        <v>239</v>
      </c>
      <c r="BS1060" s="2" t="s">
        <v>239</v>
      </c>
      <c r="BT1060" s="7" t="s">
        <v>148</v>
      </c>
      <c r="BU1060" s="7"/>
      <c r="BV1060" s="9" t="s">
        <v>148</v>
      </c>
      <c r="BW1060" s="9"/>
    </row>
    <row r="1061" spans="1:75" ht="14.25" customHeight="1" x14ac:dyDescent="0.25">
      <c r="A1061" s="1">
        <v>1875</v>
      </c>
      <c r="B1061" s="1" t="s">
        <v>4399</v>
      </c>
      <c r="C1061" s="1" t="s">
        <v>4400</v>
      </c>
      <c r="D1061" s="1" t="s">
        <v>77</v>
      </c>
      <c r="E1061" s="1" t="s">
        <v>2396</v>
      </c>
      <c r="F1061" s="1" t="s">
        <v>4190</v>
      </c>
      <c r="G1061" s="1" t="s">
        <v>4388</v>
      </c>
      <c r="H1061" s="2">
        <v>1</v>
      </c>
      <c r="I1061" s="2">
        <v>1</v>
      </c>
      <c r="J1061" s="2">
        <v>1</v>
      </c>
      <c r="K1061" s="2">
        <v>0</v>
      </c>
      <c r="L1061" s="3" t="s">
        <v>127</v>
      </c>
      <c r="O1061" s="4">
        <v>3</v>
      </c>
      <c r="P1061" s="4" t="s">
        <v>425</v>
      </c>
      <c r="Q1061" s="4"/>
      <c r="R1061" s="16">
        <v>3400000</v>
      </c>
      <c r="S1061" s="6">
        <v>3400000</v>
      </c>
      <c r="T1061" s="16">
        <v>3400000</v>
      </c>
      <c r="U1061" s="6">
        <v>3400000</v>
      </c>
      <c r="V1061" s="4">
        <v>2010.5</v>
      </c>
      <c r="W1061" s="4" t="s">
        <v>425</v>
      </c>
      <c r="X1061" s="4"/>
      <c r="Y1061" s="7">
        <v>3</v>
      </c>
      <c r="Z1061" s="8">
        <v>827483</v>
      </c>
      <c r="AA1061" s="7" t="s">
        <v>92</v>
      </c>
      <c r="AB1061" s="7"/>
      <c r="AC1061" s="9">
        <v>3</v>
      </c>
      <c r="AD1061" s="10">
        <v>377349</v>
      </c>
      <c r="AE1061" s="9" t="s">
        <v>92</v>
      </c>
      <c r="AF1061" s="9"/>
      <c r="AG1061" s="11">
        <v>5</v>
      </c>
      <c r="AH1061" s="11" t="s">
        <v>131</v>
      </c>
      <c r="AI1061" s="11"/>
      <c r="AJ1061" s="11">
        <v>5</v>
      </c>
      <c r="AK1061" s="11" t="s">
        <v>132</v>
      </c>
      <c r="AL1061" s="12">
        <v>5</v>
      </c>
      <c r="AM1061" s="12" t="s">
        <v>131</v>
      </c>
      <c r="AN1061" s="12" t="s">
        <v>4401</v>
      </c>
      <c r="AO1061" s="12">
        <v>5</v>
      </c>
      <c r="AP1061" s="12" t="s">
        <v>132</v>
      </c>
      <c r="AQ1061" s="4">
        <v>5</v>
      </c>
      <c r="AR1061" s="4" t="s">
        <v>133</v>
      </c>
      <c r="AS1061" s="4"/>
      <c r="AT1061" s="13">
        <v>-70.635543823242202</v>
      </c>
      <c r="AU1061" s="13">
        <v>-2.3728835582733199</v>
      </c>
      <c r="AV1061" s="13">
        <v>-3.53999996185303</v>
      </c>
      <c r="AW1061" s="13">
        <v>-1.4989969730377199</v>
      </c>
      <c r="AX1061" s="4">
        <v>1</v>
      </c>
      <c r="AY1061" s="13">
        <v>-8.0301151275634801</v>
      </c>
      <c r="AZ1061" s="13">
        <v>-0.83226031064987205</v>
      </c>
      <c r="BA1061" s="13">
        <v>-4.7300000190734899</v>
      </c>
      <c r="BB1061" s="13">
        <v>2.1900000572204599</v>
      </c>
      <c r="BC1061" s="4"/>
      <c r="BD1061" s="4">
        <v>10</v>
      </c>
      <c r="BE1061" s="4" t="s">
        <v>134</v>
      </c>
      <c r="BF1061" s="13">
        <v>2.0410029888153098</v>
      </c>
      <c r="BG1061" s="4">
        <v>246</v>
      </c>
      <c r="BH1061" s="13">
        <v>6.4949998855590803</v>
      </c>
      <c r="BI1061" s="13">
        <v>1594.69494628906</v>
      </c>
      <c r="BJ1061" s="4"/>
      <c r="BK1061" s="14">
        <v>16</v>
      </c>
      <c r="BL1061" s="14">
        <v>16</v>
      </c>
      <c r="BM1061" s="14">
        <v>16</v>
      </c>
      <c r="BN1061" s="3" t="s">
        <v>312</v>
      </c>
      <c r="BP1061" s="15"/>
      <c r="BQ1061" s="15"/>
      <c r="BR1061" s="2" t="s">
        <v>457</v>
      </c>
      <c r="BS1061" s="2" t="s">
        <v>297</v>
      </c>
      <c r="BT1061" s="7" t="s">
        <v>585</v>
      </c>
      <c r="BU1061" s="7"/>
      <c r="BV1061" s="9" t="s">
        <v>474</v>
      </c>
      <c r="BW1061" s="9"/>
    </row>
    <row r="1062" spans="1:75" ht="14.25" customHeight="1" x14ac:dyDescent="0.25">
      <c r="A1062" s="1">
        <v>1876</v>
      </c>
      <c r="B1062" s="1" t="s">
        <v>4402</v>
      </c>
      <c r="C1062" s="1" t="s">
        <v>4403</v>
      </c>
      <c r="D1062" s="1" t="s">
        <v>77</v>
      </c>
      <c r="E1062" s="1" t="s">
        <v>2396</v>
      </c>
      <c r="F1062" s="1" t="s">
        <v>4190</v>
      </c>
      <c r="G1062" s="1" t="s">
        <v>4392</v>
      </c>
      <c r="H1062" s="2">
        <v>1</v>
      </c>
      <c r="I1062" s="2">
        <v>1</v>
      </c>
      <c r="J1062" s="2">
        <v>0</v>
      </c>
      <c r="K1062" s="2">
        <v>0</v>
      </c>
      <c r="L1062" s="3" t="s">
        <v>127</v>
      </c>
      <c r="O1062" s="4">
        <v>4</v>
      </c>
      <c r="P1062" s="4" t="s">
        <v>425</v>
      </c>
      <c r="Q1062" s="4"/>
      <c r="R1062" s="16">
        <v>410000</v>
      </c>
      <c r="S1062" s="6">
        <v>410000</v>
      </c>
      <c r="T1062" s="16">
        <v>410000</v>
      </c>
      <c r="U1062" s="6">
        <v>410000</v>
      </c>
      <c r="V1062" s="4">
        <v>2010.5</v>
      </c>
      <c r="W1062" s="4" t="s">
        <v>425</v>
      </c>
      <c r="X1062" s="4"/>
      <c r="Y1062" s="7">
        <v>2</v>
      </c>
      <c r="Z1062" s="8">
        <v>1091291</v>
      </c>
      <c r="AA1062" s="7" t="s">
        <v>92</v>
      </c>
      <c r="AB1062" s="7"/>
      <c r="AC1062" s="9">
        <v>3</v>
      </c>
      <c r="AD1062" s="10">
        <v>658360</v>
      </c>
      <c r="AE1062" s="9" t="s">
        <v>92</v>
      </c>
      <c r="AF1062" s="9"/>
      <c r="AG1062" s="11">
        <v>5</v>
      </c>
      <c r="AH1062" s="11" t="s">
        <v>131</v>
      </c>
      <c r="AI1062" s="11" t="s">
        <v>4404</v>
      </c>
      <c r="AJ1062" s="11">
        <v>5</v>
      </c>
      <c r="AK1062" s="11" t="s">
        <v>132</v>
      </c>
      <c r="AL1062" s="12">
        <v>4</v>
      </c>
      <c r="AM1062" s="12" t="s">
        <v>131</v>
      </c>
      <c r="AN1062" s="12"/>
      <c r="AO1062" s="12">
        <v>2</v>
      </c>
      <c r="AP1062" s="12" t="s">
        <v>132</v>
      </c>
      <c r="AQ1062" s="4">
        <v>4</v>
      </c>
      <c r="AR1062" s="4" t="s">
        <v>133</v>
      </c>
      <c r="AS1062" s="4"/>
      <c r="AT1062" s="13">
        <v>-42.487274169921903</v>
      </c>
      <c r="AU1062" s="13">
        <v>-1.07773625850677</v>
      </c>
      <c r="AV1062" s="13">
        <v>-2.8800001144409202</v>
      </c>
      <c r="AW1062" s="13">
        <v>0.50710397958755504</v>
      </c>
      <c r="AX1062" s="4"/>
      <c r="AY1062" s="13">
        <v>-39.043594360351598</v>
      </c>
      <c r="AZ1062" s="13">
        <v>-4.8287124633789098</v>
      </c>
      <c r="BA1062" s="13">
        <v>-8.1400003433227504</v>
      </c>
      <c r="BB1062" s="13">
        <v>-1.9110980033874501</v>
      </c>
      <c r="BC1062" s="4">
        <v>1</v>
      </c>
      <c r="BD1062" s="4">
        <v>10</v>
      </c>
      <c r="BE1062" s="4" t="s">
        <v>134</v>
      </c>
      <c r="BF1062" s="13">
        <v>3.3871040344238299</v>
      </c>
      <c r="BG1062" s="4">
        <v>365</v>
      </c>
      <c r="BH1062" s="13">
        <v>6.2849998474121094E-2</v>
      </c>
      <c r="BI1062" s="13">
        <v>23.1002006530762</v>
      </c>
      <c r="BJ1062" s="4"/>
      <c r="BK1062" s="14">
        <v>15</v>
      </c>
      <c r="BL1062" s="14">
        <v>15</v>
      </c>
      <c r="BM1062" s="14">
        <v>15</v>
      </c>
      <c r="BN1062" s="3" t="s">
        <v>113</v>
      </c>
      <c r="BP1062" s="15"/>
      <c r="BQ1062" s="15" t="s">
        <v>2503</v>
      </c>
      <c r="BR1062" s="2" t="s">
        <v>457</v>
      </c>
      <c r="BS1062" s="2" t="s">
        <v>239</v>
      </c>
      <c r="BT1062" s="7" t="s">
        <v>585</v>
      </c>
      <c r="BU1062" s="7"/>
      <c r="BV1062" s="9" t="s">
        <v>585</v>
      </c>
      <c r="BW1062" s="9" t="s">
        <v>241</v>
      </c>
    </row>
    <row r="1063" spans="1:75" ht="14.25" customHeight="1" x14ac:dyDescent="0.25">
      <c r="A1063" s="1">
        <v>1877</v>
      </c>
      <c r="B1063" s="1" t="s">
        <v>4405</v>
      </c>
      <c r="C1063" s="1" t="s">
        <v>4406</v>
      </c>
      <c r="D1063" s="1" t="s">
        <v>77</v>
      </c>
      <c r="E1063" s="1" t="s">
        <v>2396</v>
      </c>
      <c r="F1063" s="1" t="s">
        <v>4190</v>
      </c>
      <c r="G1063" s="1"/>
      <c r="H1063" s="2">
        <v>1</v>
      </c>
      <c r="I1063" s="2">
        <v>1</v>
      </c>
      <c r="J1063" s="2">
        <v>1</v>
      </c>
      <c r="K1063" s="2">
        <v>1</v>
      </c>
      <c r="L1063" s="3" t="s">
        <v>127</v>
      </c>
      <c r="O1063" s="4">
        <v>1</v>
      </c>
      <c r="P1063" s="4" t="s">
        <v>4407</v>
      </c>
      <c r="Q1063" s="4"/>
      <c r="R1063" s="16">
        <v>170000000</v>
      </c>
      <c r="S1063" s="6">
        <v>170000000</v>
      </c>
      <c r="T1063" s="16">
        <v>170000000</v>
      </c>
      <c r="U1063" s="6">
        <v>170000000</v>
      </c>
      <c r="V1063" s="4">
        <v>2010.5</v>
      </c>
      <c r="W1063" s="4" t="s">
        <v>531</v>
      </c>
      <c r="X1063" s="4"/>
      <c r="Y1063" s="7">
        <v>1</v>
      </c>
      <c r="Z1063" s="8">
        <v>13727335</v>
      </c>
      <c r="AA1063" s="7" t="s">
        <v>92</v>
      </c>
      <c r="AB1063" s="7"/>
      <c r="AC1063" s="9">
        <v>1</v>
      </c>
      <c r="AD1063" s="10">
        <v>4716806</v>
      </c>
      <c r="AE1063" s="9" t="s">
        <v>92</v>
      </c>
      <c r="AF1063" s="9"/>
      <c r="AG1063" s="11">
        <v>3</v>
      </c>
      <c r="AH1063" s="11" t="s">
        <v>131</v>
      </c>
      <c r="AI1063" s="11" t="s">
        <v>4408</v>
      </c>
      <c r="AJ1063" s="11">
        <v>3</v>
      </c>
      <c r="AK1063" s="11" t="s">
        <v>143</v>
      </c>
      <c r="AL1063" s="12">
        <v>2</v>
      </c>
      <c r="AM1063" s="12" t="s">
        <v>131</v>
      </c>
      <c r="AN1063" s="12" t="s">
        <v>4319</v>
      </c>
      <c r="AO1063" s="12">
        <v>2</v>
      </c>
      <c r="AP1063" s="12" t="s">
        <v>132</v>
      </c>
      <c r="AQ1063" s="4">
        <v>5</v>
      </c>
      <c r="AR1063" s="4" t="s">
        <v>133</v>
      </c>
      <c r="AS1063" s="4"/>
      <c r="AT1063" s="13">
        <v>-54.606193542480497</v>
      </c>
      <c r="AU1063" s="13">
        <v>-1.53670978546143</v>
      </c>
      <c r="AV1063" s="13">
        <v>-2.4300000667571999</v>
      </c>
      <c r="AW1063" s="13">
        <v>-1.0495009422302199</v>
      </c>
      <c r="AX1063" s="4">
        <v>1</v>
      </c>
      <c r="AY1063" s="13">
        <v>-30.339910507202099</v>
      </c>
      <c r="AZ1063" s="13">
        <v>-3.5535476207733199</v>
      </c>
      <c r="BA1063" s="13">
        <v>-4.6100001335143999</v>
      </c>
      <c r="BB1063" s="13">
        <v>-2.78999996185303</v>
      </c>
      <c r="BC1063" s="4">
        <v>1</v>
      </c>
      <c r="BD1063" s="4">
        <v>10</v>
      </c>
      <c r="BE1063" s="4" t="s">
        <v>134</v>
      </c>
      <c r="BF1063" s="13">
        <v>1.38049900531769</v>
      </c>
      <c r="BG1063" s="4">
        <v>2638</v>
      </c>
      <c r="BH1063" s="13">
        <v>16.274999618530298</v>
      </c>
      <c r="BI1063" s="13">
        <v>42880.92578125</v>
      </c>
      <c r="BJ1063" s="4">
        <v>19</v>
      </c>
      <c r="BK1063" s="14">
        <v>10</v>
      </c>
      <c r="BL1063" s="14">
        <v>9</v>
      </c>
      <c r="BM1063" s="14">
        <v>10</v>
      </c>
      <c r="BN1063" s="3" t="s">
        <v>302</v>
      </c>
      <c r="BP1063" s="15"/>
      <c r="BQ1063" s="15" t="s">
        <v>146</v>
      </c>
      <c r="BR1063" s="2" t="s">
        <v>172</v>
      </c>
      <c r="BS1063" s="2" t="s">
        <v>172</v>
      </c>
      <c r="BT1063" s="7" t="s">
        <v>585</v>
      </c>
      <c r="BU1063" s="7" t="s">
        <v>174</v>
      </c>
      <c r="BV1063" s="9" t="s">
        <v>603</v>
      </c>
      <c r="BW1063" s="9" t="s">
        <v>148</v>
      </c>
    </row>
    <row r="1064" spans="1:75" ht="14.25" customHeight="1" x14ac:dyDescent="0.25">
      <c r="A1064" s="1">
        <v>1899</v>
      </c>
      <c r="B1064" s="1" t="s">
        <v>4409</v>
      </c>
      <c r="C1064" s="1" t="s">
        <v>4410</v>
      </c>
      <c r="D1064" s="1" t="s">
        <v>77</v>
      </c>
      <c r="E1064" s="1" t="s">
        <v>2396</v>
      </c>
      <c r="F1064" s="1" t="s">
        <v>4190</v>
      </c>
      <c r="G1064" s="1"/>
      <c r="H1064" s="2">
        <v>0</v>
      </c>
      <c r="I1064" s="2">
        <v>0</v>
      </c>
      <c r="J1064" s="2">
        <v>1</v>
      </c>
      <c r="K1064" s="2">
        <v>0</v>
      </c>
      <c r="L1064" s="3" t="s">
        <v>80</v>
      </c>
      <c r="O1064" s="4">
        <v>4</v>
      </c>
      <c r="P1064" s="4" t="s">
        <v>112</v>
      </c>
      <c r="Q1064" s="4"/>
      <c r="R1064" s="5"/>
      <c r="S1064" s="6"/>
      <c r="T1064" s="17"/>
      <c r="U1064" s="6"/>
      <c r="V1064" s="4"/>
      <c r="W1064" s="4"/>
      <c r="X1064" s="4"/>
      <c r="Y1064" s="7">
        <v>3</v>
      </c>
      <c r="Z1064" s="8">
        <v>349940</v>
      </c>
      <c r="AA1064" s="7" t="s">
        <v>92</v>
      </c>
      <c r="AB1064" s="7"/>
      <c r="AC1064" s="9">
        <v>3</v>
      </c>
      <c r="AD1064" s="10">
        <v>349940</v>
      </c>
      <c r="AE1064" s="9" t="s">
        <v>92</v>
      </c>
      <c r="AF1064" s="9"/>
      <c r="AG1064" s="11">
        <v>3</v>
      </c>
      <c r="AH1064" s="11" t="s">
        <v>93</v>
      </c>
      <c r="AI1064" s="11"/>
      <c r="AJ1064" s="11"/>
      <c r="AK1064" s="11"/>
      <c r="AL1064" s="12">
        <v>3</v>
      </c>
      <c r="AM1064" s="12" t="s">
        <v>93</v>
      </c>
      <c r="AN1064" s="12" t="s">
        <v>4411</v>
      </c>
      <c r="AO1064" s="12"/>
      <c r="AP1064" s="12"/>
      <c r="AQ1064" s="4">
        <v>3</v>
      </c>
      <c r="AR1064" s="4" t="s">
        <v>93</v>
      </c>
      <c r="AS1064" s="4"/>
      <c r="AT1064" s="13"/>
      <c r="AU1064" s="13"/>
      <c r="AV1064" s="13"/>
      <c r="AW1064" s="13"/>
      <c r="AX1064" s="4"/>
      <c r="AY1064" s="13"/>
      <c r="AZ1064" s="13"/>
      <c r="BA1064" s="13"/>
      <c r="BB1064" s="13"/>
      <c r="BC1064" s="4"/>
      <c r="BD1064" s="4"/>
      <c r="BE1064" s="4"/>
      <c r="BF1064" s="13"/>
      <c r="BG1064" s="4"/>
      <c r="BH1064" s="13"/>
      <c r="BI1064" s="13"/>
      <c r="BJ1064" s="4"/>
      <c r="BK1064" s="14">
        <v>13</v>
      </c>
      <c r="BL1064" s="14">
        <v>13</v>
      </c>
      <c r="BM1064" s="14">
        <v>13</v>
      </c>
      <c r="BP1064" s="15"/>
      <c r="BQ1064" s="15"/>
      <c r="BR1064" s="2" t="s">
        <v>409</v>
      </c>
      <c r="BS1064" s="2" t="s">
        <v>409</v>
      </c>
      <c r="BT1064" s="7" t="s">
        <v>438</v>
      </c>
      <c r="BU1064" s="7"/>
      <c r="BV1064" s="9" t="s">
        <v>438</v>
      </c>
      <c r="BW1064" s="9"/>
    </row>
    <row r="1065" spans="1:75" ht="14.25" customHeight="1" x14ac:dyDescent="0.25">
      <c r="A1065" s="1">
        <v>1900</v>
      </c>
      <c r="B1065" s="1" t="s">
        <v>4412</v>
      </c>
      <c r="C1065" s="1" t="s">
        <v>4413</v>
      </c>
      <c r="D1065" s="1" t="s">
        <v>77</v>
      </c>
      <c r="E1065" s="1" t="s">
        <v>2396</v>
      </c>
      <c r="F1065" s="1" t="s">
        <v>4190</v>
      </c>
      <c r="G1065" s="1"/>
      <c r="H1065" s="2">
        <v>0</v>
      </c>
      <c r="I1065" s="2">
        <v>0</v>
      </c>
      <c r="J1065" s="2">
        <v>1</v>
      </c>
      <c r="K1065" s="2">
        <v>1</v>
      </c>
      <c r="L1065" s="3" t="s">
        <v>80</v>
      </c>
      <c r="O1065" s="4">
        <v>4</v>
      </c>
      <c r="P1065" s="4" t="s">
        <v>112</v>
      </c>
      <c r="Q1065" s="4"/>
      <c r="R1065" s="5"/>
      <c r="S1065" s="6"/>
      <c r="T1065" s="17"/>
      <c r="U1065" s="6"/>
      <c r="V1065" s="4"/>
      <c r="W1065" s="4"/>
      <c r="X1065" s="4"/>
      <c r="Y1065" s="7">
        <v>4</v>
      </c>
      <c r="Z1065" s="8">
        <v>256854</v>
      </c>
      <c r="AA1065" s="7" t="s">
        <v>92</v>
      </c>
      <c r="AB1065" s="7"/>
      <c r="AC1065" s="9">
        <v>4</v>
      </c>
      <c r="AD1065" s="10">
        <v>256854</v>
      </c>
      <c r="AE1065" s="9" t="s">
        <v>92</v>
      </c>
      <c r="AF1065" s="9"/>
      <c r="AG1065" s="11">
        <v>4</v>
      </c>
      <c r="AH1065" s="11" t="s">
        <v>93</v>
      </c>
      <c r="AI1065" s="11"/>
      <c r="AJ1065" s="11"/>
      <c r="AK1065" s="11"/>
      <c r="AL1065" s="12">
        <v>4</v>
      </c>
      <c r="AM1065" s="12" t="s">
        <v>93</v>
      </c>
      <c r="AN1065" s="12" t="s">
        <v>4411</v>
      </c>
      <c r="AO1065" s="12"/>
      <c r="AP1065" s="12"/>
      <c r="AQ1065" s="4">
        <v>4</v>
      </c>
      <c r="AR1065" s="4" t="s">
        <v>83</v>
      </c>
      <c r="AS1065" s="4"/>
      <c r="AT1065" s="13"/>
      <c r="AU1065" s="13"/>
      <c r="AV1065" s="13"/>
      <c r="AW1065" s="13"/>
      <c r="AX1065" s="4"/>
      <c r="AY1065" s="13"/>
      <c r="AZ1065" s="13"/>
      <c r="BA1065" s="13"/>
      <c r="BB1065" s="13"/>
      <c r="BC1065" s="4"/>
      <c r="BD1065" s="4"/>
      <c r="BE1065" s="4"/>
      <c r="BF1065" s="13"/>
      <c r="BG1065" s="4"/>
      <c r="BH1065" s="13"/>
      <c r="BI1065" s="13"/>
      <c r="BJ1065" s="4"/>
      <c r="BK1065" s="14">
        <v>16</v>
      </c>
      <c r="BL1065" s="14">
        <v>16</v>
      </c>
      <c r="BM1065" s="14">
        <v>16</v>
      </c>
      <c r="BN1065" s="3" t="s">
        <v>86</v>
      </c>
      <c r="BP1065" s="15"/>
      <c r="BQ1065" s="15"/>
      <c r="BR1065" s="2" t="s">
        <v>409</v>
      </c>
      <c r="BS1065" s="2" t="s">
        <v>409</v>
      </c>
      <c r="BT1065" s="7" t="s">
        <v>88</v>
      </c>
      <c r="BU1065" s="7"/>
      <c r="BV1065" s="9" t="s">
        <v>88</v>
      </c>
      <c r="BW1065" s="9"/>
    </row>
    <row r="1066" spans="1:75" ht="14.25" customHeight="1" x14ac:dyDescent="0.25">
      <c r="A1066" s="1">
        <v>1901</v>
      </c>
      <c r="B1066" s="1" t="s">
        <v>4414</v>
      </c>
      <c r="C1066" s="1" t="s">
        <v>4415</v>
      </c>
      <c r="D1066" s="1" t="s">
        <v>77</v>
      </c>
      <c r="E1066" s="1" t="s">
        <v>2396</v>
      </c>
      <c r="F1066" s="1" t="s">
        <v>4190</v>
      </c>
      <c r="G1066" s="1" t="s">
        <v>4416</v>
      </c>
      <c r="H1066" s="2">
        <v>0</v>
      </c>
      <c r="I1066" s="2">
        <v>0</v>
      </c>
      <c r="J1066" s="2">
        <v>0</v>
      </c>
      <c r="K1066" s="2">
        <v>1</v>
      </c>
      <c r="L1066" s="3" t="s">
        <v>80</v>
      </c>
      <c r="O1066" s="4">
        <v>4</v>
      </c>
      <c r="P1066" s="4" t="s">
        <v>81</v>
      </c>
      <c r="Q1066" s="4"/>
      <c r="R1066" s="5"/>
      <c r="S1066" s="6"/>
      <c r="T1066" s="17"/>
      <c r="U1066" s="6"/>
      <c r="V1066" s="4"/>
      <c r="W1066" s="4"/>
      <c r="X1066" s="4"/>
      <c r="Y1066" s="7">
        <v>5</v>
      </c>
      <c r="Z1066" s="8">
        <v>6577</v>
      </c>
      <c r="AA1066" s="7" t="s">
        <v>82</v>
      </c>
      <c r="AB1066" s="7"/>
      <c r="AC1066" s="9">
        <v>5</v>
      </c>
      <c r="AD1066" s="10">
        <v>6577</v>
      </c>
      <c r="AE1066" s="9" t="s">
        <v>82</v>
      </c>
      <c r="AF1066" s="9"/>
      <c r="AG1066" s="11">
        <v>3</v>
      </c>
      <c r="AH1066" s="11" t="s">
        <v>83</v>
      </c>
      <c r="AI1066" s="11" t="s">
        <v>4417</v>
      </c>
      <c r="AJ1066" s="11"/>
      <c r="AK1066" s="11"/>
      <c r="AL1066" s="12">
        <v>3</v>
      </c>
      <c r="AM1066" s="12" t="s">
        <v>83</v>
      </c>
      <c r="AN1066" s="12"/>
      <c r="AO1066" s="12"/>
      <c r="AP1066" s="12"/>
      <c r="AQ1066" s="4">
        <v>3</v>
      </c>
      <c r="AR1066" s="4" t="s">
        <v>83</v>
      </c>
      <c r="AS1066" s="4"/>
      <c r="AT1066" s="13"/>
      <c r="AU1066" s="13"/>
      <c r="AV1066" s="13"/>
      <c r="AW1066" s="13"/>
      <c r="AX1066" s="4"/>
      <c r="AY1066" s="13"/>
      <c r="AZ1066" s="13"/>
      <c r="BA1066" s="13"/>
      <c r="BB1066" s="13"/>
      <c r="BC1066" s="4"/>
      <c r="BD1066" s="4"/>
      <c r="BE1066" s="4"/>
      <c r="BF1066" s="13"/>
      <c r="BG1066" s="4"/>
      <c r="BH1066" s="13"/>
      <c r="BI1066" s="13"/>
      <c r="BJ1066" s="4"/>
      <c r="BK1066" s="14">
        <v>15</v>
      </c>
      <c r="BL1066" s="14">
        <v>15</v>
      </c>
      <c r="BM1066" s="14">
        <v>15</v>
      </c>
      <c r="BN1066" s="3" t="s">
        <v>86</v>
      </c>
      <c r="BP1066" s="15"/>
      <c r="BQ1066" s="15"/>
      <c r="BR1066" s="2" t="s">
        <v>87</v>
      </c>
      <c r="BS1066" s="2" t="s">
        <v>87</v>
      </c>
      <c r="BT1066" s="7" t="s">
        <v>88</v>
      </c>
      <c r="BU1066" s="7"/>
      <c r="BV1066" s="9" t="s">
        <v>88</v>
      </c>
      <c r="BW1066" s="9"/>
    </row>
    <row r="1067" spans="1:75" ht="14.25" customHeight="1" x14ac:dyDescent="0.25">
      <c r="A1067" s="1">
        <v>1902</v>
      </c>
      <c r="B1067" s="1" t="s">
        <v>4418</v>
      </c>
      <c r="C1067" s="1" t="s">
        <v>4419</v>
      </c>
      <c r="D1067" s="1" t="s">
        <v>77</v>
      </c>
      <c r="E1067" s="1" t="s">
        <v>2396</v>
      </c>
      <c r="F1067" s="1" t="s">
        <v>4190</v>
      </c>
      <c r="G1067" s="1" t="s">
        <v>4416</v>
      </c>
      <c r="H1067" s="2">
        <v>0</v>
      </c>
      <c r="I1067" s="2">
        <v>0</v>
      </c>
      <c r="J1067" s="2">
        <v>0</v>
      </c>
      <c r="K1067" s="2">
        <v>1</v>
      </c>
      <c r="L1067" s="3" t="s">
        <v>80</v>
      </c>
      <c r="O1067" s="4">
        <v>5</v>
      </c>
      <c r="P1067" s="4" t="s">
        <v>81</v>
      </c>
      <c r="Q1067" s="4"/>
      <c r="R1067" s="5"/>
      <c r="S1067" s="6"/>
      <c r="T1067" s="17"/>
      <c r="U1067" s="6"/>
      <c r="V1067" s="4"/>
      <c r="W1067" s="4"/>
      <c r="X1067" s="4"/>
      <c r="Y1067" s="7">
        <v>5</v>
      </c>
      <c r="Z1067" s="8">
        <v>1206</v>
      </c>
      <c r="AA1067" s="7" t="s">
        <v>82</v>
      </c>
      <c r="AB1067" s="7"/>
      <c r="AC1067" s="9">
        <v>5</v>
      </c>
      <c r="AD1067" s="10">
        <v>1206</v>
      </c>
      <c r="AE1067" s="9" t="s">
        <v>82</v>
      </c>
      <c r="AF1067" s="9"/>
      <c r="AG1067" s="11">
        <v>5</v>
      </c>
      <c r="AH1067" s="11" t="s">
        <v>83</v>
      </c>
      <c r="AI1067" s="11" t="s">
        <v>4420</v>
      </c>
      <c r="AJ1067" s="11"/>
      <c r="AK1067" s="11"/>
      <c r="AL1067" s="12">
        <v>5</v>
      </c>
      <c r="AM1067" s="12" t="s">
        <v>83</v>
      </c>
      <c r="AN1067" s="12"/>
      <c r="AO1067" s="12"/>
      <c r="AP1067" s="12"/>
      <c r="AQ1067" s="4">
        <v>5</v>
      </c>
      <c r="AR1067" s="4" t="s">
        <v>83</v>
      </c>
      <c r="AS1067" s="4"/>
      <c r="AT1067" s="13"/>
      <c r="AU1067" s="13"/>
      <c r="AV1067" s="13"/>
      <c r="AW1067" s="13"/>
      <c r="AX1067" s="4"/>
      <c r="AY1067" s="13"/>
      <c r="AZ1067" s="13"/>
      <c r="BA1067" s="13"/>
      <c r="BB1067" s="13"/>
      <c r="BC1067" s="4"/>
      <c r="BD1067" s="4"/>
      <c r="BE1067" s="4"/>
      <c r="BF1067" s="13"/>
      <c r="BG1067" s="4"/>
      <c r="BH1067" s="13"/>
      <c r="BI1067" s="13"/>
      <c r="BJ1067" s="4"/>
      <c r="BK1067" s="14">
        <v>20</v>
      </c>
      <c r="BL1067" s="14">
        <v>20</v>
      </c>
      <c r="BM1067" s="14">
        <v>20</v>
      </c>
      <c r="BN1067" s="3" t="s">
        <v>312</v>
      </c>
      <c r="BO1067" s="3" t="s">
        <v>114</v>
      </c>
      <c r="BP1067" s="15"/>
      <c r="BQ1067" s="15"/>
      <c r="BR1067" s="2" t="s">
        <v>87</v>
      </c>
      <c r="BS1067" s="2" t="s">
        <v>87</v>
      </c>
      <c r="BT1067" s="7" t="s">
        <v>88</v>
      </c>
      <c r="BU1067" s="7"/>
      <c r="BV1067" s="9" t="s">
        <v>88</v>
      </c>
      <c r="BW1067" s="9"/>
    </row>
    <row r="1068" spans="1:75" ht="14.25" customHeight="1" x14ac:dyDescent="0.25">
      <c r="A1068" s="1">
        <v>1905</v>
      </c>
      <c r="B1068" s="1" t="s">
        <v>4421</v>
      </c>
      <c r="C1068" s="1" t="s">
        <v>4422</v>
      </c>
      <c r="D1068" s="1" t="s">
        <v>77</v>
      </c>
      <c r="E1068" s="1" t="s">
        <v>2396</v>
      </c>
      <c r="F1068" s="1" t="s">
        <v>4423</v>
      </c>
      <c r="G1068" s="1" t="s">
        <v>118</v>
      </c>
      <c r="H1068" s="2">
        <v>0</v>
      </c>
      <c r="I1068" s="2">
        <v>0</v>
      </c>
      <c r="J1068" s="2">
        <v>0</v>
      </c>
      <c r="K1068" s="2">
        <v>1</v>
      </c>
      <c r="L1068" s="3" t="s">
        <v>80</v>
      </c>
      <c r="O1068" s="4">
        <v>5</v>
      </c>
      <c r="P1068" s="4" t="s">
        <v>81</v>
      </c>
      <c r="Q1068" s="4"/>
      <c r="R1068" s="5"/>
      <c r="S1068" s="6"/>
      <c r="T1068" s="17"/>
      <c r="U1068" s="6"/>
      <c r="V1068" s="4"/>
      <c r="W1068" s="4"/>
      <c r="X1068" s="4"/>
      <c r="Y1068" s="7">
        <v>5</v>
      </c>
      <c r="Z1068" s="8">
        <v>5185</v>
      </c>
      <c r="AA1068" s="7" t="s">
        <v>82</v>
      </c>
      <c r="AB1068" s="7"/>
      <c r="AC1068" s="9">
        <v>5</v>
      </c>
      <c r="AD1068" s="10">
        <v>5185</v>
      </c>
      <c r="AE1068" s="9" t="s">
        <v>82</v>
      </c>
      <c r="AF1068" s="9"/>
      <c r="AG1068" s="11">
        <v>4</v>
      </c>
      <c r="AH1068" s="11" t="s">
        <v>83</v>
      </c>
      <c r="AI1068" s="11"/>
      <c r="AJ1068" s="11"/>
      <c r="AK1068" s="11"/>
      <c r="AL1068" s="12">
        <v>4</v>
      </c>
      <c r="AM1068" s="12" t="s">
        <v>83</v>
      </c>
      <c r="AN1068" s="12"/>
      <c r="AO1068" s="12"/>
      <c r="AP1068" s="12"/>
      <c r="AQ1068" s="4">
        <v>3</v>
      </c>
      <c r="AR1068" s="4" t="s">
        <v>83</v>
      </c>
      <c r="AS1068" s="4"/>
      <c r="AT1068" s="13"/>
      <c r="AU1068" s="13"/>
      <c r="AV1068" s="13"/>
      <c r="AW1068" s="13"/>
      <c r="AX1068" s="4"/>
      <c r="AY1068" s="13"/>
      <c r="AZ1068" s="13"/>
      <c r="BA1068" s="13"/>
      <c r="BB1068" s="13"/>
      <c r="BC1068" s="4"/>
      <c r="BD1068" s="4"/>
      <c r="BE1068" s="4"/>
      <c r="BF1068" s="13"/>
      <c r="BG1068" s="4"/>
      <c r="BH1068" s="13"/>
      <c r="BI1068" s="13"/>
      <c r="BJ1068" s="4"/>
      <c r="BK1068" s="14">
        <v>17</v>
      </c>
      <c r="BL1068" s="14">
        <v>17</v>
      </c>
      <c r="BM1068" s="14">
        <v>17</v>
      </c>
      <c r="BN1068" s="3" t="s">
        <v>312</v>
      </c>
      <c r="BP1068" s="15"/>
      <c r="BQ1068" s="15"/>
      <c r="BR1068" s="2" t="s">
        <v>87</v>
      </c>
      <c r="BS1068" s="2" t="s">
        <v>87</v>
      </c>
      <c r="BT1068" s="7" t="s">
        <v>88</v>
      </c>
      <c r="BU1068" s="7"/>
      <c r="BV1068" s="9" t="s">
        <v>88</v>
      </c>
      <c r="BW1068" s="9"/>
    </row>
    <row r="1069" spans="1:75" ht="14.25" customHeight="1" x14ac:dyDescent="0.25">
      <c r="A1069" s="1">
        <v>1911</v>
      </c>
      <c r="B1069" s="1" t="s">
        <v>4424</v>
      </c>
      <c r="C1069" s="1" t="s">
        <v>4425</v>
      </c>
      <c r="D1069" s="1" t="s">
        <v>77</v>
      </c>
      <c r="E1069" s="1" t="s">
        <v>2396</v>
      </c>
      <c r="F1069" s="1" t="s">
        <v>4426</v>
      </c>
      <c r="G1069" s="1"/>
      <c r="H1069" s="2">
        <v>0</v>
      </c>
      <c r="I1069" s="2">
        <v>0</v>
      </c>
      <c r="J1069" s="2">
        <v>1</v>
      </c>
      <c r="K1069" s="2">
        <v>0</v>
      </c>
      <c r="L1069" s="3" t="s">
        <v>80</v>
      </c>
      <c r="O1069" s="4">
        <v>4</v>
      </c>
      <c r="P1069" s="4" t="s">
        <v>753</v>
      </c>
      <c r="Q1069" s="4" t="s">
        <v>4427</v>
      </c>
      <c r="R1069" s="16">
        <v>200000</v>
      </c>
      <c r="S1069" s="6">
        <v>200000</v>
      </c>
      <c r="T1069" s="17"/>
      <c r="U1069" s="6"/>
      <c r="V1069" s="4"/>
      <c r="W1069" s="4"/>
      <c r="X1069" s="4"/>
      <c r="Y1069" s="7">
        <v>4</v>
      </c>
      <c r="Z1069" s="8">
        <v>125563</v>
      </c>
      <c r="AA1069" s="7" t="s">
        <v>92</v>
      </c>
      <c r="AB1069" s="7" t="s">
        <v>4428</v>
      </c>
      <c r="AC1069" s="9">
        <v>4</v>
      </c>
      <c r="AD1069" s="10">
        <v>126052</v>
      </c>
      <c r="AE1069" s="9" t="s">
        <v>92</v>
      </c>
      <c r="AF1069" s="9" t="s">
        <v>4429</v>
      </c>
      <c r="AG1069" s="11">
        <v>2</v>
      </c>
      <c r="AH1069" s="11" t="s">
        <v>4430</v>
      </c>
      <c r="AI1069" s="11" t="s">
        <v>4431</v>
      </c>
      <c r="AJ1069" s="11"/>
      <c r="AK1069" s="11"/>
      <c r="AL1069" s="12">
        <v>2</v>
      </c>
      <c r="AM1069" s="12" t="s">
        <v>4430</v>
      </c>
      <c r="AN1069" s="12" t="s">
        <v>4432</v>
      </c>
      <c r="AO1069" s="12"/>
      <c r="AP1069" s="12"/>
      <c r="AQ1069" s="4">
        <v>2</v>
      </c>
      <c r="AR1069" s="4" t="s">
        <v>441</v>
      </c>
      <c r="AS1069" s="4" t="s">
        <v>4433</v>
      </c>
      <c r="AT1069" s="13"/>
      <c r="AU1069" s="13"/>
      <c r="AV1069" s="13"/>
      <c r="AW1069" s="13"/>
      <c r="AX1069" s="4"/>
      <c r="AY1069" s="13"/>
      <c r="AZ1069" s="13"/>
      <c r="BA1069" s="13"/>
      <c r="BB1069" s="13"/>
      <c r="BC1069" s="4"/>
      <c r="BD1069" s="4"/>
      <c r="BE1069" s="4"/>
      <c r="BF1069" s="13"/>
      <c r="BG1069" s="4"/>
      <c r="BH1069" s="13"/>
      <c r="BI1069" s="13"/>
      <c r="BJ1069" s="4"/>
      <c r="BK1069" s="14">
        <v>12</v>
      </c>
      <c r="BL1069" s="14">
        <v>12</v>
      </c>
      <c r="BM1069" s="14">
        <v>12</v>
      </c>
      <c r="BP1069" s="15"/>
      <c r="BQ1069" s="15"/>
      <c r="BR1069" s="2" t="s">
        <v>791</v>
      </c>
      <c r="BS1069" s="2" t="s">
        <v>791</v>
      </c>
      <c r="BT1069" s="7" t="s">
        <v>760</v>
      </c>
      <c r="BU1069" s="7"/>
      <c r="BV1069" s="9" t="s">
        <v>760</v>
      </c>
      <c r="BW1069" s="9"/>
    </row>
    <row r="1070" spans="1:75" ht="14.25" customHeight="1" x14ac:dyDescent="0.25">
      <c r="A1070" s="1">
        <v>1917</v>
      </c>
      <c r="B1070" s="1" t="s">
        <v>4434</v>
      </c>
      <c r="C1070" s="1" t="s">
        <v>4435</v>
      </c>
      <c r="D1070" s="1" t="s">
        <v>77</v>
      </c>
      <c r="E1070" s="1" t="s">
        <v>2396</v>
      </c>
      <c r="F1070" s="1" t="s">
        <v>4436</v>
      </c>
      <c r="G1070" s="1"/>
      <c r="H1070" s="2">
        <v>1</v>
      </c>
      <c r="I1070" s="2">
        <v>1</v>
      </c>
      <c r="J1070" s="2">
        <v>1</v>
      </c>
      <c r="K1070" s="2">
        <v>1</v>
      </c>
      <c r="L1070" s="3" t="s">
        <v>127</v>
      </c>
      <c r="O1070" s="4">
        <v>2</v>
      </c>
      <c r="P1070" s="4" t="s">
        <v>424</v>
      </c>
      <c r="Q1070" s="4"/>
      <c r="R1070" s="16">
        <v>17000000</v>
      </c>
      <c r="S1070" s="6">
        <v>17000000</v>
      </c>
      <c r="T1070" s="16">
        <v>15000000</v>
      </c>
      <c r="U1070" s="6">
        <v>15000000</v>
      </c>
      <c r="V1070" s="4">
        <v>2010.5</v>
      </c>
      <c r="W1070" s="4" t="s">
        <v>425</v>
      </c>
      <c r="X1070" s="4"/>
      <c r="Y1070" s="7">
        <v>1</v>
      </c>
      <c r="Z1070" s="8">
        <v>6147428</v>
      </c>
      <c r="AA1070" s="7" t="s">
        <v>92</v>
      </c>
      <c r="AB1070" s="7"/>
      <c r="AC1070" s="9">
        <v>3</v>
      </c>
      <c r="AD1070" s="10">
        <v>949138</v>
      </c>
      <c r="AE1070" s="9" t="s">
        <v>92</v>
      </c>
      <c r="AF1070" s="9" t="s">
        <v>4437</v>
      </c>
      <c r="AG1070" s="11">
        <v>3</v>
      </c>
      <c r="AH1070" s="11" t="s">
        <v>131</v>
      </c>
      <c r="AI1070" s="11"/>
      <c r="AJ1070" s="11">
        <v>2</v>
      </c>
      <c r="AK1070" s="11" t="s">
        <v>132</v>
      </c>
      <c r="AL1070" s="12">
        <v>2</v>
      </c>
      <c r="AM1070" s="12" t="s">
        <v>131</v>
      </c>
      <c r="AN1070" s="12"/>
      <c r="AO1070" s="12">
        <v>2</v>
      </c>
      <c r="AP1070" s="12" t="s">
        <v>132</v>
      </c>
      <c r="AQ1070" s="4">
        <v>3</v>
      </c>
      <c r="AR1070" s="4" t="s">
        <v>133</v>
      </c>
      <c r="AS1070" s="4"/>
      <c r="AT1070" s="13">
        <v>-17.0645141601563</v>
      </c>
      <c r="AU1070" s="13">
        <v>-0.36605501174926802</v>
      </c>
      <c r="AV1070" s="13">
        <v>-0.70399999618530296</v>
      </c>
      <c r="AW1070" s="13">
        <v>-3.9703000336885501E-2</v>
      </c>
      <c r="AX1070" s="4">
        <v>1</v>
      </c>
      <c r="AY1070" s="13">
        <v>-1.45384740829468</v>
      </c>
      <c r="AZ1070" s="13">
        <v>-0.14655530452728299</v>
      </c>
      <c r="BA1070" s="13">
        <v>-0.53200000524520896</v>
      </c>
      <c r="BB1070" s="13">
        <v>0.32600000500678999</v>
      </c>
      <c r="BC1070" s="4"/>
      <c r="BD1070" s="4">
        <v>10</v>
      </c>
      <c r="BE1070" s="4" t="s">
        <v>134</v>
      </c>
      <c r="BF1070" s="13">
        <v>0.66429698467254605</v>
      </c>
      <c r="BG1070" s="4">
        <v>2096.5</v>
      </c>
      <c r="BH1070" s="13">
        <v>3.4349999427795401</v>
      </c>
      <c r="BI1070" s="13">
        <v>7196.25</v>
      </c>
      <c r="BJ1070" s="4"/>
      <c r="BK1070" s="14">
        <v>9</v>
      </c>
      <c r="BL1070" s="14">
        <v>10</v>
      </c>
      <c r="BM1070" s="14">
        <v>10</v>
      </c>
      <c r="BP1070" s="15"/>
      <c r="BQ1070" s="15"/>
      <c r="BR1070" s="2" t="s">
        <v>239</v>
      </c>
      <c r="BS1070" s="2" t="s">
        <v>400</v>
      </c>
      <c r="BT1070" s="7" t="s">
        <v>241</v>
      </c>
      <c r="BU1070" s="7" t="s">
        <v>428</v>
      </c>
      <c r="BV1070" s="9" t="s">
        <v>797</v>
      </c>
      <c r="BW1070" s="9"/>
    </row>
    <row r="1071" spans="1:75" ht="14.25" customHeight="1" x14ac:dyDescent="0.25">
      <c r="A1071" s="1">
        <v>1918</v>
      </c>
      <c r="B1071" s="1" t="s">
        <v>4438</v>
      </c>
      <c r="C1071" s="1" t="s">
        <v>4439</v>
      </c>
      <c r="D1071" s="1" t="s">
        <v>77</v>
      </c>
      <c r="E1071" s="1" t="s">
        <v>2396</v>
      </c>
      <c r="F1071" s="1" t="s">
        <v>4440</v>
      </c>
      <c r="G1071" s="1" t="s">
        <v>118</v>
      </c>
      <c r="H1071" s="2">
        <v>1</v>
      </c>
      <c r="I1071" s="2">
        <v>1</v>
      </c>
      <c r="J1071" s="2">
        <v>1</v>
      </c>
      <c r="K1071" s="2">
        <v>1</v>
      </c>
      <c r="L1071" s="3" t="s">
        <v>127</v>
      </c>
      <c r="O1071" s="4">
        <v>2</v>
      </c>
      <c r="P1071" s="4" t="s">
        <v>424</v>
      </c>
      <c r="Q1071" s="4"/>
      <c r="R1071" s="16">
        <v>11000000</v>
      </c>
      <c r="S1071" s="6">
        <v>11000000</v>
      </c>
      <c r="T1071" s="16">
        <v>11000000</v>
      </c>
      <c r="U1071" s="6">
        <v>11000000</v>
      </c>
      <c r="V1071" s="4">
        <v>2010.5</v>
      </c>
      <c r="W1071" s="4" t="s">
        <v>425</v>
      </c>
      <c r="X1071" s="4"/>
      <c r="Y1071" s="7">
        <v>1</v>
      </c>
      <c r="Z1071" s="8">
        <v>4745053</v>
      </c>
      <c r="AA1071" s="7" t="s">
        <v>92</v>
      </c>
      <c r="AB1071" s="7"/>
      <c r="AC1071" s="9">
        <v>2</v>
      </c>
      <c r="AD1071" s="10">
        <v>1693247</v>
      </c>
      <c r="AE1071" s="9" t="s">
        <v>92</v>
      </c>
      <c r="AF1071" s="9"/>
      <c r="AG1071" s="11">
        <v>3</v>
      </c>
      <c r="AH1071" s="11" t="s">
        <v>131</v>
      </c>
      <c r="AI1071" s="11"/>
      <c r="AJ1071" s="11">
        <v>2</v>
      </c>
      <c r="AK1071" s="11" t="s">
        <v>143</v>
      </c>
      <c r="AL1071" s="12">
        <v>3</v>
      </c>
      <c r="AM1071" s="12" t="s">
        <v>131</v>
      </c>
      <c r="AN1071" s="12" t="s">
        <v>4441</v>
      </c>
      <c r="AO1071" s="12">
        <v>2</v>
      </c>
      <c r="AP1071" s="12" t="s">
        <v>132</v>
      </c>
      <c r="AQ1071" s="4">
        <v>2</v>
      </c>
      <c r="AR1071" s="4" t="s">
        <v>133</v>
      </c>
      <c r="AS1071" s="4"/>
      <c r="AT1071" s="13">
        <v>0.15927642583846999</v>
      </c>
      <c r="AU1071" s="13">
        <v>3.4014219418168098E-3</v>
      </c>
      <c r="AV1071" s="13">
        <v>-0.72789800167083696</v>
      </c>
      <c r="AW1071" s="13">
        <v>0.86400002241134599</v>
      </c>
      <c r="AX1071" s="4"/>
      <c r="AY1071" s="13">
        <v>-3.7429096698761</v>
      </c>
      <c r="AZ1071" s="13">
        <v>-0.38055863976478599</v>
      </c>
      <c r="BA1071" s="13">
        <v>-2.6183009147643999</v>
      </c>
      <c r="BB1071" s="13">
        <v>2.0099999904632599</v>
      </c>
      <c r="BC1071" s="4"/>
      <c r="BD1071" s="4">
        <v>10</v>
      </c>
      <c r="BE1071" s="4" t="s">
        <v>134</v>
      </c>
      <c r="BF1071" s="13">
        <v>1.59189796447754</v>
      </c>
      <c r="BG1071" s="4">
        <v>1128</v>
      </c>
      <c r="BH1071" s="13">
        <v>16.930000305175799</v>
      </c>
      <c r="BI1071" s="13">
        <v>19105.58984375</v>
      </c>
      <c r="BJ1071" s="4"/>
      <c r="BK1071" s="14">
        <v>8</v>
      </c>
      <c r="BL1071" s="14">
        <v>9</v>
      </c>
      <c r="BM1071" s="14">
        <v>9</v>
      </c>
      <c r="BP1071" s="15"/>
      <c r="BQ1071" s="15" t="s">
        <v>136</v>
      </c>
      <c r="BR1071" s="2" t="s">
        <v>256</v>
      </c>
      <c r="BS1071" s="2" t="s">
        <v>256</v>
      </c>
      <c r="BT1071" s="7" t="s">
        <v>147</v>
      </c>
      <c r="BU1071" s="7"/>
      <c r="BV1071" s="9" t="s">
        <v>458</v>
      </c>
      <c r="BW1071" s="9" t="s">
        <v>147</v>
      </c>
    </row>
    <row r="1072" spans="1:75" ht="14.25" customHeight="1" x14ac:dyDescent="0.25">
      <c r="A1072" s="1">
        <v>1919</v>
      </c>
      <c r="B1072" s="1" t="s">
        <v>4442</v>
      </c>
      <c r="C1072" s="1" t="s">
        <v>4443</v>
      </c>
      <c r="D1072" s="1" t="s">
        <v>77</v>
      </c>
      <c r="E1072" s="1" t="s">
        <v>2396</v>
      </c>
      <c r="F1072" s="1" t="s">
        <v>4440</v>
      </c>
      <c r="G1072" s="1" t="s">
        <v>118</v>
      </c>
      <c r="H1072" s="2">
        <v>1</v>
      </c>
      <c r="I1072" s="2">
        <v>1</v>
      </c>
      <c r="J1072" s="2">
        <v>1</v>
      </c>
      <c r="K1072" s="2">
        <v>1</v>
      </c>
      <c r="L1072" s="3" t="s">
        <v>127</v>
      </c>
      <c r="O1072" s="4">
        <v>2</v>
      </c>
      <c r="P1072" s="4" t="s">
        <v>424</v>
      </c>
      <c r="Q1072" s="4"/>
      <c r="R1072" s="16">
        <v>10000000</v>
      </c>
      <c r="S1072" s="6">
        <v>10000000</v>
      </c>
      <c r="T1072" s="16">
        <v>10000000</v>
      </c>
      <c r="U1072" s="6">
        <v>10000000</v>
      </c>
      <c r="V1072" s="4">
        <v>2010.5</v>
      </c>
      <c r="W1072" s="4" t="s">
        <v>425</v>
      </c>
      <c r="X1072" s="4"/>
      <c r="Y1072" s="7">
        <v>2</v>
      </c>
      <c r="Z1072" s="8">
        <v>3873291</v>
      </c>
      <c r="AA1072" s="7" t="s">
        <v>92</v>
      </c>
      <c r="AB1072" s="7"/>
      <c r="AC1072" s="9">
        <v>3</v>
      </c>
      <c r="AD1072" s="10">
        <v>900390</v>
      </c>
      <c r="AE1072" s="9" t="s">
        <v>92</v>
      </c>
      <c r="AF1072" s="9"/>
      <c r="AG1072" s="11">
        <v>4</v>
      </c>
      <c r="AH1072" s="11" t="s">
        <v>131</v>
      </c>
      <c r="AI1072" s="11" t="s">
        <v>4444</v>
      </c>
      <c r="AJ1072" s="11">
        <v>4</v>
      </c>
      <c r="AK1072" s="11" t="s">
        <v>132</v>
      </c>
      <c r="AL1072" s="12">
        <v>4</v>
      </c>
      <c r="AM1072" s="12" t="s">
        <v>271</v>
      </c>
      <c r="AN1072" s="12" t="s">
        <v>4445</v>
      </c>
      <c r="AO1072" s="12"/>
      <c r="AP1072" s="12"/>
      <c r="AQ1072" s="4">
        <v>5</v>
      </c>
      <c r="AR1072" s="4" t="s">
        <v>133</v>
      </c>
      <c r="AS1072" s="4"/>
      <c r="AT1072" s="13">
        <v>-63.915473937988303</v>
      </c>
      <c r="AU1072" s="13">
        <v>-1.9801652431487999</v>
      </c>
      <c r="AV1072" s="13">
        <v>-2.3099999427795401</v>
      </c>
      <c r="AW1072" s="13">
        <v>-1.6715999841690099</v>
      </c>
      <c r="AX1072" s="4">
        <v>1</v>
      </c>
      <c r="AY1072" s="13">
        <v>-28.117374420166001</v>
      </c>
      <c r="AZ1072" s="13">
        <v>-3.2464911937713601</v>
      </c>
      <c r="BA1072" s="13">
        <v>-4.0301980972290004</v>
      </c>
      <c r="BB1072" s="13">
        <v>-2.21000003814697</v>
      </c>
      <c r="BC1072" s="4">
        <v>1</v>
      </c>
      <c r="BD1072" s="4">
        <v>10</v>
      </c>
      <c r="BE1072" s="4" t="s">
        <v>134</v>
      </c>
      <c r="BF1072" s="13">
        <v>0.638400018215179</v>
      </c>
      <c r="BG1072" s="4">
        <v>1717</v>
      </c>
      <c r="BH1072" s="13">
        <v>4.96000003814697</v>
      </c>
      <c r="BI1072" s="13">
        <v>8517.7998046875</v>
      </c>
      <c r="BJ1072" s="4">
        <v>21</v>
      </c>
      <c r="BK1072" s="14">
        <v>13</v>
      </c>
      <c r="BL1072" s="14">
        <v>14</v>
      </c>
      <c r="BM1072" s="14">
        <v>14</v>
      </c>
      <c r="BN1072" s="3" t="s">
        <v>375</v>
      </c>
      <c r="BP1072" s="15"/>
      <c r="BQ1072" s="15" t="s">
        <v>146</v>
      </c>
      <c r="BR1072" s="2" t="s">
        <v>457</v>
      </c>
      <c r="BS1072" s="2" t="s">
        <v>1136</v>
      </c>
      <c r="BT1072" s="7" t="s">
        <v>585</v>
      </c>
      <c r="BU1072" s="7"/>
      <c r="BV1072" s="9" t="s">
        <v>1137</v>
      </c>
      <c r="BW1072" s="9" t="s">
        <v>463</v>
      </c>
    </row>
    <row r="1073" spans="1:75" ht="14.25" customHeight="1" x14ac:dyDescent="0.25">
      <c r="A1073" s="1">
        <v>1920</v>
      </c>
      <c r="B1073" s="1" t="s">
        <v>4446</v>
      </c>
      <c r="C1073" s="1" t="s">
        <v>4447</v>
      </c>
      <c r="D1073" s="1" t="s">
        <v>77</v>
      </c>
      <c r="E1073" s="1" t="s">
        <v>2396</v>
      </c>
      <c r="F1073" s="1" t="s">
        <v>4440</v>
      </c>
      <c r="G1073" s="1" t="s">
        <v>4448</v>
      </c>
      <c r="H1073" s="2">
        <v>0</v>
      </c>
      <c r="I1073" s="2">
        <v>1</v>
      </c>
      <c r="J1073" s="2">
        <v>1</v>
      </c>
      <c r="K1073" s="2">
        <v>0</v>
      </c>
      <c r="L1073" s="3" t="s">
        <v>127</v>
      </c>
      <c r="O1073" s="4">
        <v>3</v>
      </c>
      <c r="P1073" s="4" t="s">
        <v>3440</v>
      </c>
      <c r="Q1073" s="4" t="s">
        <v>4449</v>
      </c>
      <c r="R1073" s="16">
        <v>3300000</v>
      </c>
      <c r="S1073" s="6">
        <v>3300000</v>
      </c>
      <c r="T1073" s="16">
        <v>1700000</v>
      </c>
      <c r="U1073" s="6">
        <v>1700000</v>
      </c>
      <c r="V1073" s="4">
        <v>2010.5</v>
      </c>
      <c r="W1073" s="4" t="s">
        <v>4450</v>
      </c>
      <c r="X1073" s="4" t="s">
        <v>4451</v>
      </c>
      <c r="Y1073" s="7">
        <v>3</v>
      </c>
      <c r="Z1073" s="8">
        <v>777434</v>
      </c>
      <c r="AA1073" s="7" t="s">
        <v>958</v>
      </c>
      <c r="AB1073" s="7" t="s">
        <v>3448</v>
      </c>
      <c r="AC1073" s="9">
        <v>3</v>
      </c>
      <c r="AD1073" s="10">
        <v>808212</v>
      </c>
      <c r="AE1073" s="9" t="s">
        <v>958</v>
      </c>
      <c r="AF1073" s="9" t="s">
        <v>3448</v>
      </c>
      <c r="AG1073" s="11">
        <v>4</v>
      </c>
      <c r="AH1073" s="11" t="s">
        <v>4452</v>
      </c>
      <c r="AI1073" s="11"/>
      <c r="AJ1073" s="11"/>
      <c r="AK1073" s="11"/>
      <c r="AL1073" s="12">
        <v>3</v>
      </c>
      <c r="AM1073" s="12" t="s">
        <v>271</v>
      </c>
      <c r="AN1073" s="12" t="s">
        <v>4453</v>
      </c>
      <c r="AO1073" s="12"/>
      <c r="AP1073" s="12"/>
      <c r="AQ1073" s="4">
        <v>5</v>
      </c>
      <c r="AR1073" s="4" t="s">
        <v>4454</v>
      </c>
      <c r="AS1073" s="4" t="s">
        <v>4455</v>
      </c>
      <c r="AT1073" s="13"/>
      <c r="AU1073" s="13"/>
      <c r="AV1073" s="13"/>
      <c r="AW1073" s="13"/>
      <c r="AX1073" s="4"/>
      <c r="AY1073" s="13"/>
      <c r="AZ1073" s="13"/>
      <c r="BA1073" s="13"/>
      <c r="BB1073" s="13"/>
      <c r="BC1073" s="4"/>
      <c r="BD1073" s="4"/>
      <c r="BE1073" s="4"/>
      <c r="BF1073" s="13"/>
      <c r="BG1073" s="4"/>
      <c r="BH1073" s="13"/>
      <c r="BI1073" s="13"/>
      <c r="BJ1073" s="4"/>
      <c r="BK1073" s="14">
        <v>15</v>
      </c>
      <c r="BL1073" s="14">
        <v>14</v>
      </c>
      <c r="BM1073" s="14">
        <v>15</v>
      </c>
      <c r="BN1073" s="3" t="s">
        <v>113</v>
      </c>
      <c r="BP1073" s="15"/>
      <c r="BQ1073" s="15" t="s">
        <v>146</v>
      </c>
      <c r="BR1073" s="2" t="s">
        <v>297</v>
      </c>
      <c r="BS1073" s="2" t="s">
        <v>297</v>
      </c>
      <c r="BT1073" s="7" t="s">
        <v>585</v>
      </c>
      <c r="BU1073" s="7"/>
      <c r="BV1073" s="9" t="s">
        <v>585</v>
      </c>
      <c r="BW1073" s="9"/>
    </row>
    <row r="1074" spans="1:75" ht="14.25" customHeight="1" x14ac:dyDescent="0.25">
      <c r="A1074" s="1">
        <v>1921</v>
      </c>
      <c r="B1074" s="1" t="s">
        <v>4456</v>
      </c>
      <c r="C1074" s="1" t="s">
        <v>4457</v>
      </c>
      <c r="D1074" s="1" t="s">
        <v>77</v>
      </c>
      <c r="E1074" s="1" t="s">
        <v>2396</v>
      </c>
      <c r="F1074" s="1" t="s">
        <v>4440</v>
      </c>
      <c r="G1074" s="1"/>
      <c r="H1074" s="2">
        <v>1</v>
      </c>
      <c r="I1074" s="2">
        <v>1</v>
      </c>
      <c r="J1074" s="2">
        <v>1</v>
      </c>
      <c r="K1074" s="2">
        <v>1</v>
      </c>
      <c r="L1074" s="3" t="s">
        <v>127</v>
      </c>
      <c r="O1074" s="4">
        <v>2</v>
      </c>
      <c r="P1074" s="4" t="s">
        <v>3440</v>
      </c>
      <c r="Q1074" s="4" t="s">
        <v>4458</v>
      </c>
      <c r="R1074" s="16">
        <v>34000000</v>
      </c>
      <c r="S1074" s="6">
        <v>34000000</v>
      </c>
      <c r="T1074" s="16">
        <v>2900000</v>
      </c>
      <c r="U1074" s="6">
        <v>2900000</v>
      </c>
      <c r="V1074" s="4">
        <v>2010.5</v>
      </c>
      <c r="W1074" s="4" t="s">
        <v>4450</v>
      </c>
      <c r="X1074" s="4" t="s">
        <v>4459</v>
      </c>
      <c r="Y1074" s="7">
        <v>1</v>
      </c>
      <c r="Z1074" s="8">
        <v>6509639</v>
      </c>
      <c r="AA1074" s="7" t="s">
        <v>958</v>
      </c>
      <c r="AB1074" s="7" t="s">
        <v>4460</v>
      </c>
      <c r="AC1074" s="9">
        <v>1</v>
      </c>
      <c r="AD1074" s="10">
        <v>5289669</v>
      </c>
      <c r="AE1074" s="9" t="s">
        <v>958</v>
      </c>
      <c r="AF1074" s="9" t="s">
        <v>4460</v>
      </c>
      <c r="AG1074" s="11">
        <v>3</v>
      </c>
      <c r="AH1074" s="11" t="s">
        <v>131</v>
      </c>
      <c r="AI1074" s="11" t="s">
        <v>4461</v>
      </c>
      <c r="AJ1074" s="11">
        <v>3</v>
      </c>
      <c r="AK1074" s="11" t="s">
        <v>143</v>
      </c>
      <c r="AL1074" s="12">
        <v>3</v>
      </c>
      <c r="AM1074" s="12" t="s">
        <v>131</v>
      </c>
      <c r="AN1074" s="12" t="s">
        <v>4462</v>
      </c>
      <c r="AO1074" s="12">
        <v>2</v>
      </c>
      <c r="AP1074" s="12" t="s">
        <v>132</v>
      </c>
      <c r="AQ1074" s="4">
        <v>5</v>
      </c>
      <c r="AR1074" s="4" t="s">
        <v>133</v>
      </c>
      <c r="AS1074" s="4"/>
      <c r="AT1074" s="13">
        <v>-78.708442687988295</v>
      </c>
      <c r="AU1074" s="13">
        <v>-2.9855196475982702</v>
      </c>
      <c r="AV1074" s="13">
        <v>-3.1745970249175999</v>
      </c>
      <c r="AW1074" s="13">
        <v>-2.6800000667571999</v>
      </c>
      <c r="AX1074" s="4">
        <v>1</v>
      </c>
      <c r="AY1074" s="13">
        <v>-20.9573574066162</v>
      </c>
      <c r="AZ1074" s="13">
        <v>-2.3223838806152299</v>
      </c>
      <c r="BA1074" s="13">
        <v>-3.25</v>
      </c>
      <c r="BB1074" s="13">
        <v>-1.46000003814697</v>
      </c>
      <c r="BC1074" s="4">
        <v>1</v>
      </c>
      <c r="BD1074" s="4">
        <v>10</v>
      </c>
      <c r="BE1074" s="4" t="s">
        <v>134</v>
      </c>
      <c r="BF1074" s="13">
        <v>0.494596987962723</v>
      </c>
      <c r="BG1074" s="4">
        <v>2596.5</v>
      </c>
      <c r="BH1074" s="13">
        <v>17.674999237060501</v>
      </c>
      <c r="BI1074" s="13">
        <v>45880.94921875</v>
      </c>
      <c r="BJ1074" s="4">
        <v>29</v>
      </c>
      <c r="BK1074" s="14">
        <v>11</v>
      </c>
      <c r="BL1074" s="14">
        <v>11</v>
      </c>
      <c r="BM1074" s="14">
        <v>11</v>
      </c>
      <c r="BN1074" s="3" t="s">
        <v>302</v>
      </c>
      <c r="BO1074" s="3" t="s">
        <v>120</v>
      </c>
      <c r="BP1074" s="15"/>
      <c r="BQ1074" s="15" t="s">
        <v>146</v>
      </c>
      <c r="BR1074" s="2" t="s">
        <v>247</v>
      </c>
      <c r="BS1074" s="2" t="s">
        <v>247</v>
      </c>
      <c r="BT1074" s="7" t="s">
        <v>585</v>
      </c>
      <c r="BU1074" s="7" t="s">
        <v>463</v>
      </c>
      <c r="BV1074" s="9" t="s">
        <v>585</v>
      </c>
      <c r="BW1074" s="9" t="s">
        <v>463</v>
      </c>
    </row>
    <row r="1075" spans="1:75" ht="14.25" customHeight="1" x14ac:dyDescent="0.25">
      <c r="A1075" s="1">
        <v>1922</v>
      </c>
      <c r="B1075" s="1" t="s">
        <v>4463</v>
      </c>
      <c r="C1075" s="1" t="s">
        <v>4464</v>
      </c>
      <c r="D1075" s="1" t="s">
        <v>77</v>
      </c>
      <c r="E1075" s="1" t="s">
        <v>2396</v>
      </c>
      <c r="F1075" s="1" t="s">
        <v>4440</v>
      </c>
      <c r="G1075" s="1"/>
      <c r="H1075" s="2">
        <v>1</v>
      </c>
      <c r="I1075" s="2">
        <v>1</v>
      </c>
      <c r="J1075" s="2">
        <v>1</v>
      </c>
      <c r="K1075" s="2">
        <v>0</v>
      </c>
      <c r="L1075" s="3" t="s">
        <v>127</v>
      </c>
      <c r="O1075" s="4">
        <v>1</v>
      </c>
      <c r="P1075" s="4" t="s">
        <v>424</v>
      </c>
      <c r="Q1075" s="4" t="s">
        <v>4465</v>
      </c>
      <c r="R1075" s="16">
        <v>100000000</v>
      </c>
      <c r="S1075" s="6">
        <v>100000000</v>
      </c>
      <c r="T1075" s="16">
        <v>95000000</v>
      </c>
      <c r="U1075" s="6">
        <v>95000000</v>
      </c>
      <c r="V1075" s="4">
        <v>2010.5</v>
      </c>
      <c r="W1075" s="4" t="s">
        <v>425</v>
      </c>
      <c r="X1075" s="4"/>
      <c r="Y1075" s="7">
        <v>1</v>
      </c>
      <c r="Z1075" s="8">
        <v>6708072</v>
      </c>
      <c r="AA1075" s="7" t="s">
        <v>92</v>
      </c>
      <c r="AB1075" s="7"/>
      <c r="AC1075" s="9">
        <v>2</v>
      </c>
      <c r="AD1075" s="10">
        <v>3871384</v>
      </c>
      <c r="AE1075" s="9" t="s">
        <v>582</v>
      </c>
      <c r="AF1075" s="9" t="s">
        <v>4466</v>
      </c>
      <c r="AG1075" s="11">
        <v>3</v>
      </c>
      <c r="AH1075" s="11" t="s">
        <v>131</v>
      </c>
      <c r="AI1075" s="11"/>
      <c r="AJ1075" s="11">
        <v>2</v>
      </c>
      <c r="AK1075" s="11" t="s">
        <v>132</v>
      </c>
      <c r="AL1075" s="12">
        <v>3</v>
      </c>
      <c r="AM1075" s="12" t="s">
        <v>131</v>
      </c>
      <c r="AN1075" s="12"/>
      <c r="AO1075" s="12">
        <v>2</v>
      </c>
      <c r="AP1075" s="12" t="s">
        <v>132</v>
      </c>
      <c r="AQ1075" s="4">
        <v>4</v>
      </c>
      <c r="AR1075" s="4" t="s">
        <v>133</v>
      </c>
      <c r="AS1075" s="4"/>
      <c r="AT1075" s="13">
        <v>-45.466049194335902</v>
      </c>
      <c r="AU1075" s="13">
        <v>-1.1804682016372701</v>
      </c>
      <c r="AV1075" s="13">
        <v>-1.5299999713897701</v>
      </c>
      <c r="AW1075" s="13">
        <v>-0.87519901990890503</v>
      </c>
      <c r="AX1075" s="4">
        <v>1</v>
      </c>
      <c r="AY1075" s="13">
        <v>-0.689472496509552</v>
      </c>
      <c r="AZ1075" s="13">
        <v>-6.9298163056373596E-2</v>
      </c>
      <c r="BA1075" s="13">
        <v>-1.04999995231628</v>
      </c>
      <c r="BB1075" s="13">
        <v>0.76919800043106101</v>
      </c>
      <c r="BC1075" s="4"/>
      <c r="BD1075" s="4">
        <v>10</v>
      </c>
      <c r="BE1075" s="4" t="s">
        <v>134</v>
      </c>
      <c r="BF1075" s="13">
        <v>0.65480101108551003</v>
      </c>
      <c r="BG1075" s="4">
        <v>2170</v>
      </c>
      <c r="BH1075" s="13">
        <v>61.700000762939503</v>
      </c>
      <c r="BI1075" s="13">
        <v>133789.40625</v>
      </c>
      <c r="BJ1075" s="4"/>
      <c r="BK1075" s="14">
        <v>9</v>
      </c>
      <c r="BL1075" s="14">
        <v>10</v>
      </c>
      <c r="BM1075" s="14">
        <v>10</v>
      </c>
      <c r="BP1075" s="15"/>
      <c r="BQ1075" s="15" t="s">
        <v>146</v>
      </c>
      <c r="BR1075" s="2" t="s">
        <v>457</v>
      </c>
      <c r="BS1075" s="2" t="s">
        <v>457</v>
      </c>
      <c r="BT1075" s="7" t="s">
        <v>585</v>
      </c>
      <c r="BU1075" s="7"/>
      <c r="BV1075" s="9" t="s">
        <v>474</v>
      </c>
      <c r="BW1075" s="9" t="s">
        <v>585</v>
      </c>
    </row>
    <row r="1076" spans="1:75" ht="14.25" customHeight="1" x14ac:dyDescent="0.25">
      <c r="A1076" s="1">
        <v>1923</v>
      </c>
      <c r="B1076" s="1" t="s">
        <v>4467</v>
      </c>
      <c r="C1076" s="1" t="s">
        <v>4468</v>
      </c>
      <c r="D1076" s="1" t="s">
        <v>77</v>
      </c>
      <c r="E1076" s="1" t="s">
        <v>2396</v>
      </c>
      <c r="F1076" s="1" t="s">
        <v>4440</v>
      </c>
      <c r="G1076" s="1" t="s">
        <v>4469</v>
      </c>
      <c r="H1076" s="2">
        <v>0</v>
      </c>
      <c r="I1076" s="2">
        <v>0</v>
      </c>
      <c r="J1076" s="2">
        <v>0</v>
      </c>
      <c r="K1076" s="2">
        <v>1</v>
      </c>
      <c r="L1076" s="3" t="s">
        <v>80</v>
      </c>
      <c r="O1076" s="4">
        <v>2</v>
      </c>
      <c r="P1076" s="4" t="s">
        <v>81</v>
      </c>
      <c r="Q1076" s="4"/>
      <c r="R1076" s="5"/>
      <c r="S1076" s="6"/>
      <c r="T1076" s="17"/>
      <c r="U1076" s="6"/>
      <c r="V1076" s="4"/>
      <c r="W1076" s="4"/>
      <c r="X1076" s="4"/>
      <c r="Y1076" s="7">
        <v>2</v>
      </c>
      <c r="Z1076" s="8">
        <v>3376425</v>
      </c>
      <c r="AA1076" s="7" t="s">
        <v>82</v>
      </c>
      <c r="AB1076" s="7"/>
      <c r="AC1076" s="9">
        <v>2</v>
      </c>
      <c r="AD1076" s="10">
        <v>3376425</v>
      </c>
      <c r="AE1076" s="9" t="s">
        <v>82</v>
      </c>
      <c r="AF1076" s="9"/>
      <c r="AG1076" s="11">
        <v>1</v>
      </c>
      <c r="AH1076" s="11" t="s">
        <v>83</v>
      </c>
      <c r="AI1076" s="11"/>
      <c r="AJ1076" s="11"/>
      <c r="AK1076" s="11"/>
      <c r="AL1076" s="12">
        <v>1</v>
      </c>
      <c r="AM1076" s="12" t="s">
        <v>83</v>
      </c>
      <c r="AN1076" s="12"/>
      <c r="AO1076" s="12"/>
      <c r="AP1076" s="12"/>
      <c r="AQ1076" s="4">
        <v>1</v>
      </c>
      <c r="AR1076" s="4" t="s">
        <v>83</v>
      </c>
      <c r="AS1076" s="4"/>
      <c r="AT1076" s="13"/>
      <c r="AU1076" s="13"/>
      <c r="AV1076" s="13"/>
      <c r="AW1076" s="13"/>
      <c r="AX1076" s="4"/>
      <c r="AY1076" s="13"/>
      <c r="AZ1076" s="13"/>
      <c r="BA1076" s="13"/>
      <c r="BB1076" s="13"/>
      <c r="BC1076" s="4"/>
      <c r="BD1076" s="4"/>
      <c r="BE1076" s="4"/>
      <c r="BF1076" s="13"/>
      <c r="BG1076" s="4"/>
      <c r="BH1076" s="13"/>
      <c r="BI1076" s="13"/>
      <c r="BJ1076" s="4"/>
      <c r="BK1076" s="14">
        <v>6</v>
      </c>
      <c r="BL1076" s="14">
        <v>6</v>
      </c>
      <c r="BM1076" s="14">
        <v>6</v>
      </c>
      <c r="BP1076" s="15"/>
      <c r="BQ1076" s="15" t="s">
        <v>2503</v>
      </c>
      <c r="BR1076" s="2" t="s">
        <v>97</v>
      </c>
      <c r="BS1076" s="2" t="s">
        <v>97</v>
      </c>
      <c r="BT1076" s="7" t="s">
        <v>603</v>
      </c>
      <c r="BU1076" s="7"/>
      <c r="BV1076" s="9" t="s">
        <v>603</v>
      </c>
      <c r="BW1076" s="9"/>
    </row>
    <row r="1077" spans="1:75" ht="14.25" customHeight="1" x14ac:dyDescent="0.25">
      <c r="A1077" s="1">
        <v>1924</v>
      </c>
      <c r="B1077" s="1" t="s">
        <v>4470</v>
      </c>
      <c r="C1077" s="1" t="s">
        <v>4471</v>
      </c>
      <c r="D1077" s="1" t="s">
        <v>77</v>
      </c>
      <c r="E1077" s="1" t="s">
        <v>2396</v>
      </c>
      <c r="F1077" s="1" t="s">
        <v>4440</v>
      </c>
      <c r="G1077" s="1" t="s">
        <v>118</v>
      </c>
      <c r="H1077" s="2">
        <v>0</v>
      </c>
      <c r="I1077" s="2">
        <v>0</v>
      </c>
      <c r="J1077" s="2">
        <v>1</v>
      </c>
      <c r="K1077" s="2">
        <v>1</v>
      </c>
      <c r="L1077" s="3" t="s">
        <v>80</v>
      </c>
      <c r="O1077" s="4">
        <v>3</v>
      </c>
      <c r="P1077" s="4" t="s">
        <v>112</v>
      </c>
      <c r="Q1077" s="4"/>
      <c r="R1077" s="5"/>
      <c r="S1077" s="6"/>
      <c r="T1077" s="17"/>
      <c r="U1077" s="6"/>
      <c r="V1077" s="4"/>
      <c r="W1077" s="4"/>
      <c r="X1077" s="4"/>
      <c r="Y1077" s="7">
        <v>2</v>
      </c>
      <c r="Z1077" s="8">
        <v>1153605</v>
      </c>
      <c r="AA1077" s="7" t="s">
        <v>92</v>
      </c>
      <c r="AB1077" s="7"/>
      <c r="AC1077" s="9">
        <v>2</v>
      </c>
      <c r="AD1077" s="10">
        <v>1153605</v>
      </c>
      <c r="AE1077" s="9" t="s">
        <v>92</v>
      </c>
      <c r="AF1077" s="9"/>
      <c r="AG1077" s="11">
        <v>3</v>
      </c>
      <c r="AH1077" s="11" t="s">
        <v>93</v>
      </c>
      <c r="AI1077" s="11"/>
      <c r="AJ1077" s="11"/>
      <c r="AK1077" s="11"/>
      <c r="AL1077" s="12">
        <v>3</v>
      </c>
      <c r="AM1077" s="12" t="s">
        <v>93</v>
      </c>
      <c r="AN1077" s="12" t="s">
        <v>698</v>
      </c>
      <c r="AO1077" s="12"/>
      <c r="AP1077" s="12"/>
      <c r="AQ1077" s="4">
        <v>4</v>
      </c>
      <c r="AR1077" s="4" t="s">
        <v>83</v>
      </c>
      <c r="AS1077" s="4"/>
      <c r="AT1077" s="13"/>
      <c r="AU1077" s="13"/>
      <c r="AV1077" s="13"/>
      <c r="AW1077" s="13"/>
      <c r="AX1077" s="4"/>
      <c r="AY1077" s="13"/>
      <c r="AZ1077" s="13"/>
      <c r="BA1077" s="13"/>
      <c r="BB1077" s="13"/>
      <c r="BC1077" s="4"/>
      <c r="BD1077" s="4"/>
      <c r="BE1077" s="4"/>
      <c r="BF1077" s="13"/>
      <c r="BG1077" s="4"/>
      <c r="BH1077" s="13"/>
      <c r="BI1077" s="13"/>
      <c r="BJ1077" s="4"/>
      <c r="BK1077" s="14">
        <v>12</v>
      </c>
      <c r="BL1077" s="14">
        <v>12</v>
      </c>
      <c r="BM1077" s="14">
        <v>12</v>
      </c>
      <c r="BP1077" s="15"/>
      <c r="BQ1077" s="15"/>
      <c r="BR1077" s="2" t="s">
        <v>97</v>
      </c>
      <c r="BS1077" s="2" t="s">
        <v>97</v>
      </c>
      <c r="BT1077" s="7" t="s">
        <v>98</v>
      </c>
      <c r="BU1077" s="7" t="s">
        <v>88</v>
      </c>
      <c r="BV1077" s="9" t="s">
        <v>98</v>
      </c>
      <c r="BW1077" s="9" t="s">
        <v>88</v>
      </c>
    </row>
    <row r="1078" spans="1:75" ht="14.25" customHeight="1" x14ac:dyDescent="0.25">
      <c r="A1078" s="1">
        <v>1925</v>
      </c>
      <c r="B1078" s="1" t="s">
        <v>4472</v>
      </c>
      <c r="C1078" s="1" t="s">
        <v>4473</v>
      </c>
      <c r="D1078" s="1" t="s">
        <v>77</v>
      </c>
      <c r="E1078" s="1" t="s">
        <v>2396</v>
      </c>
      <c r="F1078" s="1" t="s">
        <v>4440</v>
      </c>
      <c r="G1078" s="1" t="s">
        <v>4474</v>
      </c>
      <c r="H1078" s="2">
        <v>0</v>
      </c>
      <c r="I1078" s="2">
        <v>0</v>
      </c>
      <c r="J1078" s="2">
        <v>1</v>
      </c>
      <c r="K1078" s="2">
        <v>1</v>
      </c>
      <c r="L1078" s="3" t="s">
        <v>80</v>
      </c>
      <c r="O1078" s="4">
        <v>4</v>
      </c>
      <c r="P1078" s="4" t="s">
        <v>112</v>
      </c>
      <c r="Q1078" s="4"/>
      <c r="R1078" s="5"/>
      <c r="S1078" s="6"/>
      <c r="T1078" s="17"/>
      <c r="U1078" s="6"/>
      <c r="V1078" s="4"/>
      <c r="W1078" s="4"/>
      <c r="X1078" s="4"/>
      <c r="Y1078" s="7">
        <v>4</v>
      </c>
      <c r="Z1078" s="8">
        <v>229708</v>
      </c>
      <c r="AA1078" s="7" t="s">
        <v>92</v>
      </c>
      <c r="AB1078" s="7"/>
      <c r="AC1078" s="9">
        <v>4</v>
      </c>
      <c r="AD1078" s="10">
        <v>229708</v>
      </c>
      <c r="AE1078" s="9" t="s">
        <v>92</v>
      </c>
      <c r="AF1078" s="9"/>
      <c r="AG1078" s="11">
        <v>3</v>
      </c>
      <c r="AH1078" s="11" t="s">
        <v>93</v>
      </c>
      <c r="AI1078" s="11" t="s">
        <v>3238</v>
      </c>
      <c r="AJ1078" s="11"/>
      <c r="AK1078" s="11"/>
      <c r="AL1078" s="12">
        <v>3</v>
      </c>
      <c r="AM1078" s="12" t="s">
        <v>93</v>
      </c>
      <c r="AN1078" s="12" t="s">
        <v>698</v>
      </c>
      <c r="AO1078" s="12"/>
      <c r="AP1078" s="12"/>
      <c r="AQ1078" s="4">
        <v>3</v>
      </c>
      <c r="AR1078" s="4" t="s">
        <v>83</v>
      </c>
      <c r="AS1078" s="4"/>
      <c r="AT1078" s="13"/>
      <c r="AU1078" s="13"/>
      <c r="AV1078" s="13"/>
      <c r="AW1078" s="13"/>
      <c r="AX1078" s="4"/>
      <c r="AY1078" s="13"/>
      <c r="AZ1078" s="13"/>
      <c r="BA1078" s="13"/>
      <c r="BB1078" s="13"/>
      <c r="BC1078" s="4"/>
      <c r="BD1078" s="4"/>
      <c r="BE1078" s="4"/>
      <c r="BF1078" s="13"/>
      <c r="BG1078" s="4"/>
      <c r="BH1078" s="13"/>
      <c r="BI1078" s="13"/>
      <c r="BJ1078" s="4"/>
      <c r="BK1078" s="14">
        <v>14</v>
      </c>
      <c r="BL1078" s="14">
        <v>14</v>
      </c>
      <c r="BM1078" s="14">
        <v>14</v>
      </c>
      <c r="BN1078" s="3" t="s">
        <v>86</v>
      </c>
      <c r="BP1078" s="15"/>
      <c r="BQ1078" s="15"/>
      <c r="BR1078" s="2" t="s">
        <v>108</v>
      </c>
      <c r="BS1078" s="2" t="s">
        <v>108</v>
      </c>
      <c r="BT1078" s="7" t="s">
        <v>109</v>
      </c>
      <c r="BU1078" s="7"/>
      <c r="BV1078" s="9" t="s">
        <v>109</v>
      </c>
      <c r="BW1078" s="9"/>
    </row>
    <row r="1079" spans="1:75" ht="14.25" customHeight="1" x14ac:dyDescent="0.25">
      <c r="A1079" s="1">
        <v>1926</v>
      </c>
      <c r="B1079" s="1" t="s">
        <v>4475</v>
      </c>
      <c r="C1079" s="1" t="s">
        <v>4476</v>
      </c>
      <c r="D1079" s="1" t="s">
        <v>77</v>
      </c>
      <c r="E1079" s="1" t="s">
        <v>2396</v>
      </c>
      <c r="F1079" s="1" t="s">
        <v>4440</v>
      </c>
      <c r="G1079" s="1"/>
      <c r="H1079" s="2">
        <v>0</v>
      </c>
      <c r="I1079" s="2">
        <v>0</v>
      </c>
      <c r="J1079" s="2">
        <v>0</v>
      </c>
      <c r="K1079" s="2">
        <v>1</v>
      </c>
      <c r="L1079" s="3" t="s">
        <v>80</v>
      </c>
      <c r="O1079" s="4">
        <v>2</v>
      </c>
      <c r="P1079" s="4" t="s">
        <v>81</v>
      </c>
      <c r="Q1079" s="4"/>
      <c r="R1079" s="5"/>
      <c r="S1079" s="6"/>
      <c r="T1079" s="17"/>
      <c r="U1079" s="6"/>
      <c r="V1079" s="4"/>
      <c r="W1079" s="4"/>
      <c r="X1079" s="4"/>
      <c r="Y1079" s="7">
        <v>1</v>
      </c>
      <c r="Z1079" s="8">
        <v>10615751</v>
      </c>
      <c r="AA1079" s="7" t="s">
        <v>82</v>
      </c>
      <c r="AB1079" s="7"/>
      <c r="AC1079" s="9">
        <v>1</v>
      </c>
      <c r="AD1079" s="10">
        <v>10615751</v>
      </c>
      <c r="AE1079" s="9" t="s">
        <v>82</v>
      </c>
      <c r="AF1079" s="9"/>
      <c r="AG1079" s="11">
        <v>3</v>
      </c>
      <c r="AH1079" s="11" t="s">
        <v>83</v>
      </c>
      <c r="AI1079" s="11"/>
      <c r="AJ1079" s="11"/>
      <c r="AK1079" s="11"/>
      <c r="AL1079" s="12">
        <v>3</v>
      </c>
      <c r="AM1079" s="12" t="s">
        <v>83</v>
      </c>
      <c r="AN1079" s="12"/>
      <c r="AO1079" s="12"/>
      <c r="AP1079" s="12"/>
      <c r="AQ1079" s="4">
        <v>3</v>
      </c>
      <c r="AR1079" s="4" t="s">
        <v>83</v>
      </c>
      <c r="AS1079" s="4"/>
      <c r="AT1079" s="13"/>
      <c r="AU1079" s="13"/>
      <c r="AV1079" s="13"/>
      <c r="AW1079" s="13"/>
      <c r="AX1079" s="4"/>
      <c r="AY1079" s="13"/>
      <c r="AZ1079" s="13"/>
      <c r="BA1079" s="13"/>
      <c r="BB1079" s="13"/>
      <c r="BC1079" s="4"/>
      <c r="BD1079" s="4"/>
      <c r="BE1079" s="4"/>
      <c r="BF1079" s="13"/>
      <c r="BG1079" s="4"/>
      <c r="BH1079" s="13"/>
      <c r="BI1079" s="13"/>
      <c r="BJ1079" s="4"/>
      <c r="BK1079" s="14">
        <v>9</v>
      </c>
      <c r="BL1079" s="14">
        <v>9</v>
      </c>
      <c r="BM1079" s="14">
        <v>9</v>
      </c>
      <c r="BP1079" s="15"/>
      <c r="BQ1079" s="15"/>
      <c r="BR1079" s="2" t="s">
        <v>97</v>
      </c>
      <c r="BS1079" s="2" t="s">
        <v>97</v>
      </c>
      <c r="BT1079" s="7" t="s">
        <v>98</v>
      </c>
      <c r="BU1079" s="7"/>
      <c r="BV1079" s="9" t="s">
        <v>98</v>
      </c>
      <c r="BW1079" s="9"/>
    </row>
    <row r="1080" spans="1:75" ht="14.25" customHeight="1" x14ac:dyDescent="0.25">
      <c r="A1080" s="1">
        <v>1927</v>
      </c>
      <c r="B1080" s="1" t="s">
        <v>4477</v>
      </c>
      <c r="C1080" s="1" t="s">
        <v>4478</v>
      </c>
      <c r="D1080" s="1" t="s">
        <v>77</v>
      </c>
      <c r="E1080" s="1" t="s">
        <v>2396</v>
      </c>
      <c r="F1080" s="1" t="s">
        <v>4440</v>
      </c>
      <c r="G1080" s="1"/>
      <c r="H1080" s="2">
        <v>0</v>
      </c>
      <c r="I1080" s="2">
        <v>0</v>
      </c>
      <c r="J1080" s="2">
        <v>1</v>
      </c>
      <c r="K1080" s="2">
        <v>1</v>
      </c>
      <c r="L1080" s="3" t="s">
        <v>80</v>
      </c>
      <c r="O1080" s="4">
        <v>3</v>
      </c>
      <c r="P1080" s="4" t="s">
        <v>81</v>
      </c>
      <c r="Q1080" s="4" t="s">
        <v>1789</v>
      </c>
      <c r="R1080" s="5"/>
      <c r="S1080" s="6"/>
      <c r="T1080" s="17"/>
      <c r="U1080" s="6"/>
      <c r="V1080" s="4"/>
      <c r="W1080" s="4"/>
      <c r="X1080" s="4"/>
      <c r="Y1080" s="7">
        <v>3</v>
      </c>
      <c r="Z1080" s="8">
        <v>482410</v>
      </c>
      <c r="AA1080" s="7" t="s">
        <v>92</v>
      </c>
      <c r="AB1080" s="7"/>
      <c r="AC1080" s="9">
        <v>3</v>
      </c>
      <c r="AD1080" s="10">
        <v>482410</v>
      </c>
      <c r="AE1080" s="9" t="s">
        <v>92</v>
      </c>
      <c r="AF1080" s="9"/>
      <c r="AG1080" s="11">
        <v>3</v>
      </c>
      <c r="AH1080" s="11" t="s">
        <v>93</v>
      </c>
      <c r="AI1080" s="11"/>
      <c r="AJ1080" s="11"/>
      <c r="AK1080" s="11"/>
      <c r="AL1080" s="12">
        <v>3</v>
      </c>
      <c r="AM1080" s="12" t="s">
        <v>93</v>
      </c>
      <c r="AN1080" s="12" t="s">
        <v>394</v>
      </c>
      <c r="AO1080" s="12"/>
      <c r="AP1080" s="12"/>
      <c r="AQ1080" s="4">
        <v>4</v>
      </c>
      <c r="AR1080" s="4" t="s">
        <v>83</v>
      </c>
      <c r="AS1080" s="4"/>
      <c r="AT1080" s="13"/>
      <c r="AU1080" s="13"/>
      <c r="AV1080" s="13"/>
      <c r="AW1080" s="13"/>
      <c r="AX1080" s="4"/>
      <c r="AY1080" s="13"/>
      <c r="AZ1080" s="13"/>
      <c r="BA1080" s="13"/>
      <c r="BB1080" s="13"/>
      <c r="BC1080" s="4"/>
      <c r="BD1080" s="4"/>
      <c r="BE1080" s="4"/>
      <c r="BF1080" s="13"/>
      <c r="BG1080" s="4"/>
      <c r="BH1080" s="13"/>
      <c r="BI1080" s="13"/>
      <c r="BJ1080" s="4"/>
      <c r="BK1080" s="14">
        <v>13</v>
      </c>
      <c r="BL1080" s="14">
        <v>13</v>
      </c>
      <c r="BM1080" s="14">
        <v>13</v>
      </c>
      <c r="BP1080" s="15"/>
      <c r="BQ1080" s="15"/>
      <c r="BR1080" s="2" t="s">
        <v>400</v>
      </c>
      <c r="BS1080" s="2" t="s">
        <v>400</v>
      </c>
      <c r="BT1080" s="7" t="s">
        <v>98</v>
      </c>
      <c r="BU1080" s="7"/>
      <c r="BV1080" s="9" t="s">
        <v>98</v>
      </c>
      <c r="BW1080" s="9"/>
    </row>
    <row r="1081" spans="1:75" ht="14.25" customHeight="1" x14ac:dyDescent="0.25">
      <c r="A1081" s="1">
        <v>1928</v>
      </c>
      <c r="B1081" s="1" t="s">
        <v>4479</v>
      </c>
      <c r="C1081" s="1" t="s">
        <v>4480</v>
      </c>
      <c r="D1081" s="1" t="s">
        <v>77</v>
      </c>
      <c r="E1081" s="1" t="s">
        <v>2396</v>
      </c>
      <c r="F1081" s="1" t="s">
        <v>4440</v>
      </c>
      <c r="G1081" s="1" t="s">
        <v>118</v>
      </c>
      <c r="H1081" s="2">
        <v>0</v>
      </c>
      <c r="I1081" s="2">
        <v>0</v>
      </c>
      <c r="J1081" s="2">
        <v>1</v>
      </c>
      <c r="K1081" s="2">
        <v>1</v>
      </c>
      <c r="L1081" s="3" t="s">
        <v>80</v>
      </c>
      <c r="O1081" s="4">
        <v>3</v>
      </c>
      <c r="P1081" s="4" t="s">
        <v>81</v>
      </c>
      <c r="Q1081" s="4" t="s">
        <v>1789</v>
      </c>
      <c r="R1081" s="5"/>
      <c r="S1081" s="6"/>
      <c r="T1081" s="17"/>
      <c r="U1081" s="6"/>
      <c r="V1081" s="4"/>
      <c r="W1081" s="4"/>
      <c r="X1081" s="4"/>
      <c r="Y1081" s="7">
        <v>3</v>
      </c>
      <c r="Z1081" s="8">
        <v>451509</v>
      </c>
      <c r="AA1081" s="7" t="s">
        <v>92</v>
      </c>
      <c r="AB1081" s="7"/>
      <c r="AC1081" s="9">
        <v>3</v>
      </c>
      <c r="AD1081" s="10">
        <v>451509</v>
      </c>
      <c r="AE1081" s="9" t="s">
        <v>92</v>
      </c>
      <c r="AF1081" s="9"/>
      <c r="AG1081" s="11">
        <v>3</v>
      </c>
      <c r="AH1081" s="11" t="s">
        <v>93</v>
      </c>
      <c r="AI1081" s="11"/>
      <c r="AJ1081" s="11"/>
      <c r="AK1081" s="11"/>
      <c r="AL1081" s="12">
        <v>3</v>
      </c>
      <c r="AM1081" s="12" t="s">
        <v>93</v>
      </c>
      <c r="AN1081" s="12" t="s">
        <v>394</v>
      </c>
      <c r="AO1081" s="12"/>
      <c r="AP1081" s="12"/>
      <c r="AQ1081" s="4">
        <v>4</v>
      </c>
      <c r="AR1081" s="4" t="s">
        <v>83</v>
      </c>
      <c r="AS1081" s="4" t="s">
        <v>4481</v>
      </c>
      <c r="AT1081" s="13"/>
      <c r="AU1081" s="13"/>
      <c r="AV1081" s="13"/>
      <c r="AW1081" s="13"/>
      <c r="AX1081" s="4"/>
      <c r="AY1081" s="13"/>
      <c r="AZ1081" s="13"/>
      <c r="BA1081" s="13"/>
      <c r="BB1081" s="13"/>
      <c r="BC1081" s="4"/>
      <c r="BD1081" s="4"/>
      <c r="BE1081" s="4"/>
      <c r="BF1081" s="13"/>
      <c r="BG1081" s="4"/>
      <c r="BH1081" s="13"/>
      <c r="BI1081" s="13"/>
      <c r="BJ1081" s="4"/>
      <c r="BK1081" s="14">
        <v>13</v>
      </c>
      <c r="BL1081" s="14">
        <v>13</v>
      </c>
      <c r="BM1081" s="14">
        <v>13</v>
      </c>
      <c r="BP1081" s="15"/>
      <c r="BQ1081" s="15"/>
      <c r="BR1081" s="2" t="s">
        <v>115</v>
      </c>
      <c r="BS1081" s="2" t="s">
        <v>115</v>
      </c>
      <c r="BT1081" s="7" t="s">
        <v>98</v>
      </c>
      <c r="BU1081" s="7"/>
      <c r="BV1081" s="9" t="s">
        <v>98</v>
      </c>
      <c r="BW1081" s="9"/>
    </row>
    <row r="1082" spans="1:75" ht="14.25" customHeight="1" x14ac:dyDescent="0.25">
      <c r="A1082" s="1">
        <v>1929</v>
      </c>
      <c r="B1082" s="1" t="s">
        <v>4482</v>
      </c>
      <c r="C1082" s="1" t="s">
        <v>4483</v>
      </c>
      <c r="D1082" s="1" t="s">
        <v>77</v>
      </c>
      <c r="E1082" s="1" t="s">
        <v>2396</v>
      </c>
      <c r="F1082" s="1" t="s">
        <v>4440</v>
      </c>
      <c r="G1082" s="1" t="s">
        <v>118</v>
      </c>
      <c r="H1082" s="2">
        <v>0</v>
      </c>
      <c r="I1082" s="2">
        <v>0</v>
      </c>
      <c r="J1082" s="2">
        <v>0</v>
      </c>
      <c r="K1082" s="2">
        <v>1</v>
      </c>
      <c r="L1082" s="3" t="s">
        <v>80</v>
      </c>
      <c r="O1082" s="4">
        <v>5</v>
      </c>
      <c r="P1082" s="4" t="s">
        <v>81</v>
      </c>
      <c r="Q1082" s="4" t="s">
        <v>4484</v>
      </c>
      <c r="R1082" s="5"/>
      <c r="S1082" s="6"/>
      <c r="T1082" s="17"/>
      <c r="U1082" s="6"/>
      <c r="V1082" s="4"/>
      <c r="W1082" s="4"/>
      <c r="X1082" s="4"/>
      <c r="Y1082" s="7">
        <v>5</v>
      </c>
      <c r="Z1082" s="8">
        <v>26959</v>
      </c>
      <c r="AA1082" s="7" t="s">
        <v>4485</v>
      </c>
      <c r="AB1082" s="7" t="s">
        <v>4486</v>
      </c>
      <c r="AC1082" s="9">
        <v>5</v>
      </c>
      <c r="AD1082" s="10">
        <v>26959</v>
      </c>
      <c r="AE1082" s="9" t="s">
        <v>4485</v>
      </c>
      <c r="AF1082" s="9" t="s">
        <v>4487</v>
      </c>
      <c r="AG1082" s="11">
        <v>3</v>
      </c>
      <c r="AH1082" s="11" t="s">
        <v>83</v>
      </c>
      <c r="AI1082" s="11"/>
      <c r="AJ1082" s="11"/>
      <c r="AK1082" s="11"/>
      <c r="AL1082" s="12">
        <v>3</v>
      </c>
      <c r="AM1082" s="12" t="s">
        <v>83</v>
      </c>
      <c r="AN1082" s="12"/>
      <c r="AO1082" s="12"/>
      <c r="AP1082" s="12"/>
      <c r="AQ1082" s="4">
        <v>3</v>
      </c>
      <c r="AR1082" s="4" t="s">
        <v>83</v>
      </c>
      <c r="AS1082" s="4"/>
      <c r="AT1082" s="13"/>
      <c r="AU1082" s="13"/>
      <c r="AV1082" s="13"/>
      <c r="AW1082" s="13"/>
      <c r="AX1082" s="4"/>
      <c r="AY1082" s="13"/>
      <c r="AZ1082" s="13"/>
      <c r="BA1082" s="13"/>
      <c r="BB1082" s="13"/>
      <c r="BC1082" s="4"/>
      <c r="BD1082" s="4"/>
      <c r="BE1082" s="4"/>
      <c r="BF1082" s="13"/>
      <c r="BG1082" s="4"/>
      <c r="BH1082" s="13"/>
      <c r="BI1082" s="13"/>
      <c r="BJ1082" s="4"/>
      <c r="BK1082" s="14">
        <v>16</v>
      </c>
      <c r="BL1082" s="14">
        <v>16</v>
      </c>
      <c r="BM1082" s="14">
        <v>16</v>
      </c>
      <c r="BN1082" s="3" t="s">
        <v>86</v>
      </c>
      <c r="BP1082" s="15"/>
      <c r="BQ1082" s="15"/>
      <c r="BR1082" s="2" t="s">
        <v>121</v>
      </c>
      <c r="BS1082" s="2" t="s">
        <v>121</v>
      </c>
      <c r="BT1082" s="7" t="s">
        <v>98</v>
      </c>
      <c r="BU1082" s="7"/>
      <c r="BV1082" s="9" t="s">
        <v>98</v>
      </c>
      <c r="BW1082" s="9"/>
    </row>
    <row r="1083" spans="1:75" ht="14.25" customHeight="1" x14ac:dyDescent="0.25">
      <c r="A1083" s="1">
        <v>1930</v>
      </c>
      <c r="B1083" s="1" t="s">
        <v>4488</v>
      </c>
      <c r="C1083" s="1" t="s">
        <v>4489</v>
      </c>
      <c r="D1083" s="1" t="s">
        <v>77</v>
      </c>
      <c r="E1083" s="1" t="s">
        <v>2396</v>
      </c>
      <c r="F1083" s="1" t="s">
        <v>4440</v>
      </c>
      <c r="G1083" s="1"/>
      <c r="H1083" s="2">
        <v>0</v>
      </c>
      <c r="I1083" s="2">
        <v>0</v>
      </c>
      <c r="J1083" s="2">
        <v>0</v>
      </c>
      <c r="K1083" s="2">
        <v>1</v>
      </c>
      <c r="L1083" s="3" t="s">
        <v>80</v>
      </c>
      <c r="O1083" s="4">
        <v>3</v>
      </c>
      <c r="P1083" s="4" t="s">
        <v>81</v>
      </c>
      <c r="Q1083" s="4"/>
      <c r="R1083" s="5"/>
      <c r="S1083" s="6"/>
      <c r="T1083" s="17"/>
      <c r="U1083" s="6"/>
      <c r="V1083" s="4"/>
      <c r="W1083" s="4"/>
      <c r="X1083" s="4"/>
      <c r="Y1083" s="7">
        <v>3</v>
      </c>
      <c r="Z1083" s="8">
        <v>406150</v>
      </c>
      <c r="AA1083" s="7" t="s">
        <v>82</v>
      </c>
      <c r="AB1083" s="7"/>
      <c r="AC1083" s="9">
        <v>3</v>
      </c>
      <c r="AD1083" s="10">
        <v>406150</v>
      </c>
      <c r="AE1083" s="9" t="s">
        <v>82</v>
      </c>
      <c r="AF1083" s="9"/>
      <c r="AG1083" s="11">
        <v>3</v>
      </c>
      <c r="AH1083" s="11" t="s">
        <v>83</v>
      </c>
      <c r="AI1083" s="11"/>
      <c r="AJ1083" s="11"/>
      <c r="AK1083" s="11"/>
      <c r="AL1083" s="12">
        <v>3</v>
      </c>
      <c r="AM1083" s="12" t="s">
        <v>83</v>
      </c>
      <c r="AN1083" s="12"/>
      <c r="AO1083" s="12"/>
      <c r="AP1083" s="12"/>
      <c r="AQ1083" s="4">
        <v>4</v>
      </c>
      <c r="AR1083" s="4" t="s">
        <v>83</v>
      </c>
      <c r="AS1083" s="4" t="s">
        <v>4490</v>
      </c>
      <c r="AT1083" s="13"/>
      <c r="AU1083" s="13"/>
      <c r="AV1083" s="13"/>
      <c r="AW1083" s="13"/>
      <c r="AX1083" s="4"/>
      <c r="AY1083" s="13"/>
      <c r="AZ1083" s="13"/>
      <c r="BA1083" s="13"/>
      <c r="BB1083" s="13"/>
      <c r="BC1083" s="4"/>
      <c r="BD1083" s="4"/>
      <c r="BE1083" s="4"/>
      <c r="BF1083" s="13"/>
      <c r="BG1083" s="4"/>
      <c r="BH1083" s="13"/>
      <c r="BI1083" s="13"/>
      <c r="BJ1083" s="4"/>
      <c r="BK1083" s="14">
        <v>13</v>
      </c>
      <c r="BL1083" s="14">
        <v>13</v>
      </c>
      <c r="BM1083" s="14">
        <v>13</v>
      </c>
      <c r="BP1083" s="15"/>
      <c r="BQ1083" s="15"/>
      <c r="BR1083" s="2" t="s">
        <v>97</v>
      </c>
      <c r="BS1083" s="2" t="s">
        <v>97</v>
      </c>
      <c r="BT1083" s="7" t="s">
        <v>88</v>
      </c>
      <c r="BU1083" s="7"/>
      <c r="BV1083" s="9" t="s">
        <v>88</v>
      </c>
      <c r="BW1083" s="9"/>
    </row>
    <row r="1084" spans="1:75" ht="14.25" customHeight="1" x14ac:dyDescent="0.25">
      <c r="A1084" s="1">
        <v>1931</v>
      </c>
      <c r="B1084" s="1" t="s">
        <v>4491</v>
      </c>
      <c r="C1084" s="1" t="s">
        <v>4492</v>
      </c>
      <c r="D1084" s="1" t="s">
        <v>77</v>
      </c>
      <c r="E1084" s="1" t="s">
        <v>2396</v>
      </c>
      <c r="F1084" s="1" t="s">
        <v>4440</v>
      </c>
      <c r="G1084" s="1"/>
      <c r="H1084" s="2">
        <v>0</v>
      </c>
      <c r="I1084" s="2">
        <v>0</v>
      </c>
      <c r="J1084" s="2">
        <v>0</v>
      </c>
      <c r="K1084" s="2">
        <v>1</v>
      </c>
      <c r="L1084" s="3" t="s">
        <v>80</v>
      </c>
      <c r="O1084" s="4">
        <v>2</v>
      </c>
      <c r="P1084" s="4" t="s">
        <v>81</v>
      </c>
      <c r="Q1084" s="4"/>
      <c r="R1084" s="5"/>
      <c r="S1084" s="6"/>
      <c r="T1084" s="17"/>
      <c r="U1084" s="6"/>
      <c r="V1084" s="4"/>
      <c r="W1084" s="4"/>
      <c r="X1084" s="4"/>
      <c r="Y1084" s="7">
        <v>1</v>
      </c>
      <c r="Z1084" s="8">
        <v>8888166</v>
      </c>
      <c r="AA1084" s="7" t="s">
        <v>82</v>
      </c>
      <c r="AB1084" s="7"/>
      <c r="AC1084" s="9">
        <v>1</v>
      </c>
      <c r="AD1084" s="10">
        <v>8888166</v>
      </c>
      <c r="AE1084" s="9" t="s">
        <v>82</v>
      </c>
      <c r="AF1084" s="9"/>
      <c r="AG1084" s="11">
        <v>3</v>
      </c>
      <c r="AH1084" s="11" t="s">
        <v>83</v>
      </c>
      <c r="AI1084" s="11"/>
      <c r="AJ1084" s="11"/>
      <c r="AK1084" s="11"/>
      <c r="AL1084" s="12">
        <v>3</v>
      </c>
      <c r="AM1084" s="12" t="s">
        <v>83</v>
      </c>
      <c r="AN1084" s="12"/>
      <c r="AO1084" s="12"/>
      <c r="AP1084" s="12"/>
      <c r="AQ1084" s="4">
        <v>4</v>
      </c>
      <c r="AR1084" s="4" t="s">
        <v>83</v>
      </c>
      <c r="AS1084" s="4"/>
      <c r="AT1084" s="13"/>
      <c r="AU1084" s="13"/>
      <c r="AV1084" s="13"/>
      <c r="AW1084" s="13"/>
      <c r="AX1084" s="4"/>
      <c r="AY1084" s="13"/>
      <c r="AZ1084" s="13"/>
      <c r="BA1084" s="13"/>
      <c r="BB1084" s="13"/>
      <c r="BC1084" s="4"/>
      <c r="BD1084" s="4"/>
      <c r="BE1084" s="4"/>
      <c r="BF1084" s="13"/>
      <c r="BG1084" s="4"/>
      <c r="BH1084" s="13"/>
      <c r="BI1084" s="13"/>
      <c r="BJ1084" s="4"/>
      <c r="BK1084" s="14">
        <v>10</v>
      </c>
      <c r="BL1084" s="14">
        <v>10</v>
      </c>
      <c r="BM1084" s="14">
        <v>10</v>
      </c>
      <c r="BP1084" s="15"/>
      <c r="BQ1084" s="15"/>
      <c r="BR1084" s="2" t="s">
        <v>740</v>
      </c>
      <c r="BS1084" s="2" t="s">
        <v>740</v>
      </c>
      <c r="BT1084" s="7" t="s">
        <v>98</v>
      </c>
      <c r="BU1084" s="7"/>
      <c r="BV1084" s="9" t="s">
        <v>98</v>
      </c>
      <c r="BW1084" s="9"/>
    </row>
    <row r="1085" spans="1:75" ht="14.25" customHeight="1" x14ac:dyDescent="0.25">
      <c r="A1085" s="1">
        <v>1939</v>
      </c>
      <c r="B1085" s="1" t="s">
        <v>4493</v>
      </c>
      <c r="C1085" s="1" t="s">
        <v>4494</v>
      </c>
      <c r="D1085" s="1" t="s">
        <v>77</v>
      </c>
      <c r="E1085" s="1" t="s">
        <v>2396</v>
      </c>
      <c r="F1085" s="1" t="s">
        <v>4440</v>
      </c>
      <c r="G1085" s="1"/>
      <c r="H1085" s="2">
        <v>0</v>
      </c>
      <c r="I1085" s="2">
        <v>0</v>
      </c>
      <c r="J1085" s="2">
        <v>1</v>
      </c>
      <c r="K1085" s="2">
        <v>1</v>
      </c>
      <c r="L1085" s="3" t="s">
        <v>80</v>
      </c>
      <c r="O1085" s="4">
        <v>3</v>
      </c>
      <c r="P1085" s="4" t="s">
        <v>112</v>
      </c>
      <c r="Q1085" s="4"/>
      <c r="R1085" s="5"/>
      <c r="S1085" s="6"/>
      <c r="T1085" s="17"/>
      <c r="U1085" s="6"/>
      <c r="V1085" s="4"/>
      <c r="W1085" s="4"/>
      <c r="X1085" s="4"/>
      <c r="Y1085" s="7">
        <v>3</v>
      </c>
      <c r="Z1085" s="8">
        <v>692407</v>
      </c>
      <c r="AA1085" s="7" t="s">
        <v>92</v>
      </c>
      <c r="AB1085" s="7"/>
      <c r="AC1085" s="9">
        <v>3</v>
      </c>
      <c r="AD1085" s="10">
        <v>769426</v>
      </c>
      <c r="AE1085" s="9" t="s">
        <v>92</v>
      </c>
      <c r="AF1085" s="9"/>
      <c r="AG1085" s="11">
        <v>3</v>
      </c>
      <c r="AH1085" s="11" t="s">
        <v>93</v>
      </c>
      <c r="AI1085" s="11" t="s">
        <v>393</v>
      </c>
      <c r="AJ1085" s="11"/>
      <c r="AK1085" s="11"/>
      <c r="AL1085" s="12">
        <v>3</v>
      </c>
      <c r="AM1085" s="12" t="s">
        <v>93</v>
      </c>
      <c r="AN1085" s="12" t="s">
        <v>4495</v>
      </c>
      <c r="AO1085" s="12"/>
      <c r="AP1085" s="12"/>
      <c r="AQ1085" s="4">
        <v>3</v>
      </c>
      <c r="AR1085" s="4" t="s">
        <v>83</v>
      </c>
      <c r="AS1085" s="4"/>
      <c r="AT1085" s="13"/>
      <c r="AU1085" s="13"/>
      <c r="AV1085" s="13"/>
      <c r="AW1085" s="13"/>
      <c r="AX1085" s="4"/>
      <c r="AY1085" s="13"/>
      <c r="AZ1085" s="13"/>
      <c r="BA1085" s="13"/>
      <c r="BB1085" s="13"/>
      <c r="BC1085" s="4"/>
      <c r="BD1085" s="4"/>
      <c r="BE1085" s="4"/>
      <c r="BF1085" s="13"/>
      <c r="BG1085" s="4"/>
      <c r="BH1085" s="13"/>
      <c r="BI1085" s="13"/>
      <c r="BJ1085" s="4"/>
      <c r="BK1085" s="14">
        <v>12</v>
      </c>
      <c r="BL1085" s="14">
        <v>12</v>
      </c>
      <c r="BM1085" s="14">
        <v>12</v>
      </c>
      <c r="BP1085" s="15"/>
      <c r="BQ1085" s="15"/>
      <c r="BR1085" s="2" t="s">
        <v>108</v>
      </c>
      <c r="BS1085" s="2" t="s">
        <v>108</v>
      </c>
      <c r="BT1085" s="7" t="s">
        <v>109</v>
      </c>
      <c r="BU1085" s="7" t="s">
        <v>438</v>
      </c>
      <c r="BV1085" s="9" t="s">
        <v>109</v>
      </c>
      <c r="BW1085" s="9" t="s">
        <v>438</v>
      </c>
    </row>
    <row r="1086" spans="1:75" ht="14.25" customHeight="1" x14ac:dyDescent="0.25">
      <c r="A1086" s="1">
        <v>1940</v>
      </c>
      <c r="B1086" s="1" t="s">
        <v>4496</v>
      </c>
      <c r="C1086" s="1" t="s">
        <v>4497</v>
      </c>
      <c r="D1086" s="1" t="s">
        <v>77</v>
      </c>
      <c r="E1086" s="1" t="s">
        <v>2396</v>
      </c>
      <c r="F1086" s="1" t="s">
        <v>4440</v>
      </c>
      <c r="G1086" s="1" t="s">
        <v>118</v>
      </c>
      <c r="H1086" s="2">
        <v>0</v>
      </c>
      <c r="I1086" s="2">
        <v>0</v>
      </c>
      <c r="J1086" s="2">
        <v>1</v>
      </c>
      <c r="K1086" s="2">
        <v>1</v>
      </c>
      <c r="L1086" s="3" t="s">
        <v>80</v>
      </c>
      <c r="O1086" s="4">
        <v>5</v>
      </c>
      <c r="P1086" s="4" t="s">
        <v>112</v>
      </c>
      <c r="Q1086" s="4"/>
      <c r="R1086" s="5"/>
      <c r="S1086" s="6"/>
      <c r="T1086" s="17"/>
      <c r="U1086" s="6"/>
      <c r="V1086" s="4"/>
      <c r="W1086" s="4"/>
      <c r="X1086" s="4"/>
      <c r="Y1086" s="7">
        <v>4</v>
      </c>
      <c r="Z1086" s="8">
        <v>87568</v>
      </c>
      <c r="AA1086" s="7" t="s">
        <v>92</v>
      </c>
      <c r="AB1086" s="7"/>
      <c r="AC1086" s="9">
        <v>4</v>
      </c>
      <c r="AD1086" s="10">
        <v>87568</v>
      </c>
      <c r="AE1086" s="9" t="s">
        <v>92</v>
      </c>
      <c r="AF1086" s="9"/>
      <c r="AG1086" s="11">
        <v>3</v>
      </c>
      <c r="AH1086" s="11" t="s">
        <v>93</v>
      </c>
      <c r="AI1086" s="11"/>
      <c r="AJ1086" s="11"/>
      <c r="AK1086" s="11"/>
      <c r="AL1086" s="12">
        <v>3</v>
      </c>
      <c r="AM1086" s="12" t="s">
        <v>93</v>
      </c>
      <c r="AN1086" s="12" t="s">
        <v>4498</v>
      </c>
      <c r="AO1086" s="12"/>
      <c r="AP1086" s="12"/>
      <c r="AQ1086" s="4">
        <v>4</v>
      </c>
      <c r="AR1086" s="4" t="s">
        <v>83</v>
      </c>
      <c r="AS1086" s="4"/>
      <c r="AT1086" s="13"/>
      <c r="AU1086" s="13"/>
      <c r="AV1086" s="13"/>
      <c r="AW1086" s="13"/>
      <c r="AX1086" s="4"/>
      <c r="AY1086" s="13"/>
      <c r="AZ1086" s="13"/>
      <c r="BA1086" s="13"/>
      <c r="BB1086" s="13"/>
      <c r="BC1086" s="4"/>
      <c r="BD1086" s="4"/>
      <c r="BE1086" s="4"/>
      <c r="BF1086" s="13"/>
      <c r="BG1086" s="4"/>
      <c r="BH1086" s="13"/>
      <c r="BI1086" s="13"/>
      <c r="BJ1086" s="4"/>
      <c r="BK1086" s="14">
        <v>16</v>
      </c>
      <c r="BL1086" s="14">
        <v>16</v>
      </c>
      <c r="BM1086" s="14">
        <v>16</v>
      </c>
      <c r="BN1086" s="3" t="s">
        <v>86</v>
      </c>
      <c r="BP1086" s="15"/>
      <c r="BQ1086" s="15"/>
      <c r="BR1086" s="2" t="s">
        <v>108</v>
      </c>
      <c r="BS1086" s="2" t="s">
        <v>108</v>
      </c>
      <c r="BT1086" s="7" t="s">
        <v>109</v>
      </c>
      <c r="BU1086" s="7"/>
      <c r="BV1086" s="9" t="s">
        <v>109</v>
      </c>
      <c r="BW1086" s="9"/>
    </row>
    <row r="1087" spans="1:75" ht="14.25" customHeight="1" x14ac:dyDescent="0.25">
      <c r="A1087" s="1">
        <v>1941</v>
      </c>
      <c r="B1087" s="1" t="s">
        <v>4499</v>
      </c>
      <c r="C1087" s="1" t="s">
        <v>4500</v>
      </c>
      <c r="D1087" s="1" t="s">
        <v>77</v>
      </c>
      <c r="E1087" s="1" t="s">
        <v>2396</v>
      </c>
      <c r="F1087" s="1" t="s">
        <v>4440</v>
      </c>
      <c r="G1087" s="1"/>
      <c r="H1087" s="2">
        <v>0</v>
      </c>
      <c r="I1087" s="2">
        <v>0</v>
      </c>
      <c r="J1087" s="2">
        <v>1</v>
      </c>
      <c r="K1087" s="2">
        <v>1</v>
      </c>
      <c r="L1087" s="3" t="s">
        <v>80</v>
      </c>
      <c r="O1087" s="4">
        <v>3</v>
      </c>
      <c r="P1087" s="4" t="s">
        <v>81</v>
      </c>
      <c r="Q1087" s="4" t="s">
        <v>1789</v>
      </c>
      <c r="R1087" s="5"/>
      <c r="S1087" s="6"/>
      <c r="T1087" s="17"/>
      <c r="U1087" s="6"/>
      <c r="V1087" s="4"/>
      <c r="W1087" s="4"/>
      <c r="X1087" s="4"/>
      <c r="Y1087" s="7">
        <v>3</v>
      </c>
      <c r="Z1087" s="8">
        <v>436351</v>
      </c>
      <c r="AA1087" s="7" t="s">
        <v>92</v>
      </c>
      <c r="AB1087" s="7"/>
      <c r="AC1087" s="9">
        <v>3</v>
      </c>
      <c r="AD1087" s="10">
        <v>436351</v>
      </c>
      <c r="AE1087" s="9" t="s">
        <v>92</v>
      </c>
      <c r="AF1087" s="9" t="s">
        <v>4501</v>
      </c>
      <c r="AG1087" s="11">
        <v>3</v>
      </c>
      <c r="AH1087" s="11" t="s">
        <v>93</v>
      </c>
      <c r="AI1087" s="11"/>
      <c r="AJ1087" s="11"/>
      <c r="AK1087" s="11"/>
      <c r="AL1087" s="12">
        <v>3</v>
      </c>
      <c r="AM1087" s="12" t="s">
        <v>93</v>
      </c>
      <c r="AN1087" s="12" t="s">
        <v>4502</v>
      </c>
      <c r="AO1087" s="12"/>
      <c r="AP1087" s="12"/>
      <c r="AQ1087" s="4">
        <v>4</v>
      </c>
      <c r="AR1087" s="4" t="s">
        <v>83</v>
      </c>
      <c r="AS1087" s="4"/>
      <c r="AT1087" s="13"/>
      <c r="AU1087" s="13"/>
      <c r="AV1087" s="13"/>
      <c r="AW1087" s="13"/>
      <c r="AX1087" s="4"/>
      <c r="AY1087" s="13"/>
      <c r="AZ1087" s="13"/>
      <c r="BA1087" s="13"/>
      <c r="BB1087" s="13"/>
      <c r="BC1087" s="4"/>
      <c r="BD1087" s="4"/>
      <c r="BE1087" s="4"/>
      <c r="BF1087" s="13"/>
      <c r="BG1087" s="4"/>
      <c r="BH1087" s="13"/>
      <c r="BI1087" s="13"/>
      <c r="BJ1087" s="4"/>
      <c r="BK1087" s="14">
        <v>13</v>
      </c>
      <c r="BL1087" s="14">
        <v>13</v>
      </c>
      <c r="BM1087" s="14">
        <v>13</v>
      </c>
      <c r="BP1087" s="15"/>
      <c r="BQ1087" s="15"/>
      <c r="BR1087" s="2" t="s">
        <v>115</v>
      </c>
      <c r="BS1087" s="2" t="s">
        <v>115</v>
      </c>
      <c r="BT1087" s="7" t="s">
        <v>98</v>
      </c>
      <c r="BU1087" s="7"/>
      <c r="BV1087" s="9" t="s">
        <v>98</v>
      </c>
      <c r="BW1087" s="9"/>
    </row>
    <row r="1088" spans="1:75" ht="14.25" customHeight="1" x14ac:dyDescent="0.25">
      <c r="A1088" s="1">
        <v>1942</v>
      </c>
      <c r="B1088" s="1" t="s">
        <v>4503</v>
      </c>
      <c r="C1088" s="1" t="s">
        <v>4504</v>
      </c>
      <c r="D1088" s="1" t="s">
        <v>77</v>
      </c>
      <c r="E1088" s="1" t="s">
        <v>2396</v>
      </c>
      <c r="F1088" s="1" t="s">
        <v>4440</v>
      </c>
      <c r="G1088" s="1"/>
      <c r="H1088" s="2">
        <v>1</v>
      </c>
      <c r="I1088" s="2">
        <v>1</v>
      </c>
      <c r="J1088" s="2">
        <v>1</v>
      </c>
      <c r="K1088" s="2">
        <v>1</v>
      </c>
      <c r="L1088" s="3" t="s">
        <v>127</v>
      </c>
      <c r="O1088" s="4">
        <v>2</v>
      </c>
      <c r="P1088" s="4" t="s">
        <v>424</v>
      </c>
      <c r="Q1088" s="4"/>
      <c r="R1088" s="16">
        <v>12000000</v>
      </c>
      <c r="S1088" s="6">
        <v>12000000</v>
      </c>
      <c r="T1088" s="16">
        <v>11000000</v>
      </c>
      <c r="U1088" s="6">
        <v>11000000</v>
      </c>
      <c r="V1088" s="4">
        <v>2010.5</v>
      </c>
      <c r="W1088" s="4" t="s">
        <v>425</v>
      </c>
      <c r="X1088" s="4"/>
      <c r="Y1088" s="7">
        <v>1</v>
      </c>
      <c r="Z1088" s="8">
        <v>4788158</v>
      </c>
      <c r="AA1088" s="7" t="s">
        <v>92</v>
      </c>
      <c r="AB1088" s="7"/>
      <c r="AC1088" s="9">
        <v>2</v>
      </c>
      <c r="AD1088" s="10">
        <v>1424755</v>
      </c>
      <c r="AE1088" s="9" t="s">
        <v>92</v>
      </c>
      <c r="AF1088" s="9"/>
      <c r="AG1088" s="11">
        <v>3</v>
      </c>
      <c r="AH1088" s="11" t="s">
        <v>131</v>
      </c>
      <c r="AI1088" s="11" t="s">
        <v>4505</v>
      </c>
      <c r="AJ1088" s="11">
        <v>2</v>
      </c>
      <c r="AK1088" s="11" t="s">
        <v>143</v>
      </c>
      <c r="AL1088" s="12">
        <v>2</v>
      </c>
      <c r="AM1088" s="12" t="s">
        <v>131</v>
      </c>
      <c r="AN1088" s="12" t="s">
        <v>4506</v>
      </c>
      <c r="AO1088" s="12">
        <v>2</v>
      </c>
      <c r="AP1088" s="12" t="s">
        <v>132</v>
      </c>
      <c r="AQ1088" s="4">
        <v>4</v>
      </c>
      <c r="AR1088" s="4" t="s">
        <v>133</v>
      </c>
      <c r="AS1088" s="4"/>
      <c r="AT1088" s="13">
        <v>-28.454425811767599</v>
      </c>
      <c r="AU1088" s="13">
        <v>-0.653958439826965</v>
      </c>
      <c r="AV1088" s="13">
        <v>-1.04999995231628</v>
      </c>
      <c r="AW1088" s="13">
        <v>-0.31539800763130199</v>
      </c>
      <c r="AX1088" s="4">
        <v>1</v>
      </c>
      <c r="AY1088" s="13">
        <v>-9.0096845626831108</v>
      </c>
      <c r="AZ1088" s="13">
        <v>-0.93978518247604403</v>
      </c>
      <c r="BA1088" s="13">
        <v>-1.6663010120391799</v>
      </c>
      <c r="BB1088" s="13">
        <v>-2.4100000038742998E-2</v>
      </c>
      <c r="BC1088" s="4">
        <v>1</v>
      </c>
      <c r="BD1088" s="4">
        <v>10</v>
      </c>
      <c r="BE1088" s="4" t="s">
        <v>134</v>
      </c>
      <c r="BF1088" s="13">
        <v>0.73460197448730502</v>
      </c>
      <c r="BG1088" s="4">
        <v>2174</v>
      </c>
      <c r="BH1088" s="13">
        <v>2.3450000286102299</v>
      </c>
      <c r="BI1088" s="13">
        <v>5098.02001953125</v>
      </c>
      <c r="BJ1088" s="4"/>
      <c r="BK1088" s="14">
        <v>10</v>
      </c>
      <c r="BL1088" s="14">
        <v>10</v>
      </c>
      <c r="BM1088" s="14">
        <v>10</v>
      </c>
      <c r="BP1088" s="15"/>
      <c r="BQ1088" s="15"/>
      <c r="BR1088" s="2" t="s">
        <v>239</v>
      </c>
      <c r="BS1088" s="2" t="s">
        <v>400</v>
      </c>
      <c r="BT1088" s="7" t="s">
        <v>241</v>
      </c>
      <c r="BU1088" s="7"/>
      <c r="BV1088" s="9" t="s">
        <v>797</v>
      </c>
      <c r="BW1088" s="9"/>
    </row>
    <row r="1089" spans="1:75" ht="14.25" customHeight="1" x14ac:dyDescent="0.25">
      <c r="A1089" s="1">
        <v>1943</v>
      </c>
      <c r="B1089" s="1" t="s">
        <v>4507</v>
      </c>
      <c r="C1089" s="1" t="s">
        <v>4508</v>
      </c>
      <c r="D1089" s="1" t="s">
        <v>77</v>
      </c>
      <c r="E1089" s="1" t="s">
        <v>2396</v>
      </c>
      <c r="F1089" s="1" t="s">
        <v>4440</v>
      </c>
      <c r="G1089" s="1"/>
      <c r="H1089" s="2">
        <v>0</v>
      </c>
      <c r="I1089" s="2">
        <v>1</v>
      </c>
      <c r="J1089" s="2">
        <v>1</v>
      </c>
      <c r="K1089" s="2">
        <v>1</v>
      </c>
      <c r="L1089" s="3" t="s">
        <v>127</v>
      </c>
      <c r="O1089" s="4">
        <v>3</v>
      </c>
      <c r="P1089" s="4" t="s">
        <v>470</v>
      </c>
      <c r="Q1089" s="4"/>
      <c r="R1089" s="16">
        <v>1700000</v>
      </c>
      <c r="S1089" s="6">
        <v>1700000</v>
      </c>
      <c r="T1089" s="16">
        <v>350000</v>
      </c>
      <c r="U1089" s="6">
        <v>350000</v>
      </c>
      <c r="V1089" s="4">
        <v>2010.5</v>
      </c>
      <c r="W1089" s="4" t="s">
        <v>425</v>
      </c>
      <c r="X1089" s="4"/>
      <c r="Y1089" s="7">
        <v>2</v>
      </c>
      <c r="Z1089" s="8">
        <v>1123876</v>
      </c>
      <c r="AA1089" s="7" t="s">
        <v>92</v>
      </c>
      <c r="AB1089" s="7"/>
      <c r="AC1089" s="9">
        <v>3</v>
      </c>
      <c r="AD1089" s="10">
        <v>513510</v>
      </c>
      <c r="AE1089" s="9" t="s">
        <v>92</v>
      </c>
      <c r="AF1089" s="9"/>
      <c r="AG1089" s="11">
        <v>3</v>
      </c>
      <c r="AH1089" s="11" t="s">
        <v>131</v>
      </c>
      <c r="AI1089" s="11" t="s">
        <v>4509</v>
      </c>
      <c r="AJ1089" s="11">
        <v>2</v>
      </c>
      <c r="AK1089" s="11" t="s">
        <v>132</v>
      </c>
      <c r="AL1089" s="12">
        <v>2</v>
      </c>
      <c r="AM1089" s="12" t="s">
        <v>131</v>
      </c>
      <c r="AN1089" s="12" t="s">
        <v>4510</v>
      </c>
      <c r="AO1089" s="12">
        <v>2</v>
      </c>
      <c r="AP1089" s="12" t="s">
        <v>143</v>
      </c>
      <c r="AQ1089" s="4">
        <v>1</v>
      </c>
      <c r="AR1089" s="4" t="s">
        <v>133</v>
      </c>
      <c r="AS1089" s="4"/>
      <c r="AT1089" s="13">
        <v>85.069198608398395</v>
      </c>
      <c r="AU1089" s="13">
        <v>1.21159338951111</v>
      </c>
      <c r="AV1089" s="13">
        <v>0.230002000927925</v>
      </c>
      <c r="AW1089" s="13">
        <v>2.4000000953674299</v>
      </c>
      <c r="AX1089" s="4">
        <v>1</v>
      </c>
      <c r="AY1089" s="13">
        <v>30.7903652191162</v>
      </c>
      <c r="AZ1089" s="13">
        <v>2.7198715209960902</v>
      </c>
      <c r="BA1089" s="13">
        <v>0.171101003885269</v>
      </c>
      <c r="BB1089" s="13">
        <v>5.6199998855590803</v>
      </c>
      <c r="BC1089" s="4">
        <v>1</v>
      </c>
      <c r="BD1089" s="4">
        <v>10</v>
      </c>
      <c r="BE1089" s="4" t="s">
        <v>134</v>
      </c>
      <c r="BF1089" s="13">
        <v>2.1699979305267298</v>
      </c>
      <c r="BG1089" s="4">
        <v>160</v>
      </c>
      <c r="BH1089" s="13">
        <v>0.39050000905990601</v>
      </c>
      <c r="BI1089" s="13">
        <v>62.4799995422363</v>
      </c>
      <c r="BJ1089" s="4"/>
      <c r="BK1089" s="14">
        <v>9</v>
      </c>
      <c r="BL1089" s="14">
        <v>9</v>
      </c>
      <c r="BM1089" s="14">
        <v>9</v>
      </c>
      <c r="BP1089" s="15" t="s">
        <v>135</v>
      </c>
      <c r="BQ1089" s="15"/>
      <c r="BR1089" s="2" t="s">
        <v>297</v>
      </c>
      <c r="BS1089" s="2" t="s">
        <v>400</v>
      </c>
      <c r="BT1089" s="7" t="s">
        <v>1827</v>
      </c>
      <c r="BU1089" s="7"/>
      <c r="BV1089" s="9" t="s">
        <v>1827</v>
      </c>
      <c r="BW1089" s="9"/>
    </row>
    <row r="1090" spans="1:75" ht="14.25" customHeight="1" x14ac:dyDescent="0.25">
      <c r="A1090" s="1">
        <v>1944</v>
      </c>
      <c r="B1090" s="1" t="s">
        <v>4511</v>
      </c>
      <c r="C1090" s="1" t="s">
        <v>4512</v>
      </c>
      <c r="D1090" s="1" t="s">
        <v>77</v>
      </c>
      <c r="E1090" s="1" t="s">
        <v>2396</v>
      </c>
      <c r="F1090" s="1" t="s">
        <v>4440</v>
      </c>
      <c r="G1090" s="1"/>
      <c r="H1090" s="2">
        <v>0</v>
      </c>
      <c r="I1090" s="2">
        <v>0</v>
      </c>
      <c r="J1090" s="2">
        <v>1</v>
      </c>
      <c r="K1090" s="2">
        <v>1</v>
      </c>
      <c r="L1090" s="3" t="s">
        <v>80</v>
      </c>
      <c r="O1090" s="4">
        <v>3</v>
      </c>
      <c r="P1090" s="4" t="s">
        <v>112</v>
      </c>
      <c r="Q1090" s="4"/>
      <c r="R1090" s="5"/>
      <c r="S1090" s="6"/>
      <c r="T1090" s="17"/>
      <c r="U1090" s="6"/>
      <c r="V1090" s="4"/>
      <c r="W1090" s="4"/>
      <c r="X1090" s="4"/>
      <c r="Y1090" s="7">
        <v>3</v>
      </c>
      <c r="Z1090" s="8">
        <v>780031</v>
      </c>
      <c r="AA1090" s="7" t="s">
        <v>92</v>
      </c>
      <c r="AB1090" s="7"/>
      <c r="AC1090" s="9">
        <v>3</v>
      </c>
      <c r="AD1090" s="10">
        <v>780031</v>
      </c>
      <c r="AE1090" s="9" t="s">
        <v>92</v>
      </c>
      <c r="AF1090" s="9"/>
      <c r="AG1090" s="11">
        <v>3</v>
      </c>
      <c r="AH1090" s="11" t="s">
        <v>93</v>
      </c>
      <c r="AI1090" s="11"/>
      <c r="AJ1090" s="11"/>
      <c r="AK1090" s="11"/>
      <c r="AL1090" s="12">
        <v>3</v>
      </c>
      <c r="AM1090" s="12" t="s">
        <v>93</v>
      </c>
      <c r="AN1090" s="12" t="s">
        <v>4502</v>
      </c>
      <c r="AO1090" s="12"/>
      <c r="AP1090" s="12"/>
      <c r="AQ1090" s="4">
        <v>4</v>
      </c>
      <c r="AR1090" s="4" t="s">
        <v>83</v>
      </c>
      <c r="AS1090" s="4"/>
      <c r="AT1090" s="13"/>
      <c r="AU1090" s="13"/>
      <c r="AV1090" s="13"/>
      <c r="AW1090" s="13"/>
      <c r="AX1090" s="4"/>
      <c r="AY1090" s="13"/>
      <c r="AZ1090" s="13"/>
      <c r="BA1090" s="13"/>
      <c r="BB1090" s="13"/>
      <c r="BC1090" s="4"/>
      <c r="BD1090" s="4"/>
      <c r="BE1090" s="4"/>
      <c r="BF1090" s="13"/>
      <c r="BG1090" s="4"/>
      <c r="BH1090" s="13"/>
      <c r="BI1090" s="13"/>
      <c r="BJ1090" s="4"/>
      <c r="BK1090" s="14">
        <v>13</v>
      </c>
      <c r="BL1090" s="14">
        <v>13</v>
      </c>
      <c r="BM1090" s="14">
        <v>13</v>
      </c>
      <c r="BP1090" s="15"/>
      <c r="BQ1090" s="15"/>
      <c r="BR1090" s="2" t="s">
        <v>115</v>
      </c>
      <c r="BS1090" s="2" t="s">
        <v>115</v>
      </c>
      <c r="BT1090" s="7" t="s">
        <v>109</v>
      </c>
      <c r="BU1090" s="7" t="s">
        <v>438</v>
      </c>
      <c r="BV1090" s="9" t="s">
        <v>109</v>
      </c>
      <c r="BW1090" s="9" t="s">
        <v>438</v>
      </c>
    </row>
    <row r="1091" spans="1:75" ht="14.25" customHeight="1" x14ac:dyDescent="0.25">
      <c r="A1091" s="1">
        <v>1945</v>
      </c>
      <c r="B1091" s="1" t="s">
        <v>4513</v>
      </c>
      <c r="C1091" s="1" t="s">
        <v>4514</v>
      </c>
      <c r="D1091" s="1" t="s">
        <v>77</v>
      </c>
      <c r="E1091" s="1" t="s">
        <v>2396</v>
      </c>
      <c r="F1091" s="1" t="s">
        <v>4440</v>
      </c>
      <c r="G1091" s="1" t="s">
        <v>118</v>
      </c>
      <c r="H1091" s="2">
        <v>0</v>
      </c>
      <c r="I1091" s="2">
        <v>0</v>
      </c>
      <c r="J1091" s="2">
        <v>0</v>
      </c>
      <c r="K1091" s="2">
        <v>1</v>
      </c>
      <c r="L1091" s="3" t="s">
        <v>80</v>
      </c>
      <c r="O1091" s="4">
        <v>4</v>
      </c>
      <c r="P1091" s="4" t="s">
        <v>81</v>
      </c>
      <c r="Q1091" s="4"/>
      <c r="R1091" s="5"/>
      <c r="S1091" s="6"/>
      <c r="T1091" s="17"/>
      <c r="U1091" s="6"/>
      <c r="V1091" s="4"/>
      <c r="W1091" s="4"/>
      <c r="X1091" s="4"/>
      <c r="Y1091" s="7">
        <v>3</v>
      </c>
      <c r="Z1091" s="8">
        <v>406069</v>
      </c>
      <c r="AA1091" s="7" t="s">
        <v>82</v>
      </c>
      <c r="AB1091" s="7"/>
      <c r="AC1091" s="9">
        <v>3</v>
      </c>
      <c r="AD1091" s="10">
        <v>406069</v>
      </c>
      <c r="AE1091" s="9" t="s">
        <v>82</v>
      </c>
      <c r="AF1091" s="9"/>
      <c r="AG1091" s="11">
        <v>2</v>
      </c>
      <c r="AH1091" s="11" t="s">
        <v>83</v>
      </c>
      <c r="AI1091" s="11"/>
      <c r="AJ1091" s="11"/>
      <c r="AK1091" s="11"/>
      <c r="AL1091" s="12">
        <v>2</v>
      </c>
      <c r="AM1091" s="12" t="s">
        <v>83</v>
      </c>
      <c r="AN1091" s="12"/>
      <c r="AO1091" s="12"/>
      <c r="AP1091" s="12"/>
      <c r="AQ1091" s="4">
        <v>2</v>
      </c>
      <c r="AR1091" s="4" t="s">
        <v>83</v>
      </c>
      <c r="AS1091" s="4" t="s">
        <v>4515</v>
      </c>
      <c r="AT1091" s="13"/>
      <c r="AU1091" s="13"/>
      <c r="AV1091" s="13"/>
      <c r="AW1091" s="13"/>
      <c r="AX1091" s="4"/>
      <c r="AY1091" s="13"/>
      <c r="AZ1091" s="13"/>
      <c r="BA1091" s="13"/>
      <c r="BB1091" s="13"/>
      <c r="BC1091" s="4"/>
      <c r="BD1091" s="4"/>
      <c r="BE1091" s="4"/>
      <c r="BF1091" s="13"/>
      <c r="BG1091" s="4"/>
      <c r="BH1091" s="13"/>
      <c r="BI1091" s="13"/>
      <c r="BJ1091" s="4"/>
      <c r="BK1091" s="14">
        <v>11</v>
      </c>
      <c r="BL1091" s="14">
        <v>11</v>
      </c>
      <c r="BM1091" s="14">
        <v>11</v>
      </c>
      <c r="BP1091" s="15"/>
      <c r="BQ1091" s="15"/>
      <c r="BR1091" s="2" t="s">
        <v>121</v>
      </c>
      <c r="BS1091" s="2" t="s">
        <v>121</v>
      </c>
      <c r="BT1091" s="7" t="s">
        <v>109</v>
      </c>
      <c r="BU1091" s="7"/>
      <c r="BV1091" s="9" t="s">
        <v>109</v>
      </c>
      <c r="BW1091" s="9"/>
    </row>
    <row r="1092" spans="1:75" ht="14.25" customHeight="1" x14ac:dyDescent="0.25">
      <c r="A1092" s="1">
        <v>1946</v>
      </c>
      <c r="B1092" s="1" t="s">
        <v>4516</v>
      </c>
      <c r="C1092" s="1" t="s">
        <v>4517</v>
      </c>
      <c r="D1092" s="1" t="s">
        <v>77</v>
      </c>
      <c r="E1092" s="1" t="s">
        <v>2396</v>
      </c>
      <c r="F1092" s="1" t="s">
        <v>4440</v>
      </c>
      <c r="G1092" s="1"/>
      <c r="H1092" s="2">
        <v>0</v>
      </c>
      <c r="I1092" s="2">
        <v>0</v>
      </c>
      <c r="J1092" s="2">
        <v>1</v>
      </c>
      <c r="K1092" s="2">
        <v>1</v>
      </c>
      <c r="L1092" s="3" t="s">
        <v>80</v>
      </c>
      <c r="O1092" s="4">
        <v>4</v>
      </c>
      <c r="P1092" s="4" t="s">
        <v>81</v>
      </c>
      <c r="Q1092" s="4" t="s">
        <v>4518</v>
      </c>
      <c r="R1092" s="5"/>
      <c r="S1092" s="6"/>
      <c r="T1092" s="17"/>
      <c r="U1092" s="6"/>
      <c r="V1092" s="4"/>
      <c r="W1092" s="4"/>
      <c r="X1092" s="4"/>
      <c r="Y1092" s="7">
        <v>3</v>
      </c>
      <c r="Z1092" s="8">
        <v>996569</v>
      </c>
      <c r="AA1092" s="7" t="s">
        <v>92</v>
      </c>
      <c r="AB1092" s="7"/>
      <c r="AC1092" s="9">
        <v>3</v>
      </c>
      <c r="AD1092" s="10">
        <v>996569</v>
      </c>
      <c r="AE1092" s="9" t="s">
        <v>92</v>
      </c>
      <c r="AF1092" s="9"/>
      <c r="AG1092" s="11">
        <v>3</v>
      </c>
      <c r="AH1092" s="11" t="s">
        <v>93</v>
      </c>
      <c r="AI1092" s="11"/>
      <c r="AJ1092" s="11"/>
      <c r="AK1092" s="11"/>
      <c r="AL1092" s="12">
        <v>2</v>
      </c>
      <c r="AM1092" s="12" t="s">
        <v>93</v>
      </c>
      <c r="AN1092" s="12" t="s">
        <v>4519</v>
      </c>
      <c r="AO1092" s="12"/>
      <c r="AP1092" s="12"/>
      <c r="AQ1092" s="4">
        <v>3</v>
      </c>
      <c r="AR1092" s="4" t="s">
        <v>83</v>
      </c>
      <c r="AS1092" s="4"/>
      <c r="AT1092" s="13"/>
      <c r="AU1092" s="13"/>
      <c r="AV1092" s="13"/>
      <c r="AW1092" s="13"/>
      <c r="AX1092" s="4"/>
      <c r="AY1092" s="13"/>
      <c r="AZ1092" s="13"/>
      <c r="BA1092" s="13"/>
      <c r="BB1092" s="13"/>
      <c r="BC1092" s="4"/>
      <c r="BD1092" s="4"/>
      <c r="BE1092" s="4"/>
      <c r="BF1092" s="13"/>
      <c r="BG1092" s="4"/>
      <c r="BH1092" s="13"/>
      <c r="BI1092" s="13"/>
      <c r="BJ1092" s="4"/>
      <c r="BK1092" s="14">
        <v>13</v>
      </c>
      <c r="BL1092" s="14">
        <v>12</v>
      </c>
      <c r="BM1092" s="14">
        <v>13</v>
      </c>
      <c r="BP1092" s="15"/>
      <c r="BQ1092" s="15"/>
      <c r="BR1092" s="2" t="s">
        <v>115</v>
      </c>
      <c r="BS1092" s="2" t="s">
        <v>115</v>
      </c>
      <c r="BT1092" s="7" t="s">
        <v>98</v>
      </c>
      <c r="BU1092" s="7"/>
      <c r="BV1092" s="9" t="s">
        <v>98</v>
      </c>
      <c r="BW1092" s="9"/>
    </row>
    <row r="1093" spans="1:75" ht="14.25" customHeight="1" x14ac:dyDescent="0.25">
      <c r="A1093" s="1">
        <v>1948</v>
      </c>
      <c r="B1093" s="1" t="s">
        <v>4520</v>
      </c>
      <c r="C1093" s="1" t="s">
        <v>4521</v>
      </c>
      <c r="D1093" s="1" t="s">
        <v>77</v>
      </c>
      <c r="E1093" s="1" t="s">
        <v>2396</v>
      </c>
      <c r="F1093" s="1" t="s">
        <v>4440</v>
      </c>
      <c r="G1093" s="1"/>
      <c r="H1093" s="2">
        <v>0</v>
      </c>
      <c r="I1093" s="2">
        <v>1</v>
      </c>
      <c r="J1093" s="2">
        <v>1</v>
      </c>
      <c r="K1093" s="2">
        <v>1</v>
      </c>
      <c r="L1093" s="3" t="s">
        <v>80</v>
      </c>
      <c r="O1093" s="4">
        <v>2</v>
      </c>
      <c r="P1093" s="4" t="s">
        <v>81</v>
      </c>
      <c r="Q1093" s="4" t="s">
        <v>1824</v>
      </c>
      <c r="R1093" s="5"/>
      <c r="S1093" s="6"/>
      <c r="T1093" s="17" t="s">
        <v>682</v>
      </c>
      <c r="U1093" s="6">
        <v>50</v>
      </c>
      <c r="V1093" s="4"/>
      <c r="W1093" s="4" t="s">
        <v>543</v>
      </c>
      <c r="X1093" s="4" t="s">
        <v>4522</v>
      </c>
      <c r="Y1093" s="7">
        <v>3</v>
      </c>
      <c r="Z1093" s="8">
        <v>555048</v>
      </c>
      <c r="AA1093" s="7" t="s">
        <v>92</v>
      </c>
      <c r="AB1093" s="7"/>
      <c r="AC1093" s="9">
        <v>3</v>
      </c>
      <c r="AD1093" s="10">
        <v>555048</v>
      </c>
      <c r="AE1093" s="9" t="s">
        <v>92</v>
      </c>
      <c r="AF1093" s="9"/>
      <c r="AG1093" s="11">
        <v>2</v>
      </c>
      <c r="AH1093" s="11" t="s">
        <v>271</v>
      </c>
      <c r="AI1093" s="11" t="s">
        <v>4523</v>
      </c>
      <c r="AJ1093" s="11"/>
      <c r="AK1093" s="11"/>
      <c r="AL1093" s="12">
        <v>2</v>
      </c>
      <c r="AM1093" s="12" t="s">
        <v>271</v>
      </c>
      <c r="AN1093" s="12" t="s">
        <v>394</v>
      </c>
      <c r="AO1093" s="12"/>
      <c r="AP1093" s="12"/>
      <c r="AQ1093" s="4">
        <v>2</v>
      </c>
      <c r="AR1093" s="4" t="s">
        <v>93</v>
      </c>
      <c r="AS1093" s="4"/>
      <c r="AT1093" s="13"/>
      <c r="AU1093" s="13"/>
      <c r="AV1093" s="13"/>
      <c r="AW1093" s="13"/>
      <c r="AX1093" s="4"/>
      <c r="AY1093" s="13"/>
      <c r="AZ1093" s="13"/>
      <c r="BA1093" s="13"/>
      <c r="BB1093" s="13"/>
      <c r="BC1093" s="4"/>
      <c r="BD1093" s="4"/>
      <c r="BE1093" s="4"/>
      <c r="BF1093" s="13"/>
      <c r="BG1093" s="4"/>
      <c r="BH1093" s="13"/>
      <c r="BI1093" s="13"/>
      <c r="BJ1093" s="4"/>
      <c r="BK1093" s="14">
        <v>9</v>
      </c>
      <c r="BL1093" s="14">
        <v>9</v>
      </c>
      <c r="BM1093" s="14">
        <v>9</v>
      </c>
      <c r="BP1093" s="15"/>
      <c r="BQ1093" s="15"/>
      <c r="BR1093" s="2" t="s">
        <v>108</v>
      </c>
      <c r="BS1093" s="2" t="s">
        <v>108</v>
      </c>
      <c r="BT1093" s="7" t="s">
        <v>109</v>
      </c>
      <c r="BU1093" s="7"/>
      <c r="BV1093" s="9" t="s">
        <v>109</v>
      </c>
      <c r="BW1093" s="9"/>
    </row>
    <row r="1094" spans="1:75" ht="14.25" customHeight="1" x14ac:dyDescent="0.25">
      <c r="A1094" s="1">
        <v>1949</v>
      </c>
      <c r="B1094" s="1" t="s">
        <v>4524</v>
      </c>
      <c r="C1094" s="1" t="s">
        <v>4525</v>
      </c>
      <c r="D1094" s="1" t="s">
        <v>77</v>
      </c>
      <c r="E1094" s="1" t="s">
        <v>2396</v>
      </c>
      <c r="F1094" s="1" t="s">
        <v>4440</v>
      </c>
      <c r="G1094" s="1"/>
      <c r="H1094" s="2">
        <v>1</v>
      </c>
      <c r="I1094" s="2">
        <v>1</v>
      </c>
      <c r="J1094" s="2">
        <v>1</v>
      </c>
      <c r="K1094" s="2">
        <v>1</v>
      </c>
      <c r="L1094" s="3" t="s">
        <v>127</v>
      </c>
      <c r="O1094" s="4">
        <v>2</v>
      </c>
      <c r="P1094" s="4" t="s">
        <v>424</v>
      </c>
      <c r="Q1094" s="4"/>
      <c r="R1094" s="16">
        <v>7400000</v>
      </c>
      <c r="S1094" s="6">
        <v>7400000</v>
      </c>
      <c r="T1094" s="16">
        <v>6900000</v>
      </c>
      <c r="U1094" s="6">
        <v>6900000</v>
      </c>
      <c r="V1094" s="4">
        <v>2010.5</v>
      </c>
      <c r="W1094" s="4" t="s">
        <v>425</v>
      </c>
      <c r="X1094" s="4"/>
      <c r="Y1094" s="7">
        <v>2</v>
      </c>
      <c r="Z1094" s="8">
        <v>3823405</v>
      </c>
      <c r="AA1094" s="7" t="s">
        <v>92</v>
      </c>
      <c r="AB1094" s="7"/>
      <c r="AC1094" s="9">
        <v>3</v>
      </c>
      <c r="AD1094" s="10">
        <v>769283</v>
      </c>
      <c r="AE1094" s="9" t="s">
        <v>92</v>
      </c>
      <c r="AF1094" s="9"/>
      <c r="AG1094" s="11">
        <v>3</v>
      </c>
      <c r="AH1094" s="11" t="s">
        <v>800</v>
      </c>
      <c r="AI1094" s="11" t="s">
        <v>4526</v>
      </c>
      <c r="AJ1094" s="11">
        <v>2</v>
      </c>
      <c r="AK1094" s="11" t="s">
        <v>132</v>
      </c>
      <c r="AL1094" s="12">
        <v>2</v>
      </c>
      <c r="AM1094" s="12" t="s">
        <v>131</v>
      </c>
      <c r="AN1094" s="12" t="s">
        <v>4527</v>
      </c>
      <c r="AO1094" s="12">
        <v>2</v>
      </c>
      <c r="AP1094" s="12" t="s">
        <v>143</v>
      </c>
      <c r="AQ1094" s="4">
        <v>3</v>
      </c>
      <c r="AR1094" s="4" t="s">
        <v>133</v>
      </c>
      <c r="AS1094" s="4"/>
      <c r="AT1094" s="13">
        <v>-23.864202499389599</v>
      </c>
      <c r="AU1094" s="13">
        <v>-0.53357118368148804</v>
      </c>
      <c r="AV1094" s="13">
        <v>-0.816999971866608</v>
      </c>
      <c r="AW1094" s="13">
        <v>-0.30710101127624501</v>
      </c>
      <c r="AX1094" s="4">
        <v>1</v>
      </c>
      <c r="AY1094" s="13">
        <v>-8.5290660858154297</v>
      </c>
      <c r="AZ1094" s="13">
        <v>-0.88593119382858299</v>
      </c>
      <c r="BA1094" s="13">
        <v>-1.79999995231628</v>
      </c>
      <c r="BB1094" s="13">
        <v>-0.12210000306367901</v>
      </c>
      <c r="BC1094" s="4">
        <v>1</v>
      </c>
      <c r="BD1094" s="4">
        <v>10</v>
      </c>
      <c r="BE1094" s="4" t="s">
        <v>134</v>
      </c>
      <c r="BF1094" s="13">
        <v>0.50989902019500699</v>
      </c>
      <c r="BG1094" s="4">
        <v>1148.5</v>
      </c>
      <c r="BH1094" s="13">
        <v>1.6950000524520901</v>
      </c>
      <c r="BI1094" s="13">
        <v>1946.59997558594</v>
      </c>
      <c r="BJ1094" s="4"/>
      <c r="BK1094" s="14">
        <v>10</v>
      </c>
      <c r="BL1094" s="14">
        <v>10</v>
      </c>
      <c r="BM1094" s="14">
        <v>10</v>
      </c>
      <c r="BP1094" s="15" t="s">
        <v>135</v>
      </c>
      <c r="BQ1094" s="15"/>
      <c r="BR1094" s="2" t="s">
        <v>256</v>
      </c>
      <c r="BS1094" s="2" t="s">
        <v>108</v>
      </c>
      <c r="BT1094" s="7" t="s">
        <v>428</v>
      </c>
      <c r="BU1094" s="7"/>
      <c r="BV1094" s="9" t="s">
        <v>109</v>
      </c>
      <c r="BW1094" s="9" t="s">
        <v>438</v>
      </c>
    </row>
    <row r="1095" spans="1:75" ht="14.25" customHeight="1" x14ac:dyDescent="0.25">
      <c r="A1095" s="1">
        <v>1950</v>
      </c>
      <c r="B1095" s="1" t="s">
        <v>4528</v>
      </c>
      <c r="C1095" s="1" t="s">
        <v>4529</v>
      </c>
      <c r="D1095" s="1" t="s">
        <v>77</v>
      </c>
      <c r="E1095" s="1" t="s">
        <v>2396</v>
      </c>
      <c r="F1095" s="1" t="s">
        <v>4440</v>
      </c>
      <c r="G1095" s="1" t="s">
        <v>118</v>
      </c>
      <c r="H1095" s="2">
        <v>0</v>
      </c>
      <c r="I1095" s="2">
        <v>0</v>
      </c>
      <c r="J1095" s="2">
        <v>1</v>
      </c>
      <c r="K1095" s="2">
        <v>1</v>
      </c>
      <c r="L1095" s="3" t="s">
        <v>80</v>
      </c>
      <c r="O1095" s="4">
        <v>5</v>
      </c>
      <c r="P1095" s="4" t="s">
        <v>112</v>
      </c>
      <c r="Q1095" s="4"/>
      <c r="R1095" s="5"/>
      <c r="S1095" s="6"/>
      <c r="T1095" s="17"/>
      <c r="U1095" s="6"/>
      <c r="V1095" s="4"/>
      <c r="W1095" s="4"/>
      <c r="X1095" s="4"/>
      <c r="Y1095" s="7">
        <v>4</v>
      </c>
      <c r="Z1095" s="8">
        <v>115878</v>
      </c>
      <c r="AA1095" s="7" t="s">
        <v>92</v>
      </c>
      <c r="AB1095" s="7"/>
      <c r="AC1095" s="9">
        <v>4</v>
      </c>
      <c r="AD1095" s="10">
        <v>116003</v>
      </c>
      <c r="AE1095" s="9" t="s">
        <v>92</v>
      </c>
      <c r="AF1095" s="9"/>
      <c r="AG1095" s="11">
        <v>2</v>
      </c>
      <c r="AH1095" s="11" t="s">
        <v>93</v>
      </c>
      <c r="AI1095" s="11" t="s">
        <v>445</v>
      </c>
      <c r="AJ1095" s="11"/>
      <c r="AK1095" s="11"/>
      <c r="AL1095" s="12">
        <v>2</v>
      </c>
      <c r="AM1095" s="12" t="s">
        <v>93</v>
      </c>
      <c r="AN1095" s="12" t="s">
        <v>4530</v>
      </c>
      <c r="AO1095" s="12"/>
      <c r="AP1095" s="12"/>
      <c r="AQ1095" s="4">
        <v>3</v>
      </c>
      <c r="AR1095" s="4" t="s">
        <v>83</v>
      </c>
      <c r="AS1095" s="4" t="s">
        <v>4531</v>
      </c>
      <c r="AT1095" s="13"/>
      <c r="AU1095" s="13"/>
      <c r="AV1095" s="13"/>
      <c r="AW1095" s="13"/>
      <c r="AX1095" s="4"/>
      <c r="AY1095" s="13"/>
      <c r="AZ1095" s="13"/>
      <c r="BA1095" s="13"/>
      <c r="BB1095" s="13"/>
      <c r="BC1095" s="4"/>
      <c r="BD1095" s="4"/>
      <c r="BE1095" s="4"/>
      <c r="BF1095" s="13"/>
      <c r="BG1095" s="4"/>
      <c r="BH1095" s="13"/>
      <c r="BI1095" s="13"/>
      <c r="BJ1095" s="4"/>
      <c r="BK1095" s="14">
        <v>14</v>
      </c>
      <c r="BL1095" s="14">
        <v>14</v>
      </c>
      <c r="BM1095" s="14">
        <v>14</v>
      </c>
      <c r="BN1095" s="3" t="s">
        <v>86</v>
      </c>
      <c r="BP1095" s="15"/>
      <c r="BQ1095" s="15"/>
      <c r="BR1095" s="2" t="s">
        <v>115</v>
      </c>
      <c r="BS1095" s="2" t="s">
        <v>115</v>
      </c>
      <c r="BT1095" s="7" t="s">
        <v>109</v>
      </c>
      <c r="BU1095" s="7"/>
      <c r="BV1095" s="9" t="s">
        <v>109</v>
      </c>
      <c r="BW1095" s="9"/>
    </row>
    <row r="1096" spans="1:75" ht="14.25" customHeight="1" x14ac:dyDescent="0.25">
      <c r="A1096" s="1">
        <v>1952</v>
      </c>
      <c r="B1096" s="1" t="s">
        <v>4532</v>
      </c>
      <c r="C1096" s="1" t="s">
        <v>4533</v>
      </c>
      <c r="D1096" s="1" t="s">
        <v>77</v>
      </c>
      <c r="E1096" s="1" t="s">
        <v>2396</v>
      </c>
      <c r="F1096" s="1" t="s">
        <v>4440</v>
      </c>
      <c r="G1096" s="1"/>
      <c r="H1096" s="2">
        <v>0</v>
      </c>
      <c r="I1096" s="2">
        <v>0</v>
      </c>
      <c r="J1096" s="2">
        <v>1</v>
      </c>
      <c r="K1096" s="2">
        <v>1</v>
      </c>
      <c r="L1096" s="3" t="s">
        <v>80</v>
      </c>
      <c r="O1096" s="4">
        <v>3</v>
      </c>
      <c r="P1096" s="4" t="s">
        <v>81</v>
      </c>
      <c r="Q1096" s="4" t="s">
        <v>1789</v>
      </c>
      <c r="R1096" s="5"/>
      <c r="S1096" s="6"/>
      <c r="T1096" s="17"/>
      <c r="U1096" s="6"/>
      <c r="V1096" s="4"/>
      <c r="W1096" s="4"/>
      <c r="X1096" s="4"/>
      <c r="Y1096" s="7">
        <v>4</v>
      </c>
      <c r="Z1096" s="8">
        <v>213891</v>
      </c>
      <c r="AA1096" s="7" t="s">
        <v>92</v>
      </c>
      <c r="AB1096" s="7"/>
      <c r="AC1096" s="9">
        <v>4</v>
      </c>
      <c r="AD1096" s="10">
        <v>213891</v>
      </c>
      <c r="AE1096" s="9" t="s">
        <v>92</v>
      </c>
      <c r="AF1096" s="9"/>
      <c r="AG1096" s="11">
        <v>3</v>
      </c>
      <c r="AH1096" s="11" t="s">
        <v>4534</v>
      </c>
      <c r="AI1096" s="11" t="s">
        <v>4535</v>
      </c>
      <c r="AJ1096" s="11">
        <v>2</v>
      </c>
      <c r="AK1096" s="11" t="s">
        <v>143</v>
      </c>
      <c r="AL1096" s="12">
        <v>3</v>
      </c>
      <c r="AM1096" s="12" t="s">
        <v>4534</v>
      </c>
      <c r="AN1096" s="12" t="s">
        <v>394</v>
      </c>
      <c r="AO1096" s="12">
        <v>2</v>
      </c>
      <c r="AP1096" s="12" t="s">
        <v>143</v>
      </c>
      <c r="AQ1096" s="4">
        <v>3</v>
      </c>
      <c r="AR1096" s="4" t="s">
        <v>83</v>
      </c>
      <c r="AS1096" s="4"/>
      <c r="AT1096" s="13"/>
      <c r="AU1096" s="13"/>
      <c r="AV1096" s="13"/>
      <c r="AW1096" s="13"/>
      <c r="AX1096" s="4"/>
      <c r="AY1096" s="13"/>
      <c r="AZ1096" s="13"/>
      <c r="BA1096" s="13"/>
      <c r="BB1096" s="13"/>
      <c r="BC1096" s="4"/>
      <c r="BD1096" s="4"/>
      <c r="BE1096" s="4"/>
      <c r="BF1096" s="13"/>
      <c r="BG1096" s="4"/>
      <c r="BH1096" s="13"/>
      <c r="BI1096" s="13"/>
      <c r="BJ1096" s="4"/>
      <c r="BK1096" s="14">
        <v>13</v>
      </c>
      <c r="BL1096" s="14">
        <v>13</v>
      </c>
      <c r="BM1096" s="14">
        <v>13</v>
      </c>
      <c r="BP1096" s="15"/>
      <c r="BQ1096" s="15"/>
      <c r="BR1096" s="2" t="s">
        <v>108</v>
      </c>
      <c r="BS1096" s="2" t="s">
        <v>108</v>
      </c>
      <c r="BT1096" s="7" t="s">
        <v>109</v>
      </c>
      <c r="BU1096" s="7"/>
      <c r="BV1096" s="9" t="s">
        <v>109</v>
      </c>
      <c r="BW1096" s="9"/>
    </row>
    <row r="1097" spans="1:75" ht="14.25" customHeight="1" x14ac:dyDescent="0.25">
      <c r="A1097" s="1">
        <v>1953</v>
      </c>
      <c r="B1097" s="1" t="s">
        <v>4536</v>
      </c>
      <c r="C1097" s="1" t="s">
        <v>4537</v>
      </c>
      <c r="D1097" s="1" t="s">
        <v>77</v>
      </c>
      <c r="E1097" s="1" t="s">
        <v>2396</v>
      </c>
      <c r="F1097" s="1" t="s">
        <v>4440</v>
      </c>
      <c r="G1097" s="1"/>
      <c r="H1097" s="2">
        <v>0</v>
      </c>
      <c r="I1097" s="2">
        <v>1</v>
      </c>
      <c r="J1097" s="2">
        <v>1</v>
      </c>
      <c r="K1097" s="2">
        <v>1</v>
      </c>
      <c r="L1097" s="3" t="s">
        <v>80</v>
      </c>
      <c r="O1097" s="4">
        <v>2</v>
      </c>
      <c r="P1097" s="4" t="s">
        <v>81</v>
      </c>
      <c r="Q1097" s="4" t="s">
        <v>1824</v>
      </c>
      <c r="R1097" s="5"/>
      <c r="S1097" s="6"/>
      <c r="T1097" s="17" t="s">
        <v>1869</v>
      </c>
      <c r="U1097" s="6">
        <v>500</v>
      </c>
      <c r="V1097" s="4"/>
      <c r="W1097" s="4" t="s">
        <v>543</v>
      </c>
      <c r="X1097" s="4" t="s">
        <v>787</v>
      </c>
      <c r="Y1097" s="7">
        <v>3</v>
      </c>
      <c r="Z1097" s="8">
        <v>561298</v>
      </c>
      <c r="AA1097" s="7" t="s">
        <v>92</v>
      </c>
      <c r="AB1097" s="7"/>
      <c r="AC1097" s="9">
        <v>3</v>
      </c>
      <c r="AD1097" s="10">
        <v>561298</v>
      </c>
      <c r="AE1097" s="9" t="s">
        <v>92</v>
      </c>
      <c r="AF1097" s="9"/>
      <c r="AG1097" s="11">
        <v>3</v>
      </c>
      <c r="AH1097" s="11" t="s">
        <v>131</v>
      </c>
      <c r="AI1097" s="11" t="s">
        <v>4538</v>
      </c>
      <c r="AJ1097" s="11">
        <v>2</v>
      </c>
      <c r="AK1097" s="11" t="s">
        <v>143</v>
      </c>
      <c r="AL1097" s="12">
        <v>3</v>
      </c>
      <c r="AM1097" s="12" t="s">
        <v>131</v>
      </c>
      <c r="AN1097" s="12" t="s">
        <v>4539</v>
      </c>
      <c r="AO1097" s="12">
        <v>3</v>
      </c>
      <c r="AP1097" s="12" t="s">
        <v>332</v>
      </c>
      <c r="AQ1097" s="4">
        <v>2</v>
      </c>
      <c r="AR1097" s="4" t="s">
        <v>4540</v>
      </c>
      <c r="AS1097" s="4" t="s">
        <v>4541</v>
      </c>
      <c r="AT1097" s="13"/>
      <c r="AU1097" s="13"/>
      <c r="AV1097" s="13"/>
      <c r="AW1097" s="13"/>
      <c r="AX1097" s="4"/>
      <c r="AY1097" s="13"/>
      <c r="AZ1097" s="13"/>
      <c r="BA1097" s="13"/>
      <c r="BB1097" s="13"/>
      <c r="BC1097" s="4"/>
      <c r="BD1097" s="4"/>
      <c r="BE1097" s="4"/>
      <c r="BF1097" s="13"/>
      <c r="BG1097" s="4"/>
      <c r="BH1097" s="13"/>
      <c r="BI1097" s="13"/>
      <c r="BJ1097" s="4"/>
      <c r="BK1097" s="14">
        <v>10</v>
      </c>
      <c r="BL1097" s="14">
        <v>10</v>
      </c>
      <c r="BM1097" s="14">
        <v>10</v>
      </c>
      <c r="BP1097" s="15" t="s">
        <v>135</v>
      </c>
      <c r="BQ1097" s="15"/>
      <c r="BR1097" s="2" t="s">
        <v>115</v>
      </c>
      <c r="BS1097" s="2" t="s">
        <v>115</v>
      </c>
      <c r="BT1097" s="7" t="s">
        <v>109</v>
      </c>
      <c r="BU1097" s="7"/>
      <c r="BV1097" s="9" t="s">
        <v>109</v>
      </c>
      <c r="BW1097" s="9"/>
    </row>
    <row r="1098" spans="1:75" ht="14.25" customHeight="1" x14ac:dyDescent="0.25">
      <c r="A1098" s="1">
        <v>1961</v>
      </c>
      <c r="B1098" s="1" t="s">
        <v>4542</v>
      </c>
      <c r="C1098" s="1" t="s">
        <v>4543</v>
      </c>
      <c r="D1098" s="1" t="s">
        <v>77</v>
      </c>
      <c r="E1098" s="1" t="s">
        <v>2396</v>
      </c>
      <c r="F1098" s="1" t="s">
        <v>4440</v>
      </c>
      <c r="G1098" s="1" t="s">
        <v>118</v>
      </c>
      <c r="H1098" s="2">
        <v>0</v>
      </c>
      <c r="I1098" s="2">
        <v>1</v>
      </c>
      <c r="J1098" s="2">
        <v>1</v>
      </c>
      <c r="K1098" s="2">
        <v>0</v>
      </c>
      <c r="L1098" s="3" t="s">
        <v>80</v>
      </c>
      <c r="O1098" s="4">
        <v>4</v>
      </c>
      <c r="P1098" s="4" t="s">
        <v>4544</v>
      </c>
      <c r="Q1098" s="4" t="s">
        <v>4545</v>
      </c>
      <c r="R1098" s="16">
        <v>180000</v>
      </c>
      <c r="S1098" s="6">
        <v>180000</v>
      </c>
      <c r="T1098" s="16">
        <v>180000</v>
      </c>
      <c r="U1098" s="6">
        <v>180000</v>
      </c>
      <c r="V1098" s="4"/>
      <c r="W1098" s="4" t="s">
        <v>4544</v>
      </c>
      <c r="X1098" s="4" t="s">
        <v>4546</v>
      </c>
      <c r="Y1098" s="7">
        <v>4</v>
      </c>
      <c r="Z1098" s="8">
        <v>112998</v>
      </c>
      <c r="AA1098" s="7" t="s">
        <v>92</v>
      </c>
      <c r="AB1098" s="7"/>
      <c r="AC1098" s="9">
        <v>4</v>
      </c>
      <c r="AD1098" s="10">
        <v>108304</v>
      </c>
      <c r="AE1098" s="9" t="s">
        <v>92</v>
      </c>
      <c r="AF1098" s="9"/>
      <c r="AG1098" s="11">
        <v>5</v>
      </c>
      <c r="AH1098" s="11" t="s">
        <v>454</v>
      </c>
      <c r="AI1098" s="11" t="s">
        <v>4547</v>
      </c>
      <c r="AJ1098" s="11">
        <v>3</v>
      </c>
      <c r="AK1098" s="11" t="s">
        <v>143</v>
      </c>
      <c r="AL1098" s="12">
        <v>4</v>
      </c>
      <c r="AM1098" s="12" t="s">
        <v>131</v>
      </c>
      <c r="AN1098" s="12" t="s">
        <v>4548</v>
      </c>
      <c r="AO1098" s="12">
        <v>5</v>
      </c>
      <c r="AP1098" s="12" t="s">
        <v>143</v>
      </c>
      <c r="AQ1098" s="4">
        <v>4</v>
      </c>
      <c r="AR1098" s="4" t="s">
        <v>133</v>
      </c>
      <c r="AS1098" s="4" t="s">
        <v>4549</v>
      </c>
      <c r="AT1098" s="13">
        <v>-59.924888610839801</v>
      </c>
      <c r="AU1098" s="13">
        <v>-1.77499043941498</v>
      </c>
      <c r="AV1098" s="13">
        <v>-3.4723999500274698</v>
      </c>
      <c r="AW1098" s="13">
        <v>0.37099999189376798</v>
      </c>
      <c r="AX1098" s="4"/>
      <c r="AY1098" s="13">
        <v>-18.8246555328369</v>
      </c>
      <c r="AZ1098" s="13">
        <v>-1.87847948074341</v>
      </c>
      <c r="BA1098" s="13">
        <v>-7.4699997901916504</v>
      </c>
      <c r="BB1098" s="13">
        <v>2.5899999141693102</v>
      </c>
      <c r="BC1098" s="4"/>
      <c r="BD1098" s="4">
        <v>11</v>
      </c>
      <c r="BE1098" s="4" t="s">
        <v>134</v>
      </c>
      <c r="BF1098" s="13">
        <v>3.8434000015258798</v>
      </c>
      <c r="BG1098" s="4">
        <v>83</v>
      </c>
      <c r="BH1098" s="13">
        <v>512.54498291015602</v>
      </c>
      <c r="BI1098" s="13">
        <v>42541.234375</v>
      </c>
      <c r="BJ1098" s="4"/>
      <c r="BK1098" s="14">
        <v>17</v>
      </c>
      <c r="BL1098" s="14">
        <v>16</v>
      </c>
      <c r="BM1098" s="14">
        <v>17</v>
      </c>
      <c r="BN1098" s="3" t="s">
        <v>312</v>
      </c>
      <c r="BO1098" s="3" t="s">
        <v>414</v>
      </c>
      <c r="BP1098" s="15"/>
      <c r="BQ1098" s="15" t="s">
        <v>146</v>
      </c>
      <c r="BR1098" s="2" t="s">
        <v>162</v>
      </c>
      <c r="BS1098" s="2" t="s">
        <v>162</v>
      </c>
      <c r="BT1098" s="7" t="s">
        <v>147</v>
      </c>
      <c r="BU1098" s="7"/>
      <c r="BV1098" s="9" t="s">
        <v>147</v>
      </c>
      <c r="BW1098" s="9" t="s">
        <v>603</v>
      </c>
    </row>
    <row r="1099" spans="1:75" ht="14.25" customHeight="1" x14ac:dyDescent="0.25">
      <c r="A1099" s="1">
        <v>1964</v>
      </c>
      <c r="B1099" s="1" t="s">
        <v>4550</v>
      </c>
      <c r="C1099" s="1" t="s">
        <v>4551</v>
      </c>
      <c r="D1099" s="1" t="s">
        <v>77</v>
      </c>
      <c r="E1099" s="1" t="s">
        <v>2396</v>
      </c>
      <c r="F1099" s="1" t="s">
        <v>4440</v>
      </c>
      <c r="G1099" s="1"/>
      <c r="H1099" s="2">
        <v>0</v>
      </c>
      <c r="I1099" s="2">
        <v>1</v>
      </c>
      <c r="J1099" s="2">
        <v>0</v>
      </c>
      <c r="K1099" s="2">
        <v>1</v>
      </c>
      <c r="L1099" s="3" t="s">
        <v>80</v>
      </c>
      <c r="O1099" s="4">
        <v>2</v>
      </c>
      <c r="P1099" s="4" t="s">
        <v>81</v>
      </c>
      <c r="Q1099" s="4" t="s">
        <v>4552</v>
      </c>
      <c r="R1099" s="5"/>
      <c r="S1099" s="6"/>
      <c r="T1099" s="17" t="s">
        <v>1869</v>
      </c>
      <c r="U1099" s="6">
        <v>500</v>
      </c>
      <c r="V1099" s="4"/>
      <c r="W1099" s="4" t="s">
        <v>543</v>
      </c>
      <c r="X1099" s="4" t="s">
        <v>787</v>
      </c>
      <c r="Y1099" s="7">
        <v>1</v>
      </c>
      <c r="Z1099" s="8">
        <v>13436227</v>
      </c>
      <c r="AA1099" s="7" t="s">
        <v>92</v>
      </c>
      <c r="AB1099" s="7"/>
      <c r="AC1099" s="9">
        <v>1</v>
      </c>
      <c r="AD1099" s="10">
        <v>13436227</v>
      </c>
      <c r="AE1099" s="9" t="s">
        <v>92</v>
      </c>
      <c r="AF1099" s="9"/>
      <c r="AG1099" s="11">
        <v>1</v>
      </c>
      <c r="AH1099" s="11" t="s">
        <v>271</v>
      </c>
      <c r="AI1099" s="11" t="s">
        <v>4553</v>
      </c>
      <c r="AJ1099" s="11"/>
      <c r="AK1099" s="11"/>
      <c r="AL1099" s="12">
        <v>1</v>
      </c>
      <c r="AM1099" s="12" t="s">
        <v>271</v>
      </c>
      <c r="AN1099" s="12" t="s">
        <v>4554</v>
      </c>
      <c r="AO1099" s="12"/>
      <c r="AP1099" s="12"/>
      <c r="AQ1099" s="4">
        <v>3</v>
      </c>
      <c r="AR1099" s="4" t="s">
        <v>665</v>
      </c>
      <c r="AS1099" s="4"/>
      <c r="AT1099" s="13"/>
      <c r="AU1099" s="13"/>
      <c r="AV1099" s="13"/>
      <c r="AW1099" s="13"/>
      <c r="AX1099" s="4"/>
      <c r="AY1099" s="13"/>
      <c r="AZ1099" s="13"/>
      <c r="BA1099" s="13"/>
      <c r="BB1099" s="13"/>
      <c r="BC1099" s="4"/>
      <c r="BD1099" s="4"/>
      <c r="BE1099" s="4"/>
      <c r="BF1099" s="13"/>
      <c r="BG1099" s="4"/>
      <c r="BH1099" s="13"/>
      <c r="BI1099" s="13"/>
      <c r="BJ1099" s="4"/>
      <c r="BK1099" s="14">
        <v>7</v>
      </c>
      <c r="BL1099" s="14">
        <v>7</v>
      </c>
      <c r="BM1099" s="14">
        <v>7</v>
      </c>
      <c r="BP1099" s="15" t="s">
        <v>135</v>
      </c>
      <c r="BQ1099" s="15"/>
      <c r="BR1099" s="2" t="s">
        <v>97</v>
      </c>
      <c r="BS1099" s="2" t="s">
        <v>97</v>
      </c>
      <c r="BT1099" s="7" t="s">
        <v>458</v>
      </c>
      <c r="BU1099" s="7"/>
      <c r="BV1099" s="9" t="s">
        <v>458</v>
      </c>
      <c r="BW1099" s="9"/>
    </row>
    <row r="1100" spans="1:75" ht="14.25" customHeight="1" x14ac:dyDescent="0.25">
      <c r="A1100" s="1">
        <v>1965</v>
      </c>
      <c r="B1100" s="1" t="s">
        <v>4555</v>
      </c>
      <c r="C1100" s="1" t="s">
        <v>4556</v>
      </c>
      <c r="D1100" s="1" t="s">
        <v>77</v>
      </c>
      <c r="E1100" s="1" t="s">
        <v>2396</v>
      </c>
      <c r="F1100" s="1" t="s">
        <v>4440</v>
      </c>
      <c r="G1100" s="1"/>
      <c r="H1100" s="2">
        <v>0</v>
      </c>
      <c r="I1100" s="2">
        <v>1</v>
      </c>
      <c r="J1100" s="2">
        <v>1</v>
      </c>
      <c r="K1100" s="2">
        <v>1</v>
      </c>
      <c r="L1100" s="3" t="s">
        <v>80</v>
      </c>
      <c r="O1100" s="4">
        <v>2</v>
      </c>
      <c r="P1100" s="4" t="s">
        <v>470</v>
      </c>
      <c r="Q1100" s="4"/>
      <c r="R1100" s="16">
        <v>6600000</v>
      </c>
      <c r="S1100" s="6">
        <v>6600000</v>
      </c>
      <c r="T1100" s="16">
        <v>820000</v>
      </c>
      <c r="U1100" s="6">
        <v>820000</v>
      </c>
      <c r="V1100" s="4">
        <v>2010.5</v>
      </c>
      <c r="W1100" s="4" t="s">
        <v>425</v>
      </c>
      <c r="X1100" s="4"/>
      <c r="Y1100" s="7">
        <v>2</v>
      </c>
      <c r="Z1100" s="8">
        <v>2396482</v>
      </c>
      <c r="AA1100" s="7" t="s">
        <v>92</v>
      </c>
      <c r="AB1100" s="7"/>
      <c r="AC1100" s="9">
        <v>2</v>
      </c>
      <c r="AD1100" s="10">
        <v>1840090</v>
      </c>
      <c r="AE1100" s="9" t="s">
        <v>92</v>
      </c>
      <c r="AF1100" s="9"/>
      <c r="AG1100" s="11">
        <v>2</v>
      </c>
      <c r="AH1100" s="11" t="s">
        <v>131</v>
      </c>
      <c r="AI1100" s="11" t="s">
        <v>4557</v>
      </c>
      <c r="AJ1100" s="11">
        <v>2</v>
      </c>
      <c r="AK1100" s="11" t="s">
        <v>132</v>
      </c>
      <c r="AL1100" s="12">
        <v>2</v>
      </c>
      <c r="AM1100" s="12" t="s">
        <v>131</v>
      </c>
      <c r="AN1100" s="12" t="s">
        <v>4558</v>
      </c>
      <c r="AO1100" s="12">
        <v>2</v>
      </c>
      <c r="AP1100" s="12" t="s">
        <v>132</v>
      </c>
      <c r="AQ1100" s="4">
        <v>1</v>
      </c>
      <c r="AR1100" s="4" t="s">
        <v>93</v>
      </c>
      <c r="AS1100" s="4"/>
      <c r="AT1100" s="13"/>
      <c r="AU1100" s="13"/>
      <c r="AV1100" s="13"/>
      <c r="AW1100" s="13"/>
      <c r="AX1100" s="4"/>
      <c r="AY1100" s="13"/>
      <c r="AZ1100" s="13"/>
      <c r="BA1100" s="13"/>
      <c r="BB1100" s="13"/>
      <c r="BC1100" s="4"/>
      <c r="BD1100" s="4"/>
      <c r="BE1100" s="4"/>
      <c r="BF1100" s="13"/>
      <c r="BG1100" s="4"/>
      <c r="BH1100" s="13"/>
      <c r="BI1100" s="13"/>
      <c r="BJ1100" s="4"/>
      <c r="BK1100" s="14">
        <v>7</v>
      </c>
      <c r="BL1100" s="14">
        <v>7</v>
      </c>
      <c r="BM1100" s="14">
        <v>7</v>
      </c>
      <c r="BP1100" s="15" t="s">
        <v>135</v>
      </c>
      <c r="BQ1100" s="15" t="s">
        <v>136</v>
      </c>
      <c r="BR1100" s="2" t="s">
        <v>400</v>
      </c>
      <c r="BS1100" s="2" t="s">
        <v>400</v>
      </c>
      <c r="BT1100" s="7" t="s">
        <v>458</v>
      </c>
      <c r="BU1100" s="7" t="s">
        <v>109</v>
      </c>
      <c r="BV1100" s="9" t="s">
        <v>458</v>
      </c>
      <c r="BW1100" s="9"/>
    </row>
    <row r="1101" spans="1:75" ht="14.25" customHeight="1" x14ac:dyDescent="0.25">
      <c r="A1101" s="1">
        <v>1966</v>
      </c>
      <c r="B1101" s="1" t="s">
        <v>4559</v>
      </c>
      <c r="C1101" s="1" t="s">
        <v>4560</v>
      </c>
      <c r="D1101" s="1" t="s">
        <v>77</v>
      </c>
      <c r="E1101" s="1" t="s">
        <v>2396</v>
      </c>
      <c r="F1101" s="1" t="s">
        <v>4440</v>
      </c>
      <c r="G1101" s="1"/>
      <c r="H1101" s="2">
        <v>1</v>
      </c>
      <c r="I1101" s="2">
        <v>1</v>
      </c>
      <c r="J1101" s="2">
        <v>1</v>
      </c>
      <c r="K1101" s="2">
        <v>0</v>
      </c>
      <c r="L1101" s="3" t="s">
        <v>127</v>
      </c>
      <c r="O1101" s="4">
        <v>1</v>
      </c>
      <c r="P1101" s="4" t="s">
        <v>424</v>
      </c>
      <c r="Q1101" s="4"/>
      <c r="R1101" s="16">
        <v>130000000</v>
      </c>
      <c r="S1101" s="6">
        <v>130000000</v>
      </c>
      <c r="T1101" s="16">
        <v>130000000</v>
      </c>
      <c r="U1101" s="6">
        <v>130000000</v>
      </c>
      <c r="V1101" s="4">
        <v>2010.5</v>
      </c>
      <c r="W1101" s="4" t="s">
        <v>425</v>
      </c>
      <c r="X1101" s="4"/>
      <c r="Y1101" s="7">
        <v>1</v>
      </c>
      <c r="Z1101" s="8">
        <v>11227125</v>
      </c>
      <c r="AA1101" s="7" t="s">
        <v>92</v>
      </c>
      <c r="AB1101" s="7"/>
      <c r="AC1101" s="9">
        <v>1</v>
      </c>
      <c r="AD1101" s="10">
        <v>5317430</v>
      </c>
      <c r="AE1101" s="9" t="s">
        <v>92</v>
      </c>
      <c r="AF1101" s="9"/>
      <c r="AG1101" s="11">
        <v>2</v>
      </c>
      <c r="AH1101" s="11" t="s">
        <v>131</v>
      </c>
      <c r="AI1101" s="11"/>
      <c r="AJ1101" s="11">
        <v>2</v>
      </c>
      <c r="AK1101" s="11" t="s">
        <v>132</v>
      </c>
      <c r="AL1101" s="12">
        <v>2</v>
      </c>
      <c r="AM1101" s="12" t="s">
        <v>131</v>
      </c>
      <c r="AN1101" s="12"/>
      <c r="AO1101" s="12">
        <v>2</v>
      </c>
      <c r="AP1101" s="12" t="s">
        <v>143</v>
      </c>
      <c r="AQ1101" s="4">
        <v>4</v>
      </c>
      <c r="AR1101" s="4" t="s">
        <v>133</v>
      </c>
      <c r="AS1101" s="4"/>
      <c r="AT1101" s="13">
        <v>-28.747251510620099</v>
      </c>
      <c r="AU1101" s="13">
        <v>-0.66270262002944902</v>
      </c>
      <c r="AV1101" s="13">
        <v>-0.77700001001357999</v>
      </c>
      <c r="AW1101" s="13">
        <v>-0.51899999380111705</v>
      </c>
      <c r="AX1101" s="4">
        <v>1</v>
      </c>
      <c r="AY1101" s="13">
        <v>-10.1175584793091</v>
      </c>
      <c r="AZ1101" s="13">
        <v>-1.0600345134735101</v>
      </c>
      <c r="BA1101" s="13">
        <v>-1.54999995231628</v>
      </c>
      <c r="BB1101" s="13">
        <v>-0.64449900388717696</v>
      </c>
      <c r="BC1101" s="4">
        <v>1</v>
      </c>
      <c r="BD1101" s="4">
        <v>10</v>
      </c>
      <c r="BE1101" s="4" t="s">
        <v>134</v>
      </c>
      <c r="BF1101" s="13">
        <v>0.25799998641014099</v>
      </c>
      <c r="BG1101" s="4">
        <v>4589.5</v>
      </c>
      <c r="BH1101" s="13">
        <v>12.4750003814697</v>
      </c>
      <c r="BI1101" s="13">
        <v>57247</v>
      </c>
      <c r="BJ1101" s="4"/>
      <c r="BK1101" s="14">
        <v>8</v>
      </c>
      <c r="BL1101" s="14">
        <v>8</v>
      </c>
      <c r="BM1101" s="14">
        <v>8</v>
      </c>
      <c r="BP1101" s="15" t="s">
        <v>135</v>
      </c>
      <c r="BQ1101" s="15" t="s">
        <v>146</v>
      </c>
      <c r="BR1101" s="2" t="s">
        <v>172</v>
      </c>
      <c r="BS1101" s="2" t="s">
        <v>172</v>
      </c>
      <c r="BT1101" s="7" t="s">
        <v>458</v>
      </c>
      <c r="BU1101" s="7"/>
      <c r="BV1101" s="9" t="s">
        <v>458</v>
      </c>
      <c r="BW1101" s="9"/>
    </row>
    <row r="1102" spans="1:75" ht="14.25" customHeight="1" x14ac:dyDescent="0.25">
      <c r="A1102" s="1">
        <v>1967</v>
      </c>
      <c r="B1102" s="1" t="s">
        <v>4561</v>
      </c>
      <c r="C1102" s="1" t="s">
        <v>4562</v>
      </c>
      <c r="D1102" s="1" t="s">
        <v>77</v>
      </c>
      <c r="E1102" s="1" t="s">
        <v>2396</v>
      </c>
      <c r="F1102" s="1" t="s">
        <v>4440</v>
      </c>
      <c r="G1102" s="1"/>
      <c r="H1102" s="2">
        <v>0</v>
      </c>
      <c r="I1102" s="2">
        <v>0</v>
      </c>
      <c r="J1102" s="2">
        <v>1</v>
      </c>
      <c r="K1102" s="2">
        <v>1</v>
      </c>
      <c r="L1102" s="3" t="s">
        <v>80</v>
      </c>
      <c r="O1102" s="4">
        <v>2</v>
      </c>
      <c r="P1102" s="4" t="s">
        <v>112</v>
      </c>
      <c r="Q1102" s="4"/>
      <c r="R1102" s="5"/>
      <c r="S1102" s="6"/>
      <c r="T1102" s="17"/>
      <c r="U1102" s="6"/>
      <c r="V1102" s="4"/>
      <c r="W1102" s="4"/>
      <c r="X1102" s="4"/>
      <c r="Y1102" s="7">
        <v>1</v>
      </c>
      <c r="Z1102" s="8">
        <v>10785909</v>
      </c>
      <c r="AA1102" s="7" t="s">
        <v>92</v>
      </c>
      <c r="AB1102" s="7"/>
      <c r="AC1102" s="9">
        <v>1</v>
      </c>
      <c r="AD1102" s="10">
        <v>10785909</v>
      </c>
      <c r="AE1102" s="9" t="s">
        <v>92</v>
      </c>
      <c r="AF1102" s="9"/>
      <c r="AG1102" s="11">
        <v>3</v>
      </c>
      <c r="AH1102" s="11" t="s">
        <v>93</v>
      </c>
      <c r="AI1102" s="11"/>
      <c r="AJ1102" s="11"/>
      <c r="AK1102" s="11"/>
      <c r="AL1102" s="12">
        <v>2</v>
      </c>
      <c r="AM1102" s="12" t="s">
        <v>93</v>
      </c>
      <c r="AN1102" s="12" t="s">
        <v>394</v>
      </c>
      <c r="AO1102" s="12"/>
      <c r="AP1102" s="12"/>
      <c r="AQ1102" s="4">
        <v>3</v>
      </c>
      <c r="AR1102" s="4" t="s">
        <v>83</v>
      </c>
      <c r="AS1102" s="4"/>
      <c r="AT1102" s="13"/>
      <c r="AU1102" s="13"/>
      <c r="AV1102" s="13"/>
      <c r="AW1102" s="13"/>
      <c r="AX1102" s="4"/>
      <c r="AY1102" s="13"/>
      <c r="AZ1102" s="13"/>
      <c r="BA1102" s="13"/>
      <c r="BB1102" s="13"/>
      <c r="BC1102" s="4"/>
      <c r="BD1102" s="4"/>
      <c r="BE1102" s="4"/>
      <c r="BF1102" s="13"/>
      <c r="BG1102" s="4"/>
      <c r="BH1102" s="13"/>
      <c r="BI1102" s="13"/>
      <c r="BJ1102" s="4"/>
      <c r="BK1102" s="14">
        <v>9</v>
      </c>
      <c r="BL1102" s="14">
        <v>8</v>
      </c>
      <c r="BM1102" s="14">
        <v>9</v>
      </c>
      <c r="BP1102" s="15"/>
      <c r="BQ1102" s="15"/>
      <c r="BR1102" s="2" t="s">
        <v>97</v>
      </c>
      <c r="BS1102" s="2" t="s">
        <v>97</v>
      </c>
      <c r="BT1102" s="7" t="s">
        <v>458</v>
      </c>
      <c r="BU1102" s="7"/>
      <c r="BV1102" s="9" t="s">
        <v>458</v>
      </c>
      <c r="BW1102" s="9"/>
    </row>
    <row r="1103" spans="1:75" ht="14.25" customHeight="1" x14ac:dyDescent="0.25">
      <c r="A1103" s="1">
        <v>1968</v>
      </c>
      <c r="B1103" s="1" t="s">
        <v>4563</v>
      </c>
      <c r="C1103" s="1" t="s">
        <v>4564</v>
      </c>
      <c r="D1103" s="1" t="s">
        <v>77</v>
      </c>
      <c r="E1103" s="1" t="s">
        <v>2396</v>
      </c>
      <c r="F1103" s="1" t="s">
        <v>4440</v>
      </c>
      <c r="G1103" s="1" t="s">
        <v>118</v>
      </c>
      <c r="H1103" s="2">
        <v>0</v>
      </c>
      <c r="I1103" s="2">
        <v>0</v>
      </c>
      <c r="J1103" s="2">
        <v>1</v>
      </c>
      <c r="K1103" s="2">
        <v>1</v>
      </c>
      <c r="L1103" s="3" t="s">
        <v>80</v>
      </c>
      <c r="O1103" s="4">
        <v>2</v>
      </c>
      <c r="P1103" s="4" t="s">
        <v>81</v>
      </c>
      <c r="Q1103" s="4" t="s">
        <v>91</v>
      </c>
      <c r="R1103" s="5"/>
      <c r="S1103" s="6"/>
      <c r="T1103" s="17"/>
      <c r="U1103" s="6"/>
      <c r="V1103" s="4"/>
      <c r="W1103" s="4"/>
      <c r="X1103" s="4"/>
      <c r="Y1103" s="7">
        <v>3</v>
      </c>
      <c r="Z1103" s="8">
        <v>594075</v>
      </c>
      <c r="AA1103" s="7" t="s">
        <v>92</v>
      </c>
      <c r="AB1103" s="7"/>
      <c r="AC1103" s="9">
        <v>3</v>
      </c>
      <c r="AD1103" s="10">
        <v>594075</v>
      </c>
      <c r="AE1103" s="9" t="s">
        <v>92</v>
      </c>
      <c r="AF1103" s="9"/>
      <c r="AG1103" s="11">
        <v>1</v>
      </c>
      <c r="AH1103" s="11" t="s">
        <v>93</v>
      </c>
      <c r="AI1103" s="11"/>
      <c r="AJ1103" s="11"/>
      <c r="AK1103" s="11"/>
      <c r="AL1103" s="12">
        <v>1</v>
      </c>
      <c r="AM1103" s="12" t="s">
        <v>93</v>
      </c>
      <c r="AN1103" s="12" t="s">
        <v>683</v>
      </c>
      <c r="AO1103" s="12"/>
      <c r="AP1103" s="12"/>
      <c r="AQ1103" s="4">
        <v>1</v>
      </c>
      <c r="AR1103" s="4" t="s">
        <v>83</v>
      </c>
      <c r="AS1103" s="4"/>
      <c r="AT1103" s="13"/>
      <c r="AU1103" s="13"/>
      <c r="AV1103" s="13"/>
      <c r="AW1103" s="13"/>
      <c r="AX1103" s="4"/>
      <c r="AY1103" s="13"/>
      <c r="AZ1103" s="13"/>
      <c r="BA1103" s="13"/>
      <c r="BB1103" s="13"/>
      <c r="BC1103" s="4"/>
      <c r="BD1103" s="4"/>
      <c r="BE1103" s="4"/>
      <c r="BF1103" s="13"/>
      <c r="BG1103" s="4"/>
      <c r="BH1103" s="13"/>
      <c r="BI1103" s="13"/>
      <c r="BJ1103" s="4"/>
      <c r="BK1103" s="14">
        <v>7</v>
      </c>
      <c r="BL1103" s="14">
        <v>7</v>
      </c>
      <c r="BM1103" s="14">
        <v>7</v>
      </c>
      <c r="BP1103" s="15" t="s">
        <v>135</v>
      </c>
      <c r="BQ1103" s="15"/>
      <c r="BR1103" s="2" t="s">
        <v>400</v>
      </c>
      <c r="BS1103" s="2" t="s">
        <v>400</v>
      </c>
      <c r="BT1103" s="7" t="s">
        <v>458</v>
      </c>
      <c r="BU1103" s="7"/>
      <c r="BV1103" s="9" t="s">
        <v>458</v>
      </c>
      <c r="BW1103" s="9"/>
    </row>
    <row r="1104" spans="1:75" ht="14.25" customHeight="1" x14ac:dyDescent="0.25">
      <c r="A1104" s="1">
        <v>1970</v>
      </c>
      <c r="B1104" s="1" t="s">
        <v>4565</v>
      </c>
      <c r="C1104" s="1" t="s">
        <v>4566</v>
      </c>
      <c r="D1104" s="1" t="s">
        <v>77</v>
      </c>
      <c r="E1104" s="1" t="s">
        <v>2396</v>
      </c>
      <c r="F1104" s="1" t="s">
        <v>4440</v>
      </c>
      <c r="G1104" s="1"/>
      <c r="H1104" s="2">
        <v>1</v>
      </c>
      <c r="I1104" s="2">
        <v>1</v>
      </c>
      <c r="J1104" s="2">
        <v>0</v>
      </c>
      <c r="K1104" s="2">
        <v>0</v>
      </c>
      <c r="L1104" s="3" t="s">
        <v>127</v>
      </c>
      <c r="O1104" s="4">
        <v>2</v>
      </c>
      <c r="P1104" s="4" t="s">
        <v>1919</v>
      </c>
      <c r="Q1104" s="4"/>
      <c r="R1104" s="16">
        <v>6800000</v>
      </c>
      <c r="S1104" s="6">
        <v>6800000</v>
      </c>
      <c r="T1104" s="16">
        <v>6800000</v>
      </c>
      <c r="U1104" s="6">
        <v>6800000</v>
      </c>
      <c r="V1104" s="4">
        <v>2010.5</v>
      </c>
      <c r="W1104" s="4" t="s">
        <v>1919</v>
      </c>
      <c r="X1104" s="4"/>
      <c r="Y1104" s="7">
        <v>1</v>
      </c>
      <c r="Z1104" s="8">
        <v>7237426</v>
      </c>
      <c r="AA1104" s="7" t="s">
        <v>92</v>
      </c>
      <c r="AB1104" s="7"/>
      <c r="AC1104" s="9">
        <v>2</v>
      </c>
      <c r="AD1104" s="10">
        <v>2643685</v>
      </c>
      <c r="AE1104" s="9" t="s">
        <v>92</v>
      </c>
      <c r="AF1104" s="9"/>
      <c r="AG1104" s="11">
        <v>4</v>
      </c>
      <c r="AH1104" s="11" t="s">
        <v>800</v>
      </c>
      <c r="AI1104" s="11" t="s">
        <v>4567</v>
      </c>
      <c r="AJ1104" s="11">
        <v>4</v>
      </c>
      <c r="AK1104" s="11" t="s">
        <v>143</v>
      </c>
      <c r="AL1104" s="12">
        <v>3</v>
      </c>
      <c r="AM1104" s="12" t="s">
        <v>131</v>
      </c>
      <c r="AN1104" s="12" t="s">
        <v>4568</v>
      </c>
      <c r="AO1104" s="12">
        <v>2</v>
      </c>
      <c r="AP1104" s="12" t="s">
        <v>132</v>
      </c>
      <c r="AQ1104" s="4">
        <v>5</v>
      </c>
      <c r="AR1104" s="4" t="s">
        <v>133</v>
      </c>
      <c r="AS1104" s="4"/>
      <c r="AT1104" s="13">
        <v>-79.984680175781307</v>
      </c>
      <c r="AU1104" s="13">
        <v>-3.1037242412567099</v>
      </c>
      <c r="AV1104" s="13">
        <v>-5.0500001907348597</v>
      </c>
      <c r="AW1104" s="13">
        <v>-1.5700000524520901</v>
      </c>
      <c r="AX1104" s="4">
        <v>1</v>
      </c>
      <c r="AY1104" s="13">
        <v>5.81211185455322</v>
      </c>
      <c r="AZ1104" s="13">
        <v>0.56677484512329102</v>
      </c>
      <c r="BA1104" s="13">
        <v>-4.4099998474121103</v>
      </c>
      <c r="BB1104" s="13">
        <v>4.5873050689697301</v>
      </c>
      <c r="BC1104" s="4"/>
      <c r="BD1104" s="4">
        <v>10</v>
      </c>
      <c r="BE1104" s="4" t="s">
        <v>134</v>
      </c>
      <c r="BF1104" s="13">
        <v>3.4800000190734899</v>
      </c>
      <c r="BG1104" s="4">
        <v>380.5</v>
      </c>
      <c r="BH1104" s="13">
        <v>0.72500002384185802</v>
      </c>
      <c r="BI1104" s="13">
        <v>278.72000122070301</v>
      </c>
      <c r="BJ1104" s="4"/>
      <c r="BK1104" s="14">
        <v>12</v>
      </c>
      <c r="BL1104" s="14">
        <v>12</v>
      </c>
      <c r="BM1104" s="14">
        <v>12</v>
      </c>
      <c r="BN1104" s="3" t="s">
        <v>302</v>
      </c>
      <c r="BO1104" s="3" t="s">
        <v>114</v>
      </c>
      <c r="BP1104" s="15"/>
      <c r="BQ1104" s="15"/>
      <c r="BR1104" s="2" t="s">
        <v>211</v>
      </c>
      <c r="BS1104" s="2" t="s">
        <v>239</v>
      </c>
      <c r="BT1104" s="7" t="s">
        <v>303</v>
      </c>
      <c r="BU1104" s="7"/>
      <c r="BV1104" s="9" t="s">
        <v>240</v>
      </c>
      <c r="BW1104" s="9" t="s">
        <v>241</v>
      </c>
    </row>
    <row r="1105" spans="1:75" ht="14.25" customHeight="1" x14ac:dyDescent="0.25">
      <c r="A1105" s="1">
        <v>1971</v>
      </c>
      <c r="B1105" s="1" t="s">
        <v>4569</v>
      </c>
      <c r="C1105" s="1" t="s">
        <v>4570</v>
      </c>
      <c r="D1105" s="1" t="s">
        <v>77</v>
      </c>
      <c r="E1105" s="1" t="s">
        <v>2396</v>
      </c>
      <c r="F1105" s="1" t="s">
        <v>4440</v>
      </c>
      <c r="G1105" s="1" t="s">
        <v>118</v>
      </c>
      <c r="H1105" s="2">
        <v>1</v>
      </c>
      <c r="I1105" s="2">
        <v>1</v>
      </c>
      <c r="J1105" s="2">
        <v>1</v>
      </c>
      <c r="K1105" s="2">
        <v>0</v>
      </c>
      <c r="L1105" s="3" t="s">
        <v>127</v>
      </c>
      <c r="O1105" s="4">
        <v>2</v>
      </c>
      <c r="P1105" s="4" t="s">
        <v>424</v>
      </c>
      <c r="Q1105" s="4"/>
      <c r="R1105" s="16">
        <v>23000000</v>
      </c>
      <c r="S1105" s="6">
        <v>23000000</v>
      </c>
      <c r="T1105" s="16">
        <v>23000000</v>
      </c>
      <c r="U1105" s="6">
        <v>23000000</v>
      </c>
      <c r="V1105" s="4">
        <v>2010.5</v>
      </c>
      <c r="W1105" s="4" t="s">
        <v>425</v>
      </c>
      <c r="X1105" s="4"/>
      <c r="Y1105" s="7">
        <v>1</v>
      </c>
      <c r="Z1105" s="8">
        <v>4740320</v>
      </c>
      <c r="AA1105" s="7" t="s">
        <v>92</v>
      </c>
      <c r="AB1105" s="7"/>
      <c r="AC1105" s="9">
        <v>1</v>
      </c>
      <c r="AD1105" s="10">
        <v>6129777</v>
      </c>
      <c r="AE1105" s="9" t="s">
        <v>92</v>
      </c>
      <c r="AF1105" s="9" t="s">
        <v>4571</v>
      </c>
      <c r="AG1105" s="11">
        <v>3</v>
      </c>
      <c r="AH1105" s="11" t="s">
        <v>131</v>
      </c>
      <c r="AI1105" s="11"/>
      <c r="AJ1105" s="11">
        <v>3</v>
      </c>
      <c r="AK1105" s="11" t="s">
        <v>143</v>
      </c>
      <c r="AL1105" s="12">
        <v>2</v>
      </c>
      <c r="AM1105" s="12" t="s">
        <v>131</v>
      </c>
      <c r="AN1105" s="12" t="s">
        <v>4572</v>
      </c>
      <c r="AO1105" s="12">
        <v>1</v>
      </c>
      <c r="AP1105" s="12" t="s">
        <v>132</v>
      </c>
      <c r="AQ1105" s="4">
        <v>5</v>
      </c>
      <c r="AR1105" s="4" t="s">
        <v>133</v>
      </c>
      <c r="AS1105" s="4"/>
      <c r="AT1105" s="13">
        <v>-61.424156188964801</v>
      </c>
      <c r="AU1105" s="13">
        <v>-1.8482526540756199</v>
      </c>
      <c r="AV1105" s="13">
        <v>-2.0299999713897701</v>
      </c>
      <c r="AW1105" s="13">
        <v>-1.62999999523163</v>
      </c>
      <c r="AX1105" s="4">
        <v>1</v>
      </c>
      <c r="AY1105" s="13">
        <v>-24.116672515869102</v>
      </c>
      <c r="AZ1105" s="13">
        <v>-2.7212598323821999</v>
      </c>
      <c r="BA1105" s="13">
        <v>-3.3499999046325701</v>
      </c>
      <c r="BB1105" s="13">
        <v>-2.0999999046325701</v>
      </c>
      <c r="BC1105" s="4">
        <v>1</v>
      </c>
      <c r="BD1105" s="4">
        <v>10</v>
      </c>
      <c r="BE1105" s="4" t="s">
        <v>134</v>
      </c>
      <c r="BF1105" s="13">
        <v>0.40000000596046398</v>
      </c>
      <c r="BG1105" s="4">
        <v>1747</v>
      </c>
      <c r="BH1105" s="13">
        <v>23.334999084472699</v>
      </c>
      <c r="BI1105" s="13">
        <v>40758.01171875</v>
      </c>
      <c r="BJ1105" s="4">
        <v>25</v>
      </c>
      <c r="BK1105" s="14">
        <v>11</v>
      </c>
      <c r="BL1105" s="14">
        <v>10</v>
      </c>
      <c r="BM1105" s="14">
        <v>11</v>
      </c>
      <c r="BN1105" s="3" t="s">
        <v>302</v>
      </c>
      <c r="BP1105" s="15" t="s">
        <v>135</v>
      </c>
      <c r="BQ1105" s="15" t="s">
        <v>146</v>
      </c>
      <c r="BR1105" s="2" t="s">
        <v>256</v>
      </c>
      <c r="BS1105" s="2" t="s">
        <v>256</v>
      </c>
      <c r="BT1105" s="7" t="s">
        <v>458</v>
      </c>
      <c r="BU1105" s="7"/>
      <c r="BV1105" s="9" t="s">
        <v>458</v>
      </c>
      <c r="BW1105" s="9"/>
    </row>
    <row r="1106" spans="1:75" ht="14.25" customHeight="1" x14ac:dyDescent="0.25">
      <c r="A1106" s="1">
        <v>1972</v>
      </c>
      <c r="B1106" s="1" t="s">
        <v>4573</v>
      </c>
      <c r="C1106" s="1" t="s">
        <v>4574</v>
      </c>
      <c r="D1106" s="1" t="s">
        <v>77</v>
      </c>
      <c r="E1106" s="1" t="s">
        <v>2396</v>
      </c>
      <c r="F1106" s="1" t="s">
        <v>4440</v>
      </c>
      <c r="G1106" s="1"/>
      <c r="H1106" s="2">
        <v>1</v>
      </c>
      <c r="I1106" s="2">
        <v>1</v>
      </c>
      <c r="J1106" s="2">
        <v>0</v>
      </c>
      <c r="K1106" s="2">
        <v>0</v>
      </c>
      <c r="L1106" s="3" t="s">
        <v>127</v>
      </c>
      <c r="O1106" s="4">
        <v>1</v>
      </c>
      <c r="P1106" s="4" t="s">
        <v>579</v>
      </c>
      <c r="Q1106" s="4"/>
      <c r="R1106" s="16">
        <v>67000000</v>
      </c>
      <c r="S1106" s="6">
        <v>67000000</v>
      </c>
      <c r="T1106" s="16">
        <v>67000000</v>
      </c>
      <c r="U1106" s="6">
        <v>67000000</v>
      </c>
      <c r="V1106" s="4">
        <v>2010.5</v>
      </c>
      <c r="W1106" s="4" t="s">
        <v>579</v>
      </c>
      <c r="X1106" s="4"/>
      <c r="Y1106" s="7">
        <v>1</v>
      </c>
      <c r="Z1106" s="8">
        <v>8190985</v>
      </c>
      <c r="AA1106" s="7" t="s">
        <v>92</v>
      </c>
      <c r="AB1106" s="7"/>
      <c r="AC1106" s="9">
        <v>2</v>
      </c>
      <c r="AD1106" s="10">
        <v>3683144</v>
      </c>
      <c r="AE1106" s="9" t="s">
        <v>92</v>
      </c>
      <c r="AF1106" s="9"/>
      <c r="AG1106" s="11">
        <v>2</v>
      </c>
      <c r="AH1106" s="11" t="s">
        <v>4575</v>
      </c>
      <c r="AI1106" s="11" t="s">
        <v>4576</v>
      </c>
      <c r="AJ1106" s="11">
        <v>2</v>
      </c>
      <c r="AK1106" s="11" t="s">
        <v>132</v>
      </c>
      <c r="AL1106" s="12">
        <v>2</v>
      </c>
      <c r="AM1106" s="12" t="s">
        <v>131</v>
      </c>
      <c r="AN1106" s="12"/>
      <c r="AO1106" s="12">
        <v>2</v>
      </c>
      <c r="AP1106" s="12" t="s">
        <v>143</v>
      </c>
      <c r="AQ1106" s="4">
        <v>5</v>
      </c>
      <c r="AR1106" s="4" t="s">
        <v>133</v>
      </c>
      <c r="AS1106" s="4"/>
      <c r="AT1106" s="13">
        <v>-58.7257690429688</v>
      </c>
      <c r="AU1106" s="13">
        <v>-1.72056865692139</v>
      </c>
      <c r="AV1106" s="13">
        <v>-1.8473030328750599</v>
      </c>
      <c r="AW1106" s="13">
        <v>-1.5599999427795399</v>
      </c>
      <c r="AX1106" s="4">
        <v>1</v>
      </c>
      <c r="AY1106" s="13">
        <v>-23.4629917144775</v>
      </c>
      <c r="AZ1106" s="13">
        <v>-2.2028050422668501</v>
      </c>
      <c r="BA1106" s="13">
        <v>-2.5383000373840301</v>
      </c>
      <c r="BB1106" s="13">
        <v>-1.7599999904632599</v>
      </c>
      <c r="BC1106" s="4">
        <v>1</v>
      </c>
      <c r="BD1106" s="4">
        <v>12</v>
      </c>
      <c r="BE1106" s="4" t="s">
        <v>134</v>
      </c>
      <c r="BF1106" s="13">
        <v>0.28730300068855302</v>
      </c>
      <c r="BG1106" s="4">
        <v>3643</v>
      </c>
      <c r="BH1106" s="13">
        <v>27.745000839233398</v>
      </c>
      <c r="BI1106" s="13">
        <v>101059.2578125</v>
      </c>
      <c r="BJ1106" s="4"/>
      <c r="BK1106" s="14">
        <v>9</v>
      </c>
      <c r="BL1106" s="14">
        <v>10</v>
      </c>
      <c r="BM1106" s="14">
        <v>10</v>
      </c>
      <c r="BN1106" s="3" t="s">
        <v>302</v>
      </c>
      <c r="BO1106" s="3" t="s">
        <v>120</v>
      </c>
      <c r="BP1106" s="15" t="s">
        <v>135</v>
      </c>
      <c r="BQ1106" s="15" t="s">
        <v>146</v>
      </c>
      <c r="BR1106" s="2" t="s">
        <v>239</v>
      </c>
      <c r="BS1106" s="2" t="s">
        <v>239</v>
      </c>
      <c r="BT1106" s="7" t="s">
        <v>458</v>
      </c>
      <c r="BU1106" s="7"/>
      <c r="BV1106" s="9" t="s">
        <v>458</v>
      </c>
      <c r="BW1106" s="9"/>
    </row>
    <row r="1107" spans="1:75" ht="14.25" customHeight="1" x14ac:dyDescent="0.25">
      <c r="A1107" s="1">
        <v>1973</v>
      </c>
      <c r="B1107" s="1" t="s">
        <v>4577</v>
      </c>
      <c r="C1107" s="1" t="s">
        <v>4578</v>
      </c>
      <c r="D1107" s="1" t="s">
        <v>77</v>
      </c>
      <c r="E1107" s="1" t="s">
        <v>2396</v>
      </c>
      <c r="F1107" s="1" t="s">
        <v>4440</v>
      </c>
      <c r="G1107" s="1"/>
      <c r="H1107" s="2">
        <v>0</v>
      </c>
      <c r="I1107" s="2">
        <v>1</v>
      </c>
      <c r="J1107" s="2">
        <v>0</v>
      </c>
      <c r="K1107" s="2">
        <v>0</v>
      </c>
      <c r="L1107" s="3" t="s">
        <v>80</v>
      </c>
      <c r="O1107" s="4">
        <v>3</v>
      </c>
      <c r="P1107" s="4" t="s">
        <v>424</v>
      </c>
      <c r="Q1107" s="4"/>
      <c r="R1107" s="16">
        <v>2200000</v>
      </c>
      <c r="S1107" s="6">
        <v>2200000</v>
      </c>
      <c r="T1107" s="16">
        <v>2200000</v>
      </c>
      <c r="U1107" s="6">
        <v>2200000</v>
      </c>
      <c r="V1107" s="4">
        <v>2010.5</v>
      </c>
      <c r="W1107" s="4" t="s">
        <v>425</v>
      </c>
      <c r="X1107" s="4"/>
      <c r="Y1107" s="7">
        <v>4</v>
      </c>
      <c r="Z1107" s="8">
        <v>202340</v>
      </c>
      <c r="AA1107" s="7" t="s">
        <v>92</v>
      </c>
      <c r="AB1107" s="7"/>
      <c r="AC1107" s="9">
        <v>4</v>
      </c>
      <c r="AD1107" s="10">
        <v>207174</v>
      </c>
      <c r="AE1107" s="9" t="s">
        <v>92</v>
      </c>
      <c r="AF1107" s="9"/>
      <c r="AG1107" s="11">
        <v>3</v>
      </c>
      <c r="AH1107" s="11" t="s">
        <v>4575</v>
      </c>
      <c r="AI1107" s="11" t="s">
        <v>4576</v>
      </c>
      <c r="AJ1107" s="11">
        <v>3</v>
      </c>
      <c r="AK1107" s="11" t="s">
        <v>143</v>
      </c>
      <c r="AL1107" s="12">
        <v>2</v>
      </c>
      <c r="AM1107" s="12" t="s">
        <v>131</v>
      </c>
      <c r="AN1107" s="12"/>
      <c r="AO1107" s="12">
        <v>2</v>
      </c>
      <c r="AP1107" s="12" t="s">
        <v>332</v>
      </c>
      <c r="AQ1107" s="4">
        <v>3</v>
      </c>
      <c r="AR1107" s="4" t="s">
        <v>133</v>
      </c>
      <c r="AS1107" s="4"/>
      <c r="AT1107" s="13">
        <v>-16.407781600952099</v>
      </c>
      <c r="AU1107" s="13">
        <v>-0.351229548454285</v>
      </c>
      <c r="AV1107" s="13">
        <v>-1.42790102958679</v>
      </c>
      <c r="AW1107" s="13">
        <v>1.2400000095367401</v>
      </c>
      <c r="AX1107" s="4"/>
      <c r="AY1107" s="13">
        <v>-14.7434949874878</v>
      </c>
      <c r="AZ1107" s="13">
        <v>-1.3209191560745199</v>
      </c>
      <c r="BA1107" s="13">
        <v>-3.3699998855590798</v>
      </c>
      <c r="BB1107" s="13">
        <v>1.2699999809265099</v>
      </c>
      <c r="BC1107" s="4"/>
      <c r="BD1107" s="4">
        <v>12</v>
      </c>
      <c r="BE1107" s="4" t="s">
        <v>134</v>
      </c>
      <c r="BF1107" s="13">
        <v>2.66790103912354</v>
      </c>
      <c r="BG1107" s="4">
        <v>196.5</v>
      </c>
      <c r="BH1107" s="13">
        <v>20.4899997711182</v>
      </c>
      <c r="BI1107" s="13">
        <v>4021.23999023438</v>
      </c>
      <c r="BJ1107" s="4"/>
      <c r="BK1107" s="14">
        <v>13</v>
      </c>
      <c r="BL1107" s="14">
        <v>12</v>
      </c>
      <c r="BM1107" s="14">
        <v>13</v>
      </c>
      <c r="BP1107" s="15" t="s">
        <v>135</v>
      </c>
      <c r="BQ1107" s="15"/>
      <c r="BR1107" s="2" t="s">
        <v>239</v>
      </c>
      <c r="BS1107" s="2" t="s">
        <v>239</v>
      </c>
      <c r="BT1107" s="7" t="s">
        <v>148</v>
      </c>
      <c r="BU1107" s="7" t="s">
        <v>147</v>
      </c>
      <c r="BV1107" s="9" t="s">
        <v>148</v>
      </c>
      <c r="BW1107" s="9" t="s">
        <v>147</v>
      </c>
    </row>
    <row r="1108" spans="1:75" ht="14.25" customHeight="1" x14ac:dyDescent="0.25">
      <c r="A1108" s="1">
        <v>1974</v>
      </c>
      <c r="B1108" s="1" t="s">
        <v>4579</v>
      </c>
      <c r="C1108" s="1" t="s">
        <v>4580</v>
      </c>
      <c r="D1108" s="1" t="s">
        <v>77</v>
      </c>
      <c r="E1108" s="1" t="s">
        <v>2396</v>
      </c>
      <c r="F1108" s="1" t="s">
        <v>4440</v>
      </c>
      <c r="G1108" s="1"/>
      <c r="H1108" s="2">
        <v>0</v>
      </c>
      <c r="I1108" s="2">
        <v>1</v>
      </c>
      <c r="J1108" s="2">
        <v>1</v>
      </c>
      <c r="K1108" s="2">
        <v>1</v>
      </c>
      <c r="L1108" s="3" t="s">
        <v>127</v>
      </c>
      <c r="O1108" s="4">
        <v>2</v>
      </c>
      <c r="P1108" s="4" t="s">
        <v>470</v>
      </c>
      <c r="Q1108" s="4" t="s">
        <v>4581</v>
      </c>
      <c r="R1108" s="16">
        <v>30000000</v>
      </c>
      <c r="S1108" s="6">
        <v>30000000</v>
      </c>
      <c r="T1108" s="16">
        <v>8200000</v>
      </c>
      <c r="U1108" s="6">
        <v>8200000</v>
      </c>
      <c r="V1108" s="4">
        <v>2010.5</v>
      </c>
      <c r="W1108" s="4" t="s">
        <v>425</v>
      </c>
      <c r="X1108" s="4"/>
      <c r="Y1108" s="7">
        <v>1</v>
      </c>
      <c r="Z1108" s="8">
        <v>5008310</v>
      </c>
      <c r="AA1108" s="7" t="s">
        <v>92</v>
      </c>
      <c r="AB1108" s="7"/>
      <c r="AC1108" s="9">
        <v>1</v>
      </c>
      <c r="AD1108" s="10">
        <v>5008310</v>
      </c>
      <c r="AE1108" s="9" t="s">
        <v>92</v>
      </c>
      <c r="AF1108" s="9" t="s">
        <v>4582</v>
      </c>
      <c r="AG1108" s="11">
        <v>2</v>
      </c>
      <c r="AH1108" s="11" t="s">
        <v>131</v>
      </c>
      <c r="AI1108" s="11"/>
      <c r="AJ1108" s="11">
        <v>2</v>
      </c>
      <c r="AK1108" s="11" t="s">
        <v>132</v>
      </c>
      <c r="AL1108" s="12">
        <v>2</v>
      </c>
      <c r="AM1108" s="12" t="s">
        <v>131</v>
      </c>
      <c r="AN1108" s="12" t="s">
        <v>683</v>
      </c>
      <c r="AO1108" s="12">
        <v>2</v>
      </c>
      <c r="AP1108" s="12" t="s">
        <v>132</v>
      </c>
      <c r="AQ1108" s="4">
        <v>3</v>
      </c>
      <c r="AR1108" s="4" t="s">
        <v>133</v>
      </c>
      <c r="AS1108" s="4"/>
      <c r="AT1108" s="13">
        <v>19.975425720214801</v>
      </c>
      <c r="AU1108" s="13">
        <v>0.35772731900215099</v>
      </c>
      <c r="AV1108" s="13">
        <v>-0.79299801588058505</v>
      </c>
      <c r="AW1108" s="13">
        <v>1.53999996185303</v>
      </c>
      <c r="AX1108" s="4"/>
      <c r="AY1108" s="13">
        <v>-22.992782592773398</v>
      </c>
      <c r="AZ1108" s="13">
        <v>-2.5776507854461701</v>
      </c>
      <c r="BA1108" s="13">
        <v>-4.8200001716613796</v>
      </c>
      <c r="BB1108" s="13">
        <v>-0.45800000429153398</v>
      </c>
      <c r="BC1108" s="4">
        <v>1</v>
      </c>
      <c r="BD1108" s="4">
        <v>10</v>
      </c>
      <c r="BE1108" s="4" t="s">
        <v>134</v>
      </c>
      <c r="BF1108" s="13">
        <v>2.3329980373382599</v>
      </c>
      <c r="BG1108" s="4">
        <v>564.5</v>
      </c>
      <c r="BH1108" s="13">
        <v>20</v>
      </c>
      <c r="BI1108" s="13">
        <v>11294.650390625</v>
      </c>
      <c r="BJ1108" s="4"/>
      <c r="BK1108" s="14">
        <v>8</v>
      </c>
      <c r="BL1108" s="14">
        <v>8</v>
      </c>
      <c r="BM1108" s="14">
        <v>8</v>
      </c>
      <c r="BP1108" s="15" t="s">
        <v>135</v>
      </c>
      <c r="BQ1108" s="15" t="s">
        <v>146</v>
      </c>
      <c r="BR1108" s="2" t="s">
        <v>400</v>
      </c>
      <c r="BS1108" s="2" t="s">
        <v>400</v>
      </c>
      <c r="BT1108" s="7" t="s">
        <v>603</v>
      </c>
      <c r="BU1108" s="7"/>
      <c r="BV1108" s="9" t="s">
        <v>603</v>
      </c>
      <c r="BW1108" s="9"/>
    </row>
    <row r="1109" spans="1:75" ht="14.25" customHeight="1" x14ac:dyDescent="0.25">
      <c r="A1109" s="1">
        <v>1976</v>
      </c>
      <c r="B1109" s="1" t="s">
        <v>4583</v>
      </c>
      <c r="C1109" s="1" t="s">
        <v>4584</v>
      </c>
      <c r="D1109" s="1" t="s">
        <v>77</v>
      </c>
      <c r="E1109" s="1" t="s">
        <v>2396</v>
      </c>
      <c r="F1109" s="1" t="s">
        <v>4440</v>
      </c>
      <c r="G1109" s="1" t="s">
        <v>118</v>
      </c>
      <c r="H1109" s="2">
        <v>0</v>
      </c>
      <c r="I1109" s="2">
        <v>0</v>
      </c>
      <c r="J1109" s="2">
        <v>0</v>
      </c>
      <c r="K1109" s="2">
        <v>1</v>
      </c>
      <c r="L1109" s="3" t="s">
        <v>80</v>
      </c>
      <c r="O1109" s="4">
        <v>5</v>
      </c>
      <c r="P1109" s="4" t="s">
        <v>81</v>
      </c>
      <c r="Q1109" s="4"/>
      <c r="R1109" s="5"/>
      <c r="S1109" s="6"/>
      <c r="T1109" s="17"/>
      <c r="U1109" s="6"/>
      <c r="V1109" s="4"/>
      <c r="W1109" s="4"/>
      <c r="X1109" s="4"/>
      <c r="Y1109" s="7">
        <v>5</v>
      </c>
      <c r="Z1109" s="8">
        <v>7102</v>
      </c>
      <c r="AA1109" s="7" t="s">
        <v>82</v>
      </c>
      <c r="AB1109" s="7"/>
      <c r="AC1109" s="9">
        <v>5</v>
      </c>
      <c r="AD1109" s="10">
        <v>7102</v>
      </c>
      <c r="AE1109" s="9" t="s">
        <v>82</v>
      </c>
      <c r="AF1109" s="9"/>
      <c r="AG1109" s="11">
        <v>4</v>
      </c>
      <c r="AH1109" s="11" t="s">
        <v>83</v>
      </c>
      <c r="AI1109" s="11" t="s">
        <v>4585</v>
      </c>
      <c r="AJ1109" s="11"/>
      <c r="AK1109" s="11"/>
      <c r="AL1109" s="12">
        <v>4</v>
      </c>
      <c r="AM1109" s="12" t="s">
        <v>83</v>
      </c>
      <c r="AN1109" s="12"/>
      <c r="AO1109" s="12"/>
      <c r="AP1109" s="12"/>
      <c r="AQ1109" s="4">
        <v>5</v>
      </c>
      <c r="AR1109" s="4" t="s">
        <v>83</v>
      </c>
      <c r="AS1109" s="4" t="s">
        <v>4586</v>
      </c>
      <c r="AT1109" s="13"/>
      <c r="AU1109" s="13"/>
      <c r="AV1109" s="13"/>
      <c r="AW1109" s="13"/>
      <c r="AX1109" s="4"/>
      <c r="AY1109" s="13"/>
      <c r="AZ1109" s="13"/>
      <c r="BA1109" s="13"/>
      <c r="BB1109" s="13"/>
      <c r="BC1109" s="4"/>
      <c r="BD1109" s="4"/>
      <c r="BE1109" s="4"/>
      <c r="BF1109" s="13"/>
      <c r="BG1109" s="4"/>
      <c r="BH1109" s="13"/>
      <c r="BI1109" s="13"/>
      <c r="BJ1109" s="4"/>
      <c r="BK1109" s="14">
        <v>19</v>
      </c>
      <c r="BL1109" s="14">
        <v>19</v>
      </c>
      <c r="BM1109" s="14">
        <v>19</v>
      </c>
      <c r="BN1109" s="3" t="s">
        <v>312</v>
      </c>
      <c r="BP1109" s="15"/>
      <c r="BQ1109" s="15"/>
      <c r="BR1109" s="2" t="s">
        <v>108</v>
      </c>
      <c r="BS1109" s="2" t="s">
        <v>108</v>
      </c>
      <c r="BT1109" s="7" t="s">
        <v>147</v>
      </c>
      <c r="BU1109" s="7"/>
      <c r="BV1109" s="9" t="s">
        <v>147</v>
      </c>
      <c r="BW1109" s="9"/>
    </row>
    <row r="1110" spans="1:75" ht="14.25" customHeight="1" x14ac:dyDescent="0.25">
      <c r="A1110" s="1">
        <v>1979</v>
      </c>
      <c r="B1110" s="1" t="s">
        <v>4587</v>
      </c>
      <c r="C1110" s="1" t="s">
        <v>4588</v>
      </c>
      <c r="D1110" s="1" t="s">
        <v>77</v>
      </c>
      <c r="E1110" s="1" t="s">
        <v>2396</v>
      </c>
      <c r="F1110" s="1" t="s">
        <v>4440</v>
      </c>
      <c r="G1110" s="1"/>
      <c r="H1110" s="2">
        <v>0</v>
      </c>
      <c r="I1110" s="2">
        <v>0</v>
      </c>
      <c r="J1110" s="2">
        <v>0</v>
      </c>
      <c r="K1110" s="2">
        <v>1</v>
      </c>
      <c r="L1110" s="3" t="s">
        <v>80</v>
      </c>
      <c r="O1110" s="4">
        <v>3</v>
      </c>
      <c r="P1110" s="4" t="s">
        <v>81</v>
      </c>
      <c r="Q1110" s="4"/>
      <c r="R1110" s="5"/>
      <c r="S1110" s="6"/>
      <c r="T1110" s="17"/>
      <c r="U1110" s="6"/>
      <c r="V1110" s="4"/>
      <c r="W1110" s="4"/>
      <c r="X1110" s="4"/>
      <c r="Y1110" s="7">
        <v>2</v>
      </c>
      <c r="Z1110" s="8">
        <v>1580000</v>
      </c>
      <c r="AA1110" s="7" t="s">
        <v>812</v>
      </c>
      <c r="AB1110" s="7"/>
      <c r="AC1110" s="9">
        <v>2</v>
      </c>
      <c r="AD1110" s="10">
        <v>1580000</v>
      </c>
      <c r="AE1110" s="9" t="s">
        <v>812</v>
      </c>
      <c r="AF1110" s="9"/>
      <c r="AG1110" s="11">
        <v>1</v>
      </c>
      <c r="AH1110" s="11" t="s">
        <v>83</v>
      </c>
      <c r="AI1110" s="11"/>
      <c r="AJ1110" s="11"/>
      <c r="AK1110" s="11"/>
      <c r="AL1110" s="12">
        <v>1</v>
      </c>
      <c r="AM1110" s="12" t="s">
        <v>83</v>
      </c>
      <c r="AN1110" s="12"/>
      <c r="AO1110" s="12"/>
      <c r="AP1110" s="12"/>
      <c r="AQ1110" s="4">
        <v>1</v>
      </c>
      <c r="AR1110" s="4" t="s">
        <v>83</v>
      </c>
      <c r="AS1110" s="4"/>
      <c r="AT1110" s="13"/>
      <c r="AU1110" s="13"/>
      <c r="AV1110" s="13"/>
      <c r="AW1110" s="13"/>
      <c r="AX1110" s="4"/>
      <c r="AY1110" s="13"/>
      <c r="AZ1110" s="13"/>
      <c r="BA1110" s="13"/>
      <c r="BB1110" s="13"/>
      <c r="BC1110" s="4"/>
      <c r="BD1110" s="4"/>
      <c r="BE1110" s="4"/>
      <c r="BF1110" s="13"/>
      <c r="BG1110" s="4"/>
      <c r="BH1110" s="13"/>
      <c r="BI1110" s="13"/>
      <c r="BJ1110" s="4"/>
      <c r="BK1110" s="14">
        <v>7</v>
      </c>
      <c r="BL1110" s="14">
        <v>7</v>
      </c>
      <c r="BM1110" s="14">
        <v>7</v>
      </c>
      <c r="BP1110" s="15"/>
      <c r="BQ1110" s="15"/>
      <c r="BR1110" s="2" t="s">
        <v>740</v>
      </c>
      <c r="BS1110" s="2" t="s">
        <v>740</v>
      </c>
      <c r="BT1110" s="7" t="s">
        <v>147</v>
      </c>
      <c r="BU1110" s="7"/>
      <c r="BV1110" s="9" t="s">
        <v>147</v>
      </c>
      <c r="BW1110" s="9"/>
    </row>
    <row r="1111" spans="1:75" ht="14.25" customHeight="1" x14ac:dyDescent="0.25">
      <c r="A1111" s="1">
        <v>1980</v>
      </c>
      <c r="B1111" s="1" t="s">
        <v>4589</v>
      </c>
      <c r="C1111" s="1" t="s">
        <v>4590</v>
      </c>
      <c r="D1111" s="1" t="s">
        <v>77</v>
      </c>
      <c r="E1111" s="1" t="s">
        <v>2396</v>
      </c>
      <c r="F1111" s="1" t="s">
        <v>4591</v>
      </c>
      <c r="G1111" s="1"/>
      <c r="H1111" s="2">
        <v>1</v>
      </c>
      <c r="I1111" s="2">
        <v>1</v>
      </c>
      <c r="J1111" s="2">
        <v>1</v>
      </c>
      <c r="K1111" s="2">
        <v>1</v>
      </c>
      <c r="L1111" s="3" t="s">
        <v>127</v>
      </c>
      <c r="O1111" s="4">
        <v>2</v>
      </c>
      <c r="P1111" s="4" t="s">
        <v>579</v>
      </c>
      <c r="Q1111" s="4"/>
      <c r="R1111" s="16">
        <v>26000000</v>
      </c>
      <c r="S1111" s="6">
        <v>26000000</v>
      </c>
      <c r="T1111" s="16">
        <v>26000000</v>
      </c>
      <c r="U1111" s="6">
        <v>26000000</v>
      </c>
      <c r="V1111" s="4">
        <v>2010.5</v>
      </c>
      <c r="W1111" s="4" t="s">
        <v>579</v>
      </c>
      <c r="X1111" s="4"/>
      <c r="Y1111" s="7">
        <v>1</v>
      </c>
      <c r="Z1111" s="8">
        <v>5207143</v>
      </c>
      <c r="AA1111" s="7" t="s">
        <v>92</v>
      </c>
      <c r="AB1111" s="7"/>
      <c r="AC1111" s="9">
        <v>2</v>
      </c>
      <c r="AD1111" s="10">
        <v>1668393</v>
      </c>
      <c r="AE1111" s="9" t="s">
        <v>92</v>
      </c>
      <c r="AF1111" s="9" t="s">
        <v>4592</v>
      </c>
      <c r="AG1111" s="11">
        <v>4</v>
      </c>
      <c r="AH1111" s="11" t="s">
        <v>3247</v>
      </c>
      <c r="AI1111" s="11"/>
      <c r="AJ1111" s="11">
        <v>4</v>
      </c>
      <c r="AK1111" s="11" t="s">
        <v>132</v>
      </c>
      <c r="AL1111" s="12">
        <v>3</v>
      </c>
      <c r="AM1111" s="12" t="s">
        <v>131</v>
      </c>
      <c r="AN1111" s="12" t="s">
        <v>4593</v>
      </c>
      <c r="AO1111" s="12">
        <v>2</v>
      </c>
      <c r="AP1111" s="12" t="s">
        <v>143</v>
      </c>
      <c r="AQ1111" s="4">
        <v>2</v>
      </c>
      <c r="AR1111" s="4" t="s">
        <v>133</v>
      </c>
      <c r="AS1111" s="4"/>
      <c r="AT1111" s="13">
        <v>3.67294120788574</v>
      </c>
      <c r="AU1111" s="13">
        <v>7.0885010063648196E-2</v>
      </c>
      <c r="AV1111" s="13">
        <v>-0.14870199561119099</v>
      </c>
      <c r="AW1111" s="13">
        <v>0.36100000143051098</v>
      </c>
      <c r="AX1111" s="4"/>
      <c r="AY1111" s="13">
        <v>-1.5687556266784699</v>
      </c>
      <c r="AZ1111" s="13">
        <v>-0.15769086778163899</v>
      </c>
      <c r="BA1111" s="13">
        <v>-0.85600000619888295</v>
      </c>
      <c r="BB1111" s="13">
        <v>0.37230300903320301</v>
      </c>
      <c r="BC1111" s="4"/>
      <c r="BD1111" s="4">
        <v>10</v>
      </c>
      <c r="BE1111" s="4" t="s">
        <v>134</v>
      </c>
      <c r="BF1111" s="13">
        <v>0.50970202684402499</v>
      </c>
      <c r="BG1111" s="4">
        <v>2169.5</v>
      </c>
      <c r="BH1111" s="13">
        <v>10.3900003433228</v>
      </c>
      <c r="BI1111" s="13">
        <v>22533.904296875</v>
      </c>
      <c r="BJ1111" s="4"/>
      <c r="BK1111" s="14">
        <v>9</v>
      </c>
      <c r="BL1111" s="14">
        <v>9</v>
      </c>
      <c r="BM1111" s="14">
        <v>9</v>
      </c>
      <c r="BP1111" s="15"/>
      <c r="BQ1111" s="15"/>
      <c r="BR1111" s="2" t="s">
        <v>211</v>
      </c>
      <c r="BS1111" s="2" t="s">
        <v>97</v>
      </c>
      <c r="BT1111" s="7" t="s">
        <v>241</v>
      </c>
      <c r="BU1111" s="7" t="s">
        <v>527</v>
      </c>
      <c r="BV1111" s="9" t="s">
        <v>797</v>
      </c>
      <c r="BW1111" s="9" t="s">
        <v>623</v>
      </c>
    </row>
    <row r="1112" spans="1:75" ht="14.25" customHeight="1" x14ac:dyDescent="0.25">
      <c r="A1112" s="1">
        <v>1981</v>
      </c>
      <c r="B1112" s="1" t="s">
        <v>4594</v>
      </c>
      <c r="C1112" s="1" t="s">
        <v>4595</v>
      </c>
      <c r="D1112" s="1" t="s">
        <v>77</v>
      </c>
      <c r="E1112" s="1" t="s">
        <v>2396</v>
      </c>
      <c r="F1112" s="1" t="s">
        <v>4591</v>
      </c>
      <c r="G1112" s="1" t="s">
        <v>118</v>
      </c>
      <c r="H1112" s="2">
        <v>1</v>
      </c>
      <c r="I1112" s="2">
        <v>1</v>
      </c>
      <c r="J1112" s="2">
        <v>1</v>
      </c>
      <c r="K1112" s="2">
        <v>1</v>
      </c>
      <c r="L1112" s="3" t="s">
        <v>127</v>
      </c>
      <c r="O1112" s="4">
        <v>3</v>
      </c>
      <c r="P1112" s="4" t="s">
        <v>425</v>
      </c>
      <c r="Q1112" s="4"/>
      <c r="R1112" s="16">
        <v>780000</v>
      </c>
      <c r="S1112" s="6">
        <v>780000</v>
      </c>
      <c r="T1112" s="16">
        <v>780000</v>
      </c>
      <c r="U1112" s="6">
        <v>780000</v>
      </c>
      <c r="V1112" s="4">
        <v>2010.5</v>
      </c>
      <c r="W1112" s="4" t="s">
        <v>425</v>
      </c>
      <c r="X1112" s="4"/>
      <c r="Y1112" s="7">
        <v>2</v>
      </c>
      <c r="Z1112" s="8">
        <v>1753323</v>
      </c>
      <c r="AA1112" s="7" t="s">
        <v>92</v>
      </c>
      <c r="AB1112" s="7"/>
      <c r="AC1112" s="9">
        <v>3</v>
      </c>
      <c r="AD1112" s="10">
        <v>902709</v>
      </c>
      <c r="AE1112" s="9" t="s">
        <v>92</v>
      </c>
      <c r="AF1112" s="9"/>
      <c r="AG1112" s="11">
        <v>4</v>
      </c>
      <c r="AH1112" s="11" t="s">
        <v>131</v>
      </c>
      <c r="AI1112" s="11"/>
      <c r="AJ1112" s="11">
        <v>4</v>
      </c>
      <c r="AK1112" s="11" t="s">
        <v>143</v>
      </c>
      <c r="AL1112" s="12">
        <v>5</v>
      </c>
      <c r="AM1112" s="12" t="s">
        <v>131</v>
      </c>
      <c r="AN1112" s="12" t="s">
        <v>4596</v>
      </c>
      <c r="AO1112" s="12">
        <v>5</v>
      </c>
      <c r="AP1112" s="12" t="s">
        <v>132</v>
      </c>
      <c r="AQ1112" s="4">
        <v>2</v>
      </c>
      <c r="AR1112" s="4" t="s">
        <v>133</v>
      </c>
      <c r="AS1112" s="4"/>
      <c r="AT1112" s="13">
        <v>15.8038377761841</v>
      </c>
      <c r="AU1112" s="13">
        <v>0.28804811835289001</v>
      </c>
      <c r="AV1112" s="13">
        <v>-0.104999996721745</v>
      </c>
      <c r="AW1112" s="13">
        <v>0.64399999380111705</v>
      </c>
      <c r="AX1112" s="4"/>
      <c r="AY1112" s="13">
        <v>1.85375893115997</v>
      </c>
      <c r="AZ1112" s="13">
        <v>0.18385198712348899</v>
      </c>
      <c r="BA1112" s="13">
        <v>-1.0700000524520901</v>
      </c>
      <c r="BB1112" s="13">
        <v>1.3347979784011801</v>
      </c>
      <c r="BC1112" s="4"/>
      <c r="BD1112" s="4">
        <v>10</v>
      </c>
      <c r="BE1112" s="4" t="s">
        <v>134</v>
      </c>
      <c r="BF1112" s="13">
        <v>0.74900001287460305</v>
      </c>
      <c r="BG1112" s="4">
        <v>635.5</v>
      </c>
      <c r="BH1112" s="13">
        <v>0.30199998617172202</v>
      </c>
      <c r="BI1112" s="13">
        <v>191.89300537109401</v>
      </c>
      <c r="BJ1112" s="4"/>
      <c r="BK1112" s="14">
        <v>11</v>
      </c>
      <c r="BL1112" s="14">
        <v>13</v>
      </c>
      <c r="BM1112" s="14">
        <v>13</v>
      </c>
      <c r="BP1112" s="15"/>
      <c r="BQ1112" s="15"/>
      <c r="BR1112" s="2" t="s">
        <v>239</v>
      </c>
      <c r="BS1112" s="2" t="s">
        <v>791</v>
      </c>
      <c r="BT1112" s="7" t="s">
        <v>241</v>
      </c>
      <c r="BU1112" s="7"/>
      <c r="BV1112" s="9" t="s">
        <v>98</v>
      </c>
      <c r="BW1112" s="9" t="s">
        <v>109</v>
      </c>
    </row>
    <row r="1113" spans="1:75" ht="14.25" customHeight="1" x14ac:dyDescent="0.25">
      <c r="A1113" s="1">
        <v>1982</v>
      </c>
      <c r="B1113" s="1" t="s">
        <v>4597</v>
      </c>
      <c r="C1113" s="1" t="s">
        <v>4598</v>
      </c>
      <c r="D1113" s="1" t="s">
        <v>77</v>
      </c>
      <c r="E1113" s="1" t="s">
        <v>2396</v>
      </c>
      <c r="F1113" s="1" t="s">
        <v>4591</v>
      </c>
      <c r="G1113" s="1" t="s">
        <v>118</v>
      </c>
      <c r="H1113" s="2">
        <v>1</v>
      </c>
      <c r="I1113" s="2">
        <v>1</v>
      </c>
      <c r="J1113" s="2">
        <v>1</v>
      </c>
      <c r="K1113" s="2">
        <v>1</v>
      </c>
      <c r="L1113" s="3" t="s">
        <v>127</v>
      </c>
      <c r="O1113" s="4">
        <v>4</v>
      </c>
      <c r="P1113" s="4" t="s">
        <v>424</v>
      </c>
      <c r="Q1113" s="4"/>
      <c r="R1113" s="16">
        <v>450000</v>
      </c>
      <c r="S1113" s="6">
        <v>450000</v>
      </c>
      <c r="T1113" s="16">
        <v>450000</v>
      </c>
      <c r="U1113" s="6">
        <v>450000</v>
      </c>
      <c r="V1113" s="4">
        <v>2010.5</v>
      </c>
      <c r="W1113" s="4" t="s">
        <v>425</v>
      </c>
      <c r="X1113" s="4"/>
      <c r="Y1113" s="7">
        <v>2</v>
      </c>
      <c r="Z1113" s="8">
        <v>2410070</v>
      </c>
      <c r="AA1113" s="7" t="s">
        <v>92</v>
      </c>
      <c r="AB1113" s="7"/>
      <c r="AC1113" s="9">
        <v>2</v>
      </c>
      <c r="AD1113" s="10">
        <v>1729490</v>
      </c>
      <c r="AE1113" s="9" t="s">
        <v>92</v>
      </c>
      <c r="AF1113" s="9"/>
      <c r="AG1113" s="11">
        <v>3</v>
      </c>
      <c r="AH1113" s="11" t="s">
        <v>131</v>
      </c>
      <c r="AI1113" s="11" t="s">
        <v>4599</v>
      </c>
      <c r="AJ1113" s="11">
        <v>2</v>
      </c>
      <c r="AK1113" s="11" t="s">
        <v>132</v>
      </c>
      <c r="AL1113" s="12">
        <v>4</v>
      </c>
      <c r="AM1113" s="12" t="s">
        <v>131</v>
      </c>
      <c r="AN1113" s="12"/>
      <c r="AO1113" s="12">
        <v>3</v>
      </c>
      <c r="AP1113" s="12" t="s">
        <v>143</v>
      </c>
      <c r="AQ1113" s="4">
        <v>1</v>
      </c>
      <c r="AR1113" s="4" t="s">
        <v>133</v>
      </c>
      <c r="AS1113" s="4"/>
      <c r="AT1113" s="13">
        <v>36.510086059570298</v>
      </c>
      <c r="AU1113" s="13">
        <v>0.61189061403274503</v>
      </c>
      <c r="AV1113" s="13">
        <v>0.36899998784065202</v>
      </c>
      <c r="AW1113" s="13">
        <v>0.92599999904632602</v>
      </c>
      <c r="AX1113" s="4">
        <v>1</v>
      </c>
      <c r="AY1113" s="13">
        <v>16.734979629516602</v>
      </c>
      <c r="AZ1113" s="13">
        <v>1.5606274604797401</v>
      </c>
      <c r="BA1113" s="13">
        <v>0.79489898681640603</v>
      </c>
      <c r="BB1113" s="13">
        <v>2.6500000953674299</v>
      </c>
      <c r="BC1113" s="4">
        <v>1</v>
      </c>
      <c r="BD1113" s="4">
        <v>10</v>
      </c>
      <c r="BE1113" s="4" t="s">
        <v>134</v>
      </c>
      <c r="BF1113" s="13">
        <v>0.55699998140335105</v>
      </c>
      <c r="BG1113" s="4">
        <v>1001</v>
      </c>
      <c r="BH1113" s="13">
        <v>0.23700000345706901</v>
      </c>
      <c r="BI1113" s="13">
        <v>237.23699951171901</v>
      </c>
      <c r="BJ1113" s="4"/>
      <c r="BK1113" s="14">
        <v>10</v>
      </c>
      <c r="BL1113" s="14">
        <v>11</v>
      </c>
      <c r="BM1113" s="14">
        <v>11</v>
      </c>
      <c r="BP1113" s="15"/>
      <c r="BQ1113" s="15"/>
      <c r="BR1113" s="2" t="s">
        <v>239</v>
      </c>
      <c r="BS1113" s="2" t="s">
        <v>97</v>
      </c>
      <c r="BT1113" s="7" t="s">
        <v>212</v>
      </c>
      <c r="BU1113" s="7" t="s">
        <v>241</v>
      </c>
      <c r="BV1113" s="9" t="s">
        <v>212</v>
      </c>
      <c r="BW1113" s="9" t="s">
        <v>88</v>
      </c>
    </row>
    <row r="1114" spans="1:75" ht="14.25" customHeight="1" x14ac:dyDescent="0.25">
      <c r="A1114" s="1">
        <v>1983</v>
      </c>
      <c r="B1114" s="1" t="s">
        <v>4600</v>
      </c>
      <c r="C1114" s="1" t="s">
        <v>4601</v>
      </c>
      <c r="D1114" s="1" t="s">
        <v>77</v>
      </c>
      <c r="E1114" s="1" t="s">
        <v>2396</v>
      </c>
      <c r="F1114" s="1" t="s">
        <v>4591</v>
      </c>
      <c r="G1114" s="1" t="s">
        <v>118</v>
      </c>
      <c r="H1114" s="2">
        <v>1</v>
      </c>
      <c r="I1114" s="2">
        <v>1</v>
      </c>
      <c r="J1114" s="2">
        <v>1</v>
      </c>
      <c r="K1114" s="2">
        <v>1</v>
      </c>
      <c r="L1114" s="3" t="s">
        <v>127</v>
      </c>
      <c r="O1114" s="4">
        <v>2</v>
      </c>
      <c r="P1114" s="4" t="s">
        <v>2683</v>
      </c>
      <c r="Q1114" s="4"/>
      <c r="R1114" s="16">
        <v>17000000</v>
      </c>
      <c r="S1114" s="6">
        <v>17000000</v>
      </c>
      <c r="T1114" s="16">
        <v>17000000</v>
      </c>
      <c r="U1114" s="6">
        <v>17000000</v>
      </c>
      <c r="V1114" s="4">
        <v>2010.5</v>
      </c>
      <c r="W1114" s="4" t="s">
        <v>1919</v>
      </c>
      <c r="X1114" s="4"/>
      <c r="Y1114" s="7">
        <v>1</v>
      </c>
      <c r="Z1114" s="8">
        <v>7567023</v>
      </c>
      <c r="AA1114" s="7" t="s">
        <v>92</v>
      </c>
      <c r="AB1114" s="7"/>
      <c r="AC1114" s="9">
        <v>2</v>
      </c>
      <c r="AD1114" s="10">
        <v>3409915</v>
      </c>
      <c r="AE1114" s="9" t="s">
        <v>92</v>
      </c>
      <c r="AF1114" s="9"/>
      <c r="AG1114" s="11">
        <v>3</v>
      </c>
      <c r="AH1114" s="11" t="s">
        <v>131</v>
      </c>
      <c r="AI1114" s="11"/>
      <c r="AJ1114" s="11">
        <v>3</v>
      </c>
      <c r="AK1114" s="11" t="s">
        <v>143</v>
      </c>
      <c r="AL1114" s="12">
        <v>3</v>
      </c>
      <c r="AM1114" s="12" t="s">
        <v>131</v>
      </c>
      <c r="AN1114" s="12" t="s">
        <v>4602</v>
      </c>
      <c r="AO1114" s="12">
        <v>2</v>
      </c>
      <c r="AP1114" s="12" t="s">
        <v>143</v>
      </c>
      <c r="AQ1114" s="4">
        <v>1</v>
      </c>
      <c r="AR1114" s="4" t="s">
        <v>133</v>
      </c>
      <c r="AS1114" s="4"/>
      <c r="AT1114" s="13">
        <v>51.179580688476598</v>
      </c>
      <c r="AU1114" s="13">
        <v>0.81409674882888805</v>
      </c>
      <c r="AV1114" s="13">
        <v>-0.116999998688698</v>
      </c>
      <c r="AW1114" s="13">
        <v>1.79999995231628</v>
      </c>
      <c r="AX1114" s="4"/>
      <c r="AY1114" s="13">
        <v>9.0841455459594709</v>
      </c>
      <c r="AZ1114" s="13">
        <v>0.87339496612548795</v>
      </c>
      <c r="BA1114" s="13">
        <v>-2.3499999046325701</v>
      </c>
      <c r="BB1114" s="13">
        <v>3.3599998950958301</v>
      </c>
      <c r="BC1114" s="4"/>
      <c r="BD1114" s="4">
        <v>10</v>
      </c>
      <c r="BE1114" s="4" t="s">
        <v>134</v>
      </c>
      <c r="BF1114" s="13">
        <v>1.9170000553131099</v>
      </c>
      <c r="BG1114" s="4">
        <v>1357.5</v>
      </c>
      <c r="BH1114" s="13">
        <v>3.3050000667571999</v>
      </c>
      <c r="BI1114" s="13">
        <v>4502.1298828125</v>
      </c>
      <c r="BJ1114" s="4"/>
      <c r="BK1114" s="14">
        <v>7</v>
      </c>
      <c r="BL1114" s="14">
        <v>8</v>
      </c>
      <c r="BM1114" s="14">
        <v>8</v>
      </c>
      <c r="BP1114" s="15"/>
      <c r="BQ1114" s="15"/>
      <c r="BR1114" s="2" t="s">
        <v>211</v>
      </c>
      <c r="BS1114" s="2" t="s">
        <v>97</v>
      </c>
      <c r="BT1114" s="7" t="s">
        <v>527</v>
      </c>
      <c r="BU1114" s="7" t="s">
        <v>241</v>
      </c>
      <c r="BV1114" s="9" t="s">
        <v>623</v>
      </c>
      <c r="BW1114" s="9" t="s">
        <v>240</v>
      </c>
    </row>
    <row r="1115" spans="1:75" ht="14.25" customHeight="1" x14ac:dyDescent="0.25">
      <c r="A1115" s="1">
        <v>1985</v>
      </c>
      <c r="B1115" s="1" t="s">
        <v>4603</v>
      </c>
      <c r="C1115" s="1" t="s">
        <v>4604</v>
      </c>
      <c r="D1115" s="1" t="s">
        <v>77</v>
      </c>
      <c r="E1115" s="1" t="s">
        <v>2396</v>
      </c>
      <c r="F1115" s="1" t="s">
        <v>4591</v>
      </c>
      <c r="G1115" s="1" t="s">
        <v>118</v>
      </c>
      <c r="H1115" s="2">
        <v>1</v>
      </c>
      <c r="I1115" s="2">
        <v>1</v>
      </c>
      <c r="J1115" s="2">
        <v>1</v>
      </c>
      <c r="K1115" s="2">
        <v>1</v>
      </c>
      <c r="L1115" s="3" t="s">
        <v>127</v>
      </c>
      <c r="O1115" s="4">
        <v>4</v>
      </c>
      <c r="P1115" s="4" t="s">
        <v>425</v>
      </c>
      <c r="Q1115" s="4" t="s">
        <v>763</v>
      </c>
      <c r="R1115" s="16">
        <v>390000</v>
      </c>
      <c r="S1115" s="6">
        <v>390000</v>
      </c>
      <c r="T1115" s="16">
        <v>390000</v>
      </c>
      <c r="U1115" s="6">
        <v>390000</v>
      </c>
      <c r="V1115" s="4">
        <v>2010.5</v>
      </c>
      <c r="W1115" s="4" t="s">
        <v>425</v>
      </c>
      <c r="X1115" s="4"/>
      <c r="Y1115" s="7">
        <v>2</v>
      </c>
      <c r="Z1115" s="8">
        <v>1392211</v>
      </c>
      <c r="AA1115" s="7" t="s">
        <v>92</v>
      </c>
      <c r="AB1115" s="7"/>
      <c r="AC1115" s="9">
        <v>3</v>
      </c>
      <c r="AD1115" s="10">
        <v>944931</v>
      </c>
      <c r="AE1115" s="9" t="s">
        <v>92</v>
      </c>
      <c r="AF1115" s="9" t="s">
        <v>3958</v>
      </c>
      <c r="AG1115" s="11">
        <v>4</v>
      </c>
      <c r="AH1115" s="11" t="s">
        <v>131</v>
      </c>
      <c r="AI1115" s="11" t="s">
        <v>4605</v>
      </c>
      <c r="AJ1115" s="11">
        <v>3</v>
      </c>
      <c r="AK1115" s="11" t="s">
        <v>143</v>
      </c>
      <c r="AL1115" s="12">
        <v>4</v>
      </c>
      <c r="AM1115" s="12" t="s">
        <v>271</v>
      </c>
      <c r="AN1115" s="12" t="s">
        <v>4606</v>
      </c>
      <c r="AO1115" s="12"/>
      <c r="AP1115" s="12"/>
      <c r="AQ1115" s="4">
        <v>4</v>
      </c>
      <c r="AR1115" s="4" t="s">
        <v>133</v>
      </c>
      <c r="AS1115" s="4"/>
      <c r="AT1115" s="13">
        <v>-61.837722778320298</v>
      </c>
      <c r="AU1115" s="13">
        <v>-1.8739992380142201</v>
      </c>
      <c r="AV1115" s="13">
        <v>-2.4200000762939502</v>
      </c>
      <c r="AW1115" s="13">
        <v>-1.37000000476837</v>
      </c>
      <c r="AX1115" s="4">
        <v>1</v>
      </c>
      <c r="AY1115" s="13">
        <v>13.847149848938001</v>
      </c>
      <c r="AZ1115" s="13">
        <v>1.3054739236831701</v>
      </c>
      <c r="BA1115" s="13">
        <v>-1.0900000333786</v>
      </c>
      <c r="BB1115" s="13">
        <v>3.5899999141693102</v>
      </c>
      <c r="BC1115" s="4"/>
      <c r="BD1115" s="4">
        <v>10</v>
      </c>
      <c r="BE1115" s="4" t="s">
        <v>134</v>
      </c>
      <c r="BF1115" s="13">
        <v>1.04999995231628</v>
      </c>
      <c r="BG1115" s="4">
        <v>432.5</v>
      </c>
      <c r="BH1115" s="13">
        <v>0.30649998784065202</v>
      </c>
      <c r="BI1115" s="13">
        <v>132.50050354003901</v>
      </c>
      <c r="BJ1115" s="4"/>
      <c r="BK1115" s="14">
        <v>14</v>
      </c>
      <c r="BL1115" s="14">
        <v>15</v>
      </c>
      <c r="BM1115" s="14">
        <v>15</v>
      </c>
      <c r="BN1115" s="3" t="s">
        <v>113</v>
      </c>
      <c r="BO1115" s="3" t="s">
        <v>120</v>
      </c>
      <c r="BP1115" s="15"/>
      <c r="BQ1115" s="15"/>
      <c r="BR1115" s="2" t="s">
        <v>211</v>
      </c>
      <c r="BS1115" s="2" t="s">
        <v>87</v>
      </c>
      <c r="BT1115" s="7" t="s">
        <v>241</v>
      </c>
      <c r="BU1115" s="7"/>
      <c r="BV1115" s="9" t="s">
        <v>88</v>
      </c>
      <c r="BW1115" s="9"/>
    </row>
    <row r="1116" spans="1:75" ht="14.25" customHeight="1" x14ac:dyDescent="0.25">
      <c r="A1116" s="1">
        <v>1986</v>
      </c>
      <c r="B1116" s="1" t="s">
        <v>4607</v>
      </c>
      <c r="C1116" s="1" t="s">
        <v>4608</v>
      </c>
      <c r="D1116" s="1" t="s">
        <v>77</v>
      </c>
      <c r="E1116" s="1" t="s">
        <v>2396</v>
      </c>
      <c r="F1116" s="1" t="s">
        <v>4591</v>
      </c>
      <c r="G1116" s="1" t="s">
        <v>118</v>
      </c>
      <c r="H1116" s="2">
        <v>1</v>
      </c>
      <c r="I1116" s="2">
        <v>1</v>
      </c>
      <c r="J1116" s="2">
        <v>1</v>
      </c>
      <c r="K1116" s="2">
        <v>1</v>
      </c>
      <c r="L1116" s="3" t="s">
        <v>127</v>
      </c>
      <c r="O1116" s="4">
        <v>3</v>
      </c>
      <c r="P1116" s="4" t="s">
        <v>425</v>
      </c>
      <c r="Q1116" s="4" t="s">
        <v>4609</v>
      </c>
      <c r="R1116" s="16">
        <v>680000</v>
      </c>
      <c r="S1116" s="6">
        <v>680000</v>
      </c>
      <c r="T1116" s="16">
        <v>680000</v>
      </c>
      <c r="U1116" s="6">
        <v>680000</v>
      </c>
      <c r="V1116" s="4">
        <v>2010.5</v>
      </c>
      <c r="W1116" s="4" t="s">
        <v>425</v>
      </c>
      <c r="X1116" s="4"/>
      <c r="Y1116" s="7">
        <v>2</v>
      </c>
      <c r="Z1116" s="8">
        <v>1782709</v>
      </c>
      <c r="AA1116" s="7" t="s">
        <v>92</v>
      </c>
      <c r="AB1116" s="7"/>
      <c r="AC1116" s="9">
        <v>3</v>
      </c>
      <c r="AD1116" s="10">
        <v>758936</v>
      </c>
      <c r="AE1116" s="9" t="s">
        <v>92</v>
      </c>
      <c r="AF1116" s="9"/>
      <c r="AG1116" s="11">
        <v>3</v>
      </c>
      <c r="AH1116" s="11" t="s">
        <v>131</v>
      </c>
      <c r="AI1116" s="11"/>
      <c r="AJ1116" s="11">
        <v>3</v>
      </c>
      <c r="AK1116" s="11" t="s">
        <v>143</v>
      </c>
      <c r="AL1116" s="12">
        <v>4</v>
      </c>
      <c r="AM1116" s="12" t="s">
        <v>131</v>
      </c>
      <c r="AN1116" s="12"/>
      <c r="AO1116" s="12">
        <v>5</v>
      </c>
      <c r="AP1116" s="12" t="s">
        <v>132</v>
      </c>
      <c r="AQ1116" s="4">
        <v>4</v>
      </c>
      <c r="AR1116" s="4" t="s">
        <v>133</v>
      </c>
      <c r="AS1116" s="4"/>
      <c r="AT1116" s="13">
        <v>-37.623046875</v>
      </c>
      <c r="AU1116" s="13">
        <v>-0.92164170742034901</v>
      </c>
      <c r="AV1116" s="13">
        <v>-1.51969802379608</v>
      </c>
      <c r="AW1116" s="13">
        <v>-0.221000000834465</v>
      </c>
      <c r="AX1116" s="4">
        <v>1</v>
      </c>
      <c r="AY1116" s="13">
        <v>-10.8077144622803</v>
      </c>
      <c r="AZ1116" s="13">
        <v>-1.1359338760376001</v>
      </c>
      <c r="BA1116" s="13">
        <v>-2.9200000762939502</v>
      </c>
      <c r="BB1116" s="13">
        <v>0.33249899744987499</v>
      </c>
      <c r="BC1116" s="4"/>
      <c r="BD1116" s="4">
        <v>10</v>
      </c>
      <c r="BE1116" s="4" t="s">
        <v>134</v>
      </c>
      <c r="BF1116" s="13">
        <v>1.2986979484558101</v>
      </c>
      <c r="BG1116" s="4">
        <v>724</v>
      </c>
      <c r="BH1116" s="13">
        <v>0.423000007867813</v>
      </c>
      <c r="BI1116" s="13">
        <v>306.29901123046898</v>
      </c>
      <c r="BJ1116" s="4"/>
      <c r="BK1116" s="14">
        <v>12</v>
      </c>
      <c r="BL1116" s="14">
        <v>14</v>
      </c>
      <c r="BM1116" s="14">
        <v>14</v>
      </c>
      <c r="BN1116" s="3" t="s">
        <v>86</v>
      </c>
      <c r="BP1116" s="15"/>
      <c r="BQ1116" s="15"/>
      <c r="BR1116" s="2" t="s">
        <v>239</v>
      </c>
      <c r="BS1116" s="2" t="s">
        <v>115</v>
      </c>
      <c r="BT1116" s="7" t="s">
        <v>241</v>
      </c>
      <c r="BU1116" s="7"/>
      <c r="BV1116" s="9" t="s">
        <v>98</v>
      </c>
      <c r="BW1116" s="9" t="s">
        <v>109</v>
      </c>
    </row>
    <row r="1117" spans="1:75" ht="14.25" customHeight="1" x14ac:dyDescent="0.25">
      <c r="A1117" s="1">
        <v>1987</v>
      </c>
      <c r="B1117" s="1" t="s">
        <v>4610</v>
      </c>
      <c r="C1117" s="1" t="s">
        <v>4611</v>
      </c>
      <c r="D1117" s="1" t="s">
        <v>77</v>
      </c>
      <c r="E1117" s="1" t="s">
        <v>2396</v>
      </c>
      <c r="F1117" s="1" t="s">
        <v>4591</v>
      </c>
      <c r="G1117" s="1" t="s">
        <v>118</v>
      </c>
      <c r="H1117" s="2">
        <v>1</v>
      </c>
      <c r="I1117" s="2">
        <v>1</v>
      </c>
      <c r="J1117" s="2">
        <v>1</v>
      </c>
      <c r="K1117" s="2">
        <v>1</v>
      </c>
      <c r="L1117" s="3" t="s">
        <v>127</v>
      </c>
      <c r="O1117" s="4">
        <v>2</v>
      </c>
      <c r="P1117" s="4" t="s">
        <v>579</v>
      </c>
      <c r="Q1117" s="4"/>
      <c r="R1117" s="16">
        <v>18000000</v>
      </c>
      <c r="S1117" s="6">
        <v>18000000</v>
      </c>
      <c r="T1117" s="16">
        <v>18000000</v>
      </c>
      <c r="U1117" s="6">
        <v>18000000</v>
      </c>
      <c r="V1117" s="4">
        <v>2010.5</v>
      </c>
      <c r="W1117" s="4" t="s">
        <v>579</v>
      </c>
      <c r="X1117" s="4"/>
      <c r="Y1117" s="7">
        <v>1</v>
      </c>
      <c r="Z1117" s="8">
        <v>5369441</v>
      </c>
      <c r="AA1117" s="7" t="s">
        <v>92</v>
      </c>
      <c r="AB1117" s="7"/>
      <c r="AC1117" s="9">
        <v>2</v>
      </c>
      <c r="AD1117" s="10">
        <v>3243152</v>
      </c>
      <c r="AE1117" s="9" t="s">
        <v>92</v>
      </c>
      <c r="AF1117" s="9"/>
      <c r="AG1117" s="11">
        <v>3</v>
      </c>
      <c r="AH1117" s="11" t="s">
        <v>131</v>
      </c>
      <c r="AI1117" s="11"/>
      <c r="AJ1117" s="11">
        <v>3</v>
      </c>
      <c r="AK1117" s="11" t="s">
        <v>132</v>
      </c>
      <c r="AL1117" s="12">
        <v>3</v>
      </c>
      <c r="AM1117" s="12" t="s">
        <v>131</v>
      </c>
      <c r="AN1117" s="12" t="s">
        <v>4612</v>
      </c>
      <c r="AO1117" s="12">
        <v>2</v>
      </c>
      <c r="AP1117" s="12" t="s">
        <v>143</v>
      </c>
      <c r="AQ1117" s="4">
        <v>2</v>
      </c>
      <c r="AR1117" s="4" t="s">
        <v>133</v>
      </c>
      <c r="AS1117" s="4"/>
      <c r="AT1117" s="13">
        <v>-22.169635772705099</v>
      </c>
      <c r="AU1117" s="13">
        <v>-0.49008786678314198</v>
      </c>
      <c r="AV1117" s="13">
        <v>-0.98119997978210405</v>
      </c>
      <c r="AW1117" s="13">
        <v>0.158000007271767</v>
      </c>
      <c r="AX1117" s="4"/>
      <c r="AY1117" s="13">
        <v>2.1498680114746098</v>
      </c>
      <c r="AZ1117" s="13">
        <v>0.212895482778549</v>
      </c>
      <c r="BA1117" s="13">
        <v>-0.81599998474121105</v>
      </c>
      <c r="BB1117" s="13">
        <v>1.17880094051361</v>
      </c>
      <c r="BC1117" s="4"/>
      <c r="BD1117" s="4">
        <v>10</v>
      </c>
      <c r="BE1117" s="4" t="s">
        <v>134</v>
      </c>
      <c r="BF1117" s="13">
        <v>1.13919997215271</v>
      </c>
      <c r="BG1117" s="4">
        <v>1944.5</v>
      </c>
      <c r="BH1117" s="13">
        <v>2.1300001144409202</v>
      </c>
      <c r="BI1117" s="13">
        <v>4136.759765625</v>
      </c>
      <c r="BJ1117" s="4"/>
      <c r="BK1117" s="14">
        <v>8</v>
      </c>
      <c r="BL1117" s="14">
        <v>9</v>
      </c>
      <c r="BM1117" s="14">
        <v>9</v>
      </c>
      <c r="BP1117" s="15"/>
      <c r="BQ1117" s="15"/>
      <c r="BR1117" s="2" t="s">
        <v>211</v>
      </c>
      <c r="BS1117" s="2" t="s">
        <v>97</v>
      </c>
      <c r="BT1117" s="7" t="s">
        <v>241</v>
      </c>
      <c r="BU1117" s="7" t="s">
        <v>527</v>
      </c>
      <c r="BV1117" s="9" t="s">
        <v>797</v>
      </c>
      <c r="BW1117" s="9" t="s">
        <v>623</v>
      </c>
    </row>
    <row r="1118" spans="1:75" ht="14.25" customHeight="1" x14ac:dyDescent="0.25">
      <c r="A1118" s="1">
        <v>1988</v>
      </c>
      <c r="B1118" s="1" t="s">
        <v>4613</v>
      </c>
      <c r="C1118" s="1" t="s">
        <v>4614</v>
      </c>
      <c r="D1118" s="1" t="s">
        <v>77</v>
      </c>
      <c r="E1118" s="1" t="s">
        <v>2396</v>
      </c>
      <c r="F1118" s="1" t="s">
        <v>4591</v>
      </c>
      <c r="G1118" s="1" t="s">
        <v>118</v>
      </c>
      <c r="H1118" s="2">
        <v>1</v>
      </c>
      <c r="I1118" s="2">
        <v>1</v>
      </c>
      <c r="J1118" s="2">
        <v>1</v>
      </c>
      <c r="K1118" s="2">
        <v>1</v>
      </c>
      <c r="L1118" s="3" t="s">
        <v>127</v>
      </c>
      <c r="O1118" s="4">
        <v>3</v>
      </c>
      <c r="P1118" s="4" t="s">
        <v>424</v>
      </c>
      <c r="Q1118" s="4"/>
      <c r="R1118" s="16">
        <v>2100000</v>
      </c>
      <c r="S1118" s="6">
        <v>2100000</v>
      </c>
      <c r="T1118" s="16">
        <v>2100000</v>
      </c>
      <c r="U1118" s="6">
        <v>2100000</v>
      </c>
      <c r="V1118" s="4">
        <v>2010.5</v>
      </c>
      <c r="W1118" s="4" t="s">
        <v>425</v>
      </c>
      <c r="X1118" s="4"/>
      <c r="Y1118" s="7">
        <v>2</v>
      </c>
      <c r="Z1118" s="8">
        <v>2172187</v>
      </c>
      <c r="AA1118" s="7" t="s">
        <v>92</v>
      </c>
      <c r="AB1118" s="7"/>
      <c r="AC1118" s="9">
        <v>3</v>
      </c>
      <c r="AD1118" s="10">
        <v>838753</v>
      </c>
      <c r="AE1118" s="9" t="s">
        <v>92</v>
      </c>
      <c r="AF1118" s="9" t="s">
        <v>4615</v>
      </c>
      <c r="AG1118" s="11">
        <v>3</v>
      </c>
      <c r="AH1118" s="11" t="s">
        <v>131</v>
      </c>
      <c r="AI1118" s="11"/>
      <c r="AJ1118" s="11">
        <v>2</v>
      </c>
      <c r="AK1118" s="11" t="s">
        <v>132</v>
      </c>
      <c r="AL1118" s="12">
        <v>4</v>
      </c>
      <c r="AM1118" s="12" t="s">
        <v>271</v>
      </c>
      <c r="AN1118" s="12"/>
      <c r="AO1118" s="12"/>
      <c r="AP1118" s="12"/>
      <c r="AQ1118" s="4">
        <v>4</v>
      </c>
      <c r="AR1118" s="4" t="s">
        <v>133</v>
      </c>
      <c r="AS1118" s="4"/>
      <c r="AT1118" s="13">
        <v>-39.917423248291001</v>
      </c>
      <c r="AU1118" s="13">
        <v>-0.99409854412078902</v>
      </c>
      <c r="AV1118" s="13">
        <v>-1.3738989830017101</v>
      </c>
      <c r="AW1118" s="13">
        <v>-0.55000001192092896</v>
      </c>
      <c r="AX1118" s="4">
        <v>1</v>
      </c>
      <c r="AY1118" s="13">
        <v>-0.98298281431198098</v>
      </c>
      <c r="AZ1118" s="13">
        <v>-9.8758526146411896E-2</v>
      </c>
      <c r="BA1118" s="13">
        <v>-1.21000003814697</v>
      </c>
      <c r="BB1118" s="13">
        <v>0.88899999856948897</v>
      </c>
      <c r="BC1118" s="4"/>
      <c r="BD1118" s="4">
        <v>10</v>
      </c>
      <c r="BE1118" s="4" t="s">
        <v>134</v>
      </c>
      <c r="BF1118" s="13">
        <v>0.82389897108078003</v>
      </c>
      <c r="BG1118" s="4">
        <v>755.5</v>
      </c>
      <c r="BH1118" s="13">
        <v>0.95399999618530296</v>
      </c>
      <c r="BI1118" s="13">
        <v>720.73400878906295</v>
      </c>
      <c r="BJ1118" s="4"/>
      <c r="BK1118" s="14">
        <v>12</v>
      </c>
      <c r="BL1118" s="14">
        <v>14</v>
      </c>
      <c r="BM1118" s="14">
        <v>14</v>
      </c>
      <c r="BN1118" s="3" t="s">
        <v>86</v>
      </c>
      <c r="BP1118" s="15"/>
      <c r="BQ1118" s="15"/>
      <c r="BR1118" s="2" t="s">
        <v>239</v>
      </c>
      <c r="BS1118" s="2" t="s">
        <v>115</v>
      </c>
      <c r="BT1118" s="7" t="s">
        <v>240</v>
      </c>
      <c r="BU1118" s="7" t="s">
        <v>241</v>
      </c>
      <c r="BV1118" s="9" t="s">
        <v>623</v>
      </c>
      <c r="BW1118" s="9" t="s">
        <v>109</v>
      </c>
    </row>
    <row r="1119" spans="1:75" ht="14.25" customHeight="1" x14ac:dyDescent="0.25">
      <c r="A1119" s="1">
        <v>1989</v>
      </c>
      <c r="B1119" s="1" t="s">
        <v>4616</v>
      </c>
      <c r="C1119" s="1" t="s">
        <v>4617</v>
      </c>
      <c r="D1119" s="1" t="s">
        <v>77</v>
      </c>
      <c r="E1119" s="1" t="s">
        <v>2396</v>
      </c>
      <c r="F1119" s="1" t="s">
        <v>4591</v>
      </c>
      <c r="G1119" s="1" t="s">
        <v>118</v>
      </c>
      <c r="H1119" s="2">
        <v>0</v>
      </c>
      <c r="I1119" s="2">
        <v>1</v>
      </c>
      <c r="J1119" s="2">
        <v>1</v>
      </c>
      <c r="K1119" s="2">
        <v>1</v>
      </c>
      <c r="L1119" s="3" t="s">
        <v>127</v>
      </c>
      <c r="O1119" s="4">
        <v>4</v>
      </c>
      <c r="P1119" s="4" t="s">
        <v>425</v>
      </c>
      <c r="Q1119" s="4"/>
      <c r="R1119" s="16">
        <v>160000</v>
      </c>
      <c r="S1119" s="6">
        <v>160000</v>
      </c>
      <c r="T1119" s="16">
        <v>160000</v>
      </c>
      <c r="U1119" s="6">
        <v>160000</v>
      </c>
      <c r="V1119" s="4">
        <v>2010.5</v>
      </c>
      <c r="W1119" s="4" t="s">
        <v>425</v>
      </c>
      <c r="X1119" s="4"/>
      <c r="Y1119" s="7">
        <v>2</v>
      </c>
      <c r="Z1119" s="8">
        <v>1142783</v>
      </c>
      <c r="AA1119" s="7" t="s">
        <v>92</v>
      </c>
      <c r="AB1119" s="7"/>
      <c r="AC1119" s="9">
        <v>4</v>
      </c>
      <c r="AD1119" s="10">
        <v>287048</v>
      </c>
      <c r="AE1119" s="9" t="s">
        <v>92</v>
      </c>
      <c r="AF1119" s="9" t="s">
        <v>4618</v>
      </c>
      <c r="AG1119" s="11">
        <v>3</v>
      </c>
      <c r="AH1119" s="11" t="s">
        <v>518</v>
      </c>
      <c r="AI1119" s="11" t="s">
        <v>519</v>
      </c>
      <c r="AJ1119" s="11">
        <v>2</v>
      </c>
      <c r="AK1119" s="11" t="s">
        <v>143</v>
      </c>
      <c r="AL1119" s="12">
        <v>4</v>
      </c>
      <c r="AM1119" s="12" t="s">
        <v>271</v>
      </c>
      <c r="AN1119" s="12" t="s">
        <v>4619</v>
      </c>
      <c r="AO1119" s="12"/>
      <c r="AP1119" s="12"/>
      <c r="AQ1119" s="4">
        <v>1</v>
      </c>
      <c r="AR1119" s="4" t="s">
        <v>133</v>
      </c>
      <c r="AS1119" s="4"/>
      <c r="AT1119" s="13">
        <v>271.67813110351602</v>
      </c>
      <c r="AU1119" s="13">
        <v>2.6093235015869101</v>
      </c>
      <c r="AV1119" s="13">
        <v>1.63840103149414</v>
      </c>
      <c r="AW1119" s="13">
        <v>3.9200000762939502</v>
      </c>
      <c r="AX1119" s="4">
        <v>1</v>
      </c>
      <c r="AY1119" s="13">
        <v>91.598449707031307</v>
      </c>
      <c r="AZ1119" s="13">
        <v>6.7205796241760298</v>
      </c>
      <c r="BA1119" s="13">
        <v>4.7800002098083496</v>
      </c>
      <c r="BB1119" s="13">
        <v>9.2600002288818395</v>
      </c>
      <c r="BC1119" s="4">
        <v>1</v>
      </c>
      <c r="BD1119" s="4">
        <v>10</v>
      </c>
      <c r="BE1119" s="4" t="s">
        <v>134</v>
      </c>
      <c r="BF1119" s="13">
        <v>2.2815990447997998</v>
      </c>
      <c r="BG1119" s="4">
        <v>319.5</v>
      </c>
      <c r="BH1119" s="13">
        <v>0.125499993562698</v>
      </c>
      <c r="BI1119" s="13">
        <v>40.058998107910199</v>
      </c>
      <c r="BJ1119" s="4"/>
      <c r="BK1119" s="14">
        <v>10</v>
      </c>
      <c r="BL1119" s="14">
        <v>13</v>
      </c>
      <c r="BM1119" s="14">
        <v>13</v>
      </c>
      <c r="BP1119" s="15"/>
      <c r="BQ1119" s="15"/>
      <c r="BR1119" s="2" t="s">
        <v>239</v>
      </c>
      <c r="BS1119" s="2" t="s">
        <v>791</v>
      </c>
      <c r="BT1119" s="7" t="s">
        <v>241</v>
      </c>
      <c r="BU1119" s="7"/>
      <c r="BV1119" s="9" t="s">
        <v>98</v>
      </c>
      <c r="BW1119" s="9" t="s">
        <v>109</v>
      </c>
    </row>
    <row r="1120" spans="1:75" ht="14.25" customHeight="1" x14ac:dyDescent="0.25">
      <c r="A1120" s="1">
        <v>1990</v>
      </c>
      <c r="B1120" s="1" t="s">
        <v>4620</v>
      </c>
      <c r="C1120" s="1" t="s">
        <v>4621</v>
      </c>
      <c r="D1120" s="1" t="s">
        <v>77</v>
      </c>
      <c r="E1120" s="1" t="s">
        <v>2396</v>
      </c>
      <c r="F1120" s="1" t="s">
        <v>4591</v>
      </c>
      <c r="G1120" s="1"/>
      <c r="H1120" s="2">
        <v>0</v>
      </c>
      <c r="I1120" s="2">
        <v>0</v>
      </c>
      <c r="J1120" s="2">
        <v>1</v>
      </c>
      <c r="K1120" s="2">
        <v>1</v>
      </c>
      <c r="L1120" s="3" t="s">
        <v>80</v>
      </c>
      <c r="O1120" s="4">
        <v>4</v>
      </c>
      <c r="P1120" s="4" t="s">
        <v>112</v>
      </c>
      <c r="Q1120" s="4"/>
      <c r="R1120" s="5"/>
      <c r="S1120" s="6"/>
      <c r="T1120" s="17"/>
      <c r="U1120" s="6"/>
      <c r="V1120" s="4"/>
      <c r="W1120" s="4"/>
      <c r="X1120" s="4"/>
      <c r="Y1120" s="7">
        <v>3</v>
      </c>
      <c r="Z1120" s="8">
        <v>404112</v>
      </c>
      <c r="AA1120" s="7" t="s">
        <v>92</v>
      </c>
      <c r="AB1120" s="7"/>
      <c r="AC1120" s="9">
        <v>3</v>
      </c>
      <c r="AD1120" s="10">
        <v>404112</v>
      </c>
      <c r="AE1120" s="9" t="s">
        <v>92</v>
      </c>
      <c r="AF1120" s="9" t="s">
        <v>3958</v>
      </c>
      <c r="AG1120" s="11">
        <v>3</v>
      </c>
      <c r="AH1120" s="11" t="s">
        <v>93</v>
      </c>
      <c r="AI1120" s="11"/>
      <c r="AJ1120" s="11"/>
      <c r="AK1120" s="11"/>
      <c r="AL1120" s="12">
        <v>3</v>
      </c>
      <c r="AM1120" s="12" t="s">
        <v>93</v>
      </c>
      <c r="AN1120" s="12" t="s">
        <v>698</v>
      </c>
      <c r="AO1120" s="12"/>
      <c r="AP1120" s="12"/>
      <c r="AQ1120" s="4">
        <v>3</v>
      </c>
      <c r="AR1120" s="4" t="s">
        <v>83</v>
      </c>
      <c r="AS1120" s="4"/>
      <c r="AT1120" s="13"/>
      <c r="AU1120" s="13"/>
      <c r="AV1120" s="13"/>
      <c r="AW1120" s="13"/>
      <c r="AX1120" s="4"/>
      <c r="AY1120" s="13"/>
      <c r="AZ1120" s="13"/>
      <c r="BA1120" s="13"/>
      <c r="BB1120" s="13"/>
      <c r="BC1120" s="4"/>
      <c r="BD1120" s="4"/>
      <c r="BE1120" s="4"/>
      <c r="BF1120" s="13"/>
      <c r="BG1120" s="4"/>
      <c r="BH1120" s="13"/>
      <c r="BI1120" s="13"/>
      <c r="BJ1120" s="4"/>
      <c r="BK1120" s="14">
        <v>13</v>
      </c>
      <c r="BL1120" s="14">
        <v>13</v>
      </c>
      <c r="BM1120" s="14">
        <v>13</v>
      </c>
      <c r="BP1120" s="15"/>
      <c r="BQ1120" s="15"/>
      <c r="BR1120" s="2" t="s">
        <v>409</v>
      </c>
      <c r="BS1120" s="2" t="s">
        <v>409</v>
      </c>
      <c r="BT1120" s="7" t="s">
        <v>438</v>
      </c>
      <c r="BU1120" s="7" t="s">
        <v>88</v>
      </c>
      <c r="BV1120" s="9" t="s">
        <v>438</v>
      </c>
      <c r="BW1120" s="9" t="s">
        <v>88</v>
      </c>
    </row>
    <row r="1121" spans="1:75" ht="14.25" customHeight="1" x14ac:dyDescent="0.25">
      <c r="A1121" s="1">
        <v>1991</v>
      </c>
      <c r="B1121" s="1" t="s">
        <v>4622</v>
      </c>
      <c r="C1121" s="1" t="s">
        <v>4623</v>
      </c>
      <c r="D1121" s="1" t="s">
        <v>77</v>
      </c>
      <c r="E1121" s="1" t="s">
        <v>2396</v>
      </c>
      <c r="F1121" s="1" t="s">
        <v>4591</v>
      </c>
      <c r="G1121" s="1" t="s">
        <v>118</v>
      </c>
      <c r="H1121" s="2">
        <v>0</v>
      </c>
      <c r="I1121" s="2">
        <v>0</v>
      </c>
      <c r="J1121" s="2">
        <v>0</v>
      </c>
      <c r="K1121" s="2">
        <v>1</v>
      </c>
      <c r="L1121" s="3" t="s">
        <v>80</v>
      </c>
      <c r="O1121" s="4">
        <v>5</v>
      </c>
      <c r="P1121" s="4" t="s">
        <v>81</v>
      </c>
      <c r="Q1121" s="4"/>
      <c r="R1121" s="5"/>
      <c r="S1121" s="6"/>
      <c r="T1121" s="17"/>
      <c r="U1121" s="6"/>
      <c r="V1121" s="4"/>
      <c r="W1121" s="4"/>
      <c r="X1121" s="4"/>
      <c r="Y1121" s="7">
        <v>5</v>
      </c>
      <c r="Z1121" s="8">
        <v>3917</v>
      </c>
      <c r="AA1121" s="7" t="s">
        <v>82</v>
      </c>
      <c r="AB1121" s="7"/>
      <c r="AC1121" s="9">
        <v>5</v>
      </c>
      <c r="AD1121" s="10">
        <v>3917</v>
      </c>
      <c r="AE1121" s="9" t="s">
        <v>82</v>
      </c>
      <c r="AF1121" s="9"/>
      <c r="AG1121" s="11">
        <v>4</v>
      </c>
      <c r="AH1121" s="11" t="s">
        <v>83</v>
      </c>
      <c r="AI1121" s="11"/>
      <c r="AJ1121" s="11"/>
      <c r="AK1121" s="11"/>
      <c r="AL1121" s="12">
        <v>4</v>
      </c>
      <c r="AM1121" s="12" t="s">
        <v>83</v>
      </c>
      <c r="AN1121" s="12"/>
      <c r="AO1121" s="12"/>
      <c r="AP1121" s="12"/>
      <c r="AQ1121" s="4">
        <v>3</v>
      </c>
      <c r="AR1121" s="4" t="s">
        <v>83</v>
      </c>
      <c r="AS1121" s="4"/>
      <c r="AT1121" s="13"/>
      <c r="AU1121" s="13"/>
      <c r="AV1121" s="13"/>
      <c r="AW1121" s="13"/>
      <c r="AX1121" s="4"/>
      <c r="AY1121" s="13"/>
      <c r="AZ1121" s="13"/>
      <c r="BA1121" s="13"/>
      <c r="BB1121" s="13"/>
      <c r="BC1121" s="4"/>
      <c r="BD1121" s="4"/>
      <c r="BE1121" s="4"/>
      <c r="BF1121" s="13"/>
      <c r="BG1121" s="4"/>
      <c r="BH1121" s="13"/>
      <c r="BI1121" s="13"/>
      <c r="BJ1121" s="4"/>
      <c r="BK1121" s="14">
        <v>17</v>
      </c>
      <c r="BL1121" s="14">
        <v>17</v>
      </c>
      <c r="BM1121" s="14">
        <v>17</v>
      </c>
      <c r="BN1121" s="3" t="s">
        <v>312</v>
      </c>
      <c r="BP1121" s="15"/>
      <c r="BQ1121" s="15"/>
      <c r="BR1121" s="2" t="s">
        <v>87</v>
      </c>
      <c r="BS1121" s="2" t="s">
        <v>87</v>
      </c>
      <c r="BT1121" s="7" t="s">
        <v>88</v>
      </c>
      <c r="BU1121" s="7"/>
      <c r="BV1121" s="9" t="s">
        <v>88</v>
      </c>
      <c r="BW1121" s="9"/>
    </row>
    <row r="1122" spans="1:75" ht="14.25" customHeight="1" x14ac:dyDescent="0.25">
      <c r="A1122" s="1">
        <v>1992</v>
      </c>
      <c r="B1122" s="1" t="s">
        <v>4624</v>
      </c>
      <c r="C1122" s="1" t="s">
        <v>4625</v>
      </c>
      <c r="D1122" s="1" t="s">
        <v>77</v>
      </c>
      <c r="E1122" s="1" t="s">
        <v>2396</v>
      </c>
      <c r="F1122" s="1" t="s">
        <v>4591</v>
      </c>
      <c r="G1122" s="1" t="s">
        <v>4626</v>
      </c>
      <c r="H1122" s="2">
        <v>1</v>
      </c>
      <c r="I1122" s="2">
        <v>1</v>
      </c>
      <c r="J1122" s="2">
        <v>1</v>
      </c>
      <c r="K1122" s="2">
        <v>1</v>
      </c>
      <c r="L1122" s="3" t="s">
        <v>127</v>
      </c>
      <c r="O1122" s="4">
        <v>1</v>
      </c>
      <c r="P1122" s="4" t="s">
        <v>2693</v>
      </c>
      <c r="Q1122" s="4"/>
      <c r="R1122" s="16">
        <v>110000000</v>
      </c>
      <c r="S1122" s="6">
        <v>110000000</v>
      </c>
      <c r="T1122" s="16">
        <v>110000000</v>
      </c>
      <c r="U1122" s="6">
        <v>110000000</v>
      </c>
      <c r="V1122" s="4">
        <v>2010.5</v>
      </c>
      <c r="W1122" s="4" t="s">
        <v>579</v>
      </c>
      <c r="X1122" s="4"/>
      <c r="Y1122" s="7">
        <v>1</v>
      </c>
      <c r="Z1122" s="8">
        <v>4755556</v>
      </c>
      <c r="AA1122" s="7" t="s">
        <v>92</v>
      </c>
      <c r="AB1122" s="7"/>
      <c r="AC1122" s="9">
        <v>2</v>
      </c>
      <c r="AD1122" s="10">
        <v>1559936</v>
      </c>
      <c r="AE1122" s="9" t="s">
        <v>92</v>
      </c>
      <c r="AF1122" s="9" t="s">
        <v>3958</v>
      </c>
      <c r="AG1122" s="11">
        <v>3</v>
      </c>
      <c r="AH1122" s="11" t="s">
        <v>518</v>
      </c>
      <c r="AI1122" s="11" t="s">
        <v>4627</v>
      </c>
      <c r="AJ1122" s="11">
        <v>4</v>
      </c>
      <c r="AK1122" s="11" t="s">
        <v>143</v>
      </c>
      <c r="AL1122" s="12">
        <v>4</v>
      </c>
      <c r="AM1122" s="12" t="s">
        <v>131</v>
      </c>
      <c r="AN1122" s="12" t="s">
        <v>4628</v>
      </c>
      <c r="AO1122" s="12">
        <v>4</v>
      </c>
      <c r="AP1122" s="12" t="s">
        <v>132</v>
      </c>
      <c r="AQ1122" s="4">
        <v>3</v>
      </c>
      <c r="AR1122" s="4" t="s">
        <v>133</v>
      </c>
      <c r="AS1122" s="4"/>
      <c r="AT1122" s="13">
        <v>-30.8200492858887</v>
      </c>
      <c r="AU1122" s="13">
        <v>-0.719837665557861</v>
      </c>
      <c r="AV1122" s="13">
        <v>-2.2822020053863499</v>
      </c>
      <c r="AW1122" s="13">
        <v>1.2599999904632599</v>
      </c>
      <c r="AX1122" s="4"/>
      <c r="AY1122" s="13">
        <v>-22.686485290527301</v>
      </c>
      <c r="AZ1122" s="13">
        <v>-2.5408372879028298</v>
      </c>
      <c r="BA1122" s="13">
        <v>-5.4400000572204599</v>
      </c>
      <c r="BB1122" s="13">
        <v>0.86120402812957797</v>
      </c>
      <c r="BC1122" s="4"/>
      <c r="BD1122" s="4">
        <v>10</v>
      </c>
      <c r="BE1122" s="4" t="s">
        <v>134</v>
      </c>
      <c r="BF1122" s="13">
        <v>3.5422019958496098</v>
      </c>
      <c r="BG1122" s="4">
        <v>836</v>
      </c>
      <c r="BH1122" s="13">
        <v>14.3850002288818</v>
      </c>
      <c r="BI1122" s="13">
        <v>11999.009765625</v>
      </c>
      <c r="BJ1122" s="4"/>
      <c r="BK1122" s="14">
        <v>8</v>
      </c>
      <c r="BL1122" s="14">
        <v>10</v>
      </c>
      <c r="BM1122" s="14">
        <v>10</v>
      </c>
      <c r="BP1122" s="15"/>
      <c r="BQ1122" s="15"/>
      <c r="BR1122" s="2" t="s">
        <v>211</v>
      </c>
      <c r="BS1122" s="2" t="s">
        <v>97</v>
      </c>
      <c r="BT1122" s="7" t="s">
        <v>527</v>
      </c>
      <c r="BU1122" s="7"/>
      <c r="BV1122" s="9" t="s">
        <v>797</v>
      </c>
      <c r="BW1122" s="9"/>
    </row>
    <row r="1123" spans="1:75" ht="14.25" customHeight="1" x14ac:dyDescent="0.25">
      <c r="A1123" s="1">
        <v>1993</v>
      </c>
      <c r="B1123" s="1" t="s">
        <v>4629</v>
      </c>
      <c r="C1123" s="1" t="s">
        <v>4630</v>
      </c>
      <c r="D1123" s="1" t="s">
        <v>77</v>
      </c>
      <c r="E1123" s="1" t="s">
        <v>2396</v>
      </c>
      <c r="F1123" s="1" t="s">
        <v>4591</v>
      </c>
      <c r="G1123" s="1" t="s">
        <v>4631</v>
      </c>
      <c r="H1123" s="2">
        <v>1</v>
      </c>
      <c r="I1123" s="2">
        <v>1</v>
      </c>
      <c r="J1123" s="2">
        <v>1</v>
      </c>
      <c r="K1123" s="2">
        <v>1</v>
      </c>
      <c r="L1123" s="3" t="s">
        <v>127</v>
      </c>
      <c r="O1123" s="4">
        <v>1</v>
      </c>
      <c r="P1123" s="4" t="s">
        <v>4318</v>
      </c>
      <c r="Q1123" s="4"/>
      <c r="R1123" s="16">
        <v>82000000</v>
      </c>
      <c r="S1123" s="6">
        <v>82000000</v>
      </c>
      <c r="T1123" s="16">
        <v>82000000</v>
      </c>
      <c r="U1123" s="6">
        <v>82000000</v>
      </c>
      <c r="V1123" s="4">
        <v>2010.5</v>
      </c>
      <c r="W1123" s="4" t="s">
        <v>1919</v>
      </c>
      <c r="X1123" s="4"/>
      <c r="Y1123" s="7">
        <v>1</v>
      </c>
      <c r="Z1123" s="8">
        <v>7449493</v>
      </c>
      <c r="AA1123" s="7" t="s">
        <v>92</v>
      </c>
      <c r="AB1123" s="7"/>
      <c r="AC1123" s="9">
        <v>2</v>
      </c>
      <c r="AD1123" s="10">
        <v>2965842</v>
      </c>
      <c r="AE1123" s="9" t="s">
        <v>92</v>
      </c>
      <c r="AF1123" s="9"/>
      <c r="AG1123" s="11">
        <v>3</v>
      </c>
      <c r="AH1123" s="11" t="s">
        <v>131</v>
      </c>
      <c r="AI1123" s="11"/>
      <c r="AJ1123" s="11">
        <v>4</v>
      </c>
      <c r="AK1123" s="11" t="s">
        <v>332</v>
      </c>
      <c r="AL1123" s="12">
        <v>2</v>
      </c>
      <c r="AM1123" s="12" t="s">
        <v>131</v>
      </c>
      <c r="AN1123" s="12"/>
      <c r="AO1123" s="12">
        <v>2</v>
      </c>
      <c r="AP1123" s="12" t="s">
        <v>132</v>
      </c>
      <c r="AQ1123" s="4">
        <v>3</v>
      </c>
      <c r="AR1123" s="4" t="s">
        <v>133</v>
      </c>
      <c r="AS1123" s="4"/>
      <c r="AT1123" s="13">
        <v>-19.189231872558601</v>
      </c>
      <c r="AU1123" s="13">
        <v>-0.41707384586334201</v>
      </c>
      <c r="AV1123" s="13">
        <v>-1.2727979421615601</v>
      </c>
      <c r="AW1123" s="13">
        <v>0.95499998331069902</v>
      </c>
      <c r="AX1123" s="4"/>
      <c r="AY1123" s="13">
        <v>-10.6663208007813</v>
      </c>
      <c r="AZ1123" s="13">
        <v>-1.1217919588089</v>
      </c>
      <c r="BA1123" s="13">
        <v>-2.4800000190734899</v>
      </c>
      <c r="BB1123" s="13">
        <v>0.82400000095367398</v>
      </c>
      <c r="BC1123" s="4"/>
      <c r="BD1123" s="4">
        <v>10</v>
      </c>
      <c r="BE1123" s="4" t="s">
        <v>134</v>
      </c>
      <c r="BF1123" s="13">
        <v>2.2277979850768999</v>
      </c>
      <c r="BG1123" s="4">
        <v>997</v>
      </c>
      <c r="BH1123" s="13">
        <v>5.7350001335143999</v>
      </c>
      <c r="BI1123" s="13">
        <v>5724.06494140625</v>
      </c>
      <c r="BJ1123" s="4"/>
      <c r="BK1123" s="14">
        <v>8</v>
      </c>
      <c r="BL1123" s="14">
        <v>8</v>
      </c>
      <c r="BM1123" s="14">
        <v>8</v>
      </c>
      <c r="BP1123" s="15"/>
      <c r="BQ1123" s="15"/>
      <c r="BR1123" s="2" t="s">
        <v>172</v>
      </c>
      <c r="BS1123" s="2" t="s">
        <v>172</v>
      </c>
      <c r="BT1123" s="7" t="s">
        <v>428</v>
      </c>
      <c r="BU1123" s="7" t="s">
        <v>527</v>
      </c>
      <c r="BV1123" s="9" t="s">
        <v>1827</v>
      </c>
      <c r="BW1123" s="9"/>
    </row>
    <row r="1124" spans="1:75" ht="14.25" customHeight="1" x14ac:dyDescent="0.25">
      <c r="A1124" s="1">
        <v>1994</v>
      </c>
      <c r="B1124" s="1" t="s">
        <v>4632</v>
      </c>
      <c r="C1124" s="1" t="s">
        <v>4633</v>
      </c>
      <c r="D1124" s="1" t="s">
        <v>77</v>
      </c>
      <c r="E1124" s="1" t="s">
        <v>2396</v>
      </c>
      <c r="F1124" s="1" t="s">
        <v>4591</v>
      </c>
      <c r="G1124" s="1" t="s">
        <v>4626</v>
      </c>
      <c r="H1124" s="2">
        <v>0</v>
      </c>
      <c r="I1124" s="2">
        <v>1</v>
      </c>
      <c r="J1124" s="2">
        <v>1</v>
      </c>
      <c r="K1124" s="2">
        <v>0</v>
      </c>
      <c r="L1124" s="3" t="s">
        <v>127</v>
      </c>
      <c r="O1124" s="4">
        <v>5</v>
      </c>
      <c r="P1124" s="4" t="s">
        <v>2365</v>
      </c>
      <c r="Q1124" s="4"/>
      <c r="R1124" s="16">
        <v>25000</v>
      </c>
      <c r="S1124" s="6">
        <v>25000</v>
      </c>
      <c r="T1124" s="17" t="s">
        <v>1869</v>
      </c>
      <c r="U1124" s="6">
        <v>500</v>
      </c>
      <c r="V1124" s="4"/>
      <c r="W1124" s="4" t="s">
        <v>543</v>
      </c>
      <c r="X1124" s="4"/>
      <c r="Y1124" s="7">
        <v>4</v>
      </c>
      <c r="Z1124" s="8">
        <v>100150</v>
      </c>
      <c r="AA1124" s="7" t="s">
        <v>92</v>
      </c>
      <c r="AB1124" s="7"/>
      <c r="AC1124" s="9">
        <v>5</v>
      </c>
      <c r="AD1124" s="10">
        <v>77048</v>
      </c>
      <c r="AE1124" s="9" t="s">
        <v>92</v>
      </c>
      <c r="AF1124" s="9"/>
      <c r="AG1124" s="11">
        <v>3</v>
      </c>
      <c r="AH1124" s="11" t="s">
        <v>271</v>
      </c>
      <c r="AI1124" s="11" t="s">
        <v>4634</v>
      </c>
      <c r="AJ1124" s="11"/>
      <c r="AK1124" s="11"/>
      <c r="AL1124" s="12">
        <v>3</v>
      </c>
      <c r="AM1124" s="12" t="s">
        <v>271</v>
      </c>
      <c r="AN1124" s="12" t="s">
        <v>4635</v>
      </c>
      <c r="AO1124" s="12"/>
      <c r="AP1124" s="12"/>
      <c r="AQ1124" s="4">
        <v>3</v>
      </c>
      <c r="AR1124" s="4" t="s">
        <v>93</v>
      </c>
      <c r="AS1124" s="4"/>
      <c r="AT1124" s="13"/>
      <c r="AU1124" s="13"/>
      <c r="AV1124" s="13"/>
      <c r="AW1124" s="13"/>
      <c r="AX1124" s="4"/>
      <c r="AY1124" s="13"/>
      <c r="AZ1124" s="13"/>
      <c r="BA1124" s="13"/>
      <c r="BB1124" s="13"/>
      <c r="BC1124" s="4"/>
      <c r="BD1124" s="4"/>
      <c r="BE1124" s="4"/>
      <c r="BF1124" s="13"/>
      <c r="BG1124" s="4"/>
      <c r="BH1124" s="13"/>
      <c r="BI1124" s="13"/>
      <c r="BJ1124" s="4"/>
      <c r="BK1124" s="14">
        <v>15</v>
      </c>
      <c r="BL1124" s="14">
        <v>16</v>
      </c>
      <c r="BM1124" s="14">
        <v>16</v>
      </c>
      <c r="BN1124" s="3" t="s">
        <v>86</v>
      </c>
      <c r="BP1124" s="15"/>
      <c r="BQ1124" s="15"/>
      <c r="BR1124" s="2" t="s">
        <v>297</v>
      </c>
      <c r="BS1124" s="2" t="s">
        <v>108</v>
      </c>
      <c r="BT1124" s="7" t="s">
        <v>438</v>
      </c>
      <c r="BU1124" s="7"/>
      <c r="BV1124" s="9" t="s">
        <v>438</v>
      </c>
      <c r="BW1124" s="9" t="s">
        <v>437</v>
      </c>
    </row>
    <row r="1125" spans="1:75" ht="14.25" customHeight="1" x14ac:dyDescent="0.25">
      <c r="A1125" s="1">
        <v>1995</v>
      </c>
      <c r="B1125" s="1" t="s">
        <v>4636</v>
      </c>
      <c r="C1125" s="1" t="s">
        <v>4637</v>
      </c>
      <c r="D1125" s="1" t="s">
        <v>77</v>
      </c>
      <c r="E1125" s="1" t="s">
        <v>2396</v>
      </c>
      <c r="F1125" s="1" t="s">
        <v>4591</v>
      </c>
      <c r="G1125" s="1" t="s">
        <v>4626</v>
      </c>
      <c r="H1125" s="2">
        <v>0</v>
      </c>
      <c r="I1125" s="2">
        <v>1</v>
      </c>
      <c r="J1125" s="2">
        <v>1</v>
      </c>
      <c r="K1125" s="2">
        <v>0</v>
      </c>
      <c r="L1125" s="3" t="s">
        <v>127</v>
      </c>
      <c r="O1125" s="4">
        <v>3</v>
      </c>
      <c r="P1125" s="4" t="s">
        <v>424</v>
      </c>
      <c r="Q1125" s="4"/>
      <c r="R1125" s="16">
        <v>3000000</v>
      </c>
      <c r="S1125" s="6">
        <v>3000000</v>
      </c>
      <c r="T1125" s="16">
        <v>2800000</v>
      </c>
      <c r="U1125" s="6">
        <v>2800000</v>
      </c>
      <c r="V1125" s="4">
        <v>2010.5</v>
      </c>
      <c r="W1125" s="4" t="s">
        <v>425</v>
      </c>
      <c r="X1125" s="4"/>
      <c r="Y1125" s="7">
        <v>3</v>
      </c>
      <c r="Z1125" s="8">
        <v>391508</v>
      </c>
      <c r="AA1125" s="7" t="s">
        <v>92</v>
      </c>
      <c r="AB1125" s="7"/>
      <c r="AC1125" s="9">
        <v>4</v>
      </c>
      <c r="AD1125" s="10">
        <v>145022</v>
      </c>
      <c r="AE1125" s="9" t="s">
        <v>92</v>
      </c>
      <c r="AF1125" s="9"/>
      <c r="AG1125" s="11">
        <v>3</v>
      </c>
      <c r="AH1125" s="11" t="s">
        <v>471</v>
      </c>
      <c r="AI1125" s="11"/>
      <c r="AJ1125" s="11">
        <v>1</v>
      </c>
      <c r="AK1125" s="11" t="s">
        <v>143</v>
      </c>
      <c r="AL1125" s="12">
        <v>3</v>
      </c>
      <c r="AM1125" s="12" t="s">
        <v>131</v>
      </c>
      <c r="AN1125" s="12"/>
      <c r="AO1125" s="12">
        <v>3</v>
      </c>
      <c r="AP1125" s="12" t="s">
        <v>132</v>
      </c>
      <c r="AQ1125" s="4">
        <v>2</v>
      </c>
      <c r="AR1125" s="4" t="s">
        <v>133</v>
      </c>
      <c r="AS1125" s="4"/>
      <c r="AT1125" s="13">
        <v>17.206262588501001</v>
      </c>
      <c r="AU1125" s="13">
        <v>0.31197646260261502</v>
      </c>
      <c r="AV1125" s="13">
        <v>-0.39300000667571999</v>
      </c>
      <c r="AW1125" s="13">
        <v>0.90799999237060502</v>
      </c>
      <c r="AX1125" s="4"/>
      <c r="AY1125" s="13">
        <v>1.48980140686035</v>
      </c>
      <c r="AZ1125" s="13">
        <v>0.14809732139110601</v>
      </c>
      <c r="BA1125" s="13">
        <v>-1.4644980430603001</v>
      </c>
      <c r="BB1125" s="13">
        <v>1.8500000238418599</v>
      </c>
      <c r="BC1125" s="4"/>
      <c r="BD1125" s="4">
        <v>10</v>
      </c>
      <c r="BE1125" s="4" t="s">
        <v>134</v>
      </c>
      <c r="BF1125" s="13">
        <v>1.3009999990463299</v>
      </c>
      <c r="BG1125" s="4">
        <v>70.5</v>
      </c>
      <c r="BH1125" s="13">
        <v>3.8849999904632599</v>
      </c>
      <c r="BI1125" s="13">
        <v>273.60000610351602</v>
      </c>
      <c r="BJ1125" s="4"/>
      <c r="BK1125" s="14">
        <v>11</v>
      </c>
      <c r="BL1125" s="14">
        <v>12</v>
      </c>
      <c r="BM1125" s="14">
        <v>12</v>
      </c>
      <c r="BP1125" s="15"/>
      <c r="BQ1125" s="15"/>
      <c r="BR1125" s="2" t="s">
        <v>297</v>
      </c>
      <c r="BS1125" s="2" t="s">
        <v>108</v>
      </c>
      <c r="BT1125" s="7" t="s">
        <v>487</v>
      </c>
      <c r="BU1125" s="7" t="s">
        <v>475</v>
      </c>
      <c r="BV1125" s="9" t="s">
        <v>109</v>
      </c>
      <c r="BW1125" s="9" t="s">
        <v>487</v>
      </c>
    </row>
    <row r="1126" spans="1:75" ht="14.25" customHeight="1" x14ac:dyDescent="0.25">
      <c r="A1126" s="1">
        <v>1996</v>
      </c>
      <c r="B1126" s="1" t="s">
        <v>4638</v>
      </c>
      <c r="C1126" s="1" t="s">
        <v>4639</v>
      </c>
      <c r="D1126" s="1" t="s">
        <v>77</v>
      </c>
      <c r="E1126" s="1" t="s">
        <v>2396</v>
      </c>
      <c r="F1126" s="1" t="s">
        <v>4591</v>
      </c>
      <c r="G1126" s="1" t="s">
        <v>4631</v>
      </c>
      <c r="H1126" s="2">
        <v>1</v>
      </c>
      <c r="I1126" s="2">
        <v>1</v>
      </c>
      <c r="J1126" s="2">
        <v>1</v>
      </c>
      <c r="K1126" s="2">
        <v>1</v>
      </c>
      <c r="L1126" s="3" t="s">
        <v>127</v>
      </c>
      <c r="O1126" s="4">
        <v>2</v>
      </c>
      <c r="P1126" s="4" t="s">
        <v>579</v>
      </c>
      <c r="Q1126" s="4"/>
      <c r="R1126" s="16">
        <v>40000000</v>
      </c>
      <c r="S1126" s="6">
        <v>40000000</v>
      </c>
      <c r="T1126" s="16">
        <v>40000000</v>
      </c>
      <c r="U1126" s="6">
        <v>40000000</v>
      </c>
      <c r="V1126" s="4">
        <v>2010.5</v>
      </c>
      <c r="W1126" s="4" t="s">
        <v>579</v>
      </c>
      <c r="X1126" s="4"/>
      <c r="Y1126" s="7">
        <v>2</v>
      </c>
      <c r="Z1126" s="8">
        <v>2763151</v>
      </c>
      <c r="AA1126" s="7" t="s">
        <v>92</v>
      </c>
      <c r="AB1126" s="7"/>
      <c r="AC1126" s="9">
        <v>3</v>
      </c>
      <c r="AD1126" s="10">
        <v>921874</v>
      </c>
      <c r="AE1126" s="9" t="s">
        <v>92</v>
      </c>
      <c r="AF1126" s="9"/>
      <c r="AG1126" s="11">
        <v>3</v>
      </c>
      <c r="AH1126" s="11" t="s">
        <v>131</v>
      </c>
      <c r="AI1126" s="11"/>
      <c r="AJ1126" s="11">
        <v>3</v>
      </c>
      <c r="AK1126" s="11" t="s">
        <v>143</v>
      </c>
      <c r="AL1126" s="12">
        <v>2</v>
      </c>
      <c r="AM1126" s="12" t="s">
        <v>131</v>
      </c>
      <c r="AN1126" s="12"/>
      <c r="AO1126" s="12">
        <v>2</v>
      </c>
      <c r="AP1126" s="12" t="s">
        <v>143</v>
      </c>
      <c r="AQ1126" s="4">
        <v>4</v>
      </c>
      <c r="AR1126" s="4" t="s">
        <v>133</v>
      </c>
      <c r="AS1126" s="4"/>
      <c r="AT1126" s="13">
        <v>-15.2903156280518</v>
      </c>
      <c r="AU1126" s="13">
        <v>-0.32525166869163502</v>
      </c>
      <c r="AV1126" s="13">
        <v>-1.0099999904632599</v>
      </c>
      <c r="AW1126" s="13">
        <v>0.29770100116729697</v>
      </c>
      <c r="AX1126" s="4"/>
      <c r="AY1126" s="13">
        <v>-31.856519699096701</v>
      </c>
      <c r="AZ1126" s="13">
        <v>-3.7654950618743901</v>
      </c>
      <c r="BA1126" s="13">
        <v>-5.1267981529235804</v>
      </c>
      <c r="BB1126" s="13">
        <v>-2.1500000953674299</v>
      </c>
      <c r="BC1126" s="4">
        <v>1</v>
      </c>
      <c r="BD1126" s="4">
        <v>10</v>
      </c>
      <c r="BE1126" s="4" t="s">
        <v>134</v>
      </c>
      <c r="BF1126" s="13">
        <v>1.30770099163055</v>
      </c>
      <c r="BG1126" s="4">
        <v>1272</v>
      </c>
      <c r="BH1126" s="13">
        <v>8.9300003051757795</v>
      </c>
      <c r="BI1126" s="13">
        <v>11343.41015625</v>
      </c>
      <c r="BJ1126" s="4"/>
      <c r="BK1126" s="14">
        <v>11</v>
      </c>
      <c r="BL1126" s="14">
        <v>11</v>
      </c>
      <c r="BM1126" s="14">
        <v>11</v>
      </c>
      <c r="BP1126" s="15"/>
      <c r="BQ1126" s="15"/>
      <c r="BR1126" s="2" t="s">
        <v>211</v>
      </c>
      <c r="BS1126" s="2" t="s">
        <v>400</v>
      </c>
      <c r="BT1126" s="7" t="s">
        <v>527</v>
      </c>
      <c r="BU1126" s="7" t="s">
        <v>428</v>
      </c>
      <c r="BV1126" s="9" t="s">
        <v>797</v>
      </c>
      <c r="BW1126" s="9"/>
    </row>
    <row r="1127" spans="1:75" ht="14.25" customHeight="1" x14ac:dyDescent="0.25">
      <c r="A1127" s="1">
        <v>1997</v>
      </c>
      <c r="B1127" s="1" t="s">
        <v>4640</v>
      </c>
      <c r="C1127" s="1" t="s">
        <v>4641</v>
      </c>
      <c r="D1127" s="1" t="s">
        <v>77</v>
      </c>
      <c r="E1127" s="1" t="s">
        <v>2396</v>
      </c>
      <c r="F1127" s="1" t="s">
        <v>4591</v>
      </c>
      <c r="G1127" s="1" t="s">
        <v>4626</v>
      </c>
      <c r="H1127" s="2">
        <v>0</v>
      </c>
      <c r="I1127" s="2">
        <v>1</v>
      </c>
      <c r="J1127" s="2">
        <v>1</v>
      </c>
      <c r="K1127" s="2">
        <v>0</v>
      </c>
      <c r="L1127" s="3" t="s">
        <v>127</v>
      </c>
      <c r="O1127" s="4">
        <v>3</v>
      </c>
      <c r="P1127" s="4" t="s">
        <v>425</v>
      </c>
      <c r="Q1127" s="4"/>
      <c r="R1127" s="16">
        <v>900000</v>
      </c>
      <c r="S1127" s="6">
        <v>900000</v>
      </c>
      <c r="T1127" s="16">
        <v>900000</v>
      </c>
      <c r="U1127" s="6">
        <v>900000</v>
      </c>
      <c r="V1127" s="4">
        <v>2010.5</v>
      </c>
      <c r="W1127" s="4" t="s">
        <v>425</v>
      </c>
      <c r="X1127" s="4"/>
      <c r="Y1127" s="7">
        <v>3</v>
      </c>
      <c r="Z1127" s="8">
        <v>915000</v>
      </c>
      <c r="AA1127" s="7" t="s">
        <v>537</v>
      </c>
      <c r="AB1127" s="7" t="s">
        <v>4642</v>
      </c>
      <c r="AC1127" s="9">
        <v>4</v>
      </c>
      <c r="AD1127" s="10">
        <v>149789</v>
      </c>
      <c r="AE1127" s="9" t="s">
        <v>92</v>
      </c>
      <c r="AF1127" s="9" t="s">
        <v>3958</v>
      </c>
      <c r="AG1127" s="11">
        <v>3</v>
      </c>
      <c r="AH1127" s="11" t="s">
        <v>131</v>
      </c>
      <c r="AI1127" s="11"/>
      <c r="AJ1127" s="11">
        <v>2</v>
      </c>
      <c r="AK1127" s="11" t="s">
        <v>143</v>
      </c>
      <c r="AL1127" s="12">
        <v>3</v>
      </c>
      <c r="AM1127" s="12" t="s">
        <v>131</v>
      </c>
      <c r="AN1127" s="12"/>
      <c r="AO1127" s="12">
        <v>2</v>
      </c>
      <c r="AP1127" s="12" t="s">
        <v>143</v>
      </c>
      <c r="AQ1127" s="4">
        <v>4</v>
      </c>
      <c r="AR1127" s="4" t="s">
        <v>133</v>
      </c>
      <c r="AS1127" s="4"/>
      <c r="AT1127" s="13">
        <v>-37.706527709960902</v>
      </c>
      <c r="AU1127" s="13">
        <v>-0.92233979701995805</v>
      </c>
      <c r="AV1127" s="13">
        <v>-1.87999999523163</v>
      </c>
      <c r="AW1127" s="13">
        <v>-7.2899997234344496E-2</v>
      </c>
      <c r="AX1127" s="4">
        <v>1</v>
      </c>
      <c r="AY1127" s="13">
        <v>-14.9554634094238</v>
      </c>
      <c r="AZ1127" s="13">
        <v>-1.60933041572571</v>
      </c>
      <c r="BA1127" s="13">
        <v>-3.5199999809265101</v>
      </c>
      <c r="BB1127" s="13">
        <v>0.23770299553871199</v>
      </c>
      <c r="BC1127" s="4"/>
      <c r="BD1127" s="4">
        <v>10</v>
      </c>
      <c r="BE1127" s="4" t="s">
        <v>134</v>
      </c>
      <c r="BF1127" s="13">
        <v>1.80710005760193</v>
      </c>
      <c r="BG1127" s="4">
        <v>136</v>
      </c>
      <c r="BH1127" s="13">
        <v>1.24500000476837</v>
      </c>
      <c r="BI1127" s="13">
        <v>169.32000732421901</v>
      </c>
      <c r="BJ1127" s="4"/>
      <c r="BK1127" s="14">
        <v>13</v>
      </c>
      <c r="BL1127" s="14">
        <v>14</v>
      </c>
      <c r="BM1127" s="14">
        <v>14</v>
      </c>
      <c r="BN1127" s="3" t="s">
        <v>86</v>
      </c>
      <c r="BP1127" s="15"/>
      <c r="BQ1127" s="15"/>
      <c r="BR1127" s="2" t="s">
        <v>555</v>
      </c>
      <c r="BS1127" s="2" t="s">
        <v>108</v>
      </c>
      <c r="BT1127" s="7" t="s">
        <v>428</v>
      </c>
      <c r="BU1127" s="7"/>
      <c r="BV1127" s="9" t="s">
        <v>109</v>
      </c>
      <c r="BW1127" s="9" t="s">
        <v>438</v>
      </c>
    </row>
    <row r="1128" spans="1:75" ht="14.25" customHeight="1" x14ac:dyDescent="0.25">
      <c r="A1128" s="1">
        <v>1999</v>
      </c>
      <c r="B1128" s="1" t="s">
        <v>4643</v>
      </c>
      <c r="C1128" s="1" t="s">
        <v>4644</v>
      </c>
      <c r="D1128" s="1" t="s">
        <v>77</v>
      </c>
      <c r="E1128" s="1" t="s">
        <v>2396</v>
      </c>
      <c r="F1128" s="1" t="s">
        <v>4591</v>
      </c>
      <c r="G1128" s="1" t="s">
        <v>118</v>
      </c>
      <c r="H1128" s="2">
        <v>1</v>
      </c>
      <c r="I1128" s="2">
        <v>1</v>
      </c>
      <c r="J1128" s="2">
        <v>0</v>
      </c>
      <c r="K1128" s="2">
        <v>0</v>
      </c>
      <c r="L1128" s="3" t="s">
        <v>127</v>
      </c>
      <c r="O1128" s="4">
        <v>3</v>
      </c>
      <c r="P1128" s="4" t="s">
        <v>2693</v>
      </c>
      <c r="Q1128" s="4"/>
      <c r="R1128" s="16">
        <v>1800000</v>
      </c>
      <c r="S1128" s="6">
        <v>1800000</v>
      </c>
      <c r="T1128" s="16">
        <v>1800000</v>
      </c>
      <c r="U1128" s="6">
        <v>1800000</v>
      </c>
      <c r="V1128" s="4">
        <v>2010.5</v>
      </c>
      <c r="W1128" s="4" t="s">
        <v>579</v>
      </c>
      <c r="X1128" s="4"/>
      <c r="Y1128" s="7">
        <v>2</v>
      </c>
      <c r="Z1128" s="8">
        <v>1178290</v>
      </c>
      <c r="AA1128" s="7" t="s">
        <v>92</v>
      </c>
      <c r="AB1128" s="7"/>
      <c r="AC1128" s="9">
        <v>2</v>
      </c>
      <c r="AD1128" s="10">
        <v>2011815</v>
      </c>
      <c r="AE1128" s="9" t="s">
        <v>815</v>
      </c>
      <c r="AF1128" s="9" t="s">
        <v>4645</v>
      </c>
      <c r="AG1128" s="11">
        <v>4</v>
      </c>
      <c r="AH1128" s="11" t="s">
        <v>131</v>
      </c>
      <c r="AI1128" s="11"/>
      <c r="AJ1128" s="11">
        <v>5</v>
      </c>
      <c r="AK1128" s="11" t="s">
        <v>143</v>
      </c>
      <c r="AL1128" s="12">
        <v>3</v>
      </c>
      <c r="AM1128" s="12" t="s">
        <v>271</v>
      </c>
      <c r="AN1128" s="12" t="s">
        <v>4646</v>
      </c>
      <c r="AO1128" s="12"/>
      <c r="AP1128" s="12"/>
      <c r="AQ1128" s="4">
        <v>4</v>
      </c>
      <c r="AR1128" s="4" t="s">
        <v>133</v>
      </c>
      <c r="AS1128" s="4"/>
      <c r="AT1128" s="13">
        <v>-48.829559326171903</v>
      </c>
      <c r="AU1128" s="13">
        <v>-1.30346071720123</v>
      </c>
      <c r="AV1128" s="13">
        <v>-2.46000003814697</v>
      </c>
      <c r="AW1128" s="13">
        <v>-0.27649998664856001</v>
      </c>
      <c r="AX1128" s="4">
        <v>1</v>
      </c>
      <c r="AY1128" s="13">
        <v>-21.827621459960898</v>
      </c>
      <c r="AZ1128" s="13">
        <v>-2.4309275150299099</v>
      </c>
      <c r="BA1128" s="13">
        <v>-6.25</v>
      </c>
      <c r="BB1128" s="13">
        <v>1.1796000003814699</v>
      </c>
      <c r="BC1128" s="4"/>
      <c r="BD1128" s="4">
        <v>10</v>
      </c>
      <c r="BE1128" s="4" t="s">
        <v>134</v>
      </c>
      <c r="BF1128" s="13">
        <v>2.18350005149841</v>
      </c>
      <c r="BG1128" s="4">
        <v>267</v>
      </c>
      <c r="BH1128" s="13">
        <v>0.62699997425079301</v>
      </c>
      <c r="BI1128" s="13">
        <v>167.40899658203099</v>
      </c>
      <c r="BJ1128" s="4"/>
      <c r="BK1128" s="14">
        <v>13</v>
      </c>
      <c r="BL1128" s="14">
        <v>12</v>
      </c>
      <c r="BM1128" s="14">
        <v>13</v>
      </c>
      <c r="BN1128" s="3" t="s">
        <v>917</v>
      </c>
      <c r="BP1128" s="15"/>
      <c r="BQ1128" s="15"/>
      <c r="BR1128" s="2" t="s">
        <v>211</v>
      </c>
      <c r="BS1128" s="2" t="s">
        <v>740</v>
      </c>
      <c r="BT1128" s="7" t="s">
        <v>527</v>
      </c>
      <c r="BU1128" s="7"/>
      <c r="BV1128" s="9" t="s">
        <v>98</v>
      </c>
      <c r="BW1128" s="9"/>
    </row>
    <row r="1129" spans="1:75" ht="14.25" customHeight="1" x14ac:dyDescent="0.25">
      <c r="A1129" s="1">
        <v>2000</v>
      </c>
      <c r="B1129" s="1" t="s">
        <v>4647</v>
      </c>
      <c r="C1129" s="1" t="s">
        <v>4648</v>
      </c>
      <c r="D1129" s="1" t="s">
        <v>77</v>
      </c>
      <c r="E1129" s="1" t="s">
        <v>2396</v>
      </c>
      <c r="F1129" s="1" t="s">
        <v>4591</v>
      </c>
      <c r="G1129" s="1"/>
      <c r="H1129" s="2">
        <v>0</v>
      </c>
      <c r="I1129" s="2">
        <v>0</v>
      </c>
      <c r="J1129" s="2">
        <v>1</v>
      </c>
      <c r="K1129" s="2">
        <v>1</v>
      </c>
      <c r="L1129" s="3" t="s">
        <v>80</v>
      </c>
      <c r="O1129" s="4">
        <v>3</v>
      </c>
      <c r="P1129" s="4" t="s">
        <v>271</v>
      </c>
      <c r="Q1129" s="4"/>
      <c r="R1129" s="5"/>
      <c r="S1129" s="6"/>
      <c r="T1129" s="17"/>
      <c r="U1129" s="6"/>
      <c r="V1129" s="4"/>
      <c r="W1129" s="4"/>
      <c r="X1129" s="4"/>
      <c r="Y1129" s="7">
        <v>3</v>
      </c>
      <c r="Z1129" s="8">
        <v>862321</v>
      </c>
      <c r="AA1129" s="7" t="s">
        <v>92</v>
      </c>
      <c r="AB1129" s="7"/>
      <c r="AC1129" s="9">
        <v>3</v>
      </c>
      <c r="AD1129" s="10">
        <v>862321</v>
      </c>
      <c r="AE1129" s="9" t="s">
        <v>92</v>
      </c>
      <c r="AF1129" s="9"/>
      <c r="AG1129" s="11">
        <v>2</v>
      </c>
      <c r="AH1129" s="11" t="s">
        <v>537</v>
      </c>
      <c r="AI1129" s="11"/>
      <c r="AJ1129" s="11"/>
      <c r="AK1129" s="11"/>
      <c r="AL1129" s="12">
        <v>2</v>
      </c>
      <c r="AM1129" s="12" t="s">
        <v>537</v>
      </c>
      <c r="AN1129" s="12" t="s">
        <v>4649</v>
      </c>
      <c r="AO1129" s="12"/>
      <c r="AP1129" s="12"/>
      <c r="AQ1129" s="4">
        <v>3</v>
      </c>
      <c r="AR1129" s="4" t="s">
        <v>83</v>
      </c>
      <c r="AS1129" s="4"/>
      <c r="AT1129" s="13"/>
      <c r="AU1129" s="13"/>
      <c r="AV1129" s="13"/>
      <c r="AW1129" s="13"/>
      <c r="AX1129" s="4"/>
      <c r="AY1129" s="13"/>
      <c r="AZ1129" s="13"/>
      <c r="BA1129" s="13"/>
      <c r="BB1129" s="13"/>
      <c r="BC1129" s="4"/>
      <c r="BD1129" s="4"/>
      <c r="BE1129" s="4"/>
      <c r="BF1129" s="13"/>
      <c r="BG1129" s="4"/>
      <c r="BH1129" s="13"/>
      <c r="BI1129" s="13"/>
      <c r="BJ1129" s="4"/>
      <c r="BK1129" s="14">
        <v>11</v>
      </c>
      <c r="BL1129" s="14">
        <v>11</v>
      </c>
      <c r="BM1129" s="14">
        <v>11</v>
      </c>
      <c r="BP1129" s="15"/>
      <c r="BQ1129" s="15"/>
      <c r="BR1129" s="2" t="s">
        <v>400</v>
      </c>
      <c r="BS1129" s="2" t="s">
        <v>400</v>
      </c>
      <c r="BT1129" s="7" t="s">
        <v>458</v>
      </c>
      <c r="BU1129" s="7"/>
      <c r="BV1129" s="9" t="s">
        <v>458</v>
      </c>
      <c r="BW1129" s="9"/>
    </row>
    <row r="1130" spans="1:75" ht="14.25" customHeight="1" x14ac:dyDescent="0.25">
      <c r="A1130" s="1">
        <v>2001</v>
      </c>
      <c r="B1130" s="1" t="s">
        <v>4650</v>
      </c>
      <c r="C1130" s="1" t="s">
        <v>4651</v>
      </c>
      <c r="D1130" s="1" t="s">
        <v>77</v>
      </c>
      <c r="E1130" s="1" t="s">
        <v>2396</v>
      </c>
      <c r="F1130" s="1" t="s">
        <v>4591</v>
      </c>
      <c r="G1130" s="1"/>
      <c r="H1130" s="2">
        <v>1</v>
      </c>
      <c r="I1130" s="2">
        <v>1</v>
      </c>
      <c r="J1130" s="2">
        <v>1</v>
      </c>
      <c r="K1130" s="2">
        <v>1</v>
      </c>
      <c r="L1130" s="3" t="s">
        <v>127</v>
      </c>
      <c r="O1130" s="4">
        <v>2</v>
      </c>
      <c r="P1130" s="4" t="s">
        <v>424</v>
      </c>
      <c r="Q1130" s="4"/>
      <c r="R1130" s="16">
        <v>11000000</v>
      </c>
      <c r="S1130" s="6">
        <v>11000000</v>
      </c>
      <c r="T1130" s="16">
        <v>11000000</v>
      </c>
      <c r="U1130" s="6">
        <v>11000000</v>
      </c>
      <c r="V1130" s="4">
        <v>2010.5</v>
      </c>
      <c r="W1130" s="4" t="s">
        <v>425</v>
      </c>
      <c r="X1130" s="4"/>
      <c r="Y1130" s="7">
        <v>2</v>
      </c>
      <c r="Z1130" s="8">
        <v>2630431</v>
      </c>
      <c r="AA1130" s="7" t="s">
        <v>92</v>
      </c>
      <c r="AB1130" s="7"/>
      <c r="AC1130" s="9">
        <v>3</v>
      </c>
      <c r="AD1130" s="10">
        <v>918393</v>
      </c>
      <c r="AE1130" s="9" t="s">
        <v>92</v>
      </c>
      <c r="AF1130" s="9" t="s">
        <v>4652</v>
      </c>
      <c r="AG1130" s="11">
        <v>3</v>
      </c>
      <c r="AH1130" s="11" t="s">
        <v>131</v>
      </c>
      <c r="AI1130" s="11"/>
      <c r="AJ1130" s="11">
        <v>3</v>
      </c>
      <c r="AK1130" s="11" t="s">
        <v>143</v>
      </c>
      <c r="AL1130" s="12">
        <v>3</v>
      </c>
      <c r="AM1130" s="12" t="s">
        <v>131</v>
      </c>
      <c r="AN1130" s="12" t="s">
        <v>4653</v>
      </c>
      <c r="AO1130" s="12">
        <v>2</v>
      </c>
      <c r="AP1130" s="12" t="s">
        <v>132</v>
      </c>
      <c r="AQ1130" s="4">
        <v>4</v>
      </c>
      <c r="AR1130" s="4" t="s">
        <v>133</v>
      </c>
      <c r="AS1130" s="4"/>
      <c r="AT1130" s="13">
        <v>-25.004911422729499</v>
      </c>
      <c r="AU1130" s="13">
        <v>-0.56189495325088501</v>
      </c>
      <c r="AV1130" s="13">
        <v>-1.0178029537200901</v>
      </c>
      <c r="AW1130" s="13">
        <v>-2.5699999183416401E-2</v>
      </c>
      <c r="AX1130" s="4">
        <v>1</v>
      </c>
      <c r="AY1130" s="13">
        <v>-10.324633598327599</v>
      </c>
      <c r="AZ1130" s="13">
        <v>-1.0867050886154199</v>
      </c>
      <c r="BA1130" s="13">
        <v>-1.9099999666214</v>
      </c>
      <c r="BB1130" s="13">
        <v>-0.17700000107288399</v>
      </c>
      <c r="BC1130" s="4">
        <v>1</v>
      </c>
      <c r="BD1130" s="4">
        <v>10</v>
      </c>
      <c r="BE1130" s="4" t="s">
        <v>134</v>
      </c>
      <c r="BF1130" s="13">
        <v>0.99210298061370805</v>
      </c>
      <c r="BG1130" s="4">
        <v>707.5</v>
      </c>
      <c r="BH1130" s="13">
        <v>4.4549999237060502</v>
      </c>
      <c r="BI1130" s="13">
        <v>3145.875</v>
      </c>
      <c r="BJ1130" s="4"/>
      <c r="BK1130" s="14">
        <v>11</v>
      </c>
      <c r="BL1130" s="14">
        <v>12</v>
      </c>
      <c r="BM1130" s="14">
        <v>12</v>
      </c>
      <c r="BP1130" s="15"/>
      <c r="BQ1130" s="15"/>
      <c r="BR1130" s="2" t="s">
        <v>256</v>
      </c>
      <c r="BS1130" s="2" t="s">
        <v>108</v>
      </c>
      <c r="BT1130" s="7" t="s">
        <v>428</v>
      </c>
      <c r="BU1130" s="7"/>
      <c r="BV1130" s="9" t="s">
        <v>109</v>
      </c>
      <c r="BW1130" s="9" t="s">
        <v>438</v>
      </c>
    </row>
    <row r="1131" spans="1:75" ht="14.25" customHeight="1" x14ac:dyDescent="0.25">
      <c r="A1131" s="1">
        <v>2002</v>
      </c>
      <c r="B1131" s="1" t="s">
        <v>4654</v>
      </c>
      <c r="C1131" s="1" t="s">
        <v>4655</v>
      </c>
      <c r="D1131" s="1" t="s">
        <v>77</v>
      </c>
      <c r="E1131" s="1" t="s">
        <v>2396</v>
      </c>
      <c r="F1131" s="1" t="s">
        <v>4591</v>
      </c>
      <c r="G1131" s="1" t="s">
        <v>118</v>
      </c>
      <c r="H1131" s="2">
        <v>1</v>
      </c>
      <c r="I1131" s="2">
        <v>1</v>
      </c>
      <c r="J1131" s="2">
        <v>1</v>
      </c>
      <c r="K1131" s="2">
        <v>1</v>
      </c>
      <c r="L1131" s="3" t="s">
        <v>127</v>
      </c>
      <c r="O1131" s="4">
        <v>2</v>
      </c>
      <c r="P1131" s="4" t="s">
        <v>579</v>
      </c>
      <c r="Q1131" s="4"/>
      <c r="R1131" s="16">
        <v>14000000</v>
      </c>
      <c r="S1131" s="6">
        <v>14000000</v>
      </c>
      <c r="T1131" s="16">
        <v>14000000</v>
      </c>
      <c r="U1131" s="6">
        <v>14000000</v>
      </c>
      <c r="V1131" s="4">
        <v>2010.5</v>
      </c>
      <c r="W1131" s="4" t="s">
        <v>579</v>
      </c>
      <c r="X1131" s="4"/>
      <c r="Y1131" s="7">
        <v>2</v>
      </c>
      <c r="Z1131" s="8">
        <v>2693721</v>
      </c>
      <c r="AA1131" s="7" t="s">
        <v>92</v>
      </c>
      <c r="AB1131" s="7"/>
      <c r="AC1131" s="9">
        <v>3</v>
      </c>
      <c r="AD1131" s="10">
        <v>836725</v>
      </c>
      <c r="AE1131" s="9" t="s">
        <v>92</v>
      </c>
      <c r="AF1131" s="9" t="s">
        <v>4656</v>
      </c>
      <c r="AG1131" s="11">
        <v>3</v>
      </c>
      <c r="AH1131" s="11" t="s">
        <v>131</v>
      </c>
      <c r="AI1131" s="11"/>
      <c r="AJ1131" s="11">
        <v>4</v>
      </c>
      <c r="AK1131" s="11" t="s">
        <v>332</v>
      </c>
      <c r="AL1131" s="12">
        <v>3</v>
      </c>
      <c r="AM1131" s="12" t="s">
        <v>271</v>
      </c>
      <c r="AN1131" s="12" t="s">
        <v>4653</v>
      </c>
      <c r="AO1131" s="12"/>
      <c r="AP1131" s="12"/>
      <c r="AQ1131" s="4">
        <v>4</v>
      </c>
      <c r="AR1131" s="4" t="s">
        <v>133</v>
      </c>
      <c r="AS1131" s="4"/>
      <c r="AT1131" s="13">
        <v>-48.620723724365199</v>
      </c>
      <c r="AU1131" s="13">
        <v>-1.29552221298218</v>
      </c>
      <c r="AV1131" s="13">
        <v>-1.6691980361938501</v>
      </c>
      <c r="AW1131" s="13">
        <v>-0.83399999141693104</v>
      </c>
      <c r="AX1131" s="4">
        <v>1</v>
      </c>
      <c r="AY1131" s="13">
        <v>-9.65100002288818</v>
      </c>
      <c r="AZ1131" s="13">
        <v>-1.0096020698547401</v>
      </c>
      <c r="BA1131" s="13">
        <v>-2.1237020492553702</v>
      </c>
      <c r="BB1131" s="13">
        <v>0.34900000691413902</v>
      </c>
      <c r="BC1131" s="4"/>
      <c r="BD1131" s="4">
        <v>10</v>
      </c>
      <c r="BE1131" s="4" t="s">
        <v>134</v>
      </c>
      <c r="BF1131" s="13">
        <v>0.83519798517227195</v>
      </c>
      <c r="BG1131" s="4">
        <v>1028.5</v>
      </c>
      <c r="BH1131" s="13">
        <v>5.4450001716613796</v>
      </c>
      <c r="BI1131" s="13">
        <v>5598.2998046875</v>
      </c>
      <c r="BJ1131" s="4"/>
      <c r="BK1131" s="14">
        <v>11</v>
      </c>
      <c r="BL1131" s="14">
        <v>12</v>
      </c>
      <c r="BM1131" s="14">
        <v>12</v>
      </c>
      <c r="BP1131" s="15"/>
      <c r="BQ1131" s="15"/>
      <c r="BR1131" s="2" t="s">
        <v>211</v>
      </c>
      <c r="BS1131" s="2" t="s">
        <v>87</v>
      </c>
      <c r="BT1131" s="7" t="s">
        <v>527</v>
      </c>
      <c r="BU1131" s="7" t="s">
        <v>241</v>
      </c>
      <c r="BV1131" s="9" t="s">
        <v>88</v>
      </c>
      <c r="BW1131" s="9" t="s">
        <v>98</v>
      </c>
    </row>
    <row r="1132" spans="1:75" ht="14.25" customHeight="1" x14ac:dyDescent="0.25">
      <c r="A1132" s="1">
        <v>2003</v>
      </c>
      <c r="B1132" s="1" t="s">
        <v>4657</v>
      </c>
      <c r="C1132" s="1" t="s">
        <v>4658</v>
      </c>
      <c r="D1132" s="1" t="s">
        <v>77</v>
      </c>
      <c r="E1132" s="1" t="s">
        <v>2396</v>
      </c>
      <c r="F1132" s="1" t="s">
        <v>4591</v>
      </c>
      <c r="G1132" s="1" t="s">
        <v>118</v>
      </c>
      <c r="H1132" s="2">
        <v>0</v>
      </c>
      <c r="I1132" s="2">
        <v>1</v>
      </c>
      <c r="J1132" s="2">
        <v>1</v>
      </c>
      <c r="K1132" s="2">
        <v>1</v>
      </c>
      <c r="L1132" s="3" t="s">
        <v>127</v>
      </c>
      <c r="O1132" s="4">
        <v>3</v>
      </c>
      <c r="P1132" s="4" t="s">
        <v>425</v>
      </c>
      <c r="Q1132" s="4"/>
      <c r="R1132" s="16">
        <v>2600000</v>
      </c>
      <c r="S1132" s="6">
        <v>2600000</v>
      </c>
      <c r="T1132" s="16">
        <v>2600000</v>
      </c>
      <c r="U1132" s="6">
        <v>2600000</v>
      </c>
      <c r="V1132" s="4">
        <v>2010.5</v>
      </c>
      <c r="W1132" s="4" t="s">
        <v>425</v>
      </c>
      <c r="X1132" s="4"/>
      <c r="Y1132" s="7">
        <v>2</v>
      </c>
      <c r="Z1132" s="8">
        <v>1969383</v>
      </c>
      <c r="AA1132" s="7" t="s">
        <v>92</v>
      </c>
      <c r="AB1132" s="7"/>
      <c r="AC1132" s="9">
        <v>3</v>
      </c>
      <c r="AD1132" s="10">
        <v>684235</v>
      </c>
      <c r="AE1132" s="9" t="s">
        <v>815</v>
      </c>
      <c r="AF1132" s="9" t="s">
        <v>4659</v>
      </c>
      <c r="AG1132" s="11">
        <v>3</v>
      </c>
      <c r="AH1132" s="11" t="s">
        <v>131</v>
      </c>
      <c r="AI1132" s="11"/>
      <c r="AJ1132" s="11">
        <v>2</v>
      </c>
      <c r="AK1132" s="11" t="s">
        <v>332</v>
      </c>
      <c r="AL1132" s="12">
        <v>4</v>
      </c>
      <c r="AM1132" s="12" t="s">
        <v>800</v>
      </c>
      <c r="AN1132" s="12" t="s">
        <v>4660</v>
      </c>
      <c r="AO1132" s="12">
        <v>4</v>
      </c>
      <c r="AP1132" s="12" t="s">
        <v>143</v>
      </c>
      <c r="AQ1132" s="4">
        <v>4</v>
      </c>
      <c r="AR1132" s="4" t="s">
        <v>133</v>
      </c>
      <c r="AS1132" s="4"/>
      <c r="AT1132" s="13">
        <v>-31.619636535644499</v>
      </c>
      <c r="AU1132" s="13">
        <v>-0.74282950162887595</v>
      </c>
      <c r="AV1132" s="13">
        <v>-1.0599999427795399</v>
      </c>
      <c r="AW1132" s="13">
        <v>-0.46590000391006497</v>
      </c>
      <c r="AX1132" s="4">
        <v>1</v>
      </c>
      <c r="AY1132" s="13">
        <v>-0.106522880494595</v>
      </c>
      <c r="AZ1132" s="13">
        <v>-1.09135545790195E-2</v>
      </c>
      <c r="BA1132" s="13">
        <v>-1.12000000476837</v>
      </c>
      <c r="BB1132" s="13">
        <v>0.94510298967361495</v>
      </c>
      <c r="BC1132" s="4"/>
      <c r="BD1132" s="4">
        <v>10</v>
      </c>
      <c r="BE1132" s="4" t="s">
        <v>134</v>
      </c>
      <c r="BF1132" s="13">
        <v>0.59409999847412098</v>
      </c>
      <c r="BG1132" s="4">
        <v>1066</v>
      </c>
      <c r="BH1132" s="13">
        <v>1.3400000333786</v>
      </c>
      <c r="BI1132" s="13">
        <v>1428.05004882813</v>
      </c>
      <c r="BJ1132" s="4"/>
      <c r="BK1132" s="14">
        <v>12</v>
      </c>
      <c r="BL1132" s="14">
        <v>14</v>
      </c>
      <c r="BM1132" s="14">
        <v>14</v>
      </c>
      <c r="BN1132" s="3" t="s">
        <v>86</v>
      </c>
      <c r="BP1132" s="15"/>
      <c r="BQ1132" s="15"/>
      <c r="BR1132" s="2" t="s">
        <v>239</v>
      </c>
      <c r="BS1132" s="2" t="s">
        <v>115</v>
      </c>
      <c r="BT1132" s="7" t="s">
        <v>241</v>
      </c>
      <c r="BU1132" s="7"/>
      <c r="BV1132" s="9" t="s">
        <v>98</v>
      </c>
      <c r="BW1132" s="9"/>
    </row>
    <row r="1133" spans="1:75" ht="14.25" customHeight="1" x14ac:dyDescent="0.25">
      <c r="A1133" s="1">
        <v>2004</v>
      </c>
      <c r="B1133" s="1" t="s">
        <v>4661</v>
      </c>
      <c r="C1133" s="1" t="s">
        <v>4662</v>
      </c>
      <c r="D1133" s="1" t="s">
        <v>77</v>
      </c>
      <c r="E1133" s="1" t="s">
        <v>2396</v>
      </c>
      <c r="F1133" s="1" t="s">
        <v>4591</v>
      </c>
      <c r="G1133" s="1"/>
      <c r="H1133" s="2">
        <v>0</v>
      </c>
      <c r="I1133" s="2">
        <v>0</v>
      </c>
      <c r="J1133" s="2">
        <v>0</v>
      </c>
      <c r="K1133" s="2">
        <v>1</v>
      </c>
      <c r="L1133" s="3" t="s">
        <v>80</v>
      </c>
      <c r="O1133" s="4">
        <v>3</v>
      </c>
      <c r="P1133" s="4" t="s">
        <v>81</v>
      </c>
      <c r="Q1133" s="4" t="s">
        <v>4663</v>
      </c>
      <c r="R1133" s="5"/>
      <c r="S1133" s="6"/>
      <c r="T1133" s="17"/>
      <c r="U1133" s="6"/>
      <c r="V1133" s="4"/>
      <c r="W1133" s="4"/>
      <c r="X1133" s="4"/>
      <c r="Y1133" s="7">
        <v>4</v>
      </c>
      <c r="Z1133" s="8">
        <v>212783</v>
      </c>
      <c r="AA1133" s="7" t="s">
        <v>82</v>
      </c>
      <c r="AB1133" s="7" t="s">
        <v>4664</v>
      </c>
      <c r="AC1133" s="9">
        <v>4</v>
      </c>
      <c r="AD1133" s="10">
        <v>212783</v>
      </c>
      <c r="AE1133" s="9" t="s">
        <v>82</v>
      </c>
      <c r="AF1133" s="9" t="s">
        <v>4664</v>
      </c>
      <c r="AG1133" s="11">
        <v>3</v>
      </c>
      <c r="AH1133" s="11" t="s">
        <v>83</v>
      </c>
      <c r="AI1133" s="11"/>
      <c r="AJ1133" s="11"/>
      <c r="AK1133" s="11"/>
      <c r="AL1133" s="12">
        <v>3</v>
      </c>
      <c r="AM1133" s="12" t="s">
        <v>83</v>
      </c>
      <c r="AN1133" s="12"/>
      <c r="AO1133" s="12"/>
      <c r="AP1133" s="12"/>
      <c r="AQ1133" s="4">
        <v>3</v>
      </c>
      <c r="AR1133" s="4" t="s">
        <v>83</v>
      </c>
      <c r="AS1133" s="4"/>
      <c r="AT1133" s="13"/>
      <c r="AU1133" s="13"/>
      <c r="AV1133" s="13"/>
      <c r="AW1133" s="13"/>
      <c r="AX1133" s="4"/>
      <c r="AY1133" s="13"/>
      <c r="AZ1133" s="13"/>
      <c r="BA1133" s="13"/>
      <c r="BB1133" s="13"/>
      <c r="BC1133" s="4"/>
      <c r="BD1133" s="4"/>
      <c r="BE1133" s="4"/>
      <c r="BF1133" s="13"/>
      <c r="BG1133" s="4"/>
      <c r="BH1133" s="13"/>
      <c r="BI1133" s="13"/>
      <c r="BJ1133" s="4"/>
      <c r="BK1133" s="14">
        <v>13</v>
      </c>
      <c r="BL1133" s="14">
        <v>13</v>
      </c>
      <c r="BM1133" s="14">
        <v>13</v>
      </c>
      <c r="BP1133" s="15"/>
      <c r="BQ1133" s="15"/>
      <c r="BR1133" s="2" t="s">
        <v>115</v>
      </c>
      <c r="BS1133" s="2" t="s">
        <v>115</v>
      </c>
      <c r="BT1133" s="7" t="s">
        <v>88</v>
      </c>
      <c r="BU1133" s="7" t="s">
        <v>147</v>
      </c>
      <c r="BV1133" s="9" t="s">
        <v>88</v>
      </c>
      <c r="BW1133" s="9" t="s">
        <v>147</v>
      </c>
    </row>
    <row r="1134" spans="1:75" ht="14.25" customHeight="1" x14ac:dyDescent="0.25">
      <c r="A1134" s="1">
        <v>2005</v>
      </c>
      <c r="B1134" s="1" t="s">
        <v>4665</v>
      </c>
      <c r="C1134" s="1" t="s">
        <v>4666</v>
      </c>
      <c r="D1134" s="1" t="s">
        <v>77</v>
      </c>
      <c r="E1134" s="1" t="s">
        <v>2396</v>
      </c>
      <c r="F1134" s="1" t="s">
        <v>4591</v>
      </c>
      <c r="G1134" s="1"/>
      <c r="H1134" s="2">
        <v>0</v>
      </c>
      <c r="I1134" s="2">
        <v>0</v>
      </c>
      <c r="J1134" s="2">
        <v>1</v>
      </c>
      <c r="K1134" s="2">
        <v>0</v>
      </c>
      <c r="L1134" s="3" t="s">
        <v>80</v>
      </c>
      <c r="O1134" s="4">
        <v>5</v>
      </c>
      <c r="P1134" s="4" t="s">
        <v>112</v>
      </c>
      <c r="Q1134" s="4"/>
      <c r="R1134" s="5"/>
      <c r="S1134" s="6"/>
      <c r="T1134" s="17"/>
      <c r="U1134" s="6"/>
      <c r="V1134" s="4"/>
      <c r="W1134" s="4"/>
      <c r="X1134" s="4"/>
      <c r="Y1134" s="7">
        <v>5</v>
      </c>
      <c r="Z1134" s="8">
        <v>30406</v>
      </c>
      <c r="AA1134" s="7" t="s">
        <v>92</v>
      </c>
      <c r="AB1134" s="7"/>
      <c r="AC1134" s="9">
        <v>5</v>
      </c>
      <c r="AD1134" s="10">
        <v>30406</v>
      </c>
      <c r="AE1134" s="9" t="s">
        <v>92</v>
      </c>
      <c r="AF1134" s="9"/>
      <c r="AG1134" s="11">
        <v>5</v>
      </c>
      <c r="AH1134" s="11" t="s">
        <v>93</v>
      </c>
      <c r="AI1134" s="11"/>
      <c r="AJ1134" s="11"/>
      <c r="AK1134" s="11"/>
      <c r="AL1134" s="12">
        <v>5</v>
      </c>
      <c r="AM1134" s="12" t="s">
        <v>93</v>
      </c>
      <c r="AN1134" s="12" t="s">
        <v>4667</v>
      </c>
      <c r="AO1134" s="12"/>
      <c r="AP1134" s="12"/>
      <c r="AQ1134" s="4">
        <v>5</v>
      </c>
      <c r="AR1134" s="4" t="s">
        <v>93</v>
      </c>
      <c r="AS1134" s="4"/>
      <c r="AT1134" s="13"/>
      <c r="AU1134" s="13"/>
      <c r="AV1134" s="13"/>
      <c r="AW1134" s="13"/>
      <c r="AX1134" s="4"/>
      <c r="AY1134" s="13"/>
      <c r="AZ1134" s="13"/>
      <c r="BA1134" s="13"/>
      <c r="BB1134" s="13"/>
      <c r="BC1134" s="4"/>
      <c r="BD1134" s="4"/>
      <c r="BE1134" s="4"/>
      <c r="BF1134" s="13"/>
      <c r="BG1134" s="4"/>
      <c r="BH1134" s="13"/>
      <c r="BI1134" s="13"/>
      <c r="BJ1134" s="4"/>
      <c r="BK1134" s="14">
        <v>20</v>
      </c>
      <c r="BL1134" s="14">
        <v>20</v>
      </c>
      <c r="BM1134" s="14">
        <v>20</v>
      </c>
      <c r="BN1134" s="3" t="s">
        <v>312</v>
      </c>
      <c r="BO1134" s="3" t="s">
        <v>114</v>
      </c>
      <c r="BP1134" s="15"/>
      <c r="BQ1134" s="15"/>
      <c r="BR1134" s="2" t="s">
        <v>409</v>
      </c>
      <c r="BS1134" s="2" t="s">
        <v>409</v>
      </c>
      <c r="BT1134" s="7" t="s">
        <v>147</v>
      </c>
      <c r="BU1134" s="7"/>
      <c r="BV1134" s="9" t="s">
        <v>147</v>
      </c>
      <c r="BW1134" s="9"/>
    </row>
    <row r="1135" spans="1:75" ht="14.25" customHeight="1" x14ac:dyDescent="0.25">
      <c r="A1135" s="1">
        <v>2006</v>
      </c>
      <c r="B1135" s="1" t="s">
        <v>4668</v>
      </c>
      <c r="C1135" s="1" t="s">
        <v>4669</v>
      </c>
      <c r="D1135" s="1" t="s">
        <v>77</v>
      </c>
      <c r="E1135" s="1" t="s">
        <v>2396</v>
      </c>
      <c r="F1135" s="1" t="s">
        <v>4591</v>
      </c>
      <c r="G1135" s="1"/>
      <c r="H1135" s="2">
        <v>0</v>
      </c>
      <c r="I1135" s="2">
        <v>0</v>
      </c>
      <c r="J1135" s="2">
        <v>1</v>
      </c>
      <c r="K1135" s="2">
        <v>0</v>
      </c>
      <c r="L1135" s="3" t="s">
        <v>80</v>
      </c>
      <c r="O1135" s="4">
        <v>5</v>
      </c>
      <c r="P1135" s="4" t="s">
        <v>112</v>
      </c>
      <c r="Q1135" s="4"/>
      <c r="R1135" s="5"/>
      <c r="S1135" s="6"/>
      <c r="T1135" s="17"/>
      <c r="U1135" s="6"/>
      <c r="V1135" s="4"/>
      <c r="W1135" s="4"/>
      <c r="X1135" s="4"/>
      <c r="Y1135" s="7">
        <v>5</v>
      </c>
      <c r="Z1135" s="8">
        <v>42177</v>
      </c>
      <c r="AA1135" s="7" t="s">
        <v>92</v>
      </c>
      <c r="AB1135" s="7"/>
      <c r="AC1135" s="9">
        <v>5</v>
      </c>
      <c r="AD1135" s="10">
        <v>42177</v>
      </c>
      <c r="AE1135" s="9" t="s">
        <v>92</v>
      </c>
      <c r="AF1135" s="9"/>
      <c r="AG1135" s="11">
        <v>5</v>
      </c>
      <c r="AH1135" s="11" t="s">
        <v>93</v>
      </c>
      <c r="AI1135" s="11"/>
      <c r="AJ1135" s="11"/>
      <c r="AK1135" s="11"/>
      <c r="AL1135" s="12">
        <v>5</v>
      </c>
      <c r="AM1135" s="12" t="s">
        <v>93</v>
      </c>
      <c r="AN1135" s="12" t="s">
        <v>4667</v>
      </c>
      <c r="AO1135" s="12"/>
      <c r="AP1135" s="12"/>
      <c r="AQ1135" s="4">
        <v>5</v>
      </c>
      <c r="AR1135" s="4" t="s">
        <v>93</v>
      </c>
      <c r="AS1135" s="4"/>
      <c r="AT1135" s="13"/>
      <c r="AU1135" s="13"/>
      <c r="AV1135" s="13"/>
      <c r="AW1135" s="13"/>
      <c r="AX1135" s="4"/>
      <c r="AY1135" s="13"/>
      <c r="AZ1135" s="13"/>
      <c r="BA1135" s="13"/>
      <c r="BB1135" s="13"/>
      <c r="BC1135" s="4"/>
      <c r="BD1135" s="4"/>
      <c r="BE1135" s="4"/>
      <c r="BF1135" s="13"/>
      <c r="BG1135" s="4"/>
      <c r="BH1135" s="13"/>
      <c r="BI1135" s="13"/>
      <c r="BJ1135" s="4"/>
      <c r="BK1135" s="14">
        <v>20</v>
      </c>
      <c r="BL1135" s="14">
        <v>20</v>
      </c>
      <c r="BM1135" s="14">
        <v>20</v>
      </c>
      <c r="BN1135" s="3" t="s">
        <v>312</v>
      </c>
      <c r="BO1135" s="3" t="s">
        <v>114</v>
      </c>
      <c r="BP1135" s="15"/>
      <c r="BQ1135" s="15"/>
      <c r="BR1135" s="2" t="s">
        <v>297</v>
      </c>
      <c r="BS1135" s="2" t="s">
        <v>297</v>
      </c>
      <c r="BT1135" s="7" t="s">
        <v>147</v>
      </c>
      <c r="BU1135" s="7"/>
      <c r="BV1135" s="9" t="s">
        <v>147</v>
      </c>
      <c r="BW1135" s="9"/>
    </row>
    <row r="1136" spans="1:75" ht="14.25" customHeight="1" x14ac:dyDescent="0.25">
      <c r="A1136" s="1">
        <v>2008</v>
      </c>
      <c r="B1136" s="1" t="s">
        <v>4670</v>
      </c>
      <c r="C1136" s="1" t="s">
        <v>4671</v>
      </c>
      <c r="D1136" s="1" t="s">
        <v>77</v>
      </c>
      <c r="E1136" s="1" t="s">
        <v>2396</v>
      </c>
      <c r="F1136" s="1" t="s">
        <v>4591</v>
      </c>
      <c r="G1136" s="1" t="s">
        <v>118</v>
      </c>
      <c r="H1136" s="2">
        <v>0</v>
      </c>
      <c r="I1136" s="2">
        <v>0</v>
      </c>
      <c r="J1136" s="2">
        <v>1</v>
      </c>
      <c r="K1136" s="2">
        <v>0</v>
      </c>
      <c r="L1136" s="3" t="s">
        <v>80</v>
      </c>
      <c r="O1136" s="4">
        <v>5</v>
      </c>
      <c r="P1136" s="4" t="s">
        <v>112</v>
      </c>
      <c r="Q1136" s="4"/>
      <c r="R1136" s="5"/>
      <c r="S1136" s="6"/>
      <c r="T1136" s="17"/>
      <c r="U1136" s="6"/>
      <c r="V1136" s="4"/>
      <c r="W1136" s="4"/>
      <c r="X1136" s="4"/>
      <c r="Y1136" s="7">
        <v>5</v>
      </c>
      <c r="Z1136" s="8">
        <v>58953</v>
      </c>
      <c r="AA1136" s="7" t="s">
        <v>92</v>
      </c>
      <c r="AB1136" s="7"/>
      <c r="AC1136" s="9">
        <v>5</v>
      </c>
      <c r="AD1136" s="10">
        <v>58953</v>
      </c>
      <c r="AE1136" s="9" t="s">
        <v>92</v>
      </c>
      <c r="AF1136" s="9"/>
      <c r="AG1136" s="11">
        <v>5</v>
      </c>
      <c r="AH1136" s="11" t="s">
        <v>271</v>
      </c>
      <c r="AI1136" s="11" t="s">
        <v>4672</v>
      </c>
      <c r="AJ1136" s="11"/>
      <c r="AK1136" s="11"/>
      <c r="AL1136" s="12">
        <v>5</v>
      </c>
      <c r="AM1136" s="12" t="s">
        <v>271</v>
      </c>
      <c r="AN1136" s="12" t="s">
        <v>4673</v>
      </c>
      <c r="AO1136" s="12"/>
      <c r="AP1136" s="12"/>
      <c r="AQ1136" s="4">
        <v>5</v>
      </c>
      <c r="AR1136" s="4" t="s">
        <v>93</v>
      </c>
      <c r="AS1136" s="4"/>
      <c r="AT1136" s="13"/>
      <c r="AU1136" s="13"/>
      <c r="AV1136" s="13"/>
      <c r="AW1136" s="13"/>
      <c r="AX1136" s="4"/>
      <c r="AY1136" s="13"/>
      <c r="AZ1136" s="13"/>
      <c r="BA1136" s="13"/>
      <c r="BB1136" s="13"/>
      <c r="BC1136" s="4"/>
      <c r="BD1136" s="4"/>
      <c r="BE1136" s="4"/>
      <c r="BF1136" s="13"/>
      <c r="BG1136" s="4"/>
      <c r="BH1136" s="13"/>
      <c r="BI1136" s="13"/>
      <c r="BJ1136" s="4"/>
      <c r="BK1136" s="14">
        <v>20</v>
      </c>
      <c r="BL1136" s="14">
        <v>20</v>
      </c>
      <c r="BM1136" s="14">
        <v>20</v>
      </c>
      <c r="BN1136" s="3" t="s">
        <v>312</v>
      </c>
      <c r="BO1136" s="3" t="s">
        <v>120</v>
      </c>
      <c r="BP1136" s="15"/>
      <c r="BQ1136" s="15"/>
      <c r="BR1136" s="2" t="s">
        <v>115</v>
      </c>
      <c r="BS1136" s="2" t="s">
        <v>115</v>
      </c>
      <c r="BT1136" s="7" t="s">
        <v>147</v>
      </c>
      <c r="BU1136" s="7"/>
      <c r="BV1136" s="9" t="s">
        <v>147</v>
      </c>
      <c r="BW1136" s="9"/>
    </row>
    <row r="1137" spans="1:75" ht="14.25" customHeight="1" x14ac:dyDescent="0.25">
      <c r="A1137" s="1">
        <v>2009</v>
      </c>
      <c r="B1137" s="1" t="s">
        <v>4674</v>
      </c>
      <c r="C1137" s="1" t="s">
        <v>4675</v>
      </c>
      <c r="D1137" s="1" t="s">
        <v>77</v>
      </c>
      <c r="E1137" s="1" t="s">
        <v>2396</v>
      </c>
      <c r="F1137" s="1" t="s">
        <v>4591</v>
      </c>
      <c r="G1137" s="1"/>
      <c r="H1137" s="2">
        <v>1</v>
      </c>
      <c r="I1137" s="2">
        <v>1</v>
      </c>
      <c r="J1137" s="2">
        <v>1</v>
      </c>
      <c r="K1137" s="2">
        <v>1</v>
      </c>
      <c r="L1137" s="3" t="s">
        <v>127</v>
      </c>
      <c r="O1137" s="4">
        <v>1</v>
      </c>
      <c r="P1137" s="4" t="s">
        <v>1840</v>
      </c>
      <c r="Q1137" s="4"/>
      <c r="R1137" s="16">
        <v>77000000</v>
      </c>
      <c r="S1137" s="6">
        <v>77000000</v>
      </c>
      <c r="T1137" s="16">
        <v>76000000</v>
      </c>
      <c r="U1137" s="6">
        <v>76000000</v>
      </c>
      <c r="V1137" s="4">
        <v>2010.5</v>
      </c>
      <c r="W1137" s="4" t="s">
        <v>579</v>
      </c>
      <c r="X1137" s="4"/>
      <c r="Y1137" s="7">
        <v>1</v>
      </c>
      <c r="Z1137" s="8">
        <v>11108512</v>
      </c>
      <c r="AA1137" s="7" t="s">
        <v>92</v>
      </c>
      <c r="AB1137" s="7"/>
      <c r="AC1137" s="9">
        <v>2</v>
      </c>
      <c r="AD1137" s="10">
        <v>3395587</v>
      </c>
      <c r="AE1137" s="9" t="s">
        <v>92</v>
      </c>
      <c r="AF1137" s="9"/>
      <c r="AG1137" s="11">
        <v>2</v>
      </c>
      <c r="AH1137" s="11" t="s">
        <v>131</v>
      </c>
      <c r="AI1137" s="11"/>
      <c r="AJ1137" s="11">
        <v>2</v>
      </c>
      <c r="AK1137" s="11" t="s">
        <v>143</v>
      </c>
      <c r="AL1137" s="12">
        <v>2</v>
      </c>
      <c r="AM1137" s="12" t="s">
        <v>131</v>
      </c>
      <c r="AN1137" s="12"/>
      <c r="AO1137" s="12">
        <v>2</v>
      </c>
      <c r="AP1137" s="12" t="s">
        <v>143</v>
      </c>
      <c r="AQ1137" s="4">
        <v>4</v>
      </c>
      <c r="AR1137" s="4" t="s">
        <v>133</v>
      </c>
      <c r="AS1137" s="4"/>
      <c r="AT1137" s="13">
        <v>-30.338748931884801</v>
      </c>
      <c r="AU1137" s="13">
        <v>-0.70598030090331998</v>
      </c>
      <c r="AV1137" s="13">
        <v>-0.91260099411010698</v>
      </c>
      <c r="AW1137" s="13">
        <v>-0.46399998664856001</v>
      </c>
      <c r="AX1137" s="4">
        <v>1</v>
      </c>
      <c r="AY1137" s="13">
        <v>-3.2474057674407999</v>
      </c>
      <c r="AZ1137" s="13">
        <v>-0.329680025577545</v>
      </c>
      <c r="BA1137" s="13">
        <v>-0.59969997406005904</v>
      </c>
      <c r="BB1137" s="13">
        <v>0.104000002145767</v>
      </c>
      <c r="BC1137" s="4"/>
      <c r="BD1137" s="4">
        <v>10</v>
      </c>
      <c r="BE1137" s="4" t="s">
        <v>134</v>
      </c>
      <c r="BF1137" s="13">
        <v>0.44860100746154802</v>
      </c>
      <c r="BG1137" s="4">
        <v>4200</v>
      </c>
      <c r="BH1137" s="13">
        <v>7.0500001907348597</v>
      </c>
      <c r="BI1137" s="13">
        <v>29598.029296875</v>
      </c>
      <c r="BJ1137" s="4"/>
      <c r="BK1137" s="14">
        <v>8</v>
      </c>
      <c r="BL1137" s="14">
        <v>9</v>
      </c>
      <c r="BM1137" s="14">
        <v>9</v>
      </c>
      <c r="BP1137" s="15"/>
      <c r="BQ1137" s="15" t="s">
        <v>136</v>
      </c>
      <c r="BR1137" s="2" t="s">
        <v>172</v>
      </c>
      <c r="BS1137" s="2" t="s">
        <v>247</v>
      </c>
      <c r="BT1137" s="7" t="s">
        <v>458</v>
      </c>
      <c r="BU1137" s="7" t="s">
        <v>147</v>
      </c>
      <c r="BV1137" s="9" t="s">
        <v>458</v>
      </c>
      <c r="BW1137" s="9" t="s">
        <v>147</v>
      </c>
    </row>
    <row r="1138" spans="1:75" ht="14.25" customHeight="1" x14ac:dyDescent="0.25">
      <c r="A1138" s="1">
        <v>2010</v>
      </c>
      <c r="B1138" s="1" t="s">
        <v>4676</v>
      </c>
      <c r="C1138" s="1" t="s">
        <v>4677</v>
      </c>
      <c r="D1138" s="1" t="s">
        <v>77</v>
      </c>
      <c r="E1138" s="1" t="s">
        <v>2396</v>
      </c>
      <c r="F1138" s="1" t="s">
        <v>4591</v>
      </c>
      <c r="G1138" s="1"/>
      <c r="H1138" s="2">
        <v>0</v>
      </c>
      <c r="I1138" s="2">
        <v>0</v>
      </c>
      <c r="J1138" s="2">
        <v>1</v>
      </c>
      <c r="K1138" s="2">
        <v>0</v>
      </c>
      <c r="L1138" s="3" t="s">
        <v>80</v>
      </c>
      <c r="O1138" s="4">
        <v>5</v>
      </c>
      <c r="P1138" s="4" t="s">
        <v>112</v>
      </c>
      <c r="Q1138" s="4" t="s">
        <v>4075</v>
      </c>
      <c r="R1138" s="5"/>
      <c r="S1138" s="6"/>
      <c r="T1138" s="17"/>
      <c r="U1138" s="6"/>
      <c r="V1138" s="4"/>
      <c r="W1138" s="4"/>
      <c r="X1138" s="4"/>
      <c r="Y1138" s="7">
        <v>4</v>
      </c>
      <c r="Z1138" s="8">
        <v>117527</v>
      </c>
      <c r="AA1138" s="7" t="s">
        <v>92</v>
      </c>
      <c r="AB1138" s="7"/>
      <c r="AC1138" s="9">
        <v>4</v>
      </c>
      <c r="AD1138" s="10">
        <v>117527</v>
      </c>
      <c r="AE1138" s="9" t="s">
        <v>92</v>
      </c>
      <c r="AF1138" s="9"/>
      <c r="AG1138" s="11">
        <v>3</v>
      </c>
      <c r="AH1138" s="11" t="s">
        <v>93</v>
      </c>
      <c r="AI1138" s="11"/>
      <c r="AJ1138" s="11"/>
      <c r="AK1138" s="11"/>
      <c r="AL1138" s="12">
        <v>3</v>
      </c>
      <c r="AM1138" s="12" t="s">
        <v>93</v>
      </c>
      <c r="AN1138" s="12" t="s">
        <v>4678</v>
      </c>
      <c r="AO1138" s="12"/>
      <c r="AP1138" s="12"/>
      <c r="AQ1138" s="4">
        <v>3</v>
      </c>
      <c r="AR1138" s="4" t="s">
        <v>93</v>
      </c>
      <c r="AS1138" s="4"/>
      <c r="AT1138" s="13"/>
      <c r="AU1138" s="13"/>
      <c r="AV1138" s="13"/>
      <c r="AW1138" s="13"/>
      <c r="AX1138" s="4"/>
      <c r="AY1138" s="13"/>
      <c r="AZ1138" s="13"/>
      <c r="BA1138" s="13"/>
      <c r="BB1138" s="13"/>
      <c r="BC1138" s="4"/>
      <c r="BD1138" s="4"/>
      <c r="BE1138" s="4"/>
      <c r="BF1138" s="13"/>
      <c r="BG1138" s="4"/>
      <c r="BH1138" s="13"/>
      <c r="BI1138" s="13"/>
      <c r="BJ1138" s="4"/>
      <c r="BK1138" s="14">
        <v>15</v>
      </c>
      <c r="BL1138" s="14">
        <v>15</v>
      </c>
      <c r="BM1138" s="14">
        <v>15</v>
      </c>
      <c r="BN1138" s="3" t="s">
        <v>86</v>
      </c>
      <c r="BP1138" s="15"/>
      <c r="BQ1138" s="15"/>
      <c r="BR1138" s="2" t="s">
        <v>409</v>
      </c>
      <c r="BS1138" s="2" t="s">
        <v>409</v>
      </c>
      <c r="BT1138" s="7" t="s">
        <v>679</v>
      </c>
      <c r="BU1138" s="7"/>
      <c r="BV1138" s="9" t="s">
        <v>679</v>
      </c>
      <c r="BW1138" s="9"/>
    </row>
    <row r="1139" spans="1:75" ht="14.25" customHeight="1" x14ac:dyDescent="0.25">
      <c r="A1139" s="1">
        <v>2015</v>
      </c>
      <c r="B1139" s="1" t="s">
        <v>4679</v>
      </c>
      <c r="C1139" s="1" t="s">
        <v>4680</v>
      </c>
      <c r="D1139" s="1" t="s">
        <v>77</v>
      </c>
      <c r="E1139" s="1" t="s">
        <v>2396</v>
      </c>
      <c r="F1139" s="1" t="s">
        <v>4591</v>
      </c>
      <c r="G1139" s="1" t="s">
        <v>118</v>
      </c>
      <c r="H1139" s="2">
        <v>1</v>
      </c>
      <c r="I1139" s="2">
        <v>1</v>
      </c>
      <c r="J1139" s="2">
        <v>1</v>
      </c>
      <c r="K1139" s="2">
        <v>1</v>
      </c>
      <c r="L1139" s="3" t="s">
        <v>127</v>
      </c>
      <c r="O1139" s="4">
        <v>2</v>
      </c>
      <c r="P1139" s="4" t="s">
        <v>425</v>
      </c>
      <c r="Q1139" s="4"/>
      <c r="R1139" s="16">
        <v>5200000</v>
      </c>
      <c r="S1139" s="6">
        <v>5200000</v>
      </c>
      <c r="T1139" s="16">
        <v>5200000</v>
      </c>
      <c r="U1139" s="6">
        <v>5200000</v>
      </c>
      <c r="V1139" s="4">
        <v>2010.5</v>
      </c>
      <c r="W1139" s="4" t="s">
        <v>425</v>
      </c>
      <c r="X1139" s="4"/>
      <c r="Y1139" s="7">
        <v>2</v>
      </c>
      <c r="Z1139" s="8">
        <v>1999482</v>
      </c>
      <c r="AA1139" s="7" t="s">
        <v>92</v>
      </c>
      <c r="AB1139" s="7"/>
      <c r="AC1139" s="9">
        <v>3</v>
      </c>
      <c r="AD1139" s="10">
        <v>752489</v>
      </c>
      <c r="AE1139" s="9" t="s">
        <v>815</v>
      </c>
      <c r="AF1139" s="9" t="s">
        <v>4681</v>
      </c>
      <c r="AG1139" s="11">
        <v>3</v>
      </c>
      <c r="AH1139" s="11" t="s">
        <v>131</v>
      </c>
      <c r="AI1139" s="11"/>
      <c r="AJ1139" s="11">
        <v>2</v>
      </c>
      <c r="AK1139" s="11" t="s">
        <v>143</v>
      </c>
      <c r="AL1139" s="12">
        <v>4</v>
      </c>
      <c r="AM1139" s="12" t="s">
        <v>131</v>
      </c>
      <c r="AN1139" s="12" t="s">
        <v>4682</v>
      </c>
      <c r="AO1139" s="12">
        <v>4</v>
      </c>
      <c r="AP1139" s="12" t="s">
        <v>132</v>
      </c>
      <c r="AQ1139" s="4">
        <v>1</v>
      </c>
      <c r="AR1139" s="4" t="s">
        <v>133</v>
      </c>
      <c r="AS1139" s="4"/>
      <c r="AT1139" s="13">
        <v>119.26263427734401</v>
      </c>
      <c r="AU1139" s="13">
        <v>1.55361759662628</v>
      </c>
      <c r="AV1139" s="13">
        <v>1.20000004768372</v>
      </c>
      <c r="AW1139" s="13">
        <v>1.8677949905395499</v>
      </c>
      <c r="AX1139" s="4">
        <v>1</v>
      </c>
      <c r="AY1139" s="13">
        <v>14.6693334579468</v>
      </c>
      <c r="AZ1139" s="13">
        <v>1.3783695697784399</v>
      </c>
      <c r="BA1139" s="13">
        <v>0.202000007033348</v>
      </c>
      <c r="BB1139" s="13">
        <v>2.2935988903045699</v>
      </c>
      <c r="BC1139" s="4">
        <v>1</v>
      </c>
      <c r="BD1139" s="4">
        <v>10</v>
      </c>
      <c r="BE1139" s="4" t="s">
        <v>134</v>
      </c>
      <c r="BF1139" s="13">
        <v>0.66779500246047996</v>
      </c>
      <c r="BG1139" s="4">
        <v>1021.5</v>
      </c>
      <c r="BH1139" s="13">
        <v>1.8650000095367401</v>
      </c>
      <c r="BI1139" s="13">
        <v>1903.85998535156</v>
      </c>
      <c r="BJ1139" s="4"/>
      <c r="BK1139" s="14">
        <v>8</v>
      </c>
      <c r="BL1139" s="14">
        <v>10</v>
      </c>
      <c r="BM1139" s="14">
        <v>10</v>
      </c>
      <c r="BP1139" s="15"/>
      <c r="BQ1139" s="15"/>
      <c r="BR1139" s="2" t="s">
        <v>239</v>
      </c>
      <c r="BS1139" s="2" t="s">
        <v>115</v>
      </c>
      <c r="BT1139" s="7" t="s">
        <v>241</v>
      </c>
      <c r="BU1139" s="7"/>
      <c r="BV1139" s="9" t="s">
        <v>98</v>
      </c>
      <c r="BW1139" s="9"/>
    </row>
    <row r="1140" spans="1:75" ht="14.25" customHeight="1" x14ac:dyDescent="0.25">
      <c r="A1140" s="1">
        <v>2016</v>
      </c>
      <c r="B1140" s="1" t="s">
        <v>4683</v>
      </c>
      <c r="C1140" s="1" t="s">
        <v>4684</v>
      </c>
      <c r="D1140" s="1" t="s">
        <v>77</v>
      </c>
      <c r="E1140" s="1" t="s">
        <v>2396</v>
      </c>
      <c r="F1140" s="1" t="s">
        <v>4591</v>
      </c>
      <c r="G1140" s="1" t="s">
        <v>118</v>
      </c>
      <c r="H1140" s="2">
        <v>1</v>
      </c>
      <c r="I1140" s="2">
        <v>1</v>
      </c>
      <c r="J1140" s="2">
        <v>1</v>
      </c>
      <c r="K1140" s="2">
        <v>1</v>
      </c>
      <c r="L1140" s="3" t="s">
        <v>127</v>
      </c>
      <c r="O1140" s="4">
        <v>2</v>
      </c>
      <c r="P1140" s="4" t="s">
        <v>579</v>
      </c>
      <c r="Q1140" s="4" t="s">
        <v>4685</v>
      </c>
      <c r="R1140" s="16">
        <v>42000000</v>
      </c>
      <c r="S1140" s="6">
        <v>42000000</v>
      </c>
      <c r="T1140" s="16">
        <v>42000000</v>
      </c>
      <c r="U1140" s="6">
        <v>42000000</v>
      </c>
      <c r="V1140" s="4">
        <v>2010.5</v>
      </c>
      <c r="W1140" s="4" t="s">
        <v>579</v>
      </c>
      <c r="X1140" s="4"/>
      <c r="Y1140" s="7">
        <v>1</v>
      </c>
      <c r="Z1140" s="8">
        <v>6655743</v>
      </c>
      <c r="AA1140" s="7" t="s">
        <v>92</v>
      </c>
      <c r="AB1140" s="7"/>
      <c r="AC1140" s="9">
        <v>2</v>
      </c>
      <c r="AD1140" s="10">
        <v>3705496</v>
      </c>
      <c r="AE1140" s="9" t="s">
        <v>92</v>
      </c>
      <c r="AF1140" s="9"/>
      <c r="AG1140" s="11">
        <v>3</v>
      </c>
      <c r="AH1140" s="11" t="s">
        <v>131</v>
      </c>
      <c r="AI1140" s="11"/>
      <c r="AJ1140" s="11">
        <v>3</v>
      </c>
      <c r="AK1140" s="11" t="s">
        <v>132</v>
      </c>
      <c r="AL1140" s="12">
        <v>3</v>
      </c>
      <c r="AM1140" s="12" t="s">
        <v>131</v>
      </c>
      <c r="AN1140" s="12" t="s">
        <v>4686</v>
      </c>
      <c r="AO1140" s="12">
        <v>2</v>
      </c>
      <c r="AP1140" s="12" t="s">
        <v>132</v>
      </c>
      <c r="AQ1140" s="4">
        <v>2</v>
      </c>
      <c r="AR1140" s="4" t="s">
        <v>133</v>
      </c>
      <c r="AS1140" s="4"/>
      <c r="AT1140" s="13">
        <v>-9.4544153213500994</v>
      </c>
      <c r="AU1140" s="13">
        <v>-0.194602280855179</v>
      </c>
      <c r="AV1140" s="13">
        <v>-0.465499997138977</v>
      </c>
      <c r="AW1140" s="13">
        <v>0.18600000441074399</v>
      </c>
      <c r="AX1140" s="4"/>
      <c r="AY1140" s="13">
        <v>13.299109458923301</v>
      </c>
      <c r="AZ1140" s="13">
        <v>1.25755047798157</v>
      </c>
      <c r="BA1140" s="13">
        <v>0.51599997282028198</v>
      </c>
      <c r="BB1140" s="13">
        <v>1.9979000091552701</v>
      </c>
      <c r="BC1140" s="4">
        <v>1</v>
      </c>
      <c r="BD1140" s="4">
        <v>10</v>
      </c>
      <c r="BE1140" s="4" t="s">
        <v>134</v>
      </c>
      <c r="BF1140" s="13">
        <v>0.65149998664856001</v>
      </c>
      <c r="BG1140" s="4">
        <v>2288.5</v>
      </c>
      <c r="BH1140" s="13">
        <v>3.8699998855590798</v>
      </c>
      <c r="BI1140" s="13">
        <v>8846.9951171875</v>
      </c>
      <c r="BJ1140" s="4"/>
      <c r="BK1140" s="14">
        <v>8</v>
      </c>
      <c r="BL1140" s="14">
        <v>9</v>
      </c>
      <c r="BM1140" s="14">
        <v>9</v>
      </c>
      <c r="BP1140" s="15"/>
      <c r="BQ1140" s="15"/>
      <c r="BR1140" s="2" t="s">
        <v>211</v>
      </c>
      <c r="BS1140" s="2" t="s">
        <v>97</v>
      </c>
      <c r="BT1140" s="7" t="s">
        <v>509</v>
      </c>
      <c r="BU1140" s="7"/>
      <c r="BV1140" s="9" t="s">
        <v>797</v>
      </c>
      <c r="BW1140" s="9" t="s">
        <v>623</v>
      </c>
    </row>
    <row r="1141" spans="1:75" ht="14.25" customHeight="1" x14ac:dyDescent="0.25">
      <c r="A1141" s="1">
        <v>2022</v>
      </c>
      <c r="B1141" s="1" t="s">
        <v>4687</v>
      </c>
      <c r="C1141" s="1" t="s">
        <v>4688</v>
      </c>
      <c r="D1141" s="1" t="s">
        <v>77</v>
      </c>
      <c r="E1141" s="1" t="s">
        <v>2396</v>
      </c>
      <c r="F1141" s="1" t="s">
        <v>4591</v>
      </c>
      <c r="G1141" s="1" t="s">
        <v>118</v>
      </c>
      <c r="H1141" s="2">
        <v>1</v>
      </c>
      <c r="I1141" s="2">
        <v>1</v>
      </c>
      <c r="J1141" s="2">
        <v>1</v>
      </c>
      <c r="K1141" s="2">
        <v>1</v>
      </c>
      <c r="L1141" s="3" t="s">
        <v>127</v>
      </c>
      <c r="O1141" s="4">
        <v>2</v>
      </c>
      <c r="P1141" s="4" t="s">
        <v>579</v>
      </c>
      <c r="Q1141" s="4"/>
      <c r="R1141" s="16">
        <v>39000000</v>
      </c>
      <c r="S1141" s="6">
        <v>39000000</v>
      </c>
      <c r="T1141" s="16">
        <v>39000000</v>
      </c>
      <c r="U1141" s="6">
        <v>39000000</v>
      </c>
      <c r="V1141" s="4">
        <v>2010.5</v>
      </c>
      <c r="W1141" s="4" t="s">
        <v>579</v>
      </c>
      <c r="X1141" s="4"/>
      <c r="Y1141" s="7">
        <v>2</v>
      </c>
      <c r="Z1141" s="8">
        <v>3645972</v>
      </c>
      <c r="AA1141" s="7" t="s">
        <v>92</v>
      </c>
      <c r="AB1141" s="7"/>
      <c r="AC1141" s="9">
        <v>2</v>
      </c>
      <c r="AD1141" s="10">
        <v>1113599</v>
      </c>
      <c r="AE1141" s="9" t="s">
        <v>92</v>
      </c>
      <c r="AF1141" s="9"/>
      <c r="AG1141" s="11">
        <v>3</v>
      </c>
      <c r="AH1141" s="11" t="s">
        <v>131</v>
      </c>
      <c r="AI1141" s="11"/>
      <c r="AJ1141" s="11">
        <v>4</v>
      </c>
      <c r="AK1141" s="11" t="s">
        <v>332</v>
      </c>
      <c r="AL1141" s="12">
        <v>3</v>
      </c>
      <c r="AM1141" s="12" t="s">
        <v>131</v>
      </c>
      <c r="AN1141" s="12"/>
      <c r="AO1141" s="12">
        <v>3</v>
      </c>
      <c r="AP1141" s="12" t="s">
        <v>132</v>
      </c>
      <c r="AQ1141" s="4">
        <v>2</v>
      </c>
      <c r="AR1141" s="4" t="s">
        <v>133</v>
      </c>
      <c r="AS1141" s="4"/>
      <c r="AT1141" s="13">
        <v>32.184123992919901</v>
      </c>
      <c r="AU1141" s="13">
        <v>0.54911410808563199</v>
      </c>
      <c r="AV1141" s="13">
        <v>-5.4000001400709201E-2</v>
      </c>
      <c r="AW1141" s="13">
        <v>1.0164979696273799</v>
      </c>
      <c r="AX1141" s="4"/>
      <c r="AY1141" s="13">
        <v>-9.9101467132568395</v>
      </c>
      <c r="AZ1141" s="13">
        <v>-1.03476107120514</v>
      </c>
      <c r="BA1141" s="13">
        <v>-2.8399999141693102</v>
      </c>
      <c r="BB1141" s="13">
        <v>0.52460402250289895</v>
      </c>
      <c r="BC1141" s="4"/>
      <c r="BD1141" s="4">
        <v>10</v>
      </c>
      <c r="BE1141" s="4" t="s">
        <v>134</v>
      </c>
      <c r="BF1141" s="13">
        <v>1.0704979896545399</v>
      </c>
      <c r="BG1141" s="4">
        <v>1096.5</v>
      </c>
      <c r="BH1141" s="13">
        <v>8.2449998855590803</v>
      </c>
      <c r="BI1141" s="13">
        <v>9019.8095703125</v>
      </c>
      <c r="BJ1141" s="4"/>
      <c r="BK1141" s="14">
        <v>9</v>
      </c>
      <c r="BL1141" s="14">
        <v>9</v>
      </c>
      <c r="BM1141" s="14">
        <v>9</v>
      </c>
      <c r="BP1141" s="15"/>
      <c r="BQ1141" s="15"/>
      <c r="BR1141" s="2" t="s">
        <v>211</v>
      </c>
      <c r="BS1141" s="2" t="s">
        <v>115</v>
      </c>
      <c r="BT1141" s="7" t="s">
        <v>527</v>
      </c>
      <c r="BU1141" s="7" t="s">
        <v>241</v>
      </c>
      <c r="BV1141" s="9" t="s">
        <v>458</v>
      </c>
      <c r="BW1141" s="9"/>
    </row>
    <row r="1142" spans="1:75" ht="14.25" customHeight="1" x14ac:dyDescent="0.25">
      <c r="A1142" s="1">
        <v>2023</v>
      </c>
      <c r="B1142" s="1" t="s">
        <v>4689</v>
      </c>
      <c r="C1142" s="1" t="s">
        <v>4690</v>
      </c>
      <c r="D1142" s="1" t="s">
        <v>77</v>
      </c>
      <c r="E1142" s="1" t="s">
        <v>2396</v>
      </c>
      <c r="F1142" s="1" t="s">
        <v>4591</v>
      </c>
      <c r="G1142" s="1" t="s">
        <v>118</v>
      </c>
      <c r="H1142" s="2">
        <v>1</v>
      </c>
      <c r="I1142" s="2">
        <v>1</v>
      </c>
      <c r="J1142" s="2">
        <v>1</v>
      </c>
      <c r="K1142" s="2">
        <v>1</v>
      </c>
      <c r="L1142" s="3" t="s">
        <v>127</v>
      </c>
      <c r="O1142" s="4">
        <v>2</v>
      </c>
      <c r="P1142" s="4" t="s">
        <v>579</v>
      </c>
      <c r="Q1142" s="4"/>
      <c r="R1142" s="16">
        <v>9900000</v>
      </c>
      <c r="S1142" s="6">
        <v>9900000</v>
      </c>
      <c r="T1142" s="16">
        <v>9900000</v>
      </c>
      <c r="U1142" s="6">
        <v>9900000</v>
      </c>
      <c r="V1142" s="4">
        <v>2010.5</v>
      </c>
      <c r="W1142" s="4" t="s">
        <v>579</v>
      </c>
      <c r="X1142" s="4"/>
      <c r="Y1142" s="7">
        <v>2</v>
      </c>
      <c r="Z1142" s="8">
        <v>2634129</v>
      </c>
      <c r="AA1142" s="7" t="s">
        <v>92</v>
      </c>
      <c r="AB1142" s="7"/>
      <c r="AC1142" s="9">
        <v>3</v>
      </c>
      <c r="AD1142" s="10">
        <v>690000</v>
      </c>
      <c r="AE1142" s="9" t="s">
        <v>582</v>
      </c>
      <c r="AF1142" s="9" t="s">
        <v>4691</v>
      </c>
      <c r="AG1142" s="11">
        <v>4</v>
      </c>
      <c r="AH1142" s="11" t="s">
        <v>518</v>
      </c>
      <c r="AI1142" s="11" t="s">
        <v>519</v>
      </c>
      <c r="AJ1142" s="11">
        <v>5</v>
      </c>
      <c r="AK1142" s="11" t="s">
        <v>143</v>
      </c>
      <c r="AL1142" s="12">
        <v>3</v>
      </c>
      <c r="AM1142" s="12" t="s">
        <v>271</v>
      </c>
      <c r="AN1142" s="12" t="s">
        <v>4692</v>
      </c>
      <c r="AO1142" s="12"/>
      <c r="AP1142" s="12"/>
      <c r="AQ1142" s="4">
        <v>2</v>
      </c>
      <c r="AR1142" s="4" t="s">
        <v>133</v>
      </c>
      <c r="AS1142" s="4"/>
      <c r="AT1142" s="13">
        <v>-18.996412277221701</v>
      </c>
      <c r="AU1142" s="13">
        <v>-0.412264823913574</v>
      </c>
      <c r="AV1142" s="13">
        <v>-1.58740305900574</v>
      </c>
      <c r="AW1142" s="13">
        <v>1.0700000524520901</v>
      </c>
      <c r="AX1142" s="4"/>
      <c r="AY1142" s="13">
        <v>39.044258117675803</v>
      </c>
      <c r="AZ1142" s="13">
        <v>3.3519237041473402</v>
      </c>
      <c r="BA1142" s="13">
        <v>-1.37999999523163</v>
      </c>
      <c r="BB1142" s="13">
        <v>7.8094010353088397</v>
      </c>
      <c r="BC1142" s="4"/>
      <c r="BD1142" s="4">
        <v>10</v>
      </c>
      <c r="BE1142" s="4" t="s">
        <v>134</v>
      </c>
      <c r="BF1142" s="13">
        <v>2.65740299224854</v>
      </c>
      <c r="BG1142" s="4">
        <v>486.5</v>
      </c>
      <c r="BH1142" s="13">
        <v>1.58500003814697</v>
      </c>
      <c r="BI1142" s="13">
        <v>771.24499511718795</v>
      </c>
      <c r="BJ1142" s="4"/>
      <c r="BK1142" s="14">
        <v>10</v>
      </c>
      <c r="BL1142" s="14">
        <v>10</v>
      </c>
      <c r="BM1142" s="14">
        <v>10</v>
      </c>
      <c r="BP1142" s="15"/>
      <c r="BQ1142" s="15"/>
      <c r="BR1142" s="2" t="s">
        <v>211</v>
      </c>
      <c r="BS1142" s="2" t="s">
        <v>121</v>
      </c>
      <c r="BT1142" s="7" t="s">
        <v>527</v>
      </c>
      <c r="BU1142" s="7"/>
      <c r="BV1142" s="9" t="s">
        <v>98</v>
      </c>
      <c r="BW1142" s="9"/>
    </row>
    <row r="1143" spans="1:75" ht="14.25" customHeight="1" x14ac:dyDescent="0.25">
      <c r="A1143" s="1">
        <v>2024</v>
      </c>
      <c r="B1143" s="1" t="s">
        <v>4693</v>
      </c>
      <c r="C1143" s="1" t="s">
        <v>4694</v>
      </c>
      <c r="D1143" s="1" t="s">
        <v>77</v>
      </c>
      <c r="E1143" s="1" t="s">
        <v>2396</v>
      </c>
      <c r="F1143" s="1" t="s">
        <v>4591</v>
      </c>
      <c r="G1143" s="1" t="s">
        <v>118</v>
      </c>
      <c r="H1143" s="2">
        <v>1</v>
      </c>
      <c r="I1143" s="2">
        <v>1</v>
      </c>
      <c r="J1143" s="2">
        <v>1</v>
      </c>
      <c r="K1143" s="2">
        <v>1</v>
      </c>
      <c r="L1143" s="3" t="s">
        <v>127</v>
      </c>
      <c r="O1143" s="4">
        <v>2</v>
      </c>
      <c r="P1143" s="4" t="s">
        <v>2693</v>
      </c>
      <c r="Q1143" s="4"/>
      <c r="R1143" s="16">
        <v>13000000</v>
      </c>
      <c r="S1143" s="6">
        <v>13000000</v>
      </c>
      <c r="T1143" s="16">
        <v>13000000</v>
      </c>
      <c r="U1143" s="6">
        <v>13000000</v>
      </c>
      <c r="V1143" s="4">
        <v>2010.5</v>
      </c>
      <c r="W1143" s="4" t="s">
        <v>579</v>
      </c>
      <c r="X1143" s="4"/>
      <c r="Y1143" s="7">
        <v>2</v>
      </c>
      <c r="Z1143" s="8">
        <v>2020085</v>
      </c>
      <c r="AA1143" s="7" t="s">
        <v>92</v>
      </c>
      <c r="AB1143" s="7"/>
      <c r="AC1143" s="9">
        <v>2</v>
      </c>
      <c r="AD1143" s="10">
        <v>1911250</v>
      </c>
      <c r="AE1143" s="9" t="s">
        <v>92</v>
      </c>
      <c r="AF1143" s="9"/>
      <c r="AG1143" s="11">
        <v>4</v>
      </c>
      <c r="AH1143" s="11" t="s">
        <v>131</v>
      </c>
      <c r="AI1143" s="11" t="s">
        <v>4695</v>
      </c>
      <c r="AJ1143" s="11">
        <v>4</v>
      </c>
      <c r="AK1143" s="11" t="s">
        <v>143</v>
      </c>
      <c r="AL1143" s="12">
        <v>3</v>
      </c>
      <c r="AM1143" s="12" t="s">
        <v>271</v>
      </c>
      <c r="AN1143" s="12"/>
      <c r="AO1143" s="12"/>
      <c r="AP1143" s="12"/>
      <c r="AQ1143" s="4">
        <v>2</v>
      </c>
      <c r="AR1143" s="4" t="s">
        <v>133</v>
      </c>
      <c r="AS1143" s="4"/>
      <c r="AT1143" s="13">
        <v>4.0189642906189</v>
      </c>
      <c r="AU1143" s="13">
        <v>7.7289238572120694E-2</v>
      </c>
      <c r="AV1143" s="13">
        <v>-0.42399999499321001</v>
      </c>
      <c r="AW1143" s="13">
        <v>0.42929598689079301</v>
      </c>
      <c r="AX1143" s="4"/>
      <c r="AY1143" s="13">
        <v>-4.2528162002563503</v>
      </c>
      <c r="AZ1143" s="13">
        <v>-0.43341529369354198</v>
      </c>
      <c r="BA1143" s="13">
        <v>-1.7200000286102299</v>
      </c>
      <c r="BB1143" s="13">
        <v>0.65300500392913796</v>
      </c>
      <c r="BC1143" s="4"/>
      <c r="BD1143" s="4">
        <v>10</v>
      </c>
      <c r="BE1143" s="4" t="s">
        <v>134</v>
      </c>
      <c r="BF1143" s="13">
        <v>0.85329598188400302</v>
      </c>
      <c r="BG1143" s="4">
        <v>889</v>
      </c>
      <c r="BH1143" s="13">
        <v>1.8150000572204601</v>
      </c>
      <c r="BI1143" s="13">
        <v>1612.76501464844</v>
      </c>
      <c r="BJ1143" s="4"/>
      <c r="BK1143" s="14">
        <v>10</v>
      </c>
      <c r="BL1143" s="14">
        <v>9</v>
      </c>
      <c r="BM1143" s="14">
        <v>10</v>
      </c>
      <c r="BP1143" s="15"/>
      <c r="BQ1143" s="15"/>
      <c r="BR1143" s="2" t="s">
        <v>211</v>
      </c>
      <c r="BS1143" s="2" t="s">
        <v>87</v>
      </c>
      <c r="BT1143" s="7" t="s">
        <v>527</v>
      </c>
      <c r="BU1143" s="7" t="s">
        <v>241</v>
      </c>
      <c r="BV1143" s="9" t="s">
        <v>88</v>
      </c>
      <c r="BW1143" s="9"/>
    </row>
    <row r="1144" spans="1:75" ht="14.25" customHeight="1" x14ac:dyDescent="0.25">
      <c r="A1144" s="1">
        <v>2025</v>
      </c>
      <c r="B1144" s="1" t="s">
        <v>4696</v>
      </c>
      <c r="C1144" s="1" t="s">
        <v>4697</v>
      </c>
      <c r="D1144" s="1" t="s">
        <v>77</v>
      </c>
      <c r="E1144" s="1" t="s">
        <v>2396</v>
      </c>
      <c r="F1144" s="1" t="s">
        <v>4591</v>
      </c>
      <c r="G1144" s="1"/>
      <c r="H1144" s="2">
        <v>1</v>
      </c>
      <c r="I1144" s="2">
        <v>1</v>
      </c>
      <c r="J1144" s="2">
        <v>1</v>
      </c>
      <c r="K1144" s="2">
        <v>1</v>
      </c>
      <c r="L1144" s="3" t="s">
        <v>127</v>
      </c>
      <c r="O1144" s="4">
        <v>1</v>
      </c>
      <c r="P1144" s="4" t="s">
        <v>4698</v>
      </c>
      <c r="Q1144" s="4"/>
      <c r="R1144" s="16">
        <v>97000000</v>
      </c>
      <c r="S1144" s="6">
        <v>97000000</v>
      </c>
      <c r="T1144" s="16">
        <v>93000000</v>
      </c>
      <c r="U1144" s="6">
        <v>93000000</v>
      </c>
      <c r="V1144" s="4">
        <v>2010.5</v>
      </c>
      <c r="W1144" s="4" t="s">
        <v>1919</v>
      </c>
      <c r="X1144" s="4"/>
      <c r="Y1144" s="7">
        <v>1</v>
      </c>
      <c r="Z1144" s="8">
        <v>14182963</v>
      </c>
      <c r="AA1144" s="7" t="s">
        <v>537</v>
      </c>
      <c r="AB1144" s="7" t="s">
        <v>4699</v>
      </c>
      <c r="AC1144" s="9">
        <v>1</v>
      </c>
      <c r="AD1144" s="10">
        <v>4830879</v>
      </c>
      <c r="AE1144" s="9" t="s">
        <v>815</v>
      </c>
      <c r="AF1144" s="9" t="s">
        <v>4700</v>
      </c>
      <c r="AG1144" s="11">
        <v>3</v>
      </c>
      <c r="AH1144" s="11" t="s">
        <v>131</v>
      </c>
      <c r="AI1144" s="11"/>
      <c r="AJ1144" s="11">
        <v>3</v>
      </c>
      <c r="AK1144" s="11" t="s">
        <v>143</v>
      </c>
      <c r="AL1144" s="12">
        <v>2</v>
      </c>
      <c r="AM1144" s="12" t="s">
        <v>131</v>
      </c>
      <c r="AN1144" s="12"/>
      <c r="AO1144" s="12">
        <v>2</v>
      </c>
      <c r="AP1144" s="12" t="s">
        <v>132</v>
      </c>
      <c r="AQ1144" s="4">
        <v>3</v>
      </c>
      <c r="AR1144" s="4" t="s">
        <v>133</v>
      </c>
      <c r="AS1144" s="4"/>
      <c r="AT1144" s="13">
        <v>-16.234050750732401</v>
      </c>
      <c r="AU1144" s="13">
        <v>-0.34684279561042802</v>
      </c>
      <c r="AV1144" s="13">
        <v>-0.56000000238418601</v>
      </c>
      <c r="AW1144" s="13">
        <v>5.48000000417233E-2</v>
      </c>
      <c r="AX1144" s="4"/>
      <c r="AY1144" s="13">
        <v>-11.216671943664601</v>
      </c>
      <c r="AZ1144" s="13">
        <v>-1.1831260919570901</v>
      </c>
      <c r="BA1144" s="13">
        <v>-1.8600000143051101</v>
      </c>
      <c r="BB1144" s="13">
        <v>-0.38800001144409202</v>
      </c>
      <c r="BC1144" s="4">
        <v>1</v>
      </c>
      <c r="BD1144" s="4">
        <v>10</v>
      </c>
      <c r="BE1144" s="4" t="s">
        <v>134</v>
      </c>
      <c r="BF1144" s="13">
        <v>0.61479997634887695</v>
      </c>
      <c r="BG1144" s="4">
        <v>3820</v>
      </c>
      <c r="BH1144" s="13">
        <v>6.75</v>
      </c>
      <c r="BI1144" s="13">
        <v>25779.259765625</v>
      </c>
      <c r="BJ1144" s="4"/>
      <c r="BK1144" s="14">
        <v>8</v>
      </c>
      <c r="BL1144" s="14">
        <v>7</v>
      </c>
      <c r="BM1144" s="14">
        <v>8</v>
      </c>
      <c r="BP1144" s="15"/>
      <c r="BQ1144" s="15"/>
      <c r="BR1144" s="2" t="s">
        <v>172</v>
      </c>
      <c r="BS1144" s="2" t="s">
        <v>97</v>
      </c>
      <c r="BT1144" s="7" t="s">
        <v>509</v>
      </c>
      <c r="BU1144" s="7" t="s">
        <v>137</v>
      </c>
      <c r="BV1144" s="9" t="s">
        <v>458</v>
      </c>
      <c r="BW1144" s="9"/>
    </row>
    <row r="1145" spans="1:75" ht="14.25" customHeight="1" x14ac:dyDescent="0.25">
      <c r="A1145" s="1">
        <v>2026</v>
      </c>
      <c r="B1145" s="1" t="s">
        <v>4701</v>
      </c>
      <c r="C1145" s="1" t="s">
        <v>4702</v>
      </c>
      <c r="D1145" s="1" t="s">
        <v>77</v>
      </c>
      <c r="E1145" s="1" t="s">
        <v>2396</v>
      </c>
      <c r="F1145" s="1" t="s">
        <v>4591</v>
      </c>
      <c r="G1145" s="1" t="s">
        <v>118</v>
      </c>
      <c r="H1145" s="2">
        <v>1</v>
      </c>
      <c r="I1145" s="2">
        <v>1</v>
      </c>
      <c r="J1145" s="2">
        <v>1</v>
      </c>
      <c r="K1145" s="2">
        <v>1</v>
      </c>
      <c r="L1145" s="3" t="s">
        <v>127</v>
      </c>
      <c r="O1145" s="4">
        <v>2</v>
      </c>
      <c r="P1145" s="4" t="s">
        <v>579</v>
      </c>
      <c r="Q1145" s="4"/>
      <c r="R1145" s="16">
        <v>18000000</v>
      </c>
      <c r="S1145" s="6">
        <v>18000000</v>
      </c>
      <c r="T1145" s="16">
        <v>18000000</v>
      </c>
      <c r="U1145" s="6">
        <v>18000000</v>
      </c>
      <c r="V1145" s="4">
        <v>2010.5</v>
      </c>
      <c r="W1145" s="4" t="s">
        <v>579</v>
      </c>
      <c r="X1145" s="4"/>
      <c r="Y1145" s="7">
        <v>2</v>
      </c>
      <c r="Z1145" s="8">
        <v>2414630</v>
      </c>
      <c r="AA1145" s="7" t="s">
        <v>92</v>
      </c>
      <c r="AB1145" s="7"/>
      <c r="AC1145" s="9">
        <v>3</v>
      </c>
      <c r="AD1145" s="10">
        <v>528003</v>
      </c>
      <c r="AE1145" s="9" t="s">
        <v>582</v>
      </c>
      <c r="AF1145" s="9" t="s">
        <v>4703</v>
      </c>
      <c r="AG1145" s="11">
        <v>3</v>
      </c>
      <c r="AH1145" s="11" t="s">
        <v>131</v>
      </c>
      <c r="AI1145" s="11"/>
      <c r="AJ1145" s="11">
        <v>4</v>
      </c>
      <c r="AK1145" s="11" t="s">
        <v>143</v>
      </c>
      <c r="AL1145" s="12">
        <v>4</v>
      </c>
      <c r="AM1145" s="12" t="s">
        <v>131</v>
      </c>
      <c r="AN1145" s="12" t="s">
        <v>4704</v>
      </c>
      <c r="AO1145" s="12">
        <v>4</v>
      </c>
      <c r="AP1145" s="12" t="s">
        <v>132</v>
      </c>
      <c r="AQ1145" s="4">
        <v>3</v>
      </c>
      <c r="AR1145" s="4" t="s">
        <v>133</v>
      </c>
      <c r="AS1145" s="4"/>
      <c r="AT1145" s="13">
        <v>-32.629592895507798</v>
      </c>
      <c r="AU1145" s="13">
        <v>-0.77141845226287797</v>
      </c>
      <c r="AV1145" s="13">
        <v>-1.27699995040894</v>
      </c>
      <c r="AW1145" s="13">
        <v>-0.206000000238419</v>
      </c>
      <c r="AX1145" s="4">
        <v>1</v>
      </c>
      <c r="AY1145" s="13">
        <v>7.5449118614196804</v>
      </c>
      <c r="AZ1145" s="13">
        <v>0.72969120740890503</v>
      </c>
      <c r="BA1145" s="13">
        <v>1.46000005770475E-4</v>
      </c>
      <c r="BB1145" s="13">
        <v>1.78999996185303</v>
      </c>
      <c r="BC1145" s="4">
        <v>1</v>
      </c>
      <c r="BD1145" s="4">
        <v>10</v>
      </c>
      <c r="BE1145" s="4" t="s">
        <v>134</v>
      </c>
      <c r="BF1145" s="13">
        <v>1.07099997997284</v>
      </c>
      <c r="BG1145" s="4">
        <v>1291.5</v>
      </c>
      <c r="BH1145" s="13">
        <v>7.1599998474121103</v>
      </c>
      <c r="BI1145" s="13">
        <v>9245.7001953125</v>
      </c>
      <c r="BJ1145" s="4"/>
      <c r="BK1145" s="14">
        <v>10</v>
      </c>
      <c r="BL1145" s="14">
        <v>12</v>
      </c>
      <c r="BM1145" s="14">
        <v>12</v>
      </c>
      <c r="BP1145" s="15"/>
      <c r="BQ1145" s="15"/>
      <c r="BR1145" s="2" t="s">
        <v>211</v>
      </c>
      <c r="BS1145" s="2" t="s">
        <v>115</v>
      </c>
      <c r="BT1145" s="7" t="s">
        <v>527</v>
      </c>
      <c r="BU1145" s="7" t="s">
        <v>241</v>
      </c>
      <c r="BV1145" s="9" t="s">
        <v>98</v>
      </c>
      <c r="BW1145" s="9"/>
    </row>
    <row r="1146" spans="1:75" ht="14.25" customHeight="1" x14ac:dyDescent="0.25">
      <c r="A1146" s="1">
        <v>2027</v>
      </c>
      <c r="B1146" s="1" t="s">
        <v>4705</v>
      </c>
      <c r="C1146" s="1" t="s">
        <v>4706</v>
      </c>
      <c r="D1146" s="1" t="s">
        <v>77</v>
      </c>
      <c r="E1146" s="1" t="s">
        <v>2396</v>
      </c>
      <c r="F1146" s="1" t="s">
        <v>4591</v>
      </c>
      <c r="G1146" s="1" t="s">
        <v>118</v>
      </c>
      <c r="H1146" s="2">
        <v>1</v>
      </c>
      <c r="I1146" s="2">
        <v>1</v>
      </c>
      <c r="J1146" s="2">
        <v>1</v>
      </c>
      <c r="K1146" s="2">
        <v>1</v>
      </c>
      <c r="L1146" s="3" t="s">
        <v>127</v>
      </c>
      <c r="O1146" s="4">
        <v>1</v>
      </c>
      <c r="P1146" s="4" t="s">
        <v>4318</v>
      </c>
      <c r="Q1146" s="4"/>
      <c r="R1146" s="16">
        <v>60000000</v>
      </c>
      <c r="S1146" s="6">
        <v>60000000</v>
      </c>
      <c r="T1146" s="16">
        <v>60000000</v>
      </c>
      <c r="U1146" s="6">
        <v>60000000</v>
      </c>
      <c r="V1146" s="4">
        <v>2010.5</v>
      </c>
      <c r="W1146" s="4" t="s">
        <v>1919</v>
      </c>
      <c r="X1146" s="4"/>
      <c r="Y1146" s="7">
        <v>1</v>
      </c>
      <c r="Z1146" s="8">
        <v>6311941</v>
      </c>
      <c r="AA1146" s="7" t="s">
        <v>92</v>
      </c>
      <c r="AB1146" s="7"/>
      <c r="AC1146" s="9">
        <v>2</v>
      </c>
      <c r="AD1146" s="10">
        <v>3141118</v>
      </c>
      <c r="AE1146" s="9" t="s">
        <v>582</v>
      </c>
      <c r="AF1146" s="9" t="s">
        <v>4707</v>
      </c>
      <c r="AG1146" s="11">
        <v>3</v>
      </c>
      <c r="AH1146" s="11" t="s">
        <v>518</v>
      </c>
      <c r="AI1146" s="11" t="s">
        <v>519</v>
      </c>
      <c r="AJ1146" s="11">
        <v>3</v>
      </c>
      <c r="AK1146" s="11" t="s">
        <v>143</v>
      </c>
      <c r="AL1146" s="12">
        <v>3</v>
      </c>
      <c r="AM1146" s="12" t="s">
        <v>271</v>
      </c>
      <c r="AN1146" s="12" t="s">
        <v>4708</v>
      </c>
      <c r="AO1146" s="12"/>
      <c r="AP1146" s="12"/>
      <c r="AQ1146" s="4">
        <v>5</v>
      </c>
      <c r="AR1146" s="4" t="s">
        <v>133</v>
      </c>
      <c r="AS1146" s="4"/>
      <c r="AT1146" s="13">
        <v>-83.522010803222699</v>
      </c>
      <c r="AU1146" s="13">
        <v>-3.4784486293792698</v>
      </c>
      <c r="AV1146" s="13">
        <v>-5.2626008987426802</v>
      </c>
      <c r="AW1146" s="13">
        <v>-2.0296990871429399</v>
      </c>
      <c r="AX1146" s="4">
        <v>1</v>
      </c>
      <c r="AY1146" s="13">
        <v>-23.568187713623001</v>
      </c>
      <c r="AZ1146" s="13">
        <v>-2.65700030326843</v>
      </c>
      <c r="BA1146" s="13">
        <v>-6.3499999046325701</v>
      </c>
      <c r="BB1146" s="13">
        <v>0.96110099554061901</v>
      </c>
      <c r="BC1146" s="4"/>
      <c r="BD1146" s="4">
        <v>10</v>
      </c>
      <c r="BE1146" s="4" t="s">
        <v>134</v>
      </c>
      <c r="BF1146" s="13">
        <v>3.2329020500183101</v>
      </c>
      <c r="BG1146" s="4">
        <v>419</v>
      </c>
      <c r="BH1146" s="13">
        <v>3.2650001049041699</v>
      </c>
      <c r="BI1146" s="13">
        <v>1384.38000488281</v>
      </c>
      <c r="BJ1146" s="4"/>
      <c r="BK1146" s="14">
        <v>10</v>
      </c>
      <c r="BL1146" s="14">
        <v>11</v>
      </c>
      <c r="BM1146" s="14">
        <v>11</v>
      </c>
      <c r="BN1146" s="3" t="s">
        <v>302</v>
      </c>
      <c r="BO1146" s="3" t="s">
        <v>120</v>
      </c>
      <c r="BP1146" s="15"/>
      <c r="BQ1146" s="15"/>
      <c r="BR1146" s="2" t="s">
        <v>211</v>
      </c>
      <c r="BS1146" s="2" t="s">
        <v>740</v>
      </c>
      <c r="BT1146" s="7" t="s">
        <v>527</v>
      </c>
      <c r="BU1146" s="7"/>
      <c r="BV1146" s="9" t="s">
        <v>98</v>
      </c>
      <c r="BW1146" s="9"/>
    </row>
    <row r="1147" spans="1:75" ht="14.25" customHeight="1" x14ac:dyDescent="0.25">
      <c r="A1147" s="1">
        <v>2028</v>
      </c>
      <c r="B1147" s="1" t="s">
        <v>4709</v>
      </c>
      <c r="C1147" s="1" t="s">
        <v>4710</v>
      </c>
      <c r="D1147" s="1" t="s">
        <v>77</v>
      </c>
      <c r="E1147" s="1" t="s">
        <v>2396</v>
      </c>
      <c r="F1147" s="1" t="s">
        <v>4591</v>
      </c>
      <c r="G1147" s="1"/>
      <c r="H1147" s="2">
        <v>1</v>
      </c>
      <c r="I1147" s="2">
        <v>1</v>
      </c>
      <c r="J1147" s="2">
        <v>1</v>
      </c>
      <c r="K1147" s="2">
        <v>1</v>
      </c>
      <c r="L1147" s="3" t="s">
        <v>127</v>
      </c>
      <c r="O1147" s="4">
        <v>3</v>
      </c>
      <c r="P1147" s="4" t="s">
        <v>425</v>
      </c>
      <c r="Q1147" s="4"/>
      <c r="R1147" s="16">
        <v>2400000</v>
      </c>
      <c r="S1147" s="6">
        <v>2400000</v>
      </c>
      <c r="T1147" s="16">
        <v>2400000</v>
      </c>
      <c r="U1147" s="6">
        <v>2400000</v>
      </c>
      <c r="V1147" s="4">
        <v>2010.5</v>
      </c>
      <c r="W1147" s="4" t="s">
        <v>425</v>
      </c>
      <c r="X1147" s="4"/>
      <c r="Y1147" s="7">
        <v>2</v>
      </c>
      <c r="Z1147" s="8">
        <v>1144681</v>
      </c>
      <c r="AA1147" s="7" t="s">
        <v>92</v>
      </c>
      <c r="AB1147" s="7"/>
      <c r="AC1147" s="9">
        <v>3</v>
      </c>
      <c r="AD1147" s="10">
        <v>361590</v>
      </c>
      <c r="AE1147" s="9" t="s">
        <v>815</v>
      </c>
      <c r="AF1147" s="9" t="s">
        <v>788</v>
      </c>
      <c r="AG1147" s="11">
        <v>3</v>
      </c>
      <c r="AH1147" s="11" t="s">
        <v>131</v>
      </c>
      <c r="AI1147" s="11"/>
      <c r="AJ1147" s="11">
        <v>4</v>
      </c>
      <c r="AK1147" s="11" t="s">
        <v>332</v>
      </c>
      <c r="AL1147" s="12">
        <v>3</v>
      </c>
      <c r="AM1147" s="12" t="s">
        <v>271</v>
      </c>
      <c r="AN1147" s="12"/>
      <c r="AO1147" s="12"/>
      <c r="AP1147" s="12"/>
      <c r="AQ1147" s="4">
        <v>1</v>
      </c>
      <c r="AR1147" s="4" t="s">
        <v>133</v>
      </c>
      <c r="AS1147" s="4"/>
      <c r="AT1147" s="13">
        <v>82.507789611816406</v>
      </c>
      <c r="AU1147" s="13">
        <v>1.1866977214813199</v>
      </c>
      <c r="AV1147" s="13">
        <v>0.36599999666214</v>
      </c>
      <c r="AW1147" s="13">
        <v>1.8697979450225799</v>
      </c>
      <c r="AX1147" s="4">
        <v>1</v>
      </c>
      <c r="AY1147" s="13">
        <v>-17.732328414916999</v>
      </c>
      <c r="AZ1147" s="13">
        <v>-1.9329366683960001</v>
      </c>
      <c r="BA1147" s="13">
        <v>-3.4300000667571999</v>
      </c>
      <c r="BB1147" s="13">
        <v>-0.70130199193954501</v>
      </c>
      <c r="BC1147" s="4">
        <v>1</v>
      </c>
      <c r="BD1147" s="4">
        <v>10</v>
      </c>
      <c r="BE1147" s="4" t="s">
        <v>134</v>
      </c>
      <c r="BF1147" s="13">
        <v>1.5037980079650899</v>
      </c>
      <c r="BG1147" s="4">
        <v>757.5</v>
      </c>
      <c r="BH1147" s="13">
        <v>0.89300000667571999</v>
      </c>
      <c r="BI1147" s="13">
        <v>676.405029296875</v>
      </c>
      <c r="BJ1147" s="4"/>
      <c r="BK1147" s="14">
        <v>9</v>
      </c>
      <c r="BL1147" s="14">
        <v>10</v>
      </c>
      <c r="BM1147" s="14">
        <v>10</v>
      </c>
      <c r="BP1147" s="15"/>
      <c r="BQ1147" s="15"/>
      <c r="BR1147" s="2" t="s">
        <v>211</v>
      </c>
      <c r="BS1147" s="2" t="s">
        <v>791</v>
      </c>
      <c r="BT1147" s="7" t="s">
        <v>527</v>
      </c>
      <c r="BU1147" s="7" t="s">
        <v>241</v>
      </c>
      <c r="BV1147" s="9" t="s">
        <v>760</v>
      </c>
      <c r="BW1147" s="9" t="s">
        <v>623</v>
      </c>
    </row>
    <row r="1148" spans="1:75" ht="14.25" customHeight="1" x14ac:dyDescent="0.25">
      <c r="A1148" s="1">
        <v>2029</v>
      </c>
      <c r="B1148" s="1" t="s">
        <v>4711</v>
      </c>
      <c r="C1148" s="1" t="s">
        <v>4712</v>
      </c>
      <c r="D1148" s="1" t="s">
        <v>77</v>
      </c>
      <c r="E1148" s="1" t="s">
        <v>2396</v>
      </c>
      <c r="F1148" s="1" t="s">
        <v>4591</v>
      </c>
      <c r="G1148" s="1"/>
      <c r="H1148" s="2">
        <v>1</v>
      </c>
      <c r="I1148" s="2">
        <v>1</v>
      </c>
      <c r="J1148" s="2">
        <v>1</v>
      </c>
      <c r="K1148" s="2">
        <v>1</v>
      </c>
      <c r="L1148" s="3" t="s">
        <v>127</v>
      </c>
      <c r="O1148" s="4">
        <v>2</v>
      </c>
      <c r="P1148" s="4" t="s">
        <v>579</v>
      </c>
      <c r="Q1148" s="4"/>
      <c r="R1148" s="16">
        <v>13000000</v>
      </c>
      <c r="S1148" s="6">
        <v>13000000</v>
      </c>
      <c r="T1148" s="16">
        <v>13000000</v>
      </c>
      <c r="U1148" s="6">
        <v>13000000</v>
      </c>
      <c r="V1148" s="4">
        <v>2010.5</v>
      </c>
      <c r="W1148" s="4" t="s">
        <v>579</v>
      </c>
      <c r="X1148" s="4"/>
      <c r="Y1148" s="7">
        <v>2</v>
      </c>
      <c r="Z1148" s="8">
        <v>3359662</v>
      </c>
      <c r="AA1148" s="7" t="s">
        <v>92</v>
      </c>
      <c r="AB1148" s="7"/>
      <c r="AC1148" s="9">
        <v>3</v>
      </c>
      <c r="AD1148" s="10">
        <v>930486</v>
      </c>
      <c r="AE1148" s="9" t="s">
        <v>92</v>
      </c>
      <c r="AF1148" s="9" t="s">
        <v>4713</v>
      </c>
      <c r="AG1148" s="11">
        <v>4</v>
      </c>
      <c r="AH1148" s="11" t="s">
        <v>518</v>
      </c>
      <c r="AI1148" s="11" t="s">
        <v>519</v>
      </c>
      <c r="AJ1148" s="11">
        <v>4</v>
      </c>
      <c r="AK1148" s="11" t="s">
        <v>143</v>
      </c>
      <c r="AL1148" s="12">
        <v>2</v>
      </c>
      <c r="AM1148" s="12" t="s">
        <v>131</v>
      </c>
      <c r="AN1148" s="12"/>
      <c r="AO1148" s="12">
        <v>2</v>
      </c>
      <c r="AP1148" s="12" t="s">
        <v>132</v>
      </c>
      <c r="AQ1148" s="4">
        <v>2</v>
      </c>
      <c r="AR1148" s="4" t="s">
        <v>133</v>
      </c>
      <c r="AS1148" s="4"/>
      <c r="AT1148" s="13">
        <v>20.706344604492202</v>
      </c>
      <c r="AU1148" s="13">
        <v>0.36960011720657299</v>
      </c>
      <c r="AV1148" s="13">
        <v>-1.63469898700714</v>
      </c>
      <c r="AW1148" s="13">
        <v>2.3800001144409202</v>
      </c>
      <c r="AX1148" s="4"/>
      <c r="AY1148" s="13">
        <v>27.620674133300799</v>
      </c>
      <c r="AZ1148" s="13">
        <v>2.46881127357483</v>
      </c>
      <c r="BA1148" s="13">
        <v>-2.9700000286102299</v>
      </c>
      <c r="BB1148" s="13">
        <v>7.9185957908630398</v>
      </c>
      <c r="BC1148" s="4"/>
      <c r="BD1148" s="4">
        <v>10</v>
      </c>
      <c r="BE1148" s="4" t="s">
        <v>134</v>
      </c>
      <c r="BF1148" s="13">
        <v>4.0146989822387704</v>
      </c>
      <c r="BG1148" s="4">
        <v>334.5</v>
      </c>
      <c r="BH1148" s="13">
        <v>1.17499995231628</v>
      </c>
      <c r="BI1148" s="13">
        <v>396.64498901367199</v>
      </c>
      <c r="BJ1148" s="4"/>
      <c r="BK1148" s="14">
        <v>10</v>
      </c>
      <c r="BL1148" s="14">
        <v>9</v>
      </c>
      <c r="BM1148" s="14">
        <v>10</v>
      </c>
      <c r="BP1148" s="15"/>
      <c r="BQ1148" s="15"/>
      <c r="BR1148" s="2" t="s">
        <v>211</v>
      </c>
      <c r="BS1148" s="2" t="s">
        <v>791</v>
      </c>
      <c r="BT1148" s="7" t="s">
        <v>303</v>
      </c>
      <c r="BU1148" s="7"/>
      <c r="BV1148" s="9" t="s">
        <v>458</v>
      </c>
      <c r="BW1148" s="9"/>
    </row>
    <row r="1149" spans="1:75" ht="14.25" customHeight="1" x14ac:dyDescent="0.25">
      <c r="A1149" s="1">
        <v>2031</v>
      </c>
      <c r="B1149" s="1" t="s">
        <v>4714</v>
      </c>
      <c r="C1149" s="1" t="s">
        <v>4715</v>
      </c>
      <c r="D1149" s="1" t="s">
        <v>77</v>
      </c>
      <c r="E1149" s="1" t="s">
        <v>2396</v>
      </c>
      <c r="F1149" s="1" t="s">
        <v>4591</v>
      </c>
      <c r="G1149" s="1"/>
      <c r="H1149" s="2">
        <v>1</v>
      </c>
      <c r="I1149" s="2">
        <v>1</v>
      </c>
      <c r="J1149" s="2">
        <v>0</v>
      </c>
      <c r="K1149" s="2">
        <v>0</v>
      </c>
      <c r="L1149" s="3" t="s">
        <v>127</v>
      </c>
      <c r="O1149" s="4">
        <v>2</v>
      </c>
      <c r="P1149" s="4" t="s">
        <v>424</v>
      </c>
      <c r="Q1149" s="4"/>
      <c r="R1149" s="16">
        <v>13000000</v>
      </c>
      <c r="S1149" s="6">
        <v>13000000</v>
      </c>
      <c r="T1149" s="16">
        <v>13000000</v>
      </c>
      <c r="U1149" s="6">
        <v>13000000</v>
      </c>
      <c r="V1149" s="4">
        <v>2010.5</v>
      </c>
      <c r="W1149" s="4" t="s">
        <v>425</v>
      </c>
      <c r="X1149" s="4"/>
      <c r="Y1149" s="7">
        <v>2</v>
      </c>
      <c r="Z1149" s="8">
        <v>2071023</v>
      </c>
      <c r="AA1149" s="7" t="s">
        <v>92</v>
      </c>
      <c r="AB1149" s="7"/>
      <c r="AC1149" s="9">
        <v>2</v>
      </c>
      <c r="AD1149" s="10">
        <v>1139659</v>
      </c>
      <c r="AE1149" s="9" t="s">
        <v>92</v>
      </c>
      <c r="AF1149" s="9" t="s">
        <v>4716</v>
      </c>
      <c r="AG1149" s="11">
        <v>3</v>
      </c>
      <c r="AH1149" s="11" t="s">
        <v>131</v>
      </c>
      <c r="AI1149" s="11"/>
      <c r="AJ1149" s="11">
        <v>3</v>
      </c>
      <c r="AK1149" s="11" t="s">
        <v>132</v>
      </c>
      <c r="AL1149" s="12">
        <v>2</v>
      </c>
      <c r="AM1149" s="12" t="s">
        <v>131</v>
      </c>
      <c r="AN1149" s="12"/>
      <c r="AO1149" s="12">
        <v>2</v>
      </c>
      <c r="AP1149" s="12" t="s">
        <v>132</v>
      </c>
      <c r="AQ1149" s="4">
        <v>1</v>
      </c>
      <c r="AR1149" s="4" t="s">
        <v>133</v>
      </c>
      <c r="AS1149" s="4"/>
      <c r="AT1149" s="13">
        <v>83.919967651367202</v>
      </c>
      <c r="AU1149" s="13">
        <v>1.20347356796265</v>
      </c>
      <c r="AV1149" s="13">
        <v>1.0010960102081301</v>
      </c>
      <c r="AW1149" s="13">
        <v>1.4700000286102299</v>
      </c>
      <c r="AX1149" s="4">
        <v>1</v>
      </c>
      <c r="AY1149" s="13">
        <v>0.51806497573852495</v>
      </c>
      <c r="AZ1149" s="13">
        <v>5.1691379398107501E-2</v>
      </c>
      <c r="BA1149" s="13">
        <v>-0.66600000858306896</v>
      </c>
      <c r="BB1149" s="13">
        <v>0.68000000715255704</v>
      </c>
      <c r="BC1149" s="4"/>
      <c r="BD1149" s="4">
        <v>10</v>
      </c>
      <c r="BE1149" s="4" t="s">
        <v>134</v>
      </c>
      <c r="BF1149" s="13">
        <v>0.468903988599777</v>
      </c>
      <c r="BG1149" s="4">
        <v>1501.5</v>
      </c>
      <c r="BH1149" s="13">
        <v>3.8949999809265101</v>
      </c>
      <c r="BI1149" s="13">
        <v>5845.56005859375</v>
      </c>
      <c r="BJ1149" s="4"/>
      <c r="BK1149" s="14">
        <v>8</v>
      </c>
      <c r="BL1149" s="14">
        <v>7</v>
      </c>
      <c r="BM1149" s="14">
        <v>8</v>
      </c>
      <c r="BP1149" s="15"/>
      <c r="BQ1149" s="15"/>
      <c r="BR1149" s="2" t="s">
        <v>239</v>
      </c>
      <c r="BS1149" s="2" t="s">
        <v>239</v>
      </c>
      <c r="BT1149" s="7" t="s">
        <v>241</v>
      </c>
      <c r="BU1149" s="7"/>
      <c r="BV1149" s="9" t="s">
        <v>241</v>
      </c>
      <c r="BW1149" s="9"/>
    </row>
    <row r="1150" spans="1:75" ht="14.25" customHeight="1" x14ac:dyDescent="0.25">
      <c r="A1150" s="1">
        <v>2032</v>
      </c>
      <c r="B1150" s="1" t="s">
        <v>4717</v>
      </c>
      <c r="C1150" s="1" t="s">
        <v>4718</v>
      </c>
      <c r="D1150" s="1" t="s">
        <v>77</v>
      </c>
      <c r="E1150" s="1" t="s">
        <v>2396</v>
      </c>
      <c r="F1150" s="1" t="s">
        <v>4591</v>
      </c>
      <c r="G1150" s="1"/>
      <c r="H1150" s="2">
        <v>1</v>
      </c>
      <c r="I1150" s="2">
        <v>1</v>
      </c>
      <c r="J1150" s="2">
        <v>1</v>
      </c>
      <c r="K1150" s="2">
        <v>1</v>
      </c>
      <c r="L1150" s="3" t="s">
        <v>127</v>
      </c>
      <c r="O1150" s="4">
        <v>1</v>
      </c>
      <c r="P1150" s="4" t="s">
        <v>4318</v>
      </c>
      <c r="Q1150" s="4" t="s">
        <v>4719</v>
      </c>
      <c r="R1150" s="16">
        <v>170000000</v>
      </c>
      <c r="S1150" s="6">
        <v>170000000</v>
      </c>
      <c r="T1150" s="16">
        <v>170000000</v>
      </c>
      <c r="U1150" s="6">
        <v>170000000</v>
      </c>
      <c r="V1150" s="4">
        <v>2010.5</v>
      </c>
      <c r="W1150" s="4" t="s">
        <v>1919</v>
      </c>
      <c r="X1150" s="4"/>
      <c r="Y1150" s="7">
        <v>1</v>
      </c>
      <c r="Z1150" s="8">
        <v>9819251</v>
      </c>
      <c r="AA1150" s="7" t="s">
        <v>92</v>
      </c>
      <c r="AB1150" s="7"/>
      <c r="AC1150" s="9">
        <v>1</v>
      </c>
      <c r="AD1150" s="10">
        <v>6261301</v>
      </c>
      <c r="AE1150" s="9" t="s">
        <v>92</v>
      </c>
      <c r="AF1150" s="9"/>
      <c r="AG1150" s="11">
        <v>3</v>
      </c>
      <c r="AH1150" s="11" t="s">
        <v>131</v>
      </c>
      <c r="AI1150" s="11"/>
      <c r="AJ1150" s="11">
        <v>3</v>
      </c>
      <c r="AK1150" s="11" t="s">
        <v>132</v>
      </c>
      <c r="AL1150" s="12">
        <v>2</v>
      </c>
      <c r="AM1150" s="12" t="s">
        <v>131</v>
      </c>
      <c r="AN1150" s="12"/>
      <c r="AO1150" s="12">
        <v>2</v>
      </c>
      <c r="AP1150" s="12" t="s">
        <v>132</v>
      </c>
      <c r="AQ1150" s="4">
        <v>3</v>
      </c>
      <c r="AR1150" s="4" t="s">
        <v>133</v>
      </c>
      <c r="AS1150" s="4"/>
      <c r="AT1150" s="13">
        <v>4.8651256561279297</v>
      </c>
      <c r="AU1150" s="13">
        <v>9.3513853847980499E-2</v>
      </c>
      <c r="AV1150" s="13">
        <v>-0.310999006032944</v>
      </c>
      <c r="AW1150" s="13">
        <v>0.74299997091293302</v>
      </c>
      <c r="AX1150" s="4"/>
      <c r="AY1150" s="13">
        <v>-15.928917884826699</v>
      </c>
      <c r="AZ1150" s="13">
        <v>-1.72157335281372</v>
      </c>
      <c r="BA1150" s="13">
        <v>-2.5199999809265101</v>
      </c>
      <c r="BB1150" s="13">
        <v>-0.98400002717971802</v>
      </c>
      <c r="BC1150" s="4">
        <v>1</v>
      </c>
      <c r="BD1150" s="4">
        <v>10</v>
      </c>
      <c r="BE1150" s="4" t="s">
        <v>134</v>
      </c>
      <c r="BF1150" s="13">
        <v>1.05399894714355</v>
      </c>
      <c r="BG1150" s="4">
        <v>2081.5</v>
      </c>
      <c r="BH1150" s="13">
        <v>12.954999923706101</v>
      </c>
      <c r="BI1150" s="13">
        <v>26971.009765625</v>
      </c>
      <c r="BJ1150" s="4"/>
      <c r="BK1150" s="14">
        <v>8</v>
      </c>
      <c r="BL1150" s="14">
        <v>7</v>
      </c>
      <c r="BM1150" s="14">
        <v>8</v>
      </c>
      <c r="BP1150" s="15"/>
      <c r="BQ1150" s="15"/>
      <c r="BR1150" s="2" t="s">
        <v>172</v>
      </c>
      <c r="BS1150" s="2" t="s">
        <v>247</v>
      </c>
      <c r="BT1150" s="7" t="s">
        <v>527</v>
      </c>
      <c r="BU1150" s="7" t="s">
        <v>428</v>
      </c>
      <c r="BV1150" s="9" t="s">
        <v>1827</v>
      </c>
      <c r="BW1150" s="9" t="s">
        <v>458</v>
      </c>
    </row>
    <row r="1151" spans="1:75" ht="14.25" customHeight="1" x14ac:dyDescent="0.25">
      <c r="A1151" s="1">
        <v>2033</v>
      </c>
      <c r="B1151" s="1" t="s">
        <v>4720</v>
      </c>
      <c r="C1151" s="1" t="s">
        <v>4721</v>
      </c>
      <c r="D1151" s="1" t="s">
        <v>77</v>
      </c>
      <c r="E1151" s="1" t="s">
        <v>2396</v>
      </c>
      <c r="F1151" s="1" t="s">
        <v>4591</v>
      </c>
      <c r="G1151" s="1"/>
      <c r="H1151" s="2">
        <v>0</v>
      </c>
      <c r="I1151" s="2">
        <v>1</v>
      </c>
      <c r="J1151" s="2">
        <v>1</v>
      </c>
      <c r="K1151" s="2">
        <v>1</v>
      </c>
      <c r="L1151" s="3" t="s">
        <v>127</v>
      </c>
      <c r="O1151" s="4">
        <v>3</v>
      </c>
      <c r="P1151" s="4" t="s">
        <v>424</v>
      </c>
      <c r="Q1151" s="4"/>
      <c r="R1151" s="16">
        <v>2000000</v>
      </c>
      <c r="S1151" s="6">
        <v>2000000</v>
      </c>
      <c r="T1151" s="16">
        <v>2000000</v>
      </c>
      <c r="U1151" s="6">
        <v>2000000</v>
      </c>
      <c r="V1151" s="4">
        <v>2010.5</v>
      </c>
      <c r="W1151" s="4" t="s">
        <v>425</v>
      </c>
      <c r="X1151" s="4"/>
      <c r="Y1151" s="7">
        <v>2</v>
      </c>
      <c r="Z1151" s="8">
        <v>1928389</v>
      </c>
      <c r="AA1151" s="7" t="s">
        <v>92</v>
      </c>
      <c r="AB1151" s="7"/>
      <c r="AC1151" s="9">
        <v>3</v>
      </c>
      <c r="AD1151" s="10">
        <v>803927</v>
      </c>
      <c r="AE1151" s="9" t="s">
        <v>815</v>
      </c>
      <c r="AF1151" s="9" t="s">
        <v>4722</v>
      </c>
      <c r="AG1151" s="11">
        <v>4</v>
      </c>
      <c r="AH1151" s="11" t="s">
        <v>131</v>
      </c>
      <c r="AI1151" s="11"/>
      <c r="AJ1151" s="11">
        <v>5</v>
      </c>
      <c r="AK1151" s="11" t="s">
        <v>132</v>
      </c>
      <c r="AL1151" s="12">
        <v>2</v>
      </c>
      <c r="AM1151" s="12" t="s">
        <v>131</v>
      </c>
      <c r="AN1151" s="12" t="s">
        <v>4723</v>
      </c>
      <c r="AO1151" s="12">
        <v>2</v>
      </c>
      <c r="AP1151" s="12" t="s">
        <v>143</v>
      </c>
      <c r="AQ1151" s="4">
        <v>1</v>
      </c>
      <c r="AR1151" s="4" t="s">
        <v>133</v>
      </c>
      <c r="AS1151" s="4"/>
      <c r="AT1151" s="13">
        <v>67.980110168457003</v>
      </c>
      <c r="AU1151" s="13">
        <v>1.02232336997986</v>
      </c>
      <c r="AV1151" s="13">
        <v>0.63599997758865401</v>
      </c>
      <c r="AW1151" s="13">
        <v>1.3340950012207</v>
      </c>
      <c r="AX1151" s="4">
        <v>1</v>
      </c>
      <c r="AY1151" s="13">
        <v>9.7513132095336896</v>
      </c>
      <c r="AZ1151" s="13">
        <v>0.93778622150421098</v>
      </c>
      <c r="BA1151" s="13">
        <v>-0.41769701242446899</v>
      </c>
      <c r="BB1151" s="13">
        <v>2.4700000286102299</v>
      </c>
      <c r="BC1151" s="4"/>
      <c r="BD1151" s="4">
        <v>10</v>
      </c>
      <c r="BE1151" s="4" t="s">
        <v>134</v>
      </c>
      <c r="BF1151" s="13">
        <v>0.69809502363205</v>
      </c>
      <c r="BG1151" s="4">
        <v>894</v>
      </c>
      <c r="BH1151" s="13">
        <v>0.69849997758865401</v>
      </c>
      <c r="BI1151" s="13">
        <v>624.33447265625</v>
      </c>
      <c r="BJ1151" s="4"/>
      <c r="BK1151" s="14">
        <v>10</v>
      </c>
      <c r="BL1151" s="14">
        <v>9</v>
      </c>
      <c r="BM1151" s="14">
        <v>10</v>
      </c>
      <c r="BP1151" s="15"/>
      <c r="BQ1151" s="15"/>
      <c r="BR1151" s="2" t="s">
        <v>239</v>
      </c>
      <c r="BS1151" s="2" t="s">
        <v>791</v>
      </c>
      <c r="BT1151" s="7" t="s">
        <v>241</v>
      </c>
      <c r="BU1151" s="7"/>
      <c r="BV1151" s="9" t="s">
        <v>797</v>
      </c>
      <c r="BW1151" s="9"/>
    </row>
    <row r="1152" spans="1:75" ht="14.25" customHeight="1" x14ac:dyDescent="0.25">
      <c r="A1152" s="1">
        <v>2035</v>
      </c>
      <c r="B1152" s="1" t="s">
        <v>4724</v>
      </c>
      <c r="C1152" s="1" t="s">
        <v>4725</v>
      </c>
      <c r="D1152" s="1" t="s">
        <v>77</v>
      </c>
      <c r="E1152" s="1" t="s">
        <v>2396</v>
      </c>
      <c r="F1152" s="1" t="s">
        <v>4591</v>
      </c>
      <c r="G1152" s="1"/>
      <c r="H1152" s="2">
        <v>0</v>
      </c>
      <c r="I1152" s="2">
        <v>0</v>
      </c>
      <c r="J1152" s="2">
        <v>0</v>
      </c>
      <c r="K1152" s="2">
        <v>1</v>
      </c>
      <c r="L1152" s="3" t="s">
        <v>80</v>
      </c>
      <c r="O1152" s="4">
        <v>5</v>
      </c>
      <c r="P1152" s="4" t="s">
        <v>81</v>
      </c>
      <c r="Q1152" s="4"/>
      <c r="R1152" s="5"/>
      <c r="S1152" s="6"/>
      <c r="T1152" s="17"/>
      <c r="U1152" s="6"/>
      <c r="V1152" s="4"/>
      <c r="W1152" s="4"/>
      <c r="X1152" s="4"/>
      <c r="Y1152" s="7">
        <v>5</v>
      </c>
      <c r="Z1152" s="8">
        <v>280</v>
      </c>
      <c r="AA1152" s="7" t="s">
        <v>812</v>
      </c>
      <c r="AB1152" s="7"/>
      <c r="AC1152" s="9">
        <v>5</v>
      </c>
      <c r="AD1152" s="10">
        <v>280</v>
      </c>
      <c r="AE1152" s="9" t="s">
        <v>812</v>
      </c>
      <c r="AF1152" s="9"/>
      <c r="AG1152" s="11">
        <v>4</v>
      </c>
      <c r="AH1152" s="11" t="s">
        <v>83</v>
      </c>
      <c r="AI1152" s="11" t="s">
        <v>4726</v>
      </c>
      <c r="AJ1152" s="11"/>
      <c r="AK1152" s="11"/>
      <c r="AL1152" s="12">
        <v>4</v>
      </c>
      <c r="AM1152" s="12" t="s">
        <v>83</v>
      </c>
      <c r="AN1152" s="12"/>
      <c r="AO1152" s="12"/>
      <c r="AP1152" s="12"/>
      <c r="AQ1152" s="4">
        <v>3</v>
      </c>
      <c r="AR1152" s="4" t="s">
        <v>83</v>
      </c>
      <c r="AS1152" s="4" t="s">
        <v>4727</v>
      </c>
      <c r="AT1152" s="13"/>
      <c r="AU1152" s="13"/>
      <c r="AV1152" s="13"/>
      <c r="AW1152" s="13"/>
      <c r="AX1152" s="4"/>
      <c r="AY1152" s="13"/>
      <c r="AZ1152" s="13"/>
      <c r="BA1152" s="13"/>
      <c r="BB1152" s="13"/>
      <c r="BC1152" s="4"/>
      <c r="BD1152" s="4"/>
      <c r="BE1152" s="4"/>
      <c r="BF1152" s="13"/>
      <c r="BG1152" s="4"/>
      <c r="BH1152" s="13"/>
      <c r="BI1152" s="13"/>
      <c r="BJ1152" s="4"/>
      <c r="BK1152" s="14">
        <v>17</v>
      </c>
      <c r="BL1152" s="14">
        <v>17</v>
      </c>
      <c r="BM1152" s="14">
        <v>17</v>
      </c>
      <c r="BN1152" s="3" t="s">
        <v>312</v>
      </c>
      <c r="BO1152" s="3" t="s">
        <v>120</v>
      </c>
      <c r="BP1152" s="15"/>
      <c r="BQ1152" s="15"/>
      <c r="BR1152" s="2" t="s">
        <v>791</v>
      </c>
      <c r="BS1152" s="2" t="s">
        <v>791</v>
      </c>
      <c r="BT1152" s="7" t="s">
        <v>760</v>
      </c>
      <c r="BU1152" s="7"/>
      <c r="BV1152" s="9" t="s">
        <v>760</v>
      </c>
      <c r="BW1152" s="9"/>
    </row>
    <row r="1153" spans="1:75" ht="14.25" customHeight="1" x14ac:dyDescent="0.25">
      <c r="A1153" s="1">
        <v>2036</v>
      </c>
      <c r="B1153" s="1" t="s">
        <v>4728</v>
      </c>
      <c r="C1153" s="1" t="s">
        <v>4729</v>
      </c>
      <c r="D1153" s="1" t="s">
        <v>77</v>
      </c>
      <c r="E1153" s="1" t="s">
        <v>2396</v>
      </c>
      <c r="F1153" s="1" t="s">
        <v>4591</v>
      </c>
      <c r="G1153" s="1"/>
      <c r="H1153" s="2">
        <v>1</v>
      </c>
      <c r="I1153" s="2">
        <v>1</v>
      </c>
      <c r="J1153" s="2">
        <v>1</v>
      </c>
      <c r="K1153" s="2">
        <v>1</v>
      </c>
      <c r="L1153" s="3" t="s">
        <v>127</v>
      </c>
      <c r="O1153" s="4">
        <v>3</v>
      </c>
      <c r="P1153" s="4" t="s">
        <v>425</v>
      </c>
      <c r="Q1153" s="4"/>
      <c r="R1153" s="16">
        <v>3600000</v>
      </c>
      <c r="S1153" s="6">
        <v>3600000</v>
      </c>
      <c r="T1153" s="16">
        <v>3600000</v>
      </c>
      <c r="U1153" s="6">
        <v>3600000</v>
      </c>
      <c r="V1153" s="4">
        <v>2010.5</v>
      </c>
      <c r="W1153" s="4" t="s">
        <v>425</v>
      </c>
      <c r="X1153" s="4"/>
      <c r="Y1153" s="7">
        <v>2</v>
      </c>
      <c r="Z1153" s="8">
        <v>1565057</v>
      </c>
      <c r="AA1153" s="7" t="s">
        <v>92</v>
      </c>
      <c r="AB1153" s="7"/>
      <c r="AC1153" s="9">
        <v>3</v>
      </c>
      <c r="AD1153" s="10">
        <v>336441</v>
      </c>
      <c r="AE1153" s="9" t="s">
        <v>537</v>
      </c>
      <c r="AF1153" s="9" t="s">
        <v>788</v>
      </c>
      <c r="AG1153" s="11">
        <v>3</v>
      </c>
      <c r="AH1153" s="11" t="s">
        <v>131</v>
      </c>
      <c r="AI1153" s="11"/>
      <c r="AJ1153" s="11">
        <v>3</v>
      </c>
      <c r="AK1153" s="11" t="s">
        <v>332</v>
      </c>
      <c r="AL1153" s="12">
        <v>3</v>
      </c>
      <c r="AM1153" s="12" t="s">
        <v>131</v>
      </c>
      <c r="AN1153" s="12" t="s">
        <v>4730</v>
      </c>
      <c r="AO1153" s="12">
        <v>2</v>
      </c>
      <c r="AP1153" s="12" t="s">
        <v>132</v>
      </c>
      <c r="AQ1153" s="4">
        <v>5</v>
      </c>
      <c r="AR1153" s="4" t="s">
        <v>133</v>
      </c>
      <c r="AS1153" s="4"/>
      <c r="AT1153" s="13">
        <v>-57.360382080078097</v>
      </c>
      <c r="AU1153" s="13">
        <v>-1.6564195156097401</v>
      </c>
      <c r="AV1153" s="13">
        <v>-2.1900000572204599</v>
      </c>
      <c r="AW1153" s="13">
        <v>-1.17790102958679</v>
      </c>
      <c r="AX1153" s="4">
        <v>1</v>
      </c>
      <c r="AY1153" s="13">
        <v>-18.370771408081101</v>
      </c>
      <c r="AZ1153" s="13">
        <v>-2.0078670978546098</v>
      </c>
      <c r="BA1153" s="13">
        <v>-2.8299999237060498</v>
      </c>
      <c r="BB1153" s="13">
        <v>-1.08000004291534</v>
      </c>
      <c r="BC1153" s="4">
        <v>1</v>
      </c>
      <c r="BD1153" s="4">
        <v>10</v>
      </c>
      <c r="BE1153" s="4" t="s">
        <v>134</v>
      </c>
      <c r="BF1153" s="13">
        <v>1.0120990276336701</v>
      </c>
      <c r="BG1153" s="4">
        <v>1167.5</v>
      </c>
      <c r="BH1153" s="13">
        <v>1.6449999809265099</v>
      </c>
      <c r="BI1153" s="13">
        <v>1920.50500488281</v>
      </c>
      <c r="BJ1153" s="4"/>
      <c r="BK1153" s="14">
        <v>13</v>
      </c>
      <c r="BL1153" s="14">
        <v>14</v>
      </c>
      <c r="BM1153" s="14">
        <v>14</v>
      </c>
      <c r="BN1153" s="3" t="s">
        <v>113</v>
      </c>
      <c r="BP1153" s="15"/>
      <c r="BQ1153" s="15"/>
      <c r="BR1153" s="2" t="s">
        <v>239</v>
      </c>
      <c r="BS1153" s="2" t="s">
        <v>791</v>
      </c>
      <c r="BT1153" s="7" t="s">
        <v>241</v>
      </c>
      <c r="BU1153" s="7"/>
      <c r="BV1153" s="9" t="s">
        <v>760</v>
      </c>
      <c r="BW1153" s="9" t="s">
        <v>623</v>
      </c>
    </row>
    <row r="1154" spans="1:75" ht="14.25" customHeight="1" x14ac:dyDescent="0.25">
      <c r="A1154" s="1">
        <v>2040</v>
      </c>
      <c r="B1154" s="1" t="s">
        <v>4731</v>
      </c>
      <c r="C1154" s="1" t="s">
        <v>4732</v>
      </c>
      <c r="D1154" s="1" t="s">
        <v>77</v>
      </c>
      <c r="E1154" s="1" t="s">
        <v>2396</v>
      </c>
      <c r="F1154" s="1" t="s">
        <v>4591</v>
      </c>
      <c r="G1154" s="1"/>
      <c r="H1154" s="2">
        <v>0</v>
      </c>
      <c r="I1154" s="2">
        <v>1</v>
      </c>
      <c r="J1154" s="2">
        <v>1</v>
      </c>
      <c r="K1154" s="2">
        <v>1</v>
      </c>
      <c r="L1154" s="3" t="s">
        <v>127</v>
      </c>
      <c r="O1154" s="4">
        <v>3</v>
      </c>
      <c r="P1154" s="4" t="s">
        <v>424</v>
      </c>
      <c r="Q1154" s="4" t="s">
        <v>4733</v>
      </c>
      <c r="R1154" s="16">
        <v>3000000</v>
      </c>
      <c r="S1154" s="6">
        <v>3000000</v>
      </c>
      <c r="T1154" s="16">
        <v>1500000</v>
      </c>
      <c r="U1154" s="6">
        <v>1500000</v>
      </c>
      <c r="V1154" s="4">
        <v>2010.5</v>
      </c>
      <c r="W1154" s="4" t="s">
        <v>425</v>
      </c>
      <c r="X1154" s="4"/>
      <c r="Y1154" s="7">
        <v>2</v>
      </c>
      <c r="Z1154" s="8">
        <v>1121940</v>
      </c>
      <c r="AA1154" s="7" t="s">
        <v>92</v>
      </c>
      <c r="AB1154" s="7"/>
      <c r="AC1154" s="9">
        <v>3</v>
      </c>
      <c r="AD1154" s="10">
        <v>436298</v>
      </c>
      <c r="AE1154" s="9" t="s">
        <v>92</v>
      </c>
      <c r="AF1154" s="9" t="s">
        <v>4734</v>
      </c>
      <c r="AG1154" s="11">
        <v>4</v>
      </c>
      <c r="AH1154" s="11" t="s">
        <v>131</v>
      </c>
      <c r="AI1154" s="11"/>
      <c r="AJ1154" s="11">
        <v>5</v>
      </c>
      <c r="AK1154" s="11" t="s">
        <v>143</v>
      </c>
      <c r="AL1154" s="12">
        <v>4</v>
      </c>
      <c r="AM1154" s="12" t="s">
        <v>131</v>
      </c>
      <c r="AN1154" s="12" t="s">
        <v>4735</v>
      </c>
      <c r="AO1154" s="12">
        <v>4</v>
      </c>
      <c r="AP1154" s="12" t="s">
        <v>132</v>
      </c>
      <c r="AQ1154" s="4">
        <v>4</v>
      </c>
      <c r="AR1154" s="4" t="s">
        <v>133</v>
      </c>
      <c r="AS1154" s="4"/>
      <c r="AT1154" s="13">
        <v>-54.3402099609375</v>
      </c>
      <c r="AU1154" s="13">
        <v>-1.5236525535583501</v>
      </c>
      <c r="AV1154" s="13">
        <v>-2.6700000762939502</v>
      </c>
      <c r="AW1154" s="13">
        <v>-0.460999995470047</v>
      </c>
      <c r="AX1154" s="4">
        <v>1</v>
      </c>
      <c r="AY1154" s="13">
        <v>8.0893926620483398</v>
      </c>
      <c r="AZ1154" s="13">
        <v>0.78102385997772195</v>
      </c>
      <c r="BA1154" s="13">
        <v>-1.58000004291534</v>
      </c>
      <c r="BB1154" s="13">
        <v>3.31629490852356</v>
      </c>
      <c r="BC1154" s="4"/>
      <c r="BD1154" s="4">
        <v>10</v>
      </c>
      <c r="BE1154" s="4" t="s">
        <v>134</v>
      </c>
      <c r="BF1154" s="13">
        <v>2.2090001106262198</v>
      </c>
      <c r="BG1154" s="4">
        <v>71</v>
      </c>
      <c r="BH1154" s="13">
        <v>2.9400000572204599</v>
      </c>
      <c r="BI1154" s="13">
        <v>207.69999694824199</v>
      </c>
      <c r="BJ1154" s="4"/>
      <c r="BK1154" s="14">
        <v>13</v>
      </c>
      <c r="BL1154" s="14">
        <v>14</v>
      </c>
      <c r="BM1154" s="14">
        <v>14</v>
      </c>
      <c r="BN1154" s="3" t="s">
        <v>113</v>
      </c>
      <c r="BP1154" s="15"/>
      <c r="BQ1154" s="15"/>
      <c r="BR1154" s="2" t="s">
        <v>409</v>
      </c>
      <c r="BS1154" s="2" t="s">
        <v>409</v>
      </c>
      <c r="BT1154" s="7" t="s">
        <v>438</v>
      </c>
      <c r="BU1154" s="7"/>
      <c r="BV1154" s="9" t="s">
        <v>438</v>
      </c>
      <c r="BW1154" s="9" t="s">
        <v>437</v>
      </c>
    </row>
    <row r="1155" spans="1:75" ht="14.25" customHeight="1" x14ac:dyDescent="0.25">
      <c r="A1155" s="1">
        <v>2041</v>
      </c>
      <c r="B1155" s="1" t="s">
        <v>4736</v>
      </c>
      <c r="C1155" s="1" t="s">
        <v>4737</v>
      </c>
      <c r="D1155" s="1" t="s">
        <v>77</v>
      </c>
      <c r="E1155" s="1" t="s">
        <v>2396</v>
      </c>
      <c r="F1155" s="1" t="s">
        <v>4591</v>
      </c>
      <c r="G1155" s="1"/>
      <c r="H1155" s="2">
        <v>1</v>
      </c>
      <c r="I1155" s="2">
        <v>1</v>
      </c>
      <c r="J1155" s="2">
        <v>1</v>
      </c>
      <c r="K1155" s="2">
        <v>0</v>
      </c>
      <c r="L1155" s="3" t="s">
        <v>127</v>
      </c>
      <c r="O1155" s="4">
        <v>3</v>
      </c>
      <c r="P1155" s="4" t="s">
        <v>424</v>
      </c>
      <c r="Q1155" s="4"/>
      <c r="R1155" s="16">
        <v>3200000</v>
      </c>
      <c r="S1155" s="6">
        <v>3200000</v>
      </c>
      <c r="T1155" s="16">
        <v>3100000</v>
      </c>
      <c r="U1155" s="6">
        <v>3100000</v>
      </c>
      <c r="V1155" s="4">
        <v>2010.5</v>
      </c>
      <c r="W1155" s="4" t="s">
        <v>425</v>
      </c>
      <c r="X1155" s="4"/>
      <c r="Y1155" s="7">
        <v>2</v>
      </c>
      <c r="Z1155" s="8">
        <v>1791844</v>
      </c>
      <c r="AA1155" s="7" t="s">
        <v>92</v>
      </c>
      <c r="AB1155" s="7"/>
      <c r="AC1155" s="9">
        <v>3</v>
      </c>
      <c r="AD1155" s="10">
        <v>638475</v>
      </c>
      <c r="AE1155" s="9" t="s">
        <v>92</v>
      </c>
      <c r="AF1155" s="9"/>
      <c r="AG1155" s="11">
        <v>3</v>
      </c>
      <c r="AH1155" s="11" t="s">
        <v>131</v>
      </c>
      <c r="AI1155" s="11"/>
      <c r="AJ1155" s="11">
        <v>2</v>
      </c>
      <c r="AK1155" s="11" t="s">
        <v>132</v>
      </c>
      <c r="AL1155" s="12">
        <v>3</v>
      </c>
      <c r="AM1155" s="12" t="s">
        <v>131</v>
      </c>
      <c r="AN1155" s="12"/>
      <c r="AO1155" s="12">
        <v>2</v>
      </c>
      <c r="AP1155" s="12" t="s">
        <v>143</v>
      </c>
      <c r="AQ1155" s="4">
        <v>4</v>
      </c>
      <c r="AR1155" s="4" t="s">
        <v>133</v>
      </c>
      <c r="AS1155" s="4"/>
      <c r="AT1155" s="13">
        <v>-33.506973266601598</v>
      </c>
      <c r="AU1155" s="13">
        <v>-0.79695206880569502</v>
      </c>
      <c r="AV1155" s="13">
        <v>-1.50139904022217</v>
      </c>
      <c r="AW1155" s="13">
        <v>-3.3199999481439597E-2</v>
      </c>
      <c r="AX1155" s="4">
        <v>1</v>
      </c>
      <c r="AY1155" s="13">
        <v>-9.9685773849487305</v>
      </c>
      <c r="AZ1155" s="13">
        <v>-1.0430736541748</v>
      </c>
      <c r="BA1155" s="13">
        <v>-2.4000000953674299</v>
      </c>
      <c r="BB1155" s="13">
        <v>0.193000003695488</v>
      </c>
      <c r="BC1155" s="4"/>
      <c r="BD1155" s="4">
        <v>10</v>
      </c>
      <c r="BE1155" s="4" t="s">
        <v>134</v>
      </c>
      <c r="BF1155" s="13">
        <v>1.4681990146637001</v>
      </c>
      <c r="BG1155" s="4">
        <v>416.5</v>
      </c>
      <c r="BH1155" s="13">
        <v>2.8099999427795401</v>
      </c>
      <c r="BI1155" s="13">
        <v>1169.78002929688</v>
      </c>
      <c r="BJ1155" s="4"/>
      <c r="BK1155" s="14">
        <v>12</v>
      </c>
      <c r="BL1155" s="14">
        <v>13</v>
      </c>
      <c r="BM1155" s="14">
        <v>13</v>
      </c>
      <c r="BP1155" s="15"/>
      <c r="BQ1155" s="15"/>
      <c r="BR1155" s="2" t="s">
        <v>256</v>
      </c>
      <c r="BS1155" s="2" t="s">
        <v>108</v>
      </c>
      <c r="BT1155" s="7" t="s">
        <v>428</v>
      </c>
      <c r="BU1155" s="7" t="s">
        <v>438</v>
      </c>
      <c r="BV1155" s="9" t="s">
        <v>109</v>
      </c>
      <c r="BW1155" s="9" t="s">
        <v>438</v>
      </c>
    </row>
    <row r="1156" spans="1:75" ht="14.25" customHeight="1" x14ac:dyDescent="0.25">
      <c r="A1156" s="1">
        <v>2042</v>
      </c>
      <c r="B1156" s="1" t="s">
        <v>4738</v>
      </c>
      <c r="C1156" s="1" t="s">
        <v>4739</v>
      </c>
      <c r="D1156" s="1" t="s">
        <v>77</v>
      </c>
      <c r="E1156" s="1" t="s">
        <v>2396</v>
      </c>
      <c r="F1156" s="1" t="s">
        <v>4591</v>
      </c>
      <c r="G1156" s="1" t="s">
        <v>118</v>
      </c>
      <c r="H1156" s="2">
        <v>1</v>
      </c>
      <c r="I1156" s="2">
        <v>1</v>
      </c>
      <c r="J1156" s="2">
        <v>1</v>
      </c>
      <c r="K1156" s="2">
        <v>1</v>
      </c>
      <c r="L1156" s="3" t="s">
        <v>127</v>
      </c>
      <c r="O1156" s="4">
        <v>2</v>
      </c>
      <c r="P1156" s="4" t="s">
        <v>425</v>
      </c>
      <c r="Q1156" s="4"/>
      <c r="R1156" s="16">
        <v>21000000</v>
      </c>
      <c r="S1156" s="6">
        <v>21000000</v>
      </c>
      <c r="T1156" s="16">
        <v>21000000</v>
      </c>
      <c r="U1156" s="6">
        <v>21000000</v>
      </c>
      <c r="V1156" s="4">
        <v>2010.5</v>
      </c>
      <c r="W1156" s="4" t="s">
        <v>425</v>
      </c>
      <c r="X1156" s="4"/>
      <c r="Y1156" s="7">
        <v>2</v>
      </c>
      <c r="Z1156" s="8">
        <v>1397958</v>
      </c>
      <c r="AA1156" s="7" t="s">
        <v>92</v>
      </c>
      <c r="AB1156" s="7"/>
      <c r="AC1156" s="9">
        <v>3</v>
      </c>
      <c r="AD1156" s="10">
        <v>921825</v>
      </c>
      <c r="AE1156" s="9" t="s">
        <v>92</v>
      </c>
      <c r="AF1156" s="9" t="s">
        <v>4734</v>
      </c>
      <c r="AG1156" s="11">
        <v>3</v>
      </c>
      <c r="AH1156" s="11" t="s">
        <v>454</v>
      </c>
      <c r="AI1156" s="11" t="s">
        <v>4740</v>
      </c>
      <c r="AJ1156" s="11">
        <v>3</v>
      </c>
      <c r="AK1156" s="11" t="s">
        <v>332</v>
      </c>
      <c r="AL1156" s="12">
        <v>3</v>
      </c>
      <c r="AM1156" s="12" t="s">
        <v>131</v>
      </c>
      <c r="AN1156" s="12"/>
      <c r="AO1156" s="12">
        <v>3</v>
      </c>
      <c r="AP1156" s="12" t="s">
        <v>132</v>
      </c>
      <c r="AQ1156" s="4">
        <v>3</v>
      </c>
      <c r="AR1156" s="4" t="s">
        <v>133</v>
      </c>
      <c r="AS1156" s="4"/>
      <c r="AT1156" s="13">
        <v>10.947924613952599</v>
      </c>
      <c r="AU1156" s="13">
        <v>0.203814432024956</v>
      </c>
      <c r="AV1156" s="13">
        <v>-0.55210000276565596</v>
      </c>
      <c r="AW1156" s="13">
        <v>1.4400000572204601</v>
      </c>
      <c r="AX1156" s="4"/>
      <c r="AY1156" s="13">
        <v>-18.015785217285199</v>
      </c>
      <c r="AZ1156" s="13">
        <v>-1.96916687488556</v>
      </c>
      <c r="BA1156" s="13">
        <v>-3.3199999332428001</v>
      </c>
      <c r="BB1156" s="13">
        <v>-0.32800000905990601</v>
      </c>
      <c r="BC1156" s="4">
        <v>1</v>
      </c>
      <c r="BD1156" s="4">
        <v>10</v>
      </c>
      <c r="BE1156" s="4" t="s">
        <v>134</v>
      </c>
      <c r="BF1156" s="13">
        <v>1.9921000003814699</v>
      </c>
      <c r="BG1156" s="4">
        <v>382.5</v>
      </c>
      <c r="BH1156" s="13">
        <v>7.1399998664856001</v>
      </c>
      <c r="BI1156" s="13">
        <v>2720.23510742188</v>
      </c>
      <c r="BJ1156" s="4"/>
      <c r="BK1156" s="14">
        <v>10</v>
      </c>
      <c r="BL1156" s="14">
        <v>11</v>
      </c>
      <c r="BM1156" s="14">
        <v>11</v>
      </c>
      <c r="BP1156" s="15"/>
      <c r="BQ1156" s="15"/>
      <c r="BR1156" s="2" t="s">
        <v>162</v>
      </c>
      <c r="BS1156" s="2" t="s">
        <v>409</v>
      </c>
      <c r="BT1156" s="7" t="s">
        <v>428</v>
      </c>
      <c r="BU1156" s="7"/>
      <c r="BV1156" s="9" t="s">
        <v>438</v>
      </c>
      <c r="BW1156" s="9" t="s">
        <v>437</v>
      </c>
    </row>
    <row r="1157" spans="1:75" ht="14.25" customHeight="1" x14ac:dyDescent="0.25">
      <c r="A1157" s="1">
        <v>2043</v>
      </c>
      <c r="B1157" s="1" t="s">
        <v>4741</v>
      </c>
      <c r="C1157" s="1" t="s">
        <v>4742</v>
      </c>
      <c r="D1157" s="1" t="s">
        <v>77</v>
      </c>
      <c r="E1157" s="1" t="s">
        <v>2396</v>
      </c>
      <c r="F1157" s="1" t="s">
        <v>4591</v>
      </c>
      <c r="G1157" s="1" t="s">
        <v>118</v>
      </c>
      <c r="H1157" s="2">
        <v>0</v>
      </c>
      <c r="I1157" s="2">
        <v>1</v>
      </c>
      <c r="J1157" s="2">
        <v>1</v>
      </c>
      <c r="K1157" s="2">
        <v>1</v>
      </c>
      <c r="L1157" s="3" t="s">
        <v>127</v>
      </c>
      <c r="O1157" s="4">
        <v>3</v>
      </c>
      <c r="P1157" s="4" t="s">
        <v>425</v>
      </c>
      <c r="Q1157" s="4"/>
      <c r="R1157" s="16">
        <v>2500000</v>
      </c>
      <c r="S1157" s="6">
        <v>2500000</v>
      </c>
      <c r="T1157" s="16">
        <v>2500000</v>
      </c>
      <c r="U1157" s="6">
        <v>2500000</v>
      </c>
      <c r="V1157" s="4">
        <v>2010.5</v>
      </c>
      <c r="W1157" s="4" t="s">
        <v>425</v>
      </c>
      <c r="X1157" s="4"/>
      <c r="Y1157" s="7">
        <v>3</v>
      </c>
      <c r="Z1157" s="8">
        <v>335070</v>
      </c>
      <c r="AA1157" s="7" t="s">
        <v>92</v>
      </c>
      <c r="AB1157" s="7"/>
      <c r="AC1157" s="9">
        <v>3</v>
      </c>
      <c r="AD1157" s="10">
        <v>563696</v>
      </c>
      <c r="AE1157" s="9" t="s">
        <v>92</v>
      </c>
      <c r="AF1157" s="9" t="s">
        <v>4734</v>
      </c>
      <c r="AG1157" s="11">
        <v>3</v>
      </c>
      <c r="AH1157" s="11" t="s">
        <v>454</v>
      </c>
      <c r="AI1157" s="11" t="s">
        <v>4743</v>
      </c>
      <c r="AJ1157" s="11">
        <v>3</v>
      </c>
      <c r="AK1157" s="11" t="s">
        <v>143</v>
      </c>
      <c r="AL1157" s="12">
        <v>4</v>
      </c>
      <c r="AM1157" s="12" t="s">
        <v>131</v>
      </c>
      <c r="AN1157" s="12"/>
      <c r="AO1157" s="12">
        <v>4</v>
      </c>
      <c r="AP1157" s="12" t="s">
        <v>132</v>
      </c>
      <c r="AQ1157" s="4">
        <v>3</v>
      </c>
      <c r="AR1157" s="4" t="s">
        <v>133</v>
      </c>
      <c r="AS1157" s="4"/>
      <c r="AT1157" s="13">
        <v>-9.8371858596801793</v>
      </c>
      <c r="AU1157" s="13">
        <v>-0.20280888676643399</v>
      </c>
      <c r="AV1157" s="13">
        <v>-0.77729797363281306</v>
      </c>
      <c r="AW1157" s="13">
        <v>0.62099999189376798</v>
      </c>
      <c r="AX1157" s="4"/>
      <c r="AY1157" s="13">
        <v>-14.4210300445557</v>
      </c>
      <c r="AZ1157" s="13">
        <v>-1.54351186752319</v>
      </c>
      <c r="BA1157" s="13">
        <v>-3.2300000190734899</v>
      </c>
      <c r="BB1157" s="13">
        <v>-0.14049999415874501</v>
      </c>
      <c r="BC1157" s="4">
        <v>1</v>
      </c>
      <c r="BD1157" s="4">
        <v>10</v>
      </c>
      <c r="BE1157" s="4" t="s">
        <v>134</v>
      </c>
      <c r="BF1157" s="13">
        <v>1.39829802513123</v>
      </c>
      <c r="BG1157" s="4">
        <v>168</v>
      </c>
      <c r="BH1157" s="13">
        <v>5.4499998092651403</v>
      </c>
      <c r="BI1157" s="13">
        <v>915.59997558593795</v>
      </c>
      <c r="BJ1157" s="4"/>
      <c r="BK1157" s="14">
        <v>12</v>
      </c>
      <c r="BL1157" s="14">
        <v>13</v>
      </c>
      <c r="BM1157" s="14">
        <v>13</v>
      </c>
      <c r="BP1157" s="15"/>
      <c r="BQ1157" s="15"/>
      <c r="BR1157" s="2" t="s">
        <v>162</v>
      </c>
      <c r="BS1157" s="2" t="s">
        <v>409</v>
      </c>
      <c r="BT1157" s="7" t="s">
        <v>428</v>
      </c>
      <c r="BU1157" s="7"/>
      <c r="BV1157" s="9" t="s">
        <v>438</v>
      </c>
      <c r="BW1157" s="9" t="s">
        <v>437</v>
      </c>
    </row>
    <row r="1158" spans="1:75" ht="14.25" customHeight="1" x14ac:dyDescent="0.25">
      <c r="A1158" s="1">
        <v>2044</v>
      </c>
      <c r="B1158" s="1" t="s">
        <v>4744</v>
      </c>
      <c r="C1158" s="1" t="s">
        <v>4745</v>
      </c>
      <c r="D1158" s="1" t="s">
        <v>77</v>
      </c>
      <c r="E1158" s="1" t="s">
        <v>2396</v>
      </c>
      <c r="F1158" s="1" t="s">
        <v>4591</v>
      </c>
      <c r="G1158" s="1" t="s">
        <v>118</v>
      </c>
      <c r="H1158" s="2">
        <v>0</v>
      </c>
      <c r="I1158" s="2">
        <v>1</v>
      </c>
      <c r="J1158" s="2">
        <v>1</v>
      </c>
      <c r="K1158" s="2">
        <v>1</v>
      </c>
      <c r="L1158" s="3" t="s">
        <v>127</v>
      </c>
      <c r="O1158" s="4">
        <v>4</v>
      </c>
      <c r="P1158" s="4" t="s">
        <v>425</v>
      </c>
      <c r="Q1158" s="4" t="s">
        <v>4746</v>
      </c>
      <c r="R1158" s="16">
        <v>110000</v>
      </c>
      <c r="S1158" s="6">
        <v>110000</v>
      </c>
      <c r="T1158" s="16">
        <v>110000</v>
      </c>
      <c r="U1158" s="6">
        <v>110000</v>
      </c>
      <c r="V1158" s="4">
        <v>2010.5</v>
      </c>
      <c r="W1158" s="4" t="s">
        <v>425</v>
      </c>
      <c r="X1158" s="4"/>
      <c r="Y1158" s="7">
        <v>5</v>
      </c>
      <c r="Z1158" s="8">
        <v>33480</v>
      </c>
      <c r="AA1158" s="7" t="s">
        <v>92</v>
      </c>
      <c r="AB1158" s="7"/>
      <c r="AC1158" s="9">
        <v>4</v>
      </c>
      <c r="AD1158" s="10">
        <v>98105</v>
      </c>
      <c r="AE1158" s="9" t="s">
        <v>92</v>
      </c>
      <c r="AF1158" s="9"/>
      <c r="AG1158" s="11">
        <v>4</v>
      </c>
      <c r="AH1158" s="11" t="s">
        <v>454</v>
      </c>
      <c r="AI1158" s="11" t="s">
        <v>4747</v>
      </c>
      <c r="AJ1158" s="11">
        <v>2</v>
      </c>
      <c r="AK1158" s="11" t="s">
        <v>143</v>
      </c>
      <c r="AL1158" s="12">
        <v>5</v>
      </c>
      <c r="AM1158" s="12" t="s">
        <v>131</v>
      </c>
      <c r="AN1158" s="12" t="s">
        <v>4748</v>
      </c>
      <c r="AO1158" s="12">
        <v>5</v>
      </c>
      <c r="AP1158" s="12" t="s">
        <v>132</v>
      </c>
      <c r="AQ1158" s="4">
        <v>5</v>
      </c>
      <c r="AR1158" s="4" t="s">
        <v>2868</v>
      </c>
      <c r="AS1158" s="4"/>
      <c r="AT1158" s="13"/>
      <c r="AU1158" s="13"/>
      <c r="AV1158" s="13"/>
      <c r="AW1158" s="13"/>
      <c r="AX1158" s="4"/>
      <c r="AY1158" s="13"/>
      <c r="AZ1158" s="13"/>
      <c r="BA1158" s="13"/>
      <c r="BB1158" s="13"/>
      <c r="BC1158" s="4"/>
      <c r="BD1158" s="4"/>
      <c r="BE1158" s="4"/>
      <c r="BF1158" s="13"/>
      <c r="BG1158" s="4"/>
      <c r="BH1158" s="13"/>
      <c r="BI1158" s="13"/>
      <c r="BJ1158" s="4"/>
      <c r="BK1158" s="14">
        <v>18</v>
      </c>
      <c r="BL1158" s="14">
        <v>18</v>
      </c>
      <c r="BM1158" s="14">
        <v>18</v>
      </c>
      <c r="BN1158" s="3" t="s">
        <v>312</v>
      </c>
      <c r="BO1158" s="3" t="s">
        <v>414</v>
      </c>
      <c r="BP1158" s="15"/>
      <c r="BQ1158" s="15"/>
      <c r="BR1158" s="2" t="s">
        <v>297</v>
      </c>
      <c r="BS1158" s="2" t="s">
        <v>409</v>
      </c>
      <c r="BT1158" s="7" t="s">
        <v>428</v>
      </c>
      <c r="BU1158" s="7"/>
      <c r="BV1158" s="9" t="s">
        <v>438</v>
      </c>
      <c r="BW1158" s="9" t="s">
        <v>437</v>
      </c>
    </row>
    <row r="1159" spans="1:75" ht="14.25" customHeight="1" x14ac:dyDescent="0.25">
      <c r="A1159" s="1">
        <v>2045</v>
      </c>
      <c r="B1159" s="1" t="s">
        <v>4749</v>
      </c>
      <c r="C1159" s="1" t="s">
        <v>4750</v>
      </c>
      <c r="D1159" s="1" t="s">
        <v>77</v>
      </c>
      <c r="E1159" s="1" t="s">
        <v>2396</v>
      </c>
      <c r="F1159" s="1" t="s">
        <v>4591</v>
      </c>
      <c r="G1159" s="1" t="s">
        <v>118</v>
      </c>
      <c r="H1159" s="2">
        <v>1</v>
      </c>
      <c r="I1159" s="2">
        <v>1</v>
      </c>
      <c r="J1159" s="2">
        <v>1</v>
      </c>
      <c r="K1159" s="2">
        <v>1</v>
      </c>
      <c r="L1159" s="3" t="s">
        <v>127</v>
      </c>
      <c r="O1159" s="4">
        <v>2</v>
      </c>
      <c r="P1159" s="4" t="s">
        <v>2693</v>
      </c>
      <c r="Q1159" s="4"/>
      <c r="R1159" s="16">
        <v>9200000</v>
      </c>
      <c r="S1159" s="6">
        <v>9200000</v>
      </c>
      <c r="T1159" s="16">
        <v>9200000</v>
      </c>
      <c r="U1159" s="6">
        <v>9200000</v>
      </c>
      <c r="V1159" s="4">
        <v>2010.5</v>
      </c>
      <c r="W1159" s="4" t="s">
        <v>579</v>
      </c>
      <c r="X1159" s="4"/>
      <c r="Y1159" s="7">
        <v>2</v>
      </c>
      <c r="Z1159" s="8">
        <v>3306080</v>
      </c>
      <c r="AA1159" s="7" t="s">
        <v>92</v>
      </c>
      <c r="AB1159" s="7"/>
      <c r="AC1159" s="9">
        <v>2</v>
      </c>
      <c r="AD1159" s="10">
        <v>1479262</v>
      </c>
      <c r="AE1159" s="9" t="s">
        <v>92</v>
      </c>
      <c r="AF1159" s="9"/>
      <c r="AG1159" s="11">
        <v>4</v>
      </c>
      <c r="AH1159" s="11" t="s">
        <v>518</v>
      </c>
      <c r="AI1159" s="11" t="s">
        <v>519</v>
      </c>
      <c r="AJ1159" s="11">
        <v>5</v>
      </c>
      <c r="AK1159" s="11" t="s">
        <v>143</v>
      </c>
      <c r="AL1159" s="12">
        <v>4</v>
      </c>
      <c r="AM1159" s="12" t="s">
        <v>131</v>
      </c>
      <c r="AN1159" s="12" t="s">
        <v>4751</v>
      </c>
      <c r="AO1159" s="12">
        <v>5</v>
      </c>
      <c r="AP1159" s="12" t="s">
        <v>132</v>
      </c>
      <c r="AQ1159" s="4">
        <v>3</v>
      </c>
      <c r="AR1159" s="4" t="s">
        <v>133</v>
      </c>
      <c r="AS1159" s="4"/>
      <c r="AT1159" s="13">
        <v>-4.5795106887817401</v>
      </c>
      <c r="AU1159" s="13">
        <v>-9.2083856463432298E-2</v>
      </c>
      <c r="AV1159" s="13">
        <v>-1.5099999904632599</v>
      </c>
      <c r="AW1159" s="13">
        <v>0.67269802093505904</v>
      </c>
      <c r="AX1159" s="4"/>
      <c r="AY1159" s="13">
        <v>-21.286912918090799</v>
      </c>
      <c r="AZ1159" s="13">
        <v>-2.3639616966247599</v>
      </c>
      <c r="BA1159" s="13">
        <v>-3.4000000953674299</v>
      </c>
      <c r="BB1159" s="13">
        <v>-1.5107990503311199</v>
      </c>
      <c r="BC1159" s="4">
        <v>1</v>
      </c>
      <c r="BD1159" s="4">
        <v>10</v>
      </c>
      <c r="BE1159" s="4" t="s">
        <v>134</v>
      </c>
      <c r="BF1159" s="13">
        <v>2.1826980113983199</v>
      </c>
      <c r="BG1159" s="4">
        <v>1147.5</v>
      </c>
      <c r="BH1159" s="13">
        <v>1.99500000476837</v>
      </c>
      <c r="BI1159" s="13">
        <v>2286.14990234375</v>
      </c>
      <c r="BJ1159" s="4"/>
      <c r="BK1159" s="14">
        <v>11</v>
      </c>
      <c r="BL1159" s="14">
        <v>11</v>
      </c>
      <c r="BM1159" s="14">
        <v>11</v>
      </c>
      <c r="BP1159" s="15"/>
      <c r="BQ1159" s="15"/>
      <c r="BR1159" s="2" t="s">
        <v>211</v>
      </c>
      <c r="BS1159" s="2" t="s">
        <v>400</v>
      </c>
      <c r="BT1159" s="7" t="s">
        <v>527</v>
      </c>
      <c r="BU1159" s="7" t="s">
        <v>241</v>
      </c>
      <c r="BV1159" s="9" t="s">
        <v>88</v>
      </c>
      <c r="BW1159" s="9" t="s">
        <v>98</v>
      </c>
    </row>
    <row r="1160" spans="1:75" ht="14.25" customHeight="1" x14ac:dyDescent="0.25">
      <c r="A1160" s="1">
        <v>2046</v>
      </c>
      <c r="B1160" s="1" t="s">
        <v>4752</v>
      </c>
      <c r="C1160" s="1" t="s">
        <v>4753</v>
      </c>
      <c r="D1160" s="1" t="s">
        <v>77</v>
      </c>
      <c r="E1160" s="1" t="s">
        <v>2396</v>
      </c>
      <c r="F1160" s="1" t="s">
        <v>4591</v>
      </c>
      <c r="G1160" s="1"/>
      <c r="H1160" s="2">
        <v>0</v>
      </c>
      <c r="I1160" s="2">
        <v>0</v>
      </c>
      <c r="J1160" s="2">
        <v>0</v>
      </c>
      <c r="K1160" s="2">
        <v>1</v>
      </c>
      <c r="L1160" s="3" t="s">
        <v>80</v>
      </c>
      <c r="O1160" s="4">
        <v>2</v>
      </c>
      <c r="P1160" s="4" t="s">
        <v>81</v>
      </c>
      <c r="Q1160" s="4"/>
      <c r="R1160" s="5"/>
      <c r="S1160" s="6"/>
      <c r="T1160" s="17"/>
      <c r="U1160" s="6"/>
      <c r="V1160" s="4"/>
      <c r="W1160" s="4"/>
      <c r="X1160" s="4"/>
      <c r="Y1160" s="7">
        <v>2</v>
      </c>
      <c r="Z1160" s="8">
        <v>2482102</v>
      </c>
      <c r="AA1160" s="7" t="s">
        <v>82</v>
      </c>
      <c r="AB1160" s="7"/>
      <c r="AC1160" s="9">
        <v>2</v>
      </c>
      <c r="AD1160" s="10">
        <v>2482102</v>
      </c>
      <c r="AE1160" s="9" t="s">
        <v>82</v>
      </c>
      <c r="AF1160" s="9"/>
      <c r="AG1160" s="11">
        <v>4</v>
      </c>
      <c r="AH1160" s="11" t="s">
        <v>83</v>
      </c>
      <c r="AI1160" s="11" t="s">
        <v>4754</v>
      </c>
      <c r="AJ1160" s="11"/>
      <c r="AK1160" s="11"/>
      <c r="AL1160" s="12">
        <v>4</v>
      </c>
      <c r="AM1160" s="12" t="s">
        <v>83</v>
      </c>
      <c r="AN1160" s="12"/>
      <c r="AO1160" s="12"/>
      <c r="AP1160" s="12"/>
      <c r="AQ1160" s="4">
        <v>4</v>
      </c>
      <c r="AR1160" s="4" t="s">
        <v>83</v>
      </c>
      <c r="AS1160" s="4"/>
      <c r="AT1160" s="13"/>
      <c r="AU1160" s="13"/>
      <c r="AV1160" s="13"/>
      <c r="AW1160" s="13"/>
      <c r="AX1160" s="4"/>
      <c r="AY1160" s="13"/>
      <c r="AZ1160" s="13"/>
      <c r="BA1160" s="13"/>
      <c r="BB1160" s="13"/>
      <c r="BC1160" s="4"/>
      <c r="BD1160" s="4"/>
      <c r="BE1160" s="4"/>
      <c r="BF1160" s="13"/>
      <c r="BG1160" s="4"/>
      <c r="BH1160" s="13"/>
      <c r="BI1160" s="13"/>
      <c r="BJ1160" s="4"/>
      <c r="BK1160" s="14">
        <v>12</v>
      </c>
      <c r="BL1160" s="14">
        <v>12</v>
      </c>
      <c r="BM1160" s="14">
        <v>12</v>
      </c>
      <c r="BP1160" s="15"/>
      <c r="BQ1160" s="15"/>
      <c r="BR1160" s="2" t="s">
        <v>97</v>
      </c>
      <c r="BS1160" s="2" t="s">
        <v>97</v>
      </c>
      <c r="BT1160" s="7" t="s">
        <v>98</v>
      </c>
      <c r="BU1160" s="7" t="s">
        <v>240</v>
      </c>
      <c r="BV1160" s="9" t="s">
        <v>98</v>
      </c>
      <c r="BW1160" s="9" t="s">
        <v>240</v>
      </c>
    </row>
    <row r="1161" spans="1:75" ht="14.25" customHeight="1" x14ac:dyDescent="0.25">
      <c r="A1161" s="1">
        <v>2047</v>
      </c>
      <c r="B1161" s="1" t="s">
        <v>4755</v>
      </c>
      <c r="C1161" s="1" t="s">
        <v>4756</v>
      </c>
      <c r="D1161" s="1" t="s">
        <v>77</v>
      </c>
      <c r="E1161" s="1" t="s">
        <v>2396</v>
      </c>
      <c r="F1161" s="1" t="s">
        <v>4591</v>
      </c>
      <c r="G1161" s="1"/>
      <c r="H1161" s="2">
        <v>0</v>
      </c>
      <c r="I1161" s="2">
        <v>0</v>
      </c>
      <c r="J1161" s="2">
        <v>1</v>
      </c>
      <c r="K1161" s="2">
        <v>1</v>
      </c>
      <c r="L1161" s="3" t="s">
        <v>80</v>
      </c>
      <c r="O1161" s="4">
        <v>4</v>
      </c>
      <c r="P1161" s="4" t="s">
        <v>112</v>
      </c>
      <c r="Q1161" s="4"/>
      <c r="R1161" s="5"/>
      <c r="S1161" s="6"/>
      <c r="T1161" s="17"/>
      <c r="U1161" s="6"/>
      <c r="V1161" s="4"/>
      <c r="W1161" s="4"/>
      <c r="X1161" s="4"/>
      <c r="Y1161" s="7">
        <v>3</v>
      </c>
      <c r="Z1161" s="8">
        <v>341305</v>
      </c>
      <c r="AA1161" s="7" t="s">
        <v>92</v>
      </c>
      <c r="AB1161" s="7"/>
      <c r="AC1161" s="9">
        <v>4</v>
      </c>
      <c r="AD1161" s="10">
        <v>291724</v>
      </c>
      <c r="AE1161" s="9" t="s">
        <v>92</v>
      </c>
      <c r="AF1161" s="9"/>
      <c r="AG1161" s="11">
        <v>3</v>
      </c>
      <c r="AH1161" s="11" t="s">
        <v>93</v>
      </c>
      <c r="AI1161" s="11"/>
      <c r="AJ1161" s="11"/>
      <c r="AK1161" s="11"/>
      <c r="AL1161" s="12">
        <v>3</v>
      </c>
      <c r="AM1161" s="12" t="s">
        <v>93</v>
      </c>
      <c r="AN1161" s="12" t="s">
        <v>698</v>
      </c>
      <c r="AO1161" s="12"/>
      <c r="AP1161" s="12"/>
      <c r="AQ1161" s="4">
        <v>4</v>
      </c>
      <c r="AR1161" s="4" t="s">
        <v>83</v>
      </c>
      <c r="AS1161" s="4" t="s">
        <v>4757</v>
      </c>
      <c r="AT1161" s="13"/>
      <c r="AU1161" s="13"/>
      <c r="AV1161" s="13"/>
      <c r="AW1161" s="13"/>
      <c r="AX1161" s="4"/>
      <c r="AY1161" s="13"/>
      <c r="AZ1161" s="13"/>
      <c r="BA1161" s="13"/>
      <c r="BB1161" s="13"/>
      <c r="BC1161" s="4"/>
      <c r="BD1161" s="4"/>
      <c r="BE1161" s="4"/>
      <c r="BF1161" s="13"/>
      <c r="BG1161" s="4"/>
      <c r="BH1161" s="13"/>
      <c r="BI1161" s="13"/>
      <c r="BJ1161" s="4"/>
      <c r="BK1161" s="14">
        <v>14</v>
      </c>
      <c r="BL1161" s="14">
        <v>15</v>
      </c>
      <c r="BM1161" s="14">
        <v>15</v>
      </c>
      <c r="BN1161" s="3" t="s">
        <v>86</v>
      </c>
      <c r="BP1161" s="15"/>
      <c r="BQ1161" s="15"/>
      <c r="BR1161" s="2" t="s">
        <v>400</v>
      </c>
      <c r="BS1161" s="2" t="s">
        <v>400</v>
      </c>
      <c r="BT1161" s="7" t="s">
        <v>98</v>
      </c>
      <c r="BU1161" s="7" t="s">
        <v>109</v>
      </c>
      <c r="BV1161" s="9" t="s">
        <v>98</v>
      </c>
      <c r="BW1161" s="9" t="s">
        <v>109</v>
      </c>
    </row>
    <row r="1162" spans="1:75" ht="14.25" customHeight="1" x14ac:dyDescent="0.25">
      <c r="A1162" s="1">
        <v>2048</v>
      </c>
      <c r="B1162" s="1" t="s">
        <v>4758</v>
      </c>
      <c r="C1162" s="1" t="s">
        <v>4759</v>
      </c>
      <c r="D1162" s="1" t="s">
        <v>77</v>
      </c>
      <c r="E1162" s="1" t="s">
        <v>2396</v>
      </c>
      <c r="F1162" s="1" t="s">
        <v>4591</v>
      </c>
      <c r="G1162" s="1"/>
      <c r="H1162" s="2">
        <v>0</v>
      </c>
      <c r="I1162" s="2">
        <v>0</v>
      </c>
      <c r="J1162" s="2">
        <v>1</v>
      </c>
      <c r="K1162" s="2">
        <v>1</v>
      </c>
      <c r="L1162" s="3" t="s">
        <v>80</v>
      </c>
      <c r="O1162" s="4">
        <v>3</v>
      </c>
      <c r="P1162" s="4" t="s">
        <v>4760</v>
      </c>
      <c r="Q1162" s="4" t="s">
        <v>4761</v>
      </c>
      <c r="R1162" s="16">
        <v>1000000</v>
      </c>
      <c r="S1162" s="6">
        <v>1000000</v>
      </c>
      <c r="T1162" s="17"/>
      <c r="U1162" s="6"/>
      <c r="V1162" s="4"/>
      <c r="W1162" s="4"/>
      <c r="X1162" s="4"/>
      <c r="Y1162" s="7">
        <v>3</v>
      </c>
      <c r="Z1162" s="8">
        <v>656844</v>
      </c>
      <c r="AA1162" s="7" t="s">
        <v>3864</v>
      </c>
      <c r="AB1162" s="7" t="s">
        <v>4762</v>
      </c>
      <c r="AC1162" s="9">
        <v>3</v>
      </c>
      <c r="AD1162" s="10">
        <v>656844</v>
      </c>
      <c r="AE1162" s="9" t="s">
        <v>3864</v>
      </c>
      <c r="AF1162" s="9" t="s">
        <v>4762</v>
      </c>
      <c r="AG1162" s="11">
        <v>2</v>
      </c>
      <c r="AH1162" s="11" t="s">
        <v>4763</v>
      </c>
      <c r="AI1162" s="11" t="s">
        <v>4764</v>
      </c>
      <c r="AJ1162" s="11"/>
      <c r="AK1162" s="11"/>
      <c r="AL1162" s="12">
        <v>2</v>
      </c>
      <c r="AM1162" s="12" t="s">
        <v>4763</v>
      </c>
      <c r="AN1162" s="12" t="s">
        <v>4765</v>
      </c>
      <c r="AO1162" s="12"/>
      <c r="AP1162" s="12"/>
      <c r="AQ1162" s="4">
        <v>3</v>
      </c>
      <c r="AR1162" s="4" t="s">
        <v>4766</v>
      </c>
      <c r="AS1162" s="4" t="s">
        <v>4767</v>
      </c>
      <c r="AT1162" s="13"/>
      <c r="AU1162" s="13"/>
      <c r="AV1162" s="13"/>
      <c r="AW1162" s="13"/>
      <c r="AX1162" s="4"/>
      <c r="AY1162" s="13"/>
      <c r="AZ1162" s="13"/>
      <c r="BA1162" s="13"/>
      <c r="BB1162" s="13"/>
      <c r="BC1162" s="4"/>
      <c r="BD1162" s="4"/>
      <c r="BE1162" s="4"/>
      <c r="BF1162" s="13"/>
      <c r="BG1162" s="4"/>
      <c r="BH1162" s="13"/>
      <c r="BI1162" s="13"/>
      <c r="BJ1162" s="4"/>
      <c r="BK1162" s="14">
        <v>11</v>
      </c>
      <c r="BL1162" s="14">
        <v>11</v>
      </c>
      <c r="BM1162" s="14">
        <v>11</v>
      </c>
      <c r="BP1162" s="15"/>
      <c r="BQ1162" s="15" t="s">
        <v>146</v>
      </c>
      <c r="BR1162" s="2" t="s">
        <v>400</v>
      </c>
      <c r="BS1162" s="2" t="s">
        <v>400</v>
      </c>
      <c r="BT1162" s="7" t="s">
        <v>109</v>
      </c>
      <c r="BU1162" s="7" t="s">
        <v>438</v>
      </c>
      <c r="BV1162" s="9" t="s">
        <v>109</v>
      </c>
      <c r="BW1162" s="9" t="s">
        <v>438</v>
      </c>
    </row>
    <row r="1163" spans="1:75" ht="14.25" customHeight="1" x14ac:dyDescent="0.25">
      <c r="A1163" s="1">
        <v>2049</v>
      </c>
      <c r="B1163" s="1" t="s">
        <v>4768</v>
      </c>
      <c r="C1163" s="1" t="s">
        <v>4769</v>
      </c>
      <c r="D1163" s="1" t="s">
        <v>77</v>
      </c>
      <c r="E1163" s="1" t="s">
        <v>2396</v>
      </c>
      <c r="F1163" s="1" t="s">
        <v>4591</v>
      </c>
      <c r="G1163" s="1" t="s">
        <v>4770</v>
      </c>
      <c r="H1163" s="2">
        <v>0</v>
      </c>
      <c r="I1163" s="2">
        <v>0</v>
      </c>
      <c r="J1163" s="2">
        <v>1</v>
      </c>
      <c r="K1163" s="2">
        <v>1</v>
      </c>
      <c r="L1163" s="3" t="s">
        <v>80</v>
      </c>
      <c r="O1163" s="4">
        <v>3</v>
      </c>
      <c r="P1163" s="4" t="s">
        <v>4760</v>
      </c>
      <c r="Q1163" s="4" t="s">
        <v>4771</v>
      </c>
      <c r="R1163" s="16">
        <v>960000</v>
      </c>
      <c r="S1163" s="6">
        <v>960000</v>
      </c>
      <c r="T1163" s="17"/>
      <c r="U1163" s="6"/>
      <c r="V1163" s="4"/>
      <c r="W1163" s="4"/>
      <c r="X1163" s="4"/>
      <c r="Y1163" s="7">
        <v>3</v>
      </c>
      <c r="Z1163" s="8">
        <v>310655</v>
      </c>
      <c r="AA1163" s="7" t="s">
        <v>3864</v>
      </c>
      <c r="AB1163" s="7" t="s">
        <v>4762</v>
      </c>
      <c r="AC1163" s="9">
        <v>3</v>
      </c>
      <c r="AD1163" s="10">
        <v>310655</v>
      </c>
      <c r="AE1163" s="9" t="s">
        <v>3864</v>
      </c>
      <c r="AF1163" s="9" t="s">
        <v>4762</v>
      </c>
      <c r="AG1163" s="11">
        <v>3</v>
      </c>
      <c r="AH1163" s="11" t="s">
        <v>4772</v>
      </c>
      <c r="AI1163" s="11" t="s">
        <v>4773</v>
      </c>
      <c r="AJ1163" s="11"/>
      <c r="AK1163" s="11"/>
      <c r="AL1163" s="12">
        <v>3</v>
      </c>
      <c r="AM1163" s="12" t="s">
        <v>4772</v>
      </c>
      <c r="AN1163" s="12" t="s">
        <v>4774</v>
      </c>
      <c r="AO1163" s="12"/>
      <c r="AP1163" s="12"/>
      <c r="AQ1163" s="4">
        <v>2</v>
      </c>
      <c r="AR1163" s="4" t="s">
        <v>4772</v>
      </c>
      <c r="AS1163" s="4" t="s">
        <v>4775</v>
      </c>
      <c r="AT1163" s="13"/>
      <c r="AU1163" s="13"/>
      <c r="AV1163" s="13"/>
      <c r="AW1163" s="13"/>
      <c r="AX1163" s="4"/>
      <c r="AY1163" s="13"/>
      <c r="AZ1163" s="13"/>
      <c r="BA1163" s="13"/>
      <c r="BB1163" s="13"/>
      <c r="BC1163" s="4"/>
      <c r="BD1163" s="4"/>
      <c r="BE1163" s="4"/>
      <c r="BF1163" s="13"/>
      <c r="BG1163" s="4"/>
      <c r="BH1163" s="13"/>
      <c r="BI1163" s="13"/>
      <c r="BJ1163" s="4"/>
      <c r="BK1163" s="14">
        <v>11</v>
      </c>
      <c r="BL1163" s="14">
        <v>11</v>
      </c>
      <c r="BM1163" s="14">
        <v>11</v>
      </c>
      <c r="BP1163" s="15"/>
      <c r="BQ1163" s="15" t="s">
        <v>146</v>
      </c>
      <c r="BR1163" s="2" t="s">
        <v>97</v>
      </c>
      <c r="BS1163" s="2" t="s">
        <v>97</v>
      </c>
      <c r="BT1163" s="7" t="s">
        <v>109</v>
      </c>
      <c r="BU1163" s="7"/>
      <c r="BV1163" s="9" t="s">
        <v>109</v>
      </c>
      <c r="BW1163" s="9"/>
    </row>
    <row r="1164" spans="1:75" ht="14.25" customHeight="1" x14ac:dyDescent="0.25">
      <c r="A1164" s="1">
        <v>2050</v>
      </c>
      <c r="B1164" s="1" t="s">
        <v>4776</v>
      </c>
      <c r="C1164" s="1" t="s">
        <v>4777</v>
      </c>
      <c r="D1164" s="1" t="s">
        <v>77</v>
      </c>
      <c r="E1164" s="1" t="s">
        <v>2396</v>
      </c>
      <c r="F1164" s="1" t="s">
        <v>4591</v>
      </c>
      <c r="G1164" s="1"/>
      <c r="H1164" s="2">
        <v>0</v>
      </c>
      <c r="I1164" s="2">
        <v>0</v>
      </c>
      <c r="J1164" s="2">
        <v>0</v>
      </c>
      <c r="K1164" s="2">
        <v>1</v>
      </c>
      <c r="L1164" s="3" t="s">
        <v>80</v>
      </c>
      <c r="O1164" s="4">
        <v>5</v>
      </c>
      <c r="P1164" s="4" t="s">
        <v>81</v>
      </c>
      <c r="Q1164" s="4"/>
      <c r="R1164" s="5"/>
      <c r="S1164" s="6"/>
      <c r="T1164" s="17"/>
      <c r="U1164" s="6"/>
      <c r="V1164" s="4"/>
      <c r="W1164" s="4"/>
      <c r="X1164" s="4"/>
      <c r="Y1164" s="7">
        <v>5</v>
      </c>
      <c r="Z1164" s="8">
        <v>4846</v>
      </c>
      <c r="AA1164" s="7" t="s">
        <v>82</v>
      </c>
      <c r="AB1164" s="7"/>
      <c r="AC1164" s="9">
        <v>5</v>
      </c>
      <c r="AD1164" s="10">
        <v>4846</v>
      </c>
      <c r="AE1164" s="9" t="s">
        <v>82</v>
      </c>
      <c r="AF1164" s="9"/>
      <c r="AG1164" s="11">
        <v>4</v>
      </c>
      <c r="AH1164" s="11" t="s">
        <v>83</v>
      </c>
      <c r="AI1164" s="11"/>
      <c r="AJ1164" s="11"/>
      <c r="AK1164" s="11"/>
      <c r="AL1164" s="12">
        <v>4</v>
      </c>
      <c r="AM1164" s="12" t="s">
        <v>83</v>
      </c>
      <c r="AN1164" s="12"/>
      <c r="AO1164" s="12"/>
      <c r="AP1164" s="12"/>
      <c r="AQ1164" s="4">
        <v>3</v>
      </c>
      <c r="AR1164" s="4" t="s">
        <v>83</v>
      </c>
      <c r="AS1164" s="4"/>
      <c r="AT1164" s="13"/>
      <c r="AU1164" s="13"/>
      <c r="AV1164" s="13"/>
      <c r="AW1164" s="13"/>
      <c r="AX1164" s="4"/>
      <c r="AY1164" s="13"/>
      <c r="AZ1164" s="13"/>
      <c r="BA1164" s="13"/>
      <c r="BB1164" s="13"/>
      <c r="BC1164" s="4"/>
      <c r="BD1164" s="4"/>
      <c r="BE1164" s="4"/>
      <c r="BF1164" s="13"/>
      <c r="BG1164" s="4"/>
      <c r="BH1164" s="13"/>
      <c r="BI1164" s="13"/>
      <c r="BJ1164" s="4"/>
      <c r="BK1164" s="14">
        <v>17</v>
      </c>
      <c r="BL1164" s="14">
        <v>17</v>
      </c>
      <c r="BM1164" s="14">
        <v>17</v>
      </c>
      <c r="BN1164" s="3" t="s">
        <v>312</v>
      </c>
      <c r="BP1164" s="15"/>
      <c r="BQ1164" s="15"/>
      <c r="BR1164" s="2" t="s">
        <v>87</v>
      </c>
      <c r="BS1164" s="2" t="s">
        <v>87</v>
      </c>
      <c r="BT1164" s="7" t="s">
        <v>88</v>
      </c>
      <c r="BU1164" s="7"/>
      <c r="BV1164" s="9" t="s">
        <v>88</v>
      </c>
      <c r="BW1164" s="9"/>
    </row>
    <row r="1165" spans="1:75" ht="14.25" customHeight="1" x14ac:dyDescent="0.25">
      <c r="A1165" s="1">
        <v>2051</v>
      </c>
      <c r="B1165" s="1" t="s">
        <v>4778</v>
      </c>
      <c r="C1165" s="1" t="s">
        <v>4779</v>
      </c>
      <c r="D1165" s="1" t="s">
        <v>77</v>
      </c>
      <c r="E1165" s="1" t="s">
        <v>2396</v>
      </c>
      <c r="F1165" s="1" t="s">
        <v>4591</v>
      </c>
      <c r="G1165" s="1" t="s">
        <v>118</v>
      </c>
      <c r="H1165" s="2">
        <v>0</v>
      </c>
      <c r="I1165" s="2">
        <v>0</v>
      </c>
      <c r="J1165" s="2">
        <v>0</v>
      </c>
      <c r="K1165" s="2">
        <v>1</v>
      </c>
      <c r="L1165" s="3" t="s">
        <v>80</v>
      </c>
      <c r="O1165" s="4">
        <v>5</v>
      </c>
      <c r="P1165" s="4" t="s">
        <v>81</v>
      </c>
      <c r="Q1165" s="4"/>
      <c r="R1165" s="5"/>
      <c r="S1165" s="6"/>
      <c r="T1165" s="17"/>
      <c r="U1165" s="6"/>
      <c r="V1165" s="4"/>
      <c r="W1165" s="4"/>
      <c r="X1165" s="4"/>
      <c r="Y1165" s="7">
        <v>5</v>
      </c>
      <c r="Z1165" s="8">
        <v>320</v>
      </c>
      <c r="AA1165" s="7" t="s">
        <v>82</v>
      </c>
      <c r="AB1165" s="7"/>
      <c r="AC1165" s="9">
        <v>5</v>
      </c>
      <c r="AD1165" s="10">
        <v>320</v>
      </c>
      <c r="AE1165" s="9" t="s">
        <v>82</v>
      </c>
      <c r="AF1165" s="9"/>
      <c r="AG1165" s="11">
        <v>4</v>
      </c>
      <c r="AH1165" s="11" t="s">
        <v>83</v>
      </c>
      <c r="AI1165" s="11"/>
      <c r="AJ1165" s="11"/>
      <c r="AK1165" s="11"/>
      <c r="AL1165" s="12">
        <v>4</v>
      </c>
      <c r="AM1165" s="12" t="s">
        <v>83</v>
      </c>
      <c r="AN1165" s="12"/>
      <c r="AO1165" s="12"/>
      <c r="AP1165" s="12"/>
      <c r="AQ1165" s="4">
        <v>3</v>
      </c>
      <c r="AR1165" s="4" t="s">
        <v>83</v>
      </c>
      <c r="AS1165" s="4"/>
      <c r="AT1165" s="13"/>
      <c r="AU1165" s="13"/>
      <c r="AV1165" s="13"/>
      <c r="AW1165" s="13"/>
      <c r="AX1165" s="4"/>
      <c r="AY1165" s="13"/>
      <c r="AZ1165" s="13"/>
      <c r="BA1165" s="13"/>
      <c r="BB1165" s="13"/>
      <c r="BC1165" s="4"/>
      <c r="BD1165" s="4"/>
      <c r="BE1165" s="4"/>
      <c r="BF1165" s="13"/>
      <c r="BG1165" s="4"/>
      <c r="BH1165" s="13"/>
      <c r="BI1165" s="13"/>
      <c r="BJ1165" s="4"/>
      <c r="BK1165" s="14">
        <v>17</v>
      </c>
      <c r="BL1165" s="14">
        <v>17</v>
      </c>
      <c r="BM1165" s="14">
        <v>17</v>
      </c>
      <c r="BN1165" s="3" t="s">
        <v>312</v>
      </c>
      <c r="BO1165" s="3" t="s">
        <v>114</v>
      </c>
      <c r="BP1165" s="15"/>
      <c r="BQ1165" s="15"/>
      <c r="BR1165" s="2" t="s">
        <v>87</v>
      </c>
      <c r="BS1165" s="2" t="s">
        <v>87</v>
      </c>
      <c r="BT1165" s="7" t="s">
        <v>88</v>
      </c>
      <c r="BU1165" s="7"/>
      <c r="BV1165" s="9" t="s">
        <v>88</v>
      </c>
      <c r="BW1165" s="9"/>
    </row>
    <row r="1166" spans="1:75" ht="14.25" customHeight="1" x14ac:dyDescent="0.25">
      <c r="A1166" s="1">
        <v>2052</v>
      </c>
      <c r="B1166" s="1" t="s">
        <v>4780</v>
      </c>
      <c r="C1166" s="1" t="s">
        <v>4781</v>
      </c>
      <c r="D1166" s="1" t="s">
        <v>77</v>
      </c>
      <c r="E1166" s="1" t="s">
        <v>2396</v>
      </c>
      <c r="F1166" s="1" t="s">
        <v>4591</v>
      </c>
      <c r="G1166" s="1"/>
      <c r="H1166" s="2">
        <v>0</v>
      </c>
      <c r="I1166" s="2">
        <v>0</v>
      </c>
      <c r="J1166" s="2">
        <v>1</v>
      </c>
      <c r="K1166" s="2">
        <v>1</v>
      </c>
      <c r="L1166" s="3" t="s">
        <v>80</v>
      </c>
      <c r="O1166" s="4">
        <v>4</v>
      </c>
      <c r="P1166" s="4" t="s">
        <v>112</v>
      </c>
      <c r="Q1166" s="4"/>
      <c r="R1166" s="5"/>
      <c r="S1166" s="6"/>
      <c r="T1166" s="17"/>
      <c r="U1166" s="6"/>
      <c r="V1166" s="4"/>
      <c r="W1166" s="4"/>
      <c r="X1166" s="4"/>
      <c r="Y1166" s="7">
        <v>3</v>
      </c>
      <c r="Z1166" s="8">
        <v>335158</v>
      </c>
      <c r="AA1166" s="7" t="s">
        <v>92</v>
      </c>
      <c r="AB1166" s="7"/>
      <c r="AC1166" s="9">
        <v>3</v>
      </c>
      <c r="AD1166" s="10">
        <v>335158</v>
      </c>
      <c r="AE1166" s="9" t="s">
        <v>92</v>
      </c>
      <c r="AF1166" s="9"/>
      <c r="AG1166" s="11">
        <v>4</v>
      </c>
      <c r="AH1166" s="11" t="s">
        <v>93</v>
      </c>
      <c r="AI1166" s="11" t="s">
        <v>2591</v>
      </c>
      <c r="AJ1166" s="11"/>
      <c r="AK1166" s="11"/>
      <c r="AL1166" s="12">
        <v>4</v>
      </c>
      <c r="AM1166" s="12" t="s">
        <v>93</v>
      </c>
      <c r="AN1166" s="12" t="s">
        <v>4782</v>
      </c>
      <c r="AO1166" s="12"/>
      <c r="AP1166" s="12"/>
      <c r="AQ1166" s="4">
        <v>4</v>
      </c>
      <c r="AR1166" s="4" t="s">
        <v>83</v>
      </c>
      <c r="AS1166" s="4"/>
      <c r="AT1166" s="13"/>
      <c r="AU1166" s="13"/>
      <c r="AV1166" s="13"/>
      <c r="AW1166" s="13"/>
      <c r="AX1166" s="4"/>
      <c r="AY1166" s="13"/>
      <c r="AZ1166" s="13"/>
      <c r="BA1166" s="13"/>
      <c r="BB1166" s="13"/>
      <c r="BC1166" s="4"/>
      <c r="BD1166" s="4"/>
      <c r="BE1166" s="4"/>
      <c r="BF1166" s="13"/>
      <c r="BG1166" s="4"/>
      <c r="BH1166" s="13"/>
      <c r="BI1166" s="13"/>
      <c r="BJ1166" s="4"/>
      <c r="BK1166" s="14">
        <v>15</v>
      </c>
      <c r="BL1166" s="14">
        <v>15</v>
      </c>
      <c r="BM1166" s="14">
        <v>15</v>
      </c>
      <c r="BN1166" s="3" t="s">
        <v>86</v>
      </c>
      <c r="BP1166" s="15"/>
      <c r="BQ1166" s="15"/>
      <c r="BR1166" s="2" t="s">
        <v>409</v>
      </c>
      <c r="BS1166" s="2" t="s">
        <v>409</v>
      </c>
      <c r="BT1166" s="7" t="s">
        <v>438</v>
      </c>
      <c r="BU1166" s="7" t="s">
        <v>88</v>
      </c>
      <c r="BV1166" s="9" t="s">
        <v>438</v>
      </c>
      <c r="BW1166" s="9" t="s">
        <v>88</v>
      </c>
    </row>
    <row r="1167" spans="1:75" ht="14.25" customHeight="1" x14ac:dyDescent="0.25">
      <c r="A1167" s="1">
        <v>2053</v>
      </c>
      <c r="B1167" s="1" t="s">
        <v>4783</v>
      </c>
      <c r="C1167" s="1" t="s">
        <v>4784</v>
      </c>
      <c r="D1167" s="1" t="s">
        <v>77</v>
      </c>
      <c r="E1167" s="1" t="s">
        <v>2396</v>
      </c>
      <c r="F1167" s="1" t="s">
        <v>4591</v>
      </c>
      <c r="G1167" s="1"/>
      <c r="H1167" s="2">
        <v>0</v>
      </c>
      <c r="I1167" s="2">
        <v>0</v>
      </c>
      <c r="J1167" s="2">
        <v>1</v>
      </c>
      <c r="K1167" s="2">
        <v>1</v>
      </c>
      <c r="L1167" s="3" t="s">
        <v>80</v>
      </c>
      <c r="O1167" s="4">
        <v>2</v>
      </c>
      <c r="P1167" s="4" t="s">
        <v>112</v>
      </c>
      <c r="Q1167" s="4"/>
      <c r="R1167" s="5"/>
      <c r="S1167" s="6"/>
      <c r="T1167" s="17"/>
      <c r="U1167" s="6"/>
      <c r="V1167" s="4"/>
      <c r="W1167" s="4"/>
      <c r="X1167" s="4"/>
      <c r="Y1167" s="7">
        <v>1</v>
      </c>
      <c r="Z1167" s="8">
        <v>8383964</v>
      </c>
      <c r="AA1167" s="7" t="s">
        <v>4785</v>
      </c>
      <c r="AB1167" s="7" t="s">
        <v>4786</v>
      </c>
      <c r="AC1167" s="9">
        <v>1</v>
      </c>
      <c r="AD1167" s="10">
        <v>8383964</v>
      </c>
      <c r="AE1167" s="9" t="s">
        <v>4785</v>
      </c>
      <c r="AF1167" s="9" t="s">
        <v>4786</v>
      </c>
      <c r="AG1167" s="11">
        <v>4</v>
      </c>
      <c r="AH1167" s="11" t="s">
        <v>93</v>
      </c>
      <c r="AI1167" s="11"/>
      <c r="AJ1167" s="11"/>
      <c r="AK1167" s="11"/>
      <c r="AL1167" s="12">
        <v>4</v>
      </c>
      <c r="AM1167" s="12" t="s">
        <v>93</v>
      </c>
      <c r="AN1167" s="12" t="s">
        <v>698</v>
      </c>
      <c r="AO1167" s="12"/>
      <c r="AP1167" s="12"/>
      <c r="AQ1167" s="4">
        <v>4</v>
      </c>
      <c r="AR1167" s="4" t="s">
        <v>83</v>
      </c>
      <c r="AS1167" s="4"/>
      <c r="AT1167" s="13"/>
      <c r="AU1167" s="13"/>
      <c r="AV1167" s="13"/>
      <c r="AW1167" s="13"/>
      <c r="AX1167" s="4"/>
      <c r="AY1167" s="13"/>
      <c r="AZ1167" s="13"/>
      <c r="BA1167" s="13"/>
      <c r="BB1167" s="13"/>
      <c r="BC1167" s="4"/>
      <c r="BD1167" s="4"/>
      <c r="BE1167" s="4"/>
      <c r="BF1167" s="13"/>
      <c r="BG1167" s="4"/>
      <c r="BH1167" s="13"/>
      <c r="BI1167" s="13"/>
      <c r="BJ1167" s="4"/>
      <c r="BK1167" s="14">
        <v>11</v>
      </c>
      <c r="BL1167" s="14">
        <v>11</v>
      </c>
      <c r="BM1167" s="14">
        <v>11</v>
      </c>
      <c r="BP1167" s="15"/>
      <c r="BQ1167" s="15"/>
      <c r="BR1167" s="2" t="s">
        <v>97</v>
      </c>
      <c r="BS1167" s="2" t="s">
        <v>97</v>
      </c>
      <c r="BT1167" s="7" t="s">
        <v>98</v>
      </c>
      <c r="BU1167" s="7"/>
      <c r="BV1167" s="9" t="s">
        <v>98</v>
      </c>
      <c r="BW1167" s="9"/>
    </row>
    <row r="1168" spans="1:75" ht="14.25" customHeight="1" x14ac:dyDescent="0.25">
      <c r="A1168" s="1">
        <v>2054</v>
      </c>
      <c r="B1168" s="1" t="s">
        <v>4787</v>
      </c>
      <c r="C1168" s="1" t="s">
        <v>4788</v>
      </c>
      <c r="D1168" s="1" t="s">
        <v>77</v>
      </c>
      <c r="E1168" s="1" t="s">
        <v>2396</v>
      </c>
      <c r="F1168" s="1" t="s">
        <v>4591</v>
      </c>
      <c r="G1168" s="1" t="s">
        <v>4789</v>
      </c>
      <c r="H1168" s="2">
        <v>0</v>
      </c>
      <c r="I1168" s="2">
        <v>0</v>
      </c>
      <c r="J1168" s="2">
        <v>0</v>
      </c>
      <c r="K1168" s="2">
        <v>1</v>
      </c>
      <c r="L1168" s="3" t="s">
        <v>80</v>
      </c>
      <c r="O1168" s="4">
        <v>4</v>
      </c>
      <c r="P1168" s="4" t="s">
        <v>871</v>
      </c>
      <c r="Q1168" s="4" t="s">
        <v>872</v>
      </c>
      <c r="R1168" s="5"/>
      <c r="S1168" s="6"/>
      <c r="T1168" s="17"/>
      <c r="U1168" s="6"/>
      <c r="V1168" s="4"/>
      <c r="W1168" s="4"/>
      <c r="X1168" s="4"/>
      <c r="Y1168" s="7">
        <v>5</v>
      </c>
      <c r="Z1168" s="8">
        <v>12607</v>
      </c>
      <c r="AA1168" s="7" t="s">
        <v>873</v>
      </c>
      <c r="AB1168" s="7"/>
      <c r="AC1168" s="9">
        <v>5</v>
      </c>
      <c r="AD1168" s="10">
        <v>12607</v>
      </c>
      <c r="AE1168" s="9" t="s">
        <v>873</v>
      </c>
      <c r="AF1168" s="9"/>
      <c r="AG1168" s="11">
        <v>3</v>
      </c>
      <c r="AH1168" s="11" t="s">
        <v>876</v>
      </c>
      <c r="AI1168" s="11" t="s">
        <v>3543</v>
      </c>
      <c r="AJ1168" s="11"/>
      <c r="AK1168" s="11"/>
      <c r="AL1168" s="12">
        <v>3</v>
      </c>
      <c r="AM1168" s="12" t="s">
        <v>876</v>
      </c>
      <c r="AN1168" s="12" t="s">
        <v>881</v>
      </c>
      <c r="AO1168" s="12"/>
      <c r="AP1168" s="12"/>
      <c r="AQ1168" s="4">
        <v>3</v>
      </c>
      <c r="AR1168" s="4" t="s">
        <v>876</v>
      </c>
      <c r="AS1168" s="4" t="s">
        <v>4790</v>
      </c>
      <c r="AT1168" s="13"/>
      <c r="AU1168" s="13"/>
      <c r="AV1168" s="13"/>
      <c r="AW1168" s="13"/>
      <c r="AX1168" s="4"/>
      <c r="AY1168" s="13"/>
      <c r="AZ1168" s="13"/>
      <c r="BA1168" s="13"/>
      <c r="BB1168" s="13"/>
      <c r="BC1168" s="4"/>
      <c r="BD1168" s="4"/>
      <c r="BE1168" s="4"/>
      <c r="BF1168" s="13"/>
      <c r="BG1168" s="4"/>
      <c r="BH1168" s="13"/>
      <c r="BI1168" s="13"/>
      <c r="BJ1168" s="4"/>
      <c r="BK1168" s="14">
        <v>15</v>
      </c>
      <c r="BL1168" s="14">
        <v>15</v>
      </c>
      <c r="BM1168" s="14">
        <v>15</v>
      </c>
      <c r="BN1168" s="3" t="s">
        <v>86</v>
      </c>
      <c r="BP1168" s="15"/>
      <c r="BQ1168" s="15"/>
      <c r="BR1168" s="2" t="s">
        <v>87</v>
      </c>
      <c r="BS1168" s="2" t="s">
        <v>87</v>
      </c>
      <c r="BT1168" s="7" t="s">
        <v>88</v>
      </c>
      <c r="BU1168" s="7"/>
      <c r="BV1168" s="9" t="s">
        <v>88</v>
      </c>
      <c r="BW1168" s="9"/>
    </row>
    <row r="1169" spans="1:75" ht="14.25" customHeight="1" x14ac:dyDescent="0.25">
      <c r="A1169" s="1">
        <v>2055</v>
      </c>
      <c r="B1169" s="1" t="s">
        <v>4791</v>
      </c>
      <c r="C1169" s="1" t="s">
        <v>4792</v>
      </c>
      <c r="D1169" s="1" t="s">
        <v>77</v>
      </c>
      <c r="E1169" s="1" t="s">
        <v>2396</v>
      </c>
      <c r="F1169" s="1" t="s">
        <v>4591</v>
      </c>
      <c r="G1169" s="1" t="s">
        <v>4793</v>
      </c>
      <c r="H1169" s="2">
        <v>0</v>
      </c>
      <c r="I1169" s="2">
        <v>0</v>
      </c>
      <c r="J1169" s="2">
        <v>0</v>
      </c>
      <c r="K1169" s="2">
        <v>1</v>
      </c>
      <c r="L1169" s="3" t="s">
        <v>80</v>
      </c>
      <c r="O1169" s="4">
        <v>5</v>
      </c>
      <c r="P1169" s="4" t="s">
        <v>871</v>
      </c>
      <c r="Q1169" s="4" t="s">
        <v>872</v>
      </c>
      <c r="R1169" s="5"/>
      <c r="S1169" s="6"/>
      <c r="T1169" s="17"/>
      <c r="U1169" s="6"/>
      <c r="V1169" s="4"/>
      <c r="W1169" s="4"/>
      <c r="X1169" s="4"/>
      <c r="Y1169" s="7">
        <v>5</v>
      </c>
      <c r="Z1169" s="8">
        <v>1829</v>
      </c>
      <c r="AA1169" s="7" t="s">
        <v>873</v>
      </c>
      <c r="AB1169" s="7"/>
      <c r="AC1169" s="9">
        <v>5</v>
      </c>
      <c r="AD1169" s="10">
        <v>1829</v>
      </c>
      <c r="AE1169" s="9" t="s">
        <v>873</v>
      </c>
      <c r="AF1169" s="9"/>
      <c r="AG1169" s="11">
        <v>3</v>
      </c>
      <c r="AH1169" s="11" t="s">
        <v>876</v>
      </c>
      <c r="AI1169" s="11" t="s">
        <v>4794</v>
      </c>
      <c r="AJ1169" s="11"/>
      <c r="AK1169" s="11"/>
      <c r="AL1169" s="12">
        <v>3</v>
      </c>
      <c r="AM1169" s="12" t="s">
        <v>876</v>
      </c>
      <c r="AN1169" s="12" t="s">
        <v>4794</v>
      </c>
      <c r="AO1169" s="12"/>
      <c r="AP1169" s="12"/>
      <c r="AQ1169" s="4">
        <v>4</v>
      </c>
      <c r="AR1169" s="4" t="s">
        <v>876</v>
      </c>
      <c r="AS1169" s="4" t="s">
        <v>4794</v>
      </c>
      <c r="AT1169" s="13"/>
      <c r="AU1169" s="13"/>
      <c r="AV1169" s="13"/>
      <c r="AW1169" s="13"/>
      <c r="AX1169" s="4"/>
      <c r="AY1169" s="13"/>
      <c r="AZ1169" s="13"/>
      <c r="BA1169" s="13"/>
      <c r="BB1169" s="13"/>
      <c r="BC1169" s="4"/>
      <c r="BD1169" s="4"/>
      <c r="BE1169" s="4"/>
      <c r="BF1169" s="13"/>
      <c r="BG1169" s="4"/>
      <c r="BH1169" s="13"/>
      <c r="BI1169" s="13"/>
      <c r="BJ1169" s="4"/>
      <c r="BK1169" s="14">
        <v>17</v>
      </c>
      <c r="BL1169" s="14">
        <v>17</v>
      </c>
      <c r="BM1169" s="14">
        <v>17</v>
      </c>
      <c r="BN1169" s="3" t="s">
        <v>312</v>
      </c>
      <c r="BP1169" s="15"/>
      <c r="BQ1169" s="15"/>
      <c r="BR1169" s="2" t="s">
        <v>87</v>
      </c>
      <c r="BS1169" s="2" t="s">
        <v>87</v>
      </c>
      <c r="BT1169" s="7" t="s">
        <v>88</v>
      </c>
      <c r="BU1169" s="7"/>
      <c r="BV1169" s="9" t="s">
        <v>88</v>
      </c>
      <c r="BW1169" s="9"/>
    </row>
    <row r="1170" spans="1:75" ht="14.25" customHeight="1" x14ac:dyDescent="0.25">
      <c r="A1170" s="1">
        <v>2056</v>
      </c>
      <c r="B1170" s="1" t="s">
        <v>4795</v>
      </c>
      <c r="C1170" s="1" t="s">
        <v>4796</v>
      </c>
      <c r="D1170" s="1" t="s">
        <v>77</v>
      </c>
      <c r="E1170" s="1" t="s">
        <v>2396</v>
      </c>
      <c r="F1170" s="1" t="s">
        <v>4591</v>
      </c>
      <c r="G1170" s="1" t="s">
        <v>118</v>
      </c>
      <c r="H1170" s="2">
        <v>1</v>
      </c>
      <c r="I1170" s="2">
        <v>1</v>
      </c>
      <c r="J1170" s="2">
        <v>1</v>
      </c>
      <c r="K1170" s="2">
        <v>1</v>
      </c>
      <c r="L1170" s="3" t="s">
        <v>127</v>
      </c>
      <c r="O1170" s="4">
        <v>3</v>
      </c>
      <c r="P1170" s="4" t="s">
        <v>2693</v>
      </c>
      <c r="Q1170" s="4"/>
      <c r="R1170" s="16">
        <v>2600000</v>
      </c>
      <c r="S1170" s="6">
        <v>2600000</v>
      </c>
      <c r="T1170" s="16">
        <v>2600000</v>
      </c>
      <c r="U1170" s="6">
        <v>2600000</v>
      </c>
      <c r="V1170" s="4">
        <v>2010.5</v>
      </c>
      <c r="W1170" s="4" t="s">
        <v>579</v>
      </c>
      <c r="X1170" s="4"/>
      <c r="Y1170" s="7">
        <v>2</v>
      </c>
      <c r="Z1170" s="8">
        <v>2756662</v>
      </c>
      <c r="AA1170" s="7" t="s">
        <v>92</v>
      </c>
      <c r="AB1170" s="7"/>
      <c r="AC1170" s="9">
        <v>2</v>
      </c>
      <c r="AD1170" s="10">
        <v>1492354</v>
      </c>
      <c r="AE1170" s="9" t="s">
        <v>582</v>
      </c>
      <c r="AF1170" s="9" t="s">
        <v>4797</v>
      </c>
      <c r="AG1170" s="11">
        <v>3</v>
      </c>
      <c r="AH1170" s="11" t="s">
        <v>131</v>
      </c>
      <c r="AI1170" s="11"/>
      <c r="AJ1170" s="11">
        <v>4</v>
      </c>
      <c r="AK1170" s="11" t="s">
        <v>332</v>
      </c>
      <c r="AL1170" s="12">
        <v>4</v>
      </c>
      <c r="AM1170" s="12" t="s">
        <v>271</v>
      </c>
      <c r="AN1170" s="12" t="s">
        <v>4798</v>
      </c>
      <c r="AO1170" s="12"/>
      <c r="AP1170" s="12"/>
      <c r="AQ1170" s="4">
        <v>4</v>
      </c>
      <c r="AR1170" s="4" t="s">
        <v>133</v>
      </c>
      <c r="AS1170" s="4"/>
      <c r="AT1170" s="13">
        <v>-62.300437927246101</v>
      </c>
      <c r="AU1170" s="13">
        <v>-1.8945184946060201</v>
      </c>
      <c r="AV1170" s="13">
        <v>-2.5699999332428001</v>
      </c>
      <c r="AW1170" s="13">
        <v>-1.4581979513168299</v>
      </c>
      <c r="AX1170" s="4">
        <v>1</v>
      </c>
      <c r="AY1170" s="13">
        <v>23.3033256530762</v>
      </c>
      <c r="AZ1170" s="13">
        <v>2.1184210777282702</v>
      </c>
      <c r="BA1170" s="13">
        <v>-0.259999990463257</v>
      </c>
      <c r="BB1170" s="13">
        <v>3.9300000667571999</v>
      </c>
      <c r="BC1170" s="4"/>
      <c r="BD1170" s="4">
        <v>10</v>
      </c>
      <c r="BE1170" s="4" t="s">
        <v>134</v>
      </c>
      <c r="BF1170" s="13">
        <v>1.1118019819259599</v>
      </c>
      <c r="BG1170" s="4">
        <v>839.5</v>
      </c>
      <c r="BH1170" s="13">
        <v>0.77149999141693104</v>
      </c>
      <c r="BI1170" s="13">
        <v>647.54602050781295</v>
      </c>
      <c r="BJ1170" s="4"/>
      <c r="BK1170" s="14">
        <v>12</v>
      </c>
      <c r="BL1170" s="14">
        <v>13</v>
      </c>
      <c r="BM1170" s="14">
        <v>13</v>
      </c>
      <c r="BN1170" s="3" t="s">
        <v>255</v>
      </c>
      <c r="BP1170" s="15"/>
      <c r="BQ1170" s="15"/>
      <c r="BR1170" s="2" t="s">
        <v>211</v>
      </c>
      <c r="BS1170" s="2" t="s">
        <v>87</v>
      </c>
      <c r="BT1170" s="7" t="s">
        <v>527</v>
      </c>
      <c r="BU1170" s="7" t="s">
        <v>241</v>
      </c>
      <c r="BV1170" s="9" t="s">
        <v>88</v>
      </c>
      <c r="BW1170" s="9"/>
    </row>
    <row r="1171" spans="1:75" ht="14.25" customHeight="1" x14ac:dyDescent="0.25">
      <c r="A1171" s="1">
        <v>2057</v>
      </c>
      <c r="B1171" s="1" t="s">
        <v>4799</v>
      </c>
      <c r="C1171" s="1" t="s">
        <v>4800</v>
      </c>
      <c r="D1171" s="1" t="s">
        <v>77</v>
      </c>
      <c r="E1171" s="1" t="s">
        <v>2396</v>
      </c>
      <c r="F1171" s="1" t="s">
        <v>4591</v>
      </c>
      <c r="G1171" s="1"/>
      <c r="H1171" s="2">
        <v>1</v>
      </c>
      <c r="I1171" s="2">
        <v>1</v>
      </c>
      <c r="J1171" s="2">
        <v>1</v>
      </c>
      <c r="K1171" s="2">
        <v>1</v>
      </c>
      <c r="L1171" s="3" t="s">
        <v>127</v>
      </c>
      <c r="O1171" s="4">
        <v>1</v>
      </c>
      <c r="P1171" s="4" t="s">
        <v>2683</v>
      </c>
      <c r="Q1171" s="4"/>
      <c r="R1171" s="16">
        <v>81000000</v>
      </c>
      <c r="S1171" s="6">
        <v>81000000</v>
      </c>
      <c r="T1171" s="16">
        <v>81000000</v>
      </c>
      <c r="U1171" s="6">
        <v>81000000</v>
      </c>
      <c r="V1171" s="4">
        <v>2010.5</v>
      </c>
      <c r="W1171" s="4" t="s">
        <v>1919</v>
      </c>
      <c r="X1171" s="4"/>
      <c r="Y1171" s="7">
        <v>1</v>
      </c>
      <c r="Z1171" s="8">
        <v>7920008</v>
      </c>
      <c r="AA1171" s="7" t="s">
        <v>92</v>
      </c>
      <c r="AB1171" s="7"/>
      <c r="AC1171" s="9">
        <v>2</v>
      </c>
      <c r="AD1171" s="10">
        <v>1369491</v>
      </c>
      <c r="AE1171" s="9" t="s">
        <v>92</v>
      </c>
      <c r="AF1171" s="9"/>
      <c r="AG1171" s="11">
        <v>4</v>
      </c>
      <c r="AH1171" s="11" t="s">
        <v>131</v>
      </c>
      <c r="AI1171" s="11" t="s">
        <v>4801</v>
      </c>
      <c r="AJ1171" s="11">
        <v>4</v>
      </c>
      <c r="AK1171" s="11" t="s">
        <v>143</v>
      </c>
      <c r="AL1171" s="12">
        <v>2</v>
      </c>
      <c r="AM1171" s="12" t="s">
        <v>131</v>
      </c>
      <c r="AN1171" s="12" t="s">
        <v>4802</v>
      </c>
      <c r="AO1171" s="12">
        <v>2</v>
      </c>
      <c r="AP1171" s="12" t="s">
        <v>132</v>
      </c>
      <c r="AQ1171" s="4">
        <v>3</v>
      </c>
      <c r="AR1171" s="4" t="s">
        <v>133</v>
      </c>
      <c r="AS1171" s="4"/>
      <c r="AT1171" s="13">
        <v>-45.075153350830099</v>
      </c>
      <c r="AU1171" s="13">
        <v>-1.1681212186813399</v>
      </c>
      <c r="AV1171" s="13">
        <v>-1.9640979766845701</v>
      </c>
      <c r="AW1171" s="13">
        <v>7.6999996963422705E-5</v>
      </c>
      <c r="AX1171" s="4"/>
      <c r="AY1171" s="13">
        <v>-3.9409010410308798</v>
      </c>
      <c r="AZ1171" s="13">
        <v>-0.40122377872467002</v>
      </c>
      <c r="BA1171" s="13">
        <v>-1.7300000190734901</v>
      </c>
      <c r="BB1171" s="13">
        <v>1.7400000095367401</v>
      </c>
      <c r="BC1171" s="4"/>
      <c r="BD1171" s="4">
        <v>10</v>
      </c>
      <c r="BE1171" s="4" t="s">
        <v>134</v>
      </c>
      <c r="BF1171" s="13">
        <v>1.9641749858856199</v>
      </c>
      <c r="BG1171" s="4">
        <v>1288.5</v>
      </c>
      <c r="BH1171" s="13">
        <v>3.3250000476837198</v>
      </c>
      <c r="BI1171" s="13">
        <v>4292.2099609375</v>
      </c>
      <c r="BJ1171" s="4"/>
      <c r="BK1171" s="14">
        <v>9</v>
      </c>
      <c r="BL1171" s="14">
        <v>8</v>
      </c>
      <c r="BM1171" s="14">
        <v>9</v>
      </c>
      <c r="BP1171" s="15"/>
      <c r="BQ1171" s="15"/>
      <c r="BR1171" s="2" t="s">
        <v>211</v>
      </c>
      <c r="BS1171" s="2" t="s">
        <v>400</v>
      </c>
      <c r="BT1171" s="7" t="s">
        <v>527</v>
      </c>
      <c r="BU1171" s="7" t="s">
        <v>428</v>
      </c>
      <c r="BV1171" s="9" t="s">
        <v>797</v>
      </c>
      <c r="BW1171" s="9"/>
    </row>
    <row r="1172" spans="1:75" ht="14.25" customHeight="1" x14ac:dyDescent="0.25">
      <c r="A1172" s="1">
        <v>2058</v>
      </c>
      <c r="B1172" s="1" t="s">
        <v>4803</v>
      </c>
      <c r="C1172" s="1" t="s">
        <v>4804</v>
      </c>
      <c r="D1172" s="1" t="s">
        <v>77</v>
      </c>
      <c r="E1172" s="1" t="s">
        <v>2396</v>
      </c>
      <c r="F1172" s="1" t="s">
        <v>4591</v>
      </c>
      <c r="G1172" s="1" t="s">
        <v>4805</v>
      </c>
      <c r="H1172" s="2">
        <v>0</v>
      </c>
      <c r="I1172" s="2">
        <v>1</v>
      </c>
      <c r="J1172" s="2">
        <v>1</v>
      </c>
      <c r="K1172" s="2">
        <v>1</v>
      </c>
      <c r="L1172" s="3" t="s">
        <v>127</v>
      </c>
      <c r="O1172" s="4">
        <v>4</v>
      </c>
      <c r="P1172" s="4" t="s">
        <v>424</v>
      </c>
      <c r="Q1172" s="4"/>
      <c r="R1172" s="16">
        <v>350000</v>
      </c>
      <c r="S1172" s="6">
        <v>350000</v>
      </c>
      <c r="T1172" s="16">
        <v>250000</v>
      </c>
      <c r="U1172" s="6">
        <v>250000</v>
      </c>
      <c r="V1172" s="4">
        <v>2010.5</v>
      </c>
      <c r="W1172" s="4" t="s">
        <v>425</v>
      </c>
      <c r="X1172" s="4" t="s">
        <v>4806</v>
      </c>
      <c r="Y1172" s="7">
        <v>3</v>
      </c>
      <c r="Z1172" s="8">
        <v>393861</v>
      </c>
      <c r="AA1172" s="7" t="s">
        <v>92</v>
      </c>
      <c r="AB1172" s="7"/>
      <c r="AC1172" s="9">
        <v>3</v>
      </c>
      <c r="AD1172" s="10">
        <v>309991</v>
      </c>
      <c r="AE1172" s="9" t="s">
        <v>92</v>
      </c>
      <c r="AF1172" s="9"/>
      <c r="AG1172" s="11">
        <v>4</v>
      </c>
      <c r="AH1172" s="11" t="s">
        <v>131</v>
      </c>
      <c r="AI1172" s="11"/>
      <c r="AJ1172" s="11">
        <v>4</v>
      </c>
      <c r="AK1172" s="11" t="s">
        <v>143</v>
      </c>
      <c r="AL1172" s="12">
        <v>4</v>
      </c>
      <c r="AM1172" s="12" t="s">
        <v>131</v>
      </c>
      <c r="AN1172" s="12" t="s">
        <v>698</v>
      </c>
      <c r="AO1172" s="12">
        <v>4</v>
      </c>
      <c r="AP1172" s="12" t="s">
        <v>143</v>
      </c>
      <c r="AQ1172" s="4">
        <v>4</v>
      </c>
      <c r="AR1172" s="4" t="s">
        <v>673</v>
      </c>
      <c r="AS1172" s="4" t="s">
        <v>4807</v>
      </c>
      <c r="AT1172" s="13"/>
      <c r="AU1172" s="13"/>
      <c r="AV1172" s="13"/>
      <c r="AW1172" s="13"/>
      <c r="AX1172" s="4"/>
      <c r="AY1172" s="13"/>
      <c r="AZ1172" s="13"/>
      <c r="BA1172" s="13"/>
      <c r="BB1172" s="13"/>
      <c r="BC1172" s="4"/>
      <c r="BD1172" s="4"/>
      <c r="BE1172" s="4"/>
      <c r="BF1172" s="13"/>
      <c r="BG1172" s="4"/>
      <c r="BH1172" s="13"/>
      <c r="BI1172" s="13"/>
      <c r="BJ1172" s="4"/>
      <c r="BK1172" s="14">
        <v>15</v>
      </c>
      <c r="BL1172" s="14">
        <v>15</v>
      </c>
      <c r="BM1172" s="14">
        <v>15</v>
      </c>
      <c r="BN1172" s="3" t="s">
        <v>86</v>
      </c>
      <c r="BP1172" s="15"/>
      <c r="BQ1172" s="15"/>
      <c r="BR1172" s="2" t="s">
        <v>409</v>
      </c>
      <c r="BS1172" s="2" t="s">
        <v>409</v>
      </c>
      <c r="BT1172" s="7" t="s">
        <v>438</v>
      </c>
      <c r="BU1172" s="7"/>
      <c r="BV1172" s="9" t="s">
        <v>438</v>
      </c>
      <c r="BW1172" s="9" t="s">
        <v>437</v>
      </c>
    </row>
    <row r="1173" spans="1:75" ht="14.25" customHeight="1" x14ac:dyDescent="0.25">
      <c r="A1173" s="1">
        <v>2059</v>
      </c>
      <c r="B1173" s="1" t="s">
        <v>4808</v>
      </c>
      <c r="C1173" s="1" t="s">
        <v>4809</v>
      </c>
      <c r="D1173" s="1" t="s">
        <v>77</v>
      </c>
      <c r="E1173" s="1" t="s">
        <v>2396</v>
      </c>
      <c r="F1173" s="1" t="s">
        <v>4591</v>
      </c>
      <c r="G1173" s="1"/>
      <c r="H1173" s="2">
        <v>0</v>
      </c>
      <c r="I1173" s="2">
        <v>0</v>
      </c>
      <c r="J1173" s="2">
        <v>1</v>
      </c>
      <c r="K1173" s="2">
        <v>0</v>
      </c>
      <c r="L1173" s="3" t="s">
        <v>80</v>
      </c>
      <c r="O1173" s="4">
        <v>4</v>
      </c>
      <c r="P1173" s="4" t="s">
        <v>112</v>
      </c>
      <c r="Q1173" s="4"/>
      <c r="R1173" s="5"/>
      <c r="S1173" s="6"/>
      <c r="T1173" s="17"/>
      <c r="U1173" s="6"/>
      <c r="V1173" s="4"/>
      <c r="W1173" s="4"/>
      <c r="X1173" s="4"/>
      <c r="Y1173" s="7">
        <v>4</v>
      </c>
      <c r="Z1173" s="8">
        <v>233110</v>
      </c>
      <c r="AA1173" s="7" t="s">
        <v>92</v>
      </c>
      <c r="AB1173" s="7"/>
      <c r="AC1173" s="9">
        <v>4</v>
      </c>
      <c r="AD1173" s="10">
        <v>233110</v>
      </c>
      <c r="AE1173" s="9" t="s">
        <v>92</v>
      </c>
      <c r="AF1173" s="9"/>
      <c r="AG1173" s="11">
        <v>3</v>
      </c>
      <c r="AH1173" s="11" t="s">
        <v>93</v>
      </c>
      <c r="AI1173" s="11"/>
      <c r="AJ1173" s="11"/>
      <c r="AK1173" s="11"/>
      <c r="AL1173" s="12">
        <v>3</v>
      </c>
      <c r="AM1173" s="12" t="s">
        <v>93</v>
      </c>
      <c r="AN1173" s="12" t="s">
        <v>698</v>
      </c>
      <c r="AO1173" s="12"/>
      <c r="AP1173" s="12"/>
      <c r="AQ1173" s="4">
        <v>4</v>
      </c>
      <c r="AR1173" s="4" t="s">
        <v>441</v>
      </c>
      <c r="AS1173" s="4" t="s">
        <v>999</v>
      </c>
      <c r="AT1173" s="13"/>
      <c r="AU1173" s="13"/>
      <c r="AV1173" s="13"/>
      <c r="AW1173" s="13"/>
      <c r="AX1173" s="4"/>
      <c r="AY1173" s="13"/>
      <c r="AZ1173" s="13"/>
      <c r="BA1173" s="13"/>
      <c r="BB1173" s="13"/>
      <c r="BC1173" s="4"/>
      <c r="BD1173" s="4"/>
      <c r="BE1173" s="4"/>
      <c r="BF1173" s="13"/>
      <c r="BG1173" s="4"/>
      <c r="BH1173" s="13"/>
      <c r="BI1173" s="13"/>
      <c r="BJ1173" s="4"/>
      <c r="BK1173" s="14">
        <v>15</v>
      </c>
      <c r="BL1173" s="14">
        <v>15</v>
      </c>
      <c r="BM1173" s="14">
        <v>15</v>
      </c>
      <c r="BN1173" s="3" t="s">
        <v>86</v>
      </c>
      <c r="BP1173" s="15"/>
      <c r="BQ1173" s="15"/>
      <c r="BR1173" s="2" t="s">
        <v>409</v>
      </c>
      <c r="BS1173" s="2" t="s">
        <v>409</v>
      </c>
      <c r="BT1173" s="7" t="s">
        <v>438</v>
      </c>
      <c r="BU1173" s="7" t="s">
        <v>437</v>
      </c>
      <c r="BV1173" s="9" t="s">
        <v>438</v>
      </c>
      <c r="BW1173" s="9" t="s">
        <v>437</v>
      </c>
    </row>
    <row r="1174" spans="1:75" ht="14.25" customHeight="1" x14ac:dyDescent="0.25">
      <c r="A1174" s="1">
        <v>2060</v>
      </c>
      <c r="B1174" s="1" t="s">
        <v>4810</v>
      </c>
      <c r="C1174" s="1" t="s">
        <v>4811</v>
      </c>
      <c r="D1174" s="1" t="s">
        <v>77</v>
      </c>
      <c r="E1174" s="1" t="s">
        <v>2396</v>
      </c>
      <c r="F1174" s="1" t="s">
        <v>4591</v>
      </c>
      <c r="G1174" s="1" t="s">
        <v>118</v>
      </c>
      <c r="H1174" s="2">
        <v>0</v>
      </c>
      <c r="I1174" s="2">
        <v>0</v>
      </c>
      <c r="J1174" s="2">
        <v>1</v>
      </c>
      <c r="K1174" s="2">
        <v>1</v>
      </c>
      <c r="L1174" s="3" t="s">
        <v>80</v>
      </c>
      <c r="O1174" s="4">
        <v>5</v>
      </c>
      <c r="P1174" s="4" t="s">
        <v>112</v>
      </c>
      <c r="Q1174" s="4"/>
      <c r="R1174" s="5"/>
      <c r="S1174" s="6"/>
      <c r="T1174" s="17"/>
      <c r="U1174" s="6"/>
      <c r="V1174" s="4"/>
      <c r="W1174" s="4"/>
      <c r="X1174" s="4"/>
      <c r="Y1174" s="7">
        <v>5</v>
      </c>
      <c r="Z1174" s="8">
        <v>59382</v>
      </c>
      <c r="AA1174" s="7" t="s">
        <v>92</v>
      </c>
      <c r="AB1174" s="7"/>
      <c r="AC1174" s="9">
        <v>5</v>
      </c>
      <c r="AD1174" s="10">
        <v>59382</v>
      </c>
      <c r="AE1174" s="9" t="s">
        <v>92</v>
      </c>
      <c r="AF1174" s="9"/>
      <c r="AG1174" s="11">
        <v>5</v>
      </c>
      <c r="AH1174" s="11" t="s">
        <v>93</v>
      </c>
      <c r="AI1174" s="11"/>
      <c r="AJ1174" s="11"/>
      <c r="AK1174" s="11"/>
      <c r="AL1174" s="12">
        <v>5</v>
      </c>
      <c r="AM1174" s="12" t="s">
        <v>93</v>
      </c>
      <c r="AN1174" s="12" t="s">
        <v>1002</v>
      </c>
      <c r="AO1174" s="12"/>
      <c r="AP1174" s="12"/>
      <c r="AQ1174" s="4">
        <v>5</v>
      </c>
      <c r="AR1174" s="4" t="s">
        <v>83</v>
      </c>
      <c r="AS1174" s="4"/>
      <c r="AT1174" s="13"/>
      <c r="AU1174" s="13"/>
      <c r="AV1174" s="13"/>
      <c r="AW1174" s="13"/>
      <c r="AX1174" s="4"/>
      <c r="AY1174" s="13"/>
      <c r="AZ1174" s="13"/>
      <c r="BA1174" s="13"/>
      <c r="BB1174" s="13"/>
      <c r="BC1174" s="4"/>
      <c r="BD1174" s="4"/>
      <c r="BE1174" s="4"/>
      <c r="BF1174" s="13"/>
      <c r="BG1174" s="4"/>
      <c r="BH1174" s="13"/>
      <c r="BI1174" s="13"/>
      <c r="BJ1174" s="4"/>
      <c r="BK1174" s="14">
        <v>20</v>
      </c>
      <c r="BL1174" s="14">
        <v>20</v>
      </c>
      <c r="BM1174" s="14">
        <v>20</v>
      </c>
      <c r="BN1174" s="3" t="s">
        <v>312</v>
      </c>
      <c r="BP1174" s="15"/>
      <c r="BQ1174" s="15"/>
      <c r="BR1174" s="2" t="s">
        <v>409</v>
      </c>
      <c r="BS1174" s="2" t="s">
        <v>409</v>
      </c>
      <c r="BT1174" s="7" t="s">
        <v>88</v>
      </c>
      <c r="BU1174" s="7"/>
      <c r="BV1174" s="9" t="s">
        <v>88</v>
      </c>
      <c r="BW1174" s="9"/>
    </row>
    <row r="1175" spans="1:75" ht="14.25" customHeight="1" x14ac:dyDescent="0.25">
      <c r="A1175" s="1">
        <v>2061</v>
      </c>
      <c r="B1175" s="1" t="s">
        <v>4812</v>
      </c>
      <c r="C1175" s="1" t="s">
        <v>4813</v>
      </c>
      <c r="D1175" s="1" t="s">
        <v>77</v>
      </c>
      <c r="E1175" s="1" t="s">
        <v>2396</v>
      </c>
      <c r="F1175" s="1" t="s">
        <v>4591</v>
      </c>
      <c r="G1175" s="1"/>
      <c r="H1175" s="2">
        <v>0</v>
      </c>
      <c r="I1175" s="2">
        <v>1</v>
      </c>
      <c r="J1175" s="2">
        <v>1</v>
      </c>
      <c r="K1175" s="2">
        <v>1</v>
      </c>
      <c r="L1175" s="3" t="s">
        <v>127</v>
      </c>
      <c r="O1175" s="4">
        <v>3</v>
      </c>
      <c r="P1175" s="4" t="s">
        <v>470</v>
      </c>
      <c r="Q1175" s="4"/>
      <c r="R1175" s="16">
        <v>600000</v>
      </c>
      <c r="S1175" s="6">
        <v>600000</v>
      </c>
      <c r="T1175" s="16">
        <v>130000</v>
      </c>
      <c r="U1175" s="6">
        <v>130000</v>
      </c>
      <c r="V1175" s="4">
        <v>2010.5</v>
      </c>
      <c r="W1175" s="4" t="s">
        <v>425</v>
      </c>
      <c r="X1175" s="4"/>
      <c r="Y1175" s="7">
        <v>2</v>
      </c>
      <c r="Z1175" s="8">
        <v>1126731</v>
      </c>
      <c r="AA1175" s="7" t="s">
        <v>92</v>
      </c>
      <c r="AB1175" s="7"/>
      <c r="AC1175" s="9">
        <v>3</v>
      </c>
      <c r="AD1175" s="10">
        <v>583737</v>
      </c>
      <c r="AE1175" s="9" t="s">
        <v>92</v>
      </c>
      <c r="AF1175" s="9"/>
      <c r="AG1175" s="11">
        <v>3</v>
      </c>
      <c r="AH1175" s="11" t="s">
        <v>131</v>
      </c>
      <c r="AI1175" s="11"/>
      <c r="AJ1175" s="11">
        <v>3</v>
      </c>
      <c r="AK1175" s="11" t="s">
        <v>132</v>
      </c>
      <c r="AL1175" s="12">
        <v>3</v>
      </c>
      <c r="AM1175" s="12" t="s">
        <v>131</v>
      </c>
      <c r="AN1175" s="12" t="s">
        <v>698</v>
      </c>
      <c r="AO1175" s="12">
        <v>3</v>
      </c>
      <c r="AP1175" s="12" t="s">
        <v>143</v>
      </c>
      <c r="AQ1175" s="4">
        <v>4</v>
      </c>
      <c r="AR1175" s="4" t="s">
        <v>673</v>
      </c>
      <c r="AS1175" s="4" t="s">
        <v>4814</v>
      </c>
      <c r="AT1175" s="13"/>
      <c r="AU1175" s="13"/>
      <c r="AV1175" s="13"/>
      <c r="AW1175" s="13"/>
      <c r="AX1175" s="4"/>
      <c r="AY1175" s="13"/>
      <c r="AZ1175" s="13"/>
      <c r="BA1175" s="13"/>
      <c r="BB1175" s="13"/>
      <c r="BC1175" s="4"/>
      <c r="BD1175" s="4"/>
      <c r="BE1175" s="4"/>
      <c r="BF1175" s="13"/>
      <c r="BG1175" s="4"/>
      <c r="BH1175" s="13"/>
      <c r="BI1175" s="13"/>
      <c r="BJ1175" s="4"/>
      <c r="BK1175" s="14">
        <v>12</v>
      </c>
      <c r="BL1175" s="14">
        <v>13</v>
      </c>
      <c r="BM1175" s="14">
        <v>13</v>
      </c>
      <c r="BP1175" s="15"/>
      <c r="BQ1175" s="15"/>
      <c r="BR1175" s="2" t="s">
        <v>409</v>
      </c>
      <c r="BS1175" s="2" t="s">
        <v>409</v>
      </c>
      <c r="BT1175" s="7" t="s">
        <v>438</v>
      </c>
      <c r="BU1175" s="7"/>
      <c r="BV1175" s="9" t="s">
        <v>438</v>
      </c>
      <c r="BW1175" s="9"/>
    </row>
    <row r="1176" spans="1:75" ht="14.25" customHeight="1" x14ac:dyDescent="0.25">
      <c r="A1176" s="1">
        <v>2062</v>
      </c>
      <c r="B1176" s="1" t="s">
        <v>4815</v>
      </c>
      <c r="C1176" s="1" t="s">
        <v>4816</v>
      </c>
      <c r="D1176" s="1" t="s">
        <v>77</v>
      </c>
      <c r="E1176" s="1" t="s">
        <v>2396</v>
      </c>
      <c r="F1176" s="1" t="s">
        <v>4591</v>
      </c>
      <c r="G1176" s="1"/>
      <c r="H1176" s="2">
        <v>0</v>
      </c>
      <c r="I1176" s="2">
        <v>0</v>
      </c>
      <c r="J1176" s="2">
        <v>1</v>
      </c>
      <c r="K1176" s="2">
        <v>1</v>
      </c>
      <c r="L1176" s="3" t="s">
        <v>80</v>
      </c>
      <c r="O1176" s="4">
        <v>3</v>
      </c>
      <c r="P1176" s="4" t="s">
        <v>271</v>
      </c>
      <c r="Q1176" s="4"/>
      <c r="R1176" s="5"/>
      <c r="S1176" s="6"/>
      <c r="T1176" s="17"/>
      <c r="U1176" s="6"/>
      <c r="V1176" s="4"/>
      <c r="W1176" s="4"/>
      <c r="X1176" s="4"/>
      <c r="Y1176" s="7">
        <v>2</v>
      </c>
      <c r="Z1176" s="8">
        <v>1241862</v>
      </c>
      <c r="AA1176" s="7" t="s">
        <v>92</v>
      </c>
      <c r="AB1176" s="7"/>
      <c r="AC1176" s="9">
        <v>2</v>
      </c>
      <c r="AD1176" s="10">
        <v>1241862</v>
      </c>
      <c r="AE1176" s="9" t="s">
        <v>92</v>
      </c>
      <c r="AF1176" s="9" t="s">
        <v>4299</v>
      </c>
      <c r="AG1176" s="11">
        <v>3</v>
      </c>
      <c r="AH1176" s="11" t="s">
        <v>271</v>
      </c>
      <c r="AI1176" s="11" t="s">
        <v>4109</v>
      </c>
      <c r="AJ1176" s="11"/>
      <c r="AK1176" s="11"/>
      <c r="AL1176" s="12">
        <v>3</v>
      </c>
      <c r="AM1176" s="12" t="s">
        <v>537</v>
      </c>
      <c r="AN1176" s="12" t="s">
        <v>698</v>
      </c>
      <c r="AO1176" s="12"/>
      <c r="AP1176" s="12"/>
      <c r="AQ1176" s="4">
        <v>3</v>
      </c>
      <c r="AR1176" s="4" t="s">
        <v>83</v>
      </c>
      <c r="AS1176" s="4"/>
      <c r="AT1176" s="13"/>
      <c r="AU1176" s="13"/>
      <c r="AV1176" s="13"/>
      <c r="AW1176" s="13"/>
      <c r="AX1176" s="4"/>
      <c r="AY1176" s="13"/>
      <c r="AZ1176" s="13"/>
      <c r="BA1176" s="13"/>
      <c r="BB1176" s="13"/>
      <c r="BC1176" s="4"/>
      <c r="BD1176" s="4"/>
      <c r="BE1176" s="4"/>
      <c r="BF1176" s="13"/>
      <c r="BG1176" s="4"/>
      <c r="BH1176" s="13"/>
      <c r="BI1176" s="13"/>
      <c r="BJ1176" s="4"/>
      <c r="BK1176" s="14">
        <v>11</v>
      </c>
      <c r="BL1176" s="14">
        <v>11</v>
      </c>
      <c r="BM1176" s="14">
        <v>11</v>
      </c>
      <c r="BP1176" s="15"/>
      <c r="BQ1176" s="15"/>
      <c r="BR1176" s="2" t="s">
        <v>87</v>
      </c>
      <c r="BS1176" s="2" t="s">
        <v>87</v>
      </c>
      <c r="BT1176" s="7" t="s">
        <v>437</v>
      </c>
      <c r="BU1176" s="7" t="s">
        <v>88</v>
      </c>
      <c r="BV1176" s="9" t="s">
        <v>437</v>
      </c>
      <c r="BW1176" s="9" t="s">
        <v>88</v>
      </c>
    </row>
    <row r="1177" spans="1:75" ht="14.25" customHeight="1" x14ac:dyDescent="0.25">
      <c r="A1177" s="1">
        <v>2063</v>
      </c>
      <c r="B1177" s="1" t="s">
        <v>4817</v>
      </c>
      <c r="C1177" s="1" t="s">
        <v>4818</v>
      </c>
      <c r="D1177" s="1" t="s">
        <v>77</v>
      </c>
      <c r="E1177" s="1" t="s">
        <v>2396</v>
      </c>
      <c r="F1177" s="1" t="s">
        <v>4591</v>
      </c>
      <c r="G1177" s="1" t="s">
        <v>118</v>
      </c>
      <c r="H1177" s="2">
        <v>0</v>
      </c>
      <c r="I1177" s="2">
        <v>0</v>
      </c>
      <c r="J1177" s="2">
        <v>0</v>
      </c>
      <c r="K1177" s="2">
        <v>1</v>
      </c>
      <c r="L1177" s="3" t="s">
        <v>80</v>
      </c>
      <c r="O1177" s="4">
        <v>4</v>
      </c>
      <c r="P1177" s="4" t="s">
        <v>81</v>
      </c>
      <c r="Q1177" s="4"/>
      <c r="R1177" s="5"/>
      <c r="S1177" s="6"/>
      <c r="T1177" s="17"/>
      <c r="U1177" s="6"/>
      <c r="V1177" s="4"/>
      <c r="W1177" s="4"/>
      <c r="X1177" s="4"/>
      <c r="Y1177" s="7">
        <v>5</v>
      </c>
      <c r="Z1177" s="8">
        <v>5277</v>
      </c>
      <c r="AA1177" s="7" t="s">
        <v>82</v>
      </c>
      <c r="AB1177" s="7"/>
      <c r="AC1177" s="9">
        <v>5</v>
      </c>
      <c r="AD1177" s="10">
        <v>5277</v>
      </c>
      <c r="AE1177" s="9" t="s">
        <v>82</v>
      </c>
      <c r="AF1177" s="9"/>
      <c r="AG1177" s="11">
        <v>4</v>
      </c>
      <c r="AH1177" s="11" t="s">
        <v>83</v>
      </c>
      <c r="AI1177" s="11" t="s">
        <v>2741</v>
      </c>
      <c r="AJ1177" s="11"/>
      <c r="AK1177" s="11"/>
      <c r="AL1177" s="12">
        <v>4</v>
      </c>
      <c r="AM1177" s="12" t="s">
        <v>83</v>
      </c>
      <c r="AN1177" s="12"/>
      <c r="AO1177" s="12"/>
      <c r="AP1177" s="12"/>
      <c r="AQ1177" s="4">
        <v>3</v>
      </c>
      <c r="AR1177" s="4" t="s">
        <v>83</v>
      </c>
      <c r="AS1177" s="4"/>
      <c r="AT1177" s="13"/>
      <c r="AU1177" s="13"/>
      <c r="AV1177" s="13"/>
      <c r="AW1177" s="13"/>
      <c r="AX1177" s="4"/>
      <c r="AY1177" s="13"/>
      <c r="AZ1177" s="13"/>
      <c r="BA1177" s="13"/>
      <c r="BB1177" s="13"/>
      <c r="BC1177" s="4"/>
      <c r="BD1177" s="4"/>
      <c r="BE1177" s="4"/>
      <c r="BF1177" s="13"/>
      <c r="BG1177" s="4"/>
      <c r="BH1177" s="13"/>
      <c r="BI1177" s="13"/>
      <c r="BJ1177" s="4"/>
      <c r="BK1177" s="14">
        <v>16</v>
      </c>
      <c r="BL1177" s="14">
        <v>16</v>
      </c>
      <c r="BM1177" s="14">
        <v>16</v>
      </c>
      <c r="BN1177" s="3" t="s">
        <v>86</v>
      </c>
      <c r="BP1177" s="15"/>
      <c r="BQ1177" s="15"/>
      <c r="BR1177" s="2" t="s">
        <v>87</v>
      </c>
      <c r="BS1177" s="2" t="s">
        <v>87</v>
      </c>
      <c r="BT1177" s="7" t="s">
        <v>88</v>
      </c>
      <c r="BU1177" s="7"/>
      <c r="BV1177" s="9" t="s">
        <v>88</v>
      </c>
      <c r="BW1177" s="9"/>
    </row>
    <row r="1178" spans="1:75" ht="14.25" customHeight="1" x14ac:dyDescent="0.25">
      <c r="A1178" s="1">
        <v>2064</v>
      </c>
      <c r="B1178" s="1" t="s">
        <v>4819</v>
      </c>
      <c r="C1178" s="1" t="s">
        <v>4820</v>
      </c>
      <c r="D1178" s="1" t="s">
        <v>77</v>
      </c>
      <c r="E1178" s="1" t="s">
        <v>2396</v>
      </c>
      <c r="F1178" s="1" t="s">
        <v>4821</v>
      </c>
      <c r="G1178" s="1"/>
      <c r="H1178" s="2">
        <v>0</v>
      </c>
      <c r="I1178" s="2">
        <v>0</v>
      </c>
      <c r="J1178" s="2">
        <v>1</v>
      </c>
      <c r="K1178" s="2">
        <v>1</v>
      </c>
      <c r="L1178" s="3" t="s">
        <v>80</v>
      </c>
      <c r="O1178" s="4">
        <v>5</v>
      </c>
      <c r="P1178" s="4" t="s">
        <v>112</v>
      </c>
      <c r="Q1178" s="4"/>
      <c r="R1178" s="5"/>
      <c r="S1178" s="6"/>
      <c r="T1178" s="17"/>
      <c r="U1178" s="6"/>
      <c r="V1178" s="4"/>
      <c r="W1178" s="4"/>
      <c r="X1178" s="4"/>
      <c r="Y1178" s="7">
        <v>4</v>
      </c>
      <c r="Z1178" s="8">
        <v>106019</v>
      </c>
      <c r="AA1178" s="7" t="s">
        <v>92</v>
      </c>
      <c r="AB1178" s="7"/>
      <c r="AC1178" s="9">
        <v>4</v>
      </c>
      <c r="AD1178" s="10">
        <v>106019</v>
      </c>
      <c r="AE1178" s="9" t="s">
        <v>92</v>
      </c>
      <c r="AF1178" s="9"/>
      <c r="AG1178" s="11">
        <v>3</v>
      </c>
      <c r="AH1178" s="11" t="s">
        <v>93</v>
      </c>
      <c r="AI1178" s="11"/>
      <c r="AJ1178" s="11"/>
      <c r="AK1178" s="11"/>
      <c r="AL1178" s="12">
        <v>3</v>
      </c>
      <c r="AM1178" s="12" t="s">
        <v>93</v>
      </c>
      <c r="AN1178" s="12" t="s">
        <v>698</v>
      </c>
      <c r="AO1178" s="12"/>
      <c r="AP1178" s="12"/>
      <c r="AQ1178" s="4">
        <v>4</v>
      </c>
      <c r="AR1178" s="4" t="s">
        <v>83</v>
      </c>
      <c r="AS1178" s="4" t="s">
        <v>4807</v>
      </c>
      <c r="AT1178" s="13"/>
      <c r="AU1178" s="13"/>
      <c r="AV1178" s="13"/>
      <c r="AW1178" s="13"/>
      <c r="AX1178" s="4"/>
      <c r="AY1178" s="13"/>
      <c r="AZ1178" s="13"/>
      <c r="BA1178" s="13"/>
      <c r="BB1178" s="13"/>
      <c r="BC1178" s="4"/>
      <c r="BD1178" s="4"/>
      <c r="BE1178" s="4"/>
      <c r="BF1178" s="13"/>
      <c r="BG1178" s="4"/>
      <c r="BH1178" s="13"/>
      <c r="BI1178" s="13"/>
      <c r="BJ1178" s="4"/>
      <c r="BK1178" s="14">
        <v>16</v>
      </c>
      <c r="BL1178" s="14">
        <v>16</v>
      </c>
      <c r="BM1178" s="14">
        <v>16</v>
      </c>
      <c r="BN1178" s="3" t="s">
        <v>86</v>
      </c>
      <c r="BP1178" s="15"/>
      <c r="BQ1178" s="15"/>
      <c r="BR1178" s="2" t="s">
        <v>115</v>
      </c>
      <c r="BS1178" s="2" t="s">
        <v>115</v>
      </c>
      <c r="BT1178" s="7" t="s">
        <v>109</v>
      </c>
      <c r="BU1178" s="7"/>
      <c r="BV1178" s="9" t="s">
        <v>109</v>
      </c>
      <c r="BW1178" s="9"/>
    </row>
    <row r="1179" spans="1:75" ht="14.25" customHeight="1" x14ac:dyDescent="0.25">
      <c r="A1179" s="1">
        <v>2065</v>
      </c>
      <c r="B1179" s="1" t="s">
        <v>4822</v>
      </c>
      <c r="C1179" s="1" t="s">
        <v>4823</v>
      </c>
      <c r="D1179" s="1" t="s">
        <v>77</v>
      </c>
      <c r="E1179" s="1" t="s">
        <v>2396</v>
      </c>
      <c r="F1179" s="1" t="s">
        <v>4821</v>
      </c>
      <c r="G1179" s="1"/>
      <c r="H1179" s="2">
        <v>0</v>
      </c>
      <c r="I1179" s="2">
        <v>1</v>
      </c>
      <c r="J1179" s="2">
        <v>1</v>
      </c>
      <c r="K1179" s="2">
        <v>1</v>
      </c>
      <c r="L1179" s="3" t="s">
        <v>127</v>
      </c>
      <c r="O1179" s="4">
        <v>2</v>
      </c>
      <c r="P1179" s="4" t="s">
        <v>470</v>
      </c>
      <c r="Q1179" s="4" t="s">
        <v>4824</v>
      </c>
      <c r="R1179" s="16">
        <v>7600000</v>
      </c>
      <c r="S1179" s="6">
        <v>7600000</v>
      </c>
      <c r="T1179" s="16">
        <v>410000</v>
      </c>
      <c r="U1179" s="6">
        <v>410000</v>
      </c>
      <c r="V1179" s="4">
        <v>2010.5</v>
      </c>
      <c r="W1179" s="4" t="s">
        <v>425</v>
      </c>
      <c r="X1179" s="4"/>
      <c r="Y1179" s="7">
        <v>1</v>
      </c>
      <c r="Z1179" s="8">
        <v>7743227</v>
      </c>
      <c r="AA1179" s="7" t="s">
        <v>92</v>
      </c>
      <c r="AB1179" s="7"/>
      <c r="AC1179" s="9">
        <v>1</v>
      </c>
      <c r="AD1179" s="10">
        <v>7187634</v>
      </c>
      <c r="AE1179" s="9" t="s">
        <v>92</v>
      </c>
      <c r="AF1179" s="9"/>
      <c r="AG1179" s="11">
        <v>3</v>
      </c>
      <c r="AH1179" s="11" t="s">
        <v>131</v>
      </c>
      <c r="AI1179" s="11"/>
      <c r="AJ1179" s="11">
        <v>3</v>
      </c>
      <c r="AK1179" s="11" t="s">
        <v>132</v>
      </c>
      <c r="AL1179" s="12">
        <v>3</v>
      </c>
      <c r="AM1179" s="12" t="s">
        <v>131</v>
      </c>
      <c r="AN1179" s="12" t="s">
        <v>4825</v>
      </c>
      <c r="AO1179" s="12">
        <v>2</v>
      </c>
      <c r="AP1179" s="12" t="s">
        <v>132</v>
      </c>
      <c r="AQ1179" s="4">
        <v>1</v>
      </c>
      <c r="AR1179" s="4" t="s">
        <v>133</v>
      </c>
      <c r="AS1179" s="4"/>
      <c r="AT1179" s="13">
        <v>118.465408325195</v>
      </c>
      <c r="AU1179" s="13">
        <v>1.54193162918091</v>
      </c>
      <c r="AV1179" s="13">
        <v>0.57400000095367398</v>
      </c>
      <c r="AW1179" s="13">
        <v>2.6099998950958301</v>
      </c>
      <c r="AX1179" s="4">
        <v>1</v>
      </c>
      <c r="AY1179" s="13">
        <v>-4.2682800292968803</v>
      </c>
      <c r="AZ1179" s="13">
        <v>-0.43525612354278598</v>
      </c>
      <c r="BA1179" s="13">
        <v>-3.2059009075164799</v>
      </c>
      <c r="BB1179" s="13">
        <v>2.5099999904632599</v>
      </c>
      <c r="BC1179" s="4"/>
      <c r="BD1179" s="4">
        <v>10</v>
      </c>
      <c r="BE1179" s="4" t="s">
        <v>134</v>
      </c>
      <c r="BF1179" s="13">
        <v>2.03600001335144</v>
      </c>
      <c r="BG1179" s="4">
        <v>49</v>
      </c>
      <c r="BH1179" s="13">
        <v>0.59750002622604403</v>
      </c>
      <c r="BI1179" s="13">
        <v>29.277500152587901</v>
      </c>
      <c r="BJ1179" s="4"/>
      <c r="BK1179" s="14">
        <v>7</v>
      </c>
      <c r="BL1179" s="14">
        <v>7</v>
      </c>
      <c r="BM1179" s="14">
        <v>7</v>
      </c>
      <c r="BP1179" s="15"/>
      <c r="BQ1179" s="15"/>
      <c r="BR1179" s="2" t="s">
        <v>97</v>
      </c>
      <c r="BS1179" s="2" t="s">
        <v>97</v>
      </c>
      <c r="BT1179" s="7" t="s">
        <v>438</v>
      </c>
      <c r="BU1179" s="7" t="s">
        <v>88</v>
      </c>
      <c r="BV1179" s="9" t="s">
        <v>438</v>
      </c>
      <c r="BW1179" s="9" t="s">
        <v>88</v>
      </c>
    </row>
    <row r="1180" spans="1:75" ht="14.25" customHeight="1" x14ac:dyDescent="0.25">
      <c r="A1180" s="1">
        <v>2066</v>
      </c>
      <c r="B1180" s="1" t="s">
        <v>4826</v>
      </c>
      <c r="C1180" s="1" t="s">
        <v>4827</v>
      </c>
      <c r="D1180" s="1" t="s">
        <v>77</v>
      </c>
      <c r="E1180" s="1" t="s">
        <v>2396</v>
      </c>
      <c r="F1180" s="1" t="s">
        <v>4821</v>
      </c>
      <c r="G1180" s="1"/>
      <c r="H1180" s="2">
        <v>0</v>
      </c>
      <c r="I1180" s="2">
        <v>1</v>
      </c>
      <c r="J1180" s="2">
        <v>1</v>
      </c>
      <c r="K1180" s="2">
        <v>1</v>
      </c>
      <c r="L1180" s="3" t="s">
        <v>127</v>
      </c>
      <c r="O1180" s="4">
        <v>2</v>
      </c>
      <c r="P1180" s="4" t="s">
        <v>424</v>
      </c>
      <c r="Q1180" s="4"/>
      <c r="R1180" s="16">
        <v>12000000</v>
      </c>
      <c r="S1180" s="6">
        <v>12000000</v>
      </c>
      <c r="T1180" s="16">
        <v>11000000</v>
      </c>
      <c r="U1180" s="6">
        <v>11000000</v>
      </c>
      <c r="V1180" s="4">
        <v>2010.5</v>
      </c>
      <c r="W1180" s="4" t="s">
        <v>425</v>
      </c>
      <c r="X1180" s="4"/>
      <c r="Y1180" s="7">
        <v>2</v>
      </c>
      <c r="Z1180" s="8">
        <v>3270144</v>
      </c>
      <c r="AA1180" s="7" t="s">
        <v>92</v>
      </c>
      <c r="AB1180" s="7"/>
      <c r="AC1180" s="9">
        <v>1</v>
      </c>
      <c r="AD1180" s="10">
        <v>4469766</v>
      </c>
      <c r="AE1180" s="9" t="s">
        <v>582</v>
      </c>
      <c r="AF1180" s="9" t="s">
        <v>4828</v>
      </c>
      <c r="AG1180" s="11">
        <v>3</v>
      </c>
      <c r="AH1180" s="11" t="s">
        <v>131</v>
      </c>
      <c r="AI1180" s="11" t="s">
        <v>4829</v>
      </c>
      <c r="AJ1180" s="11">
        <v>2</v>
      </c>
      <c r="AK1180" s="11" t="s">
        <v>132</v>
      </c>
      <c r="AL1180" s="12">
        <v>3</v>
      </c>
      <c r="AM1180" s="12" t="s">
        <v>800</v>
      </c>
      <c r="AN1180" s="12" t="s">
        <v>4830</v>
      </c>
      <c r="AO1180" s="12">
        <v>3</v>
      </c>
      <c r="AP1180" s="12" t="s">
        <v>143</v>
      </c>
      <c r="AQ1180" s="4">
        <v>1</v>
      </c>
      <c r="AR1180" s="4" t="s">
        <v>133</v>
      </c>
      <c r="AS1180" s="4"/>
      <c r="AT1180" s="13">
        <v>29.0371417999268</v>
      </c>
      <c r="AU1180" s="13">
        <v>0.50162249803543102</v>
      </c>
      <c r="AV1180" s="13">
        <v>0.32789701223373402</v>
      </c>
      <c r="AW1180" s="13">
        <v>0.71299999952316295</v>
      </c>
      <c r="AX1180" s="4">
        <v>1</v>
      </c>
      <c r="AY1180" s="13">
        <v>18.738142013549801</v>
      </c>
      <c r="AZ1180" s="13">
        <v>1.7307727336883501</v>
      </c>
      <c r="BA1180" s="13">
        <v>0.96189999580383301</v>
      </c>
      <c r="BB1180" s="13">
        <v>2.6800000667571999</v>
      </c>
      <c r="BC1180" s="4">
        <v>1</v>
      </c>
      <c r="BD1180" s="4">
        <v>10</v>
      </c>
      <c r="BE1180" s="4" t="s">
        <v>134</v>
      </c>
      <c r="BF1180" s="13">
        <v>0.38510298728942899</v>
      </c>
      <c r="BG1180" s="4">
        <v>1315.5</v>
      </c>
      <c r="BH1180" s="13">
        <v>2.5250000953674299</v>
      </c>
      <c r="BI1180" s="13">
        <v>3321.1650390625</v>
      </c>
      <c r="BJ1180" s="4"/>
      <c r="BK1180" s="14">
        <v>8</v>
      </c>
      <c r="BL1180" s="14">
        <v>7</v>
      </c>
      <c r="BM1180" s="14">
        <v>8</v>
      </c>
      <c r="BP1180" s="15"/>
      <c r="BQ1180" s="15"/>
      <c r="BR1180" s="2" t="s">
        <v>239</v>
      </c>
      <c r="BS1180" s="2" t="s">
        <v>97</v>
      </c>
      <c r="BT1180" s="7" t="s">
        <v>241</v>
      </c>
      <c r="BU1180" s="7"/>
      <c r="BV1180" s="9" t="s">
        <v>797</v>
      </c>
      <c r="BW1180" s="9"/>
    </row>
    <row r="1181" spans="1:75" ht="14.25" customHeight="1" x14ac:dyDescent="0.25">
      <c r="A1181" s="1">
        <v>2067</v>
      </c>
      <c r="B1181" s="1" t="s">
        <v>4831</v>
      </c>
      <c r="C1181" s="1" t="s">
        <v>4832</v>
      </c>
      <c r="D1181" s="1" t="s">
        <v>77</v>
      </c>
      <c r="E1181" s="1" t="s">
        <v>2396</v>
      </c>
      <c r="F1181" s="1" t="s">
        <v>4821</v>
      </c>
      <c r="G1181" s="1" t="s">
        <v>118</v>
      </c>
      <c r="H1181" s="2">
        <v>1</v>
      </c>
      <c r="I1181" s="2">
        <v>1</v>
      </c>
      <c r="J1181" s="2">
        <v>1</v>
      </c>
      <c r="K1181" s="2">
        <v>1</v>
      </c>
      <c r="L1181" s="3" t="s">
        <v>127</v>
      </c>
      <c r="O1181" s="4">
        <v>3</v>
      </c>
      <c r="P1181" s="4" t="s">
        <v>424</v>
      </c>
      <c r="Q1181" s="4" t="s">
        <v>4833</v>
      </c>
      <c r="R1181" s="16">
        <v>2600000</v>
      </c>
      <c r="S1181" s="6">
        <v>2600000</v>
      </c>
      <c r="T1181" s="16">
        <v>2600000</v>
      </c>
      <c r="U1181" s="6">
        <v>2600000</v>
      </c>
      <c r="V1181" s="4">
        <v>2010.5</v>
      </c>
      <c r="W1181" s="4" t="s">
        <v>425</v>
      </c>
      <c r="X1181" s="4"/>
      <c r="Y1181" s="7">
        <v>2</v>
      </c>
      <c r="Z1181" s="8">
        <v>2750748</v>
      </c>
      <c r="AA1181" s="7" t="s">
        <v>580</v>
      </c>
      <c r="AB1181" s="7" t="s">
        <v>4834</v>
      </c>
      <c r="AC1181" s="9">
        <v>3</v>
      </c>
      <c r="AD1181" s="10">
        <v>901168</v>
      </c>
      <c r="AE1181" s="9" t="s">
        <v>582</v>
      </c>
      <c r="AF1181" s="9" t="s">
        <v>4835</v>
      </c>
      <c r="AG1181" s="11">
        <v>4</v>
      </c>
      <c r="AH1181" s="11" t="s">
        <v>800</v>
      </c>
      <c r="AI1181" s="11" t="s">
        <v>4836</v>
      </c>
      <c r="AJ1181" s="11">
        <v>4</v>
      </c>
      <c r="AK1181" s="11" t="s">
        <v>143</v>
      </c>
      <c r="AL1181" s="12">
        <v>3</v>
      </c>
      <c r="AM1181" s="12" t="s">
        <v>271</v>
      </c>
      <c r="AN1181" s="12" t="s">
        <v>4837</v>
      </c>
      <c r="AO1181" s="12"/>
      <c r="AP1181" s="12"/>
      <c r="AQ1181" s="4">
        <v>3</v>
      </c>
      <c r="AR1181" s="4" t="s">
        <v>133</v>
      </c>
      <c r="AS1181" s="4"/>
      <c r="AT1181" s="13">
        <v>-14.490907669067401</v>
      </c>
      <c r="AU1181" s="13">
        <v>-0.30631539225578303</v>
      </c>
      <c r="AV1181" s="13">
        <v>-0.46669799089431802</v>
      </c>
      <c r="AW1181" s="13">
        <v>-7.7500000596046406E-2</v>
      </c>
      <c r="AX1181" s="4">
        <v>1</v>
      </c>
      <c r="AY1181" s="13">
        <v>-5.5545973777770996</v>
      </c>
      <c r="AZ1181" s="13">
        <v>-0.569788098335266</v>
      </c>
      <c r="BA1181" s="13">
        <v>-1.4400000572204601</v>
      </c>
      <c r="BB1181" s="13">
        <v>0.11049500107765201</v>
      </c>
      <c r="BC1181" s="4"/>
      <c r="BD1181" s="4">
        <v>10</v>
      </c>
      <c r="BE1181" s="4" t="s">
        <v>134</v>
      </c>
      <c r="BF1181" s="13">
        <v>0.38919800519943198</v>
      </c>
      <c r="BG1181" s="4">
        <v>1824.5</v>
      </c>
      <c r="BH1181" s="13">
        <v>1.2400000095367401</v>
      </c>
      <c r="BI1181" s="13">
        <v>2262.35009765625</v>
      </c>
      <c r="BJ1181" s="4"/>
      <c r="BK1181" s="14">
        <v>12</v>
      </c>
      <c r="BL1181" s="14">
        <v>12</v>
      </c>
      <c r="BM1181" s="14">
        <v>12</v>
      </c>
      <c r="BP1181" s="15"/>
      <c r="BQ1181" s="15"/>
      <c r="BR1181" s="2" t="s">
        <v>239</v>
      </c>
      <c r="BS1181" s="2" t="s">
        <v>740</v>
      </c>
      <c r="BT1181" s="7" t="s">
        <v>241</v>
      </c>
      <c r="BU1181" s="7"/>
      <c r="BV1181" s="9" t="s">
        <v>98</v>
      </c>
      <c r="BW1181" s="9"/>
    </row>
    <row r="1182" spans="1:75" ht="14.25" customHeight="1" x14ac:dyDescent="0.25">
      <c r="A1182" s="1">
        <v>2068</v>
      </c>
      <c r="B1182" s="1" t="s">
        <v>4838</v>
      </c>
      <c r="C1182" s="1" t="s">
        <v>4839</v>
      </c>
      <c r="D1182" s="1" t="s">
        <v>77</v>
      </c>
      <c r="E1182" s="1" t="s">
        <v>2396</v>
      </c>
      <c r="F1182" s="1" t="s">
        <v>4821</v>
      </c>
      <c r="G1182" s="1" t="s">
        <v>118</v>
      </c>
      <c r="H1182" s="2">
        <v>1</v>
      </c>
      <c r="I1182" s="2">
        <v>1</v>
      </c>
      <c r="J1182" s="2">
        <v>1</v>
      </c>
      <c r="K1182" s="2">
        <v>1</v>
      </c>
      <c r="L1182" s="3" t="s">
        <v>127</v>
      </c>
      <c r="O1182" s="4">
        <v>2</v>
      </c>
      <c r="P1182" s="4" t="s">
        <v>424</v>
      </c>
      <c r="Q1182" s="4"/>
      <c r="R1182" s="16">
        <v>15000000</v>
      </c>
      <c r="S1182" s="6">
        <v>15000000</v>
      </c>
      <c r="T1182" s="16">
        <v>15000000</v>
      </c>
      <c r="U1182" s="6">
        <v>15000000</v>
      </c>
      <c r="V1182" s="4">
        <v>2010.5</v>
      </c>
      <c r="W1182" s="4" t="s">
        <v>425</v>
      </c>
      <c r="X1182" s="4"/>
      <c r="Y1182" s="7">
        <v>2</v>
      </c>
      <c r="Z1182" s="8">
        <v>3651605</v>
      </c>
      <c r="AA1182" s="7" t="s">
        <v>92</v>
      </c>
      <c r="AB1182" s="7"/>
      <c r="AC1182" s="9">
        <v>3</v>
      </c>
      <c r="AD1182" s="10">
        <v>979899</v>
      </c>
      <c r="AE1182" s="9" t="s">
        <v>92</v>
      </c>
      <c r="AF1182" s="9" t="s">
        <v>4840</v>
      </c>
      <c r="AG1182" s="11">
        <v>3</v>
      </c>
      <c r="AH1182" s="11" t="s">
        <v>131</v>
      </c>
      <c r="AI1182" s="11" t="s">
        <v>4841</v>
      </c>
      <c r="AJ1182" s="11">
        <v>3</v>
      </c>
      <c r="AK1182" s="11" t="s">
        <v>143</v>
      </c>
      <c r="AL1182" s="12">
        <v>3</v>
      </c>
      <c r="AM1182" s="12" t="s">
        <v>131</v>
      </c>
      <c r="AN1182" s="12" t="s">
        <v>4842</v>
      </c>
      <c r="AO1182" s="12">
        <v>2</v>
      </c>
      <c r="AP1182" s="12" t="s">
        <v>143</v>
      </c>
      <c r="AQ1182" s="4">
        <v>1</v>
      </c>
      <c r="AR1182" s="4" t="s">
        <v>133</v>
      </c>
      <c r="AS1182" s="4"/>
      <c r="AT1182" s="13">
        <v>50.266693115234403</v>
      </c>
      <c r="AU1182" s="13">
        <v>0.80162036418914795</v>
      </c>
      <c r="AV1182" s="13">
        <v>0.34000000357627902</v>
      </c>
      <c r="AW1182" s="13">
        <v>1.0682940483093299</v>
      </c>
      <c r="AX1182" s="4">
        <v>1</v>
      </c>
      <c r="AY1182" s="13">
        <v>10.9754190444946</v>
      </c>
      <c r="AZ1182" s="13">
        <v>1.047935962677</v>
      </c>
      <c r="BA1182" s="13">
        <v>0.41669601202011097</v>
      </c>
      <c r="BB1182" s="13">
        <v>1.8899999856948899</v>
      </c>
      <c r="BC1182" s="4">
        <v>1</v>
      </c>
      <c r="BD1182" s="4">
        <v>10</v>
      </c>
      <c r="BE1182" s="4" t="s">
        <v>134</v>
      </c>
      <c r="BF1182" s="13">
        <v>0.72829401493072499</v>
      </c>
      <c r="BG1182" s="4">
        <v>1053.5</v>
      </c>
      <c r="BH1182" s="13">
        <v>4.875</v>
      </c>
      <c r="BI1182" s="13">
        <v>5133.5849609375</v>
      </c>
      <c r="BJ1182" s="4"/>
      <c r="BK1182" s="14">
        <v>8</v>
      </c>
      <c r="BL1182" s="14">
        <v>9</v>
      </c>
      <c r="BM1182" s="14">
        <v>9</v>
      </c>
      <c r="BP1182" s="15"/>
      <c r="BQ1182" s="15"/>
      <c r="BR1182" s="2" t="s">
        <v>256</v>
      </c>
      <c r="BS1182" s="2" t="s">
        <v>108</v>
      </c>
      <c r="BT1182" s="7" t="s">
        <v>428</v>
      </c>
      <c r="BU1182" s="7"/>
      <c r="BV1182" s="9" t="s">
        <v>109</v>
      </c>
      <c r="BW1182" s="9" t="s">
        <v>438</v>
      </c>
    </row>
    <row r="1183" spans="1:75" ht="14.25" customHeight="1" x14ac:dyDescent="0.25">
      <c r="A1183" s="1">
        <v>2069</v>
      </c>
      <c r="B1183" s="1" t="s">
        <v>4843</v>
      </c>
      <c r="C1183" s="1" t="s">
        <v>4844</v>
      </c>
      <c r="D1183" s="1" t="s">
        <v>77</v>
      </c>
      <c r="E1183" s="1" t="s">
        <v>2396</v>
      </c>
      <c r="F1183" s="1" t="s">
        <v>4821</v>
      </c>
      <c r="G1183" s="1"/>
      <c r="H1183" s="2">
        <v>0</v>
      </c>
      <c r="I1183" s="2">
        <v>0</v>
      </c>
      <c r="J1183" s="2">
        <v>1</v>
      </c>
      <c r="K1183" s="2">
        <v>1</v>
      </c>
      <c r="L1183" s="3" t="s">
        <v>80</v>
      </c>
      <c r="O1183" s="4">
        <v>4</v>
      </c>
      <c r="P1183" s="4" t="s">
        <v>112</v>
      </c>
      <c r="Q1183" s="4" t="s">
        <v>4845</v>
      </c>
      <c r="R1183" s="5"/>
      <c r="S1183" s="6"/>
      <c r="T1183" s="17"/>
      <c r="U1183" s="6"/>
      <c r="V1183" s="4"/>
      <c r="W1183" s="4"/>
      <c r="X1183" s="4"/>
      <c r="Y1183" s="7">
        <v>3</v>
      </c>
      <c r="Z1183" s="8">
        <v>400050</v>
      </c>
      <c r="AA1183" s="7" t="s">
        <v>92</v>
      </c>
      <c r="AB1183" s="7"/>
      <c r="AC1183" s="9">
        <v>3</v>
      </c>
      <c r="AD1183" s="10">
        <v>400050</v>
      </c>
      <c r="AE1183" s="9" t="s">
        <v>92</v>
      </c>
      <c r="AF1183" s="9" t="s">
        <v>4846</v>
      </c>
      <c r="AG1183" s="11">
        <v>3</v>
      </c>
      <c r="AH1183" s="11" t="s">
        <v>4108</v>
      </c>
      <c r="AI1183" s="11" t="s">
        <v>4847</v>
      </c>
      <c r="AJ1183" s="11"/>
      <c r="AK1183" s="11"/>
      <c r="AL1183" s="12">
        <v>3</v>
      </c>
      <c r="AM1183" s="12" t="s">
        <v>4108</v>
      </c>
      <c r="AN1183" s="12" t="s">
        <v>4848</v>
      </c>
      <c r="AO1183" s="12"/>
      <c r="AP1183" s="12"/>
      <c r="AQ1183" s="4">
        <v>4</v>
      </c>
      <c r="AR1183" s="4" t="s">
        <v>83</v>
      </c>
      <c r="AS1183" s="4" t="s">
        <v>4757</v>
      </c>
      <c r="AT1183" s="13"/>
      <c r="AU1183" s="13"/>
      <c r="AV1183" s="13"/>
      <c r="AW1183" s="13"/>
      <c r="AX1183" s="4"/>
      <c r="AY1183" s="13"/>
      <c r="AZ1183" s="13"/>
      <c r="BA1183" s="13"/>
      <c r="BB1183" s="13"/>
      <c r="BC1183" s="4"/>
      <c r="BD1183" s="4"/>
      <c r="BE1183" s="4"/>
      <c r="BF1183" s="13"/>
      <c r="BG1183" s="4"/>
      <c r="BH1183" s="13"/>
      <c r="BI1183" s="13"/>
      <c r="BJ1183" s="4"/>
      <c r="BK1183" s="14">
        <v>14</v>
      </c>
      <c r="BL1183" s="14">
        <v>14</v>
      </c>
      <c r="BM1183" s="14">
        <v>14</v>
      </c>
      <c r="BN1183" s="3" t="s">
        <v>86</v>
      </c>
      <c r="BP1183" s="15"/>
      <c r="BQ1183" s="15"/>
      <c r="BR1183" s="2" t="s">
        <v>409</v>
      </c>
      <c r="BS1183" s="2" t="s">
        <v>409</v>
      </c>
      <c r="BT1183" s="7" t="s">
        <v>438</v>
      </c>
      <c r="BU1183" s="7"/>
      <c r="BV1183" s="9" t="s">
        <v>438</v>
      </c>
      <c r="BW1183" s="9"/>
    </row>
    <row r="1184" spans="1:75" ht="14.25" customHeight="1" x14ac:dyDescent="0.25">
      <c r="A1184" s="1">
        <v>2070</v>
      </c>
      <c r="B1184" s="1" t="s">
        <v>4849</v>
      </c>
      <c r="C1184" s="1" t="s">
        <v>4850</v>
      </c>
      <c r="D1184" s="1" t="s">
        <v>77</v>
      </c>
      <c r="E1184" s="1" t="s">
        <v>2396</v>
      </c>
      <c r="F1184" s="1" t="s">
        <v>4821</v>
      </c>
      <c r="G1184" s="1"/>
      <c r="H1184" s="2">
        <v>0</v>
      </c>
      <c r="I1184" s="2">
        <v>0</v>
      </c>
      <c r="J1184" s="2">
        <v>1</v>
      </c>
      <c r="K1184" s="2">
        <v>1</v>
      </c>
      <c r="L1184" s="3" t="s">
        <v>80</v>
      </c>
      <c r="O1184" s="4">
        <v>4</v>
      </c>
      <c r="P1184" s="4" t="s">
        <v>112</v>
      </c>
      <c r="Q1184" s="4"/>
      <c r="R1184" s="5"/>
      <c r="S1184" s="6"/>
      <c r="T1184" s="17"/>
      <c r="U1184" s="6"/>
      <c r="V1184" s="4"/>
      <c r="W1184" s="4"/>
      <c r="X1184" s="4"/>
      <c r="Y1184" s="7">
        <v>3</v>
      </c>
      <c r="Z1184" s="8">
        <v>567896</v>
      </c>
      <c r="AA1184" s="7" t="s">
        <v>92</v>
      </c>
      <c r="AB1184" s="7"/>
      <c r="AC1184" s="9">
        <v>3</v>
      </c>
      <c r="AD1184" s="10">
        <v>567896</v>
      </c>
      <c r="AE1184" s="9" t="s">
        <v>92</v>
      </c>
      <c r="AF1184" s="9"/>
      <c r="AG1184" s="11">
        <v>3</v>
      </c>
      <c r="AH1184" s="11" t="s">
        <v>93</v>
      </c>
      <c r="AI1184" s="11"/>
      <c r="AJ1184" s="11"/>
      <c r="AK1184" s="11"/>
      <c r="AL1184" s="12">
        <v>3</v>
      </c>
      <c r="AM1184" s="12" t="s">
        <v>93</v>
      </c>
      <c r="AN1184" s="12" t="s">
        <v>698</v>
      </c>
      <c r="AO1184" s="12"/>
      <c r="AP1184" s="12"/>
      <c r="AQ1184" s="4">
        <v>4</v>
      </c>
      <c r="AR1184" s="4" t="s">
        <v>83</v>
      </c>
      <c r="AS1184" s="4"/>
      <c r="AT1184" s="13"/>
      <c r="AU1184" s="13"/>
      <c r="AV1184" s="13"/>
      <c r="AW1184" s="13"/>
      <c r="AX1184" s="4"/>
      <c r="AY1184" s="13"/>
      <c r="AZ1184" s="13"/>
      <c r="BA1184" s="13"/>
      <c r="BB1184" s="13"/>
      <c r="BC1184" s="4"/>
      <c r="BD1184" s="4"/>
      <c r="BE1184" s="4"/>
      <c r="BF1184" s="13"/>
      <c r="BG1184" s="4"/>
      <c r="BH1184" s="13"/>
      <c r="BI1184" s="13"/>
      <c r="BJ1184" s="4"/>
      <c r="BK1184" s="14">
        <v>14</v>
      </c>
      <c r="BL1184" s="14">
        <v>14</v>
      </c>
      <c r="BM1184" s="14">
        <v>14</v>
      </c>
      <c r="BN1184" s="3" t="s">
        <v>86</v>
      </c>
      <c r="BP1184" s="15"/>
      <c r="BQ1184" s="15"/>
      <c r="BR1184" s="2" t="s">
        <v>87</v>
      </c>
      <c r="BS1184" s="2" t="s">
        <v>87</v>
      </c>
      <c r="BT1184" s="7" t="s">
        <v>88</v>
      </c>
      <c r="BU1184" s="7"/>
      <c r="BV1184" s="9" t="s">
        <v>88</v>
      </c>
      <c r="BW1184" s="9"/>
    </row>
    <row r="1185" spans="1:75" ht="14.25" customHeight="1" x14ac:dyDescent="0.25">
      <c r="A1185" s="1">
        <v>2071</v>
      </c>
      <c r="B1185" s="1" t="s">
        <v>4851</v>
      </c>
      <c r="C1185" s="1" t="s">
        <v>4852</v>
      </c>
      <c r="D1185" s="1" t="s">
        <v>77</v>
      </c>
      <c r="E1185" s="1" t="s">
        <v>2396</v>
      </c>
      <c r="F1185" s="1" t="s">
        <v>4821</v>
      </c>
      <c r="G1185" s="1"/>
      <c r="H1185" s="2">
        <v>0</v>
      </c>
      <c r="I1185" s="2">
        <v>0</v>
      </c>
      <c r="J1185" s="2">
        <v>1</v>
      </c>
      <c r="K1185" s="2">
        <v>0</v>
      </c>
      <c r="L1185" s="3" t="s">
        <v>80</v>
      </c>
      <c r="O1185" s="4">
        <v>5</v>
      </c>
      <c r="P1185" s="4" t="s">
        <v>112</v>
      </c>
      <c r="Q1185" s="4"/>
      <c r="R1185" s="5"/>
      <c r="S1185" s="6"/>
      <c r="T1185" s="17"/>
      <c r="U1185" s="6"/>
      <c r="V1185" s="4"/>
      <c r="W1185" s="4"/>
      <c r="X1185" s="4"/>
      <c r="Y1185" s="7">
        <v>4</v>
      </c>
      <c r="Z1185" s="8">
        <v>256898</v>
      </c>
      <c r="AA1185" s="7" t="s">
        <v>92</v>
      </c>
      <c r="AB1185" s="7"/>
      <c r="AC1185" s="9">
        <v>4</v>
      </c>
      <c r="AD1185" s="10">
        <v>256898</v>
      </c>
      <c r="AE1185" s="9" t="s">
        <v>92</v>
      </c>
      <c r="AF1185" s="9"/>
      <c r="AG1185" s="11">
        <v>3</v>
      </c>
      <c r="AH1185" s="11" t="s">
        <v>93</v>
      </c>
      <c r="AI1185" s="11"/>
      <c r="AJ1185" s="11"/>
      <c r="AK1185" s="11"/>
      <c r="AL1185" s="12">
        <v>3</v>
      </c>
      <c r="AM1185" s="12" t="s">
        <v>93</v>
      </c>
      <c r="AN1185" s="12" t="s">
        <v>698</v>
      </c>
      <c r="AO1185" s="12"/>
      <c r="AP1185" s="12"/>
      <c r="AQ1185" s="4">
        <v>4</v>
      </c>
      <c r="AR1185" s="4" t="s">
        <v>441</v>
      </c>
      <c r="AS1185" s="4" t="s">
        <v>999</v>
      </c>
      <c r="AT1185" s="13"/>
      <c r="AU1185" s="13"/>
      <c r="AV1185" s="13"/>
      <c r="AW1185" s="13"/>
      <c r="AX1185" s="4"/>
      <c r="AY1185" s="13"/>
      <c r="AZ1185" s="13"/>
      <c r="BA1185" s="13"/>
      <c r="BB1185" s="13"/>
      <c r="BC1185" s="4"/>
      <c r="BD1185" s="4"/>
      <c r="BE1185" s="4"/>
      <c r="BF1185" s="13"/>
      <c r="BG1185" s="4"/>
      <c r="BH1185" s="13"/>
      <c r="BI1185" s="13"/>
      <c r="BJ1185" s="4"/>
      <c r="BK1185" s="14">
        <v>16</v>
      </c>
      <c r="BL1185" s="14">
        <v>16</v>
      </c>
      <c r="BM1185" s="14">
        <v>16</v>
      </c>
      <c r="BN1185" s="3" t="s">
        <v>86</v>
      </c>
      <c r="BP1185" s="15"/>
      <c r="BQ1185" s="15"/>
      <c r="BR1185" s="2" t="s">
        <v>409</v>
      </c>
      <c r="BS1185" s="2" t="s">
        <v>409</v>
      </c>
      <c r="BT1185" s="7" t="s">
        <v>438</v>
      </c>
      <c r="BU1185" s="7" t="s">
        <v>437</v>
      </c>
      <c r="BV1185" s="9" t="s">
        <v>438</v>
      </c>
      <c r="BW1185" s="9" t="s">
        <v>437</v>
      </c>
    </row>
    <row r="1186" spans="1:75" ht="14.25" customHeight="1" x14ac:dyDescent="0.25">
      <c r="A1186" s="1">
        <v>2072</v>
      </c>
      <c r="B1186" s="1" t="s">
        <v>4853</v>
      </c>
      <c r="C1186" s="1" t="s">
        <v>4854</v>
      </c>
      <c r="D1186" s="1" t="s">
        <v>77</v>
      </c>
      <c r="E1186" s="1" t="s">
        <v>2396</v>
      </c>
      <c r="F1186" s="1" t="s">
        <v>4821</v>
      </c>
      <c r="G1186" s="1"/>
      <c r="H1186" s="2">
        <v>0</v>
      </c>
      <c r="I1186" s="2">
        <v>0</v>
      </c>
      <c r="J1186" s="2">
        <v>1</v>
      </c>
      <c r="K1186" s="2">
        <v>1</v>
      </c>
      <c r="L1186" s="3" t="s">
        <v>80</v>
      </c>
      <c r="O1186" s="4">
        <v>2</v>
      </c>
      <c r="P1186" s="4" t="s">
        <v>112</v>
      </c>
      <c r="Q1186" s="4"/>
      <c r="R1186" s="5"/>
      <c r="S1186" s="6"/>
      <c r="T1186" s="17"/>
      <c r="U1186" s="6"/>
      <c r="V1186" s="4"/>
      <c r="W1186" s="4"/>
      <c r="X1186" s="4"/>
      <c r="Y1186" s="7">
        <v>1</v>
      </c>
      <c r="Z1186" s="8">
        <v>5708984</v>
      </c>
      <c r="AA1186" s="7" t="s">
        <v>92</v>
      </c>
      <c r="AB1186" s="7"/>
      <c r="AC1186" s="9">
        <v>1</v>
      </c>
      <c r="AD1186" s="10">
        <v>5708984</v>
      </c>
      <c r="AE1186" s="9" t="s">
        <v>92</v>
      </c>
      <c r="AF1186" s="9"/>
      <c r="AG1186" s="11">
        <v>4</v>
      </c>
      <c r="AH1186" s="11" t="s">
        <v>93</v>
      </c>
      <c r="AI1186" s="11"/>
      <c r="AJ1186" s="11"/>
      <c r="AK1186" s="11"/>
      <c r="AL1186" s="12">
        <v>4</v>
      </c>
      <c r="AM1186" s="12" t="s">
        <v>93</v>
      </c>
      <c r="AN1186" s="12" t="s">
        <v>698</v>
      </c>
      <c r="AO1186" s="12"/>
      <c r="AP1186" s="12"/>
      <c r="AQ1186" s="4">
        <v>4</v>
      </c>
      <c r="AR1186" s="4" t="s">
        <v>83</v>
      </c>
      <c r="AS1186" s="4" t="s">
        <v>4855</v>
      </c>
      <c r="AT1186" s="13"/>
      <c r="AU1186" s="13"/>
      <c r="AV1186" s="13"/>
      <c r="AW1186" s="13"/>
      <c r="AX1186" s="4"/>
      <c r="AY1186" s="13"/>
      <c r="AZ1186" s="13"/>
      <c r="BA1186" s="13"/>
      <c r="BB1186" s="13"/>
      <c r="BC1186" s="4"/>
      <c r="BD1186" s="4"/>
      <c r="BE1186" s="4"/>
      <c r="BF1186" s="13"/>
      <c r="BG1186" s="4"/>
      <c r="BH1186" s="13"/>
      <c r="BI1186" s="13"/>
      <c r="BJ1186" s="4"/>
      <c r="BK1186" s="14">
        <v>11</v>
      </c>
      <c r="BL1186" s="14">
        <v>11</v>
      </c>
      <c r="BM1186" s="14">
        <v>11</v>
      </c>
      <c r="BP1186" s="15"/>
      <c r="BQ1186" s="15"/>
      <c r="BR1186" s="2" t="s">
        <v>97</v>
      </c>
      <c r="BS1186" s="2" t="s">
        <v>97</v>
      </c>
      <c r="BT1186" s="7" t="s">
        <v>98</v>
      </c>
      <c r="BU1186" s="7"/>
      <c r="BV1186" s="9" t="s">
        <v>98</v>
      </c>
      <c r="BW1186" s="9"/>
    </row>
    <row r="1187" spans="1:75" ht="14.25" customHeight="1" x14ac:dyDescent="0.25">
      <c r="A1187" s="1">
        <v>2073</v>
      </c>
      <c r="B1187" s="1" t="s">
        <v>4856</v>
      </c>
      <c r="C1187" s="1" t="s">
        <v>4857</v>
      </c>
      <c r="D1187" s="1" t="s">
        <v>77</v>
      </c>
      <c r="E1187" s="1" t="s">
        <v>2396</v>
      </c>
      <c r="F1187" s="1" t="s">
        <v>4821</v>
      </c>
      <c r="G1187" s="1"/>
      <c r="H1187" s="2">
        <v>0</v>
      </c>
      <c r="I1187" s="2">
        <v>0</v>
      </c>
      <c r="J1187" s="2">
        <v>1</v>
      </c>
      <c r="K1187" s="2">
        <v>1</v>
      </c>
      <c r="L1187" s="3" t="s">
        <v>80</v>
      </c>
      <c r="O1187" s="4">
        <v>3</v>
      </c>
      <c r="P1187" s="4" t="s">
        <v>112</v>
      </c>
      <c r="Q1187" s="4"/>
      <c r="R1187" s="5"/>
      <c r="S1187" s="6"/>
      <c r="T1187" s="17"/>
      <c r="U1187" s="6"/>
      <c r="V1187" s="4"/>
      <c r="W1187" s="4"/>
      <c r="X1187" s="4"/>
      <c r="Y1187" s="7">
        <v>3</v>
      </c>
      <c r="Z1187" s="8">
        <v>582754</v>
      </c>
      <c r="AA1187" s="7" t="s">
        <v>92</v>
      </c>
      <c r="AB1187" s="7"/>
      <c r="AC1187" s="9">
        <v>3</v>
      </c>
      <c r="AD1187" s="10">
        <v>582754</v>
      </c>
      <c r="AE1187" s="9" t="s">
        <v>92</v>
      </c>
      <c r="AF1187" s="9"/>
      <c r="AG1187" s="11">
        <v>3</v>
      </c>
      <c r="AH1187" s="11" t="s">
        <v>93</v>
      </c>
      <c r="AI1187" s="11"/>
      <c r="AJ1187" s="11"/>
      <c r="AK1187" s="11"/>
      <c r="AL1187" s="12">
        <v>3</v>
      </c>
      <c r="AM1187" s="12" t="s">
        <v>93</v>
      </c>
      <c r="AN1187" s="12" t="s">
        <v>698</v>
      </c>
      <c r="AO1187" s="12"/>
      <c r="AP1187" s="12"/>
      <c r="AQ1187" s="4">
        <v>4</v>
      </c>
      <c r="AR1187" s="4" t="s">
        <v>83</v>
      </c>
      <c r="AS1187" s="4" t="s">
        <v>4858</v>
      </c>
      <c r="AT1187" s="13"/>
      <c r="AU1187" s="13"/>
      <c r="AV1187" s="13"/>
      <c r="AW1187" s="13"/>
      <c r="AX1187" s="4"/>
      <c r="AY1187" s="13"/>
      <c r="AZ1187" s="13"/>
      <c r="BA1187" s="13"/>
      <c r="BB1187" s="13"/>
      <c r="BC1187" s="4"/>
      <c r="BD1187" s="4"/>
      <c r="BE1187" s="4"/>
      <c r="BF1187" s="13"/>
      <c r="BG1187" s="4"/>
      <c r="BH1187" s="13"/>
      <c r="BI1187" s="13"/>
      <c r="BJ1187" s="4"/>
      <c r="BK1187" s="14">
        <v>13</v>
      </c>
      <c r="BL1187" s="14">
        <v>13</v>
      </c>
      <c r="BM1187" s="14">
        <v>13</v>
      </c>
      <c r="BP1187" s="15"/>
      <c r="BQ1187" s="15"/>
      <c r="BR1187" s="2" t="s">
        <v>97</v>
      </c>
      <c r="BS1187" s="2" t="s">
        <v>97</v>
      </c>
      <c r="BT1187" s="7" t="s">
        <v>98</v>
      </c>
      <c r="BU1187" s="7"/>
      <c r="BV1187" s="9" t="s">
        <v>98</v>
      </c>
      <c r="BW1187" s="9"/>
    </row>
    <row r="1188" spans="1:75" ht="14.25" customHeight="1" x14ac:dyDescent="0.25">
      <c r="A1188" s="1">
        <v>2074</v>
      </c>
      <c r="B1188" s="1" t="s">
        <v>4859</v>
      </c>
      <c r="C1188" s="1" t="s">
        <v>4860</v>
      </c>
      <c r="D1188" s="1" t="s">
        <v>77</v>
      </c>
      <c r="E1188" s="1" t="s">
        <v>2396</v>
      </c>
      <c r="F1188" s="1" t="s">
        <v>4821</v>
      </c>
      <c r="G1188" s="1" t="s">
        <v>118</v>
      </c>
      <c r="H1188" s="2">
        <v>0</v>
      </c>
      <c r="I1188" s="2">
        <v>0</v>
      </c>
      <c r="J1188" s="2">
        <v>0</v>
      </c>
      <c r="K1188" s="2">
        <v>1</v>
      </c>
      <c r="L1188" s="3" t="s">
        <v>80</v>
      </c>
      <c r="O1188" s="4">
        <v>5</v>
      </c>
      <c r="P1188" s="4" t="s">
        <v>81</v>
      </c>
      <c r="Q1188" s="4"/>
      <c r="R1188" s="5"/>
      <c r="S1188" s="6"/>
      <c r="T1188" s="17"/>
      <c r="U1188" s="6"/>
      <c r="V1188" s="4"/>
      <c r="W1188" s="4"/>
      <c r="X1188" s="4"/>
      <c r="Y1188" s="7">
        <v>5</v>
      </c>
      <c r="Z1188" s="8">
        <v>2246</v>
      </c>
      <c r="AA1188" s="7" t="s">
        <v>82</v>
      </c>
      <c r="AB1188" s="7"/>
      <c r="AC1188" s="9">
        <v>5</v>
      </c>
      <c r="AD1188" s="10">
        <v>2246</v>
      </c>
      <c r="AE1188" s="9" t="s">
        <v>82</v>
      </c>
      <c r="AF1188" s="9"/>
      <c r="AG1188" s="11">
        <v>4</v>
      </c>
      <c r="AH1188" s="11" t="s">
        <v>83</v>
      </c>
      <c r="AI1188" s="11" t="s">
        <v>4861</v>
      </c>
      <c r="AJ1188" s="11"/>
      <c r="AK1188" s="11"/>
      <c r="AL1188" s="12">
        <v>4</v>
      </c>
      <c r="AM1188" s="12" t="s">
        <v>83</v>
      </c>
      <c r="AN1188" s="12"/>
      <c r="AO1188" s="12"/>
      <c r="AP1188" s="12"/>
      <c r="AQ1188" s="4">
        <v>4</v>
      </c>
      <c r="AR1188" s="4" t="s">
        <v>83</v>
      </c>
      <c r="AS1188" s="4"/>
      <c r="AT1188" s="13"/>
      <c r="AU1188" s="13"/>
      <c r="AV1188" s="13"/>
      <c r="AW1188" s="13"/>
      <c r="AX1188" s="4"/>
      <c r="AY1188" s="13"/>
      <c r="AZ1188" s="13"/>
      <c r="BA1188" s="13"/>
      <c r="BB1188" s="13"/>
      <c r="BC1188" s="4"/>
      <c r="BD1188" s="4"/>
      <c r="BE1188" s="4"/>
      <c r="BF1188" s="13"/>
      <c r="BG1188" s="4"/>
      <c r="BH1188" s="13"/>
      <c r="BI1188" s="13"/>
      <c r="BJ1188" s="4"/>
      <c r="BK1188" s="14">
        <v>18</v>
      </c>
      <c r="BL1188" s="14">
        <v>18</v>
      </c>
      <c r="BM1188" s="14">
        <v>18</v>
      </c>
      <c r="BN1188" s="3" t="s">
        <v>312</v>
      </c>
      <c r="BO1188" s="3" t="s">
        <v>120</v>
      </c>
      <c r="BP1188" s="15"/>
      <c r="BQ1188" s="15"/>
      <c r="BR1188" s="2" t="s">
        <v>108</v>
      </c>
      <c r="BS1188" s="2" t="s">
        <v>108</v>
      </c>
      <c r="BT1188" s="7" t="s">
        <v>98</v>
      </c>
      <c r="BU1188" s="7"/>
      <c r="BV1188" s="9" t="s">
        <v>98</v>
      </c>
      <c r="BW1188" s="9"/>
    </row>
    <row r="1189" spans="1:75" ht="14.25" customHeight="1" x14ac:dyDescent="0.25">
      <c r="A1189" s="1">
        <v>2075</v>
      </c>
      <c r="B1189" s="1" t="s">
        <v>4862</v>
      </c>
      <c r="C1189" s="1" t="s">
        <v>4863</v>
      </c>
      <c r="D1189" s="1" t="s">
        <v>77</v>
      </c>
      <c r="E1189" s="1" t="s">
        <v>2396</v>
      </c>
      <c r="F1189" s="1" t="s">
        <v>4821</v>
      </c>
      <c r="G1189" s="1"/>
      <c r="H1189" s="2">
        <v>0</v>
      </c>
      <c r="I1189" s="2">
        <v>0</v>
      </c>
      <c r="J1189" s="2">
        <v>0</v>
      </c>
      <c r="K1189" s="2">
        <v>1</v>
      </c>
      <c r="L1189" s="3" t="s">
        <v>80</v>
      </c>
      <c r="O1189" s="4">
        <v>3</v>
      </c>
      <c r="P1189" s="4" t="s">
        <v>81</v>
      </c>
      <c r="Q1189" s="4"/>
      <c r="R1189" s="5"/>
      <c r="S1189" s="6"/>
      <c r="T1189" s="17"/>
      <c r="U1189" s="6"/>
      <c r="V1189" s="4"/>
      <c r="W1189" s="4"/>
      <c r="X1189" s="4"/>
      <c r="Y1189" s="7">
        <v>4</v>
      </c>
      <c r="Z1189" s="8">
        <v>215303</v>
      </c>
      <c r="AA1189" s="7" t="s">
        <v>82</v>
      </c>
      <c r="AB1189" s="7"/>
      <c r="AC1189" s="9">
        <v>4</v>
      </c>
      <c r="AD1189" s="10">
        <v>215303</v>
      </c>
      <c r="AE1189" s="9" t="s">
        <v>82</v>
      </c>
      <c r="AF1189" s="9"/>
      <c r="AG1189" s="11">
        <v>4</v>
      </c>
      <c r="AH1189" s="11" t="s">
        <v>83</v>
      </c>
      <c r="AI1189" s="11"/>
      <c r="AJ1189" s="11"/>
      <c r="AK1189" s="11"/>
      <c r="AL1189" s="12">
        <v>4</v>
      </c>
      <c r="AM1189" s="12" t="s">
        <v>83</v>
      </c>
      <c r="AN1189" s="12"/>
      <c r="AO1189" s="12"/>
      <c r="AP1189" s="12"/>
      <c r="AQ1189" s="4">
        <v>4</v>
      </c>
      <c r="AR1189" s="4" t="s">
        <v>83</v>
      </c>
      <c r="AS1189" s="4" t="s">
        <v>4864</v>
      </c>
      <c r="AT1189" s="13"/>
      <c r="AU1189" s="13"/>
      <c r="AV1189" s="13"/>
      <c r="AW1189" s="13"/>
      <c r="AX1189" s="4"/>
      <c r="AY1189" s="13"/>
      <c r="AZ1189" s="13"/>
      <c r="BA1189" s="13"/>
      <c r="BB1189" s="13"/>
      <c r="BC1189" s="4"/>
      <c r="BD1189" s="4"/>
      <c r="BE1189" s="4"/>
      <c r="BF1189" s="13"/>
      <c r="BG1189" s="4"/>
      <c r="BH1189" s="13"/>
      <c r="BI1189" s="13"/>
      <c r="BJ1189" s="4"/>
      <c r="BK1189" s="14">
        <v>15</v>
      </c>
      <c r="BL1189" s="14">
        <v>15</v>
      </c>
      <c r="BM1189" s="14">
        <v>15</v>
      </c>
      <c r="BN1189" s="3" t="s">
        <v>86</v>
      </c>
      <c r="BP1189" s="15"/>
      <c r="BQ1189" s="15"/>
      <c r="BR1189" s="2" t="s">
        <v>115</v>
      </c>
      <c r="BS1189" s="2" t="s">
        <v>115</v>
      </c>
      <c r="BT1189" s="7" t="s">
        <v>98</v>
      </c>
      <c r="BU1189" s="7"/>
      <c r="BV1189" s="9" t="s">
        <v>98</v>
      </c>
      <c r="BW1189" s="9"/>
    </row>
    <row r="1190" spans="1:75" ht="14.25" customHeight="1" x14ac:dyDescent="0.25">
      <c r="A1190" s="1">
        <v>2076</v>
      </c>
      <c r="B1190" s="1" t="s">
        <v>4865</v>
      </c>
      <c r="C1190" s="1" t="s">
        <v>4866</v>
      </c>
      <c r="D1190" s="1" t="s">
        <v>77</v>
      </c>
      <c r="E1190" s="1" t="s">
        <v>2396</v>
      </c>
      <c r="F1190" s="1" t="s">
        <v>4821</v>
      </c>
      <c r="G1190" s="1" t="s">
        <v>118</v>
      </c>
      <c r="H1190" s="2">
        <v>0</v>
      </c>
      <c r="I1190" s="2">
        <v>0</v>
      </c>
      <c r="J1190" s="2">
        <v>0</v>
      </c>
      <c r="K1190" s="2">
        <v>1</v>
      </c>
      <c r="L1190" s="3" t="s">
        <v>80</v>
      </c>
      <c r="O1190" s="4">
        <v>4</v>
      </c>
      <c r="P1190" s="4" t="s">
        <v>81</v>
      </c>
      <c r="Q1190" s="4"/>
      <c r="R1190" s="5"/>
      <c r="S1190" s="6"/>
      <c r="T1190" s="17"/>
      <c r="U1190" s="6"/>
      <c r="V1190" s="4"/>
      <c r="W1190" s="4"/>
      <c r="X1190" s="4"/>
      <c r="Y1190" s="7">
        <v>4</v>
      </c>
      <c r="Z1190" s="8">
        <v>92370</v>
      </c>
      <c r="AA1190" s="7" t="s">
        <v>82</v>
      </c>
      <c r="AB1190" s="7"/>
      <c r="AC1190" s="9">
        <v>4</v>
      </c>
      <c r="AD1190" s="10">
        <v>92370</v>
      </c>
      <c r="AE1190" s="9" t="s">
        <v>82</v>
      </c>
      <c r="AF1190" s="9"/>
      <c r="AG1190" s="11">
        <v>3</v>
      </c>
      <c r="AH1190" s="11" t="s">
        <v>83</v>
      </c>
      <c r="AI1190" s="11"/>
      <c r="AJ1190" s="11"/>
      <c r="AK1190" s="11"/>
      <c r="AL1190" s="12">
        <v>3</v>
      </c>
      <c r="AM1190" s="12" t="s">
        <v>83</v>
      </c>
      <c r="AN1190" s="12"/>
      <c r="AO1190" s="12"/>
      <c r="AP1190" s="12"/>
      <c r="AQ1190" s="4">
        <v>3</v>
      </c>
      <c r="AR1190" s="4" t="s">
        <v>83</v>
      </c>
      <c r="AS1190" s="4"/>
      <c r="AT1190" s="13"/>
      <c r="AU1190" s="13"/>
      <c r="AV1190" s="13"/>
      <c r="AW1190" s="13"/>
      <c r="AX1190" s="4"/>
      <c r="AY1190" s="13"/>
      <c r="AZ1190" s="13"/>
      <c r="BA1190" s="13"/>
      <c r="BB1190" s="13"/>
      <c r="BC1190" s="4"/>
      <c r="BD1190" s="4"/>
      <c r="BE1190" s="4"/>
      <c r="BF1190" s="13"/>
      <c r="BG1190" s="4"/>
      <c r="BH1190" s="13"/>
      <c r="BI1190" s="13"/>
      <c r="BJ1190" s="4"/>
      <c r="BK1190" s="14">
        <v>14</v>
      </c>
      <c r="BL1190" s="14">
        <v>14</v>
      </c>
      <c r="BM1190" s="14">
        <v>14</v>
      </c>
      <c r="BN1190" s="3" t="s">
        <v>86</v>
      </c>
      <c r="BP1190" s="15"/>
      <c r="BQ1190" s="15"/>
      <c r="BR1190" s="2" t="s">
        <v>121</v>
      </c>
      <c r="BS1190" s="2" t="s">
        <v>121</v>
      </c>
      <c r="BT1190" s="7" t="s">
        <v>98</v>
      </c>
      <c r="BU1190" s="7"/>
      <c r="BV1190" s="9" t="s">
        <v>98</v>
      </c>
      <c r="BW1190" s="9"/>
    </row>
    <row r="1191" spans="1:75" ht="14.25" customHeight="1" x14ac:dyDescent="0.25">
      <c r="A1191" s="1">
        <v>2077</v>
      </c>
      <c r="B1191" s="1" t="s">
        <v>4867</v>
      </c>
      <c r="C1191" s="1" t="s">
        <v>4868</v>
      </c>
      <c r="D1191" s="1" t="s">
        <v>77</v>
      </c>
      <c r="E1191" s="1" t="s">
        <v>2396</v>
      </c>
      <c r="F1191" s="1" t="s">
        <v>4821</v>
      </c>
      <c r="G1191" s="1"/>
      <c r="H1191" s="2">
        <v>0</v>
      </c>
      <c r="I1191" s="2">
        <v>0</v>
      </c>
      <c r="J1191" s="2">
        <v>1</v>
      </c>
      <c r="K1191" s="2">
        <v>1</v>
      </c>
      <c r="L1191" s="3" t="s">
        <v>80</v>
      </c>
      <c r="O1191" s="4">
        <v>4</v>
      </c>
      <c r="P1191" s="4" t="s">
        <v>112</v>
      </c>
      <c r="Q1191" s="4"/>
      <c r="R1191" s="5"/>
      <c r="S1191" s="6"/>
      <c r="T1191" s="17"/>
      <c r="U1191" s="6"/>
      <c r="V1191" s="4"/>
      <c r="W1191" s="4"/>
      <c r="X1191" s="4"/>
      <c r="Y1191" s="7">
        <v>3</v>
      </c>
      <c r="Z1191" s="8">
        <v>318063</v>
      </c>
      <c r="AA1191" s="7" t="s">
        <v>92</v>
      </c>
      <c r="AB1191" s="7"/>
      <c r="AC1191" s="9">
        <v>3</v>
      </c>
      <c r="AD1191" s="10">
        <v>318063</v>
      </c>
      <c r="AE1191" s="9" t="s">
        <v>92</v>
      </c>
      <c r="AF1191" s="9"/>
      <c r="AG1191" s="11">
        <v>4</v>
      </c>
      <c r="AH1191" s="11" t="s">
        <v>93</v>
      </c>
      <c r="AI1191" s="11"/>
      <c r="AJ1191" s="11"/>
      <c r="AK1191" s="11"/>
      <c r="AL1191" s="12">
        <v>4</v>
      </c>
      <c r="AM1191" s="12" t="s">
        <v>93</v>
      </c>
      <c r="AN1191" s="12" t="s">
        <v>4502</v>
      </c>
      <c r="AO1191" s="12"/>
      <c r="AP1191" s="12"/>
      <c r="AQ1191" s="4">
        <v>4</v>
      </c>
      <c r="AR1191" s="4" t="s">
        <v>83</v>
      </c>
      <c r="AS1191" s="4" t="s">
        <v>4869</v>
      </c>
      <c r="AT1191" s="13"/>
      <c r="AU1191" s="13"/>
      <c r="AV1191" s="13"/>
      <c r="AW1191" s="13"/>
      <c r="AX1191" s="4"/>
      <c r="AY1191" s="13"/>
      <c r="AZ1191" s="13"/>
      <c r="BA1191" s="13"/>
      <c r="BB1191" s="13"/>
      <c r="BC1191" s="4"/>
      <c r="BD1191" s="4"/>
      <c r="BE1191" s="4"/>
      <c r="BF1191" s="13"/>
      <c r="BG1191" s="4"/>
      <c r="BH1191" s="13"/>
      <c r="BI1191" s="13"/>
      <c r="BJ1191" s="4"/>
      <c r="BK1191" s="14">
        <v>15</v>
      </c>
      <c r="BL1191" s="14">
        <v>15</v>
      </c>
      <c r="BM1191" s="14">
        <v>15</v>
      </c>
      <c r="BN1191" s="3" t="s">
        <v>86</v>
      </c>
      <c r="BP1191" s="15"/>
      <c r="BQ1191" s="15"/>
      <c r="BR1191" s="2" t="s">
        <v>115</v>
      </c>
      <c r="BS1191" s="2" t="s">
        <v>115</v>
      </c>
      <c r="BT1191" s="7" t="s">
        <v>98</v>
      </c>
      <c r="BU1191" s="7"/>
      <c r="BV1191" s="9" t="s">
        <v>98</v>
      </c>
      <c r="BW1191" s="9"/>
    </row>
    <row r="1192" spans="1:75" ht="14.25" customHeight="1" x14ac:dyDescent="0.25">
      <c r="A1192" s="1">
        <v>2078</v>
      </c>
      <c r="B1192" s="1" t="s">
        <v>4870</v>
      </c>
      <c r="C1192" s="1" t="s">
        <v>4871</v>
      </c>
      <c r="D1192" s="1" t="s">
        <v>77</v>
      </c>
      <c r="E1192" s="1" t="s">
        <v>2396</v>
      </c>
      <c r="F1192" s="1" t="s">
        <v>4821</v>
      </c>
      <c r="G1192" s="1"/>
      <c r="H1192" s="2">
        <v>0</v>
      </c>
      <c r="I1192" s="2">
        <v>0</v>
      </c>
      <c r="J1192" s="2">
        <v>0</v>
      </c>
      <c r="K1192" s="2">
        <v>1</v>
      </c>
      <c r="L1192" s="3" t="s">
        <v>80</v>
      </c>
      <c r="O1192" s="4">
        <v>2</v>
      </c>
      <c r="P1192" s="4" t="s">
        <v>81</v>
      </c>
      <c r="Q1192" s="4"/>
      <c r="R1192" s="5"/>
      <c r="S1192" s="6"/>
      <c r="T1192" s="17"/>
      <c r="U1192" s="6"/>
      <c r="V1192" s="4"/>
      <c r="W1192" s="4"/>
      <c r="X1192" s="4"/>
      <c r="Y1192" s="7">
        <v>2</v>
      </c>
      <c r="Z1192" s="8">
        <v>2752280</v>
      </c>
      <c r="AA1192" s="7" t="s">
        <v>82</v>
      </c>
      <c r="AB1192" s="7"/>
      <c r="AC1192" s="9">
        <v>2</v>
      </c>
      <c r="AD1192" s="10">
        <v>2752280</v>
      </c>
      <c r="AE1192" s="9" t="s">
        <v>82</v>
      </c>
      <c r="AF1192" s="9"/>
      <c r="AG1192" s="11">
        <v>3</v>
      </c>
      <c r="AH1192" s="11" t="s">
        <v>83</v>
      </c>
      <c r="AI1192" s="11"/>
      <c r="AJ1192" s="11"/>
      <c r="AK1192" s="11"/>
      <c r="AL1192" s="12">
        <v>3</v>
      </c>
      <c r="AM1192" s="12" t="s">
        <v>83</v>
      </c>
      <c r="AN1192" s="12"/>
      <c r="AO1192" s="12"/>
      <c r="AP1192" s="12"/>
      <c r="AQ1192" s="4">
        <v>4</v>
      </c>
      <c r="AR1192" s="4" t="s">
        <v>83</v>
      </c>
      <c r="AS1192" s="4"/>
      <c r="AT1192" s="13"/>
      <c r="AU1192" s="13"/>
      <c r="AV1192" s="13"/>
      <c r="AW1192" s="13"/>
      <c r="AX1192" s="4"/>
      <c r="AY1192" s="13"/>
      <c r="AZ1192" s="13"/>
      <c r="BA1192" s="13"/>
      <c r="BB1192" s="13"/>
      <c r="BC1192" s="4"/>
      <c r="BD1192" s="4"/>
      <c r="BE1192" s="4"/>
      <c r="BF1192" s="13"/>
      <c r="BG1192" s="4"/>
      <c r="BH1192" s="13"/>
      <c r="BI1192" s="13"/>
      <c r="BJ1192" s="4"/>
      <c r="BK1192" s="14">
        <v>11</v>
      </c>
      <c r="BL1192" s="14">
        <v>11</v>
      </c>
      <c r="BM1192" s="14">
        <v>11</v>
      </c>
      <c r="BP1192" s="15"/>
      <c r="BQ1192" s="15"/>
      <c r="BR1192" s="2" t="s">
        <v>740</v>
      </c>
      <c r="BS1192" s="2" t="s">
        <v>740</v>
      </c>
      <c r="BT1192" s="7" t="s">
        <v>98</v>
      </c>
      <c r="BU1192" s="7"/>
      <c r="BV1192" s="9" t="s">
        <v>98</v>
      </c>
      <c r="BW1192" s="9"/>
    </row>
    <row r="1193" spans="1:75" ht="14.25" customHeight="1" x14ac:dyDescent="0.25">
      <c r="A1193" s="1">
        <v>2079</v>
      </c>
      <c r="B1193" s="1" t="s">
        <v>4872</v>
      </c>
      <c r="C1193" s="1" t="s">
        <v>4873</v>
      </c>
      <c r="D1193" s="1" t="s">
        <v>77</v>
      </c>
      <c r="E1193" s="1" t="s">
        <v>2396</v>
      </c>
      <c r="F1193" s="1" t="s">
        <v>4821</v>
      </c>
      <c r="G1193" s="1" t="s">
        <v>118</v>
      </c>
      <c r="H1193" s="2">
        <v>0</v>
      </c>
      <c r="I1193" s="2">
        <v>0</v>
      </c>
      <c r="J1193" s="2">
        <v>1</v>
      </c>
      <c r="K1193" s="2">
        <v>0</v>
      </c>
      <c r="L1193" s="3" t="s">
        <v>80</v>
      </c>
      <c r="O1193" s="4">
        <v>5</v>
      </c>
      <c r="P1193" s="4" t="s">
        <v>112</v>
      </c>
      <c r="Q1193" s="4" t="s">
        <v>4874</v>
      </c>
      <c r="R1193" s="5"/>
      <c r="S1193" s="6"/>
      <c r="T1193" s="17"/>
      <c r="U1193" s="6"/>
      <c r="V1193" s="4"/>
      <c r="W1193" s="4"/>
      <c r="X1193" s="4"/>
      <c r="Y1193" s="7">
        <v>4</v>
      </c>
      <c r="Z1193" s="8">
        <v>128043</v>
      </c>
      <c r="AA1193" s="7" t="s">
        <v>92</v>
      </c>
      <c r="AB1193" s="7"/>
      <c r="AC1193" s="9">
        <v>4</v>
      </c>
      <c r="AD1193" s="10">
        <v>128043</v>
      </c>
      <c r="AE1193" s="9" t="s">
        <v>92</v>
      </c>
      <c r="AF1193" s="9"/>
      <c r="AG1193" s="11">
        <v>3</v>
      </c>
      <c r="AH1193" s="11" t="s">
        <v>271</v>
      </c>
      <c r="AI1193" s="11" t="s">
        <v>4875</v>
      </c>
      <c r="AJ1193" s="11"/>
      <c r="AK1193" s="11"/>
      <c r="AL1193" s="12">
        <v>3</v>
      </c>
      <c r="AM1193" s="12" t="s">
        <v>271</v>
      </c>
      <c r="AN1193" s="12" t="s">
        <v>4876</v>
      </c>
      <c r="AO1193" s="12"/>
      <c r="AP1193" s="12"/>
      <c r="AQ1193" s="4">
        <v>4</v>
      </c>
      <c r="AR1193" s="4" t="s">
        <v>93</v>
      </c>
      <c r="AS1193" s="4"/>
      <c r="AT1193" s="13"/>
      <c r="AU1193" s="13"/>
      <c r="AV1193" s="13"/>
      <c r="AW1193" s="13"/>
      <c r="AX1193" s="4"/>
      <c r="AY1193" s="13"/>
      <c r="AZ1193" s="13"/>
      <c r="BA1193" s="13"/>
      <c r="BB1193" s="13"/>
      <c r="BC1193" s="4"/>
      <c r="BD1193" s="4"/>
      <c r="BE1193" s="4"/>
      <c r="BF1193" s="13"/>
      <c r="BG1193" s="4"/>
      <c r="BH1193" s="13"/>
      <c r="BI1193" s="13"/>
      <c r="BJ1193" s="4"/>
      <c r="BK1193" s="14">
        <v>16</v>
      </c>
      <c r="BL1193" s="14">
        <v>16</v>
      </c>
      <c r="BM1193" s="14">
        <v>16</v>
      </c>
      <c r="BN1193" s="3" t="s">
        <v>86</v>
      </c>
      <c r="BP1193" s="15"/>
      <c r="BQ1193" s="15"/>
      <c r="BR1193" s="2" t="s">
        <v>115</v>
      </c>
      <c r="BS1193" s="2" t="s">
        <v>115</v>
      </c>
      <c r="BT1193" s="7" t="s">
        <v>109</v>
      </c>
      <c r="BU1193" s="7"/>
      <c r="BV1193" s="9" t="s">
        <v>109</v>
      </c>
      <c r="BW1193" s="9"/>
    </row>
    <row r="1194" spans="1:75" ht="14.25" customHeight="1" x14ac:dyDescent="0.25">
      <c r="A1194" s="1">
        <v>2080</v>
      </c>
      <c r="B1194" s="1" t="s">
        <v>4877</v>
      </c>
      <c r="C1194" s="1" t="s">
        <v>4878</v>
      </c>
      <c r="D1194" s="1" t="s">
        <v>77</v>
      </c>
      <c r="E1194" s="1" t="s">
        <v>2396</v>
      </c>
      <c r="F1194" s="1" t="s">
        <v>4821</v>
      </c>
      <c r="G1194" s="1"/>
      <c r="H1194" s="2">
        <v>1</v>
      </c>
      <c r="I1194" s="2">
        <v>1</v>
      </c>
      <c r="J1194" s="2">
        <v>1</v>
      </c>
      <c r="K1194" s="2">
        <v>1</v>
      </c>
      <c r="L1194" s="3" t="s">
        <v>80</v>
      </c>
      <c r="O1194" s="4">
        <v>1</v>
      </c>
      <c r="P1194" s="4" t="s">
        <v>424</v>
      </c>
      <c r="Q1194" s="4"/>
      <c r="R1194" s="16">
        <v>130000000</v>
      </c>
      <c r="S1194" s="6">
        <v>130000000</v>
      </c>
      <c r="T1194" s="16">
        <v>120000000</v>
      </c>
      <c r="U1194" s="6">
        <v>120000000</v>
      </c>
      <c r="V1194" s="4">
        <v>2010.5</v>
      </c>
      <c r="W1194" s="4" t="s">
        <v>425</v>
      </c>
      <c r="X1194" s="4"/>
      <c r="Y1194" s="7">
        <v>1</v>
      </c>
      <c r="Z1194" s="8">
        <v>5833568</v>
      </c>
      <c r="AA1194" s="7" t="s">
        <v>92</v>
      </c>
      <c r="AB1194" s="7"/>
      <c r="AC1194" s="9">
        <v>1</v>
      </c>
      <c r="AD1194" s="10">
        <v>5833568</v>
      </c>
      <c r="AE1194" s="9" t="s">
        <v>92</v>
      </c>
      <c r="AF1194" s="9"/>
      <c r="AG1194" s="11">
        <v>2</v>
      </c>
      <c r="AH1194" s="11" t="s">
        <v>131</v>
      </c>
      <c r="AI1194" s="11" t="s">
        <v>4879</v>
      </c>
      <c r="AJ1194" s="11">
        <v>2</v>
      </c>
      <c r="AK1194" s="11" t="s">
        <v>132</v>
      </c>
      <c r="AL1194" s="12">
        <v>2</v>
      </c>
      <c r="AM1194" s="12" t="s">
        <v>131</v>
      </c>
      <c r="AN1194" s="12" t="s">
        <v>4880</v>
      </c>
      <c r="AO1194" s="12">
        <v>2</v>
      </c>
      <c r="AP1194" s="12" t="s">
        <v>132</v>
      </c>
      <c r="AQ1194" s="4">
        <v>2</v>
      </c>
      <c r="AR1194" s="4" t="s">
        <v>133</v>
      </c>
      <c r="AS1194" s="4"/>
      <c r="AT1194" s="13">
        <v>16.524904251098601</v>
      </c>
      <c r="AU1194" s="13">
        <v>0.30046999454498302</v>
      </c>
      <c r="AV1194" s="13">
        <v>0.167999997735023</v>
      </c>
      <c r="AW1194" s="13">
        <v>0.41639798879623402</v>
      </c>
      <c r="AX1194" s="4">
        <v>1</v>
      </c>
      <c r="AY1194" s="13">
        <v>-0.84503954648971602</v>
      </c>
      <c r="AZ1194" s="13">
        <v>-7.0669144392013494E-2</v>
      </c>
      <c r="BA1194" s="13">
        <v>-0.29829698801040599</v>
      </c>
      <c r="BB1194" s="13">
        <v>0.230000004172325</v>
      </c>
      <c r="BC1194" s="4"/>
      <c r="BD1194" s="4">
        <v>12</v>
      </c>
      <c r="BE1194" s="4" t="s">
        <v>134</v>
      </c>
      <c r="BF1194" s="13">
        <v>0.24839800596237199</v>
      </c>
      <c r="BG1194" s="4">
        <v>2555</v>
      </c>
      <c r="BH1194" s="13">
        <v>22.1149997711182</v>
      </c>
      <c r="BI1194" s="13">
        <v>56503.01171875</v>
      </c>
      <c r="BJ1194" s="4"/>
      <c r="BK1194" s="14">
        <v>6</v>
      </c>
      <c r="BL1194" s="14">
        <v>6</v>
      </c>
      <c r="BM1194" s="14">
        <v>6</v>
      </c>
      <c r="BP1194" s="15" t="s">
        <v>135</v>
      </c>
      <c r="BQ1194" s="15"/>
      <c r="BR1194" s="2" t="s">
        <v>239</v>
      </c>
      <c r="BS1194" s="2" t="s">
        <v>239</v>
      </c>
      <c r="BT1194" s="7" t="s">
        <v>458</v>
      </c>
      <c r="BU1194" s="7" t="s">
        <v>475</v>
      </c>
      <c r="BV1194" s="9" t="s">
        <v>458</v>
      </c>
      <c r="BW1194" s="9" t="s">
        <v>475</v>
      </c>
    </row>
    <row r="1195" spans="1:75" ht="14.25" customHeight="1" x14ac:dyDescent="0.25">
      <c r="A1195" s="1">
        <v>2081</v>
      </c>
      <c r="B1195" s="1" t="s">
        <v>4881</v>
      </c>
      <c r="C1195" s="1" t="s">
        <v>4882</v>
      </c>
      <c r="D1195" s="1" t="s">
        <v>77</v>
      </c>
      <c r="E1195" s="1" t="s">
        <v>2396</v>
      </c>
      <c r="F1195" s="1" t="s">
        <v>4821</v>
      </c>
      <c r="G1195" s="1"/>
      <c r="H1195" s="2">
        <v>0</v>
      </c>
      <c r="I1195" s="2">
        <v>1</v>
      </c>
      <c r="J1195" s="2">
        <v>1</v>
      </c>
      <c r="K1195" s="2">
        <v>0</v>
      </c>
      <c r="L1195" s="3" t="s">
        <v>80</v>
      </c>
      <c r="O1195" s="4">
        <v>3</v>
      </c>
      <c r="P1195" s="4" t="s">
        <v>424</v>
      </c>
      <c r="Q1195" s="4"/>
      <c r="R1195" s="16">
        <v>3000000</v>
      </c>
      <c r="S1195" s="6">
        <v>3000000</v>
      </c>
      <c r="T1195" s="16">
        <v>1600000</v>
      </c>
      <c r="U1195" s="6">
        <v>1600000</v>
      </c>
      <c r="V1195" s="4">
        <v>2010.5</v>
      </c>
      <c r="W1195" s="4" t="s">
        <v>425</v>
      </c>
      <c r="X1195" s="4"/>
      <c r="Y1195" s="7">
        <v>2</v>
      </c>
      <c r="Z1195" s="8">
        <v>1521245</v>
      </c>
      <c r="AA1195" s="7" t="s">
        <v>92</v>
      </c>
      <c r="AB1195" s="7"/>
      <c r="AC1195" s="9">
        <v>2</v>
      </c>
      <c r="AD1195" s="10">
        <v>1521245</v>
      </c>
      <c r="AE1195" s="9" t="s">
        <v>92</v>
      </c>
      <c r="AF1195" s="9"/>
      <c r="AG1195" s="11">
        <v>3</v>
      </c>
      <c r="AH1195" s="11" t="s">
        <v>131</v>
      </c>
      <c r="AI1195" s="11" t="s">
        <v>4883</v>
      </c>
      <c r="AJ1195" s="11">
        <v>2</v>
      </c>
      <c r="AK1195" s="11" t="s">
        <v>132</v>
      </c>
      <c r="AL1195" s="12">
        <v>3</v>
      </c>
      <c r="AM1195" s="12" t="s">
        <v>131</v>
      </c>
      <c r="AN1195" s="12" t="s">
        <v>4884</v>
      </c>
      <c r="AO1195" s="12">
        <v>2</v>
      </c>
      <c r="AP1195" s="12" t="s">
        <v>132</v>
      </c>
      <c r="AQ1195" s="4">
        <v>5</v>
      </c>
      <c r="AR1195" s="4" t="s">
        <v>133</v>
      </c>
      <c r="AS1195" s="4"/>
      <c r="AT1195" s="13">
        <v>-46.591213226318402</v>
      </c>
      <c r="AU1195" s="13">
        <v>-1.21954333782196</v>
      </c>
      <c r="AV1195" s="13">
        <v>-2.0199999809265101</v>
      </c>
      <c r="AW1195" s="13">
        <v>-0.48930001258850098</v>
      </c>
      <c r="AX1195" s="4">
        <v>1</v>
      </c>
      <c r="AY1195" s="13">
        <v>-31.152544021606399</v>
      </c>
      <c r="AZ1195" s="13">
        <v>-2.1732139587402299</v>
      </c>
      <c r="BA1195" s="13">
        <v>-3.5299999713897701</v>
      </c>
      <c r="BB1195" s="13">
        <v>-1.11539995670319</v>
      </c>
      <c r="BC1195" s="4">
        <v>1</v>
      </c>
      <c r="BD1195" s="4">
        <v>17</v>
      </c>
      <c r="BE1195" s="4" t="s">
        <v>134</v>
      </c>
      <c r="BF1195" s="13">
        <v>1.53069996833801</v>
      </c>
      <c r="BG1195" s="4">
        <v>144.5</v>
      </c>
      <c r="BH1195" s="13">
        <v>7.3550000190734899</v>
      </c>
      <c r="BI1195" s="13">
        <v>1061.60998535156</v>
      </c>
      <c r="BJ1195" s="4"/>
      <c r="BK1195" s="14">
        <v>13</v>
      </c>
      <c r="BL1195" s="14">
        <v>13</v>
      </c>
      <c r="BM1195" s="14">
        <v>13</v>
      </c>
      <c r="BN1195" s="3" t="s">
        <v>375</v>
      </c>
      <c r="BP1195" s="15"/>
      <c r="BQ1195" s="15"/>
      <c r="BR1195" s="2" t="s">
        <v>297</v>
      </c>
      <c r="BS1195" s="2" t="s">
        <v>297</v>
      </c>
      <c r="BT1195" s="7" t="s">
        <v>475</v>
      </c>
      <c r="BU1195" s="7"/>
      <c r="BV1195" s="9" t="s">
        <v>475</v>
      </c>
      <c r="BW1195" s="9"/>
    </row>
    <row r="1196" spans="1:75" ht="14.25" customHeight="1" x14ac:dyDescent="0.25">
      <c r="A1196" s="1">
        <v>2082</v>
      </c>
      <c r="B1196" s="1" t="s">
        <v>4885</v>
      </c>
      <c r="C1196" s="1" t="s">
        <v>4886</v>
      </c>
      <c r="D1196" s="1" t="s">
        <v>77</v>
      </c>
      <c r="E1196" s="1" t="s">
        <v>2396</v>
      </c>
      <c r="F1196" s="1" t="s">
        <v>4821</v>
      </c>
      <c r="G1196" s="1"/>
      <c r="H1196" s="2">
        <v>0</v>
      </c>
      <c r="I1196" s="2">
        <v>0</v>
      </c>
      <c r="J1196" s="2">
        <v>1</v>
      </c>
      <c r="K1196" s="2">
        <v>1</v>
      </c>
      <c r="L1196" s="3" t="s">
        <v>127</v>
      </c>
      <c r="O1196" s="4">
        <v>4</v>
      </c>
      <c r="P1196" s="4" t="s">
        <v>112</v>
      </c>
      <c r="Q1196" s="4"/>
      <c r="R1196" s="5"/>
      <c r="S1196" s="6"/>
      <c r="T1196" s="17"/>
      <c r="U1196" s="6"/>
      <c r="V1196" s="4"/>
      <c r="W1196" s="4"/>
      <c r="X1196" s="4"/>
      <c r="Y1196" s="7">
        <v>4</v>
      </c>
      <c r="Z1196" s="8">
        <v>298139</v>
      </c>
      <c r="AA1196" s="7" t="s">
        <v>92</v>
      </c>
      <c r="AB1196" s="7"/>
      <c r="AC1196" s="9">
        <v>4</v>
      </c>
      <c r="AD1196" s="10">
        <v>256762</v>
      </c>
      <c r="AE1196" s="9" t="s">
        <v>92</v>
      </c>
      <c r="AF1196" s="9"/>
      <c r="AG1196" s="11">
        <v>3</v>
      </c>
      <c r="AH1196" s="11" t="s">
        <v>93</v>
      </c>
      <c r="AI1196" s="11"/>
      <c r="AJ1196" s="11"/>
      <c r="AK1196" s="11"/>
      <c r="AL1196" s="12">
        <v>3</v>
      </c>
      <c r="AM1196" s="12" t="s">
        <v>93</v>
      </c>
      <c r="AN1196" s="12" t="s">
        <v>698</v>
      </c>
      <c r="AO1196" s="12"/>
      <c r="AP1196" s="12"/>
      <c r="AQ1196" s="4">
        <v>3</v>
      </c>
      <c r="AR1196" s="4" t="s">
        <v>83</v>
      </c>
      <c r="AS1196" s="4"/>
      <c r="AT1196" s="13"/>
      <c r="AU1196" s="13"/>
      <c r="AV1196" s="13"/>
      <c r="AW1196" s="13"/>
      <c r="AX1196" s="4"/>
      <c r="AY1196" s="13"/>
      <c r="AZ1196" s="13"/>
      <c r="BA1196" s="13"/>
      <c r="BB1196" s="13"/>
      <c r="BC1196" s="4"/>
      <c r="BD1196" s="4"/>
      <c r="BE1196" s="4"/>
      <c r="BF1196" s="13"/>
      <c r="BG1196" s="4"/>
      <c r="BH1196" s="13"/>
      <c r="BI1196" s="13"/>
      <c r="BJ1196" s="4"/>
      <c r="BK1196" s="14">
        <v>14</v>
      </c>
      <c r="BL1196" s="14">
        <v>14</v>
      </c>
      <c r="BM1196" s="14">
        <v>14</v>
      </c>
      <c r="BN1196" s="3" t="s">
        <v>86</v>
      </c>
      <c r="BP1196" s="15"/>
      <c r="BQ1196" s="15"/>
      <c r="BR1196" s="2" t="s">
        <v>108</v>
      </c>
      <c r="BS1196" s="2" t="s">
        <v>108</v>
      </c>
      <c r="BT1196" s="7" t="s">
        <v>109</v>
      </c>
      <c r="BU1196" s="7"/>
      <c r="BV1196" s="9" t="s">
        <v>109</v>
      </c>
      <c r="BW1196" s="9"/>
    </row>
    <row r="1197" spans="1:75" ht="14.25" customHeight="1" x14ac:dyDescent="0.25">
      <c r="A1197" s="1">
        <v>2083</v>
      </c>
      <c r="B1197" s="1" t="s">
        <v>4887</v>
      </c>
      <c r="C1197" s="1" t="s">
        <v>4888</v>
      </c>
      <c r="D1197" s="1" t="s">
        <v>77</v>
      </c>
      <c r="E1197" s="1" t="s">
        <v>2396</v>
      </c>
      <c r="F1197" s="1" t="s">
        <v>4821</v>
      </c>
      <c r="G1197" s="1" t="s">
        <v>118</v>
      </c>
      <c r="H1197" s="2">
        <v>0</v>
      </c>
      <c r="I1197" s="2">
        <v>0</v>
      </c>
      <c r="J1197" s="2">
        <v>0</v>
      </c>
      <c r="K1197" s="2">
        <v>1</v>
      </c>
      <c r="L1197" s="3" t="s">
        <v>80</v>
      </c>
      <c r="O1197" s="4">
        <v>4</v>
      </c>
      <c r="P1197" s="4" t="s">
        <v>81</v>
      </c>
      <c r="Q1197" s="4"/>
      <c r="R1197" s="5"/>
      <c r="S1197" s="6"/>
      <c r="T1197" s="17"/>
      <c r="U1197" s="6"/>
      <c r="V1197" s="4"/>
      <c r="W1197" s="4"/>
      <c r="X1197" s="4"/>
      <c r="Y1197" s="7">
        <v>5</v>
      </c>
      <c r="Z1197" s="8">
        <v>19681</v>
      </c>
      <c r="AA1197" s="7" t="s">
        <v>82</v>
      </c>
      <c r="AB1197" s="7"/>
      <c r="AC1197" s="9">
        <v>5</v>
      </c>
      <c r="AD1197" s="10">
        <v>19681</v>
      </c>
      <c r="AE1197" s="9" t="s">
        <v>82</v>
      </c>
      <c r="AF1197" s="9"/>
      <c r="AG1197" s="11">
        <v>4</v>
      </c>
      <c r="AH1197" s="11" t="s">
        <v>83</v>
      </c>
      <c r="AI1197" s="11"/>
      <c r="AJ1197" s="11"/>
      <c r="AK1197" s="11"/>
      <c r="AL1197" s="12">
        <v>4</v>
      </c>
      <c r="AM1197" s="12" t="s">
        <v>83</v>
      </c>
      <c r="AN1197" s="12"/>
      <c r="AO1197" s="12"/>
      <c r="AP1197" s="12"/>
      <c r="AQ1197" s="4">
        <v>3</v>
      </c>
      <c r="AR1197" s="4" t="s">
        <v>83</v>
      </c>
      <c r="AS1197" s="4"/>
      <c r="AT1197" s="13"/>
      <c r="AU1197" s="13"/>
      <c r="AV1197" s="13"/>
      <c r="AW1197" s="13"/>
      <c r="AX1197" s="4"/>
      <c r="AY1197" s="13"/>
      <c r="AZ1197" s="13"/>
      <c r="BA1197" s="13"/>
      <c r="BB1197" s="13"/>
      <c r="BC1197" s="4"/>
      <c r="BD1197" s="4"/>
      <c r="BE1197" s="4"/>
      <c r="BF1197" s="13"/>
      <c r="BG1197" s="4"/>
      <c r="BH1197" s="13"/>
      <c r="BI1197" s="13"/>
      <c r="BJ1197" s="4"/>
      <c r="BK1197" s="14">
        <v>16</v>
      </c>
      <c r="BL1197" s="14">
        <v>16</v>
      </c>
      <c r="BM1197" s="14">
        <v>16</v>
      </c>
      <c r="BN1197" s="3" t="s">
        <v>86</v>
      </c>
      <c r="BP1197" s="15"/>
      <c r="BQ1197" s="15"/>
      <c r="BR1197" s="2" t="s">
        <v>87</v>
      </c>
      <c r="BS1197" s="2" t="s">
        <v>87</v>
      </c>
      <c r="BT1197" s="7" t="s">
        <v>88</v>
      </c>
      <c r="BU1197" s="7"/>
      <c r="BV1197" s="9" t="s">
        <v>88</v>
      </c>
      <c r="BW1197" s="9"/>
    </row>
    <row r="1198" spans="1:75" ht="14.25" customHeight="1" x14ac:dyDescent="0.25">
      <c r="A1198" s="1">
        <v>2084</v>
      </c>
      <c r="B1198" s="1" t="s">
        <v>4889</v>
      </c>
      <c r="C1198" s="1" t="s">
        <v>4890</v>
      </c>
      <c r="D1198" s="1" t="s">
        <v>77</v>
      </c>
      <c r="E1198" s="1" t="s">
        <v>2396</v>
      </c>
      <c r="F1198" s="1" t="s">
        <v>4821</v>
      </c>
      <c r="G1198" s="1" t="s">
        <v>118</v>
      </c>
      <c r="H1198" s="2">
        <v>1</v>
      </c>
      <c r="I1198" s="2">
        <v>1</v>
      </c>
      <c r="J1198" s="2">
        <v>1</v>
      </c>
      <c r="K1198" s="2">
        <v>1</v>
      </c>
      <c r="L1198" s="3" t="s">
        <v>127</v>
      </c>
      <c r="O1198" s="4">
        <v>3</v>
      </c>
      <c r="P1198" s="4" t="s">
        <v>424</v>
      </c>
      <c r="Q1198" s="4" t="s">
        <v>4833</v>
      </c>
      <c r="R1198" s="16">
        <v>4700000</v>
      </c>
      <c r="S1198" s="6">
        <v>4700000</v>
      </c>
      <c r="T1198" s="16">
        <v>4700000</v>
      </c>
      <c r="U1198" s="6">
        <v>4700000</v>
      </c>
      <c r="V1198" s="4">
        <v>2010.5</v>
      </c>
      <c r="W1198" s="4" t="s">
        <v>425</v>
      </c>
      <c r="X1198" s="4"/>
      <c r="Y1198" s="7">
        <v>2</v>
      </c>
      <c r="Z1198" s="8">
        <v>3765510</v>
      </c>
      <c r="AA1198" s="7" t="s">
        <v>92</v>
      </c>
      <c r="AB1198" s="7"/>
      <c r="AC1198" s="9">
        <v>2</v>
      </c>
      <c r="AD1198" s="10">
        <v>2128518</v>
      </c>
      <c r="AE1198" s="9" t="s">
        <v>92</v>
      </c>
      <c r="AF1198" s="9" t="s">
        <v>4891</v>
      </c>
      <c r="AG1198" s="11">
        <v>3</v>
      </c>
      <c r="AH1198" s="11" t="s">
        <v>131</v>
      </c>
      <c r="AI1198" s="11"/>
      <c r="AJ1198" s="11">
        <v>3</v>
      </c>
      <c r="AK1198" s="11" t="s">
        <v>143</v>
      </c>
      <c r="AL1198" s="12">
        <v>3</v>
      </c>
      <c r="AM1198" s="12" t="s">
        <v>131</v>
      </c>
      <c r="AN1198" s="12"/>
      <c r="AO1198" s="12">
        <v>4</v>
      </c>
      <c r="AP1198" s="12" t="s">
        <v>143</v>
      </c>
      <c r="AQ1198" s="4">
        <v>2</v>
      </c>
      <c r="AR1198" s="4" t="s">
        <v>133</v>
      </c>
      <c r="AS1198" s="4"/>
      <c r="AT1198" s="13">
        <v>-23.89817237854</v>
      </c>
      <c r="AU1198" s="13">
        <v>-0.53408759832382202</v>
      </c>
      <c r="AV1198" s="13">
        <v>-1.06089699268341</v>
      </c>
      <c r="AW1198" s="13">
        <v>9.8600000143051106E-2</v>
      </c>
      <c r="AX1198" s="4"/>
      <c r="AY1198" s="13">
        <v>2.09977126121521</v>
      </c>
      <c r="AZ1198" s="13">
        <v>0.20813171565532701</v>
      </c>
      <c r="BA1198" s="13">
        <v>-0.37999999523162797</v>
      </c>
      <c r="BB1198" s="13">
        <v>0.92100000381469704</v>
      </c>
      <c r="BC1198" s="4"/>
      <c r="BD1198" s="4">
        <v>10</v>
      </c>
      <c r="BE1198" s="4" t="s">
        <v>134</v>
      </c>
      <c r="BF1198" s="13">
        <v>1.15949702262878</v>
      </c>
      <c r="BG1198" s="4">
        <v>1840</v>
      </c>
      <c r="BH1198" s="13">
        <v>1.92499995231628</v>
      </c>
      <c r="BI1198" s="13">
        <v>3541.59497070313</v>
      </c>
      <c r="BJ1198" s="4"/>
      <c r="BK1198" s="14">
        <v>10</v>
      </c>
      <c r="BL1198" s="14">
        <v>10</v>
      </c>
      <c r="BM1198" s="14">
        <v>10</v>
      </c>
      <c r="BP1198" s="15"/>
      <c r="BQ1198" s="15"/>
      <c r="BR1198" s="2" t="s">
        <v>211</v>
      </c>
      <c r="BS1198" s="2" t="s">
        <v>97</v>
      </c>
      <c r="BT1198" s="7" t="s">
        <v>241</v>
      </c>
      <c r="BU1198" s="7"/>
      <c r="BV1198" s="9" t="s">
        <v>797</v>
      </c>
      <c r="BW1198" s="9"/>
    </row>
    <row r="1199" spans="1:75" ht="14.25" customHeight="1" x14ac:dyDescent="0.25">
      <c r="A1199" s="1">
        <v>2085</v>
      </c>
      <c r="B1199" s="1" t="s">
        <v>4892</v>
      </c>
      <c r="C1199" s="1" t="s">
        <v>4893</v>
      </c>
      <c r="D1199" s="1" t="s">
        <v>77</v>
      </c>
      <c r="E1199" s="1" t="s">
        <v>2396</v>
      </c>
      <c r="F1199" s="1" t="s">
        <v>4821</v>
      </c>
      <c r="G1199" s="1"/>
      <c r="H1199" s="2">
        <v>1</v>
      </c>
      <c r="I1199" s="2">
        <v>1</v>
      </c>
      <c r="J1199" s="2">
        <v>1</v>
      </c>
      <c r="K1199" s="2">
        <v>0</v>
      </c>
      <c r="L1199" s="3" t="s">
        <v>127</v>
      </c>
      <c r="O1199" s="4">
        <v>2</v>
      </c>
      <c r="P1199" s="4" t="s">
        <v>424</v>
      </c>
      <c r="Q1199" s="4"/>
      <c r="R1199" s="16">
        <v>15000000</v>
      </c>
      <c r="S1199" s="6">
        <v>15000000</v>
      </c>
      <c r="T1199" s="16">
        <v>12000000</v>
      </c>
      <c r="U1199" s="6">
        <v>12000000</v>
      </c>
      <c r="V1199" s="4">
        <v>2010.5</v>
      </c>
      <c r="W1199" s="4" t="s">
        <v>425</v>
      </c>
      <c r="X1199" s="4"/>
      <c r="Y1199" s="7">
        <v>1</v>
      </c>
      <c r="Z1199" s="8">
        <v>4520585</v>
      </c>
      <c r="AA1199" s="7" t="s">
        <v>92</v>
      </c>
      <c r="AB1199" s="7"/>
      <c r="AC1199" s="9">
        <v>3</v>
      </c>
      <c r="AD1199" s="10">
        <v>807173</v>
      </c>
      <c r="AE1199" s="9" t="s">
        <v>92</v>
      </c>
      <c r="AF1199" s="9"/>
      <c r="AG1199" s="11">
        <v>3</v>
      </c>
      <c r="AH1199" s="11" t="s">
        <v>131</v>
      </c>
      <c r="AI1199" s="11" t="s">
        <v>4894</v>
      </c>
      <c r="AJ1199" s="11">
        <v>3</v>
      </c>
      <c r="AK1199" s="11" t="s">
        <v>143</v>
      </c>
      <c r="AL1199" s="12">
        <v>2</v>
      </c>
      <c r="AM1199" s="12" t="s">
        <v>131</v>
      </c>
      <c r="AN1199" s="12" t="s">
        <v>4895</v>
      </c>
      <c r="AO1199" s="12">
        <v>2</v>
      </c>
      <c r="AP1199" s="12" t="s">
        <v>143</v>
      </c>
      <c r="AQ1199" s="4">
        <v>2</v>
      </c>
      <c r="AR1199" s="4" t="s">
        <v>133</v>
      </c>
      <c r="AS1199" s="4"/>
      <c r="AT1199" s="13">
        <v>24.889768600463899</v>
      </c>
      <c r="AU1199" s="13">
        <v>0.43674769997596702</v>
      </c>
      <c r="AV1199" s="13">
        <v>-9.1599998995661701E-3</v>
      </c>
      <c r="AW1199" s="13">
        <v>0.76700001955032304</v>
      </c>
      <c r="AX1199" s="4"/>
      <c r="AY1199" s="13">
        <v>4.2511391639709499</v>
      </c>
      <c r="AZ1199" s="13">
        <v>0.41716936230659502</v>
      </c>
      <c r="BA1199" s="13">
        <v>-0.77200001478195202</v>
      </c>
      <c r="BB1199" s="13">
        <v>1.2289999723434399</v>
      </c>
      <c r="BC1199" s="4"/>
      <c r="BD1199" s="4">
        <v>10</v>
      </c>
      <c r="BE1199" s="4" t="s">
        <v>134</v>
      </c>
      <c r="BF1199" s="13">
        <v>0.77616000175476096</v>
      </c>
      <c r="BG1199" s="4">
        <v>1048.5</v>
      </c>
      <c r="BH1199" s="13">
        <v>2.5099999904632599</v>
      </c>
      <c r="BI1199" s="13">
        <v>2631.06005859375</v>
      </c>
      <c r="BJ1199" s="4"/>
      <c r="BK1199" s="14">
        <v>8</v>
      </c>
      <c r="BL1199" s="14">
        <v>9</v>
      </c>
      <c r="BM1199" s="14">
        <v>9</v>
      </c>
      <c r="BP1199" s="15"/>
      <c r="BQ1199" s="15"/>
      <c r="BR1199" s="2" t="s">
        <v>256</v>
      </c>
      <c r="BS1199" s="2" t="s">
        <v>108</v>
      </c>
      <c r="BT1199" s="7" t="s">
        <v>428</v>
      </c>
      <c r="BU1199" s="7" t="s">
        <v>438</v>
      </c>
      <c r="BV1199" s="9" t="s">
        <v>109</v>
      </c>
      <c r="BW1199" s="9" t="s">
        <v>438</v>
      </c>
    </row>
    <row r="1200" spans="1:75" ht="14.25" customHeight="1" x14ac:dyDescent="0.25">
      <c r="A1200" s="1">
        <v>2086</v>
      </c>
      <c r="B1200" s="1" t="s">
        <v>4896</v>
      </c>
      <c r="C1200" s="1" t="s">
        <v>4897</v>
      </c>
      <c r="D1200" s="1" t="s">
        <v>77</v>
      </c>
      <c r="E1200" s="1" t="s">
        <v>2396</v>
      </c>
      <c r="F1200" s="1" t="s">
        <v>4821</v>
      </c>
      <c r="G1200" s="1"/>
      <c r="H1200" s="2">
        <v>0</v>
      </c>
      <c r="I1200" s="2">
        <v>0</v>
      </c>
      <c r="J1200" s="2">
        <v>1</v>
      </c>
      <c r="K1200" s="2">
        <v>0</v>
      </c>
      <c r="L1200" s="3" t="s">
        <v>80</v>
      </c>
      <c r="O1200" s="4">
        <v>5</v>
      </c>
      <c r="P1200" s="4" t="s">
        <v>112</v>
      </c>
      <c r="Q1200" s="4" t="s">
        <v>4898</v>
      </c>
      <c r="R1200" s="5"/>
      <c r="S1200" s="6"/>
      <c r="T1200" s="17"/>
      <c r="U1200" s="6"/>
      <c r="V1200" s="4"/>
      <c r="W1200" s="4"/>
      <c r="X1200" s="4"/>
      <c r="Y1200" s="7">
        <v>4</v>
      </c>
      <c r="Z1200" s="8">
        <v>176110</v>
      </c>
      <c r="AA1200" s="7" t="s">
        <v>92</v>
      </c>
      <c r="AB1200" s="7"/>
      <c r="AC1200" s="9">
        <v>4</v>
      </c>
      <c r="AD1200" s="10">
        <v>176110</v>
      </c>
      <c r="AE1200" s="9" t="s">
        <v>92</v>
      </c>
      <c r="AF1200" s="9"/>
      <c r="AG1200" s="11">
        <v>4</v>
      </c>
      <c r="AH1200" s="11" t="s">
        <v>93</v>
      </c>
      <c r="AI1200" s="11"/>
      <c r="AJ1200" s="11"/>
      <c r="AK1200" s="11"/>
      <c r="AL1200" s="12">
        <v>4</v>
      </c>
      <c r="AM1200" s="12" t="s">
        <v>93</v>
      </c>
      <c r="AN1200" s="12" t="s">
        <v>4899</v>
      </c>
      <c r="AO1200" s="12"/>
      <c r="AP1200" s="12"/>
      <c r="AQ1200" s="4">
        <v>4</v>
      </c>
      <c r="AR1200" s="4" t="s">
        <v>93</v>
      </c>
      <c r="AS1200" s="4"/>
      <c r="AT1200" s="13"/>
      <c r="AU1200" s="13"/>
      <c r="AV1200" s="13"/>
      <c r="AW1200" s="13"/>
      <c r="AX1200" s="4"/>
      <c r="AY1200" s="13"/>
      <c r="AZ1200" s="13"/>
      <c r="BA1200" s="13"/>
      <c r="BB1200" s="13"/>
      <c r="BC1200" s="4"/>
      <c r="BD1200" s="4"/>
      <c r="BE1200" s="4"/>
      <c r="BF1200" s="13"/>
      <c r="BG1200" s="4"/>
      <c r="BH1200" s="13"/>
      <c r="BI1200" s="13"/>
      <c r="BJ1200" s="4"/>
      <c r="BK1200" s="14">
        <v>17</v>
      </c>
      <c r="BL1200" s="14">
        <v>17</v>
      </c>
      <c r="BM1200" s="14">
        <v>17</v>
      </c>
      <c r="BN1200" s="3" t="s">
        <v>312</v>
      </c>
      <c r="BP1200" s="15"/>
      <c r="BQ1200" s="15"/>
      <c r="BR1200" s="2" t="s">
        <v>108</v>
      </c>
      <c r="BS1200" s="2" t="s">
        <v>108</v>
      </c>
      <c r="BT1200" s="7" t="s">
        <v>109</v>
      </c>
      <c r="BU1200" s="7"/>
      <c r="BV1200" s="9" t="s">
        <v>109</v>
      </c>
      <c r="BW1200" s="9"/>
    </row>
    <row r="1201" spans="1:75" ht="14.25" customHeight="1" x14ac:dyDescent="0.25">
      <c r="A1201" s="1">
        <v>2087</v>
      </c>
      <c r="B1201" s="1" t="s">
        <v>4900</v>
      </c>
      <c r="C1201" s="1" t="s">
        <v>4901</v>
      </c>
      <c r="D1201" s="1" t="s">
        <v>77</v>
      </c>
      <c r="E1201" s="1" t="s">
        <v>2396</v>
      </c>
      <c r="F1201" s="1" t="s">
        <v>4821</v>
      </c>
      <c r="G1201" s="1"/>
      <c r="H1201" s="2">
        <v>0</v>
      </c>
      <c r="I1201" s="2">
        <v>0</v>
      </c>
      <c r="J1201" s="2">
        <v>1</v>
      </c>
      <c r="K1201" s="2">
        <v>1</v>
      </c>
      <c r="L1201" s="3" t="s">
        <v>80</v>
      </c>
      <c r="O1201" s="4">
        <v>5</v>
      </c>
      <c r="P1201" s="4" t="s">
        <v>112</v>
      </c>
      <c r="Q1201" s="4"/>
      <c r="R1201" s="5"/>
      <c r="S1201" s="6"/>
      <c r="T1201" s="17"/>
      <c r="U1201" s="6"/>
      <c r="V1201" s="4"/>
      <c r="W1201" s="4"/>
      <c r="X1201" s="4"/>
      <c r="Y1201" s="7">
        <v>3</v>
      </c>
      <c r="Z1201" s="8">
        <v>316510</v>
      </c>
      <c r="AA1201" s="7" t="s">
        <v>92</v>
      </c>
      <c r="AB1201" s="7"/>
      <c r="AC1201" s="9">
        <v>3</v>
      </c>
      <c r="AD1201" s="10">
        <v>316510</v>
      </c>
      <c r="AE1201" s="9" t="s">
        <v>92</v>
      </c>
      <c r="AF1201" s="9"/>
      <c r="AG1201" s="11">
        <v>3</v>
      </c>
      <c r="AH1201" s="11" t="s">
        <v>93</v>
      </c>
      <c r="AI1201" s="11"/>
      <c r="AJ1201" s="11"/>
      <c r="AK1201" s="11"/>
      <c r="AL1201" s="12">
        <v>3</v>
      </c>
      <c r="AM1201" s="12" t="s">
        <v>93</v>
      </c>
      <c r="AN1201" s="12" t="s">
        <v>723</v>
      </c>
      <c r="AO1201" s="12"/>
      <c r="AP1201" s="12"/>
      <c r="AQ1201" s="4">
        <v>4</v>
      </c>
      <c r="AR1201" s="4" t="s">
        <v>83</v>
      </c>
      <c r="AS1201" s="4" t="s">
        <v>4902</v>
      </c>
      <c r="AT1201" s="13"/>
      <c r="AU1201" s="13"/>
      <c r="AV1201" s="13"/>
      <c r="AW1201" s="13"/>
      <c r="AX1201" s="4"/>
      <c r="AY1201" s="13"/>
      <c r="AZ1201" s="13"/>
      <c r="BA1201" s="13"/>
      <c r="BB1201" s="13"/>
      <c r="BC1201" s="4"/>
      <c r="BD1201" s="4"/>
      <c r="BE1201" s="4"/>
      <c r="BF1201" s="13"/>
      <c r="BG1201" s="4"/>
      <c r="BH1201" s="13"/>
      <c r="BI1201" s="13"/>
      <c r="BJ1201" s="4"/>
      <c r="BK1201" s="14">
        <v>15</v>
      </c>
      <c r="BL1201" s="14">
        <v>15</v>
      </c>
      <c r="BM1201" s="14">
        <v>15</v>
      </c>
      <c r="BN1201" s="3" t="s">
        <v>86</v>
      </c>
      <c r="BP1201" s="15"/>
      <c r="BQ1201" s="15"/>
      <c r="BR1201" s="2" t="s">
        <v>115</v>
      </c>
      <c r="BS1201" s="2" t="s">
        <v>115</v>
      </c>
      <c r="BT1201" s="7" t="s">
        <v>109</v>
      </c>
      <c r="BU1201" s="7"/>
      <c r="BV1201" s="9" t="s">
        <v>109</v>
      </c>
      <c r="BW1201" s="9"/>
    </row>
    <row r="1202" spans="1:75" ht="14.25" customHeight="1" x14ac:dyDescent="0.25">
      <c r="A1202" s="1">
        <v>2088</v>
      </c>
      <c r="B1202" s="1" t="s">
        <v>4903</v>
      </c>
      <c r="C1202" s="1" t="s">
        <v>4904</v>
      </c>
      <c r="D1202" s="1" t="s">
        <v>77</v>
      </c>
      <c r="E1202" s="1" t="s">
        <v>2396</v>
      </c>
      <c r="F1202" s="1" t="s">
        <v>4821</v>
      </c>
      <c r="G1202" s="1"/>
      <c r="H1202" s="2">
        <v>0</v>
      </c>
      <c r="I1202" s="2">
        <v>0</v>
      </c>
      <c r="J1202" s="2">
        <v>1</v>
      </c>
      <c r="K1202" s="2">
        <v>1</v>
      </c>
      <c r="L1202" s="3" t="s">
        <v>80</v>
      </c>
      <c r="O1202" s="4">
        <v>5</v>
      </c>
      <c r="P1202" s="4" t="s">
        <v>112</v>
      </c>
      <c r="Q1202" s="4"/>
      <c r="R1202" s="5"/>
      <c r="S1202" s="6"/>
      <c r="T1202" s="17"/>
      <c r="U1202" s="6"/>
      <c r="V1202" s="4"/>
      <c r="W1202" s="4"/>
      <c r="X1202" s="4"/>
      <c r="Y1202" s="7">
        <v>4</v>
      </c>
      <c r="Z1202" s="8">
        <v>202195</v>
      </c>
      <c r="AA1202" s="7" t="s">
        <v>92</v>
      </c>
      <c r="AB1202" s="7"/>
      <c r="AC1202" s="9">
        <v>4</v>
      </c>
      <c r="AD1202" s="10">
        <v>202195</v>
      </c>
      <c r="AE1202" s="9" t="s">
        <v>92</v>
      </c>
      <c r="AF1202" s="9"/>
      <c r="AG1202" s="11">
        <v>4</v>
      </c>
      <c r="AH1202" s="11" t="s">
        <v>93</v>
      </c>
      <c r="AI1202" s="11"/>
      <c r="AJ1202" s="11"/>
      <c r="AK1202" s="11"/>
      <c r="AL1202" s="12">
        <v>4</v>
      </c>
      <c r="AM1202" s="12" t="s">
        <v>93</v>
      </c>
      <c r="AN1202" s="12" t="s">
        <v>4905</v>
      </c>
      <c r="AO1202" s="12"/>
      <c r="AP1202" s="12"/>
      <c r="AQ1202" s="4">
        <v>4</v>
      </c>
      <c r="AR1202" s="4" t="s">
        <v>83</v>
      </c>
      <c r="AS1202" s="4"/>
      <c r="AT1202" s="13"/>
      <c r="AU1202" s="13"/>
      <c r="AV1202" s="13"/>
      <c r="AW1202" s="13"/>
      <c r="AX1202" s="4"/>
      <c r="AY1202" s="13"/>
      <c r="AZ1202" s="13"/>
      <c r="BA1202" s="13"/>
      <c r="BB1202" s="13"/>
      <c r="BC1202" s="4"/>
      <c r="BD1202" s="4"/>
      <c r="BE1202" s="4"/>
      <c r="BF1202" s="13"/>
      <c r="BG1202" s="4"/>
      <c r="BH1202" s="13"/>
      <c r="BI1202" s="13"/>
      <c r="BJ1202" s="4"/>
      <c r="BK1202" s="14">
        <v>17</v>
      </c>
      <c r="BL1202" s="14">
        <v>17</v>
      </c>
      <c r="BM1202" s="14">
        <v>17</v>
      </c>
      <c r="BN1202" s="3" t="s">
        <v>312</v>
      </c>
      <c r="BP1202" s="15"/>
      <c r="BQ1202" s="15"/>
      <c r="BR1202" s="2" t="s">
        <v>108</v>
      </c>
      <c r="BS1202" s="2" t="s">
        <v>108</v>
      </c>
      <c r="BT1202" s="7" t="s">
        <v>88</v>
      </c>
      <c r="BU1202" s="7"/>
      <c r="BV1202" s="9" t="s">
        <v>88</v>
      </c>
      <c r="BW1202" s="9"/>
    </row>
    <row r="1203" spans="1:75" ht="14.25" customHeight="1" x14ac:dyDescent="0.25">
      <c r="A1203" s="1">
        <v>2089</v>
      </c>
      <c r="B1203" s="1" t="s">
        <v>4906</v>
      </c>
      <c r="C1203" s="1" t="s">
        <v>4907</v>
      </c>
      <c r="D1203" s="1" t="s">
        <v>77</v>
      </c>
      <c r="E1203" s="1" t="s">
        <v>2396</v>
      </c>
      <c r="F1203" s="1" t="s">
        <v>4821</v>
      </c>
      <c r="G1203" s="1" t="s">
        <v>4908</v>
      </c>
      <c r="H1203" s="2">
        <v>0</v>
      </c>
      <c r="I1203" s="2">
        <v>0</v>
      </c>
      <c r="J1203" s="2">
        <v>1</v>
      </c>
      <c r="K1203" s="2">
        <v>1</v>
      </c>
      <c r="L1203" s="3" t="s">
        <v>80</v>
      </c>
      <c r="O1203" s="4">
        <v>4</v>
      </c>
      <c r="P1203" s="4" t="s">
        <v>4909</v>
      </c>
      <c r="Q1203" s="4" t="s">
        <v>4910</v>
      </c>
      <c r="R1203" s="5"/>
      <c r="S1203" s="6"/>
      <c r="T1203" s="17"/>
      <c r="U1203" s="6"/>
      <c r="V1203" s="4"/>
      <c r="W1203" s="4"/>
      <c r="X1203" s="4"/>
      <c r="Y1203" s="7">
        <v>3</v>
      </c>
      <c r="Z1203" s="8">
        <v>877490</v>
      </c>
      <c r="AA1203" s="7" t="s">
        <v>1885</v>
      </c>
      <c r="AB1203" s="7" t="s">
        <v>4911</v>
      </c>
      <c r="AC1203" s="9">
        <v>3</v>
      </c>
      <c r="AD1203" s="10">
        <v>877490</v>
      </c>
      <c r="AE1203" s="9" t="s">
        <v>1885</v>
      </c>
      <c r="AF1203" s="9" t="s">
        <v>4911</v>
      </c>
      <c r="AG1203" s="11">
        <v>3</v>
      </c>
      <c r="AH1203" s="11" t="s">
        <v>93</v>
      </c>
      <c r="AI1203" s="11"/>
      <c r="AJ1203" s="11"/>
      <c r="AK1203" s="11"/>
      <c r="AL1203" s="12">
        <v>3</v>
      </c>
      <c r="AM1203" s="12" t="s">
        <v>93</v>
      </c>
      <c r="AN1203" s="12" t="s">
        <v>4912</v>
      </c>
      <c r="AO1203" s="12"/>
      <c r="AP1203" s="12"/>
      <c r="AQ1203" s="4">
        <v>4</v>
      </c>
      <c r="AR1203" s="4" t="s">
        <v>83</v>
      </c>
      <c r="AS1203" s="4"/>
      <c r="AT1203" s="13"/>
      <c r="AU1203" s="13"/>
      <c r="AV1203" s="13"/>
      <c r="AW1203" s="13"/>
      <c r="AX1203" s="4"/>
      <c r="AY1203" s="13"/>
      <c r="AZ1203" s="13"/>
      <c r="BA1203" s="13"/>
      <c r="BB1203" s="13"/>
      <c r="BC1203" s="4"/>
      <c r="BD1203" s="4"/>
      <c r="BE1203" s="4"/>
      <c r="BF1203" s="13"/>
      <c r="BG1203" s="4"/>
      <c r="BH1203" s="13"/>
      <c r="BI1203" s="13"/>
      <c r="BJ1203" s="4"/>
      <c r="BK1203" s="14">
        <v>14</v>
      </c>
      <c r="BL1203" s="14">
        <v>14</v>
      </c>
      <c r="BM1203" s="14">
        <v>14</v>
      </c>
      <c r="BN1203" s="3" t="s">
        <v>86</v>
      </c>
      <c r="BP1203" s="15"/>
      <c r="BQ1203" s="15"/>
      <c r="BR1203" s="2" t="s">
        <v>121</v>
      </c>
      <c r="BS1203" s="2" t="s">
        <v>121</v>
      </c>
      <c r="BT1203" s="7" t="s">
        <v>98</v>
      </c>
      <c r="BU1203" s="7"/>
      <c r="BV1203" s="9" t="s">
        <v>98</v>
      </c>
      <c r="BW1203" s="9"/>
    </row>
    <row r="1204" spans="1:75" ht="14.25" customHeight="1" x14ac:dyDescent="0.25">
      <c r="A1204" s="1">
        <v>2090</v>
      </c>
      <c r="B1204" s="1" t="s">
        <v>4913</v>
      </c>
      <c r="C1204" s="1" t="s">
        <v>4914</v>
      </c>
      <c r="D1204" s="1" t="s">
        <v>77</v>
      </c>
      <c r="E1204" s="1" t="s">
        <v>2396</v>
      </c>
      <c r="F1204" s="1" t="s">
        <v>4821</v>
      </c>
      <c r="G1204" s="1"/>
      <c r="H1204" s="2">
        <v>0</v>
      </c>
      <c r="I1204" s="2">
        <v>0</v>
      </c>
      <c r="J1204" s="2">
        <v>1</v>
      </c>
      <c r="K1204" s="2">
        <v>1</v>
      </c>
      <c r="L1204" s="3" t="s">
        <v>80</v>
      </c>
      <c r="O1204" s="4">
        <v>4</v>
      </c>
      <c r="P1204" s="4" t="s">
        <v>101</v>
      </c>
      <c r="Q1204" s="4" t="s">
        <v>4915</v>
      </c>
      <c r="R1204" s="5"/>
      <c r="S1204" s="6"/>
      <c r="T1204" s="17"/>
      <c r="U1204" s="6"/>
      <c r="V1204" s="4"/>
      <c r="W1204" s="4"/>
      <c r="X1204" s="4"/>
      <c r="Y1204" s="7">
        <v>3</v>
      </c>
      <c r="Z1204" s="8">
        <v>579068</v>
      </c>
      <c r="AA1204" s="7" t="s">
        <v>92</v>
      </c>
      <c r="AB1204" s="7"/>
      <c r="AC1204" s="9">
        <v>3</v>
      </c>
      <c r="AD1204" s="10">
        <v>579068</v>
      </c>
      <c r="AE1204" s="9" t="s">
        <v>92</v>
      </c>
      <c r="AF1204" s="9"/>
      <c r="AG1204" s="11">
        <v>3</v>
      </c>
      <c r="AH1204" s="11" t="s">
        <v>271</v>
      </c>
      <c r="AI1204" s="11" t="s">
        <v>4916</v>
      </c>
      <c r="AJ1204" s="11"/>
      <c r="AK1204" s="11"/>
      <c r="AL1204" s="12">
        <v>3</v>
      </c>
      <c r="AM1204" s="12" t="s">
        <v>271</v>
      </c>
      <c r="AN1204" s="12" t="s">
        <v>4917</v>
      </c>
      <c r="AO1204" s="12"/>
      <c r="AP1204" s="12"/>
      <c r="AQ1204" s="4">
        <v>4</v>
      </c>
      <c r="AR1204" s="4" t="s">
        <v>83</v>
      </c>
      <c r="AS1204" s="4"/>
      <c r="AT1204" s="13"/>
      <c r="AU1204" s="13"/>
      <c r="AV1204" s="13"/>
      <c r="AW1204" s="13"/>
      <c r="AX1204" s="4"/>
      <c r="AY1204" s="13"/>
      <c r="AZ1204" s="13"/>
      <c r="BA1204" s="13"/>
      <c r="BB1204" s="13"/>
      <c r="BC1204" s="4"/>
      <c r="BD1204" s="4"/>
      <c r="BE1204" s="4"/>
      <c r="BF1204" s="13"/>
      <c r="BG1204" s="4"/>
      <c r="BH1204" s="13"/>
      <c r="BI1204" s="13"/>
      <c r="BJ1204" s="4"/>
      <c r="BK1204" s="14">
        <v>14</v>
      </c>
      <c r="BL1204" s="14">
        <v>14</v>
      </c>
      <c r="BM1204" s="14">
        <v>14</v>
      </c>
      <c r="BN1204" s="3" t="s">
        <v>86</v>
      </c>
      <c r="BP1204" s="15"/>
      <c r="BQ1204" s="15"/>
      <c r="BR1204" s="2" t="s">
        <v>400</v>
      </c>
      <c r="BS1204" s="2" t="s">
        <v>400</v>
      </c>
      <c r="BT1204" s="7" t="s">
        <v>109</v>
      </c>
      <c r="BU1204" s="7"/>
      <c r="BV1204" s="9" t="s">
        <v>109</v>
      </c>
      <c r="BW1204" s="9"/>
    </row>
    <row r="1205" spans="1:75" ht="14.25" customHeight="1" x14ac:dyDescent="0.25">
      <c r="A1205" s="1">
        <v>2091</v>
      </c>
      <c r="B1205" s="1" t="s">
        <v>4918</v>
      </c>
      <c r="C1205" s="1" t="s">
        <v>4919</v>
      </c>
      <c r="D1205" s="1" t="s">
        <v>77</v>
      </c>
      <c r="E1205" s="1" t="s">
        <v>2396</v>
      </c>
      <c r="F1205" s="1" t="s">
        <v>4821</v>
      </c>
      <c r="G1205" s="1"/>
      <c r="H1205" s="2">
        <v>0</v>
      </c>
      <c r="I1205" s="2">
        <v>1</v>
      </c>
      <c r="J1205" s="2">
        <v>1</v>
      </c>
      <c r="K1205" s="2">
        <v>1</v>
      </c>
      <c r="L1205" s="3" t="s">
        <v>127</v>
      </c>
      <c r="O1205" s="4">
        <v>2</v>
      </c>
      <c r="P1205" s="4" t="s">
        <v>424</v>
      </c>
      <c r="Q1205" s="4"/>
      <c r="R1205" s="16">
        <v>35000000</v>
      </c>
      <c r="S1205" s="6">
        <v>35000000</v>
      </c>
      <c r="T1205" s="16">
        <v>21000000</v>
      </c>
      <c r="U1205" s="6">
        <v>21000000</v>
      </c>
      <c r="V1205" s="4">
        <v>2010.5</v>
      </c>
      <c r="W1205" s="4" t="s">
        <v>425</v>
      </c>
      <c r="X1205" s="4"/>
      <c r="Y1205" s="7">
        <v>1</v>
      </c>
      <c r="Z1205" s="8">
        <v>5298904</v>
      </c>
      <c r="AA1205" s="7" t="s">
        <v>92</v>
      </c>
      <c r="AB1205" s="7"/>
      <c r="AC1205" s="9">
        <v>2</v>
      </c>
      <c r="AD1205" s="10">
        <v>1555009</v>
      </c>
      <c r="AE1205" s="9" t="s">
        <v>92</v>
      </c>
      <c r="AF1205" s="9"/>
      <c r="AG1205" s="11">
        <v>2</v>
      </c>
      <c r="AH1205" s="11" t="s">
        <v>131</v>
      </c>
      <c r="AI1205" s="11" t="s">
        <v>4920</v>
      </c>
      <c r="AJ1205" s="11">
        <v>2</v>
      </c>
      <c r="AK1205" s="11" t="s">
        <v>143</v>
      </c>
      <c r="AL1205" s="12">
        <v>2</v>
      </c>
      <c r="AM1205" s="12" t="s">
        <v>131</v>
      </c>
      <c r="AN1205" s="12" t="s">
        <v>4921</v>
      </c>
      <c r="AO1205" s="12">
        <v>2</v>
      </c>
      <c r="AP1205" s="12" t="s">
        <v>132</v>
      </c>
      <c r="AQ1205" s="4">
        <v>1</v>
      </c>
      <c r="AR1205" s="4" t="s">
        <v>133</v>
      </c>
      <c r="AS1205" s="4"/>
      <c r="AT1205" s="13">
        <v>50.903152465820298</v>
      </c>
      <c r="AU1205" s="13">
        <v>0.81034874916076705</v>
      </c>
      <c r="AV1205" s="13">
        <v>0.61219900846481301</v>
      </c>
      <c r="AW1205" s="13">
        <v>1.0599999427795399</v>
      </c>
      <c r="AX1205" s="4">
        <v>1</v>
      </c>
      <c r="AY1205" s="13">
        <v>0.29621365666389499</v>
      </c>
      <c r="AZ1205" s="13">
        <v>2.98669841140509E-2</v>
      </c>
      <c r="BA1205" s="13">
        <v>-0.38189899921417197</v>
      </c>
      <c r="BB1205" s="13">
        <v>0.55699998140335105</v>
      </c>
      <c r="BC1205" s="4"/>
      <c r="BD1205" s="4">
        <v>10</v>
      </c>
      <c r="BE1205" s="4" t="s">
        <v>134</v>
      </c>
      <c r="BF1205" s="13">
        <v>0.447800993919373</v>
      </c>
      <c r="BG1205" s="4">
        <v>1841.5</v>
      </c>
      <c r="BH1205" s="13">
        <v>2.8499999046325701</v>
      </c>
      <c r="BI1205" s="13">
        <v>5246.7001953125</v>
      </c>
      <c r="BJ1205" s="4"/>
      <c r="BK1205" s="14">
        <v>6</v>
      </c>
      <c r="BL1205" s="14">
        <v>7</v>
      </c>
      <c r="BM1205" s="14">
        <v>7</v>
      </c>
      <c r="BP1205" s="15"/>
      <c r="BQ1205" s="15" t="s">
        <v>136</v>
      </c>
      <c r="BR1205" s="2" t="s">
        <v>239</v>
      </c>
      <c r="BS1205" s="2" t="s">
        <v>400</v>
      </c>
      <c r="BT1205" s="7" t="s">
        <v>241</v>
      </c>
      <c r="BU1205" s="7" t="s">
        <v>487</v>
      </c>
      <c r="BV1205" s="9" t="s">
        <v>458</v>
      </c>
      <c r="BW1205" s="9"/>
    </row>
    <row r="1206" spans="1:75" ht="14.25" customHeight="1" x14ac:dyDescent="0.25">
      <c r="A1206" s="1">
        <v>2092</v>
      </c>
      <c r="B1206" s="1" t="s">
        <v>4922</v>
      </c>
      <c r="C1206" s="1" t="s">
        <v>4923</v>
      </c>
      <c r="D1206" s="1" t="s">
        <v>77</v>
      </c>
      <c r="E1206" s="1" t="s">
        <v>2396</v>
      </c>
      <c r="F1206" s="1" t="s">
        <v>4821</v>
      </c>
      <c r="G1206" s="1" t="s">
        <v>118</v>
      </c>
      <c r="H1206" s="2">
        <v>1</v>
      </c>
      <c r="I1206" s="2">
        <v>1</v>
      </c>
      <c r="J1206" s="2">
        <v>1</v>
      </c>
      <c r="K1206" s="2">
        <v>0</v>
      </c>
      <c r="L1206" s="3" t="s">
        <v>127</v>
      </c>
      <c r="O1206" s="4">
        <v>2</v>
      </c>
      <c r="P1206" s="4" t="s">
        <v>424</v>
      </c>
      <c r="Q1206" s="4"/>
      <c r="R1206" s="16">
        <v>6500000</v>
      </c>
      <c r="S1206" s="6">
        <v>6500000</v>
      </c>
      <c r="T1206" s="16">
        <v>6500000</v>
      </c>
      <c r="U1206" s="6">
        <v>6500000</v>
      </c>
      <c r="V1206" s="4">
        <v>2010.5</v>
      </c>
      <c r="W1206" s="4" t="s">
        <v>425</v>
      </c>
      <c r="X1206" s="4"/>
      <c r="Y1206" s="7">
        <v>2</v>
      </c>
      <c r="Z1206" s="8">
        <v>2819045</v>
      </c>
      <c r="AA1206" s="7" t="s">
        <v>92</v>
      </c>
      <c r="AB1206" s="7"/>
      <c r="AC1206" s="9">
        <v>3</v>
      </c>
      <c r="AD1206" s="10">
        <v>339051</v>
      </c>
      <c r="AE1206" s="9" t="s">
        <v>92</v>
      </c>
      <c r="AF1206" s="9"/>
      <c r="AG1206" s="11">
        <v>3</v>
      </c>
      <c r="AH1206" s="11" t="s">
        <v>131</v>
      </c>
      <c r="AI1206" s="11" t="s">
        <v>4924</v>
      </c>
      <c r="AJ1206" s="11">
        <v>1</v>
      </c>
      <c r="AK1206" s="11" t="s">
        <v>132</v>
      </c>
      <c r="AL1206" s="12">
        <v>2</v>
      </c>
      <c r="AM1206" s="12" t="s">
        <v>131</v>
      </c>
      <c r="AN1206" s="12" t="s">
        <v>4925</v>
      </c>
      <c r="AO1206" s="12">
        <v>2</v>
      </c>
      <c r="AP1206" s="12" t="s">
        <v>132</v>
      </c>
      <c r="AQ1206" s="4">
        <v>1</v>
      </c>
      <c r="AR1206" s="4" t="s">
        <v>133</v>
      </c>
      <c r="AS1206" s="4"/>
      <c r="AT1206" s="13">
        <v>26.989830017089801</v>
      </c>
      <c r="AU1206" s="13">
        <v>0.469672530889511</v>
      </c>
      <c r="AV1206" s="13">
        <v>0.16319799423217801</v>
      </c>
      <c r="AW1206" s="13">
        <v>0.93199998140335105</v>
      </c>
      <c r="AX1206" s="4">
        <v>1</v>
      </c>
      <c r="AY1206" s="13">
        <v>11.3634443283081</v>
      </c>
      <c r="AZ1206" s="13">
        <v>1.07920670509338</v>
      </c>
      <c r="BA1206" s="13">
        <v>-0.149000003933907</v>
      </c>
      <c r="BB1206" s="13">
        <v>2.5</v>
      </c>
      <c r="BC1206" s="4"/>
      <c r="BD1206" s="4">
        <v>10</v>
      </c>
      <c r="BE1206" s="4" t="s">
        <v>134</v>
      </c>
      <c r="BF1206" s="13">
        <v>0.76880198717117298</v>
      </c>
      <c r="BG1206" s="4">
        <v>817</v>
      </c>
      <c r="BH1206" s="13">
        <v>1.6799999475479099</v>
      </c>
      <c r="BI1206" s="13">
        <v>1372.90002441406</v>
      </c>
      <c r="BJ1206" s="4"/>
      <c r="BK1206" s="14">
        <v>8</v>
      </c>
      <c r="BL1206" s="14">
        <v>8</v>
      </c>
      <c r="BM1206" s="14">
        <v>8</v>
      </c>
      <c r="BP1206" s="15"/>
      <c r="BQ1206" s="15"/>
      <c r="BR1206" s="2" t="s">
        <v>256</v>
      </c>
      <c r="BS1206" s="2" t="s">
        <v>108</v>
      </c>
      <c r="BT1206" s="7" t="s">
        <v>428</v>
      </c>
      <c r="BU1206" s="7"/>
      <c r="BV1206" s="9" t="s">
        <v>458</v>
      </c>
      <c r="BW1206" s="9"/>
    </row>
    <row r="1207" spans="1:75" ht="14.25" customHeight="1" x14ac:dyDescent="0.25">
      <c r="A1207" s="1">
        <v>2093</v>
      </c>
      <c r="B1207" s="1" t="s">
        <v>4926</v>
      </c>
      <c r="C1207" s="1" t="s">
        <v>4927</v>
      </c>
      <c r="D1207" s="1" t="s">
        <v>77</v>
      </c>
      <c r="E1207" s="1" t="s">
        <v>2396</v>
      </c>
      <c r="F1207" s="1" t="s">
        <v>4821</v>
      </c>
      <c r="G1207" s="1" t="s">
        <v>118</v>
      </c>
      <c r="H1207" s="2">
        <v>1</v>
      </c>
      <c r="I1207" s="2">
        <v>1</v>
      </c>
      <c r="J1207" s="2">
        <v>1</v>
      </c>
      <c r="K1207" s="2">
        <v>1</v>
      </c>
      <c r="L1207" s="3" t="s">
        <v>127</v>
      </c>
      <c r="O1207" s="4">
        <v>1</v>
      </c>
      <c r="P1207" s="4" t="s">
        <v>2704</v>
      </c>
      <c r="Q1207" s="4" t="s">
        <v>4928</v>
      </c>
      <c r="R1207" s="16">
        <v>77000000</v>
      </c>
      <c r="S1207" s="6">
        <v>77000000</v>
      </c>
      <c r="T1207" s="16">
        <v>77000000</v>
      </c>
      <c r="U1207" s="6">
        <v>77000000</v>
      </c>
      <c r="V1207" s="4">
        <v>2010.5</v>
      </c>
      <c r="W1207" s="4" t="s">
        <v>425</v>
      </c>
      <c r="X1207" s="4"/>
      <c r="Y1207" s="7">
        <v>1</v>
      </c>
      <c r="Z1207" s="8">
        <v>5858023</v>
      </c>
      <c r="AA1207" s="7" t="s">
        <v>92</v>
      </c>
      <c r="AB1207" s="7"/>
      <c r="AC1207" s="9">
        <v>2</v>
      </c>
      <c r="AD1207" s="10">
        <v>1413101</v>
      </c>
      <c r="AE1207" s="9" t="s">
        <v>92</v>
      </c>
      <c r="AF1207" s="9"/>
      <c r="AG1207" s="11">
        <v>2</v>
      </c>
      <c r="AH1207" s="11" t="s">
        <v>131</v>
      </c>
      <c r="AI1207" s="11" t="s">
        <v>4929</v>
      </c>
      <c r="AJ1207" s="11">
        <v>2</v>
      </c>
      <c r="AK1207" s="11" t="s">
        <v>143</v>
      </c>
      <c r="AL1207" s="12">
        <v>3</v>
      </c>
      <c r="AM1207" s="12" t="s">
        <v>131</v>
      </c>
      <c r="AN1207" s="12" t="s">
        <v>4930</v>
      </c>
      <c r="AO1207" s="12">
        <v>3</v>
      </c>
      <c r="AP1207" s="12" t="s">
        <v>143</v>
      </c>
      <c r="AQ1207" s="4">
        <v>4</v>
      </c>
      <c r="AR1207" s="4" t="s">
        <v>133</v>
      </c>
      <c r="AS1207" s="4"/>
      <c r="AT1207" s="13">
        <v>-29.737066268920898</v>
      </c>
      <c r="AU1207" s="13">
        <v>-0.69009995460510298</v>
      </c>
      <c r="AV1207" s="13">
        <v>-0.74999898672103904</v>
      </c>
      <c r="AW1207" s="13">
        <v>-0.60900002717971802</v>
      </c>
      <c r="AX1207" s="4">
        <v>1</v>
      </c>
      <c r="AY1207" s="13">
        <v>-12.9484643936157</v>
      </c>
      <c r="AZ1207" s="13">
        <v>-1.37867426872253</v>
      </c>
      <c r="BA1207" s="13">
        <v>-1.7300000190734901</v>
      </c>
      <c r="BB1207" s="13">
        <v>-1.09999799728394</v>
      </c>
      <c r="BC1207" s="4">
        <v>1</v>
      </c>
      <c r="BD1207" s="4">
        <v>10</v>
      </c>
      <c r="BE1207" s="4" t="s">
        <v>134</v>
      </c>
      <c r="BF1207" s="13">
        <v>0.14099900424480399</v>
      </c>
      <c r="BG1207" s="4">
        <v>2651.5</v>
      </c>
      <c r="BH1207" s="13">
        <v>9.6649999618530291</v>
      </c>
      <c r="BI1207" s="13">
        <v>25627.5859375</v>
      </c>
      <c r="BJ1207" s="4"/>
      <c r="BK1207" s="14">
        <v>8</v>
      </c>
      <c r="BL1207" s="14">
        <v>10</v>
      </c>
      <c r="BM1207" s="14">
        <v>10</v>
      </c>
      <c r="BP1207" s="15"/>
      <c r="BQ1207" s="15"/>
      <c r="BR1207" s="2" t="s">
        <v>239</v>
      </c>
      <c r="BS1207" s="2" t="s">
        <v>115</v>
      </c>
      <c r="BT1207" s="7" t="s">
        <v>241</v>
      </c>
      <c r="BU1207" s="7"/>
      <c r="BV1207" s="9" t="s">
        <v>458</v>
      </c>
      <c r="BW1207" s="9"/>
    </row>
    <row r="1208" spans="1:75" ht="14.25" customHeight="1" x14ac:dyDescent="0.25">
      <c r="A1208" s="1">
        <v>2094</v>
      </c>
      <c r="B1208" s="1" t="s">
        <v>4931</v>
      </c>
      <c r="C1208" s="1" t="s">
        <v>4932</v>
      </c>
      <c r="D1208" s="1" t="s">
        <v>77</v>
      </c>
      <c r="E1208" s="1" t="s">
        <v>2396</v>
      </c>
      <c r="F1208" s="1" t="s">
        <v>4821</v>
      </c>
      <c r="G1208" s="1" t="s">
        <v>118</v>
      </c>
      <c r="H1208" s="2">
        <v>0</v>
      </c>
      <c r="I1208" s="2">
        <v>0</v>
      </c>
      <c r="J1208" s="2">
        <v>1</v>
      </c>
      <c r="K1208" s="2">
        <v>0</v>
      </c>
      <c r="L1208" s="3" t="s">
        <v>80</v>
      </c>
      <c r="O1208" s="4">
        <v>5</v>
      </c>
      <c r="P1208" s="4" t="s">
        <v>112</v>
      </c>
      <c r="Q1208" s="4"/>
      <c r="R1208" s="5"/>
      <c r="S1208" s="6"/>
      <c r="T1208" s="17"/>
      <c r="U1208" s="6"/>
      <c r="V1208" s="4"/>
      <c r="W1208" s="4"/>
      <c r="X1208" s="4"/>
      <c r="Y1208" s="7">
        <v>5</v>
      </c>
      <c r="Z1208" s="8">
        <v>7425</v>
      </c>
      <c r="AA1208" s="7" t="s">
        <v>92</v>
      </c>
      <c r="AB1208" s="7"/>
      <c r="AC1208" s="9">
        <v>5</v>
      </c>
      <c r="AD1208" s="10">
        <v>7425</v>
      </c>
      <c r="AE1208" s="9" t="s">
        <v>92</v>
      </c>
      <c r="AF1208" s="9"/>
      <c r="AG1208" s="11">
        <v>4</v>
      </c>
      <c r="AH1208" s="11" t="s">
        <v>93</v>
      </c>
      <c r="AI1208" s="11"/>
      <c r="AJ1208" s="11"/>
      <c r="AK1208" s="11"/>
      <c r="AL1208" s="12">
        <v>4</v>
      </c>
      <c r="AM1208" s="12" t="s">
        <v>93</v>
      </c>
      <c r="AN1208" s="12" t="s">
        <v>4933</v>
      </c>
      <c r="AO1208" s="12"/>
      <c r="AP1208" s="12"/>
      <c r="AQ1208" s="4">
        <v>5</v>
      </c>
      <c r="AR1208" s="4" t="s">
        <v>441</v>
      </c>
      <c r="AS1208" s="4" t="s">
        <v>4934</v>
      </c>
      <c r="AT1208" s="13"/>
      <c r="AU1208" s="13"/>
      <c r="AV1208" s="13"/>
      <c r="AW1208" s="13"/>
      <c r="AX1208" s="4"/>
      <c r="AY1208" s="13"/>
      <c r="AZ1208" s="13"/>
      <c r="BA1208" s="13"/>
      <c r="BB1208" s="13"/>
      <c r="BC1208" s="4"/>
      <c r="BD1208" s="4"/>
      <c r="BE1208" s="4"/>
      <c r="BF1208" s="13"/>
      <c r="BG1208" s="4"/>
      <c r="BH1208" s="13"/>
      <c r="BI1208" s="13"/>
      <c r="BJ1208" s="4"/>
      <c r="BK1208" s="14">
        <v>19</v>
      </c>
      <c r="BL1208" s="14">
        <v>19</v>
      </c>
      <c r="BM1208" s="14">
        <v>19</v>
      </c>
      <c r="BN1208" s="3" t="s">
        <v>312</v>
      </c>
      <c r="BO1208" s="3" t="s">
        <v>120</v>
      </c>
      <c r="BP1208" s="15"/>
      <c r="BQ1208" s="15"/>
      <c r="BR1208" s="2" t="s">
        <v>108</v>
      </c>
      <c r="BS1208" s="2" t="s">
        <v>108</v>
      </c>
      <c r="BT1208" s="7" t="s">
        <v>109</v>
      </c>
      <c r="BU1208" s="7"/>
      <c r="BV1208" s="9" t="s">
        <v>109</v>
      </c>
      <c r="BW1208" s="9"/>
    </row>
    <row r="1209" spans="1:75" ht="14.25" customHeight="1" x14ac:dyDescent="0.25">
      <c r="A1209" s="1">
        <v>2095</v>
      </c>
      <c r="B1209" s="1" t="s">
        <v>4935</v>
      </c>
      <c r="C1209" s="1" t="s">
        <v>4936</v>
      </c>
      <c r="D1209" s="1" t="s">
        <v>77</v>
      </c>
      <c r="E1209" s="1" t="s">
        <v>2396</v>
      </c>
      <c r="F1209" s="1" t="s">
        <v>4821</v>
      </c>
      <c r="G1209" s="1"/>
      <c r="H1209" s="2">
        <v>0</v>
      </c>
      <c r="I1209" s="2">
        <v>0</v>
      </c>
      <c r="J1209" s="2">
        <v>1</v>
      </c>
      <c r="K1209" s="2">
        <v>0</v>
      </c>
      <c r="L1209" s="3" t="s">
        <v>80</v>
      </c>
      <c r="O1209" s="4">
        <v>4</v>
      </c>
      <c r="P1209" s="4" t="s">
        <v>112</v>
      </c>
      <c r="Q1209" s="4"/>
      <c r="R1209" s="5"/>
      <c r="S1209" s="6"/>
      <c r="T1209" s="17"/>
      <c r="U1209" s="6"/>
      <c r="V1209" s="4"/>
      <c r="W1209" s="4"/>
      <c r="X1209" s="4"/>
      <c r="Y1209" s="7">
        <v>4</v>
      </c>
      <c r="Z1209" s="8">
        <v>141013</v>
      </c>
      <c r="AA1209" s="7" t="s">
        <v>92</v>
      </c>
      <c r="AB1209" s="7"/>
      <c r="AC1209" s="9">
        <v>4</v>
      </c>
      <c r="AD1209" s="10">
        <v>141013</v>
      </c>
      <c r="AE1209" s="9" t="s">
        <v>92</v>
      </c>
      <c r="AF1209" s="9"/>
      <c r="AG1209" s="11">
        <v>3</v>
      </c>
      <c r="AH1209" s="11" t="s">
        <v>93</v>
      </c>
      <c r="AI1209" s="11"/>
      <c r="AJ1209" s="11"/>
      <c r="AK1209" s="11"/>
      <c r="AL1209" s="12">
        <v>3</v>
      </c>
      <c r="AM1209" s="12" t="s">
        <v>93</v>
      </c>
      <c r="AN1209" s="12" t="s">
        <v>2371</v>
      </c>
      <c r="AO1209" s="12"/>
      <c r="AP1209" s="12"/>
      <c r="AQ1209" s="4">
        <v>4</v>
      </c>
      <c r="AR1209" s="4" t="s">
        <v>441</v>
      </c>
      <c r="AS1209" s="4" t="s">
        <v>999</v>
      </c>
      <c r="AT1209" s="13"/>
      <c r="AU1209" s="13"/>
      <c r="AV1209" s="13"/>
      <c r="AW1209" s="13"/>
      <c r="AX1209" s="4"/>
      <c r="AY1209" s="13"/>
      <c r="AZ1209" s="13"/>
      <c r="BA1209" s="13"/>
      <c r="BB1209" s="13"/>
      <c r="BC1209" s="4"/>
      <c r="BD1209" s="4"/>
      <c r="BE1209" s="4"/>
      <c r="BF1209" s="13"/>
      <c r="BG1209" s="4"/>
      <c r="BH1209" s="13"/>
      <c r="BI1209" s="13"/>
      <c r="BJ1209" s="4"/>
      <c r="BK1209" s="14">
        <v>15</v>
      </c>
      <c r="BL1209" s="14">
        <v>15</v>
      </c>
      <c r="BM1209" s="14">
        <v>15</v>
      </c>
      <c r="BN1209" s="3" t="s">
        <v>86</v>
      </c>
      <c r="BP1209" s="15"/>
      <c r="BQ1209" s="15"/>
      <c r="BR1209" s="2" t="s">
        <v>108</v>
      </c>
      <c r="BS1209" s="2" t="s">
        <v>108</v>
      </c>
      <c r="BT1209" s="7" t="s">
        <v>109</v>
      </c>
      <c r="BU1209" s="7"/>
      <c r="BV1209" s="9" t="s">
        <v>109</v>
      </c>
      <c r="BW1209" s="9"/>
    </row>
    <row r="1210" spans="1:75" ht="14.25" customHeight="1" x14ac:dyDescent="0.25">
      <c r="A1210" s="1">
        <v>2096</v>
      </c>
      <c r="B1210" s="1" t="s">
        <v>4937</v>
      </c>
      <c r="C1210" s="1" t="s">
        <v>4938</v>
      </c>
      <c r="D1210" s="1" t="s">
        <v>77</v>
      </c>
      <c r="E1210" s="1" t="s">
        <v>2396</v>
      </c>
      <c r="F1210" s="1" t="s">
        <v>4821</v>
      </c>
      <c r="G1210" s="1"/>
      <c r="H1210" s="2">
        <v>0</v>
      </c>
      <c r="I1210" s="2">
        <v>1</v>
      </c>
      <c r="J1210" s="2">
        <v>1</v>
      </c>
      <c r="K1210" s="2">
        <v>1</v>
      </c>
      <c r="L1210" s="3" t="s">
        <v>127</v>
      </c>
      <c r="O1210" s="4">
        <v>4</v>
      </c>
      <c r="P1210" s="4" t="s">
        <v>470</v>
      </c>
      <c r="Q1210" s="4" t="s">
        <v>4939</v>
      </c>
      <c r="R1210" s="16">
        <v>360000</v>
      </c>
      <c r="S1210" s="6">
        <v>360000</v>
      </c>
      <c r="T1210" s="16">
        <v>69000</v>
      </c>
      <c r="U1210" s="6">
        <v>69000</v>
      </c>
      <c r="V1210" s="4">
        <v>2010.5</v>
      </c>
      <c r="W1210" s="4" t="s">
        <v>425</v>
      </c>
      <c r="X1210" s="4"/>
      <c r="Y1210" s="7">
        <v>2</v>
      </c>
      <c r="Z1210" s="8">
        <v>1376521</v>
      </c>
      <c r="AA1210" s="7" t="s">
        <v>92</v>
      </c>
      <c r="AB1210" s="7"/>
      <c r="AC1210" s="9">
        <v>3</v>
      </c>
      <c r="AD1210" s="10">
        <v>662522</v>
      </c>
      <c r="AE1210" s="9" t="s">
        <v>92</v>
      </c>
      <c r="AF1210" s="9"/>
      <c r="AG1210" s="11">
        <v>3</v>
      </c>
      <c r="AH1210" s="11" t="s">
        <v>131</v>
      </c>
      <c r="AI1210" s="11" t="s">
        <v>4940</v>
      </c>
      <c r="AJ1210" s="11">
        <v>2</v>
      </c>
      <c r="AK1210" s="11" t="s">
        <v>132</v>
      </c>
      <c r="AL1210" s="12">
        <v>3</v>
      </c>
      <c r="AM1210" s="12" t="s">
        <v>131</v>
      </c>
      <c r="AN1210" s="12" t="s">
        <v>4941</v>
      </c>
      <c r="AO1210" s="12">
        <v>2</v>
      </c>
      <c r="AP1210" s="12" t="s">
        <v>132</v>
      </c>
      <c r="AQ1210" s="4">
        <v>4</v>
      </c>
      <c r="AR1210" s="4" t="s">
        <v>93</v>
      </c>
      <c r="AS1210" s="4"/>
      <c r="AT1210" s="13"/>
      <c r="AU1210" s="13"/>
      <c r="AV1210" s="13"/>
      <c r="AW1210" s="13"/>
      <c r="AX1210" s="4"/>
      <c r="AY1210" s="13"/>
      <c r="AZ1210" s="13"/>
      <c r="BA1210" s="13"/>
      <c r="BB1210" s="13"/>
      <c r="BC1210" s="4"/>
      <c r="BD1210" s="4"/>
      <c r="BE1210" s="4"/>
      <c r="BF1210" s="13"/>
      <c r="BG1210" s="4"/>
      <c r="BH1210" s="13"/>
      <c r="BI1210" s="13"/>
      <c r="BJ1210" s="4"/>
      <c r="BK1210" s="14">
        <v>13</v>
      </c>
      <c r="BL1210" s="14">
        <v>14</v>
      </c>
      <c r="BM1210" s="14">
        <v>14</v>
      </c>
      <c r="BN1210" s="3" t="s">
        <v>86</v>
      </c>
      <c r="BP1210" s="15"/>
      <c r="BQ1210" s="15"/>
      <c r="BR1210" s="2" t="s">
        <v>297</v>
      </c>
      <c r="BS1210" s="2" t="s">
        <v>108</v>
      </c>
      <c r="BT1210" s="7" t="s">
        <v>109</v>
      </c>
      <c r="BU1210" s="7" t="s">
        <v>475</v>
      </c>
      <c r="BV1210" s="9" t="s">
        <v>109</v>
      </c>
      <c r="BW1210" s="9"/>
    </row>
    <row r="1211" spans="1:75" ht="14.25" customHeight="1" x14ac:dyDescent="0.25">
      <c r="A1211" s="1">
        <v>2097</v>
      </c>
      <c r="B1211" s="1" t="s">
        <v>4942</v>
      </c>
      <c r="C1211" s="1" t="s">
        <v>4943</v>
      </c>
      <c r="D1211" s="1" t="s">
        <v>77</v>
      </c>
      <c r="E1211" s="1" t="s">
        <v>2396</v>
      </c>
      <c r="F1211" s="1" t="s">
        <v>4821</v>
      </c>
      <c r="G1211" s="1"/>
      <c r="H1211" s="2">
        <v>0</v>
      </c>
      <c r="I1211" s="2">
        <v>1</v>
      </c>
      <c r="J1211" s="2">
        <v>1</v>
      </c>
      <c r="K1211" s="2">
        <v>1</v>
      </c>
      <c r="L1211" s="3" t="s">
        <v>127</v>
      </c>
      <c r="O1211" s="4">
        <v>2</v>
      </c>
      <c r="P1211" s="4" t="s">
        <v>424</v>
      </c>
      <c r="Q1211" s="4"/>
      <c r="R1211" s="16">
        <v>15000000</v>
      </c>
      <c r="S1211" s="6">
        <v>15000000</v>
      </c>
      <c r="T1211" s="16">
        <v>13000000</v>
      </c>
      <c r="U1211" s="6">
        <v>13000000</v>
      </c>
      <c r="V1211" s="4">
        <v>2010.5</v>
      </c>
      <c r="W1211" s="4" t="s">
        <v>425</v>
      </c>
      <c r="X1211" s="4"/>
      <c r="Y1211" s="7">
        <v>2</v>
      </c>
      <c r="Z1211" s="8">
        <v>1411246</v>
      </c>
      <c r="AA1211" s="7" t="s">
        <v>92</v>
      </c>
      <c r="AB1211" s="7"/>
      <c r="AC1211" s="9">
        <v>2</v>
      </c>
      <c r="AD1211" s="10">
        <v>1207752</v>
      </c>
      <c r="AE1211" s="9" t="s">
        <v>92</v>
      </c>
      <c r="AF1211" s="9"/>
      <c r="AG1211" s="11">
        <v>3</v>
      </c>
      <c r="AH1211" s="11" t="s">
        <v>131</v>
      </c>
      <c r="AI1211" s="11" t="s">
        <v>4944</v>
      </c>
      <c r="AJ1211" s="11">
        <v>1</v>
      </c>
      <c r="AK1211" s="11" t="s">
        <v>132</v>
      </c>
      <c r="AL1211" s="12">
        <v>4</v>
      </c>
      <c r="AM1211" s="12" t="s">
        <v>131</v>
      </c>
      <c r="AN1211" s="12" t="s">
        <v>4945</v>
      </c>
      <c r="AO1211" s="12">
        <v>2</v>
      </c>
      <c r="AP1211" s="12" t="s">
        <v>143</v>
      </c>
      <c r="AQ1211" s="4">
        <v>2</v>
      </c>
      <c r="AR1211" s="4" t="s">
        <v>133</v>
      </c>
      <c r="AS1211" s="4"/>
      <c r="AT1211" s="13">
        <v>0.40143826603889499</v>
      </c>
      <c r="AU1211" s="13">
        <v>7.4908756650984296E-3</v>
      </c>
      <c r="AV1211" s="13">
        <v>-0.66500002145767201</v>
      </c>
      <c r="AW1211" s="13">
        <v>0.65369600057601895</v>
      </c>
      <c r="AX1211" s="4"/>
      <c r="AY1211" s="13">
        <v>11.3868923187256</v>
      </c>
      <c r="AZ1211" s="13">
        <v>1.0801470279693599</v>
      </c>
      <c r="BA1211" s="13">
        <v>0.26399999856948902</v>
      </c>
      <c r="BB1211" s="13">
        <v>1.87999999523163</v>
      </c>
      <c r="BC1211" s="4">
        <v>1</v>
      </c>
      <c r="BD1211" s="4">
        <v>10</v>
      </c>
      <c r="BE1211" s="4" t="s">
        <v>134</v>
      </c>
      <c r="BF1211" s="13">
        <v>1.3186960220336901</v>
      </c>
      <c r="BG1211" s="4">
        <v>530</v>
      </c>
      <c r="BH1211" s="13">
        <v>6.4749999046325701</v>
      </c>
      <c r="BI1211" s="13">
        <v>3430.92504882813</v>
      </c>
      <c r="BJ1211" s="4"/>
      <c r="BK1211" s="14">
        <v>9</v>
      </c>
      <c r="BL1211" s="14">
        <v>10</v>
      </c>
      <c r="BM1211" s="14">
        <v>10</v>
      </c>
      <c r="BP1211" s="15"/>
      <c r="BQ1211" s="15"/>
      <c r="BR1211" s="2" t="s">
        <v>239</v>
      </c>
      <c r="BS1211" s="2" t="s">
        <v>400</v>
      </c>
      <c r="BT1211" s="7" t="s">
        <v>241</v>
      </c>
      <c r="BU1211" s="7" t="s">
        <v>109</v>
      </c>
      <c r="BV1211" s="9" t="s">
        <v>458</v>
      </c>
      <c r="BW1211" s="9"/>
    </row>
    <row r="1212" spans="1:75" ht="14.25" customHeight="1" x14ac:dyDescent="0.25">
      <c r="A1212" s="1">
        <v>2098</v>
      </c>
      <c r="B1212" s="1" t="s">
        <v>4946</v>
      </c>
      <c r="C1212" s="1" t="s">
        <v>4947</v>
      </c>
      <c r="D1212" s="1" t="s">
        <v>77</v>
      </c>
      <c r="E1212" s="1" t="s">
        <v>2396</v>
      </c>
      <c r="F1212" s="1" t="s">
        <v>4821</v>
      </c>
      <c r="G1212" s="1" t="s">
        <v>118</v>
      </c>
      <c r="H1212" s="2">
        <v>1</v>
      </c>
      <c r="I1212" s="2">
        <v>1</v>
      </c>
      <c r="J1212" s="2">
        <v>1</v>
      </c>
      <c r="K1212" s="2">
        <v>1</v>
      </c>
      <c r="L1212" s="3" t="s">
        <v>127</v>
      </c>
      <c r="O1212" s="4">
        <v>2</v>
      </c>
      <c r="P1212" s="4" t="s">
        <v>424</v>
      </c>
      <c r="Q1212" s="4"/>
      <c r="R1212" s="16">
        <v>28000000</v>
      </c>
      <c r="S1212" s="6">
        <v>28000000</v>
      </c>
      <c r="T1212" s="16">
        <v>28000000</v>
      </c>
      <c r="U1212" s="6">
        <v>28000000</v>
      </c>
      <c r="V1212" s="4">
        <v>2010.5</v>
      </c>
      <c r="W1212" s="4" t="s">
        <v>425</v>
      </c>
      <c r="X1212" s="4"/>
      <c r="Y1212" s="7">
        <v>2</v>
      </c>
      <c r="Z1212" s="8">
        <v>3458339</v>
      </c>
      <c r="AA1212" s="7" t="s">
        <v>92</v>
      </c>
      <c r="AB1212" s="7"/>
      <c r="AC1212" s="9">
        <v>2</v>
      </c>
      <c r="AD1212" s="10">
        <v>1074777</v>
      </c>
      <c r="AE1212" s="9" t="s">
        <v>92</v>
      </c>
      <c r="AF1212" s="9" t="s">
        <v>4948</v>
      </c>
      <c r="AG1212" s="11">
        <v>3</v>
      </c>
      <c r="AH1212" s="11" t="s">
        <v>131</v>
      </c>
      <c r="AI1212" s="11" t="s">
        <v>4949</v>
      </c>
      <c r="AJ1212" s="11">
        <v>1</v>
      </c>
      <c r="AK1212" s="11" t="s">
        <v>132</v>
      </c>
      <c r="AL1212" s="12">
        <v>4</v>
      </c>
      <c r="AM1212" s="12" t="s">
        <v>131</v>
      </c>
      <c r="AN1212" s="12" t="s">
        <v>4950</v>
      </c>
      <c r="AO1212" s="12">
        <v>1</v>
      </c>
      <c r="AP1212" s="12" t="s">
        <v>132</v>
      </c>
      <c r="AQ1212" s="4">
        <v>2</v>
      </c>
      <c r="AR1212" s="4" t="s">
        <v>133</v>
      </c>
      <c r="AS1212" s="4"/>
      <c r="AT1212" s="13">
        <v>-5.13793992996216</v>
      </c>
      <c r="AU1212" s="13">
        <v>-0.103490203619003</v>
      </c>
      <c r="AV1212" s="13">
        <v>-0.57700002193450906</v>
      </c>
      <c r="AW1212" s="13">
        <v>0.234496995806694</v>
      </c>
      <c r="AX1212" s="4"/>
      <c r="AY1212" s="13">
        <v>24.2541313171387</v>
      </c>
      <c r="AZ1212" s="13">
        <v>2.1968939304351802</v>
      </c>
      <c r="BA1212" s="13">
        <v>0.86900001764297496</v>
      </c>
      <c r="BB1212" s="13">
        <v>3.2438039779663099</v>
      </c>
      <c r="BC1212" s="4">
        <v>1</v>
      </c>
      <c r="BD1212" s="4">
        <v>10</v>
      </c>
      <c r="BE1212" s="4" t="s">
        <v>134</v>
      </c>
      <c r="BF1212" s="13">
        <v>0.81149697303771995</v>
      </c>
      <c r="BG1212" s="4">
        <v>1396</v>
      </c>
      <c r="BH1212" s="13">
        <v>20.555000305175799</v>
      </c>
      <c r="BI1212" s="13">
        <v>28688.92578125</v>
      </c>
      <c r="BJ1212" s="4"/>
      <c r="BK1212" s="14">
        <v>9</v>
      </c>
      <c r="BL1212" s="14">
        <v>10</v>
      </c>
      <c r="BM1212" s="14">
        <v>10</v>
      </c>
      <c r="BP1212" s="15"/>
      <c r="BQ1212" s="15" t="s">
        <v>146</v>
      </c>
      <c r="BR1212" s="2" t="s">
        <v>457</v>
      </c>
      <c r="BS1212" s="2" t="s">
        <v>740</v>
      </c>
      <c r="BT1212" s="7" t="s">
        <v>585</v>
      </c>
      <c r="BU1212" s="7"/>
      <c r="BV1212" s="9" t="s">
        <v>463</v>
      </c>
      <c r="BW1212" s="9"/>
    </row>
    <row r="1213" spans="1:75" ht="14.25" customHeight="1" x14ac:dyDescent="0.25">
      <c r="A1213" s="1">
        <v>2099</v>
      </c>
      <c r="B1213" s="1" t="s">
        <v>4951</v>
      </c>
      <c r="C1213" s="1" t="s">
        <v>4952</v>
      </c>
      <c r="D1213" s="1" t="s">
        <v>77</v>
      </c>
      <c r="E1213" s="1" t="s">
        <v>2396</v>
      </c>
      <c r="F1213" s="1" t="s">
        <v>4953</v>
      </c>
      <c r="G1213" s="1"/>
      <c r="H1213" s="2">
        <v>0</v>
      </c>
      <c r="I1213" s="2">
        <v>0</v>
      </c>
      <c r="J1213" s="2">
        <v>0</v>
      </c>
      <c r="K1213" s="2">
        <v>1</v>
      </c>
      <c r="L1213" s="3" t="s">
        <v>80</v>
      </c>
      <c r="O1213" s="4">
        <v>4</v>
      </c>
      <c r="P1213" s="4" t="s">
        <v>81</v>
      </c>
      <c r="Q1213" s="4"/>
      <c r="R1213" s="5"/>
      <c r="S1213" s="6"/>
      <c r="T1213" s="17"/>
      <c r="U1213" s="6"/>
      <c r="V1213" s="4"/>
      <c r="W1213" s="4"/>
      <c r="X1213" s="4"/>
      <c r="Y1213" s="7">
        <v>4</v>
      </c>
      <c r="Z1213" s="8">
        <v>167445</v>
      </c>
      <c r="AA1213" s="7" t="s">
        <v>82</v>
      </c>
      <c r="AB1213" s="7"/>
      <c r="AC1213" s="9">
        <v>4</v>
      </c>
      <c r="AD1213" s="10">
        <v>167445</v>
      </c>
      <c r="AE1213" s="9" t="s">
        <v>82</v>
      </c>
      <c r="AF1213" s="9"/>
      <c r="AG1213" s="11">
        <v>3</v>
      </c>
      <c r="AH1213" s="11" t="s">
        <v>83</v>
      </c>
      <c r="AI1213" s="11"/>
      <c r="AJ1213" s="11"/>
      <c r="AK1213" s="11"/>
      <c r="AL1213" s="12">
        <v>3</v>
      </c>
      <c r="AM1213" s="12" t="s">
        <v>83</v>
      </c>
      <c r="AN1213" s="12"/>
      <c r="AO1213" s="12"/>
      <c r="AP1213" s="12"/>
      <c r="AQ1213" s="4">
        <v>3</v>
      </c>
      <c r="AR1213" s="4" t="s">
        <v>83</v>
      </c>
      <c r="AS1213" s="4"/>
      <c r="AT1213" s="13"/>
      <c r="AU1213" s="13"/>
      <c r="AV1213" s="13"/>
      <c r="AW1213" s="13"/>
      <c r="AX1213" s="4"/>
      <c r="AY1213" s="13"/>
      <c r="AZ1213" s="13"/>
      <c r="BA1213" s="13"/>
      <c r="BB1213" s="13"/>
      <c r="BC1213" s="4"/>
      <c r="BD1213" s="4"/>
      <c r="BE1213" s="4"/>
      <c r="BF1213" s="13"/>
      <c r="BG1213" s="4"/>
      <c r="BH1213" s="13"/>
      <c r="BI1213" s="13"/>
      <c r="BJ1213" s="4"/>
      <c r="BK1213" s="14">
        <v>14</v>
      </c>
      <c r="BL1213" s="14">
        <v>14</v>
      </c>
      <c r="BM1213" s="14">
        <v>14</v>
      </c>
      <c r="BN1213" s="3" t="s">
        <v>86</v>
      </c>
      <c r="BP1213" s="15"/>
      <c r="BQ1213" s="15"/>
      <c r="BR1213" s="2" t="s">
        <v>121</v>
      </c>
      <c r="BS1213" s="2" t="s">
        <v>121</v>
      </c>
      <c r="BT1213" s="7" t="s">
        <v>98</v>
      </c>
      <c r="BU1213" s="7"/>
      <c r="BV1213" s="9" t="s">
        <v>98</v>
      </c>
      <c r="BW1213" s="9"/>
    </row>
    <row r="1214" spans="1:75" ht="14.25" customHeight="1" x14ac:dyDescent="0.25">
      <c r="A1214" s="1">
        <v>2100</v>
      </c>
      <c r="B1214" s="1" t="s">
        <v>4954</v>
      </c>
      <c r="C1214" s="1" t="s">
        <v>4955</v>
      </c>
      <c r="D1214" s="1" t="s">
        <v>77</v>
      </c>
      <c r="E1214" s="1" t="s">
        <v>2396</v>
      </c>
      <c r="F1214" s="1" t="s">
        <v>4956</v>
      </c>
      <c r="G1214" s="1"/>
      <c r="H1214" s="2">
        <v>0</v>
      </c>
      <c r="I1214" s="2">
        <v>0</v>
      </c>
      <c r="J1214" s="2">
        <v>0</v>
      </c>
      <c r="K1214" s="2">
        <v>1</v>
      </c>
      <c r="L1214" s="3" t="s">
        <v>80</v>
      </c>
      <c r="O1214" s="4">
        <v>5</v>
      </c>
      <c r="P1214" s="4" t="s">
        <v>81</v>
      </c>
      <c r="Q1214" s="4"/>
      <c r="R1214" s="5"/>
      <c r="S1214" s="6"/>
      <c r="T1214" s="17"/>
      <c r="U1214" s="6"/>
      <c r="V1214" s="4"/>
      <c r="W1214" s="4"/>
      <c r="X1214" s="4"/>
      <c r="Y1214" s="7">
        <v>5</v>
      </c>
      <c r="Z1214" s="8">
        <v>8980</v>
      </c>
      <c r="AA1214" s="7" t="s">
        <v>82</v>
      </c>
      <c r="AB1214" s="7"/>
      <c r="AC1214" s="9">
        <v>5</v>
      </c>
      <c r="AD1214" s="10">
        <v>8980</v>
      </c>
      <c r="AE1214" s="9" t="s">
        <v>82</v>
      </c>
      <c r="AF1214" s="9"/>
      <c r="AG1214" s="11">
        <v>4</v>
      </c>
      <c r="AH1214" s="11" t="s">
        <v>83</v>
      </c>
      <c r="AI1214" s="11" t="s">
        <v>4957</v>
      </c>
      <c r="AJ1214" s="11"/>
      <c r="AK1214" s="11"/>
      <c r="AL1214" s="12">
        <v>4</v>
      </c>
      <c r="AM1214" s="12" t="s">
        <v>83</v>
      </c>
      <c r="AN1214" s="12"/>
      <c r="AO1214" s="12"/>
      <c r="AP1214" s="12"/>
      <c r="AQ1214" s="4">
        <v>4</v>
      </c>
      <c r="AR1214" s="4" t="s">
        <v>83</v>
      </c>
      <c r="AS1214" s="4"/>
      <c r="AT1214" s="13"/>
      <c r="AU1214" s="13"/>
      <c r="AV1214" s="13"/>
      <c r="AW1214" s="13"/>
      <c r="AX1214" s="4"/>
      <c r="AY1214" s="13"/>
      <c r="AZ1214" s="13"/>
      <c r="BA1214" s="13"/>
      <c r="BB1214" s="13"/>
      <c r="BC1214" s="4"/>
      <c r="BD1214" s="4"/>
      <c r="BE1214" s="4"/>
      <c r="BF1214" s="13"/>
      <c r="BG1214" s="4"/>
      <c r="BH1214" s="13"/>
      <c r="BI1214" s="13"/>
      <c r="BJ1214" s="4"/>
      <c r="BK1214" s="14">
        <v>18</v>
      </c>
      <c r="BL1214" s="14">
        <v>18</v>
      </c>
      <c r="BM1214" s="14">
        <v>18</v>
      </c>
      <c r="BN1214" s="3" t="s">
        <v>312</v>
      </c>
      <c r="BO1214" s="3" t="s">
        <v>120</v>
      </c>
      <c r="BP1214" s="15"/>
      <c r="BQ1214" s="15"/>
      <c r="BR1214" s="2" t="s">
        <v>87</v>
      </c>
      <c r="BS1214" s="2" t="s">
        <v>87</v>
      </c>
      <c r="BT1214" s="7" t="s">
        <v>88</v>
      </c>
      <c r="BU1214" s="7"/>
      <c r="BV1214" s="9" t="s">
        <v>88</v>
      </c>
      <c r="BW1214" s="9"/>
    </row>
    <row r="1215" spans="1:75" ht="14.25" customHeight="1" x14ac:dyDescent="0.25">
      <c r="A1215" s="1">
        <v>2103</v>
      </c>
      <c r="B1215" s="1" t="s">
        <v>4958</v>
      </c>
      <c r="C1215" s="1" t="s">
        <v>4959</v>
      </c>
      <c r="D1215" s="1" t="s">
        <v>77</v>
      </c>
      <c r="E1215" s="1" t="s">
        <v>2396</v>
      </c>
      <c r="F1215" s="1" t="s">
        <v>4956</v>
      </c>
      <c r="G1215" s="1" t="s">
        <v>4960</v>
      </c>
      <c r="H1215" s="2">
        <v>0</v>
      </c>
      <c r="I1215" s="2">
        <v>0</v>
      </c>
      <c r="J1215" s="2">
        <v>0</v>
      </c>
      <c r="K1215" s="2">
        <v>1</v>
      </c>
      <c r="L1215" s="3" t="s">
        <v>80</v>
      </c>
      <c r="O1215" s="4">
        <v>3</v>
      </c>
      <c r="P1215" s="4" t="s">
        <v>81</v>
      </c>
      <c r="Q1215" s="4"/>
      <c r="R1215" s="5"/>
      <c r="S1215" s="6"/>
      <c r="T1215" s="17"/>
      <c r="U1215" s="6"/>
      <c r="V1215" s="4"/>
      <c r="W1215" s="4"/>
      <c r="X1215" s="4"/>
      <c r="Y1215" s="7">
        <v>3</v>
      </c>
      <c r="Z1215" s="8">
        <v>367091</v>
      </c>
      <c r="AA1215" s="7" t="s">
        <v>82</v>
      </c>
      <c r="AB1215" s="7"/>
      <c r="AC1215" s="9">
        <v>3</v>
      </c>
      <c r="AD1215" s="10">
        <v>367091</v>
      </c>
      <c r="AE1215" s="9" t="s">
        <v>82</v>
      </c>
      <c r="AF1215" s="9"/>
      <c r="AG1215" s="11">
        <v>3</v>
      </c>
      <c r="AH1215" s="11" t="s">
        <v>83</v>
      </c>
      <c r="AI1215" s="11"/>
      <c r="AJ1215" s="11"/>
      <c r="AK1215" s="11"/>
      <c r="AL1215" s="12">
        <v>3</v>
      </c>
      <c r="AM1215" s="12" t="s">
        <v>83</v>
      </c>
      <c r="AN1215" s="12"/>
      <c r="AO1215" s="12"/>
      <c r="AP1215" s="12"/>
      <c r="AQ1215" s="4">
        <v>3</v>
      </c>
      <c r="AR1215" s="4" t="s">
        <v>83</v>
      </c>
      <c r="AS1215" s="4"/>
      <c r="AT1215" s="13"/>
      <c r="AU1215" s="13"/>
      <c r="AV1215" s="13"/>
      <c r="AW1215" s="13"/>
      <c r="AX1215" s="4"/>
      <c r="AY1215" s="13"/>
      <c r="AZ1215" s="13"/>
      <c r="BA1215" s="13"/>
      <c r="BB1215" s="13"/>
      <c r="BC1215" s="4"/>
      <c r="BD1215" s="4"/>
      <c r="BE1215" s="4"/>
      <c r="BF1215" s="13"/>
      <c r="BG1215" s="4"/>
      <c r="BH1215" s="13"/>
      <c r="BI1215" s="13"/>
      <c r="BJ1215" s="4"/>
      <c r="BK1215" s="14">
        <v>12</v>
      </c>
      <c r="BL1215" s="14">
        <v>12</v>
      </c>
      <c r="BM1215" s="14">
        <v>12</v>
      </c>
      <c r="BP1215" s="15"/>
      <c r="BQ1215" s="15"/>
      <c r="BR1215" s="2" t="s">
        <v>87</v>
      </c>
      <c r="BS1215" s="2" t="s">
        <v>87</v>
      </c>
      <c r="BT1215" s="7" t="s">
        <v>88</v>
      </c>
      <c r="BU1215" s="7"/>
      <c r="BV1215" s="9" t="s">
        <v>88</v>
      </c>
      <c r="BW1215" s="9"/>
    </row>
    <row r="1216" spans="1:75" ht="14.25" customHeight="1" x14ac:dyDescent="0.25">
      <c r="A1216" s="1">
        <v>2104</v>
      </c>
      <c r="B1216" s="1" t="s">
        <v>4961</v>
      </c>
      <c r="C1216" s="1" t="s">
        <v>4962</v>
      </c>
      <c r="D1216" s="1" t="s">
        <v>77</v>
      </c>
      <c r="E1216" s="1" t="s">
        <v>2396</v>
      </c>
      <c r="F1216" s="1" t="s">
        <v>4956</v>
      </c>
      <c r="G1216" s="1" t="s">
        <v>4963</v>
      </c>
      <c r="H1216" s="2">
        <v>0</v>
      </c>
      <c r="I1216" s="2">
        <v>0</v>
      </c>
      <c r="J1216" s="2">
        <v>0</v>
      </c>
      <c r="K1216" s="2">
        <v>1</v>
      </c>
      <c r="L1216" s="3" t="s">
        <v>80</v>
      </c>
      <c r="O1216" s="4">
        <v>5</v>
      </c>
      <c r="P1216" s="4" t="s">
        <v>81</v>
      </c>
      <c r="Q1216" s="4"/>
      <c r="R1216" s="5"/>
      <c r="S1216" s="6"/>
      <c r="T1216" s="17"/>
      <c r="U1216" s="6"/>
      <c r="V1216" s="4"/>
      <c r="W1216" s="4"/>
      <c r="X1216" s="4"/>
      <c r="Y1216" s="7">
        <v>5</v>
      </c>
      <c r="Z1216" s="8">
        <v>42951</v>
      </c>
      <c r="AA1216" s="7" t="s">
        <v>82</v>
      </c>
      <c r="AB1216" s="7"/>
      <c r="AC1216" s="9">
        <v>5</v>
      </c>
      <c r="AD1216" s="10">
        <v>42951</v>
      </c>
      <c r="AE1216" s="9" t="s">
        <v>82</v>
      </c>
      <c r="AF1216" s="9"/>
      <c r="AG1216" s="11">
        <v>3</v>
      </c>
      <c r="AH1216" s="11" t="s">
        <v>83</v>
      </c>
      <c r="AI1216" s="11"/>
      <c r="AJ1216" s="11"/>
      <c r="AK1216" s="11"/>
      <c r="AL1216" s="12">
        <v>3</v>
      </c>
      <c r="AM1216" s="12" t="s">
        <v>83</v>
      </c>
      <c r="AN1216" s="12"/>
      <c r="AO1216" s="12"/>
      <c r="AP1216" s="12"/>
      <c r="AQ1216" s="4">
        <v>3</v>
      </c>
      <c r="AR1216" s="4" t="s">
        <v>83</v>
      </c>
      <c r="AS1216" s="4"/>
      <c r="AT1216" s="13"/>
      <c r="AU1216" s="13"/>
      <c r="AV1216" s="13"/>
      <c r="AW1216" s="13"/>
      <c r="AX1216" s="4"/>
      <c r="AY1216" s="13"/>
      <c r="AZ1216" s="13"/>
      <c r="BA1216" s="13"/>
      <c r="BB1216" s="13"/>
      <c r="BC1216" s="4"/>
      <c r="BD1216" s="4"/>
      <c r="BE1216" s="4"/>
      <c r="BF1216" s="13"/>
      <c r="BG1216" s="4"/>
      <c r="BH1216" s="13"/>
      <c r="BI1216" s="13"/>
      <c r="BJ1216" s="4"/>
      <c r="BK1216" s="14">
        <v>16</v>
      </c>
      <c r="BL1216" s="14">
        <v>16</v>
      </c>
      <c r="BM1216" s="14">
        <v>16</v>
      </c>
      <c r="BN1216" s="3" t="s">
        <v>86</v>
      </c>
      <c r="BP1216" s="15"/>
      <c r="BQ1216" s="15"/>
      <c r="BR1216" s="2" t="s">
        <v>121</v>
      </c>
      <c r="BS1216" s="2" t="s">
        <v>121</v>
      </c>
      <c r="BT1216" s="7" t="s">
        <v>98</v>
      </c>
      <c r="BU1216" s="7"/>
      <c r="BV1216" s="9" t="s">
        <v>98</v>
      </c>
      <c r="BW1216" s="9"/>
    </row>
    <row r="1217" spans="1:75" ht="14.25" customHeight="1" x14ac:dyDescent="0.25">
      <c r="A1217" s="1">
        <v>2105</v>
      </c>
      <c r="B1217" s="1" t="s">
        <v>4964</v>
      </c>
      <c r="C1217" s="1" t="s">
        <v>4965</v>
      </c>
      <c r="D1217" s="1" t="s">
        <v>77</v>
      </c>
      <c r="E1217" s="1" t="s">
        <v>2396</v>
      </c>
      <c r="F1217" s="1" t="s">
        <v>4956</v>
      </c>
      <c r="G1217" s="1" t="s">
        <v>4963</v>
      </c>
      <c r="H1217" s="2">
        <v>0</v>
      </c>
      <c r="I1217" s="2">
        <v>0</v>
      </c>
      <c r="J1217" s="2">
        <v>1</v>
      </c>
      <c r="K1217" s="2">
        <v>1</v>
      </c>
      <c r="L1217" s="3" t="s">
        <v>80</v>
      </c>
      <c r="O1217" s="4">
        <v>5</v>
      </c>
      <c r="P1217" s="4" t="s">
        <v>112</v>
      </c>
      <c r="Q1217" s="4"/>
      <c r="R1217" s="5"/>
      <c r="S1217" s="6"/>
      <c r="T1217" s="17"/>
      <c r="U1217" s="6"/>
      <c r="V1217" s="4"/>
      <c r="W1217" s="4"/>
      <c r="X1217" s="4"/>
      <c r="Y1217" s="7">
        <v>5</v>
      </c>
      <c r="Z1217" s="8">
        <v>16629</v>
      </c>
      <c r="AA1217" s="7" t="s">
        <v>92</v>
      </c>
      <c r="AB1217" s="7"/>
      <c r="AC1217" s="9">
        <v>5</v>
      </c>
      <c r="AD1217" s="10">
        <v>16629</v>
      </c>
      <c r="AE1217" s="9" t="s">
        <v>92</v>
      </c>
      <c r="AF1217" s="9"/>
      <c r="AG1217" s="11">
        <v>5</v>
      </c>
      <c r="AH1217" s="11" t="s">
        <v>93</v>
      </c>
      <c r="AI1217" s="11"/>
      <c r="AJ1217" s="11"/>
      <c r="AK1217" s="11"/>
      <c r="AL1217" s="12">
        <v>5</v>
      </c>
      <c r="AM1217" s="12" t="s">
        <v>93</v>
      </c>
      <c r="AN1217" s="12" t="s">
        <v>1002</v>
      </c>
      <c r="AO1217" s="12"/>
      <c r="AP1217" s="12"/>
      <c r="AQ1217" s="4">
        <v>5</v>
      </c>
      <c r="AR1217" s="4" t="s">
        <v>83</v>
      </c>
      <c r="AS1217" s="4" t="s">
        <v>4966</v>
      </c>
      <c r="AT1217" s="13"/>
      <c r="AU1217" s="13"/>
      <c r="AV1217" s="13"/>
      <c r="AW1217" s="13"/>
      <c r="AX1217" s="4"/>
      <c r="AY1217" s="13"/>
      <c r="AZ1217" s="13"/>
      <c r="BA1217" s="13"/>
      <c r="BB1217" s="13"/>
      <c r="BC1217" s="4"/>
      <c r="BD1217" s="4"/>
      <c r="BE1217" s="4"/>
      <c r="BF1217" s="13"/>
      <c r="BG1217" s="4"/>
      <c r="BH1217" s="13"/>
      <c r="BI1217" s="13"/>
      <c r="BJ1217" s="4"/>
      <c r="BK1217" s="14">
        <v>20</v>
      </c>
      <c r="BL1217" s="14">
        <v>20</v>
      </c>
      <c r="BM1217" s="14">
        <v>20</v>
      </c>
      <c r="BN1217" s="3" t="s">
        <v>312</v>
      </c>
      <c r="BO1217" s="3" t="s">
        <v>114</v>
      </c>
      <c r="BP1217" s="15"/>
      <c r="BQ1217" s="15"/>
      <c r="BR1217" s="2" t="s">
        <v>409</v>
      </c>
      <c r="BS1217" s="2" t="s">
        <v>409</v>
      </c>
      <c r="BT1217" s="7" t="s">
        <v>88</v>
      </c>
      <c r="BU1217" s="7"/>
      <c r="BV1217" s="9" t="s">
        <v>88</v>
      </c>
      <c r="BW1217" s="9"/>
    </row>
    <row r="1218" spans="1:75" ht="14.25" customHeight="1" x14ac:dyDescent="0.25">
      <c r="A1218" s="1">
        <v>2106</v>
      </c>
      <c r="B1218" s="1" t="s">
        <v>4967</v>
      </c>
      <c r="C1218" s="1" t="s">
        <v>4968</v>
      </c>
      <c r="D1218" s="1" t="s">
        <v>77</v>
      </c>
      <c r="E1218" s="1" t="s">
        <v>2396</v>
      </c>
      <c r="F1218" s="1" t="s">
        <v>4956</v>
      </c>
      <c r="G1218" s="1"/>
      <c r="H1218" s="2">
        <v>0</v>
      </c>
      <c r="I1218" s="2">
        <v>0</v>
      </c>
      <c r="J1218" s="2">
        <v>1</v>
      </c>
      <c r="K1218" s="2">
        <v>1</v>
      </c>
      <c r="L1218" s="3" t="s">
        <v>80</v>
      </c>
      <c r="O1218" s="4">
        <v>1</v>
      </c>
      <c r="P1218" s="4" t="s">
        <v>81</v>
      </c>
      <c r="Q1218" s="4" t="s">
        <v>2777</v>
      </c>
      <c r="R1218" s="5"/>
      <c r="S1218" s="6"/>
      <c r="T1218" s="17"/>
      <c r="U1218" s="6"/>
      <c r="V1218" s="4"/>
      <c r="W1218" s="4"/>
      <c r="X1218" s="4"/>
      <c r="Y1218" s="7">
        <v>1</v>
      </c>
      <c r="Z1218" s="8">
        <v>7914802</v>
      </c>
      <c r="AA1218" s="7" t="s">
        <v>92</v>
      </c>
      <c r="AB1218" s="7"/>
      <c r="AC1218" s="9">
        <v>1</v>
      </c>
      <c r="AD1218" s="10">
        <v>7914802</v>
      </c>
      <c r="AE1218" s="9" t="s">
        <v>92</v>
      </c>
      <c r="AF1218" s="9"/>
      <c r="AG1218" s="11">
        <v>2</v>
      </c>
      <c r="AH1218" s="11" t="s">
        <v>93</v>
      </c>
      <c r="AI1218" s="11"/>
      <c r="AJ1218" s="11"/>
      <c r="AK1218" s="11"/>
      <c r="AL1218" s="12">
        <v>1</v>
      </c>
      <c r="AM1218" s="12" t="s">
        <v>93</v>
      </c>
      <c r="AN1218" s="12" t="s">
        <v>394</v>
      </c>
      <c r="AO1218" s="12"/>
      <c r="AP1218" s="12"/>
      <c r="AQ1218" s="4">
        <v>1</v>
      </c>
      <c r="AR1218" s="4" t="s">
        <v>83</v>
      </c>
      <c r="AS1218" s="4" t="s">
        <v>4969</v>
      </c>
      <c r="AT1218" s="13"/>
      <c r="AU1218" s="13"/>
      <c r="AV1218" s="13"/>
      <c r="AW1218" s="13"/>
      <c r="AX1218" s="4"/>
      <c r="AY1218" s="13"/>
      <c r="AZ1218" s="13"/>
      <c r="BA1218" s="13"/>
      <c r="BB1218" s="13"/>
      <c r="BC1218" s="4"/>
      <c r="BD1218" s="4"/>
      <c r="BE1218" s="4"/>
      <c r="BF1218" s="13"/>
      <c r="BG1218" s="4"/>
      <c r="BH1218" s="13"/>
      <c r="BI1218" s="13"/>
      <c r="BJ1218" s="4"/>
      <c r="BK1218" s="14">
        <v>5</v>
      </c>
      <c r="BL1218" s="14">
        <v>4</v>
      </c>
      <c r="BM1218" s="14">
        <v>5</v>
      </c>
      <c r="BP1218" s="15" t="s">
        <v>135</v>
      </c>
      <c r="BQ1218" s="15"/>
      <c r="BR1218" s="2" t="s">
        <v>97</v>
      </c>
      <c r="BS1218" s="2" t="s">
        <v>97</v>
      </c>
      <c r="BT1218" s="7" t="s">
        <v>458</v>
      </c>
      <c r="BU1218" s="7" t="s">
        <v>603</v>
      </c>
      <c r="BV1218" s="9" t="s">
        <v>458</v>
      </c>
      <c r="BW1218" s="9" t="s">
        <v>603</v>
      </c>
    </row>
    <row r="1219" spans="1:75" ht="14.25" customHeight="1" x14ac:dyDescent="0.25">
      <c r="A1219" s="1">
        <v>2107</v>
      </c>
      <c r="B1219" s="1" t="s">
        <v>4970</v>
      </c>
      <c r="C1219" s="1" t="s">
        <v>4971</v>
      </c>
      <c r="D1219" s="1" t="s">
        <v>77</v>
      </c>
      <c r="E1219" s="1" t="s">
        <v>2396</v>
      </c>
      <c r="F1219" s="1" t="s">
        <v>4956</v>
      </c>
      <c r="G1219" s="1" t="s">
        <v>118</v>
      </c>
      <c r="H1219" s="2">
        <v>0</v>
      </c>
      <c r="I1219" s="2">
        <v>0</v>
      </c>
      <c r="J1219" s="2">
        <v>1</v>
      </c>
      <c r="K1219" s="2">
        <v>1</v>
      </c>
      <c r="L1219" s="3" t="s">
        <v>80</v>
      </c>
      <c r="O1219" s="4">
        <v>3</v>
      </c>
      <c r="P1219" s="4" t="s">
        <v>112</v>
      </c>
      <c r="Q1219" s="4"/>
      <c r="R1219" s="5"/>
      <c r="S1219" s="6"/>
      <c r="T1219" s="17"/>
      <c r="U1219" s="6"/>
      <c r="V1219" s="4"/>
      <c r="W1219" s="4"/>
      <c r="X1219" s="4"/>
      <c r="Y1219" s="7">
        <v>3</v>
      </c>
      <c r="Z1219" s="8">
        <v>585733</v>
      </c>
      <c r="AA1219" s="7" t="s">
        <v>92</v>
      </c>
      <c r="AB1219" s="7"/>
      <c r="AC1219" s="9">
        <v>3</v>
      </c>
      <c r="AD1219" s="10">
        <v>585733</v>
      </c>
      <c r="AE1219" s="9" t="s">
        <v>92</v>
      </c>
      <c r="AF1219" s="9"/>
      <c r="AG1219" s="11">
        <v>2</v>
      </c>
      <c r="AH1219" s="11" t="s">
        <v>93</v>
      </c>
      <c r="AI1219" s="11"/>
      <c r="AJ1219" s="11"/>
      <c r="AK1219" s="11"/>
      <c r="AL1219" s="12">
        <v>1</v>
      </c>
      <c r="AM1219" s="12" t="s">
        <v>93</v>
      </c>
      <c r="AN1219" s="12" t="s">
        <v>394</v>
      </c>
      <c r="AO1219" s="12"/>
      <c r="AP1219" s="12"/>
      <c r="AQ1219" s="4">
        <v>1</v>
      </c>
      <c r="AR1219" s="4" t="s">
        <v>83</v>
      </c>
      <c r="AS1219" s="4" t="s">
        <v>4969</v>
      </c>
      <c r="AT1219" s="13"/>
      <c r="AU1219" s="13"/>
      <c r="AV1219" s="13"/>
      <c r="AW1219" s="13"/>
      <c r="AX1219" s="4"/>
      <c r="AY1219" s="13"/>
      <c r="AZ1219" s="13"/>
      <c r="BA1219" s="13"/>
      <c r="BB1219" s="13"/>
      <c r="BC1219" s="4"/>
      <c r="BD1219" s="4"/>
      <c r="BE1219" s="4"/>
      <c r="BF1219" s="13"/>
      <c r="BG1219" s="4"/>
      <c r="BH1219" s="13"/>
      <c r="BI1219" s="13"/>
      <c r="BJ1219" s="4"/>
      <c r="BK1219" s="14">
        <v>9</v>
      </c>
      <c r="BL1219" s="14">
        <v>8</v>
      </c>
      <c r="BM1219" s="14">
        <v>9</v>
      </c>
      <c r="BP1219" s="15"/>
      <c r="BQ1219" s="15"/>
      <c r="BR1219" s="2" t="s">
        <v>115</v>
      </c>
      <c r="BS1219" s="2" t="s">
        <v>115</v>
      </c>
      <c r="BT1219" s="7" t="s">
        <v>98</v>
      </c>
      <c r="BU1219" s="7"/>
      <c r="BV1219" s="9" t="s">
        <v>98</v>
      </c>
      <c r="BW1219" s="9"/>
    </row>
    <row r="1220" spans="1:75" ht="14.25" customHeight="1" x14ac:dyDescent="0.25">
      <c r="A1220" s="1">
        <v>2108</v>
      </c>
      <c r="B1220" s="1" t="s">
        <v>4972</v>
      </c>
      <c r="C1220" s="1" t="s">
        <v>4973</v>
      </c>
      <c r="D1220" s="1" t="s">
        <v>77</v>
      </c>
      <c r="E1220" s="1" t="s">
        <v>2396</v>
      </c>
      <c r="F1220" s="1" t="s">
        <v>4956</v>
      </c>
      <c r="G1220" s="1"/>
      <c r="H1220" s="2">
        <v>0</v>
      </c>
      <c r="I1220" s="2">
        <v>0</v>
      </c>
      <c r="J1220" s="2">
        <v>0</v>
      </c>
      <c r="K1220" s="2">
        <v>1</v>
      </c>
      <c r="L1220" s="3" t="s">
        <v>80</v>
      </c>
      <c r="O1220" s="4">
        <v>1</v>
      </c>
      <c r="P1220" s="4" t="s">
        <v>81</v>
      </c>
      <c r="Q1220" s="4"/>
      <c r="R1220" s="5"/>
      <c r="S1220" s="6"/>
      <c r="T1220" s="17"/>
      <c r="U1220" s="6"/>
      <c r="V1220" s="4"/>
      <c r="W1220" s="4"/>
      <c r="X1220" s="4"/>
      <c r="Y1220" s="7">
        <v>1</v>
      </c>
      <c r="Z1220" s="8">
        <v>12216358</v>
      </c>
      <c r="AA1220" s="7" t="s">
        <v>82</v>
      </c>
      <c r="AB1220" s="7"/>
      <c r="AC1220" s="9">
        <v>1</v>
      </c>
      <c r="AD1220" s="10">
        <v>12216358</v>
      </c>
      <c r="AE1220" s="9" t="s">
        <v>82</v>
      </c>
      <c r="AF1220" s="9"/>
      <c r="AG1220" s="11">
        <v>2</v>
      </c>
      <c r="AH1220" s="11" t="s">
        <v>83</v>
      </c>
      <c r="AI1220" s="11"/>
      <c r="AJ1220" s="11"/>
      <c r="AK1220" s="11"/>
      <c r="AL1220" s="12">
        <v>2</v>
      </c>
      <c r="AM1220" s="12" t="s">
        <v>83</v>
      </c>
      <c r="AN1220" s="12"/>
      <c r="AO1220" s="12"/>
      <c r="AP1220" s="12"/>
      <c r="AQ1220" s="4">
        <v>2</v>
      </c>
      <c r="AR1220" s="4" t="s">
        <v>83</v>
      </c>
      <c r="AS1220" s="4"/>
      <c r="AT1220" s="13"/>
      <c r="AU1220" s="13"/>
      <c r="AV1220" s="13"/>
      <c r="AW1220" s="13"/>
      <c r="AX1220" s="4"/>
      <c r="AY1220" s="13"/>
      <c r="AZ1220" s="13"/>
      <c r="BA1220" s="13"/>
      <c r="BB1220" s="13"/>
      <c r="BC1220" s="4"/>
      <c r="BD1220" s="4"/>
      <c r="BE1220" s="4"/>
      <c r="BF1220" s="13"/>
      <c r="BG1220" s="4"/>
      <c r="BH1220" s="13"/>
      <c r="BI1220" s="13"/>
      <c r="BJ1220" s="4"/>
      <c r="BK1220" s="14">
        <v>6</v>
      </c>
      <c r="BL1220" s="14">
        <v>6</v>
      </c>
      <c r="BM1220" s="14">
        <v>6</v>
      </c>
      <c r="BP1220" s="15" t="s">
        <v>135</v>
      </c>
      <c r="BQ1220" s="15"/>
      <c r="BR1220" s="2" t="s">
        <v>97</v>
      </c>
      <c r="BS1220" s="2" t="s">
        <v>97</v>
      </c>
      <c r="BT1220" s="7" t="s">
        <v>458</v>
      </c>
      <c r="BU1220" s="7"/>
      <c r="BV1220" s="9" t="s">
        <v>458</v>
      </c>
      <c r="BW1220" s="9"/>
    </row>
    <row r="1221" spans="1:75" ht="14.25" customHeight="1" x14ac:dyDescent="0.25">
      <c r="A1221" s="1">
        <v>2109</v>
      </c>
      <c r="B1221" s="1" t="s">
        <v>4974</v>
      </c>
      <c r="C1221" s="1" t="s">
        <v>4975</v>
      </c>
      <c r="D1221" s="1" t="s">
        <v>77</v>
      </c>
      <c r="E1221" s="1" t="s">
        <v>2396</v>
      </c>
      <c r="F1221" s="1" t="s">
        <v>4956</v>
      </c>
      <c r="G1221" s="1" t="s">
        <v>4960</v>
      </c>
      <c r="H1221" s="2">
        <v>0</v>
      </c>
      <c r="I1221" s="2">
        <v>0</v>
      </c>
      <c r="J1221" s="2">
        <v>1</v>
      </c>
      <c r="K1221" s="2">
        <v>1</v>
      </c>
      <c r="L1221" s="3" t="s">
        <v>80</v>
      </c>
      <c r="O1221" s="4">
        <v>3</v>
      </c>
      <c r="P1221" s="4" t="s">
        <v>81</v>
      </c>
      <c r="Q1221" s="4" t="s">
        <v>1789</v>
      </c>
      <c r="R1221" s="5"/>
      <c r="S1221" s="6"/>
      <c r="T1221" s="17"/>
      <c r="U1221" s="6"/>
      <c r="V1221" s="4"/>
      <c r="W1221" s="4"/>
      <c r="X1221" s="4"/>
      <c r="Y1221" s="7">
        <v>3</v>
      </c>
      <c r="Z1221" s="8">
        <v>480714</v>
      </c>
      <c r="AA1221" s="7" t="s">
        <v>92</v>
      </c>
      <c r="AB1221" s="7"/>
      <c r="AC1221" s="9">
        <v>3</v>
      </c>
      <c r="AD1221" s="10">
        <v>480714</v>
      </c>
      <c r="AE1221" s="9" t="s">
        <v>92</v>
      </c>
      <c r="AF1221" s="9" t="s">
        <v>4299</v>
      </c>
      <c r="AG1221" s="11">
        <v>3</v>
      </c>
      <c r="AH1221" s="11" t="s">
        <v>93</v>
      </c>
      <c r="AI1221" s="11"/>
      <c r="AJ1221" s="11"/>
      <c r="AK1221" s="11"/>
      <c r="AL1221" s="12">
        <v>3</v>
      </c>
      <c r="AM1221" s="12" t="s">
        <v>93</v>
      </c>
      <c r="AN1221" s="12" t="s">
        <v>4976</v>
      </c>
      <c r="AO1221" s="12"/>
      <c r="AP1221" s="12"/>
      <c r="AQ1221" s="4">
        <v>4</v>
      </c>
      <c r="AR1221" s="4" t="s">
        <v>83</v>
      </c>
      <c r="AS1221" s="4" t="s">
        <v>4977</v>
      </c>
      <c r="AT1221" s="13"/>
      <c r="AU1221" s="13"/>
      <c r="AV1221" s="13"/>
      <c r="AW1221" s="13"/>
      <c r="AX1221" s="4"/>
      <c r="AY1221" s="13"/>
      <c r="AZ1221" s="13"/>
      <c r="BA1221" s="13"/>
      <c r="BB1221" s="13"/>
      <c r="BC1221" s="4"/>
      <c r="BD1221" s="4"/>
      <c r="BE1221" s="4"/>
      <c r="BF1221" s="13"/>
      <c r="BG1221" s="4"/>
      <c r="BH1221" s="13"/>
      <c r="BI1221" s="13"/>
      <c r="BJ1221" s="4"/>
      <c r="BK1221" s="14">
        <v>13</v>
      </c>
      <c r="BL1221" s="14">
        <v>13</v>
      </c>
      <c r="BM1221" s="14">
        <v>13</v>
      </c>
      <c r="BP1221" s="15"/>
      <c r="BQ1221" s="15"/>
      <c r="BR1221" s="2" t="s">
        <v>97</v>
      </c>
      <c r="BS1221" s="2" t="s">
        <v>97</v>
      </c>
      <c r="BT1221" s="7" t="s">
        <v>98</v>
      </c>
      <c r="BU1221" s="7"/>
      <c r="BV1221" s="9" t="s">
        <v>98</v>
      </c>
      <c r="BW1221" s="9"/>
    </row>
    <row r="1222" spans="1:75" ht="14.25" customHeight="1" x14ac:dyDescent="0.25">
      <c r="A1222" s="1">
        <v>2111</v>
      </c>
      <c r="B1222" s="1" t="s">
        <v>4978</v>
      </c>
      <c r="C1222" s="1" t="s">
        <v>4979</v>
      </c>
      <c r="D1222" s="1" t="s">
        <v>77</v>
      </c>
      <c r="E1222" s="1" t="s">
        <v>2396</v>
      </c>
      <c r="F1222" s="1" t="s">
        <v>4956</v>
      </c>
      <c r="G1222" s="1" t="s">
        <v>118</v>
      </c>
      <c r="H1222" s="2">
        <v>0</v>
      </c>
      <c r="I1222" s="2">
        <v>0</v>
      </c>
      <c r="J1222" s="2">
        <v>0</v>
      </c>
      <c r="K1222" s="2">
        <v>1</v>
      </c>
      <c r="L1222" s="3" t="s">
        <v>80</v>
      </c>
      <c r="O1222" s="4">
        <v>5</v>
      </c>
      <c r="P1222" s="4" t="s">
        <v>81</v>
      </c>
      <c r="Q1222" s="4"/>
      <c r="R1222" s="5"/>
      <c r="S1222" s="6"/>
      <c r="T1222" s="17"/>
      <c r="U1222" s="6"/>
      <c r="V1222" s="4"/>
      <c r="W1222" s="4"/>
      <c r="X1222" s="4"/>
      <c r="Y1222" s="7">
        <v>5</v>
      </c>
      <c r="Z1222" s="8">
        <v>3053</v>
      </c>
      <c r="AA1222" s="7" t="s">
        <v>82</v>
      </c>
      <c r="AB1222" s="7"/>
      <c r="AC1222" s="9">
        <v>5</v>
      </c>
      <c r="AD1222" s="10">
        <v>3053</v>
      </c>
      <c r="AE1222" s="9" t="s">
        <v>82</v>
      </c>
      <c r="AF1222" s="9"/>
      <c r="AG1222" s="11">
        <v>4</v>
      </c>
      <c r="AH1222" s="11" t="s">
        <v>83</v>
      </c>
      <c r="AI1222" s="11" t="s">
        <v>4980</v>
      </c>
      <c r="AJ1222" s="11"/>
      <c r="AK1222" s="11"/>
      <c r="AL1222" s="12">
        <v>4</v>
      </c>
      <c r="AM1222" s="12" t="s">
        <v>83</v>
      </c>
      <c r="AN1222" s="12"/>
      <c r="AO1222" s="12"/>
      <c r="AP1222" s="12"/>
      <c r="AQ1222" s="4">
        <v>5</v>
      </c>
      <c r="AR1222" s="4" t="s">
        <v>83</v>
      </c>
      <c r="AS1222" s="4"/>
      <c r="AT1222" s="13"/>
      <c r="AU1222" s="13"/>
      <c r="AV1222" s="13"/>
      <c r="AW1222" s="13"/>
      <c r="AX1222" s="4"/>
      <c r="AY1222" s="13"/>
      <c r="AZ1222" s="13"/>
      <c r="BA1222" s="13"/>
      <c r="BB1222" s="13"/>
      <c r="BC1222" s="4"/>
      <c r="BD1222" s="4"/>
      <c r="BE1222" s="4"/>
      <c r="BF1222" s="13"/>
      <c r="BG1222" s="4"/>
      <c r="BH1222" s="13"/>
      <c r="BI1222" s="13"/>
      <c r="BJ1222" s="4"/>
      <c r="BK1222" s="14">
        <v>19</v>
      </c>
      <c r="BL1222" s="14">
        <v>19</v>
      </c>
      <c r="BM1222" s="14">
        <v>19</v>
      </c>
      <c r="BN1222" s="3" t="s">
        <v>312</v>
      </c>
      <c r="BP1222" s="15"/>
      <c r="BQ1222" s="15"/>
      <c r="BR1222" s="2" t="s">
        <v>87</v>
      </c>
      <c r="BS1222" s="2" t="s">
        <v>87</v>
      </c>
      <c r="BT1222" s="7" t="s">
        <v>88</v>
      </c>
      <c r="BU1222" s="7"/>
      <c r="BV1222" s="9" t="s">
        <v>88</v>
      </c>
      <c r="BW1222" s="9"/>
    </row>
    <row r="1223" spans="1:75" ht="14.25" customHeight="1" x14ac:dyDescent="0.25">
      <c r="A1223" s="1">
        <v>2112</v>
      </c>
      <c r="B1223" s="1" t="s">
        <v>4981</v>
      </c>
      <c r="C1223" s="1" t="s">
        <v>4982</v>
      </c>
      <c r="D1223" s="1" t="s">
        <v>77</v>
      </c>
      <c r="E1223" s="1" t="s">
        <v>2396</v>
      </c>
      <c r="F1223" s="1" t="s">
        <v>4956</v>
      </c>
      <c r="G1223" s="1" t="s">
        <v>118</v>
      </c>
      <c r="H1223" s="2">
        <v>0</v>
      </c>
      <c r="I1223" s="2">
        <v>0</v>
      </c>
      <c r="J1223" s="2">
        <v>0</v>
      </c>
      <c r="K1223" s="2">
        <v>1</v>
      </c>
      <c r="L1223" s="3" t="s">
        <v>80</v>
      </c>
      <c r="O1223" s="4">
        <v>4</v>
      </c>
      <c r="P1223" s="4" t="s">
        <v>81</v>
      </c>
      <c r="Q1223" s="4"/>
      <c r="R1223" s="5"/>
      <c r="S1223" s="6"/>
      <c r="T1223" s="17"/>
      <c r="U1223" s="6"/>
      <c r="V1223" s="4"/>
      <c r="W1223" s="4"/>
      <c r="X1223" s="4"/>
      <c r="Y1223" s="7">
        <v>5</v>
      </c>
      <c r="Z1223" s="8">
        <v>12136</v>
      </c>
      <c r="AA1223" s="7" t="s">
        <v>82</v>
      </c>
      <c r="AB1223" s="7"/>
      <c r="AC1223" s="9">
        <v>5</v>
      </c>
      <c r="AD1223" s="10">
        <v>12136</v>
      </c>
      <c r="AE1223" s="9" t="s">
        <v>82</v>
      </c>
      <c r="AF1223" s="9"/>
      <c r="AG1223" s="11">
        <v>4</v>
      </c>
      <c r="AH1223" s="11" t="s">
        <v>83</v>
      </c>
      <c r="AI1223" s="11"/>
      <c r="AJ1223" s="11"/>
      <c r="AK1223" s="11"/>
      <c r="AL1223" s="12">
        <v>4</v>
      </c>
      <c r="AM1223" s="12" t="s">
        <v>83</v>
      </c>
      <c r="AN1223" s="12"/>
      <c r="AO1223" s="12"/>
      <c r="AP1223" s="12"/>
      <c r="AQ1223" s="4">
        <v>3</v>
      </c>
      <c r="AR1223" s="4" t="s">
        <v>83</v>
      </c>
      <c r="AS1223" s="4"/>
      <c r="AT1223" s="13"/>
      <c r="AU1223" s="13"/>
      <c r="AV1223" s="13"/>
      <c r="AW1223" s="13"/>
      <c r="AX1223" s="4"/>
      <c r="AY1223" s="13"/>
      <c r="AZ1223" s="13"/>
      <c r="BA1223" s="13"/>
      <c r="BB1223" s="13"/>
      <c r="BC1223" s="4"/>
      <c r="BD1223" s="4"/>
      <c r="BE1223" s="4"/>
      <c r="BF1223" s="13"/>
      <c r="BG1223" s="4"/>
      <c r="BH1223" s="13"/>
      <c r="BI1223" s="13"/>
      <c r="BJ1223" s="4"/>
      <c r="BK1223" s="14">
        <v>16</v>
      </c>
      <c r="BL1223" s="14">
        <v>16</v>
      </c>
      <c r="BM1223" s="14">
        <v>16</v>
      </c>
      <c r="BN1223" s="3" t="s">
        <v>86</v>
      </c>
      <c r="BP1223" s="15"/>
      <c r="BQ1223" s="15"/>
      <c r="BR1223" s="2" t="s">
        <v>87</v>
      </c>
      <c r="BS1223" s="2" t="s">
        <v>87</v>
      </c>
      <c r="BT1223" s="7" t="s">
        <v>88</v>
      </c>
      <c r="BU1223" s="7"/>
      <c r="BV1223" s="9" t="s">
        <v>88</v>
      </c>
      <c r="BW1223" s="9"/>
    </row>
    <row r="1224" spans="1:75" ht="14.25" customHeight="1" x14ac:dyDescent="0.25">
      <c r="A1224" s="1">
        <v>2113</v>
      </c>
      <c r="B1224" s="1" t="s">
        <v>4983</v>
      </c>
      <c r="C1224" s="1" t="s">
        <v>4984</v>
      </c>
      <c r="D1224" s="1" t="s">
        <v>77</v>
      </c>
      <c r="E1224" s="1" t="s">
        <v>2396</v>
      </c>
      <c r="F1224" s="1" t="s">
        <v>4956</v>
      </c>
      <c r="G1224" s="1"/>
      <c r="H1224" s="2">
        <v>0</v>
      </c>
      <c r="I1224" s="2">
        <v>0</v>
      </c>
      <c r="J1224" s="2">
        <v>0</v>
      </c>
      <c r="K1224" s="2">
        <v>1</v>
      </c>
      <c r="L1224" s="3" t="s">
        <v>80</v>
      </c>
      <c r="O1224" s="4">
        <v>3</v>
      </c>
      <c r="P1224" s="4" t="s">
        <v>81</v>
      </c>
      <c r="Q1224" s="4"/>
      <c r="R1224" s="5"/>
      <c r="S1224" s="6"/>
      <c r="T1224" s="17"/>
      <c r="U1224" s="6"/>
      <c r="V1224" s="4"/>
      <c r="W1224" s="4"/>
      <c r="X1224" s="4"/>
      <c r="Y1224" s="7">
        <v>4</v>
      </c>
      <c r="Z1224" s="8">
        <v>180840</v>
      </c>
      <c r="AA1224" s="7" t="s">
        <v>82</v>
      </c>
      <c r="AB1224" s="7"/>
      <c r="AC1224" s="9">
        <v>4</v>
      </c>
      <c r="AD1224" s="10">
        <v>180840</v>
      </c>
      <c r="AE1224" s="9" t="s">
        <v>82</v>
      </c>
      <c r="AF1224" s="9"/>
      <c r="AG1224" s="11">
        <v>2</v>
      </c>
      <c r="AH1224" s="11" t="s">
        <v>83</v>
      </c>
      <c r="AI1224" s="11"/>
      <c r="AJ1224" s="11"/>
      <c r="AK1224" s="11"/>
      <c r="AL1224" s="12">
        <v>2</v>
      </c>
      <c r="AM1224" s="12" t="s">
        <v>83</v>
      </c>
      <c r="AN1224" s="12"/>
      <c r="AO1224" s="12"/>
      <c r="AP1224" s="12"/>
      <c r="AQ1224" s="4">
        <v>2</v>
      </c>
      <c r="AR1224" s="4" t="s">
        <v>83</v>
      </c>
      <c r="AS1224" s="4"/>
      <c r="AT1224" s="13"/>
      <c r="AU1224" s="13"/>
      <c r="AV1224" s="13"/>
      <c r="AW1224" s="13"/>
      <c r="AX1224" s="4"/>
      <c r="AY1224" s="13"/>
      <c r="AZ1224" s="13"/>
      <c r="BA1224" s="13"/>
      <c r="BB1224" s="13"/>
      <c r="BC1224" s="4"/>
      <c r="BD1224" s="4"/>
      <c r="BE1224" s="4"/>
      <c r="BF1224" s="13"/>
      <c r="BG1224" s="4"/>
      <c r="BH1224" s="13"/>
      <c r="BI1224" s="13"/>
      <c r="BJ1224" s="4"/>
      <c r="BK1224" s="14">
        <v>11</v>
      </c>
      <c r="BL1224" s="14">
        <v>11</v>
      </c>
      <c r="BM1224" s="14">
        <v>11</v>
      </c>
      <c r="BP1224" s="15"/>
      <c r="BQ1224" s="15"/>
      <c r="BR1224" s="2" t="s">
        <v>121</v>
      </c>
      <c r="BS1224" s="2" t="s">
        <v>121</v>
      </c>
      <c r="BT1224" s="7" t="s">
        <v>98</v>
      </c>
      <c r="BU1224" s="7"/>
      <c r="BV1224" s="9" t="s">
        <v>98</v>
      </c>
      <c r="BW1224" s="9"/>
    </row>
    <row r="1225" spans="1:75" ht="14.25" customHeight="1" x14ac:dyDescent="0.25">
      <c r="A1225" s="1">
        <v>2114</v>
      </c>
      <c r="B1225" s="1" t="s">
        <v>4985</v>
      </c>
      <c r="C1225" s="1" t="s">
        <v>4986</v>
      </c>
      <c r="D1225" s="1" t="s">
        <v>77</v>
      </c>
      <c r="E1225" s="1" t="s">
        <v>2396</v>
      </c>
      <c r="F1225" s="1" t="s">
        <v>4956</v>
      </c>
      <c r="G1225" s="1"/>
      <c r="H1225" s="2">
        <v>0</v>
      </c>
      <c r="I1225" s="2">
        <v>0</v>
      </c>
      <c r="J1225" s="2">
        <v>0</v>
      </c>
      <c r="K1225" s="2">
        <v>1</v>
      </c>
      <c r="L1225" s="3" t="s">
        <v>80</v>
      </c>
      <c r="O1225" s="4">
        <v>4</v>
      </c>
      <c r="P1225" s="4" t="s">
        <v>81</v>
      </c>
      <c r="Q1225" s="4"/>
      <c r="R1225" s="5"/>
      <c r="S1225" s="6"/>
      <c r="T1225" s="17"/>
      <c r="U1225" s="6"/>
      <c r="V1225" s="4"/>
      <c r="W1225" s="4"/>
      <c r="X1225" s="4"/>
      <c r="Y1225" s="7">
        <v>4</v>
      </c>
      <c r="Z1225" s="8">
        <v>133798</v>
      </c>
      <c r="AA1225" s="7" t="s">
        <v>82</v>
      </c>
      <c r="AB1225" s="7"/>
      <c r="AC1225" s="9">
        <v>4</v>
      </c>
      <c r="AD1225" s="10">
        <v>133798</v>
      </c>
      <c r="AE1225" s="9" t="s">
        <v>82</v>
      </c>
      <c r="AF1225" s="9"/>
      <c r="AG1225" s="11">
        <v>4</v>
      </c>
      <c r="AH1225" s="11" t="s">
        <v>83</v>
      </c>
      <c r="AI1225" s="11" t="s">
        <v>4987</v>
      </c>
      <c r="AJ1225" s="11"/>
      <c r="AK1225" s="11"/>
      <c r="AL1225" s="12">
        <v>4</v>
      </c>
      <c r="AM1225" s="12" t="s">
        <v>83</v>
      </c>
      <c r="AN1225" s="12"/>
      <c r="AO1225" s="12"/>
      <c r="AP1225" s="12"/>
      <c r="AQ1225" s="4">
        <v>4</v>
      </c>
      <c r="AR1225" s="4" t="s">
        <v>83</v>
      </c>
      <c r="AS1225" s="4"/>
      <c r="AT1225" s="13"/>
      <c r="AU1225" s="13"/>
      <c r="AV1225" s="13"/>
      <c r="AW1225" s="13"/>
      <c r="AX1225" s="4"/>
      <c r="AY1225" s="13"/>
      <c r="AZ1225" s="13"/>
      <c r="BA1225" s="13"/>
      <c r="BB1225" s="13"/>
      <c r="BC1225" s="4"/>
      <c r="BD1225" s="4"/>
      <c r="BE1225" s="4"/>
      <c r="BF1225" s="13"/>
      <c r="BG1225" s="4"/>
      <c r="BH1225" s="13"/>
      <c r="BI1225" s="13"/>
      <c r="BJ1225" s="4"/>
      <c r="BK1225" s="14">
        <v>16</v>
      </c>
      <c r="BL1225" s="14">
        <v>16</v>
      </c>
      <c r="BM1225" s="14">
        <v>16</v>
      </c>
      <c r="BN1225" s="3" t="s">
        <v>86</v>
      </c>
      <c r="BP1225" s="15"/>
      <c r="BQ1225" s="15"/>
      <c r="BR1225" s="2" t="s">
        <v>87</v>
      </c>
      <c r="BS1225" s="2" t="s">
        <v>87</v>
      </c>
      <c r="BT1225" s="7" t="s">
        <v>98</v>
      </c>
      <c r="BU1225" s="7"/>
      <c r="BV1225" s="9" t="s">
        <v>98</v>
      </c>
      <c r="BW1225" s="9"/>
    </row>
    <row r="1226" spans="1:75" ht="14.25" customHeight="1" x14ac:dyDescent="0.25">
      <c r="A1226" s="1">
        <v>2115</v>
      </c>
      <c r="B1226" s="1" t="s">
        <v>4988</v>
      </c>
      <c r="C1226" s="1" t="s">
        <v>4989</v>
      </c>
      <c r="D1226" s="1" t="s">
        <v>77</v>
      </c>
      <c r="E1226" s="1" t="s">
        <v>2396</v>
      </c>
      <c r="F1226" s="1" t="s">
        <v>4956</v>
      </c>
      <c r="G1226" s="1"/>
      <c r="H1226" s="2">
        <v>0</v>
      </c>
      <c r="I1226" s="2">
        <v>0</v>
      </c>
      <c r="J1226" s="2">
        <v>0</v>
      </c>
      <c r="K1226" s="2">
        <v>1</v>
      </c>
      <c r="L1226" s="3" t="s">
        <v>80</v>
      </c>
      <c r="O1226" s="4">
        <v>2</v>
      </c>
      <c r="P1226" s="4" t="s">
        <v>81</v>
      </c>
      <c r="Q1226" s="4"/>
      <c r="R1226" s="5"/>
      <c r="S1226" s="6"/>
      <c r="T1226" s="17"/>
      <c r="U1226" s="6"/>
      <c r="V1226" s="4"/>
      <c r="W1226" s="4"/>
      <c r="X1226" s="4"/>
      <c r="Y1226" s="7">
        <v>1</v>
      </c>
      <c r="Z1226" s="8">
        <v>4003788</v>
      </c>
      <c r="AA1226" s="7" t="s">
        <v>82</v>
      </c>
      <c r="AB1226" s="7"/>
      <c r="AC1226" s="9">
        <v>1</v>
      </c>
      <c r="AD1226" s="10">
        <v>4003788</v>
      </c>
      <c r="AE1226" s="9" t="s">
        <v>82</v>
      </c>
      <c r="AF1226" s="9"/>
      <c r="AG1226" s="11">
        <v>4</v>
      </c>
      <c r="AH1226" s="11" t="s">
        <v>83</v>
      </c>
      <c r="AI1226" s="11" t="s">
        <v>4990</v>
      </c>
      <c r="AJ1226" s="11"/>
      <c r="AK1226" s="11"/>
      <c r="AL1226" s="12">
        <v>4</v>
      </c>
      <c r="AM1226" s="12" t="s">
        <v>83</v>
      </c>
      <c r="AN1226" s="12" t="s">
        <v>4991</v>
      </c>
      <c r="AO1226" s="12"/>
      <c r="AP1226" s="12"/>
      <c r="AQ1226" s="4">
        <v>4</v>
      </c>
      <c r="AR1226" s="4" t="s">
        <v>83</v>
      </c>
      <c r="AS1226" s="4"/>
      <c r="AT1226" s="13"/>
      <c r="AU1226" s="13"/>
      <c r="AV1226" s="13"/>
      <c r="AW1226" s="13"/>
      <c r="AX1226" s="4"/>
      <c r="AY1226" s="13"/>
      <c r="AZ1226" s="13"/>
      <c r="BA1226" s="13"/>
      <c r="BB1226" s="13"/>
      <c r="BC1226" s="4"/>
      <c r="BD1226" s="4"/>
      <c r="BE1226" s="4"/>
      <c r="BF1226" s="13"/>
      <c r="BG1226" s="4"/>
      <c r="BH1226" s="13"/>
      <c r="BI1226" s="13"/>
      <c r="BJ1226" s="4"/>
      <c r="BK1226" s="14">
        <v>11</v>
      </c>
      <c r="BL1226" s="14">
        <v>11</v>
      </c>
      <c r="BM1226" s="14">
        <v>11</v>
      </c>
      <c r="BP1226" s="15"/>
      <c r="BQ1226" s="15"/>
      <c r="BR1226" s="2" t="s">
        <v>97</v>
      </c>
      <c r="BS1226" s="2" t="s">
        <v>97</v>
      </c>
      <c r="BT1226" s="7" t="s">
        <v>88</v>
      </c>
      <c r="BU1226" s="7" t="s">
        <v>98</v>
      </c>
      <c r="BV1226" s="9" t="s">
        <v>88</v>
      </c>
      <c r="BW1226" s="9" t="s">
        <v>98</v>
      </c>
    </row>
    <row r="1227" spans="1:75" ht="14.25" customHeight="1" x14ac:dyDescent="0.25">
      <c r="A1227" s="1">
        <v>2116</v>
      </c>
      <c r="B1227" s="1" t="s">
        <v>4992</v>
      </c>
      <c r="C1227" s="1" t="s">
        <v>4993</v>
      </c>
      <c r="D1227" s="1" t="s">
        <v>77</v>
      </c>
      <c r="E1227" s="1" t="s">
        <v>2396</v>
      </c>
      <c r="F1227" s="1" t="s">
        <v>4956</v>
      </c>
      <c r="G1227" s="1"/>
      <c r="H1227" s="2">
        <v>0</v>
      </c>
      <c r="I1227" s="2">
        <v>0</v>
      </c>
      <c r="J1227" s="2">
        <v>0</v>
      </c>
      <c r="K1227" s="2">
        <v>1</v>
      </c>
      <c r="L1227" s="3" t="s">
        <v>80</v>
      </c>
      <c r="O1227" s="4">
        <v>4</v>
      </c>
      <c r="P1227" s="4" t="s">
        <v>81</v>
      </c>
      <c r="Q1227" s="4"/>
      <c r="R1227" s="5"/>
      <c r="S1227" s="6"/>
      <c r="T1227" s="17"/>
      <c r="U1227" s="6"/>
      <c r="V1227" s="4"/>
      <c r="W1227" s="4"/>
      <c r="X1227" s="4"/>
      <c r="Y1227" s="7">
        <v>5</v>
      </c>
      <c r="Z1227" s="8">
        <v>38655</v>
      </c>
      <c r="AA1227" s="7" t="s">
        <v>82</v>
      </c>
      <c r="AB1227" s="7"/>
      <c r="AC1227" s="9">
        <v>5</v>
      </c>
      <c r="AD1227" s="10">
        <v>38655</v>
      </c>
      <c r="AE1227" s="9" t="s">
        <v>82</v>
      </c>
      <c r="AF1227" s="9"/>
      <c r="AG1227" s="11">
        <v>3</v>
      </c>
      <c r="AH1227" s="11" t="s">
        <v>83</v>
      </c>
      <c r="AI1227" s="11" t="s">
        <v>4994</v>
      </c>
      <c r="AJ1227" s="11"/>
      <c r="AK1227" s="11"/>
      <c r="AL1227" s="12">
        <v>3</v>
      </c>
      <c r="AM1227" s="12" t="s">
        <v>83</v>
      </c>
      <c r="AN1227" s="12"/>
      <c r="AO1227" s="12"/>
      <c r="AP1227" s="12"/>
      <c r="AQ1227" s="4">
        <v>3</v>
      </c>
      <c r="AR1227" s="4" t="s">
        <v>83</v>
      </c>
      <c r="AS1227" s="4"/>
      <c r="AT1227" s="13"/>
      <c r="AU1227" s="13"/>
      <c r="AV1227" s="13"/>
      <c r="AW1227" s="13"/>
      <c r="AX1227" s="4"/>
      <c r="AY1227" s="13"/>
      <c r="AZ1227" s="13"/>
      <c r="BA1227" s="13"/>
      <c r="BB1227" s="13"/>
      <c r="BC1227" s="4"/>
      <c r="BD1227" s="4"/>
      <c r="BE1227" s="4"/>
      <c r="BF1227" s="13"/>
      <c r="BG1227" s="4"/>
      <c r="BH1227" s="13"/>
      <c r="BI1227" s="13"/>
      <c r="BJ1227" s="4"/>
      <c r="BK1227" s="14">
        <v>15</v>
      </c>
      <c r="BL1227" s="14">
        <v>15</v>
      </c>
      <c r="BM1227" s="14">
        <v>15</v>
      </c>
      <c r="BN1227" s="3" t="s">
        <v>86</v>
      </c>
      <c r="BP1227" s="15"/>
      <c r="BQ1227" s="15"/>
      <c r="BR1227" s="2" t="s">
        <v>87</v>
      </c>
      <c r="BS1227" s="2" t="s">
        <v>87</v>
      </c>
      <c r="BT1227" s="7" t="s">
        <v>88</v>
      </c>
      <c r="BU1227" s="7"/>
      <c r="BV1227" s="9" t="s">
        <v>88</v>
      </c>
      <c r="BW1227" s="9"/>
    </row>
    <row r="1228" spans="1:75" ht="14.25" customHeight="1" x14ac:dyDescent="0.25">
      <c r="A1228" s="1">
        <v>2117</v>
      </c>
      <c r="B1228" s="1" t="s">
        <v>4995</v>
      </c>
      <c r="C1228" s="1" t="s">
        <v>4996</v>
      </c>
      <c r="D1228" s="1" t="s">
        <v>77</v>
      </c>
      <c r="E1228" s="1" t="s">
        <v>2396</v>
      </c>
      <c r="F1228" s="1" t="s">
        <v>4956</v>
      </c>
      <c r="G1228" s="1"/>
      <c r="H1228" s="2">
        <v>0</v>
      </c>
      <c r="I1228" s="2">
        <v>0</v>
      </c>
      <c r="J1228" s="2">
        <v>0</v>
      </c>
      <c r="K1228" s="2">
        <v>1</v>
      </c>
      <c r="L1228" s="3" t="s">
        <v>80</v>
      </c>
      <c r="O1228" s="4">
        <v>3</v>
      </c>
      <c r="P1228" s="4" t="s">
        <v>81</v>
      </c>
      <c r="Q1228" s="4"/>
      <c r="R1228" s="5"/>
      <c r="S1228" s="6"/>
      <c r="T1228" s="17"/>
      <c r="U1228" s="6"/>
      <c r="V1228" s="4"/>
      <c r="W1228" s="4"/>
      <c r="X1228" s="4"/>
      <c r="Y1228" s="7">
        <v>5</v>
      </c>
      <c r="Z1228" s="8">
        <v>74552</v>
      </c>
      <c r="AA1228" s="7" t="s">
        <v>82</v>
      </c>
      <c r="AB1228" s="7"/>
      <c r="AC1228" s="9">
        <v>5</v>
      </c>
      <c r="AD1228" s="10">
        <v>74552</v>
      </c>
      <c r="AE1228" s="9" t="s">
        <v>82</v>
      </c>
      <c r="AF1228" s="9"/>
      <c r="AG1228" s="11">
        <v>3</v>
      </c>
      <c r="AH1228" s="11" t="s">
        <v>83</v>
      </c>
      <c r="AI1228" s="11"/>
      <c r="AJ1228" s="11"/>
      <c r="AK1228" s="11"/>
      <c r="AL1228" s="12">
        <v>3</v>
      </c>
      <c r="AM1228" s="12" t="s">
        <v>83</v>
      </c>
      <c r="AN1228" s="12"/>
      <c r="AO1228" s="12"/>
      <c r="AP1228" s="12"/>
      <c r="AQ1228" s="4">
        <v>3</v>
      </c>
      <c r="AR1228" s="4" t="s">
        <v>83</v>
      </c>
      <c r="AS1228" s="4"/>
      <c r="AT1228" s="13"/>
      <c r="AU1228" s="13"/>
      <c r="AV1228" s="13"/>
      <c r="AW1228" s="13"/>
      <c r="AX1228" s="4"/>
      <c r="AY1228" s="13"/>
      <c r="AZ1228" s="13"/>
      <c r="BA1228" s="13"/>
      <c r="BB1228" s="13"/>
      <c r="BC1228" s="4"/>
      <c r="BD1228" s="4"/>
      <c r="BE1228" s="4"/>
      <c r="BF1228" s="13"/>
      <c r="BG1228" s="4"/>
      <c r="BH1228" s="13"/>
      <c r="BI1228" s="13"/>
      <c r="BJ1228" s="4"/>
      <c r="BK1228" s="14">
        <v>14</v>
      </c>
      <c r="BL1228" s="14">
        <v>14</v>
      </c>
      <c r="BM1228" s="14">
        <v>14</v>
      </c>
      <c r="BN1228" s="3" t="s">
        <v>86</v>
      </c>
      <c r="BP1228" s="15"/>
      <c r="BQ1228" s="15"/>
      <c r="BR1228" s="2" t="s">
        <v>87</v>
      </c>
      <c r="BS1228" s="2" t="s">
        <v>87</v>
      </c>
      <c r="BT1228" s="7" t="s">
        <v>88</v>
      </c>
      <c r="BU1228" s="7"/>
      <c r="BV1228" s="9" t="s">
        <v>88</v>
      </c>
      <c r="BW1228" s="9"/>
    </row>
    <row r="1229" spans="1:75" ht="14.25" customHeight="1" x14ac:dyDescent="0.25">
      <c r="A1229" s="1">
        <v>2118</v>
      </c>
      <c r="B1229" s="1" t="s">
        <v>4997</v>
      </c>
      <c r="C1229" s="1" t="s">
        <v>4998</v>
      </c>
      <c r="D1229" s="1" t="s">
        <v>77</v>
      </c>
      <c r="E1229" s="1" t="s">
        <v>2396</v>
      </c>
      <c r="F1229" s="1" t="s">
        <v>4956</v>
      </c>
      <c r="G1229" s="1"/>
      <c r="H1229" s="2">
        <v>0</v>
      </c>
      <c r="I1229" s="2">
        <v>0</v>
      </c>
      <c r="J1229" s="2">
        <v>0</v>
      </c>
      <c r="K1229" s="2">
        <v>1</v>
      </c>
      <c r="L1229" s="3" t="s">
        <v>80</v>
      </c>
      <c r="O1229" s="4">
        <v>3</v>
      </c>
      <c r="P1229" s="4" t="s">
        <v>81</v>
      </c>
      <c r="Q1229" s="4"/>
      <c r="R1229" s="5"/>
      <c r="S1229" s="6"/>
      <c r="T1229" s="17"/>
      <c r="U1229" s="6"/>
      <c r="V1229" s="4"/>
      <c r="W1229" s="4"/>
      <c r="X1229" s="4"/>
      <c r="Y1229" s="7">
        <v>4</v>
      </c>
      <c r="Z1229" s="8">
        <v>272086</v>
      </c>
      <c r="AA1229" s="7" t="s">
        <v>82</v>
      </c>
      <c r="AB1229" s="7"/>
      <c r="AC1229" s="9">
        <v>4</v>
      </c>
      <c r="AD1229" s="10">
        <v>272086</v>
      </c>
      <c r="AE1229" s="9" t="s">
        <v>82</v>
      </c>
      <c r="AF1229" s="9"/>
      <c r="AG1229" s="11">
        <v>4</v>
      </c>
      <c r="AH1229" s="11" t="s">
        <v>83</v>
      </c>
      <c r="AI1229" s="11" t="s">
        <v>4999</v>
      </c>
      <c r="AJ1229" s="11"/>
      <c r="AK1229" s="11"/>
      <c r="AL1229" s="12">
        <v>4</v>
      </c>
      <c r="AM1229" s="12" t="s">
        <v>83</v>
      </c>
      <c r="AN1229" s="12" t="s">
        <v>4999</v>
      </c>
      <c r="AO1229" s="12"/>
      <c r="AP1229" s="12"/>
      <c r="AQ1229" s="4">
        <v>5</v>
      </c>
      <c r="AR1229" s="4" t="s">
        <v>83</v>
      </c>
      <c r="AS1229" s="4"/>
      <c r="AT1229" s="13"/>
      <c r="AU1229" s="13"/>
      <c r="AV1229" s="13"/>
      <c r="AW1229" s="13"/>
      <c r="AX1229" s="4"/>
      <c r="AY1229" s="13"/>
      <c r="AZ1229" s="13"/>
      <c r="BA1229" s="13"/>
      <c r="BB1229" s="13"/>
      <c r="BC1229" s="4"/>
      <c r="BD1229" s="4"/>
      <c r="BE1229" s="4"/>
      <c r="BF1229" s="13"/>
      <c r="BG1229" s="4"/>
      <c r="BH1229" s="13"/>
      <c r="BI1229" s="13"/>
      <c r="BJ1229" s="4"/>
      <c r="BK1229" s="14">
        <v>16</v>
      </c>
      <c r="BL1229" s="14">
        <v>16</v>
      </c>
      <c r="BM1229" s="14">
        <v>16</v>
      </c>
      <c r="BN1229" s="3" t="s">
        <v>312</v>
      </c>
      <c r="BP1229" s="15"/>
      <c r="BQ1229" s="15"/>
      <c r="BR1229" s="2" t="s">
        <v>121</v>
      </c>
      <c r="BS1229" s="2" t="s">
        <v>121</v>
      </c>
      <c r="BT1229" s="7" t="s">
        <v>98</v>
      </c>
      <c r="BU1229" s="7"/>
      <c r="BV1229" s="9" t="s">
        <v>98</v>
      </c>
      <c r="BW1229" s="9"/>
    </row>
    <row r="1230" spans="1:75" ht="14.25" customHeight="1" x14ac:dyDescent="0.25">
      <c r="A1230" s="1">
        <v>2119</v>
      </c>
      <c r="B1230" s="1" t="s">
        <v>5000</v>
      </c>
      <c r="C1230" s="1" t="s">
        <v>5001</v>
      </c>
      <c r="D1230" s="1" t="s">
        <v>77</v>
      </c>
      <c r="E1230" s="1" t="s">
        <v>2396</v>
      </c>
      <c r="F1230" s="1" t="s">
        <v>4956</v>
      </c>
      <c r="G1230" s="1"/>
      <c r="H1230" s="2">
        <v>0</v>
      </c>
      <c r="I1230" s="2">
        <v>0</v>
      </c>
      <c r="J1230" s="2">
        <v>0</v>
      </c>
      <c r="K1230" s="2">
        <v>1</v>
      </c>
      <c r="L1230" s="3" t="s">
        <v>80</v>
      </c>
      <c r="M1230" s="3">
        <v>1</v>
      </c>
      <c r="O1230" s="4">
        <v>2</v>
      </c>
      <c r="P1230" s="4" t="s">
        <v>81</v>
      </c>
      <c r="Q1230" s="4"/>
      <c r="R1230" s="5"/>
      <c r="S1230" s="6"/>
      <c r="T1230" s="17"/>
      <c r="U1230" s="6"/>
      <c r="V1230" s="4"/>
      <c r="W1230" s="4"/>
      <c r="X1230" s="4"/>
      <c r="Y1230" s="7">
        <v>1</v>
      </c>
      <c r="Z1230" s="8">
        <v>6564943</v>
      </c>
      <c r="AA1230" s="7" t="s">
        <v>82</v>
      </c>
      <c r="AB1230" s="7"/>
      <c r="AC1230" s="9">
        <v>1</v>
      </c>
      <c r="AD1230" s="10">
        <v>6564943</v>
      </c>
      <c r="AE1230" s="9" t="s">
        <v>82</v>
      </c>
      <c r="AF1230" s="9"/>
      <c r="AG1230" s="11">
        <v>2</v>
      </c>
      <c r="AH1230" s="11" t="s">
        <v>83</v>
      </c>
      <c r="AI1230" s="11"/>
      <c r="AJ1230" s="11"/>
      <c r="AK1230" s="11"/>
      <c r="AL1230" s="12">
        <v>2</v>
      </c>
      <c r="AM1230" s="12" t="s">
        <v>83</v>
      </c>
      <c r="AN1230" s="12"/>
      <c r="AO1230" s="12"/>
      <c r="AP1230" s="12"/>
      <c r="AQ1230" s="4">
        <v>2</v>
      </c>
      <c r="AR1230" s="4" t="s">
        <v>83</v>
      </c>
      <c r="AS1230" s="4"/>
      <c r="AT1230" s="13"/>
      <c r="AU1230" s="13"/>
      <c r="AV1230" s="13"/>
      <c r="AW1230" s="13"/>
      <c r="AX1230" s="4"/>
      <c r="AY1230" s="13"/>
      <c r="AZ1230" s="13"/>
      <c r="BA1230" s="13"/>
      <c r="BB1230" s="13"/>
      <c r="BC1230" s="4"/>
      <c r="BD1230" s="4"/>
      <c r="BE1230" s="4"/>
      <c r="BF1230" s="13"/>
      <c r="BG1230" s="4"/>
      <c r="BH1230" s="13"/>
      <c r="BI1230" s="13"/>
      <c r="BJ1230" s="4"/>
      <c r="BK1230" s="14">
        <v>7</v>
      </c>
      <c r="BL1230" s="14">
        <v>7</v>
      </c>
      <c r="BM1230" s="14">
        <v>7</v>
      </c>
      <c r="BP1230" s="15"/>
      <c r="BQ1230" s="15"/>
      <c r="BR1230" s="2" t="s">
        <v>740</v>
      </c>
      <c r="BS1230" s="2" t="s">
        <v>740</v>
      </c>
      <c r="BT1230" s="7" t="s">
        <v>679</v>
      </c>
      <c r="BU1230" s="7"/>
      <c r="BV1230" s="9" t="s">
        <v>679</v>
      </c>
      <c r="BW1230" s="9"/>
    </row>
    <row r="1231" spans="1:75" ht="14.25" customHeight="1" x14ac:dyDescent="0.25">
      <c r="A1231" s="1">
        <v>2120</v>
      </c>
      <c r="B1231" s="1" t="s">
        <v>5002</v>
      </c>
      <c r="C1231" s="1" t="s">
        <v>5003</v>
      </c>
      <c r="D1231" s="1" t="s">
        <v>77</v>
      </c>
      <c r="E1231" s="1" t="s">
        <v>2396</v>
      </c>
      <c r="F1231" s="1" t="s">
        <v>4956</v>
      </c>
      <c r="G1231" s="1"/>
      <c r="H1231" s="2">
        <v>0</v>
      </c>
      <c r="I1231" s="2">
        <v>0</v>
      </c>
      <c r="J1231" s="2">
        <v>1</v>
      </c>
      <c r="K1231" s="2">
        <v>1</v>
      </c>
      <c r="L1231" s="3" t="s">
        <v>80</v>
      </c>
      <c r="O1231" s="4">
        <v>3</v>
      </c>
      <c r="P1231" s="4" t="s">
        <v>112</v>
      </c>
      <c r="Q1231" s="4" t="s">
        <v>872</v>
      </c>
      <c r="R1231" s="5"/>
      <c r="S1231" s="6"/>
      <c r="T1231" s="17"/>
      <c r="U1231" s="6"/>
      <c r="V1231" s="4"/>
      <c r="W1231" s="4"/>
      <c r="X1231" s="4"/>
      <c r="Y1231" s="7">
        <v>2</v>
      </c>
      <c r="Z1231" s="8">
        <v>2713956</v>
      </c>
      <c r="AA1231" s="7" t="s">
        <v>92</v>
      </c>
      <c r="AB1231" s="7"/>
      <c r="AC1231" s="9">
        <v>1</v>
      </c>
      <c r="AD1231" s="10">
        <v>6559672</v>
      </c>
      <c r="AE1231" s="9" t="s">
        <v>92</v>
      </c>
      <c r="AF1231" s="9" t="s">
        <v>5004</v>
      </c>
      <c r="AG1231" s="11">
        <v>3</v>
      </c>
      <c r="AH1231" s="11" t="s">
        <v>93</v>
      </c>
      <c r="AI1231" s="11"/>
      <c r="AJ1231" s="11"/>
      <c r="AK1231" s="11"/>
      <c r="AL1231" s="12">
        <v>3</v>
      </c>
      <c r="AM1231" s="12" t="s">
        <v>93</v>
      </c>
      <c r="AN1231" s="12" t="s">
        <v>2371</v>
      </c>
      <c r="AO1231" s="12"/>
      <c r="AP1231" s="12"/>
      <c r="AQ1231" s="4">
        <v>3</v>
      </c>
      <c r="AR1231" s="4" t="s">
        <v>83</v>
      </c>
      <c r="AS1231" s="4" t="s">
        <v>5005</v>
      </c>
      <c r="AT1231" s="13"/>
      <c r="AU1231" s="13"/>
      <c r="AV1231" s="13"/>
      <c r="AW1231" s="13"/>
      <c r="AX1231" s="4"/>
      <c r="AY1231" s="13"/>
      <c r="AZ1231" s="13"/>
      <c r="BA1231" s="13"/>
      <c r="BB1231" s="13"/>
      <c r="BC1231" s="4"/>
      <c r="BD1231" s="4"/>
      <c r="BE1231" s="4"/>
      <c r="BF1231" s="13"/>
      <c r="BG1231" s="4"/>
      <c r="BH1231" s="13"/>
      <c r="BI1231" s="13"/>
      <c r="BJ1231" s="4"/>
      <c r="BK1231" s="14">
        <v>11</v>
      </c>
      <c r="BL1231" s="14">
        <v>10</v>
      </c>
      <c r="BM1231" s="14">
        <v>11</v>
      </c>
      <c r="BP1231" s="15"/>
      <c r="BQ1231" s="15" t="s">
        <v>146</v>
      </c>
      <c r="BR1231" s="2" t="s">
        <v>740</v>
      </c>
      <c r="BS1231" s="2" t="s">
        <v>740</v>
      </c>
      <c r="BT1231" s="7" t="s">
        <v>463</v>
      </c>
      <c r="BU1231" s="7"/>
      <c r="BV1231" s="9" t="s">
        <v>463</v>
      </c>
      <c r="BW1231" s="9"/>
    </row>
    <row r="1232" spans="1:75" ht="14.25" customHeight="1" x14ac:dyDescent="0.25">
      <c r="A1232" s="1">
        <v>2121</v>
      </c>
      <c r="B1232" s="1" t="s">
        <v>5006</v>
      </c>
      <c r="C1232" s="1" t="s">
        <v>5007</v>
      </c>
      <c r="D1232" s="1" t="s">
        <v>77</v>
      </c>
      <c r="E1232" s="1" t="s">
        <v>2396</v>
      </c>
      <c r="F1232" s="1" t="s">
        <v>4956</v>
      </c>
      <c r="G1232" s="1"/>
      <c r="H1232" s="2">
        <v>0</v>
      </c>
      <c r="I1232" s="2">
        <v>0</v>
      </c>
      <c r="J1232" s="2">
        <v>1</v>
      </c>
      <c r="K1232" s="2">
        <v>1</v>
      </c>
      <c r="L1232" s="3" t="s">
        <v>80</v>
      </c>
      <c r="O1232" s="4">
        <v>4</v>
      </c>
      <c r="P1232" s="4" t="s">
        <v>81</v>
      </c>
      <c r="Q1232" s="4" t="s">
        <v>1012</v>
      </c>
      <c r="R1232" s="5"/>
      <c r="S1232" s="6"/>
      <c r="T1232" s="17"/>
      <c r="U1232" s="6"/>
      <c r="V1232" s="4"/>
      <c r="W1232" s="4"/>
      <c r="X1232" s="4"/>
      <c r="Y1232" s="7">
        <v>3</v>
      </c>
      <c r="Z1232" s="8">
        <v>479882</v>
      </c>
      <c r="AA1232" s="7" t="s">
        <v>92</v>
      </c>
      <c r="AB1232" s="7"/>
      <c r="AC1232" s="9">
        <v>3</v>
      </c>
      <c r="AD1232" s="10">
        <v>479882</v>
      </c>
      <c r="AE1232" s="9" t="s">
        <v>92</v>
      </c>
      <c r="AF1232" s="9" t="s">
        <v>5008</v>
      </c>
      <c r="AG1232" s="11">
        <v>4</v>
      </c>
      <c r="AH1232" s="11" t="s">
        <v>93</v>
      </c>
      <c r="AI1232" s="11"/>
      <c r="AJ1232" s="11"/>
      <c r="AK1232" s="11"/>
      <c r="AL1232" s="12">
        <v>4</v>
      </c>
      <c r="AM1232" s="12" t="s">
        <v>93</v>
      </c>
      <c r="AN1232" s="12" t="s">
        <v>5009</v>
      </c>
      <c r="AO1232" s="12"/>
      <c r="AP1232" s="12"/>
      <c r="AQ1232" s="4">
        <v>4</v>
      </c>
      <c r="AR1232" s="4" t="s">
        <v>83</v>
      </c>
      <c r="AS1232" s="4" t="s">
        <v>5010</v>
      </c>
      <c r="AT1232" s="13"/>
      <c r="AU1232" s="13"/>
      <c r="AV1232" s="13"/>
      <c r="AW1232" s="13"/>
      <c r="AX1232" s="4"/>
      <c r="AY1232" s="13"/>
      <c r="AZ1232" s="13"/>
      <c r="BA1232" s="13"/>
      <c r="BB1232" s="13"/>
      <c r="BC1232" s="4"/>
      <c r="BD1232" s="4"/>
      <c r="BE1232" s="4"/>
      <c r="BF1232" s="13"/>
      <c r="BG1232" s="4"/>
      <c r="BH1232" s="13"/>
      <c r="BI1232" s="13"/>
      <c r="BJ1232" s="4"/>
      <c r="BK1232" s="14">
        <v>15</v>
      </c>
      <c r="BL1232" s="14">
        <v>15</v>
      </c>
      <c r="BM1232" s="14">
        <v>15</v>
      </c>
      <c r="BN1232" s="3" t="s">
        <v>86</v>
      </c>
      <c r="BP1232" s="15"/>
      <c r="BQ1232" s="15"/>
      <c r="BR1232" s="2" t="s">
        <v>87</v>
      </c>
      <c r="BS1232" s="2" t="s">
        <v>87</v>
      </c>
      <c r="BT1232" s="7" t="s">
        <v>88</v>
      </c>
      <c r="BU1232" s="7"/>
      <c r="BV1232" s="9" t="s">
        <v>88</v>
      </c>
      <c r="BW1232" s="9"/>
    </row>
    <row r="1233" spans="1:75" ht="14.25" customHeight="1" x14ac:dyDescent="0.25">
      <c r="A1233" s="1">
        <v>2122</v>
      </c>
      <c r="B1233" s="1" t="s">
        <v>5011</v>
      </c>
      <c r="C1233" s="1" t="s">
        <v>5012</v>
      </c>
      <c r="D1233" s="1" t="s">
        <v>77</v>
      </c>
      <c r="E1233" s="1" t="s">
        <v>2396</v>
      </c>
      <c r="F1233" s="1" t="s">
        <v>4956</v>
      </c>
      <c r="G1233" s="1" t="s">
        <v>118</v>
      </c>
      <c r="H1233" s="2">
        <v>0</v>
      </c>
      <c r="I1233" s="2">
        <v>0</v>
      </c>
      <c r="J1233" s="2">
        <v>0</v>
      </c>
      <c r="K1233" s="2">
        <v>1</v>
      </c>
      <c r="L1233" s="3" t="s">
        <v>80</v>
      </c>
      <c r="O1233" s="4">
        <v>5</v>
      </c>
      <c r="P1233" s="4" t="s">
        <v>81</v>
      </c>
      <c r="Q1233" s="4"/>
      <c r="R1233" s="5"/>
      <c r="S1233" s="6"/>
      <c r="T1233" s="17"/>
      <c r="U1233" s="6"/>
      <c r="V1233" s="4"/>
      <c r="W1233" s="4"/>
      <c r="X1233" s="4"/>
      <c r="Y1233" s="7">
        <v>5</v>
      </c>
      <c r="Z1233" s="8">
        <v>4775</v>
      </c>
      <c r="AA1233" s="7" t="s">
        <v>82</v>
      </c>
      <c r="AB1233" s="7"/>
      <c r="AC1233" s="9">
        <v>5</v>
      </c>
      <c r="AD1233" s="10">
        <v>4775</v>
      </c>
      <c r="AE1233" s="9" t="s">
        <v>82</v>
      </c>
      <c r="AF1233" s="9"/>
      <c r="AG1233" s="11">
        <v>4</v>
      </c>
      <c r="AH1233" s="11" t="s">
        <v>83</v>
      </c>
      <c r="AI1233" s="11" t="s">
        <v>5013</v>
      </c>
      <c r="AJ1233" s="11"/>
      <c r="AK1233" s="11"/>
      <c r="AL1233" s="12">
        <v>4</v>
      </c>
      <c r="AM1233" s="12" t="s">
        <v>83</v>
      </c>
      <c r="AN1233" s="12"/>
      <c r="AO1233" s="12"/>
      <c r="AP1233" s="12"/>
      <c r="AQ1233" s="4">
        <v>3</v>
      </c>
      <c r="AR1233" s="4" t="s">
        <v>83</v>
      </c>
      <c r="AS1233" s="4"/>
      <c r="AT1233" s="13"/>
      <c r="AU1233" s="13"/>
      <c r="AV1233" s="13"/>
      <c r="AW1233" s="13"/>
      <c r="AX1233" s="4"/>
      <c r="AY1233" s="13"/>
      <c r="AZ1233" s="13"/>
      <c r="BA1233" s="13"/>
      <c r="BB1233" s="13"/>
      <c r="BC1233" s="4"/>
      <c r="BD1233" s="4"/>
      <c r="BE1233" s="4"/>
      <c r="BF1233" s="13"/>
      <c r="BG1233" s="4"/>
      <c r="BH1233" s="13"/>
      <c r="BI1233" s="13"/>
      <c r="BJ1233" s="4"/>
      <c r="BK1233" s="14">
        <v>17</v>
      </c>
      <c r="BL1233" s="14">
        <v>17</v>
      </c>
      <c r="BM1233" s="14">
        <v>17</v>
      </c>
      <c r="BN1233" s="3" t="s">
        <v>312</v>
      </c>
      <c r="BP1233" s="15"/>
      <c r="BQ1233" s="15"/>
      <c r="BR1233" s="2" t="s">
        <v>87</v>
      </c>
      <c r="BS1233" s="2" t="s">
        <v>87</v>
      </c>
      <c r="BT1233" s="7" t="s">
        <v>88</v>
      </c>
      <c r="BU1233" s="7"/>
      <c r="BV1233" s="9" t="s">
        <v>88</v>
      </c>
      <c r="BW1233" s="9"/>
    </row>
    <row r="1234" spans="1:75" ht="14.25" customHeight="1" x14ac:dyDescent="0.25">
      <c r="A1234" s="1">
        <v>2123</v>
      </c>
      <c r="B1234" s="1" t="s">
        <v>5014</v>
      </c>
      <c r="C1234" s="1" t="s">
        <v>5015</v>
      </c>
      <c r="D1234" s="1" t="s">
        <v>77</v>
      </c>
      <c r="E1234" s="1" t="s">
        <v>2396</v>
      </c>
      <c r="F1234" s="1" t="s">
        <v>4956</v>
      </c>
      <c r="G1234" s="1"/>
      <c r="H1234" s="2">
        <v>0</v>
      </c>
      <c r="I1234" s="2">
        <v>0</v>
      </c>
      <c r="J1234" s="2">
        <v>1</v>
      </c>
      <c r="K1234" s="2">
        <v>1</v>
      </c>
      <c r="L1234" s="3" t="s">
        <v>80</v>
      </c>
      <c r="O1234" s="4">
        <v>4</v>
      </c>
      <c r="P1234" s="4" t="s">
        <v>101</v>
      </c>
      <c r="Q1234" s="4" t="s">
        <v>5016</v>
      </c>
      <c r="R1234" s="5"/>
      <c r="S1234" s="6"/>
      <c r="T1234" s="17"/>
      <c r="U1234" s="6"/>
      <c r="V1234" s="4"/>
      <c r="W1234" s="4"/>
      <c r="X1234" s="4"/>
      <c r="Y1234" s="7">
        <v>4</v>
      </c>
      <c r="Z1234" s="8">
        <v>234424</v>
      </c>
      <c r="AA1234" s="7" t="s">
        <v>92</v>
      </c>
      <c r="AB1234" s="7"/>
      <c r="AC1234" s="9">
        <v>4</v>
      </c>
      <c r="AD1234" s="10">
        <v>234424</v>
      </c>
      <c r="AE1234" s="9" t="s">
        <v>92</v>
      </c>
      <c r="AF1234" s="9"/>
      <c r="AG1234" s="11">
        <v>2</v>
      </c>
      <c r="AH1234" s="11" t="s">
        <v>93</v>
      </c>
      <c r="AI1234" s="11" t="s">
        <v>445</v>
      </c>
      <c r="AJ1234" s="11"/>
      <c r="AK1234" s="11"/>
      <c r="AL1234" s="12">
        <v>2</v>
      </c>
      <c r="AM1234" s="12" t="s">
        <v>93</v>
      </c>
      <c r="AN1234" s="12" t="s">
        <v>687</v>
      </c>
      <c r="AO1234" s="12"/>
      <c r="AP1234" s="12"/>
      <c r="AQ1234" s="4">
        <v>2</v>
      </c>
      <c r="AR1234" s="4" t="s">
        <v>83</v>
      </c>
      <c r="AS1234" s="4"/>
      <c r="AT1234" s="13"/>
      <c r="AU1234" s="13"/>
      <c r="AV1234" s="13"/>
      <c r="AW1234" s="13"/>
      <c r="AX1234" s="4"/>
      <c r="AY1234" s="13"/>
      <c r="AZ1234" s="13"/>
      <c r="BA1234" s="13"/>
      <c r="BB1234" s="13"/>
      <c r="BC1234" s="4"/>
      <c r="BD1234" s="4"/>
      <c r="BE1234" s="4"/>
      <c r="BF1234" s="13"/>
      <c r="BG1234" s="4"/>
      <c r="BH1234" s="13"/>
      <c r="BI1234" s="13"/>
      <c r="BJ1234" s="4"/>
      <c r="BK1234" s="14">
        <v>12</v>
      </c>
      <c r="BL1234" s="14">
        <v>12</v>
      </c>
      <c r="BM1234" s="14">
        <v>12</v>
      </c>
      <c r="BP1234" s="15"/>
      <c r="BQ1234" s="15"/>
      <c r="BR1234" s="2" t="s">
        <v>409</v>
      </c>
      <c r="BS1234" s="2" t="s">
        <v>409</v>
      </c>
      <c r="BT1234" s="7" t="s">
        <v>88</v>
      </c>
      <c r="BU1234" s="7"/>
      <c r="BV1234" s="9" t="s">
        <v>88</v>
      </c>
      <c r="BW1234" s="9"/>
    </row>
    <row r="1235" spans="1:75" ht="14.25" customHeight="1" x14ac:dyDescent="0.25">
      <c r="A1235" s="1">
        <v>2124</v>
      </c>
      <c r="B1235" s="1" t="s">
        <v>5017</v>
      </c>
      <c r="C1235" s="1" t="s">
        <v>5018</v>
      </c>
      <c r="D1235" s="1" t="s">
        <v>77</v>
      </c>
      <c r="E1235" s="1" t="s">
        <v>2396</v>
      </c>
      <c r="F1235" s="1" t="s">
        <v>4956</v>
      </c>
      <c r="G1235" s="1"/>
      <c r="H1235" s="2">
        <v>0</v>
      </c>
      <c r="I1235" s="2">
        <v>0</v>
      </c>
      <c r="J1235" s="2">
        <v>0</v>
      </c>
      <c r="K1235" s="2">
        <v>1</v>
      </c>
      <c r="L1235" s="3" t="s">
        <v>80</v>
      </c>
      <c r="O1235" s="4">
        <v>4</v>
      </c>
      <c r="P1235" s="4" t="s">
        <v>81</v>
      </c>
      <c r="Q1235" s="4"/>
      <c r="R1235" s="5"/>
      <c r="S1235" s="6"/>
      <c r="T1235" s="17"/>
      <c r="U1235" s="6"/>
      <c r="V1235" s="4"/>
      <c r="W1235" s="4"/>
      <c r="X1235" s="4"/>
      <c r="Y1235" s="7">
        <v>5</v>
      </c>
      <c r="Z1235" s="8">
        <v>8971</v>
      </c>
      <c r="AA1235" s="7" t="s">
        <v>82</v>
      </c>
      <c r="AB1235" s="7"/>
      <c r="AC1235" s="9">
        <v>5</v>
      </c>
      <c r="AD1235" s="10">
        <v>8971</v>
      </c>
      <c r="AE1235" s="9" t="s">
        <v>82</v>
      </c>
      <c r="AF1235" s="9"/>
      <c r="AG1235" s="11">
        <v>3</v>
      </c>
      <c r="AH1235" s="11" t="s">
        <v>83</v>
      </c>
      <c r="AI1235" s="11" t="s">
        <v>5019</v>
      </c>
      <c r="AJ1235" s="11"/>
      <c r="AK1235" s="11"/>
      <c r="AL1235" s="12">
        <v>3</v>
      </c>
      <c r="AM1235" s="12" t="s">
        <v>83</v>
      </c>
      <c r="AN1235" s="12"/>
      <c r="AO1235" s="12"/>
      <c r="AP1235" s="12"/>
      <c r="AQ1235" s="4">
        <v>3</v>
      </c>
      <c r="AR1235" s="4" t="s">
        <v>83</v>
      </c>
      <c r="AS1235" s="4"/>
      <c r="AT1235" s="13"/>
      <c r="AU1235" s="13"/>
      <c r="AV1235" s="13"/>
      <c r="AW1235" s="13"/>
      <c r="AX1235" s="4"/>
      <c r="AY1235" s="13"/>
      <c r="AZ1235" s="13"/>
      <c r="BA1235" s="13"/>
      <c r="BB1235" s="13"/>
      <c r="BC1235" s="4"/>
      <c r="BD1235" s="4"/>
      <c r="BE1235" s="4"/>
      <c r="BF1235" s="13"/>
      <c r="BG1235" s="4"/>
      <c r="BH1235" s="13"/>
      <c r="BI1235" s="13"/>
      <c r="BJ1235" s="4"/>
      <c r="BK1235" s="14">
        <v>15</v>
      </c>
      <c r="BL1235" s="14">
        <v>15</v>
      </c>
      <c r="BM1235" s="14">
        <v>15</v>
      </c>
      <c r="BN1235" s="3" t="s">
        <v>86</v>
      </c>
      <c r="BP1235" s="15"/>
      <c r="BQ1235" s="15"/>
      <c r="BR1235" s="2" t="s">
        <v>87</v>
      </c>
      <c r="BS1235" s="2" t="s">
        <v>87</v>
      </c>
      <c r="BT1235" s="7" t="s">
        <v>88</v>
      </c>
      <c r="BU1235" s="7"/>
      <c r="BV1235" s="9" t="s">
        <v>88</v>
      </c>
      <c r="BW1235" s="9"/>
    </row>
    <row r="1236" spans="1:75" ht="14.25" customHeight="1" x14ac:dyDescent="0.25">
      <c r="A1236" s="1">
        <v>2125</v>
      </c>
      <c r="B1236" s="1" t="s">
        <v>5020</v>
      </c>
      <c r="C1236" s="1" t="s">
        <v>5021</v>
      </c>
      <c r="D1236" s="1" t="s">
        <v>77</v>
      </c>
      <c r="E1236" s="1" t="s">
        <v>2396</v>
      </c>
      <c r="F1236" s="1" t="s">
        <v>4956</v>
      </c>
      <c r="G1236" s="1"/>
      <c r="H1236" s="2">
        <v>0</v>
      </c>
      <c r="I1236" s="2">
        <v>0</v>
      </c>
      <c r="J1236" s="2">
        <v>1</v>
      </c>
      <c r="K1236" s="2">
        <v>1</v>
      </c>
      <c r="L1236" s="3" t="s">
        <v>80</v>
      </c>
      <c r="O1236" s="4">
        <v>3</v>
      </c>
      <c r="P1236" s="4" t="s">
        <v>112</v>
      </c>
      <c r="Q1236" s="4" t="s">
        <v>5022</v>
      </c>
      <c r="R1236" s="5"/>
      <c r="S1236" s="6"/>
      <c r="T1236" s="17"/>
      <c r="U1236" s="6"/>
      <c r="V1236" s="4"/>
      <c r="W1236" s="4"/>
      <c r="X1236" s="4"/>
      <c r="Y1236" s="7">
        <v>1</v>
      </c>
      <c r="Z1236" s="8">
        <v>7946272</v>
      </c>
      <c r="AA1236" s="7" t="s">
        <v>92</v>
      </c>
      <c r="AB1236" s="7"/>
      <c r="AC1236" s="9">
        <v>1</v>
      </c>
      <c r="AD1236" s="10">
        <v>7946272</v>
      </c>
      <c r="AE1236" s="9" t="s">
        <v>92</v>
      </c>
      <c r="AF1236" s="9"/>
      <c r="AG1236" s="11">
        <v>4</v>
      </c>
      <c r="AH1236" s="11" t="s">
        <v>93</v>
      </c>
      <c r="AI1236" s="11"/>
      <c r="AJ1236" s="11"/>
      <c r="AK1236" s="11"/>
      <c r="AL1236" s="12">
        <v>4</v>
      </c>
      <c r="AM1236" s="12" t="s">
        <v>93</v>
      </c>
      <c r="AN1236" s="12" t="s">
        <v>698</v>
      </c>
      <c r="AO1236" s="12"/>
      <c r="AP1236" s="12"/>
      <c r="AQ1236" s="4">
        <v>4</v>
      </c>
      <c r="AR1236" s="4" t="s">
        <v>83</v>
      </c>
      <c r="AS1236" s="4"/>
      <c r="AT1236" s="13"/>
      <c r="AU1236" s="13"/>
      <c r="AV1236" s="13"/>
      <c r="AW1236" s="13"/>
      <c r="AX1236" s="4"/>
      <c r="AY1236" s="13"/>
      <c r="AZ1236" s="13"/>
      <c r="BA1236" s="13"/>
      <c r="BB1236" s="13"/>
      <c r="BC1236" s="4"/>
      <c r="BD1236" s="4"/>
      <c r="BE1236" s="4"/>
      <c r="BF1236" s="13"/>
      <c r="BG1236" s="4"/>
      <c r="BH1236" s="13"/>
      <c r="BI1236" s="13"/>
      <c r="BJ1236" s="4"/>
      <c r="BK1236" s="14">
        <v>12</v>
      </c>
      <c r="BL1236" s="14">
        <v>12</v>
      </c>
      <c r="BM1236" s="14">
        <v>12</v>
      </c>
      <c r="BP1236" s="15"/>
      <c r="BQ1236" s="15"/>
      <c r="BR1236" s="2" t="s">
        <v>97</v>
      </c>
      <c r="BS1236" s="2" t="s">
        <v>97</v>
      </c>
      <c r="BT1236" s="7" t="s">
        <v>98</v>
      </c>
      <c r="BU1236" s="7"/>
      <c r="BV1236" s="9" t="s">
        <v>98</v>
      </c>
      <c r="BW1236" s="9"/>
    </row>
    <row r="1237" spans="1:75" ht="14.25" customHeight="1" x14ac:dyDescent="0.25">
      <c r="A1237" s="1">
        <v>2126</v>
      </c>
      <c r="B1237" s="1" t="s">
        <v>5023</v>
      </c>
      <c r="C1237" s="1" t="s">
        <v>5024</v>
      </c>
      <c r="D1237" s="1" t="s">
        <v>77</v>
      </c>
      <c r="E1237" s="1" t="s">
        <v>2396</v>
      </c>
      <c r="F1237" s="1" t="s">
        <v>4956</v>
      </c>
      <c r="G1237" s="1"/>
      <c r="H1237" s="2">
        <v>0</v>
      </c>
      <c r="I1237" s="2">
        <v>0</v>
      </c>
      <c r="J1237" s="2">
        <v>0</v>
      </c>
      <c r="K1237" s="2">
        <v>1</v>
      </c>
      <c r="L1237" s="3" t="s">
        <v>80</v>
      </c>
      <c r="O1237" s="4">
        <v>4</v>
      </c>
      <c r="P1237" s="4" t="s">
        <v>81</v>
      </c>
      <c r="Q1237" s="4"/>
      <c r="R1237" s="5"/>
      <c r="S1237" s="6"/>
      <c r="T1237" s="17"/>
      <c r="U1237" s="6"/>
      <c r="V1237" s="4"/>
      <c r="W1237" s="4"/>
      <c r="X1237" s="4"/>
      <c r="Y1237" s="7">
        <v>5</v>
      </c>
      <c r="Z1237" s="8">
        <v>15769</v>
      </c>
      <c r="AA1237" s="7" t="s">
        <v>82</v>
      </c>
      <c r="AB1237" s="7"/>
      <c r="AC1237" s="9">
        <v>5</v>
      </c>
      <c r="AD1237" s="10">
        <v>15769</v>
      </c>
      <c r="AE1237" s="9" t="s">
        <v>82</v>
      </c>
      <c r="AF1237" s="9"/>
      <c r="AG1237" s="11">
        <v>3</v>
      </c>
      <c r="AH1237" s="11" t="s">
        <v>83</v>
      </c>
      <c r="AI1237" s="11"/>
      <c r="AJ1237" s="11"/>
      <c r="AK1237" s="11"/>
      <c r="AL1237" s="12">
        <v>3</v>
      </c>
      <c r="AM1237" s="12" t="s">
        <v>83</v>
      </c>
      <c r="AN1237" s="12"/>
      <c r="AO1237" s="12"/>
      <c r="AP1237" s="12"/>
      <c r="AQ1237" s="4">
        <v>3</v>
      </c>
      <c r="AR1237" s="4" t="s">
        <v>83</v>
      </c>
      <c r="AS1237" s="4"/>
      <c r="AT1237" s="13"/>
      <c r="AU1237" s="13"/>
      <c r="AV1237" s="13"/>
      <c r="AW1237" s="13"/>
      <c r="AX1237" s="4"/>
      <c r="AY1237" s="13"/>
      <c r="AZ1237" s="13"/>
      <c r="BA1237" s="13"/>
      <c r="BB1237" s="13"/>
      <c r="BC1237" s="4"/>
      <c r="BD1237" s="4"/>
      <c r="BE1237" s="4"/>
      <c r="BF1237" s="13"/>
      <c r="BG1237" s="4"/>
      <c r="BH1237" s="13"/>
      <c r="BI1237" s="13"/>
      <c r="BJ1237" s="4"/>
      <c r="BK1237" s="14">
        <v>15</v>
      </c>
      <c r="BL1237" s="14">
        <v>15</v>
      </c>
      <c r="BM1237" s="14">
        <v>15</v>
      </c>
      <c r="BN1237" s="3" t="s">
        <v>86</v>
      </c>
      <c r="BP1237" s="15"/>
      <c r="BQ1237" s="15"/>
      <c r="BR1237" s="2" t="s">
        <v>87</v>
      </c>
      <c r="BS1237" s="2" t="s">
        <v>87</v>
      </c>
      <c r="BT1237" s="7" t="s">
        <v>88</v>
      </c>
      <c r="BU1237" s="7"/>
      <c r="BV1237" s="9" t="s">
        <v>88</v>
      </c>
      <c r="BW1237" s="9"/>
    </row>
    <row r="1238" spans="1:75" ht="14.25" customHeight="1" x14ac:dyDescent="0.25">
      <c r="A1238" s="1">
        <v>2127</v>
      </c>
      <c r="B1238" s="1" t="s">
        <v>5025</v>
      </c>
      <c r="C1238" s="1" t="s">
        <v>5026</v>
      </c>
      <c r="D1238" s="1" t="s">
        <v>77</v>
      </c>
      <c r="E1238" s="1" t="s">
        <v>2396</v>
      </c>
      <c r="F1238" s="1" t="s">
        <v>4956</v>
      </c>
      <c r="G1238" s="1" t="s">
        <v>118</v>
      </c>
      <c r="H1238" s="2">
        <v>0</v>
      </c>
      <c r="I1238" s="2">
        <v>0</v>
      </c>
      <c r="J1238" s="2">
        <v>0</v>
      </c>
      <c r="K1238" s="2">
        <v>1</v>
      </c>
      <c r="L1238" s="3" t="s">
        <v>80</v>
      </c>
      <c r="O1238" s="4">
        <v>5</v>
      </c>
      <c r="P1238" s="4" t="s">
        <v>81</v>
      </c>
      <c r="Q1238" s="4"/>
      <c r="R1238" s="5"/>
      <c r="S1238" s="6"/>
      <c r="T1238" s="17"/>
      <c r="U1238" s="6"/>
      <c r="V1238" s="4"/>
      <c r="W1238" s="4"/>
      <c r="X1238" s="4"/>
      <c r="Y1238" s="7">
        <v>5</v>
      </c>
      <c r="Z1238" s="8">
        <v>21543</v>
      </c>
      <c r="AA1238" s="7" t="s">
        <v>82</v>
      </c>
      <c r="AB1238" s="7"/>
      <c r="AC1238" s="9">
        <v>5</v>
      </c>
      <c r="AD1238" s="10">
        <v>21543</v>
      </c>
      <c r="AE1238" s="9" t="s">
        <v>82</v>
      </c>
      <c r="AF1238" s="9"/>
      <c r="AG1238" s="11">
        <v>3</v>
      </c>
      <c r="AH1238" s="11" t="s">
        <v>83</v>
      </c>
      <c r="AI1238" s="11"/>
      <c r="AJ1238" s="11"/>
      <c r="AK1238" s="11"/>
      <c r="AL1238" s="12">
        <v>3</v>
      </c>
      <c r="AM1238" s="12" t="s">
        <v>83</v>
      </c>
      <c r="AN1238" s="12"/>
      <c r="AO1238" s="12"/>
      <c r="AP1238" s="12"/>
      <c r="AQ1238" s="4">
        <v>3</v>
      </c>
      <c r="AR1238" s="4" t="s">
        <v>83</v>
      </c>
      <c r="AS1238" s="4" t="s">
        <v>5027</v>
      </c>
      <c r="AT1238" s="13"/>
      <c r="AU1238" s="13"/>
      <c r="AV1238" s="13"/>
      <c r="AW1238" s="13"/>
      <c r="AX1238" s="4"/>
      <c r="AY1238" s="13"/>
      <c r="AZ1238" s="13"/>
      <c r="BA1238" s="13"/>
      <c r="BB1238" s="13"/>
      <c r="BC1238" s="4"/>
      <c r="BD1238" s="4"/>
      <c r="BE1238" s="4"/>
      <c r="BF1238" s="13"/>
      <c r="BG1238" s="4"/>
      <c r="BH1238" s="13"/>
      <c r="BI1238" s="13"/>
      <c r="BJ1238" s="4"/>
      <c r="BK1238" s="14">
        <v>16</v>
      </c>
      <c r="BL1238" s="14">
        <v>16</v>
      </c>
      <c r="BM1238" s="14">
        <v>16</v>
      </c>
      <c r="BN1238" s="3" t="s">
        <v>86</v>
      </c>
      <c r="BP1238" s="15"/>
      <c r="BQ1238" s="15"/>
      <c r="BR1238" s="2" t="s">
        <v>115</v>
      </c>
      <c r="BS1238" s="2" t="s">
        <v>115</v>
      </c>
      <c r="BT1238" s="7" t="s">
        <v>98</v>
      </c>
      <c r="BU1238" s="7"/>
      <c r="BV1238" s="9" t="s">
        <v>98</v>
      </c>
      <c r="BW1238" s="9"/>
    </row>
    <row r="1239" spans="1:75" ht="14.25" customHeight="1" x14ac:dyDescent="0.25">
      <c r="A1239" s="1">
        <v>2128</v>
      </c>
      <c r="B1239" s="1" t="s">
        <v>5028</v>
      </c>
      <c r="C1239" s="1" t="s">
        <v>5029</v>
      </c>
      <c r="D1239" s="1" t="s">
        <v>77</v>
      </c>
      <c r="E1239" s="1" t="s">
        <v>2396</v>
      </c>
      <c r="F1239" s="1" t="s">
        <v>4956</v>
      </c>
      <c r="G1239" s="1"/>
      <c r="H1239" s="2">
        <v>0</v>
      </c>
      <c r="I1239" s="2">
        <v>0</v>
      </c>
      <c r="J1239" s="2">
        <v>0</v>
      </c>
      <c r="K1239" s="2">
        <v>1</v>
      </c>
      <c r="L1239" s="3" t="s">
        <v>80</v>
      </c>
      <c r="O1239" s="4">
        <v>4</v>
      </c>
      <c r="P1239" s="4" t="s">
        <v>81</v>
      </c>
      <c r="Q1239" s="4"/>
      <c r="R1239" s="5"/>
      <c r="S1239" s="6"/>
      <c r="T1239" s="17"/>
      <c r="U1239" s="6"/>
      <c r="V1239" s="4"/>
      <c r="W1239" s="4"/>
      <c r="X1239" s="4"/>
      <c r="Y1239" s="7">
        <v>4</v>
      </c>
      <c r="Z1239" s="8">
        <v>152578</v>
      </c>
      <c r="AA1239" s="7" t="s">
        <v>82</v>
      </c>
      <c r="AB1239" s="7"/>
      <c r="AC1239" s="9">
        <v>4</v>
      </c>
      <c r="AD1239" s="10">
        <v>152578</v>
      </c>
      <c r="AE1239" s="9" t="s">
        <v>82</v>
      </c>
      <c r="AF1239" s="9"/>
      <c r="AG1239" s="11">
        <v>4</v>
      </c>
      <c r="AH1239" s="11" t="s">
        <v>83</v>
      </c>
      <c r="AI1239" s="11"/>
      <c r="AJ1239" s="11"/>
      <c r="AK1239" s="11"/>
      <c r="AL1239" s="12">
        <v>4</v>
      </c>
      <c r="AM1239" s="12" t="s">
        <v>83</v>
      </c>
      <c r="AN1239" s="12"/>
      <c r="AO1239" s="12"/>
      <c r="AP1239" s="12"/>
      <c r="AQ1239" s="4">
        <v>4</v>
      </c>
      <c r="AR1239" s="4" t="s">
        <v>83</v>
      </c>
      <c r="AS1239" s="4"/>
      <c r="AT1239" s="13"/>
      <c r="AU1239" s="13"/>
      <c r="AV1239" s="13"/>
      <c r="AW1239" s="13"/>
      <c r="AX1239" s="4"/>
      <c r="AY1239" s="13"/>
      <c r="AZ1239" s="13"/>
      <c r="BA1239" s="13"/>
      <c r="BB1239" s="13"/>
      <c r="BC1239" s="4"/>
      <c r="BD1239" s="4"/>
      <c r="BE1239" s="4"/>
      <c r="BF1239" s="13"/>
      <c r="BG1239" s="4"/>
      <c r="BH1239" s="13"/>
      <c r="BI1239" s="13"/>
      <c r="BJ1239" s="4"/>
      <c r="BK1239" s="14">
        <v>16</v>
      </c>
      <c r="BL1239" s="14">
        <v>16</v>
      </c>
      <c r="BM1239" s="14">
        <v>16</v>
      </c>
      <c r="BN1239" s="3" t="s">
        <v>86</v>
      </c>
      <c r="BP1239" s="15"/>
      <c r="BQ1239" s="15"/>
      <c r="BR1239" s="2" t="s">
        <v>121</v>
      </c>
      <c r="BS1239" s="2" t="s">
        <v>121</v>
      </c>
      <c r="BT1239" s="7" t="s">
        <v>98</v>
      </c>
      <c r="BU1239" s="7"/>
      <c r="BV1239" s="9" t="s">
        <v>98</v>
      </c>
      <c r="BW1239" s="9"/>
    </row>
    <row r="1240" spans="1:75" ht="14.25" customHeight="1" x14ac:dyDescent="0.25">
      <c r="A1240" s="1">
        <v>2129</v>
      </c>
      <c r="B1240" s="1" t="s">
        <v>5030</v>
      </c>
      <c r="C1240" s="1" t="s">
        <v>5031</v>
      </c>
      <c r="D1240" s="1" t="s">
        <v>77</v>
      </c>
      <c r="E1240" s="1" t="s">
        <v>2396</v>
      </c>
      <c r="F1240" s="1" t="s">
        <v>4956</v>
      </c>
      <c r="G1240" s="1"/>
      <c r="H1240" s="2">
        <v>0</v>
      </c>
      <c r="I1240" s="2">
        <v>0</v>
      </c>
      <c r="J1240" s="2">
        <v>0</v>
      </c>
      <c r="K1240" s="2">
        <v>1</v>
      </c>
      <c r="L1240" s="3" t="s">
        <v>80</v>
      </c>
      <c r="O1240" s="4">
        <v>2</v>
      </c>
      <c r="P1240" s="4" t="s">
        <v>81</v>
      </c>
      <c r="Q1240" s="4"/>
      <c r="R1240" s="5"/>
      <c r="S1240" s="6"/>
      <c r="T1240" s="17"/>
      <c r="U1240" s="6"/>
      <c r="V1240" s="4"/>
      <c r="W1240" s="4"/>
      <c r="X1240" s="4"/>
      <c r="Y1240" s="7">
        <v>1</v>
      </c>
      <c r="Z1240" s="8">
        <v>5631937</v>
      </c>
      <c r="AA1240" s="7" t="s">
        <v>82</v>
      </c>
      <c r="AB1240" s="7"/>
      <c r="AC1240" s="9">
        <v>1</v>
      </c>
      <c r="AD1240" s="10">
        <v>5631937</v>
      </c>
      <c r="AE1240" s="9" t="s">
        <v>82</v>
      </c>
      <c r="AF1240" s="9"/>
      <c r="AG1240" s="11">
        <v>4</v>
      </c>
      <c r="AH1240" s="11" t="s">
        <v>83</v>
      </c>
      <c r="AI1240" s="11"/>
      <c r="AJ1240" s="11"/>
      <c r="AK1240" s="11"/>
      <c r="AL1240" s="12">
        <v>4</v>
      </c>
      <c r="AM1240" s="12" t="s">
        <v>83</v>
      </c>
      <c r="AN1240" s="12"/>
      <c r="AO1240" s="12"/>
      <c r="AP1240" s="12"/>
      <c r="AQ1240" s="4">
        <v>4</v>
      </c>
      <c r="AR1240" s="4" t="s">
        <v>83</v>
      </c>
      <c r="AS1240" s="4"/>
      <c r="AT1240" s="13"/>
      <c r="AU1240" s="13"/>
      <c r="AV1240" s="13"/>
      <c r="AW1240" s="13"/>
      <c r="AX1240" s="4"/>
      <c r="AY1240" s="13"/>
      <c r="AZ1240" s="13"/>
      <c r="BA1240" s="13"/>
      <c r="BB1240" s="13"/>
      <c r="BC1240" s="4"/>
      <c r="BD1240" s="4"/>
      <c r="BE1240" s="4"/>
      <c r="BF1240" s="13"/>
      <c r="BG1240" s="4"/>
      <c r="BH1240" s="13"/>
      <c r="BI1240" s="13"/>
      <c r="BJ1240" s="4"/>
      <c r="BK1240" s="14">
        <v>11</v>
      </c>
      <c r="BL1240" s="14">
        <v>11</v>
      </c>
      <c r="BM1240" s="14">
        <v>11</v>
      </c>
      <c r="BP1240" s="15"/>
      <c r="BQ1240" s="15"/>
      <c r="BR1240" s="2" t="s">
        <v>740</v>
      </c>
      <c r="BS1240" s="2" t="s">
        <v>740</v>
      </c>
      <c r="BT1240" s="7" t="s">
        <v>98</v>
      </c>
      <c r="BU1240" s="7"/>
      <c r="BV1240" s="9" t="s">
        <v>98</v>
      </c>
      <c r="BW1240" s="9"/>
    </row>
    <row r="1241" spans="1:75" ht="14.25" customHeight="1" x14ac:dyDescent="0.25">
      <c r="A1241" s="1">
        <v>2130</v>
      </c>
      <c r="B1241" s="1" t="s">
        <v>5032</v>
      </c>
      <c r="C1241" s="1" t="s">
        <v>5033</v>
      </c>
      <c r="D1241" s="1" t="s">
        <v>77</v>
      </c>
      <c r="E1241" s="1" t="s">
        <v>2396</v>
      </c>
      <c r="F1241" s="1" t="s">
        <v>4956</v>
      </c>
      <c r="G1241" s="1"/>
      <c r="H1241" s="2">
        <v>0</v>
      </c>
      <c r="I1241" s="2">
        <v>0</v>
      </c>
      <c r="J1241" s="2">
        <v>1</v>
      </c>
      <c r="K1241" s="2">
        <v>1</v>
      </c>
      <c r="L1241" s="3" t="s">
        <v>80</v>
      </c>
      <c r="O1241" s="4">
        <v>1</v>
      </c>
      <c r="P1241" s="4" t="s">
        <v>112</v>
      </c>
      <c r="Q1241" s="4"/>
      <c r="R1241" s="5"/>
      <c r="S1241" s="6"/>
      <c r="T1241" s="17"/>
      <c r="U1241" s="6"/>
      <c r="V1241" s="4"/>
      <c r="W1241" s="4"/>
      <c r="X1241" s="4"/>
      <c r="Y1241" s="7">
        <v>1</v>
      </c>
      <c r="Z1241" s="8">
        <v>15289241</v>
      </c>
      <c r="AA1241" s="7" t="s">
        <v>92</v>
      </c>
      <c r="AB1241" s="7"/>
      <c r="AC1241" s="9">
        <v>1</v>
      </c>
      <c r="AD1241" s="10">
        <v>15288924</v>
      </c>
      <c r="AE1241" s="9" t="s">
        <v>92</v>
      </c>
      <c r="AF1241" s="9"/>
      <c r="AG1241" s="11">
        <v>1</v>
      </c>
      <c r="AH1241" s="11" t="s">
        <v>93</v>
      </c>
      <c r="AI1241" s="11"/>
      <c r="AJ1241" s="11"/>
      <c r="AK1241" s="11"/>
      <c r="AL1241" s="12">
        <v>1</v>
      </c>
      <c r="AM1241" s="12" t="s">
        <v>93</v>
      </c>
      <c r="AN1241" s="12" t="s">
        <v>683</v>
      </c>
      <c r="AO1241" s="12"/>
      <c r="AP1241" s="12"/>
      <c r="AQ1241" s="4">
        <v>1</v>
      </c>
      <c r="AR1241" s="4" t="s">
        <v>83</v>
      </c>
      <c r="AS1241" s="4"/>
      <c r="AT1241" s="13"/>
      <c r="AU1241" s="13"/>
      <c r="AV1241" s="13"/>
      <c r="AW1241" s="13"/>
      <c r="AX1241" s="4"/>
      <c r="AY1241" s="13"/>
      <c r="AZ1241" s="13"/>
      <c r="BA1241" s="13"/>
      <c r="BB1241" s="13"/>
      <c r="BC1241" s="4"/>
      <c r="BD1241" s="4"/>
      <c r="BE1241" s="4"/>
      <c r="BF1241" s="13"/>
      <c r="BG1241" s="4"/>
      <c r="BH1241" s="13"/>
      <c r="BI1241" s="13"/>
      <c r="BJ1241" s="4"/>
      <c r="BK1241" s="14">
        <v>4</v>
      </c>
      <c r="BL1241" s="14">
        <v>4</v>
      </c>
      <c r="BM1241" s="14">
        <v>4</v>
      </c>
      <c r="BP1241" s="15"/>
      <c r="BQ1241" s="15" t="s">
        <v>146</v>
      </c>
      <c r="BR1241" s="2" t="s">
        <v>97</v>
      </c>
      <c r="BS1241" s="2" t="s">
        <v>97</v>
      </c>
      <c r="BT1241" s="7" t="s">
        <v>603</v>
      </c>
      <c r="BU1241" s="7"/>
      <c r="BV1241" s="9" t="s">
        <v>603</v>
      </c>
      <c r="BW1241" s="9"/>
    </row>
    <row r="1242" spans="1:75" ht="14.25" customHeight="1" x14ac:dyDescent="0.25">
      <c r="A1242" s="1">
        <v>2131</v>
      </c>
      <c r="B1242" s="1" t="s">
        <v>5034</v>
      </c>
      <c r="C1242" s="1" t="s">
        <v>5035</v>
      </c>
      <c r="D1242" s="1" t="s">
        <v>77</v>
      </c>
      <c r="E1242" s="1" t="s">
        <v>2396</v>
      </c>
      <c r="F1242" s="1" t="s">
        <v>4956</v>
      </c>
      <c r="G1242" s="1"/>
      <c r="H1242" s="2">
        <v>0</v>
      </c>
      <c r="I1242" s="2">
        <v>0</v>
      </c>
      <c r="J1242" s="2">
        <v>1</v>
      </c>
      <c r="K1242" s="2">
        <v>1</v>
      </c>
      <c r="L1242" s="3" t="s">
        <v>80</v>
      </c>
      <c r="O1242" s="4">
        <v>3</v>
      </c>
      <c r="P1242" s="4" t="s">
        <v>112</v>
      </c>
      <c r="Q1242" s="4"/>
      <c r="R1242" s="5"/>
      <c r="S1242" s="6"/>
      <c r="T1242" s="17"/>
      <c r="U1242" s="6"/>
      <c r="V1242" s="4"/>
      <c r="W1242" s="4"/>
      <c r="X1242" s="4"/>
      <c r="Y1242" s="7">
        <v>1</v>
      </c>
      <c r="Z1242" s="8">
        <v>5566019</v>
      </c>
      <c r="AA1242" s="7" t="s">
        <v>92</v>
      </c>
      <c r="AB1242" s="7"/>
      <c r="AC1242" s="9">
        <v>1</v>
      </c>
      <c r="AD1242" s="10">
        <v>5566019</v>
      </c>
      <c r="AE1242" s="9" t="s">
        <v>92</v>
      </c>
      <c r="AF1242" s="9"/>
      <c r="AG1242" s="11">
        <v>4</v>
      </c>
      <c r="AH1242" s="11" t="s">
        <v>93</v>
      </c>
      <c r="AI1242" s="11"/>
      <c r="AJ1242" s="11"/>
      <c r="AK1242" s="11"/>
      <c r="AL1242" s="12">
        <v>4</v>
      </c>
      <c r="AM1242" s="12" t="s">
        <v>93</v>
      </c>
      <c r="AN1242" s="12" t="s">
        <v>5036</v>
      </c>
      <c r="AO1242" s="12"/>
      <c r="AP1242" s="12"/>
      <c r="AQ1242" s="4">
        <v>4</v>
      </c>
      <c r="AR1242" s="4" t="s">
        <v>83</v>
      </c>
      <c r="AS1242" s="4"/>
      <c r="AT1242" s="13"/>
      <c r="AU1242" s="13"/>
      <c r="AV1242" s="13"/>
      <c r="AW1242" s="13"/>
      <c r="AX1242" s="4"/>
      <c r="AY1242" s="13"/>
      <c r="AZ1242" s="13"/>
      <c r="BA1242" s="13"/>
      <c r="BB1242" s="13"/>
      <c r="BC1242" s="4"/>
      <c r="BD1242" s="4"/>
      <c r="BE1242" s="4"/>
      <c r="BF1242" s="13"/>
      <c r="BG1242" s="4"/>
      <c r="BH1242" s="13"/>
      <c r="BI1242" s="13"/>
      <c r="BJ1242" s="4"/>
      <c r="BK1242" s="14">
        <v>12</v>
      </c>
      <c r="BL1242" s="14">
        <v>12</v>
      </c>
      <c r="BM1242" s="14">
        <v>12</v>
      </c>
      <c r="BP1242" s="15"/>
      <c r="BQ1242" s="15"/>
      <c r="BR1242" s="2" t="s">
        <v>97</v>
      </c>
      <c r="BS1242" s="2" t="s">
        <v>97</v>
      </c>
      <c r="BT1242" s="7" t="s">
        <v>98</v>
      </c>
      <c r="BU1242" s="7"/>
      <c r="BV1242" s="9" t="s">
        <v>98</v>
      </c>
      <c r="BW1242" s="9"/>
    </row>
    <row r="1243" spans="1:75" ht="14.25" customHeight="1" x14ac:dyDescent="0.25">
      <c r="A1243" s="1">
        <v>2132</v>
      </c>
      <c r="B1243" s="1" t="s">
        <v>5037</v>
      </c>
      <c r="C1243" s="1" t="s">
        <v>5038</v>
      </c>
      <c r="D1243" s="1" t="s">
        <v>77</v>
      </c>
      <c r="E1243" s="1" t="s">
        <v>2396</v>
      </c>
      <c r="F1243" s="1" t="s">
        <v>4956</v>
      </c>
      <c r="G1243" s="1" t="s">
        <v>5039</v>
      </c>
      <c r="H1243" s="2">
        <v>0</v>
      </c>
      <c r="I1243" s="2">
        <v>0</v>
      </c>
      <c r="J1243" s="2">
        <v>0</v>
      </c>
      <c r="K1243" s="2">
        <v>1</v>
      </c>
      <c r="L1243" s="3" t="s">
        <v>80</v>
      </c>
      <c r="O1243" s="4">
        <v>2</v>
      </c>
      <c r="P1243" s="4" t="s">
        <v>81</v>
      </c>
      <c r="Q1243" s="4"/>
      <c r="R1243" s="5"/>
      <c r="S1243" s="6"/>
      <c r="T1243" s="17"/>
      <c r="U1243" s="6"/>
      <c r="V1243" s="4"/>
      <c r="W1243" s="4"/>
      <c r="X1243" s="4"/>
      <c r="Y1243" s="7">
        <v>1</v>
      </c>
      <c r="Z1243" s="8">
        <v>7154049</v>
      </c>
      <c r="AA1243" s="7" t="s">
        <v>82</v>
      </c>
      <c r="AB1243" s="7"/>
      <c r="AC1243" s="9">
        <v>1</v>
      </c>
      <c r="AD1243" s="10">
        <v>7154049</v>
      </c>
      <c r="AE1243" s="9" t="s">
        <v>82</v>
      </c>
      <c r="AF1243" s="9"/>
      <c r="AG1243" s="11">
        <v>4</v>
      </c>
      <c r="AH1243" s="11" t="s">
        <v>83</v>
      </c>
      <c r="AI1243" s="11"/>
      <c r="AJ1243" s="11"/>
      <c r="AK1243" s="11"/>
      <c r="AL1243" s="12">
        <v>4</v>
      </c>
      <c r="AM1243" s="12" t="s">
        <v>83</v>
      </c>
      <c r="AN1243" s="12"/>
      <c r="AO1243" s="12"/>
      <c r="AP1243" s="12"/>
      <c r="AQ1243" s="4">
        <v>5</v>
      </c>
      <c r="AR1243" s="4" t="s">
        <v>83</v>
      </c>
      <c r="AS1243" s="4" t="s">
        <v>5040</v>
      </c>
      <c r="AT1243" s="13"/>
      <c r="AU1243" s="13"/>
      <c r="AV1243" s="13"/>
      <c r="AW1243" s="13"/>
      <c r="AX1243" s="4"/>
      <c r="AY1243" s="13"/>
      <c r="AZ1243" s="13"/>
      <c r="BA1243" s="13"/>
      <c r="BB1243" s="13"/>
      <c r="BC1243" s="4"/>
      <c r="BD1243" s="4"/>
      <c r="BE1243" s="4"/>
      <c r="BF1243" s="13"/>
      <c r="BG1243" s="4"/>
      <c r="BH1243" s="13"/>
      <c r="BI1243" s="13"/>
      <c r="BJ1243" s="4"/>
      <c r="BK1243" s="14">
        <v>12</v>
      </c>
      <c r="BL1243" s="14">
        <v>12</v>
      </c>
      <c r="BM1243" s="14">
        <v>12</v>
      </c>
      <c r="BN1243" s="3" t="s">
        <v>302</v>
      </c>
      <c r="BP1243" s="15"/>
      <c r="BQ1243" s="15"/>
      <c r="BR1243" s="2" t="s">
        <v>97</v>
      </c>
      <c r="BS1243" s="2" t="s">
        <v>97</v>
      </c>
      <c r="BT1243" s="7" t="s">
        <v>98</v>
      </c>
      <c r="BU1243" s="7"/>
      <c r="BV1243" s="9" t="s">
        <v>98</v>
      </c>
      <c r="BW1243" s="9"/>
    </row>
    <row r="1244" spans="1:75" ht="14.25" customHeight="1" x14ac:dyDescent="0.25">
      <c r="A1244" s="1">
        <v>2133</v>
      </c>
      <c r="B1244" s="1" t="s">
        <v>5041</v>
      </c>
      <c r="C1244" s="1" t="s">
        <v>5042</v>
      </c>
      <c r="D1244" s="1" t="s">
        <v>77</v>
      </c>
      <c r="E1244" s="1" t="s">
        <v>2396</v>
      </c>
      <c r="F1244" s="1" t="s">
        <v>4956</v>
      </c>
      <c r="G1244" s="1" t="s">
        <v>118</v>
      </c>
      <c r="H1244" s="2">
        <v>0</v>
      </c>
      <c r="I1244" s="2">
        <v>0</v>
      </c>
      <c r="J1244" s="2">
        <v>0</v>
      </c>
      <c r="K1244" s="2">
        <v>1</v>
      </c>
      <c r="L1244" s="3" t="s">
        <v>80</v>
      </c>
      <c r="O1244" s="4">
        <v>3</v>
      </c>
      <c r="P1244" s="4" t="s">
        <v>81</v>
      </c>
      <c r="Q1244" s="4"/>
      <c r="R1244" s="5"/>
      <c r="S1244" s="6"/>
      <c r="T1244" s="17"/>
      <c r="U1244" s="6"/>
      <c r="V1244" s="4"/>
      <c r="W1244" s="4"/>
      <c r="X1244" s="4"/>
      <c r="Y1244" s="7">
        <v>4</v>
      </c>
      <c r="Z1244" s="8">
        <v>193023</v>
      </c>
      <c r="AA1244" s="7" t="s">
        <v>82</v>
      </c>
      <c r="AB1244" s="7"/>
      <c r="AC1244" s="9">
        <v>4</v>
      </c>
      <c r="AD1244" s="10">
        <v>193023</v>
      </c>
      <c r="AE1244" s="9" t="s">
        <v>82</v>
      </c>
      <c r="AF1244" s="9"/>
      <c r="AG1244" s="11">
        <v>4</v>
      </c>
      <c r="AH1244" s="11" t="s">
        <v>83</v>
      </c>
      <c r="AI1244" s="11"/>
      <c r="AJ1244" s="11"/>
      <c r="AK1244" s="11"/>
      <c r="AL1244" s="12">
        <v>4</v>
      </c>
      <c r="AM1244" s="12" t="s">
        <v>83</v>
      </c>
      <c r="AN1244" s="12"/>
      <c r="AO1244" s="12"/>
      <c r="AP1244" s="12"/>
      <c r="AQ1244" s="4">
        <v>5</v>
      </c>
      <c r="AR1244" s="4" t="s">
        <v>83</v>
      </c>
      <c r="AS1244" s="4" t="s">
        <v>5040</v>
      </c>
      <c r="AT1244" s="13"/>
      <c r="AU1244" s="13"/>
      <c r="AV1244" s="13"/>
      <c r="AW1244" s="13"/>
      <c r="AX1244" s="4"/>
      <c r="AY1244" s="13"/>
      <c r="AZ1244" s="13"/>
      <c r="BA1244" s="13"/>
      <c r="BB1244" s="13"/>
      <c r="BC1244" s="4"/>
      <c r="BD1244" s="4"/>
      <c r="BE1244" s="4"/>
      <c r="BF1244" s="13"/>
      <c r="BG1244" s="4"/>
      <c r="BH1244" s="13"/>
      <c r="BI1244" s="13"/>
      <c r="BJ1244" s="4"/>
      <c r="BK1244" s="14">
        <v>16</v>
      </c>
      <c r="BL1244" s="14">
        <v>16</v>
      </c>
      <c r="BM1244" s="14">
        <v>16</v>
      </c>
      <c r="BN1244" s="3" t="s">
        <v>312</v>
      </c>
      <c r="BP1244" s="15"/>
      <c r="BQ1244" s="15"/>
      <c r="BR1244" s="2" t="s">
        <v>121</v>
      </c>
      <c r="BS1244" s="2" t="s">
        <v>121</v>
      </c>
      <c r="BT1244" s="7" t="s">
        <v>98</v>
      </c>
      <c r="BU1244" s="7"/>
      <c r="BV1244" s="9" t="s">
        <v>98</v>
      </c>
      <c r="BW1244" s="9"/>
    </row>
    <row r="1245" spans="1:75" ht="14.25" customHeight="1" x14ac:dyDescent="0.25">
      <c r="A1245" s="1">
        <v>2134</v>
      </c>
      <c r="B1245" s="1" t="s">
        <v>5043</v>
      </c>
      <c r="C1245" s="1" t="s">
        <v>5044</v>
      </c>
      <c r="D1245" s="1" t="s">
        <v>77</v>
      </c>
      <c r="E1245" s="1" t="s">
        <v>2396</v>
      </c>
      <c r="F1245" s="1" t="s">
        <v>4956</v>
      </c>
      <c r="G1245" s="1" t="s">
        <v>118</v>
      </c>
      <c r="H1245" s="2">
        <v>0</v>
      </c>
      <c r="I1245" s="2">
        <v>0</v>
      </c>
      <c r="J1245" s="2">
        <v>0</v>
      </c>
      <c r="K1245" s="2">
        <v>1</v>
      </c>
      <c r="L1245" s="3" t="s">
        <v>80</v>
      </c>
      <c r="O1245" s="4">
        <v>2</v>
      </c>
      <c r="P1245" s="4" t="s">
        <v>81</v>
      </c>
      <c r="Q1245" s="4"/>
      <c r="R1245" s="5"/>
      <c r="S1245" s="6"/>
      <c r="T1245" s="17"/>
      <c r="U1245" s="6"/>
      <c r="V1245" s="4"/>
      <c r="W1245" s="4"/>
      <c r="X1245" s="4"/>
      <c r="Y1245" s="7">
        <v>1</v>
      </c>
      <c r="Z1245" s="8">
        <v>5383582</v>
      </c>
      <c r="AA1245" s="7" t="s">
        <v>82</v>
      </c>
      <c r="AB1245" s="7"/>
      <c r="AC1245" s="9">
        <v>1</v>
      </c>
      <c r="AD1245" s="10">
        <v>5383582</v>
      </c>
      <c r="AE1245" s="9" t="s">
        <v>82</v>
      </c>
      <c r="AF1245" s="9"/>
      <c r="AG1245" s="11">
        <v>2</v>
      </c>
      <c r="AH1245" s="11" t="s">
        <v>83</v>
      </c>
      <c r="AI1245" s="11"/>
      <c r="AJ1245" s="11"/>
      <c r="AK1245" s="11"/>
      <c r="AL1245" s="12">
        <v>2</v>
      </c>
      <c r="AM1245" s="12" t="s">
        <v>83</v>
      </c>
      <c r="AN1245" s="12"/>
      <c r="AO1245" s="12"/>
      <c r="AP1245" s="12"/>
      <c r="AQ1245" s="4">
        <v>2</v>
      </c>
      <c r="AR1245" s="4" t="s">
        <v>83</v>
      </c>
      <c r="AS1245" s="4"/>
      <c r="AT1245" s="13"/>
      <c r="AU1245" s="13"/>
      <c r="AV1245" s="13"/>
      <c r="AW1245" s="13"/>
      <c r="AX1245" s="4"/>
      <c r="AY1245" s="13"/>
      <c r="AZ1245" s="13"/>
      <c r="BA1245" s="13"/>
      <c r="BB1245" s="13"/>
      <c r="BC1245" s="4"/>
      <c r="BD1245" s="4"/>
      <c r="BE1245" s="4"/>
      <c r="BF1245" s="13"/>
      <c r="BG1245" s="4"/>
      <c r="BH1245" s="13"/>
      <c r="BI1245" s="13"/>
      <c r="BJ1245" s="4"/>
      <c r="BK1245" s="14">
        <v>7</v>
      </c>
      <c r="BL1245" s="14">
        <v>7</v>
      </c>
      <c r="BM1245" s="14">
        <v>7</v>
      </c>
      <c r="BP1245" s="15"/>
      <c r="BQ1245" s="15"/>
      <c r="BR1245" s="2" t="s">
        <v>97</v>
      </c>
      <c r="BS1245" s="2" t="s">
        <v>97</v>
      </c>
      <c r="BT1245" s="7" t="s">
        <v>98</v>
      </c>
      <c r="BU1245" s="7"/>
      <c r="BV1245" s="9" t="s">
        <v>98</v>
      </c>
      <c r="BW1245" s="9"/>
    </row>
    <row r="1246" spans="1:75" ht="14.25" customHeight="1" x14ac:dyDescent="0.25">
      <c r="A1246" s="1">
        <v>2135</v>
      </c>
      <c r="B1246" s="1" t="s">
        <v>5045</v>
      </c>
      <c r="C1246" s="1" t="s">
        <v>5046</v>
      </c>
      <c r="D1246" s="1" t="s">
        <v>77</v>
      </c>
      <c r="E1246" s="1" t="s">
        <v>2396</v>
      </c>
      <c r="F1246" s="1" t="s">
        <v>4956</v>
      </c>
      <c r="G1246" s="1" t="s">
        <v>118</v>
      </c>
      <c r="H1246" s="2">
        <v>0</v>
      </c>
      <c r="I1246" s="2">
        <v>0</v>
      </c>
      <c r="J1246" s="2">
        <v>1</v>
      </c>
      <c r="K1246" s="2">
        <v>1</v>
      </c>
      <c r="L1246" s="3" t="s">
        <v>80</v>
      </c>
      <c r="O1246" s="4">
        <v>5</v>
      </c>
      <c r="P1246" s="4" t="s">
        <v>112</v>
      </c>
      <c r="Q1246" s="4"/>
      <c r="R1246" s="5"/>
      <c r="S1246" s="6"/>
      <c r="T1246" s="17"/>
      <c r="U1246" s="6"/>
      <c r="V1246" s="4"/>
      <c r="W1246" s="4"/>
      <c r="X1246" s="4"/>
      <c r="Y1246" s="7">
        <v>4</v>
      </c>
      <c r="Z1246" s="8">
        <v>249037</v>
      </c>
      <c r="AA1246" s="7" t="s">
        <v>92</v>
      </c>
      <c r="AB1246" s="7"/>
      <c r="AC1246" s="9">
        <v>4</v>
      </c>
      <c r="AD1246" s="10">
        <v>249037</v>
      </c>
      <c r="AE1246" s="9" t="s">
        <v>92</v>
      </c>
      <c r="AF1246" s="9"/>
      <c r="AG1246" s="11">
        <v>4</v>
      </c>
      <c r="AH1246" s="11" t="s">
        <v>93</v>
      </c>
      <c r="AI1246" s="11"/>
      <c r="AJ1246" s="11"/>
      <c r="AK1246" s="11"/>
      <c r="AL1246" s="12">
        <v>4</v>
      </c>
      <c r="AM1246" s="12" t="s">
        <v>93</v>
      </c>
      <c r="AN1246" s="12" t="s">
        <v>5047</v>
      </c>
      <c r="AO1246" s="12"/>
      <c r="AP1246" s="12"/>
      <c r="AQ1246" s="4">
        <v>5</v>
      </c>
      <c r="AR1246" s="4" t="s">
        <v>83</v>
      </c>
      <c r="AS1246" s="4"/>
      <c r="AT1246" s="13"/>
      <c r="AU1246" s="13"/>
      <c r="AV1246" s="13"/>
      <c r="AW1246" s="13"/>
      <c r="AX1246" s="4"/>
      <c r="AY1246" s="13"/>
      <c r="AZ1246" s="13"/>
      <c r="BA1246" s="13"/>
      <c r="BB1246" s="13"/>
      <c r="BC1246" s="4"/>
      <c r="BD1246" s="4"/>
      <c r="BE1246" s="4"/>
      <c r="BF1246" s="13"/>
      <c r="BG1246" s="4"/>
      <c r="BH1246" s="13"/>
      <c r="BI1246" s="13"/>
      <c r="BJ1246" s="4"/>
      <c r="BK1246" s="14">
        <v>18</v>
      </c>
      <c r="BL1246" s="14">
        <v>18</v>
      </c>
      <c r="BM1246" s="14">
        <v>18</v>
      </c>
      <c r="BN1246" s="3" t="s">
        <v>312</v>
      </c>
      <c r="BP1246" s="15"/>
      <c r="BQ1246" s="15"/>
      <c r="BR1246" s="2" t="s">
        <v>115</v>
      </c>
      <c r="BS1246" s="2" t="s">
        <v>115</v>
      </c>
      <c r="BT1246" s="7" t="s">
        <v>98</v>
      </c>
      <c r="BU1246" s="7"/>
      <c r="BV1246" s="9" t="s">
        <v>98</v>
      </c>
      <c r="BW1246" s="9"/>
    </row>
    <row r="1247" spans="1:75" ht="14.25" customHeight="1" x14ac:dyDescent="0.25">
      <c r="A1247" s="1">
        <v>2136</v>
      </c>
      <c r="B1247" s="1" t="s">
        <v>5048</v>
      </c>
      <c r="C1247" s="1" t="s">
        <v>5049</v>
      </c>
      <c r="D1247" s="1" t="s">
        <v>77</v>
      </c>
      <c r="E1247" s="1" t="s">
        <v>2396</v>
      </c>
      <c r="F1247" s="1" t="s">
        <v>4956</v>
      </c>
      <c r="G1247" s="1"/>
      <c r="H1247" s="2">
        <v>0</v>
      </c>
      <c r="I1247" s="2">
        <v>0</v>
      </c>
      <c r="J1247" s="2">
        <v>0</v>
      </c>
      <c r="K1247" s="2">
        <v>1</v>
      </c>
      <c r="L1247" s="3" t="s">
        <v>80</v>
      </c>
      <c r="O1247" s="4">
        <v>4</v>
      </c>
      <c r="P1247" s="4" t="s">
        <v>81</v>
      </c>
      <c r="Q1247" s="4"/>
      <c r="R1247" s="5"/>
      <c r="S1247" s="6"/>
      <c r="T1247" s="17"/>
      <c r="U1247" s="6"/>
      <c r="V1247" s="4"/>
      <c r="W1247" s="4"/>
      <c r="X1247" s="4"/>
      <c r="Y1247" s="7">
        <v>4</v>
      </c>
      <c r="Z1247" s="8">
        <v>92406</v>
      </c>
      <c r="AA1247" s="7" t="s">
        <v>82</v>
      </c>
      <c r="AB1247" s="7"/>
      <c r="AC1247" s="9">
        <v>4</v>
      </c>
      <c r="AD1247" s="10">
        <v>92406</v>
      </c>
      <c r="AE1247" s="9" t="s">
        <v>82</v>
      </c>
      <c r="AF1247" s="9"/>
      <c r="AG1247" s="11">
        <v>4</v>
      </c>
      <c r="AH1247" s="11" t="s">
        <v>83</v>
      </c>
      <c r="AI1247" s="11" t="s">
        <v>5050</v>
      </c>
      <c r="AJ1247" s="11"/>
      <c r="AK1247" s="11"/>
      <c r="AL1247" s="12">
        <v>4</v>
      </c>
      <c r="AM1247" s="12" t="s">
        <v>83</v>
      </c>
      <c r="AN1247" s="12"/>
      <c r="AO1247" s="12"/>
      <c r="AP1247" s="12"/>
      <c r="AQ1247" s="4">
        <v>4</v>
      </c>
      <c r="AR1247" s="4" t="s">
        <v>83</v>
      </c>
      <c r="AS1247" s="4"/>
      <c r="AT1247" s="13"/>
      <c r="AU1247" s="13"/>
      <c r="AV1247" s="13"/>
      <c r="AW1247" s="13"/>
      <c r="AX1247" s="4"/>
      <c r="AY1247" s="13"/>
      <c r="AZ1247" s="13"/>
      <c r="BA1247" s="13"/>
      <c r="BB1247" s="13"/>
      <c r="BC1247" s="4"/>
      <c r="BD1247" s="4"/>
      <c r="BE1247" s="4"/>
      <c r="BF1247" s="13"/>
      <c r="BG1247" s="4"/>
      <c r="BH1247" s="13"/>
      <c r="BI1247" s="13"/>
      <c r="BJ1247" s="4"/>
      <c r="BK1247" s="14">
        <v>16</v>
      </c>
      <c r="BL1247" s="14">
        <v>16</v>
      </c>
      <c r="BM1247" s="14">
        <v>16</v>
      </c>
      <c r="BN1247" s="3" t="s">
        <v>86</v>
      </c>
      <c r="BO1247" s="3" t="s">
        <v>120</v>
      </c>
      <c r="BP1247" s="15"/>
      <c r="BQ1247" s="15"/>
      <c r="BR1247" s="2" t="s">
        <v>115</v>
      </c>
      <c r="BS1247" s="2" t="s">
        <v>115</v>
      </c>
      <c r="BT1247" s="7" t="s">
        <v>98</v>
      </c>
      <c r="BU1247" s="7"/>
      <c r="BV1247" s="9" t="s">
        <v>98</v>
      </c>
      <c r="BW1247" s="9"/>
    </row>
    <row r="1248" spans="1:75" ht="14.25" customHeight="1" x14ac:dyDescent="0.25">
      <c r="A1248" s="1">
        <v>2137</v>
      </c>
      <c r="B1248" s="1" t="s">
        <v>5051</v>
      </c>
      <c r="C1248" s="1" t="s">
        <v>5052</v>
      </c>
      <c r="D1248" s="1" t="s">
        <v>77</v>
      </c>
      <c r="E1248" s="1" t="s">
        <v>2396</v>
      </c>
      <c r="F1248" s="1" t="s">
        <v>4956</v>
      </c>
      <c r="G1248" s="1"/>
      <c r="H1248" s="2">
        <v>0</v>
      </c>
      <c r="I1248" s="2">
        <v>0</v>
      </c>
      <c r="J1248" s="2">
        <v>1</v>
      </c>
      <c r="K1248" s="2">
        <v>1</v>
      </c>
      <c r="L1248" s="3" t="s">
        <v>80</v>
      </c>
      <c r="O1248" s="4">
        <v>3</v>
      </c>
      <c r="P1248" s="4" t="s">
        <v>81</v>
      </c>
      <c r="Q1248" s="4" t="s">
        <v>1789</v>
      </c>
      <c r="R1248" s="5"/>
      <c r="S1248" s="6"/>
      <c r="T1248" s="17"/>
      <c r="U1248" s="6"/>
      <c r="V1248" s="4"/>
      <c r="W1248" s="4"/>
      <c r="X1248" s="4"/>
      <c r="Y1248" s="7">
        <v>4</v>
      </c>
      <c r="Z1248" s="8">
        <v>235914</v>
      </c>
      <c r="AA1248" s="7" t="s">
        <v>92</v>
      </c>
      <c r="AB1248" s="7"/>
      <c r="AC1248" s="9">
        <v>4</v>
      </c>
      <c r="AD1248" s="10">
        <v>235914</v>
      </c>
      <c r="AE1248" s="9" t="s">
        <v>92</v>
      </c>
      <c r="AF1248" s="9"/>
      <c r="AG1248" s="11">
        <v>4</v>
      </c>
      <c r="AH1248" s="11" t="s">
        <v>93</v>
      </c>
      <c r="AI1248" s="11"/>
      <c r="AJ1248" s="11"/>
      <c r="AK1248" s="11"/>
      <c r="AL1248" s="12">
        <v>4</v>
      </c>
      <c r="AM1248" s="12" t="s">
        <v>93</v>
      </c>
      <c r="AN1248" s="12" t="s">
        <v>5053</v>
      </c>
      <c r="AO1248" s="12"/>
      <c r="AP1248" s="12"/>
      <c r="AQ1248" s="4">
        <v>4</v>
      </c>
      <c r="AR1248" s="4" t="s">
        <v>83</v>
      </c>
      <c r="AS1248" s="4"/>
      <c r="AT1248" s="13"/>
      <c r="AU1248" s="13"/>
      <c r="AV1248" s="13"/>
      <c r="AW1248" s="13"/>
      <c r="AX1248" s="4"/>
      <c r="AY1248" s="13"/>
      <c r="AZ1248" s="13"/>
      <c r="BA1248" s="13"/>
      <c r="BB1248" s="13"/>
      <c r="BC1248" s="4"/>
      <c r="BD1248" s="4"/>
      <c r="BE1248" s="4"/>
      <c r="BF1248" s="13"/>
      <c r="BG1248" s="4"/>
      <c r="BH1248" s="13"/>
      <c r="BI1248" s="13"/>
      <c r="BJ1248" s="4"/>
      <c r="BK1248" s="14">
        <v>15</v>
      </c>
      <c r="BL1248" s="14">
        <v>15</v>
      </c>
      <c r="BM1248" s="14">
        <v>15</v>
      </c>
      <c r="BN1248" s="3" t="s">
        <v>86</v>
      </c>
      <c r="BP1248" s="15"/>
      <c r="BQ1248" s="15"/>
      <c r="BR1248" s="2" t="s">
        <v>115</v>
      </c>
      <c r="BS1248" s="2" t="s">
        <v>115</v>
      </c>
      <c r="BT1248" s="7" t="s">
        <v>98</v>
      </c>
      <c r="BU1248" s="7"/>
      <c r="BV1248" s="9" t="s">
        <v>98</v>
      </c>
      <c r="BW1248" s="9"/>
    </row>
    <row r="1249" spans="1:75" ht="14.25" customHeight="1" x14ac:dyDescent="0.25">
      <c r="A1249" s="1">
        <v>2138</v>
      </c>
      <c r="B1249" s="1" t="s">
        <v>5054</v>
      </c>
      <c r="C1249" s="1" t="s">
        <v>5055</v>
      </c>
      <c r="D1249" s="1" t="s">
        <v>77</v>
      </c>
      <c r="E1249" s="1" t="s">
        <v>2396</v>
      </c>
      <c r="F1249" s="1" t="s">
        <v>4956</v>
      </c>
      <c r="G1249" s="1"/>
      <c r="H1249" s="2">
        <v>0</v>
      </c>
      <c r="I1249" s="2">
        <v>0</v>
      </c>
      <c r="J1249" s="2">
        <v>0</v>
      </c>
      <c r="K1249" s="2">
        <v>1</v>
      </c>
      <c r="L1249" s="3" t="s">
        <v>80</v>
      </c>
      <c r="O1249" s="4">
        <v>3</v>
      </c>
      <c r="P1249" s="4" t="s">
        <v>81</v>
      </c>
      <c r="Q1249" s="4"/>
      <c r="R1249" s="5"/>
      <c r="S1249" s="6"/>
      <c r="T1249" s="17"/>
      <c r="U1249" s="6"/>
      <c r="V1249" s="4"/>
      <c r="W1249" s="4"/>
      <c r="X1249" s="4"/>
      <c r="Y1249" s="7">
        <v>4</v>
      </c>
      <c r="Z1249" s="8">
        <v>286409</v>
      </c>
      <c r="AA1249" s="7" t="s">
        <v>82</v>
      </c>
      <c r="AB1249" s="7"/>
      <c r="AC1249" s="9">
        <v>4</v>
      </c>
      <c r="AD1249" s="10">
        <v>286409</v>
      </c>
      <c r="AE1249" s="9" t="s">
        <v>82</v>
      </c>
      <c r="AF1249" s="9"/>
      <c r="AG1249" s="11">
        <v>2</v>
      </c>
      <c r="AH1249" s="11" t="s">
        <v>83</v>
      </c>
      <c r="AI1249" s="11"/>
      <c r="AJ1249" s="11"/>
      <c r="AK1249" s="11"/>
      <c r="AL1249" s="12">
        <v>2</v>
      </c>
      <c r="AM1249" s="12" t="s">
        <v>83</v>
      </c>
      <c r="AN1249" s="12"/>
      <c r="AO1249" s="12"/>
      <c r="AP1249" s="12"/>
      <c r="AQ1249" s="4">
        <v>2</v>
      </c>
      <c r="AR1249" s="4" t="s">
        <v>83</v>
      </c>
      <c r="AS1249" s="4"/>
      <c r="AT1249" s="13"/>
      <c r="AU1249" s="13"/>
      <c r="AV1249" s="13"/>
      <c r="AW1249" s="13"/>
      <c r="AX1249" s="4"/>
      <c r="AY1249" s="13"/>
      <c r="AZ1249" s="13"/>
      <c r="BA1249" s="13"/>
      <c r="BB1249" s="13"/>
      <c r="BC1249" s="4"/>
      <c r="BD1249" s="4"/>
      <c r="BE1249" s="4"/>
      <c r="BF1249" s="13"/>
      <c r="BG1249" s="4"/>
      <c r="BH1249" s="13"/>
      <c r="BI1249" s="13"/>
      <c r="BJ1249" s="4"/>
      <c r="BK1249" s="14">
        <v>11</v>
      </c>
      <c r="BL1249" s="14">
        <v>11</v>
      </c>
      <c r="BM1249" s="14">
        <v>11</v>
      </c>
      <c r="BP1249" s="15"/>
      <c r="BQ1249" s="15"/>
      <c r="BR1249" s="2" t="s">
        <v>121</v>
      </c>
      <c r="BS1249" s="2" t="s">
        <v>121</v>
      </c>
      <c r="BT1249" s="7" t="s">
        <v>98</v>
      </c>
      <c r="BU1249" s="7"/>
      <c r="BV1249" s="9" t="s">
        <v>98</v>
      </c>
      <c r="BW1249" s="9"/>
    </row>
    <row r="1250" spans="1:75" ht="14.25" customHeight="1" x14ac:dyDescent="0.25">
      <c r="A1250" s="1">
        <v>2139</v>
      </c>
      <c r="B1250" s="1" t="s">
        <v>5056</v>
      </c>
      <c r="C1250" s="1" t="s">
        <v>5057</v>
      </c>
      <c r="D1250" s="1" t="s">
        <v>77</v>
      </c>
      <c r="E1250" s="1" t="s">
        <v>2396</v>
      </c>
      <c r="F1250" s="1" t="s">
        <v>4956</v>
      </c>
      <c r="G1250" s="1"/>
      <c r="H1250" s="2">
        <v>0</v>
      </c>
      <c r="I1250" s="2">
        <v>0</v>
      </c>
      <c r="J1250" s="2">
        <v>1</v>
      </c>
      <c r="K1250" s="2">
        <v>1</v>
      </c>
      <c r="L1250" s="3" t="s">
        <v>80</v>
      </c>
      <c r="O1250" s="4">
        <v>3</v>
      </c>
      <c r="P1250" s="4" t="s">
        <v>3089</v>
      </c>
      <c r="Q1250" s="4" t="s">
        <v>5058</v>
      </c>
      <c r="R1250" s="5"/>
      <c r="S1250" s="6"/>
      <c r="T1250" s="17"/>
      <c r="U1250" s="6"/>
      <c r="V1250" s="4"/>
      <c r="W1250" s="4"/>
      <c r="X1250" s="4"/>
      <c r="Y1250" s="7">
        <v>4</v>
      </c>
      <c r="Z1250" s="8">
        <v>226271</v>
      </c>
      <c r="AA1250" s="7" t="s">
        <v>3890</v>
      </c>
      <c r="AB1250" s="7" t="s">
        <v>5059</v>
      </c>
      <c r="AC1250" s="9">
        <v>4</v>
      </c>
      <c r="AD1250" s="10">
        <v>226271</v>
      </c>
      <c r="AE1250" s="9" t="s">
        <v>5060</v>
      </c>
      <c r="AF1250" s="9" t="s">
        <v>5059</v>
      </c>
      <c r="AG1250" s="11">
        <v>2</v>
      </c>
      <c r="AH1250" s="11" t="s">
        <v>144</v>
      </c>
      <c r="AI1250" s="11"/>
      <c r="AJ1250" s="11"/>
      <c r="AK1250" s="11"/>
      <c r="AL1250" s="12">
        <v>2</v>
      </c>
      <c r="AM1250" s="12" t="s">
        <v>144</v>
      </c>
      <c r="AN1250" s="12" t="s">
        <v>2464</v>
      </c>
      <c r="AO1250" s="12"/>
      <c r="AP1250" s="12"/>
      <c r="AQ1250" s="4">
        <v>2</v>
      </c>
      <c r="AR1250" s="4" t="s">
        <v>83</v>
      </c>
      <c r="AS1250" s="4" t="s">
        <v>5061</v>
      </c>
      <c r="AT1250" s="13"/>
      <c r="AU1250" s="13"/>
      <c r="AV1250" s="13"/>
      <c r="AW1250" s="13"/>
      <c r="AX1250" s="4"/>
      <c r="AY1250" s="13"/>
      <c r="AZ1250" s="13"/>
      <c r="BA1250" s="13"/>
      <c r="BB1250" s="13"/>
      <c r="BC1250" s="4"/>
      <c r="BD1250" s="4"/>
      <c r="BE1250" s="4"/>
      <c r="BF1250" s="13"/>
      <c r="BG1250" s="4"/>
      <c r="BH1250" s="13"/>
      <c r="BI1250" s="13"/>
      <c r="BJ1250" s="4"/>
      <c r="BK1250" s="14">
        <v>11</v>
      </c>
      <c r="BL1250" s="14">
        <v>11</v>
      </c>
      <c r="BM1250" s="14">
        <v>11</v>
      </c>
      <c r="BP1250" s="15"/>
      <c r="BQ1250" s="15"/>
      <c r="BR1250" s="2" t="s">
        <v>115</v>
      </c>
      <c r="BS1250" s="2" t="s">
        <v>115</v>
      </c>
      <c r="BT1250" s="7" t="s">
        <v>98</v>
      </c>
      <c r="BU1250" s="7"/>
      <c r="BV1250" s="9" t="s">
        <v>98</v>
      </c>
      <c r="BW1250" s="9"/>
    </row>
    <row r="1251" spans="1:75" ht="14.25" customHeight="1" x14ac:dyDescent="0.25">
      <c r="A1251" s="1">
        <v>2140</v>
      </c>
      <c r="B1251" s="1" t="s">
        <v>5062</v>
      </c>
      <c r="C1251" s="1" t="s">
        <v>5063</v>
      </c>
      <c r="D1251" s="1" t="s">
        <v>77</v>
      </c>
      <c r="E1251" s="1" t="s">
        <v>2396</v>
      </c>
      <c r="F1251" s="1" t="s">
        <v>4956</v>
      </c>
      <c r="G1251" s="1"/>
      <c r="H1251" s="2">
        <v>0</v>
      </c>
      <c r="I1251" s="2">
        <v>0</v>
      </c>
      <c r="J1251" s="2">
        <v>0</v>
      </c>
      <c r="K1251" s="2">
        <v>1</v>
      </c>
      <c r="L1251" s="3" t="s">
        <v>80</v>
      </c>
      <c r="O1251" s="4">
        <v>3</v>
      </c>
      <c r="P1251" s="4" t="s">
        <v>81</v>
      </c>
      <c r="Q1251" s="4"/>
      <c r="R1251" s="5"/>
      <c r="S1251" s="6"/>
      <c r="T1251" s="17"/>
      <c r="U1251" s="6"/>
      <c r="V1251" s="4"/>
      <c r="W1251" s="4"/>
      <c r="X1251" s="4"/>
      <c r="Y1251" s="7">
        <v>3</v>
      </c>
      <c r="Z1251" s="8">
        <v>327799</v>
      </c>
      <c r="AA1251" s="7" t="s">
        <v>82</v>
      </c>
      <c r="AB1251" s="7"/>
      <c r="AC1251" s="9">
        <v>3</v>
      </c>
      <c r="AD1251" s="10">
        <v>327799</v>
      </c>
      <c r="AE1251" s="9" t="s">
        <v>82</v>
      </c>
      <c r="AF1251" s="9"/>
      <c r="AG1251" s="11">
        <v>2</v>
      </c>
      <c r="AH1251" s="11" t="s">
        <v>83</v>
      </c>
      <c r="AI1251" s="11"/>
      <c r="AJ1251" s="11"/>
      <c r="AK1251" s="11"/>
      <c r="AL1251" s="12">
        <v>2</v>
      </c>
      <c r="AM1251" s="12" t="s">
        <v>83</v>
      </c>
      <c r="AN1251" s="12"/>
      <c r="AO1251" s="12"/>
      <c r="AP1251" s="12"/>
      <c r="AQ1251" s="4">
        <v>2</v>
      </c>
      <c r="AR1251" s="4" t="s">
        <v>83</v>
      </c>
      <c r="AS1251" s="4"/>
      <c r="AT1251" s="13"/>
      <c r="AU1251" s="13"/>
      <c r="AV1251" s="13"/>
      <c r="AW1251" s="13"/>
      <c r="AX1251" s="4"/>
      <c r="AY1251" s="13"/>
      <c r="AZ1251" s="13"/>
      <c r="BA1251" s="13"/>
      <c r="BB1251" s="13"/>
      <c r="BC1251" s="4"/>
      <c r="BD1251" s="4"/>
      <c r="BE1251" s="4"/>
      <c r="BF1251" s="13"/>
      <c r="BG1251" s="4"/>
      <c r="BH1251" s="13"/>
      <c r="BI1251" s="13"/>
      <c r="BJ1251" s="4"/>
      <c r="BK1251" s="14">
        <v>10</v>
      </c>
      <c r="BL1251" s="14">
        <v>10</v>
      </c>
      <c r="BM1251" s="14">
        <v>10</v>
      </c>
      <c r="BP1251" s="15"/>
      <c r="BQ1251" s="15"/>
      <c r="BR1251" s="2" t="s">
        <v>121</v>
      </c>
      <c r="BS1251" s="2" t="s">
        <v>121</v>
      </c>
      <c r="BT1251" s="7" t="s">
        <v>98</v>
      </c>
      <c r="BU1251" s="7"/>
      <c r="BV1251" s="9" t="s">
        <v>98</v>
      </c>
      <c r="BW1251" s="9"/>
    </row>
    <row r="1252" spans="1:75" ht="14.25" customHeight="1" x14ac:dyDescent="0.25">
      <c r="A1252" s="1">
        <v>2141</v>
      </c>
      <c r="B1252" s="1" t="s">
        <v>5064</v>
      </c>
      <c r="C1252" s="1" t="s">
        <v>5065</v>
      </c>
      <c r="D1252" s="1" t="s">
        <v>77</v>
      </c>
      <c r="E1252" s="1" t="s">
        <v>2396</v>
      </c>
      <c r="F1252" s="1" t="s">
        <v>4956</v>
      </c>
      <c r="G1252" s="1"/>
      <c r="H1252" s="2">
        <v>0</v>
      </c>
      <c r="I1252" s="2">
        <v>0</v>
      </c>
      <c r="J1252" s="2">
        <v>0</v>
      </c>
      <c r="K1252" s="2">
        <v>1</v>
      </c>
      <c r="L1252" s="3" t="s">
        <v>80</v>
      </c>
      <c r="O1252" s="4">
        <v>2</v>
      </c>
      <c r="P1252" s="4" t="s">
        <v>81</v>
      </c>
      <c r="Q1252" s="4"/>
      <c r="R1252" s="5"/>
      <c r="S1252" s="6"/>
      <c r="T1252" s="17"/>
      <c r="U1252" s="6"/>
      <c r="V1252" s="4"/>
      <c r="W1252" s="4"/>
      <c r="X1252" s="4"/>
      <c r="Y1252" s="7">
        <v>1</v>
      </c>
      <c r="Z1252" s="8">
        <v>8785412</v>
      </c>
      <c r="AA1252" s="7" t="s">
        <v>82</v>
      </c>
      <c r="AB1252" s="7"/>
      <c r="AC1252" s="9">
        <v>1</v>
      </c>
      <c r="AD1252" s="10">
        <v>8785412</v>
      </c>
      <c r="AE1252" s="9" t="s">
        <v>82</v>
      </c>
      <c r="AF1252" s="9"/>
      <c r="AG1252" s="11">
        <v>3</v>
      </c>
      <c r="AH1252" s="11" t="s">
        <v>83</v>
      </c>
      <c r="AI1252" s="11"/>
      <c r="AJ1252" s="11"/>
      <c r="AK1252" s="11"/>
      <c r="AL1252" s="12">
        <v>3</v>
      </c>
      <c r="AM1252" s="12" t="s">
        <v>83</v>
      </c>
      <c r="AN1252" s="12"/>
      <c r="AO1252" s="12"/>
      <c r="AP1252" s="12"/>
      <c r="AQ1252" s="4">
        <v>3</v>
      </c>
      <c r="AR1252" s="4" t="s">
        <v>83</v>
      </c>
      <c r="AS1252" s="4"/>
      <c r="AT1252" s="13"/>
      <c r="AU1252" s="13"/>
      <c r="AV1252" s="13"/>
      <c r="AW1252" s="13"/>
      <c r="AX1252" s="4"/>
      <c r="AY1252" s="13"/>
      <c r="AZ1252" s="13"/>
      <c r="BA1252" s="13"/>
      <c r="BB1252" s="13"/>
      <c r="BC1252" s="4"/>
      <c r="BD1252" s="4"/>
      <c r="BE1252" s="4"/>
      <c r="BF1252" s="13"/>
      <c r="BG1252" s="4"/>
      <c r="BH1252" s="13"/>
      <c r="BI1252" s="13"/>
      <c r="BJ1252" s="4"/>
      <c r="BK1252" s="14">
        <v>9</v>
      </c>
      <c r="BL1252" s="14">
        <v>9</v>
      </c>
      <c r="BM1252" s="14">
        <v>9</v>
      </c>
      <c r="BP1252" s="15"/>
      <c r="BQ1252" s="15"/>
      <c r="BR1252" s="2" t="s">
        <v>740</v>
      </c>
      <c r="BS1252" s="2" t="s">
        <v>740</v>
      </c>
      <c r="BT1252" s="7" t="s">
        <v>98</v>
      </c>
      <c r="BU1252" s="7"/>
      <c r="BV1252" s="9" t="s">
        <v>98</v>
      </c>
      <c r="BW1252" s="9"/>
    </row>
    <row r="1253" spans="1:75" ht="14.25" customHeight="1" x14ac:dyDescent="0.25">
      <c r="A1253" s="1">
        <v>2177</v>
      </c>
      <c r="B1253" s="1" t="s">
        <v>5066</v>
      </c>
      <c r="C1253" s="1" t="s">
        <v>5067</v>
      </c>
      <c r="D1253" s="1" t="s">
        <v>77</v>
      </c>
      <c r="E1253" s="1" t="s">
        <v>2396</v>
      </c>
      <c r="F1253" s="1" t="s">
        <v>4956</v>
      </c>
      <c r="G1253" s="1" t="s">
        <v>5068</v>
      </c>
      <c r="H1253" s="2">
        <v>0</v>
      </c>
      <c r="I1253" s="2">
        <v>0</v>
      </c>
      <c r="J1253" s="2">
        <v>1</v>
      </c>
      <c r="K1253" s="2">
        <v>1</v>
      </c>
      <c r="L1253" s="3" t="s">
        <v>80</v>
      </c>
      <c r="O1253" s="4">
        <v>3</v>
      </c>
      <c r="P1253" s="4" t="s">
        <v>5069</v>
      </c>
      <c r="Q1253" s="4" t="s">
        <v>5070</v>
      </c>
      <c r="R1253" s="5"/>
      <c r="S1253" s="6"/>
      <c r="T1253" s="17"/>
      <c r="U1253" s="6"/>
      <c r="V1253" s="4"/>
      <c r="W1253" s="4"/>
      <c r="X1253" s="4"/>
      <c r="Y1253" s="7">
        <v>3</v>
      </c>
      <c r="Z1253" s="8">
        <v>742827</v>
      </c>
      <c r="AA1253" s="7" t="s">
        <v>1264</v>
      </c>
      <c r="AB1253" s="7" t="s">
        <v>5071</v>
      </c>
      <c r="AC1253" s="9">
        <v>3</v>
      </c>
      <c r="AD1253" s="10">
        <v>742827</v>
      </c>
      <c r="AE1253" s="9" t="s">
        <v>1264</v>
      </c>
      <c r="AF1253" s="9" t="s">
        <v>5071</v>
      </c>
      <c r="AG1253" s="11">
        <v>2</v>
      </c>
      <c r="AH1253" s="11" t="s">
        <v>93</v>
      </c>
      <c r="AI1253" s="11"/>
      <c r="AJ1253" s="11"/>
      <c r="AK1253" s="11"/>
      <c r="AL1253" s="12">
        <v>2</v>
      </c>
      <c r="AM1253" s="12" t="s">
        <v>93</v>
      </c>
      <c r="AN1253" s="12" t="s">
        <v>394</v>
      </c>
      <c r="AO1253" s="12"/>
      <c r="AP1253" s="12"/>
      <c r="AQ1253" s="4">
        <v>2</v>
      </c>
      <c r="AR1253" s="4" t="s">
        <v>83</v>
      </c>
      <c r="AS1253" s="4" t="s">
        <v>5072</v>
      </c>
      <c r="AT1253" s="13"/>
      <c r="AU1253" s="13"/>
      <c r="AV1253" s="13"/>
      <c r="AW1253" s="13"/>
      <c r="AX1253" s="4"/>
      <c r="AY1253" s="13"/>
      <c r="AZ1253" s="13"/>
      <c r="BA1253" s="13"/>
      <c r="BB1253" s="13"/>
      <c r="BC1253" s="4"/>
      <c r="BD1253" s="4"/>
      <c r="BE1253" s="4"/>
      <c r="BF1253" s="13"/>
      <c r="BG1253" s="4"/>
      <c r="BH1253" s="13"/>
      <c r="BI1253" s="13"/>
      <c r="BJ1253" s="4"/>
      <c r="BK1253" s="14">
        <v>10</v>
      </c>
      <c r="BL1253" s="14">
        <v>10</v>
      </c>
      <c r="BM1253" s="14">
        <v>10</v>
      </c>
      <c r="BP1253" s="15" t="s">
        <v>135</v>
      </c>
      <c r="BQ1253" s="15"/>
      <c r="BR1253" s="2" t="s">
        <v>97</v>
      </c>
      <c r="BS1253" s="2" t="s">
        <v>97</v>
      </c>
      <c r="BT1253" s="7" t="s">
        <v>109</v>
      </c>
      <c r="BU1253" s="7"/>
      <c r="BV1253" s="9" t="s">
        <v>109</v>
      </c>
      <c r="BW1253" s="9"/>
    </row>
    <row r="1254" spans="1:75" ht="14.25" customHeight="1" x14ac:dyDescent="0.25">
      <c r="A1254" s="1">
        <v>2178</v>
      </c>
      <c r="B1254" s="1" t="s">
        <v>5073</v>
      </c>
      <c r="C1254" s="1" t="s">
        <v>5074</v>
      </c>
      <c r="D1254" s="1" t="s">
        <v>77</v>
      </c>
      <c r="E1254" s="1" t="s">
        <v>2396</v>
      </c>
      <c r="F1254" s="1" t="s">
        <v>4956</v>
      </c>
      <c r="G1254" s="1"/>
      <c r="H1254" s="2">
        <v>0</v>
      </c>
      <c r="I1254" s="2">
        <v>0</v>
      </c>
      <c r="J1254" s="2">
        <v>0</v>
      </c>
      <c r="K1254" s="2">
        <v>1</v>
      </c>
      <c r="L1254" s="3" t="s">
        <v>80</v>
      </c>
      <c r="O1254" s="4">
        <v>2</v>
      </c>
      <c r="P1254" s="4" t="s">
        <v>81</v>
      </c>
      <c r="Q1254" s="4"/>
      <c r="R1254" s="5"/>
      <c r="S1254" s="6"/>
      <c r="T1254" s="17"/>
      <c r="U1254" s="6"/>
      <c r="V1254" s="4"/>
      <c r="W1254" s="4"/>
      <c r="X1254" s="4"/>
      <c r="Y1254" s="7">
        <v>3</v>
      </c>
      <c r="Z1254" s="8">
        <v>857972</v>
      </c>
      <c r="AA1254" s="7" t="s">
        <v>82</v>
      </c>
      <c r="AB1254" s="7"/>
      <c r="AC1254" s="9">
        <v>3</v>
      </c>
      <c r="AD1254" s="10">
        <v>857972</v>
      </c>
      <c r="AE1254" s="9" t="s">
        <v>82</v>
      </c>
      <c r="AF1254" s="9"/>
      <c r="AG1254" s="11">
        <v>2</v>
      </c>
      <c r="AH1254" s="11" t="s">
        <v>83</v>
      </c>
      <c r="AI1254" s="11"/>
      <c r="AJ1254" s="11"/>
      <c r="AK1254" s="11"/>
      <c r="AL1254" s="12">
        <v>2</v>
      </c>
      <c r="AM1254" s="12" t="s">
        <v>83</v>
      </c>
      <c r="AN1254" s="12"/>
      <c r="AO1254" s="12"/>
      <c r="AP1254" s="12"/>
      <c r="AQ1254" s="4">
        <v>2</v>
      </c>
      <c r="AR1254" s="4" t="s">
        <v>83</v>
      </c>
      <c r="AS1254" s="4"/>
      <c r="AT1254" s="13"/>
      <c r="AU1254" s="13"/>
      <c r="AV1254" s="13"/>
      <c r="AW1254" s="13"/>
      <c r="AX1254" s="4"/>
      <c r="AY1254" s="13"/>
      <c r="AZ1254" s="13"/>
      <c r="BA1254" s="13"/>
      <c r="BB1254" s="13"/>
      <c r="BC1254" s="4"/>
      <c r="BD1254" s="4"/>
      <c r="BE1254" s="4"/>
      <c r="BF1254" s="13"/>
      <c r="BG1254" s="4"/>
      <c r="BH1254" s="13"/>
      <c r="BI1254" s="13"/>
      <c r="BJ1254" s="4"/>
      <c r="BK1254" s="14">
        <v>9</v>
      </c>
      <c r="BL1254" s="14">
        <v>9</v>
      </c>
      <c r="BM1254" s="14">
        <v>9</v>
      </c>
      <c r="BP1254" s="15" t="s">
        <v>135</v>
      </c>
      <c r="BQ1254" s="15"/>
      <c r="BR1254" s="2" t="s">
        <v>121</v>
      </c>
      <c r="BS1254" s="2" t="s">
        <v>121</v>
      </c>
      <c r="BT1254" s="7" t="s">
        <v>797</v>
      </c>
      <c r="BU1254" s="7"/>
      <c r="BV1254" s="9" t="s">
        <v>797</v>
      </c>
      <c r="BW1254" s="9"/>
    </row>
    <row r="1255" spans="1:75" ht="14.25" customHeight="1" x14ac:dyDescent="0.25">
      <c r="A1255" s="1">
        <v>575</v>
      </c>
      <c r="B1255" s="1" t="s">
        <v>5075</v>
      </c>
      <c r="C1255" s="1" t="s">
        <v>5076</v>
      </c>
      <c r="D1255" s="1" t="s">
        <v>616</v>
      </c>
      <c r="E1255" s="1" t="s">
        <v>1094</v>
      </c>
      <c r="F1255" s="1" t="s">
        <v>1144</v>
      </c>
      <c r="G1255" s="1" t="s">
        <v>118</v>
      </c>
      <c r="H1255" s="2">
        <v>1</v>
      </c>
      <c r="I1255" s="2">
        <v>1</v>
      </c>
      <c r="J1255" s="2">
        <v>0</v>
      </c>
      <c r="K1255" s="2">
        <v>0</v>
      </c>
      <c r="L1255" s="3" t="s">
        <v>127</v>
      </c>
      <c r="O1255" s="4">
        <v>3</v>
      </c>
      <c r="P1255" s="4" t="s">
        <v>1145</v>
      </c>
      <c r="Q1255" s="4" t="s">
        <v>1146</v>
      </c>
      <c r="R1255" s="16">
        <v>2300000</v>
      </c>
      <c r="S1255" s="6">
        <v>2300000</v>
      </c>
      <c r="T1255" s="17"/>
      <c r="U1255" s="6"/>
      <c r="V1255" s="4"/>
      <c r="W1255" s="4"/>
      <c r="X1255" s="4"/>
      <c r="Y1255" s="7">
        <v>3</v>
      </c>
      <c r="Z1255" s="8">
        <v>917000</v>
      </c>
      <c r="AA1255" s="7" t="s">
        <v>1145</v>
      </c>
      <c r="AB1255" s="7"/>
      <c r="AC1255" s="9">
        <v>1</v>
      </c>
      <c r="AD1255" s="10"/>
      <c r="AE1255" s="9" t="s">
        <v>82</v>
      </c>
      <c r="AF1255" s="9" t="s">
        <v>1246</v>
      </c>
      <c r="AG1255" s="11">
        <v>3</v>
      </c>
      <c r="AH1255" s="11" t="s">
        <v>1048</v>
      </c>
      <c r="AI1255" s="11"/>
      <c r="AJ1255" s="11"/>
      <c r="AK1255" s="11"/>
      <c r="AL1255" s="12">
        <v>3</v>
      </c>
      <c r="AM1255" s="12" t="s">
        <v>1048</v>
      </c>
      <c r="AN1255" s="12"/>
      <c r="AO1255" s="12"/>
      <c r="AP1255" s="12"/>
      <c r="AQ1255" s="4">
        <v>2</v>
      </c>
      <c r="AR1255" s="4" t="s">
        <v>621</v>
      </c>
      <c r="AS1255" s="4"/>
      <c r="AT1255" s="13"/>
      <c r="AU1255" s="13"/>
      <c r="AV1255" s="13"/>
      <c r="AW1255" s="13"/>
      <c r="AX1255" s="4"/>
      <c r="AY1255" s="13"/>
      <c r="AZ1255" s="13"/>
      <c r="BA1255" s="13"/>
      <c r="BB1255" s="13"/>
      <c r="BC1255" s="4"/>
      <c r="BD1255" s="4"/>
      <c r="BE1255" s="4"/>
      <c r="BF1255" s="13"/>
      <c r="BG1255" s="4"/>
      <c r="BH1255" s="13"/>
      <c r="BI1255" s="13"/>
      <c r="BJ1255" s="4"/>
      <c r="BK1255" s="14">
        <v>11</v>
      </c>
      <c r="BL1255" s="14">
        <v>9</v>
      </c>
      <c r="BM1255" s="14">
        <v>11</v>
      </c>
      <c r="BP1255" s="15"/>
      <c r="BQ1255" s="15"/>
      <c r="BR1255" s="2" t="s">
        <v>162</v>
      </c>
      <c r="BS1255" s="2" t="s">
        <v>162</v>
      </c>
      <c r="BT1255" s="7" t="s">
        <v>1153</v>
      </c>
      <c r="BU1255" s="7" t="s">
        <v>163</v>
      </c>
      <c r="BV1255" s="9" t="s">
        <v>163</v>
      </c>
      <c r="BW1255" s="9"/>
    </row>
    <row r="1256" spans="1:75" ht="14.25" customHeight="1" x14ac:dyDescent="0.25">
      <c r="A1256" s="1">
        <v>577</v>
      </c>
      <c r="B1256" s="1" t="s">
        <v>5077</v>
      </c>
      <c r="C1256" s="1" t="s">
        <v>5078</v>
      </c>
      <c r="D1256" s="1" t="s">
        <v>616</v>
      </c>
      <c r="E1256" s="1" t="s">
        <v>1094</v>
      </c>
      <c r="F1256" s="1" t="s">
        <v>1249</v>
      </c>
      <c r="G1256" s="1"/>
      <c r="H1256" s="2">
        <v>1</v>
      </c>
      <c r="I1256" s="2">
        <v>1</v>
      </c>
      <c r="J1256" s="2">
        <v>1</v>
      </c>
      <c r="K1256" s="2">
        <v>1</v>
      </c>
      <c r="L1256" s="3" t="s">
        <v>127</v>
      </c>
      <c r="O1256" s="4">
        <v>2</v>
      </c>
      <c r="P1256" s="4" t="s">
        <v>1039</v>
      </c>
      <c r="Q1256" s="4" t="s">
        <v>5079</v>
      </c>
      <c r="R1256" s="16">
        <v>10000000</v>
      </c>
      <c r="S1256" s="6">
        <v>10000000</v>
      </c>
      <c r="T1256" s="16">
        <v>1600000</v>
      </c>
      <c r="U1256" s="6">
        <v>1600000</v>
      </c>
      <c r="V1256" s="4">
        <v>2007</v>
      </c>
      <c r="W1256" s="4" t="s">
        <v>5080</v>
      </c>
      <c r="X1256" s="4"/>
      <c r="Y1256" s="7">
        <v>1</v>
      </c>
      <c r="Z1256" s="8">
        <v>7629160</v>
      </c>
      <c r="AA1256" s="7" t="s">
        <v>154</v>
      </c>
      <c r="AB1256" s="7"/>
      <c r="AC1256" s="9">
        <v>1</v>
      </c>
      <c r="AD1256" s="10">
        <v>44919710</v>
      </c>
      <c r="AE1256" s="9" t="s">
        <v>155</v>
      </c>
      <c r="AF1256" s="9"/>
      <c r="AG1256" s="11">
        <v>4</v>
      </c>
      <c r="AH1256" s="11" t="s">
        <v>1149</v>
      </c>
      <c r="AI1256" s="11"/>
      <c r="AJ1256" s="11">
        <v>5</v>
      </c>
      <c r="AK1256" s="11" t="s">
        <v>132</v>
      </c>
      <c r="AL1256" s="12">
        <v>2</v>
      </c>
      <c r="AM1256" s="12" t="s">
        <v>1149</v>
      </c>
      <c r="AN1256" s="12"/>
      <c r="AO1256" s="12">
        <v>2</v>
      </c>
      <c r="AP1256" s="12" t="s">
        <v>132</v>
      </c>
      <c r="AQ1256" s="4">
        <v>5</v>
      </c>
      <c r="AR1256" s="4" t="s">
        <v>222</v>
      </c>
      <c r="AS1256" s="4"/>
      <c r="AT1256" s="13">
        <v>-81.259620666503906</v>
      </c>
      <c r="AU1256" s="13">
        <v>-3.3595950603485099</v>
      </c>
      <c r="AV1256" s="13">
        <v>-5.5213465690612802</v>
      </c>
      <c r="AW1256" s="13">
        <v>-1.3999999761581401</v>
      </c>
      <c r="AX1256" s="4">
        <v>1</v>
      </c>
      <c r="AY1256" s="13">
        <v>-40.735511779785199</v>
      </c>
      <c r="AZ1256" s="13">
        <v>-2.0708959102630602</v>
      </c>
      <c r="BA1256" s="13">
        <v>-6.0979537963867196</v>
      </c>
      <c r="BB1256" s="13">
        <v>2.9852108955383301</v>
      </c>
      <c r="BC1256" s="4"/>
      <c r="BD1256" s="4">
        <v>25</v>
      </c>
      <c r="BE1256" s="4"/>
      <c r="BF1256" s="13">
        <v>4.1213464736938503</v>
      </c>
      <c r="BG1256" s="4"/>
      <c r="BH1256" s="13"/>
      <c r="BI1256" s="13"/>
      <c r="BJ1256" s="4"/>
      <c r="BK1256" s="14">
        <v>12</v>
      </c>
      <c r="BL1256" s="14">
        <v>10</v>
      </c>
      <c r="BM1256" s="14">
        <v>12</v>
      </c>
      <c r="BN1256" s="3" t="s">
        <v>302</v>
      </c>
      <c r="BO1256" s="3" t="s">
        <v>114</v>
      </c>
      <c r="BP1256" s="15"/>
      <c r="BQ1256" s="15"/>
      <c r="BR1256" s="2" t="s">
        <v>161</v>
      </c>
      <c r="BS1256" s="2" t="s">
        <v>172</v>
      </c>
      <c r="BT1256" s="7" t="s">
        <v>1153</v>
      </c>
      <c r="BU1256" s="7" t="s">
        <v>163</v>
      </c>
      <c r="BV1256" s="9" t="s">
        <v>163</v>
      </c>
      <c r="BW1256" s="9" t="s">
        <v>1154</v>
      </c>
    </row>
    <row r="1257" spans="1:75" ht="14.25" customHeight="1" x14ac:dyDescent="0.25">
      <c r="A1257" s="1">
        <v>578</v>
      </c>
      <c r="B1257" s="1" t="s">
        <v>5081</v>
      </c>
      <c r="C1257" s="1" t="s">
        <v>5082</v>
      </c>
      <c r="D1257" s="1" t="s">
        <v>616</v>
      </c>
      <c r="E1257" s="1" t="s">
        <v>1094</v>
      </c>
      <c r="F1257" s="1" t="s">
        <v>1249</v>
      </c>
      <c r="G1257" s="1" t="s">
        <v>118</v>
      </c>
      <c r="H1257" s="2">
        <v>1</v>
      </c>
      <c r="I1257" s="2">
        <v>1</v>
      </c>
      <c r="J1257" s="2">
        <v>0</v>
      </c>
      <c r="K1257" s="2">
        <v>0</v>
      </c>
      <c r="L1257" s="3" t="s">
        <v>127</v>
      </c>
      <c r="O1257" s="4">
        <v>4</v>
      </c>
      <c r="P1257" s="4" t="s">
        <v>1461</v>
      </c>
      <c r="Q1257" s="4" t="s">
        <v>5083</v>
      </c>
      <c r="R1257" s="16">
        <v>200000</v>
      </c>
      <c r="S1257" s="6">
        <v>200000</v>
      </c>
      <c r="T1257" s="17"/>
      <c r="U1257" s="6"/>
      <c r="V1257" s="4"/>
      <c r="W1257" s="4"/>
      <c r="X1257" s="4"/>
      <c r="Y1257" s="7">
        <v>4</v>
      </c>
      <c r="Z1257" s="8">
        <v>192000</v>
      </c>
      <c r="AA1257" s="7" t="s">
        <v>1145</v>
      </c>
      <c r="AB1257" s="7"/>
      <c r="AC1257" s="9">
        <v>1</v>
      </c>
      <c r="AD1257" s="10"/>
      <c r="AE1257" s="9" t="s">
        <v>82</v>
      </c>
      <c r="AF1257" s="9" t="s">
        <v>1246</v>
      </c>
      <c r="AG1257" s="11">
        <v>4</v>
      </c>
      <c r="AH1257" s="11" t="s">
        <v>1048</v>
      </c>
      <c r="AI1257" s="11"/>
      <c r="AJ1257" s="11"/>
      <c r="AK1257" s="11"/>
      <c r="AL1257" s="12">
        <v>3</v>
      </c>
      <c r="AM1257" s="12" t="s">
        <v>1048</v>
      </c>
      <c r="AN1257" s="12"/>
      <c r="AO1257" s="12"/>
      <c r="AP1257" s="12"/>
      <c r="AQ1257" s="4">
        <v>4</v>
      </c>
      <c r="AR1257" s="4" t="s">
        <v>621</v>
      </c>
      <c r="AS1257" s="4"/>
      <c r="AT1257" s="13"/>
      <c r="AU1257" s="13"/>
      <c r="AV1257" s="13"/>
      <c r="AW1257" s="13"/>
      <c r="AX1257" s="4"/>
      <c r="AY1257" s="13"/>
      <c r="AZ1257" s="13"/>
      <c r="BA1257" s="13"/>
      <c r="BB1257" s="13"/>
      <c r="BC1257" s="4"/>
      <c r="BD1257" s="4"/>
      <c r="BE1257" s="4"/>
      <c r="BF1257" s="13"/>
      <c r="BG1257" s="4"/>
      <c r="BH1257" s="13"/>
      <c r="BI1257" s="13"/>
      <c r="BJ1257" s="4"/>
      <c r="BK1257" s="14">
        <v>16</v>
      </c>
      <c r="BL1257" s="14">
        <v>12</v>
      </c>
      <c r="BM1257" s="14">
        <v>16</v>
      </c>
      <c r="BN1257" s="3" t="s">
        <v>86</v>
      </c>
      <c r="BO1257" s="3" t="s">
        <v>114</v>
      </c>
      <c r="BP1257" s="15"/>
      <c r="BQ1257" s="15"/>
      <c r="BR1257" s="2" t="s">
        <v>161</v>
      </c>
      <c r="BS1257" s="2" t="s">
        <v>1224</v>
      </c>
      <c r="BT1257" s="7" t="s">
        <v>1153</v>
      </c>
      <c r="BU1257" s="7" t="s">
        <v>163</v>
      </c>
      <c r="BV1257" s="9" t="s">
        <v>163</v>
      </c>
      <c r="BW1257" s="9"/>
    </row>
    <row r="1258" spans="1:75" ht="14.25" customHeight="1" x14ac:dyDescent="0.25">
      <c r="A1258" s="1">
        <v>579</v>
      </c>
      <c r="B1258" s="1" t="s">
        <v>5084</v>
      </c>
      <c r="C1258" s="1" t="s">
        <v>5085</v>
      </c>
      <c r="D1258" s="1" t="s">
        <v>616</v>
      </c>
      <c r="E1258" s="1" t="s">
        <v>1094</v>
      </c>
      <c r="F1258" s="1" t="s">
        <v>1249</v>
      </c>
      <c r="G1258" s="1" t="s">
        <v>118</v>
      </c>
      <c r="H1258" s="2">
        <v>1</v>
      </c>
      <c r="I1258" s="2">
        <v>1</v>
      </c>
      <c r="J1258" s="2">
        <v>0</v>
      </c>
      <c r="K1258" s="2">
        <v>0</v>
      </c>
      <c r="L1258" s="3" t="s">
        <v>127</v>
      </c>
      <c r="O1258" s="4">
        <v>5</v>
      </c>
      <c r="P1258" s="4" t="s">
        <v>5086</v>
      </c>
      <c r="Q1258" s="4" t="s">
        <v>5087</v>
      </c>
      <c r="R1258" s="16">
        <v>21000</v>
      </c>
      <c r="S1258" s="6">
        <v>21000</v>
      </c>
      <c r="T1258" s="16">
        <v>2100</v>
      </c>
      <c r="U1258" s="6">
        <v>2100</v>
      </c>
      <c r="V1258" s="4"/>
      <c r="W1258" s="4" t="s">
        <v>5086</v>
      </c>
      <c r="X1258" s="4" t="s">
        <v>5088</v>
      </c>
      <c r="Y1258" s="7">
        <v>3</v>
      </c>
      <c r="Z1258" s="8">
        <v>397000</v>
      </c>
      <c r="AA1258" s="7" t="s">
        <v>1145</v>
      </c>
      <c r="AB1258" s="7"/>
      <c r="AC1258" s="9">
        <v>2</v>
      </c>
      <c r="AD1258" s="10">
        <v>3386488</v>
      </c>
      <c r="AE1258" s="9" t="s">
        <v>1148</v>
      </c>
      <c r="AF1258" s="9" t="s">
        <v>5089</v>
      </c>
      <c r="AG1258" s="11">
        <v>4</v>
      </c>
      <c r="AH1258" s="11" t="s">
        <v>5090</v>
      </c>
      <c r="AI1258" s="11"/>
      <c r="AJ1258" s="11"/>
      <c r="AK1258" s="11"/>
      <c r="AL1258" s="12">
        <v>3</v>
      </c>
      <c r="AM1258" s="12" t="s">
        <v>1048</v>
      </c>
      <c r="AN1258" s="12"/>
      <c r="AO1258" s="12"/>
      <c r="AP1258" s="12"/>
      <c r="AQ1258" s="4">
        <v>4</v>
      </c>
      <c r="AR1258" s="4" t="s">
        <v>5090</v>
      </c>
      <c r="AS1258" s="4" t="s">
        <v>5091</v>
      </c>
      <c r="AT1258" s="13"/>
      <c r="AU1258" s="13"/>
      <c r="AV1258" s="13"/>
      <c r="AW1258" s="13"/>
      <c r="AX1258" s="4"/>
      <c r="AY1258" s="13"/>
      <c r="AZ1258" s="13"/>
      <c r="BA1258" s="13"/>
      <c r="BB1258" s="13"/>
      <c r="BC1258" s="4"/>
      <c r="BD1258" s="4"/>
      <c r="BE1258" s="4"/>
      <c r="BF1258" s="13"/>
      <c r="BG1258" s="4"/>
      <c r="BH1258" s="13"/>
      <c r="BI1258" s="13"/>
      <c r="BJ1258" s="4"/>
      <c r="BK1258" s="14">
        <v>16</v>
      </c>
      <c r="BL1258" s="14">
        <v>14</v>
      </c>
      <c r="BM1258" s="14">
        <v>16</v>
      </c>
      <c r="BN1258" s="3" t="s">
        <v>113</v>
      </c>
      <c r="BO1258" s="3" t="s">
        <v>120</v>
      </c>
      <c r="BP1258" s="15"/>
      <c r="BQ1258" s="15"/>
      <c r="BR1258" s="2" t="s">
        <v>161</v>
      </c>
      <c r="BS1258" s="2" t="s">
        <v>161</v>
      </c>
      <c r="BT1258" s="7" t="s">
        <v>1153</v>
      </c>
      <c r="BU1258" s="7" t="s">
        <v>163</v>
      </c>
      <c r="BV1258" s="9" t="s">
        <v>2537</v>
      </c>
      <c r="BW1258" s="9"/>
    </row>
    <row r="1259" spans="1:75" ht="14.25" customHeight="1" x14ac:dyDescent="0.25">
      <c r="A1259" s="1">
        <v>641</v>
      </c>
      <c r="B1259" s="1" t="s">
        <v>5092</v>
      </c>
      <c r="C1259" s="1" t="s">
        <v>5093</v>
      </c>
      <c r="D1259" s="1" t="s">
        <v>616</v>
      </c>
      <c r="E1259" s="1" t="s">
        <v>1431</v>
      </c>
      <c r="F1259" s="1" t="s">
        <v>1432</v>
      </c>
      <c r="G1259" s="1" t="s">
        <v>5094</v>
      </c>
      <c r="H1259" s="2">
        <v>1</v>
      </c>
      <c r="I1259" s="2">
        <v>1</v>
      </c>
      <c r="J1259" s="2">
        <v>1</v>
      </c>
      <c r="K1259" s="2">
        <v>0</v>
      </c>
      <c r="L1259" s="3" t="s">
        <v>127</v>
      </c>
      <c r="O1259" s="4">
        <v>3</v>
      </c>
      <c r="P1259" s="4" t="s">
        <v>1039</v>
      </c>
      <c r="Q1259" s="4" t="s">
        <v>5095</v>
      </c>
      <c r="R1259" s="16">
        <v>840000</v>
      </c>
      <c r="S1259" s="6">
        <v>840000</v>
      </c>
      <c r="T1259" s="17"/>
      <c r="U1259" s="6"/>
      <c r="V1259" s="4"/>
      <c r="W1259" s="4"/>
      <c r="X1259" s="4"/>
      <c r="Y1259" s="7">
        <v>1</v>
      </c>
      <c r="Z1259" s="8">
        <v>5398163</v>
      </c>
      <c r="AA1259" s="7" t="s">
        <v>154</v>
      </c>
      <c r="AB1259" s="7"/>
      <c r="AC1259" s="9">
        <v>3</v>
      </c>
      <c r="AD1259" s="10">
        <v>698038</v>
      </c>
      <c r="AE1259" s="9" t="s">
        <v>155</v>
      </c>
      <c r="AF1259" s="9"/>
      <c r="AG1259" s="11">
        <v>4</v>
      </c>
      <c r="AH1259" s="11" t="s">
        <v>630</v>
      </c>
      <c r="AI1259" s="11"/>
      <c r="AJ1259" s="11">
        <v>4</v>
      </c>
      <c r="AK1259" s="11" t="s">
        <v>143</v>
      </c>
      <c r="AL1259" s="12">
        <v>3</v>
      </c>
      <c r="AM1259" s="12" t="s">
        <v>630</v>
      </c>
      <c r="AN1259" s="12"/>
      <c r="AO1259" s="12">
        <v>2</v>
      </c>
      <c r="AP1259" s="12" t="s">
        <v>132</v>
      </c>
      <c r="AQ1259" s="4">
        <v>1</v>
      </c>
      <c r="AR1259" s="4" t="s">
        <v>665</v>
      </c>
      <c r="AS1259" s="4" t="s">
        <v>5096</v>
      </c>
      <c r="AT1259" s="13"/>
      <c r="AU1259" s="13"/>
      <c r="AV1259" s="13"/>
      <c r="AW1259" s="13"/>
      <c r="AX1259" s="4"/>
      <c r="AY1259" s="13"/>
      <c r="AZ1259" s="13"/>
      <c r="BA1259" s="13"/>
      <c r="BB1259" s="13"/>
      <c r="BC1259" s="4"/>
      <c r="BD1259" s="4"/>
      <c r="BE1259" s="4"/>
      <c r="BF1259" s="13"/>
      <c r="BG1259" s="4"/>
      <c r="BH1259" s="13"/>
      <c r="BI1259" s="13"/>
      <c r="BJ1259" s="4"/>
      <c r="BK1259" s="14">
        <v>9</v>
      </c>
      <c r="BL1259" s="14">
        <v>10</v>
      </c>
      <c r="BM1259" s="14">
        <v>10</v>
      </c>
      <c r="BP1259" s="15"/>
      <c r="BQ1259" s="15"/>
      <c r="BR1259" s="2" t="s">
        <v>161</v>
      </c>
      <c r="BS1259" s="2" t="s">
        <v>162</v>
      </c>
      <c r="BT1259" s="7" t="s">
        <v>173</v>
      </c>
      <c r="BU1259" s="7"/>
      <c r="BV1259" s="9" t="s">
        <v>163</v>
      </c>
      <c r="BW1259" s="9"/>
    </row>
    <row r="1260" spans="1:75" ht="14.25" customHeight="1" x14ac:dyDescent="0.25">
      <c r="A1260" s="1">
        <v>642</v>
      </c>
      <c r="B1260" s="1" t="s">
        <v>5097</v>
      </c>
      <c r="C1260" s="1" t="s">
        <v>5098</v>
      </c>
      <c r="D1260" s="1" t="s">
        <v>616</v>
      </c>
      <c r="E1260" s="1" t="s">
        <v>1431</v>
      </c>
      <c r="F1260" s="1" t="s">
        <v>1432</v>
      </c>
      <c r="G1260" s="1" t="s">
        <v>2547</v>
      </c>
      <c r="H1260" s="2">
        <v>1</v>
      </c>
      <c r="I1260" s="2">
        <v>1</v>
      </c>
      <c r="J1260" s="2">
        <v>1</v>
      </c>
      <c r="K1260" s="2">
        <v>0</v>
      </c>
      <c r="L1260" s="3" t="s">
        <v>127</v>
      </c>
      <c r="O1260" s="4">
        <v>3</v>
      </c>
      <c r="P1260" s="4" t="s">
        <v>639</v>
      </c>
      <c r="Q1260" s="4" t="s">
        <v>169</v>
      </c>
      <c r="R1260" s="16">
        <v>1200000</v>
      </c>
      <c r="S1260" s="6">
        <v>1200000</v>
      </c>
      <c r="T1260" s="16">
        <v>1100000</v>
      </c>
      <c r="U1260" s="6">
        <v>1100000</v>
      </c>
      <c r="V1260" s="4">
        <v>2010.5</v>
      </c>
      <c r="W1260" s="4" t="s">
        <v>640</v>
      </c>
      <c r="X1260" s="4"/>
      <c r="Y1260" s="7">
        <v>1</v>
      </c>
      <c r="Z1260" s="8">
        <v>9360701</v>
      </c>
      <c r="AA1260" s="7" t="s">
        <v>154</v>
      </c>
      <c r="AB1260" s="7"/>
      <c r="AC1260" s="9">
        <v>2</v>
      </c>
      <c r="AD1260" s="10">
        <v>1347498</v>
      </c>
      <c r="AE1260" s="9" t="s">
        <v>155</v>
      </c>
      <c r="AF1260" s="9"/>
      <c r="AG1260" s="11">
        <v>3</v>
      </c>
      <c r="AH1260" s="11" t="s">
        <v>630</v>
      </c>
      <c r="AI1260" s="11" t="s">
        <v>5099</v>
      </c>
      <c r="AJ1260" s="11">
        <v>2</v>
      </c>
      <c r="AK1260" s="11" t="s">
        <v>132</v>
      </c>
      <c r="AL1260" s="12">
        <v>3</v>
      </c>
      <c r="AM1260" s="12" t="s">
        <v>630</v>
      </c>
      <c r="AN1260" s="12"/>
      <c r="AO1260" s="12">
        <v>2</v>
      </c>
      <c r="AP1260" s="12" t="s">
        <v>143</v>
      </c>
      <c r="AQ1260" s="4">
        <v>1</v>
      </c>
      <c r="AR1260" s="4" t="s">
        <v>133</v>
      </c>
      <c r="AS1260" s="4"/>
      <c r="AT1260" s="13">
        <v>35.377941131591797</v>
      </c>
      <c r="AU1260" s="13">
        <v>0.59586864709854104</v>
      </c>
      <c r="AV1260" s="13">
        <v>6.35029971599579E-2</v>
      </c>
      <c r="AW1260" s="13">
        <v>1.5199999809265099</v>
      </c>
      <c r="AX1260" s="4">
        <v>1</v>
      </c>
      <c r="AY1260" s="13">
        <v>14.977470397949199</v>
      </c>
      <c r="AZ1260" s="13">
        <v>0.41129589080810502</v>
      </c>
      <c r="BA1260" s="13">
        <v>-0.145798996090889</v>
      </c>
      <c r="BB1260" s="13">
        <v>1.53999996185303</v>
      </c>
      <c r="BC1260" s="4"/>
      <c r="BD1260" s="4">
        <v>34</v>
      </c>
      <c r="BE1260" s="4" t="s">
        <v>134</v>
      </c>
      <c r="BF1260" s="13">
        <v>1.4564969539642301</v>
      </c>
      <c r="BG1260" s="4">
        <v>1132.5</v>
      </c>
      <c r="BH1260" s="13">
        <v>1.1900000572204601</v>
      </c>
      <c r="BI1260" s="13">
        <v>1347.46496582031</v>
      </c>
      <c r="BJ1260" s="4"/>
      <c r="BK1260" s="14">
        <v>8</v>
      </c>
      <c r="BL1260" s="14">
        <v>9</v>
      </c>
      <c r="BM1260" s="14">
        <v>9</v>
      </c>
      <c r="BP1260" s="15"/>
      <c r="BQ1260" s="15"/>
      <c r="BR1260" s="2" t="s">
        <v>211</v>
      </c>
      <c r="BS1260" s="2" t="s">
        <v>172</v>
      </c>
      <c r="BT1260" s="7" t="s">
        <v>212</v>
      </c>
      <c r="BU1260" s="7"/>
      <c r="BV1260" s="9" t="s">
        <v>163</v>
      </c>
      <c r="BW1260" s="9" t="s">
        <v>212</v>
      </c>
    </row>
    <row r="1261" spans="1:75" ht="14.25" customHeight="1" x14ac:dyDescent="0.25">
      <c r="A1261" s="1">
        <v>643</v>
      </c>
      <c r="B1261" s="1" t="s">
        <v>5100</v>
      </c>
      <c r="C1261" s="1" t="s">
        <v>5101</v>
      </c>
      <c r="D1261" s="1" t="s">
        <v>616</v>
      </c>
      <c r="E1261" s="1" t="s">
        <v>1431</v>
      </c>
      <c r="F1261" s="1" t="s">
        <v>1432</v>
      </c>
      <c r="G1261" s="1" t="s">
        <v>118</v>
      </c>
      <c r="H1261" s="2">
        <v>1</v>
      </c>
      <c r="I1261" s="2">
        <v>1</v>
      </c>
      <c r="J1261" s="2">
        <v>1</v>
      </c>
      <c r="K1261" s="2">
        <v>0</v>
      </c>
      <c r="L1261" s="3" t="s">
        <v>127</v>
      </c>
      <c r="O1261" s="4">
        <v>5</v>
      </c>
      <c r="P1261" s="4" t="s">
        <v>1145</v>
      </c>
      <c r="Q1261" s="4"/>
      <c r="R1261" s="16">
        <v>16000</v>
      </c>
      <c r="S1261" s="6">
        <v>16000</v>
      </c>
      <c r="T1261" s="16">
        <v>12000</v>
      </c>
      <c r="U1261" s="6">
        <v>12000</v>
      </c>
      <c r="V1261" s="4">
        <v>2014</v>
      </c>
      <c r="W1261" s="4" t="s">
        <v>5102</v>
      </c>
      <c r="X1261" s="4"/>
      <c r="Y1261" s="7">
        <v>1</v>
      </c>
      <c r="Z1261" s="8">
        <v>4069923</v>
      </c>
      <c r="AA1261" s="7" t="s">
        <v>130</v>
      </c>
      <c r="AB1261" s="7"/>
      <c r="AC1261" s="9">
        <v>3</v>
      </c>
      <c r="AD1261" s="10">
        <v>986715</v>
      </c>
      <c r="AE1261" s="9" t="s">
        <v>1148</v>
      </c>
      <c r="AF1261" s="9"/>
      <c r="AG1261" s="11">
        <v>4</v>
      </c>
      <c r="AH1261" s="11" t="s">
        <v>630</v>
      </c>
      <c r="AI1261" s="11" t="s">
        <v>5103</v>
      </c>
      <c r="AJ1261" s="11">
        <v>3</v>
      </c>
      <c r="AK1261" s="11" t="s">
        <v>143</v>
      </c>
      <c r="AL1261" s="12">
        <v>4</v>
      </c>
      <c r="AM1261" s="12" t="s">
        <v>630</v>
      </c>
      <c r="AN1261" s="12" t="s">
        <v>5104</v>
      </c>
      <c r="AO1261" s="12">
        <v>3</v>
      </c>
      <c r="AP1261" s="12" t="s">
        <v>132</v>
      </c>
      <c r="AQ1261" s="4">
        <v>5</v>
      </c>
      <c r="AR1261" s="4" t="s">
        <v>222</v>
      </c>
      <c r="AS1261" s="4"/>
      <c r="AT1261" s="13">
        <v>-71.189315795898395</v>
      </c>
      <c r="AU1261" s="13">
        <v>-2.5076630115509002</v>
      </c>
      <c r="AV1261" s="13">
        <v>-3.6657407283782999</v>
      </c>
      <c r="AW1261" s="13">
        <v>-1.5</v>
      </c>
      <c r="AX1261" s="4">
        <v>1</v>
      </c>
      <c r="AY1261" s="13">
        <v>-44.468147277832003</v>
      </c>
      <c r="AZ1261" s="13">
        <v>-2.32538986206055</v>
      </c>
      <c r="BA1261" s="13">
        <v>-4.9092326164245597</v>
      </c>
      <c r="BB1261" s="13">
        <v>0.26051700115203902</v>
      </c>
      <c r="BC1261" s="4"/>
      <c r="BD1261" s="4">
        <v>25</v>
      </c>
      <c r="BE1261" s="4"/>
      <c r="BF1261" s="13">
        <v>2.1657407283782999</v>
      </c>
      <c r="BG1261" s="4"/>
      <c r="BH1261" s="13"/>
      <c r="BI1261" s="13"/>
      <c r="BJ1261" s="4"/>
      <c r="BK1261" s="14">
        <v>15</v>
      </c>
      <c r="BL1261" s="14">
        <v>17</v>
      </c>
      <c r="BM1261" s="14">
        <v>17</v>
      </c>
      <c r="BN1261" s="3" t="s">
        <v>312</v>
      </c>
      <c r="BO1261" s="3" t="s">
        <v>120</v>
      </c>
      <c r="BP1261" s="15"/>
      <c r="BQ1261" s="15"/>
      <c r="BR1261" s="2" t="s">
        <v>161</v>
      </c>
      <c r="BS1261" s="2" t="s">
        <v>162</v>
      </c>
      <c r="BT1261" s="7" t="s">
        <v>173</v>
      </c>
      <c r="BU1261" s="7" t="s">
        <v>212</v>
      </c>
      <c r="BV1261" s="9" t="s">
        <v>163</v>
      </c>
      <c r="BW1261" s="9"/>
    </row>
    <row r="1262" spans="1:75" ht="14.25" customHeight="1" x14ac:dyDescent="0.25">
      <c r="A1262" s="1">
        <v>651</v>
      </c>
      <c r="B1262" s="1" t="s">
        <v>5105</v>
      </c>
      <c r="C1262" s="1" t="s">
        <v>5106</v>
      </c>
      <c r="D1262" s="1" t="s">
        <v>616</v>
      </c>
      <c r="E1262" s="1" t="s">
        <v>1441</v>
      </c>
      <c r="F1262" s="1" t="s">
        <v>1442</v>
      </c>
      <c r="G1262" s="1" t="s">
        <v>118</v>
      </c>
      <c r="H1262" s="2">
        <v>1</v>
      </c>
      <c r="I1262" s="2">
        <v>1</v>
      </c>
      <c r="J1262" s="2">
        <v>1</v>
      </c>
      <c r="K1262" s="2">
        <v>0</v>
      </c>
      <c r="L1262" s="3" t="s">
        <v>127</v>
      </c>
      <c r="O1262" s="4">
        <v>3</v>
      </c>
      <c r="P1262" s="4" t="s">
        <v>1145</v>
      </c>
      <c r="Q1262" s="4" t="s">
        <v>5107</v>
      </c>
      <c r="R1262" s="16">
        <v>1200000</v>
      </c>
      <c r="S1262" s="6">
        <v>1200000</v>
      </c>
      <c r="T1262" s="17"/>
      <c r="U1262" s="6"/>
      <c r="V1262" s="4"/>
      <c r="W1262" s="4"/>
      <c r="X1262" s="4"/>
      <c r="Y1262" s="7">
        <v>5</v>
      </c>
      <c r="Z1262" s="8">
        <v>3500</v>
      </c>
      <c r="AA1262" s="7" t="s">
        <v>1145</v>
      </c>
      <c r="AB1262" s="7" t="s">
        <v>5108</v>
      </c>
      <c r="AC1262" s="9">
        <v>1</v>
      </c>
      <c r="AD1262" s="10"/>
      <c r="AE1262" s="9" t="s">
        <v>82</v>
      </c>
      <c r="AF1262" s="9" t="s">
        <v>1246</v>
      </c>
      <c r="AG1262" s="11">
        <v>4</v>
      </c>
      <c r="AH1262" s="11" t="s">
        <v>1048</v>
      </c>
      <c r="AI1262" s="11"/>
      <c r="AJ1262" s="11"/>
      <c r="AK1262" s="11"/>
      <c r="AL1262" s="12">
        <v>4</v>
      </c>
      <c r="AM1262" s="12" t="s">
        <v>1048</v>
      </c>
      <c r="AN1262" s="12"/>
      <c r="AO1262" s="12"/>
      <c r="AP1262" s="12"/>
      <c r="AQ1262" s="4">
        <v>3</v>
      </c>
      <c r="AR1262" s="4" t="s">
        <v>621</v>
      </c>
      <c r="AS1262" s="4"/>
      <c r="AT1262" s="13"/>
      <c r="AU1262" s="13"/>
      <c r="AV1262" s="13"/>
      <c r="AW1262" s="13"/>
      <c r="AX1262" s="4"/>
      <c r="AY1262" s="13"/>
      <c r="AZ1262" s="13"/>
      <c r="BA1262" s="13"/>
      <c r="BB1262" s="13"/>
      <c r="BC1262" s="4"/>
      <c r="BD1262" s="4"/>
      <c r="BE1262" s="4"/>
      <c r="BF1262" s="13"/>
      <c r="BG1262" s="4"/>
      <c r="BH1262" s="13"/>
      <c r="BI1262" s="13"/>
      <c r="BJ1262" s="4"/>
      <c r="BK1262" s="14">
        <v>15</v>
      </c>
      <c r="BL1262" s="14">
        <v>11</v>
      </c>
      <c r="BM1262" s="14">
        <v>15</v>
      </c>
      <c r="BN1262" s="3" t="s">
        <v>86</v>
      </c>
      <c r="BO1262" s="3" t="s">
        <v>120</v>
      </c>
      <c r="BP1262" s="15"/>
      <c r="BQ1262" s="15"/>
      <c r="BR1262" s="2" t="s">
        <v>1224</v>
      </c>
      <c r="BS1262" s="2" t="s">
        <v>1224</v>
      </c>
      <c r="BT1262" s="7" t="s">
        <v>1326</v>
      </c>
      <c r="BU1262" s="7"/>
      <c r="BV1262" s="9" t="s">
        <v>1154</v>
      </c>
      <c r="BW1262" s="9"/>
    </row>
    <row r="1263" spans="1:75" ht="14.25" customHeight="1" x14ac:dyDescent="0.25">
      <c r="A1263" s="1">
        <v>704</v>
      </c>
      <c r="B1263" s="1" t="s">
        <v>5109</v>
      </c>
      <c r="C1263" s="1" t="s">
        <v>5110</v>
      </c>
      <c r="D1263" s="1" t="s">
        <v>616</v>
      </c>
      <c r="E1263" s="1" t="s">
        <v>1441</v>
      </c>
      <c r="F1263" s="1" t="s">
        <v>1511</v>
      </c>
      <c r="G1263" s="1" t="s">
        <v>118</v>
      </c>
      <c r="H1263" s="2">
        <v>1</v>
      </c>
      <c r="I1263" s="2">
        <v>1</v>
      </c>
      <c r="J1263" s="2">
        <v>1</v>
      </c>
      <c r="K1263" s="2">
        <v>1</v>
      </c>
      <c r="L1263" s="3" t="s">
        <v>127</v>
      </c>
      <c r="N1263" s="3">
        <v>1</v>
      </c>
      <c r="O1263" s="4">
        <v>2</v>
      </c>
      <c r="P1263" s="4" t="s">
        <v>1145</v>
      </c>
      <c r="Q1263" s="4" t="s">
        <v>1146</v>
      </c>
      <c r="R1263" s="16">
        <v>15000000</v>
      </c>
      <c r="S1263" s="6">
        <v>15000000</v>
      </c>
      <c r="T1263" s="17"/>
      <c r="U1263" s="6"/>
      <c r="V1263" s="4"/>
      <c r="W1263" s="4"/>
      <c r="X1263" s="4"/>
      <c r="Y1263" s="7">
        <v>4</v>
      </c>
      <c r="Z1263" s="8"/>
      <c r="AA1263" s="7" t="s">
        <v>1348</v>
      </c>
      <c r="AB1263" s="7" t="s">
        <v>5111</v>
      </c>
      <c r="AC1263" s="9">
        <v>1</v>
      </c>
      <c r="AD1263" s="10"/>
      <c r="AE1263" s="9" t="s">
        <v>82</v>
      </c>
      <c r="AF1263" s="9" t="s">
        <v>1246</v>
      </c>
      <c r="AG1263" s="11">
        <v>2</v>
      </c>
      <c r="AH1263" s="11" t="s">
        <v>1048</v>
      </c>
      <c r="AI1263" s="11"/>
      <c r="AJ1263" s="11"/>
      <c r="AK1263" s="11"/>
      <c r="AL1263" s="12">
        <v>3</v>
      </c>
      <c r="AM1263" s="12" t="s">
        <v>1048</v>
      </c>
      <c r="AN1263" s="12"/>
      <c r="AO1263" s="12"/>
      <c r="AP1263" s="12"/>
      <c r="AQ1263" s="4">
        <v>3</v>
      </c>
      <c r="AR1263" s="4" t="s">
        <v>621</v>
      </c>
      <c r="AS1263" s="4"/>
      <c r="AT1263" s="13"/>
      <c r="AU1263" s="13"/>
      <c r="AV1263" s="13"/>
      <c r="AW1263" s="13"/>
      <c r="AX1263" s="4"/>
      <c r="AY1263" s="13"/>
      <c r="AZ1263" s="13"/>
      <c r="BA1263" s="13"/>
      <c r="BB1263" s="13"/>
      <c r="BC1263" s="4"/>
      <c r="BD1263" s="4"/>
      <c r="BE1263" s="4"/>
      <c r="BF1263" s="13"/>
      <c r="BG1263" s="4"/>
      <c r="BH1263" s="13"/>
      <c r="BI1263" s="13"/>
      <c r="BJ1263" s="4"/>
      <c r="BK1263" s="14">
        <v>11</v>
      </c>
      <c r="BL1263" s="14">
        <v>9</v>
      </c>
      <c r="BM1263" s="14">
        <v>11</v>
      </c>
      <c r="BP1263" s="15"/>
      <c r="BQ1263" s="15"/>
      <c r="BR1263" s="2" t="s">
        <v>1126</v>
      </c>
      <c r="BS1263" s="2" t="s">
        <v>1570</v>
      </c>
      <c r="BT1263" s="7" t="s">
        <v>1326</v>
      </c>
      <c r="BU1263" s="7"/>
      <c r="BV1263" s="9" t="s">
        <v>1154</v>
      </c>
      <c r="BW1263" s="9"/>
    </row>
    <row r="1264" spans="1:75" ht="14.25" customHeight="1" x14ac:dyDescent="0.25">
      <c r="A1264" s="1">
        <v>705</v>
      </c>
      <c r="B1264" s="1" t="s">
        <v>5112</v>
      </c>
      <c r="C1264" s="1" t="s">
        <v>5113</v>
      </c>
      <c r="D1264" s="1" t="s">
        <v>616</v>
      </c>
      <c r="E1264" s="1" t="s">
        <v>1441</v>
      </c>
      <c r="F1264" s="1" t="s">
        <v>1511</v>
      </c>
      <c r="G1264" s="1" t="s">
        <v>118</v>
      </c>
      <c r="H1264" s="2">
        <v>1</v>
      </c>
      <c r="I1264" s="2">
        <v>1</v>
      </c>
      <c r="J1264" s="2">
        <v>1</v>
      </c>
      <c r="K1264" s="2">
        <v>1</v>
      </c>
      <c r="L1264" s="3" t="s">
        <v>127</v>
      </c>
      <c r="N1264" s="3">
        <v>1</v>
      </c>
      <c r="O1264" s="4">
        <v>2</v>
      </c>
      <c r="P1264" s="4" t="s">
        <v>1145</v>
      </c>
      <c r="Q1264" s="4" t="s">
        <v>1146</v>
      </c>
      <c r="R1264" s="16">
        <v>13000000</v>
      </c>
      <c r="S1264" s="6">
        <v>13000000</v>
      </c>
      <c r="T1264" s="17"/>
      <c r="U1264" s="6"/>
      <c r="V1264" s="4"/>
      <c r="W1264" s="4"/>
      <c r="X1264" s="4"/>
      <c r="Y1264" s="7">
        <v>4</v>
      </c>
      <c r="Z1264" s="8"/>
      <c r="AA1264" s="7" t="s">
        <v>1331</v>
      </c>
      <c r="AB1264" s="7" t="s">
        <v>5114</v>
      </c>
      <c r="AC1264" s="9">
        <v>1</v>
      </c>
      <c r="AD1264" s="10"/>
      <c r="AE1264" s="9" t="s">
        <v>82</v>
      </c>
      <c r="AF1264" s="9" t="s">
        <v>1246</v>
      </c>
      <c r="AG1264" s="11">
        <v>2</v>
      </c>
      <c r="AH1264" s="11" t="s">
        <v>1048</v>
      </c>
      <c r="AI1264" s="11"/>
      <c r="AJ1264" s="11"/>
      <c r="AK1264" s="11"/>
      <c r="AL1264" s="12">
        <v>3</v>
      </c>
      <c r="AM1264" s="12" t="s">
        <v>1048</v>
      </c>
      <c r="AN1264" s="12"/>
      <c r="AO1264" s="12"/>
      <c r="AP1264" s="12"/>
      <c r="AQ1264" s="4">
        <v>4</v>
      </c>
      <c r="AR1264" s="4" t="s">
        <v>621</v>
      </c>
      <c r="AS1264" s="4"/>
      <c r="AT1264" s="13"/>
      <c r="AU1264" s="13"/>
      <c r="AV1264" s="13"/>
      <c r="AW1264" s="13"/>
      <c r="AX1264" s="4"/>
      <c r="AY1264" s="13"/>
      <c r="AZ1264" s="13"/>
      <c r="BA1264" s="13"/>
      <c r="BB1264" s="13"/>
      <c r="BC1264" s="4"/>
      <c r="BD1264" s="4"/>
      <c r="BE1264" s="4"/>
      <c r="BF1264" s="13"/>
      <c r="BG1264" s="4"/>
      <c r="BH1264" s="13"/>
      <c r="BI1264" s="13"/>
      <c r="BJ1264" s="4"/>
      <c r="BK1264" s="14">
        <v>12</v>
      </c>
      <c r="BL1264" s="14">
        <v>10</v>
      </c>
      <c r="BM1264" s="14">
        <v>12</v>
      </c>
      <c r="BO1264" s="3" t="s">
        <v>120</v>
      </c>
      <c r="BP1264" s="15"/>
      <c r="BQ1264" s="15"/>
      <c r="BR1264" s="2" t="s">
        <v>1126</v>
      </c>
      <c r="BS1264" s="2" t="s">
        <v>247</v>
      </c>
      <c r="BT1264" s="7" t="s">
        <v>1326</v>
      </c>
      <c r="BU1264" s="7"/>
      <c r="BV1264" s="9" t="s">
        <v>163</v>
      </c>
      <c r="BW1264" s="9" t="s">
        <v>1154</v>
      </c>
    </row>
    <row r="1265" spans="1:75" ht="14.25" customHeight="1" x14ac:dyDescent="0.25">
      <c r="A1265" s="1">
        <v>706</v>
      </c>
      <c r="B1265" s="1" t="s">
        <v>5115</v>
      </c>
      <c r="C1265" s="1" t="s">
        <v>5116</v>
      </c>
      <c r="D1265" s="1" t="s">
        <v>616</v>
      </c>
      <c r="E1265" s="1" t="s">
        <v>1441</v>
      </c>
      <c r="F1265" s="1" t="s">
        <v>1511</v>
      </c>
      <c r="G1265" s="1" t="s">
        <v>118</v>
      </c>
      <c r="H1265" s="2">
        <v>1</v>
      </c>
      <c r="I1265" s="2">
        <v>1</v>
      </c>
      <c r="J1265" s="2">
        <v>1</v>
      </c>
      <c r="K1265" s="2">
        <v>1</v>
      </c>
      <c r="L1265" s="3" t="s">
        <v>127</v>
      </c>
      <c r="N1265" s="3">
        <v>1</v>
      </c>
      <c r="O1265" s="4">
        <v>2</v>
      </c>
      <c r="P1265" s="4" t="s">
        <v>1145</v>
      </c>
      <c r="Q1265" s="4" t="s">
        <v>1146</v>
      </c>
      <c r="R1265" s="16">
        <v>10000000</v>
      </c>
      <c r="S1265" s="6">
        <v>10000000</v>
      </c>
      <c r="T1265" s="17"/>
      <c r="U1265" s="6"/>
      <c r="V1265" s="4"/>
      <c r="W1265" s="4"/>
      <c r="X1265" s="4"/>
      <c r="Y1265" s="7">
        <v>5</v>
      </c>
      <c r="Z1265" s="8"/>
      <c r="AA1265" s="7" t="s">
        <v>1348</v>
      </c>
      <c r="AB1265" s="7" t="s">
        <v>5117</v>
      </c>
      <c r="AC1265" s="9">
        <v>1</v>
      </c>
      <c r="AD1265" s="10"/>
      <c r="AE1265" s="9" t="s">
        <v>82</v>
      </c>
      <c r="AF1265" s="9" t="s">
        <v>1246</v>
      </c>
      <c r="AG1265" s="11">
        <v>3</v>
      </c>
      <c r="AH1265" s="11" t="s">
        <v>1048</v>
      </c>
      <c r="AI1265" s="11"/>
      <c r="AJ1265" s="11"/>
      <c r="AK1265" s="11"/>
      <c r="AL1265" s="12">
        <v>3</v>
      </c>
      <c r="AM1265" s="12" t="s">
        <v>1048</v>
      </c>
      <c r="AN1265" s="12"/>
      <c r="AO1265" s="12"/>
      <c r="AP1265" s="12"/>
      <c r="AQ1265" s="4">
        <v>3</v>
      </c>
      <c r="AR1265" s="4" t="s">
        <v>621</v>
      </c>
      <c r="AS1265" s="4"/>
      <c r="AT1265" s="13"/>
      <c r="AU1265" s="13"/>
      <c r="AV1265" s="13"/>
      <c r="AW1265" s="13"/>
      <c r="AX1265" s="4"/>
      <c r="AY1265" s="13"/>
      <c r="AZ1265" s="13"/>
      <c r="BA1265" s="13"/>
      <c r="BB1265" s="13"/>
      <c r="BC1265" s="4"/>
      <c r="BD1265" s="4"/>
      <c r="BE1265" s="4"/>
      <c r="BF1265" s="13"/>
      <c r="BG1265" s="4"/>
      <c r="BH1265" s="13"/>
      <c r="BI1265" s="13"/>
      <c r="BJ1265" s="4"/>
      <c r="BK1265" s="14">
        <v>13</v>
      </c>
      <c r="BL1265" s="14">
        <v>9</v>
      </c>
      <c r="BM1265" s="14">
        <v>13</v>
      </c>
      <c r="BP1265" s="15"/>
      <c r="BQ1265" s="15"/>
      <c r="BR1265" s="2" t="s">
        <v>1136</v>
      </c>
      <c r="BS1265" s="2" t="s">
        <v>1152</v>
      </c>
      <c r="BT1265" s="7" t="s">
        <v>1326</v>
      </c>
      <c r="BU1265" s="7"/>
      <c r="BV1265" s="9" t="s">
        <v>1154</v>
      </c>
      <c r="BW1265" s="9"/>
    </row>
    <row r="1266" spans="1:75" ht="14.25" customHeight="1" x14ac:dyDescent="0.25">
      <c r="A1266" s="1">
        <v>707</v>
      </c>
      <c r="B1266" s="1" t="s">
        <v>5118</v>
      </c>
      <c r="C1266" s="1" t="s">
        <v>5119</v>
      </c>
      <c r="D1266" s="1" t="s">
        <v>616</v>
      </c>
      <c r="E1266" s="1" t="s">
        <v>1441</v>
      </c>
      <c r="F1266" s="1" t="s">
        <v>1511</v>
      </c>
      <c r="G1266" s="1" t="s">
        <v>118</v>
      </c>
      <c r="H1266" s="2">
        <v>1</v>
      </c>
      <c r="I1266" s="2">
        <v>1</v>
      </c>
      <c r="J1266" s="2">
        <v>1</v>
      </c>
      <c r="K1266" s="2">
        <v>1</v>
      </c>
      <c r="L1266" s="3" t="s">
        <v>127</v>
      </c>
      <c r="N1266" s="3">
        <v>1</v>
      </c>
      <c r="O1266" s="4">
        <v>5</v>
      </c>
      <c r="P1266" s="4" t="s">
        <v>812</v>
      </c>
      <c r="Q1266" s="4" t="s">
        <v>5120</v>
      </c>
      <c r="R1266" s="16">
        <v>40000</v>
      </c>
      <c r="S1266" s="6">
        <v>40000</v>
      </c>
      <c r="T1266" s="17"/>
      <c r="U1266" s="6"/>
      <c r="V1266" s="4"/>
      <c r="W1266" s="4"/>
      <c r="X1266" s="4"/>
      <c r="Y1266" s="7">
        <v>5</v>
      </c>
      <c r="Z1266" s="8"/>
      <c r="AA1266" s="7" t="s">
        <v>1348</v>
      </c>
      <c r="AB1266" s="7" t="s">
        <v>5121</v>
      </c>
      <c r="AC1266" s="9">
        <v>1</v>
      </c>
      <c r="AD1266" s="10"/>
      <c r="AE1266" s="9" t="s">
        <v>82</v>
      </c>
      <c r="AF1266" s="9" t="s">
        <v>1246</v>
      </c>
      <c r="AG1266" s="11">
        <v>4</v>
      </c>
      <c r="AH1266" s="11" t="s">
        <v>1048</v>
      </c>
      <c r="AI1266" s="11"/>
      <c r="AJ1266" s="11"/>
      <c r="AK1266" s="11"/>
      <c r="AL1266" s="12">
        <v>4</v>
      </c>
      <c r="AM1266" s="12" t="s">
        <v>1048</v>
      </c>
      <c r="AN1266" s="12" t="s">
        <v>5122</v>
      </c>
      <c r="AO1266" s="12"/>
      <c r="AP1266" s="12"/>
      <c r="AQ1266" s="4">
        <v>3</v>
      </c>
      <c r="AR1266" s="4" t="s">
        <v>621</v>
      </c>
      <c r="AS1266" s="4"/>
      <c r="AT1266" s="13"/>
      <c r="AU1266" s="13"/>
      <c r="AV1266" s="13"/>
      <c r="AW1266" s="13"/>
      <c r="AX1266" s="4"/>
      <c r="AY1266" s="13"/>
      <c r="AZ1266" s="13"/>
      <c r="BA1266" s="13"/>
      <c r="BB1266" s="13"/>
      <c r="BC1266" s="4"/>
      <c r="BD1266" s="4"/>
      <c r="BE1266" s="4"/>
      <c r="BF1266" s="13"/>
      <c r="BG1266" s="4"/>
      <c r="BH1266" s="13"/>
      <c r="BI1266" s="13"/>
      <c r="BJ1266" s="4"/>
      <c r="BK1266" s="14">
        <v>17</v>
      </c>
      <c r="BL1266" s="14">
        <v>13</v>
      </c>
      <c r="BM1266" s="14">
        <v>17</v>
      </c>
      <c r="BN1266" s="3" t="s">
        <v>312</v>
      </c>
      <c r="BO1266" s="3" t="s">
        <v>114</v>
      </c>
      <c r="BP1266" s="15"/>
      <c r="BQ1266" s="15"/>
      <c r="BR1266" s="2" t="s">
        <v>1136</v>
      </c>
      <c r="BS1266" s="2" t="s">
        <v>1224</v>
      </c>
      <c r="BT1266" s="7" t="s">
        <v>1326</v>
      </c>
      <c r="BU1266" s="7"/>
      <c r="BV1266" s="9" t="s">
        <v>1154</v>
      </c>
      <c r="BW1266" s="9"/>
    </row>
    <row r="1267" spans="1:75" ht="14.25" customHeight="1" x14ac:dyDescent="0.25">
      <c r="A1267" s="1">
        <v>708</v>
      </c>
      <c r="B1267" s="1" t="s">
        <v>5123</v>
      </c>
      <c r="C1267" s="1" t="s">
        <v>5124</v>
      </c>
      <c r="D1267" s="1" t="s">
        <v>616</v>
      </c>
      <c r="E1267" s="1" t="s">
        <v>1441</v>
      </c>
      <c r="F1267" s="1" t="s">
        <v>1511</v>
      </c>
      <c r="G1267" s="1" t="s">
        <v>118</v>
      </c>
      <c r="H1267" s="2">
        <v>1</v>
      </c>
      <c r="I1267" s="2">
        <v>1</v>
      </c>
      <c r="J1267" s="2">
        <v>1</v>
      </c>
      <c r="K1267" s="2">
        <v>0</v>
      </c>
      <c r="L1267" s="3" t="s">
        <v>127</v>
      </c>
      <c r="N1267" s="3">
        <v>1</v>
      </c>
      <c r="O1267" s="4">
        <v>4</v>
      </c>
      <c r="P1267" s="4" t="s">
        <v>1461</v>
      </c>
      <c r="Q1267" s="4" t="s">
        <v>1146</v>
      </c>
      <c r="R1267" s="16">
        <v>150000</v>
      </c>
      <c r="S1267" s="6">
        <v>150000</v>
      </c>
      <c r="T1267" s="17"/>
      <c r="U1267" s="6"/>
      <c r="V1267" s="4"/>
      <c r="W1267" s="4"/>
      <c r="X1267" s="4"/>
      <c r="Y1267" s="7">
        <v>5</v>
      </c>
      <c r="Z1267" s="8"/>
      <c r="AA1267" s="7" t="s">
        <v>1348</v>
      </c>
      <c r="AB1267" s="7" t="s">
        <v>5125</v>
      </c>
      <c r="AC1267" s="9">
        <v>1</v>
      </c>
      <c r="AD1267" s="10"/>
      <c r="AE1267" s="9" t="s">
        <v>82</v>
      </c>
      <c r="AF1267" s="9" t="s">
        <v>1246</v>
      </c>
      <c r="AG1267" s="11">
        <v>3</v>
      </c>
      <c r="AH1267" s="11" t="s">
        <v>1048</v>
      </c>
      <c r="AI1267" s="11"/>
      <c r="AJ1267" s="11"/>
      <c r="AK1267" s="11"/>
      <c r="AL1267" s="12">
        <v>3</v>
      </c>
      <c r="AM1267" s="12" t="s">
        <v>1048</v>
      </c>
      <c r="AN1267" s="12"/>
      <c r="AO1267" s="12"/>
      <c r="AP1267" s="12"/>
      <c r="AQ1267" s="4">
        <v>3</v>
      </c>
      <c r="AR1267" s="4" t="s">
        <v>621</v>
      </c>
      <c r="AS1267" s="4"/>
      <c r="AT1267" s="13"/>
      <c r="AU1267" s="13"/>
      <c r="AV1267" s="13"/>
      <c r="AW1267" s="13"/>
      <c r="AX1267" s="4"/>
      <c r="AY1267" s="13"/>
      <c r="AZ1267" s="13"/>
      <c r="BA1267" s="13"/>
      <c r="BB1267" s="13"/>
      <c r="BC1267" s="4"/>
      <c r="BD1267" s="4"/>
      <c r="BE1267" s="4"/>
      <c r="BF1267" s="13"/>
      <c r="BG1267" s="4"/>
      <c r="BH1267" s="13"/>
      <c r="BI1267" s="13"/>
      <c r="BJ1267" s="4"/>
      <c r="BK1267" s="14">
        <v>15</v>
      </c>
      <c r="BL1267" s="14">
        <v>11</v>
      </c>
      <c r="BM1267" s="14">
        <v>15</v>
      </c>
      <c r="BN1267" s="3" t="s">
        <v>86</v>
      </c>
      <c r="BO1267" s="3" t="s">
        <v>120</v>
      </c>
      <c r="BP1267" s="15"/>
      <c r="BQ1267" s="15"/>
      <c r="BR1267" s="2" t="s">
        <v>1126</v>
      </c>
      <c r="BS1267" s="2" t="s">
        <v>1224</v>
      </c>
      <c r="BT1267" s="7" t="s">
        <v>1326</v>
      </c>
      <c r="BU1267" s="7"/>
      <c r="BV1267" s="9" t="s">
        <v>1154</v>
      </c>
      <c r="BW1267" s="9"/>
    </row>
    <row r="1268" spans="1:75" ht="14.25" customHeight="1" x14ac:dyDescent="0.25">
      <c r="A1268" s="1">
        <v>725</v>
      </c>
      <c r="B1268" s="1" t="s">
        <v>5126</v>
      </c>
      <c r="C1268" s="1" t="s">
        <v>5127</v>
      </c>
      <c r="D1268" s="1" t="s">
        <v>616</v>
      </c>
      <c r="E1268" s="1" t="s">
        <v>1632</v>
      </c>
      <c r="F1268" s="1" t="s">
        <v>1644</v>
      </c>
      <c r="G1268" s="1" t="s">
        <v>118</v>
      </c>
      <c r="H1268" s="2">
        <v>0</v>
      </c>
      <c r="I1268" s="2">
        <v>0</v>
      </c>
      <c r="J1268" s="2">
        <v>1</v>
      </c>
      <c r="K1268" s="2">
        <v>1</v>
      </c>
      <c r="L1268" s="3" t="s">
        <v>127</v>
      </c>
      <c r="O1268" s="4">
        <v>5</v>
      </c>
      <c r="P1268" s="4" t="s">
        <v>812</v>
      </c>
      <c r="Q1268" s="4" t="s">
        <v>5128</v>
      </c>
      <c r="R1268" s="5"/>
      <c r="S1268" s="6"/>
      <c r="T1268" s="17"/>
      <c r="U1268" s="6"/>
      <c r="V1268" s="4"/>
      <c r="W1268" s="4"/>
      <c r="X1268" s="4"/>
      <c r="Y1268" s="7">
        <v>4</v>
      </c>
      <c r="Z1268" s="8"/>
      <c r="AA1268" s="7" t="s">
        <v>1213</v>
      </c>
      <c r="AB1268" s="7" t="s">
        <v>5129</v>
      </c>
      <c r="AC1268" s="9">
        <v>2</v>
      </c>
      <c r="AD1268" s="10">
        <v>1122296</v>
      </c>
      <c r="AE1268" s="9" t="s">
        <v>130</v>
      </c>
      <c r="AF1268" s="9"/>
      <c r="AG1268" s="11">
        <v>4</v>
      </c>
      <c r="AH1268" s="11" t="s">
        <v>620</v>
      </c>
      <c r="AI1268" s="11" t="s">
        <v>1646</v>
      </c>
      <c r="AJ1268" s="11"/>
      <c r="AK1268" s="11"/>
      <c r="AL1268" s="12">
        <v>2</v>
      </c>
      <c r="AM1268" s="12" t="s">
        <v>620</v>
      </c>
      <c r="AN1268" s="12"/>
      <c r="AO1268" s="12"/>
      <c r="AP1268" s="12"/>
      <c r="AQ1268" s="4">
        <v>3</v>
      </c>
      <c r="AR1268" s="4" t="s">
        <v>1048</v>
      </c>
      <c r="AS1268" s="4" t="s">
        <v>1647</v>
      </c>
      <c r="AT1268" s="13"/>
      <c r="AU1268" s="13"/>
      <c r="AV1268" s="13"/>
      <c r="AW1268" s="13"/>
      <c r="AX1268" s="4"/>
      <c r="AY1268" s="13"/>
      <c r="AZ1268" s="13"/>
      <c r="BA1268" s="13"/>
      <c r="BB1268" s="13"/>
      <c r="BC1268" s="4"/>
      <c r="BD1268" s="4"/>
      <c r="BE1268" s="4"/>
      <c r="BF1268" s="13"/>
      <c r="BG1268" s="4"/>
      <c r="BH1268" s="13"/>
      <c r="BI1268" s="13"/>
      <c r="BJ1268" s="4"/>
      <c r="BK1268" s="14">
        <v>16</v>
      </c>
      <c r="BL1268" s="14">
        <v>12</v>
      </c>
      <c r="BM1268" s="14">
        <v>16</v>
      </c>
      <c r="BN1268" s="3" t="s">
        <v>113</v>
      </c>
      <c r="BP1268" s="15"/>
      <c r="BQ1268" s="15"/>
      <c r="BR1268" s="2" t="s">
        <v>1368</v>
      </c>
      <c r="BS1268" s="2" t="s">
        <v>1368</v>
      </c>
      <c r="BT1268" s="7" t="s">
        <v>1326</v>
      </c>
      <c r="BU1268" s="7"/>
      <c r="BV1268" s="9" t="s">
        <v>163</v>
      </c>
      <c r="BW1268" s="9" t="s">
        <v>1154</v>
      </c>
    </row>
    <row r="1269" spans="1:75" ht="14.25" customHeight="1" x14ac:dyDescent="0.25">
      <c r="A1269" s="1">
        <v>726</v>
      </c>
      <c r="B1269" s="1" t="s">
        <v>5130</v>
      </c>
      <c r="C1269" s="1" t="s">
        <v>5131</v>
      </c>
      <c r="D1269" s="1" t="s">
        <v>616</v>
      </c>
      <c r="E1269" s="1" t="s">
        <v>1632</v>
      </c>
      <c r="F1269" s="1" t="s">
        <v>1644</v>
      </c>
      <c r="G1269" s="1"/>
      <c r="H1269" s="2">
        <v>0</v>
      </c>
      <c r="I1269" s="2">
        <v>1</v>
      </c>
      <c r="J1269" s="2">
        <v>1</v>
      </c>
      <c r="K1269" s="2">
        <v>1</v>
      </c>
      <c r="L1269" s="3" t="s">
        <v>127</v>
      </c>
      <c r="O1269" s="4">
        <v>4</v>
      </c>
      <c r="P1269" s="4" t="s">
        <v>5132</v>
      </c>
      <c r="Q1269" s="4" t="s">
        <v>5133</v>
      </c>
      <c r="R1269" s="5" t="s">
        <v>5134</v>
      </c>
      <c r="S1269" s="6">
        <v>90000</v>
      </c>
      <c r="T1269" s="17"/>
      <c r="U1269" s="6"/>
      <c r="V1269" s="4"/>
      <c r="W1269" s="4"/>
      <c r="X1269" s="4"/>
      <c r="Y1269" s="7">
        <v>3</v>
      </c>
      <c r="Z1269" s="8">
        <v>411871</v>
      </c>
      <c r="AA1269" s="7" t="s">
        <v>130</v>
      </c>
      <c r="AB1269" s="7"/>
      <c r="AC1269" s="9">
        <v>3</v>
      </c>
      <c r="AD1269" s="10">
        <v>540153</v>
      </c>
      <c r="AE1269" s="9" t="s">
        <v>130</v>
      </c>
      <c r="AF1269" s="9"/>
      <c r="AG1269" s="11">
        <v>4</v>
      </c>
      <c r="AH1269" s="11" t="s">
        <v>620</v>
      </c>
      <c r="AI1269" s="11" t="s">
        <v>1646</v>
      </c>
      <c r="AJ1269" s="11"/>
      <c r="AK1269" s="11"/>
      <c r="AL1269" s="12">
        <v>4</v>
      </c>
      <c r="AM1269" s="12" t="s">
        <v>620</v>
      </c>
      <c r="AN1269" s="12" t="s">
        <v>1424</v>
      </c>
      <c r="AO1269" s="12"/>
      <c r="AP1269" s="12"/>
      <c r="AQ1269" s="4">
        <v>4</v>
      </c>
      <c r="AR1269" s="4" t="s">
        <v>621</v>
      </c>
      <c r="AS1269" s="4" t="s">
        <v>5135</v>
      </c>
      <c r="AT1269" s="13"/>
      <c r="AU1269" s="13"/>
      <c r="AV1269" s="13"/>
      <c r="AW1269" s="13"/>
      <c r="AX1269" s="4"/>
      <c r="AY1269" s="13"/>
      <c r="AZ1269" s="13"/>
      <c r="BA1269" s="13"/>
      <c r="BB1269" s="13"/>
      <c r="BC1269" s="4"/>
      <c r="BD1269" s="4"/>
      <c r="BE1269" s="4"/>
      <c r="BF1269" s="13"/>
      <c r="BG1269" s="4"/>
      <c r="BH1269" s="13"/>
      <c r="BI1269" s="13"/>
      <c r="BJ1269" s="4"/>
      <c r="BK1269" s="14">
        <v>15</v>
      </c>
      <c r="BL1269" s="14">
        <v>15</v>
      </c>
      <c r="BM1269" s="14">
        <v>15</v>
      </c>
      <c r="BN1269" s="3" t="s">
        <v>86</v>
      </c>
      <c r="BP1269" s="15"/>
      <c r="BQ1269" s="15"/>
      <c r="BR1269" s="2" t="s">
        <v>1368</v>
      </c>
      <c r="BS1269" s="2" t="s">
        <v>1368</v>
      </c>
      <c r="BT1269" s="7" t="s">
        <v>1153</v>
      </c>
      <c r="BU1269" s="7" t="s">
        <v>163</v>
      </c>
      <c r="BV1269" s="9" t="s">
        <v>163</v>
      </c>
      <c r="BW1269" s="9"/>
    </row>
    <row r="1270" spans="1:75" ht="14.25" customHeight="1" x14ac:dyDescent="0.25">
      <c r="A1270" s="1">
        <v>728</v>
      </c>
      <c r="B1270" s="1" t="s">
        <v>5136</v>
      </c>
      <c r="C1270" s="1" t="s">
        <v>5137</v>
      </c>
      <c r="D1270" s="1" t="s">
        <v>616</v>
      </c>
      <c r="E1270" s="1" t="s">
        <v>1632</v>
      </c>
      <c r="F1270" s="1" t="s">
        <v>1644</v>
      </c>
      <c r="G1270" s="1"/>
      <c r="H1270" s="2">
        <v>0</v>
      </c>
      <c r="I1270" s="2">
        <v>1</v>
      </c>
      <c r="J1270" s="2">
        <v>1</v>
      </c>
      <c r="K1270" s="2">
        <v>1</v>
      </c>
      <c r="L1270" s="3" t="s">
        <v>127</v>
      </c>
      <c r="O1270" s="4">
        <v>4</v>
      </c>
      <c r="P1270" s="4" t="s">
        <v>5138</v>
      </c>
      <c r="Q1270" s="4" t="s">
        <v>5139</v>
      </c>
      <c r="R1270" s="5" t="s">
        <v>3605</v>
      </c>
      <c r="S1270" s="6">
        <v>500000</v>
      </c>
      <c r="T1270" s="17"/>
      <c r="U1270" s="6"/>
      <c r="V1270" s="4"/>
      <c r="W1270" s="4"/>
      <c r="X1270" s="4"/>
      <c r="Y1270" s="7">
        <v>1</v>
      </c>
      <c r="Z1270" s="8">
        <v>26600000</v>
      </c>
      <c r="AA1270" s="7" t="s">
        <v>1145</v>
      </c>
      <c r="AB1270" s="7" t="s">
        <v>5140</v>
      </c>
      <c r="AC1270" s="9">
        <v>1</v>
      </c>
      <c r="AD1270" s="10"/>
      <c r="AE1270" s="9" t="s">
        <v>82</v>
      </c>
      <c r="AF1270" s="9" t="s">
        <v>1246</v>
      </c>
      <c r="AG1270" s="11">
        <v>4</v>
      </c>
      <c r="AH1270" s="11" t="s">
        <v>620</v>
      </c>
      <c r="AI1270" s="11" t="s">
        <v>5141</v>
      </c>
      <c r="AJ1270" s="11"/>
      <c r="AK1270" s="11"/>
      <c r="AL1270" s="12">
        <v>4</v>
      </c>
      <c r="AM1270" s="12" t="s">
        <v>620</v>
      </c>
      <c r="AN1270" s="12" t="s">
        <v>1424</v>
      </c>
      <c r="AO1270" s="12"/>
      <c r="AP1270" s="12"/>
      <c r="AQ1270" s="4">
        <v>3</v>
      </c>
      <c r="AR1270" s="4" t="s">
        <v>621</v>
      </c>
      <c r="AS1270" s="4" t="s">
        <v>5142</v>
      </c>
      <c r="AT1270" s="13"/>
      <c r="AU1270" s="13"/>
      <c r="AV1270" s="13"/>
      <c r="AW1270" s="13"/>
      <c r="AX1270" s="4"/>
      <c r="AY1270" s="13"/>
      <c r="AZ1270" s="13"/>
      <c r="BA1270" s="13"/>
      <c r="BB1270" s="13"/>
      <c r="BC1270" s="4"/>
      <c r="BD1270" s="4"/>
      <c r="BE1270" s="4"/>
      <c r="BF1270" s="13"/>
      <c r="BG1270" s="4"/>
      <c r="BH1270" s="13"/>
      <c r="BI1270" s="13"/>
      <c r="BJ1270" s="4"/>
      <c r="BK1270" s="14">
        <v>12</v>
      </c>
      <c r="BL1270" s="14">
        <v>12</v>
      </c>
      <c r="BM1270" s="14">
        <v>12</v>
      </c>
      <c r="BP1270" s="15"/>
      <c r="BQ1270" s="15"/>
      <c r="BR1270" s="2" t="s">
        <v>1325</v>
      </c>
      <c r="BS1270" s="2" t="s">
        <v>1325</v>
      </c>
      <c r="BT1270" s="7" t="s">
        <v>1153</v>
      </c>
      <c r="BU1270" s="7" t="s">
        <v>163</v>
      </c>
      <c r="BV1270" s="9" t="s">
        <v>163</v>
      </c>
      <c r="BW1270" s="9" t="s">
        <v>1154</v>
      </c>
    </row>
    <row r="1271" spans="1:75" ht="14.25" customHeight="1" x14ac:dyDescent="0.25">
      <c r="A1271" s="1">
        <v>729</v>
      </c>
      <c r="B1271" s="1" t="s">
        <v>5143</v>
      </c>
      <c r="C1271" s="1" t="s">
        <v>5144</v>
      </c>
      <c r="D1271" s="1" t="s">
        <v>616</v>
      </c>
      <c r="E1271" s="1" t="s">
        <v>1632</v>
      </c>
      <c r="F1271" s="1" t="s">
        <v>1644</v>
      </c>
      <c r="G1271" s="1"/>
      <c r="H1271" s="2">
        <v>0</v>
      </c>
      <c r="I1271" s="2">
        <v>1</v>
      </c>
      <c r="J1271" s="2">
        <v>1</v>
      </c>
      <c r="K1271" s="2">
        <v>1</v>
      </c>
      <c r="L1271" s="3" t="s">
        <v>127</v>
      </c>
      <c r="O1271" s="4">
        <v>3</v>
      </c>
      <c r="P1271" s="4" t="s">
        <v>1334</v>
      </c>
      <c r="Q1271" s="4" t="s">
        <v>5145</v>
      </c>
      <c r="R1271" s="16">
        <v>1400000</v>
      </c>
      <c r="S1271" s="6">
        <v>1400000</v>
      </c>
      <c r="T1271" s="17"/>
      <c r="U1271" s="6"/>
      <c r="V1271" s="4"/>
      <c r="W1271" s="4"/>
      <c r="X1271" s="4"/>
      <c r="Y1271" s="7">
        <v>1</v>
      </c>
      <c r="Z1271" s="8">
        <v>100529834</v>
      </c>
      <c r="AA1271" s="7" t="s">
        <v>1145</v>
      </c>
      <c r="AB1271" s="7" t="s">
        <v>5146</v>
      </c>
      <c r="AC1271" s="9">
        <v>1</v>
      </c>
      <c r="AD1271" s="10"/>
      <c r="AE1271" s="9" t="s">
        <v>82</v>
      </c>
      <c r="AF1271" s="9" t="s">
        <v>1246</v>
      </c>
      <c r="AG1271" s="11">
        <v>4</v>
      </c>
      <c r="AH1271" s="11" t="s">
        <v>620</v>
      </c>
      <c r="AI1271" s="11" t="s">
        <v>5147</v>
      </c>
      <c r="AJ1271" s="11"/>
      <c r="AK1271" s="11"/>
      <c r="AL1271" s="12">
        <v>4</v>
      </c>
      <c r="AM1271" s="12" t="s">
        <v>620</v>
      </c>
      <c r="AN1271" s="12" t="s">
        <v>1424</v>
      </c>
      <c r="AO1271" s="12"/>
      <c r="AP1271" s="12"/>
      <c r="AQ1271" s="4">
        <v>4</v>
      </c>
      <c r="AR1271" s="4" t="s">
        <v>621</v>
      </c>
      <c r="AS1271" s="4" t="s">
        <v>1647</v>
      </c>
      <c r="AT1271" s="13"/>
      <c r="AU1271" s="13"/>
      <c r="AV1271" s="13"/>
      <c r="AW1271" s="13"/>
      <c r="AX1271" s="4"/>
      <c r="AY1271" s="13"/>
      <c r="AZ1271" s="13"/>
      <c r="BA1271" s="13"/>
      <c r="BB1271" s="13"/>
      <c r="BC1271" s="4"/>
      <c r="BD1271" s="4"/>
      <c r="BE1271" s="4"/>
      <c r="BF1271" s="13"/>
      <c r="BG1271" s="4"/>
      <c r="BH1271" s="13"/>
      <c r="BI1271" s="13"/>
      <c r="BJ1271" s="4"/>
      <c r="BK1271" s="14">
        <v>12</v>
      </c>
      <c r="BL1271" s="14">
        <v>12</v>
      </c>
      <c r="BM1271" s="14">
        <v>12</v>
      </c>
      <c r="BP1271" s="15"/>
      <c r="BQ1271" s="15"/>
      <c r="BR1271" s="2" t="s">
        <v>1325</v>
      </c>
      <c r="BS1271" s="2" t="s">
        <v>1325</v>
      </c>
      <c r="BT1271" s="7" t="s">
        <v>1326</v>
      </c>
      <c r="BU1271" s="7"/>
      <c r="BV1271" s="9" t="s">
        <v>163</v>
      </c>
      <c r="BW1271" s="9" t="s">
        <v>1154</v>
      </c>
    </row>
    <row r="1272" spans="1:75" ht="14.25" customHeight="1" x14ac:dyDescent="0.25">
      <c r="A1272" s="1">
        <v>730</v>
      </c>
      <c r="B1272" s="1" t="s">
        <v>5148</v>
      </c>
      <c r="C1272" s="1" t="s">
        <v>5149</v>
      </c>
      <c r="D1272" s="1" t="s">
        <v>616</v>
      </c>
      <c r="E1272" s="1" t="s">
        <v>1632</v>
      </c>
      <c r="F1272" s="1" t="s">
        <v>1644</v>
      </c>
      <c r="G1272" s="1" t="s">
        <v>118</v>
      </c>
      <c r="H1272" s="2">
        <v>1</v>
      </c>
      <c r="I1272" s="2">
        <v>1</v>
      </c>
      <c r="J1272" s="2">
        <v>1</v>
      </c>
      <c r="K1272" s="2">
        <v>0</v>
      </c>
      <c r="L1272" s="3" t="s">
        <v>127</v>
      </c>
      <c r="O1272" s="4">
        <v>3</v>
      </c>
      <c r="P1272" s="4" t="s">
        <v>1145</v>
      </c>
      <c r="Q1272" s="4" t="s">
        <v>1146</v>
      </c>
      <c r="R1272" s="16">
        <v>720000</v>
      </c>
      <c r="S1272" s="6">
        <v>720000</v>
      </c>
      <c r="T1272" s="16">
        <v>140000</v>
      </c>
      <c r="U1272" s="6">
        <v>140000</v>
      </c>
      <c r="V1272" s="4">
        <v>1999</v>
      </c>
      <c r="W1272" s="4" t="s">
        <v>5150</v>
      </c>
      <c r="X1272" s="4"/>
      <c r="Y1272" s="7">
        <v>3</v>
      </c>
      <c r="Z1272" s="8"/>
      <c r="AA1272" s="7" t="s">
        <v>1213</v>
      </c>
      <c r="AB1272" s="7" t="s">
        <v>5151</v>
      </c>
      <c r="AC1272" s="9">
        <v>1</v>
      </c>
      <c r="AD1272" s="10">
        <v>18269998</v>
      </c>
      <c r="AE1272" s="9" t="s">
        <v>283</v>
      </c>
      <c r="AF1272" s="9"/>
      <c r="AG1272" s="11">
        <v>4</v>
      </c>
      <c r="AH1272" s="11" t="s">
        <v>630</v>
      </c>
      <c r="AI1272" s="11"/>
      <c r="AJ1272" s="11">
        <v>4</v>
      </c>
      <c r="AK1272" s="11" t="s">
        <v>143</v>
      </c>
      <c r="AL1272" s="12">
        <v>3</v>
      </c>
      <c r="AM1272" s="12" t="s">
        <v>630</v>
      </c>
      <c r="AN1272" s="12"/>
      <c r="AO1272" s="12">
        <v>2</v>
      </c>
      <c r="AP1272" s="12" t="s">
        <v>143</v>
      </c>
      <c r="AQ1272" s="4">
        <v>1</v>
      </c>
      <c r="AR1272" s="4" t="s">
        <v>222</v>
      </c>
      <c r="AS1272" s="4"/>
      <c r="AT1272" s="13">
        <v>1041.60791015625</v>
      </c>
      <c r="AU1272" s="13">
        <v>5.0949816703796396</v>
      </c>
      <c r="AV1272" s="13">
        <v>3.7999999523162802</v>
      </c>
      <c r="AW1272" s="13">
        <v>6.3441457748413104</v>
      </c>
      <c r="AX1272" s="4">
        <v>1</v>
      </c>
      <c r="AY1272" s="13">
        <v>186.00607299804699</v>
      </c>
      <c r="AZ1272" s="13">
        <v>4.2929639816284197</v>
      </c>
      <c r="BA1272" s="13">
        <v>1.2161889076232899</v>
      </c>
      <c r="BB1272" s="13">
        <v>6.9667243957519496</v>
      </c>
      <c r="BC1272" s="4">
        <v>1</v>
      </c>
      <c r="BD1272" s="4">
        <v>25</v>
      </c>
      <c r="BE1272" s="4"/>
      <c r="BF1272" s="13">
        <v>2.54414582252502</v>
      </c>
      <c r="BG1272" s="4"/>
      <c r="BH1272" s="13"/>
      <c r="BI1272" s="13"/>
      <c r="BJ1272" s="4"/>
      <c r="BK1272" s="14">
        <v>11</v>
      </c>
      <c r="BL1272" s="14">
        <v>8</v>
      </c>
      <c r="BM1272" s="14">
        <v>11</v>
      </c>
      <c r="BP1272" s="15"/>
      <c r="BQ1272" s="15"/>
      <c r="BR1272" s="2" t="s">
        <v>161</v>
      </c>
      <c r="BS1272" s="2" t="s">
        <v>1152</v>
      </c>
      <c r="BT1272" s="7" t="s">
        <v>1153</v>
      </c>
      <c r="BU1272" s="7" t="s">
        <v>163</v>
      </c>
      <c r="BV1272" s="9" t="s">
        <v>163</v>
      </c>
      <c r="BW1272" s="9" t="s">
        <v>1154</v>
      </c>
    </row>
    <row r="1273" spans="1:75" ht="14.25" customHeight="1" x14ac:dyDescent="0.25">
      <c r="A1273" s="1">
        <v>731</v>
      </c>
      <c r="B1273" s="1" t="s">
        <v>5152</v>
      </c>
      <c r="C1273" s="1" t="s">
        <v>5153</v>
      </c>
      <c r="D1273" s="1" t="s">
        <v>616</v>
      </c>
      <c r="E1273" s="1" t="s">
        <v>1632</v>
      </c>
      <c r="F1273" s="1" t="s">
        <v>5154</v>
      </c>
      <c r="G1273" s="1"/>
      <c r="H1273" s="2">
        <v>0</v>
      </c>
      <c r="I1273" s="2">
        <v>1</v>
      </c>
      <c r="J1273" s="2">
        <v>1</v>
      </c>
      <c r="K1273" s="2">
        <v>1</v>
      </c>
      <c r="L1273" s="3" t="s">
        <v>127</v>
      </c>
      <c r="O1273" s="4">
        <v>3</v>
      </c>
      <c r="P1273" s="4" t="s">
        <v>715</v>
      </c>
      <c r="Q1273" s="4"/>
      <c r="R1273" s="16">
        <v>2000000</v>
      </c>
      <c r="S1273" s="6">
        <v>2000000</v>
      </c>
      <c r="T1273" s="16">
        <v>27000</v>
      </c>
      <c r="U1273" s="6">
        <v>27000</v>
      </c>
      <c r="V1273" s="4">
        <v>1979</v>
      </c>
      <c r="W1273" s="4" t="s">
        <v>5155</v>
      </c>
      <c r="X1273" s="4"/>
      <c r="Y1273" s="7">
        <v>1</v>
      </c>
      <c r="Z1273" s="8">
        <v>14742641</v>
      </c>
      <c r="AA1273" s="7" t="s">
        <v>130</v>
      </c>
      <c r="AB1273" s="7"/>
      <c r="AC1273" s="9">
        <v>1</v>
      </c>
      <c r="AD1273" s="10">
        <v>14236485</v>
      </c>
      <c r="AE1273" s="9" t="s">
        <v>130</v>
      </c>
      <c r="AF1273" s="9"/>
      <c r="AG1273" s="11">
        <v>3</v>
      </c>
      <c r="AH1273" s="11" t="s">
        <v>630</v>
      </c>
      <c r="AI1273" s="11"/>
      <c r="AJ1273" s="11">
        <v>1</v>
      </c>
      <c r="AK1273" s="11" t="s">
        <v>132</v>
      </c>
      <c r="AL1273" s="12">
        <v>3</v>
      </c>
      <c r="AM1273" s="12" t="s">
        <v>630</v>
      </c>
      <c r="AN1273" s="12"/>
      <c r="AO1273" s="12">
        <v>1</v>
      </c>
      <c r="AP1273" s="12" t="s">
        <v>132</v>
      </c>
      <c r="AQ1273" s="4">
        <v>1</v>
      </c>
      <c r="AR1273" s="4" t="s">
        <v>133</v>
      </c>
      <c r="AS1273" s="4" t="s">
        <v>5156</v>
      </c>
      <c r="AT1273" s="13">
        <v>138.378173828125</v>
      </c>
      <c r="AU1273" s="13">
        <v>1.7171605825424201</v>
      </c>
      <c r="AV1273" s="13">
        <v>0.90700000524520896</v>
      </c>
      <c r="AW1273" s="13">
        <v>2.40429592132568</v>
      </c>
      <c r="AX1273" s="4">
        <v>1</v>
      </c>
      <c r="AY1273" s="13">
        <v>79.431915283203097</v>
      </c>
      <c r="AZ1273" s="13">
        <v>3.12442207336426</v>
      </c>
      <c r="BA1273" s="13">
        <v>1.5900000333786</v>
      </c>
      <c r="BB1273" s="13">
        <v>4.5599999427795401</v>
      </c>
      <c r="BC1273" s="4">
        <v>1</v>
      </c>
      <c r="BD1273" s="4">
        <v>19</v>
      </c>
      <c r="BE1273" s="4" t="s">
        <v>134</v>
      </c>
      <c r="BF1273" s="13">
        <v>1.4972959756851201</v>
      </c>
      <c r="BG1273" s="4">
        <v>261.5</v>
      </c>
      <c r="BH1273" s="13">
        <v>0.28549998998642001</v>
      </c>
      <c r="BI1273" s="13">
        <v>74.635498046875</v>
      </c>
      <c r="BJ1273" s="4"/>
      <c r="BK1273" s="14">
        <v>8</v>
      </c>
      <c r="BL1273" s="14">
        <v>8</v>
      </c>
      <c r="BM1273" s="14">
        <v>8</v>
      </c>
      <c r="BP1273" s="15"/>
      <c r="BQ1273" s="15"/>
      <c r="BR1273" s="2" t="s">
        <v>97</v>
      </c>
      <c r="BS1273" s="2" t="s">
        <v>97</v>
      </c>
      <c r="BT1273" s="7" t="s">
        <v>137</v>
      </c>
      <c r="BU1273" s="7"/>
      <c r="BV1273" s="9" t="s">
        <v>137</v>
      </c>
      <c r="BW1273" s="9"/>
    </row>
    <row r="1274" spans="1:75" ht="14.25" customHeight="1" x14ac:dyDescent="0.25">
      <c r="A1274" s="1">
        <v>732</v>
      </c>
      <c r="B1274" s="1" t="s">
        <v>5157</v>
      </c>
      <c r="C1274" s="1" t="s">
        <v>5158</v>
      </c>
      <c r="D1274" s="1" t="s">
        <v>616</v>
      </c>
      <c r="E1274" s="1" t="s">
        <v>1632</v>
      </c>
      <c r="F1274" s="1" t="s">
        <v>1650</v>
      </c>
      <c r="G1274" s="1" t="s">
        <v>5159</v>
      </c>
      <c r="H1274" s="2">
        <v>1</v>
      </c>
      <c r="I1274" s="2">
        <v>1</v>
      </c>
      <c r="J1274" s="2">
        <v>1</v>
      </c>
      <c r="K1274" s="2">
        <v>0</v>
      </c>
      <c r="L1274" s="3" t="s">
        <v>80</v>
      </c>
      <c r="O1274" s="4">
        <v>4</v>
      </c>
      <c r="P1274" s="4" t="s">
        <v>5160</v>
      </c>
      <c r="Q1274" s="4"/>
      <c r="R1274" s="16">
        <v>150000</v>
      </c>
      <c r="S1274" s="6">
        <v>150000</v>
      </c>
      <c r="T1274" s="16">
        <v>130000</v>
      </c>
      <c r="U1274" s="6">
        <v>130000</v>
      </c>
      <c r="V1274" s="4">
        <v>1990</v>
      </c>
      <c r="W1274" s="4" t="s">
        <v>5160</v>
      </c>
      <c r="X1274" s="4"/>
      <c r="Y1274" s="7">
        <v>3</v>
      </c>
      <c r="Z1274" s="8">
        <v>326050</v>
      </c>
      <c r="AA1274" s="7" t="s">
        <v>130</v>
      </c>
      <c r="AB1274" s="7"/>
      <c r="AC1274" s="9">
        <v>3</v>
      </c>
      <c r="AD1274" s="10">
        <v>701557</v>
      </c>
      <c r="AE1274" s="9" t="s">
        <v>130</v>
      </c>
      <c r="AF1274" s="9"/>
      <c r="AG1274" s="11">
        <v>3</v>
      </c>
      <c r="AH1274" s="11" t="s">
        <v>630</v>
      </c>
      <c r="AI1274" s="11"/>
      <c r="AJ1274" s="11">
        <v>2</v>
      </c>
      <c r="AK1274" s="11" t="s">
        <v>132</v>
      </c>
      <c r="AL1274" s="12">
        <v>3</v>
      </c>
      <c r="AM1274" s="12" t="s">
        <v>630</v>
      </c>
      <c r="AN1274" s="12"/>
      <c r="AO1274" s="12">
        <v>2</v>
      </c>
      <c r="AP1274" s="12" t="s">
        <v>143</v>
      </c>
      <c r="AQ1274" s="4">
        <v>1</v>
      </c>
      <c r="AR1274" s="4" t="s">
        <v>222</v>
      </c>
      <c r="AS1274" s="4"/>
      <c r="AT1274" s="13">
        <v>502.84097290039102</v>
      </c>
      <c r="AU1274" s="13">
        <v>3.7343297004699698</v>
      </c>
      <c r="AV1274" s="13">
        <v>3.0999999046325701</v>
      </c>
      <c r="AW1274" s="13">
        <v>4.3193254470825204</v>
      </c>
      <c r="AX1274" s="4">
        <v>1</v>
      </c>
      <c r="AY1274" s="13">
        <v>153.31698608398401</v>
      </c>
      <c r="AZ1274" s="13">
        <v>4.3153882026672399</v>
      </c>
      <c r="BA1274" s="13">
        <v>2.9713871479034402</v>
      </c>
      <c r="BB1274" s="13">
        <v>6.2301449775695801</v>
      </c>
      <c r="BC1274" s="4">
        <v>1</v>
      </c>
      <c r="BD1274" s="4">
        <v>22</v>
      </c>
      <c r="BE1274" s="4"/>
      <c r="BF1274" s="13">
        <v>1.2193251848220801</v>
      </c>
      <c r="BG1274" s="4"/>
      <c r="BH1274" s="13"/>
      <c r="BI1274" s="13"/>
      <c r="BJ1274" s="4"/>
      <c r="BK1274" s="14">
        <v>11</v>
      </c>
      <c r="BL1274" s="14">
        <v>11</v>
      </c>
      <c r="BM1274" s="14">
        <v>11</v>
      </c>
      <c r="BP1274" s="15"/>
      <c r="BQ1274" s="15"/>
      <c r="BR1274" s="2" t="s">
        <v>162</v>
      </c>
      <c r="BS1274" s="2" t="s">
        <v>162</v>
      </c>
      <c r="BT1274" s="7" t="s">
        <v>1153</v>
      </c>
      <c r="BU1274" s="7" t="s">
        <v>163</v>
      </c>
      <c r="BV1274" s="9" t="s">
        <v>163</v>
      </c>
      <c r="BW1274" s="9" t="s">
        <v>164</v>
      </c>
    </row>
    <row r="1275" spans="1:75" ht="14.25" customHeight="1" x14ac:dyDescent="0.25">
      <c r="A1275" s="1">
        <v>733</v>
      </c>
      <c r="B1275" s="1" t="s">
        <v>5161</v>
      </c>
      <c r="C1275" s="1" t="s">
        <v>5162</v>
      </c>
      <c r="D1275" s="1" t="s">
        <v>616</v>
      </c>
      <c r="E1275" s="1" t="s">
        <v>1632</v>
      </c>
      <c r="F1275" s="1" t="s">
        <v>1650</v>
      </c>
      <c r="G1275" s="1" t="s">
        <v>5159</v>
      </c>
      <c r="H1275" s="2">
        <v>0</v>
      </c>
      <c r="I1275" s="2">
        <v>1</v>
      </c>
      <c r="J1275" s="2">
        <v>0</v>
      </c>
      <c r="K1275" s="2">
        <v>0</v>
      </c>
      <c r="L1275" s="3" t="s">
        <v>80</v>
      </c>
      <c r="O1275" s="4">
        <v>4</v>
      </c>
      <c r="P1275" s="4" t="s">
        <v>1039</v>
      </c>
      <c r="Q1275" s="4" t="s">
        <v>1146</v>
      </c>
      <c r="R1275" s="16">
        <v>130000</v>
      </c>
      <c r="S1275" s="6">
        <v>130000</v>
      </c>
      <c r="T1275" s="16">
        <v>85000</v>
      </c>
      <c r="U1275" s="6">
        <v>85000</v>
      </c>
      <c r="V1275" s="4">
        <v>1993</v>
      </c>
      <c r="W1275" s="4" t="s">
        <v>5163</v>
      </c>
      <c r="X1275" s="4"/>
      <c r="Y1275" s="7">
        <v>3</v>
      </c>
      <c r="Z1275" s="8">
        <v>897505</v>
      </c>
      <c r="AA1275" s="7" t="s">
        <v>130</v>
      </c>
      <c r="AB1275" s="7" t="s">
        <v>5164</v>
      </c>
      <c r="AC1275" s="9">
        <v>2</v>
      </c>
      <c r="AD1275" s="10">
        <v>1349163</v>
      </c>
      <c r="AE1275" s="9" t="s">
        <v>1148</v>
      </c>
      <c r="AF1275" s="9"/>
      <c r="AG1275" s="11">
        <v>5</v>
      </c>
      <c r="AH1275" s="11" t="s">
        <v>630</v>
      </c>
      <c r="AI1275" s="11" t="s">
        <v>5165</v>
      </c>
      <c r="AJ1275" s="11">
        <v>5</v>
      </c>
      <c r="AK1275" s="11" t="s">
        <v>132</v>
      </c>
      <c r="AL1275" s="12">
        <v>4</v>
      </c>
      <c r="AM1275" s="12" t="s">
        <v>630</v>
      </c>
      <c r="AN1275" s="12" t="s">
        <v>5166</v>
      </c>
      <c r="AO1275" s="12">
        <v>5</v>
      </c>
      <c r="AP1275" s="12" t="s">
        <v>143</v>
      </c>
      <c r="AQ1275" s="4">
        <v>5</v>
      </c>
      <c r="AR1275" s="4" t="s">
        <v>222</v>
      </c>
      <c r="AS1275" s="4"/>
      <c r="AT1275" s="13">
        <v>-97.392745971679702</v>
      </c>
      <c r="AU1275" s="13">
        <v>-7.1723818778991699</v>
      </c>
      <c r="AV1275" s="13">
        <v>-8.8288698196411097</v>
      </c>
      <c r="AW1275" s="13">
        <v>-5.3000001907348597</v>
      </c>
      <c r="AX1275" s="4">
        <v>1</v>
      </c>
      <c r="AY1275" s="13">
        <v>-71.558975219726605</v>
      </c>
      <c r="AZ1275" s="13">
        <v>-5.5549221038818404</v>
      </c>
      <c r="BA1275" s="13">
        <v>-9.1233730316162092</v>
      </c>
      <c r="BB1275" s="13">
        <v>-0.76898360252380404</v>
      </c>
      <c r="BC1275" s="4">
        <v>1</v>
      </c>
      <c r="BD1275" s="4">
        <v>22</v>
      </c>
      <c r="BE1275" s="4"/>
      <c r="BF1275" s="13">
        <v>3.52886962890625</v>
      </c>
      <c r="BG1275" s="4"/>
      <c r="BH1275" s="13"/>
      <c r="BI1275" s="13"/>
      <c r="BJ1275" s="4">
        <v>12</v>
      </c>
      <c r="BK1275" s="14">
        <v>17</v>
      </c>
      <c r="BL1275" s="14">
        <v>15</v>
      </c>
      <c r="BM1275" s="14">
        <v>17</v>
      </c>
      <c r="BN1275" s="3" t="s">
        <v>312</v>
      </c>
      <c r="BP1275" s="15"/>
      <c r="BQ1275" s="15"/>
      <c r="BR1275" s="2" t="s">
        <v>162</v>
      </c>
      <c r="BS1275" s="2" t="s">
        <v>162</v>
      </c>
      <c r="BT1275" s="7" t="s">
        <v>1153</v>
      </c>
      <c r="BU1275" s="7" t="s">
        <v>163</v>
      </c>
      <c r="BV1275" s="9" t="s">
        <v>163</v>
      </c>
      <c r="BW1275" s="9" t="s">
        <v>164</v>
      </c>
    </row>
    <row r="1276" spans="1:75" ht="14.25" customHeight="1" x14ac:dyDescent="0.25">
      <c r="A1276" s="1">
        <v>734</v>
      </c>
      <c r="B1276" s="1" t="s">
        <v>5167</v>
      </c>
      <c r="C1276" s="1" t="s">
        <v>5168</v>
      </c>
      <c r="D1276" s="1" t="s">
        <v>616</v>
      </c>
      <c r="E1276" s="1" t="s">
        <v>1632</v>
      </c>
      <c r="F1276" s="1" t="s">
        <v>1650</v>
      </c>
      <c r="G1276" s="1" t="s">
        <v>1654</v>
      </c>
      <c r="H1276" s="2">
        <v>1</v>
      </c>
      <c r="I1276" s="2">
        <v>1</v>
      </c>
      <c r="J1276" s="2">
        <v>1</v>
      </c>
      <c r="K1276" s="2">
        <v>0</v>
      </c>
      <c r="L1276" s="3" t="s">
        <v>80</v>
      </c>
      <c r="O1276" s="4">
        <v>4</v>
      </c>
      <c r="P1276" s="4" t="s">
        <v>5169</v>
      </c>
      <c r="Q1276" s="4"/>
      <c r="R1276" s="16">
        <v>400000</v>
      </c>
      <c r="S1276" s="6">
        <v>400000</v>
      </c>
      <c r="T1276" s="16">
        <v>140000</v>
      </c>
      <c r="U1276" s="6">
        <v>140000</v>
      </c>
      <c r="V1276" s="4">
        <v>1990</v>
      </c>
      <c r="W1276" s="4" t="s">
        <v>5170</v>
      </c>
      <c r="X1276" s="4"/>
      <c r="Y1276" s="7">
        <v>2</v>
      </c>
      <c r="Z1276" s="8">
        <v>1720000</v>
      </c>
      <c r="AA1276" s="7" t="s">
        <v>1145</v>
      </c>
      <c r="AB1276" s="7"/>
      <c r="AC1276" s="9">
        <v>2</v>
      </c>
      <c r="AD1276" s="10">
        <v>1970956</v>
      </c>
      <c r="AE1276" s="9" t="s">
        <v>1148</v>
      </c>
      <c r="AF1276" s="9"/>
      <c r="AG1276" s="11">
        <v>3</v>
      </c>
      <c r="AH1276" s="11" t="s">
        <v>630</v>
      </c>
      <c r="AI1276" s="11" t="s">
        <v>5171</v>
      </c>
      <c r="AJ1276" s="11">
        <v>3</v>
      </c>
      <c r="AK1276" s="11" t="s">
        <v>143</v>
      </c>
      <c r="AL1276" s="12">
        <v>3</v>
      </c>
      <c r="AM1276" s="12" t="s">
        <v>630</v>
      </c>
      <c r="AN1276" s="12"/>
      <c r="AO1276" s="12">
        <v>3</v>
      </c>
      <c r="AP1276" s="12" t="s">
        <v>143</v>
      </c>
      <c r="AQ1276" s="4">
        <v>5</v>
      </c>
      <c r="AR1276" s="4" t="s">
        <v>133</v>
      </c>
      <c r="AS1276" s="4"/>
      <c r="AT1276" s="13">
        <v>-73.895484924316406</v>
      </c>
      <c r="AU1276" s="13">
        <v>-2.5971257686614999</v>
      </c>
      <c r="AV1276" s="13">
        <v>-5.1399998664856001</v>
      </c>
      <c r="AW1276" s="13">
        <v>4.3297000229358701E-2</v>
      </c>
      <c r="AX1276" s="4"/>
      <c r="AY1276" s="13">
        <v>-46.345630645752003</v>
      </c>
      <c r="AZ1276" s="13">
        <v>-2.9201035499572798</v>
      </c>
      <c r="BA1276" s="13">
        <v>-7.8899998664856001</v>
      </c>
      <c r="BB1276" s="13">
        <v>1.41170001029968</v>
      </c>
      <c r="BC1276" s="4"/>
      <c r="BD1276" s="4">
        <v>21</v>
      </c>
      <c r="BE1276" s="4" t="s">
        <v>134</v>
      </c>
      <c r="BF1276" s="13">
        <v>5.1832971572876003</v>
      </c>
      <c r="BG1276" s="4">
        <v>24</v>
      </c>
      <c r="BH1276" s="13">
        <v>1.2174999713897701</v>
      </c>
      <c r="BI1276" s="13">
        <v>29.219999313354499</v>
      </c>
      <c r="BJ1276" s="4"/>
      <c r="BK1276" s="14">
        <v>14</v>
      </c>
      <c r="BL1276" s="14">
        <v>14</v>
      </c>
      <c r="BM1276" s="14">
        <v>14</v>
      </c>
      <c r="BN1276" s="3" t="s">
        <v>375</v>
      </c>
      <c r="BP1276" s="15"/>
      <c r="BQ1276" s="15"/>
      <c r="BR1276" s="2" t="s">
        <v>162</v>
      </c>
      <c r="BS1276" s="2" t="s">
        <v>162</v>
      </c>
      <c r="BT1276" s="7" t="s">
        <v>1153</v>
      </c>
      <c r="BU1276" s="7" t="s">
        <v>163</v>
      </c>
      <c r="BV1276" s="9" t="s">
        <v>163</v>
      </c>
      <c r="BW1276" s="9" t="s">
        <v>164</v>
      </c>
    </row>
    <row r="1277" spans="1:75" ht="14.25" customHeight="1" x14ac:dyDescent="0.25">
      <c r="A1277" s="1">
        <v>758</v>
      </c>
      <c r="B1277" s="1" t="s">
        <v>5172</v>
      </c>
      <c r="C1277" s="1" t="s">
        <v>5173</v>
      </c>
      <c r="D1277" s="1" t="s">
        <v>616</v>
      </c>
      <c r="E1277" s="1" t="s">
        <v>1661</v>
      </c>
      <c r="F1277" s="1" t="s">
        <v>1669</v>
      </c>
      <c r="G1277" s="1"/>
      <c r="H1277" s="2">
        <v>1</v>
      </c>
      <c r="I1277" s="2">
        <v>1</v>
      </c>
      <c r="J1277" s="2">
        <v>1</v>
      </c>
      <c r="K1277" s="2">
        <v>1</v>
      </c>
      <c r="L1277" s="3" t="s">
        <v>127</v>
      </c>
      <c r="O1277" s="4">
        <v>3</v>
      </c>
      <c r="P1277" s="4" t="s">
        <v>1386</v>
      </c>
      <c r="Q1277" s="4" t="s">
        <v>169</v>
      </c>
      <c r="R1277" s="16">
        <v>2100000</v>
      </c>
      <c r="S1277" s="6">
        <v>2100000</v>
      </c>
      <c r="T1277" s="16">
        <v>220000</v>
      </c>
      <c r="U1277" s="6">
        <v>220000</v>
      </c>
      <c r="V1277" s="4">
        <v>2010.5</v>
      </c>
      <c r="W1277" s="4" t="s">
        <v>425</v>
      </c>
      <c r="X1277" s="4"/>
      <c r="Y1277" s="7">
        <v>1</v>
      </c>
      <c r="Z1277" s="8">
        <v>17646497</v>
      </c>
      <c r="AA1277" s="7" t="s">
        <v>130</v>
      </c>
      <c r="AB1277" s="7"/>
      <c r="AC1277" s="9">
        <v>1</v>
      </c>
      <c r="AD1277" s="10">
        <v>17790384</v>
      </c>
      <c r="AE1277" s="9" t="s">
        <v>130</v>
      </c>
      <c r="AF1277" s="9"/>
      <c r="AG1277" s="11">
        <v>2</v>
      </c>
      <c r="AH1277" s="11" t="s">
        <v>630</v>
      </c>
      <c r="AI1277" s="11" t="s">
        <v>5174</v>
      </c>
      <c r="AJ1277" s="11">
        <v>1</v>
      </c>
      <c r="AK1277" s="11" t="s">
        <v>132</v>
      </c>
      <c r="AL1277" s="12">
        <v>2</v>
      </c>
      <c r="AM1277" s="12" t="s">
        <v>630</v>
      </c>
      <c r="AN1277" s="12"/>
      <c r="AO1277" s="12">
        <v>2</v>
      </c>
      <c r="AP1277" s="12" t="s">
        <v>132</v>
      </c>
      <c r="AQ1277" s="4">
        <v>1</v>
      </c>
      <c r="AR1277" s="4" t="s">
        <v>133</v>
      </c>
      <c r="AS1277" s="4"/>
      <c r="AT1277" s="13">
        <v>127.39737701416</v>
      </c>
      <c r="AU1277" s="13">
        <v>1.6238409280777</v>
      </c>
      <c r="AV1277" s="13">
        <v>-0.28400000929832497</v>
      </c>
      <c r="AW1277" s="13">
        <v>3.1231999397277801</v>
      </c>
      <c r="AX1277" s="4"/>
      <c r="AY1277" s="13">
        <v>18.670021057128899</v>
      </c>
      <c r="AZ1277" s="13">
        <v>1.4365414381027199</v>
      </c>
      <c r="BA1277" s="13">
        <v>-1.8999999761581401</v>
      </c>
      <c r="BB1277" s="13">
        <v>5.5464978218078604</v>
      </c>
      <c r="BC1277" s="4"/>
      <c r="BD1277" s="4">
        <v>12</v>
      </c>
      <c r="BE1277" s="4" t="s">
        <v>134</v>
      </c>
      <c r="BF1277" s="13">
        <v>3.4072000980377202</v>
      </c>
      <c r="BG1277" s="4">
        <v>514</v>
      </c>
      <c r="BH1277" s="13">
        <v>1.0950000286102299</v>
      </c>
      <c r="BI1277" s="13">
        <v>562.719970703125</v>
      </c>
      <c r="BJ1277" s="4"/>
      <c r="BK1277" s="14">
        <v>7</v>
      </c>
      <c r="BL1277" s="14">
        <v>7</v>
      </c>
      <c r="BM1277" s="14">
        <v>7</v>
      </c>
      <c r="BP1277" s="15"/>
      <c r="BQ1277" s="15" t="s">
        <v>136</v>
      </c>
      <c r="BR1277" s="2" t="s">
        <v>247</v>
      </c>
      <c r="BS1277" s="2" t="s">
        <v>247</v>
      </c>
      <c r="BT1277" s="7" t="s">
        <v>137</v>
      </c>
      <c r="BU1277" s="7" t="s">
        <v>148</v>
      </c>
      <c r="BV1277" s="9" t="s">
        <v>137</v>
      </c>
      <c r="BW1277" s="9" t="s">
        <v>148</v>
      </c>
    </row>
    <row r="1278" spans="1:75" ht="14.25" customHeight="1" x14ac:dyDescent="0.25">
      <c r="A1278" s="1">
        <v>759</v>
      </c>
      <c r="B1278" s="1" t="s">
        <v>5175</v>
      </c>
      <c r="C1278" s="1" t="s">
        <v>5176</v>
      </c>
      <c r="D1278" s="1" t="s">
        <v>616</v>
      </c>
      <c r="E1278" s="1" t="s">
        <v>1661</v>
      </c>
      <c r="F1278" s="1" t="s">
        <v>1669</v>
      </c>
      <c r="G1278" s="1" t="s">
        <v>118</v>
      </c>
      <c r="H1278" s="2">
        <v>1</v>
      </c>
      <c r="I1278" s="2">
        <v>1</v>
      </c>
      <c r="J1278" s="2">
        <v>1</v>
      </c>
      <c r="K1278" s="2">
        <v>1</v>
      </c>
      <c r="L1278" s="3" t="s">
        <v>127</v>
      </c>
      <c r="O1278" s="4">
        <v>3</v>
      </c>
      <c r="P1278" s="4" t="s">
        <v>635</v>
      </c>
      <c r="Q1278" s="4" t="s">
        <v>169</v>
      </c>
      <c r="R1278" s="16">
        <v>1100000</v>
      </c>
      <c r="S1278" s="6">
        <v>1100000</v>
      </c>
      <c r="T1278" s="16">
        <v>270000</v>
      </c>
      <c r="U1278" s="6">
        <v>270000</v>
      </c>
      <c r="V1278" s="4">
        <v>2010.5</v>
      </c>
      <c r="W1278" s="4" t="s">
        <v>425</v>
      </c>
      <c r="X1278" s="4"/>
      <c r="Y1278" s="7">
        <v>1</v>
      </c>
      <c r="Z1278" s="8">
        <v>5649725</v>
      </c>
      <c r="AA1278" s="7" t="s">
        <v>130</v>
      </c>
      <c r="AB1278" s="7"/>
      <c r="AC1278" s="9">
        <v>1</v>
      </c>
      <c r="AD1278" s="10">
        <v>6190926</v>
      </c>
      <c r="AE1278" s="9" t="s">
        <v>130</v>
      </c>
      <c r="AF1278" s="9"/>
      <c r="AG1278" s="11">
        <v>3</v>
      </c>
      <c r="AH1278" s="11" t="s">
        <v>630</v>
      </c>
      <c r="AI1278" s="11" t="s">
        <v>5177</v>
      </c>
      <c r="AJ1278" s="11">
        <v>1</v>
      </c>
      <c r="AK1278" s="11" t="s">
        <v>132</v>
      </c>
      <c r="AL1278" s="12">
        <v>3</v>
      </c>
      <c r="AM1278" s="12" t="s">
        <v>630</v>
      </c>
      <c r="AN1278" s="12"/>
      <c r="AO1278" s="12">
        <v>2</v>
      </c>
      <c r="AP1278" s="12" t="s">
        <v>132</v>
      </c>
      <c r="AQ1278" s="4">
        <v>5</v>
      </c>
      <c r="AR1278" s="4" t="s">
        <v>133</v>
      </c>
      <c r="AS1278" s="4"/>
      <c r="AT1278" s="13">
        <v>-57.9051513671875</v>
      </c>
      <c r="AU1278" s="13">
        <v>-1.6843342781066899</v>
      </c>
      <c r="AV1278" s="13">
        <v>-2.4200000762939502</v>
      </c>
      <c r="AW1278" s="13">
        <v>-1.0370019674301101</v>
      </c>
      <c r="AX1278" s="4">
        <v>1</v>
      </c>
      <c r="AY1278" s="13">
        <v>-13.1700744628906</v>
      </c>
      <c r="AZ1278" s="13">
        <v>-1.39775478839874</v>
      </c>
      <c r="BA1278" s="13">
        <v>-3.7599999904632599</v>
      </c>
      <c r="BB1278" s="13">
        <v>0.80740499496460005</v>
      </c>
      <c r="BC1278" s="4"/>
      <c r="BD1278" s="4">
        <v>10</v>
      </c>
      <c r="BE1278" s="4" t="s">
        <v>134</v>
      </c>
      <c r="BF1278" s="13">
        <v>1.3829979896545399</v>
      </c>
      <c r="BG1278" s="4">
        <v>686</v>
      </c>
      <c r="BH1278" s="13">
        <v>2.0899999141693102</v>
      </c>
      <c r="BI1278" s="13">
        <v>1433.10998535156</v>
      </c>
      <c r="BJ1278" s="4"/>
      <c r="BK1278" s="14">
        <v>12</v>
      </c>
      <c r="BL1278" s="14">
        <v>12</v>
      </c>
      <c r="BM1278" s="14">
        <v>12</v>
      </c>
      <c r="BN1278" s="3" t="s">
        <v>302</v>
      </c>
      <c r="BP1278" s="15"/>
      <c r="BQ1278" s="15" t="s">
        <v>136</v>
      </c>
      <c r="BR1278" s="2" t="s">
        <v>247</v>
      </c>
      <c r="BS1278" s="2" t="s">
        <v>247</v>
      </c>
      <c r="BT1278" s="7" t="s">
        <v>137</v>
      </c>
      <c r="BU1278" s="7" t="s">
        <v>148</v>
      </c>
      <c r="BV1278" s="9" t="s">
        <v>137</v>
      </c>
      <c r="BW1278" s="9" t="s">
        <v>148</v>
      </c>
    </row>
    <row r="1279" spans="1:75" ht="14.25" customHeight="1" x14ac:dyDescent="0.25">
      <c r="A1279" s="1">
        <v>760</v>
      </c>
      <c r="B1279" s="1" t="s">
        <v>5178</v>
      </c>
      <c r="C1279" s="1" t="s">
        <v>5179</v>
      </c>
      <c r="D1279" s="1" t="s">
        <v>616</v>
      </c>
      <c r="E1279" s="1" t="s">
        <v>1661</v>
      </c>
      <c r="F1279" s="1" t="s">
        <v>1669</v>
      </c>
      <c r="G1279" s="1"/>
      <c r="H1279" s="2">
        <v>1</v>
      </c>
      <c r="I1279" s="2">
        <v>1</v>
      </c>
      <c r="J1279" s="2">
        <v>1</v>
      </c>
      <c r="K1279" s="2">
        <v>1</v>
      </c>
      <c r="L1279" s="3" t="s">
        <v>127</v>
      </c>
      <c r="O1279" s="4">
        <v>4</v>
      </c>
      <c r="P1279" s="4" t="s">
        <v>635</v>
      </c>
      <c r="Q1279" s="4" t="s">
        <v>169</v>
      </c>
      <c r="R1279" s="16">
        <v>190000</v>
      </c>
      <c r="S1279" s="6">
        <v>190000</v>
      </c>
      <c r="T1279" s="16">
        <v>58000</v>
      </c>
      <c r="U1279" s="6">
        <v>58000</v>
      </c>
      <c r="V1279" s="4">
        <v>2010.5</v>
      </c>
      <c r="W1279" s="4" t="s">
        <v>425</v>
      </c>
      <c r="X1279" s="4"/>
      <c r="Y1279" s="7">
        <v>2</v>
      </c>
      <c r="Z1279" s="8">
        <v>1313748</v>
      </c>
      <c r="AA1279" s="7" t="s">
        <v>130</v>
      </c>
      <c r="AB1279" s="7"/>
      <c r="AC1279" s="9">
        <v>2</v>
      </c>
      <c r="AD1279" s="10">
        <v>2471614</v>
      </c>
      <c r="AE1279" s="9" t="s">
        <v>130</v>
      </c>
      <c r="AF1279" s="9"/>
      <c r="AG1279" s="11">
        <v>3</v>
      </c>
      <c r="AH1279" s="11" t="s">
        <v>630</v>
      </c>
      <c r="AI1279" s="11" t="s">
        <v>5180</v>
      </c>
      <c r="AJ1279" s="11">
        <v>1</v>
      </c>
      <c r="AK1279" s="11" t="s">
        <v>132</v>
      </c>
      <c r="AL1279" s="12">
        <v>3</v>
      </c>
      <c r="AM1279" s="12" t="s">
        <v>630</v>
      </c>
      <c r="AN1279" s="12"/>
      <c r="AO1279" s="12">
        <v>2</v>
      </c>
      <c r="AP1279" s="12" t="s">
        <v>132</v>
      </c>
      <c r="AQ1279" s="4">
        <v>3</v>
      </c>
      <c r="AR1279" s="4" t="s">
        <v>133</v>
      </c>
      <c r="AS1279" s="4"/>
      <c r="AT1279" s="13">
        <v>-30.933912277221701</v>
      </c>
      <c r="AU1279" s="13">
        <v>-0.72328120470046997</v>
      </c>
      <c r="AV1279" s="13">
        <v>-1.63300001621246</v>
      </c>
      <c r="AW1279" s="13">
        <v>0.152999997138977</v>
      </c>
      <c r="AX1279" s="4"/>
      <c r="AY1279" s="13">
        <v>-14.811164855956999</v>
      </c>
      <c r="AZ1279" s="13">
        <v>-0.99592089653015103</v>
      </c>
      <c r="BA1279" s="13">
        <v>-3.3199999332428001</v>
      </c>
      <c r="BB1279" s="13">
        <v>0.35879600048065202</v>
      </c>
      <c r="BC1279" s="4"/>
      <c r="BD1279" s="4">
        <v>16</v>
      </c>
      <c r="BE1279" s="4" t="s">
        <v>134</v>
      </c>
      <c r="BF1279" s="13">
        <v>1.78600001335144</v>
      </c>
      <c r="BG1279" s="4">
        <v>204.5</v>
      </c>
      <c r="BH1279" s="13">
        <v>0.80900001525878895</v>
      </c>
      <c r="BI1279" s="13">
        <v>165.50199890136699</v>
      </c>
      <c r="BJ1279" s="4"/>
      <c r="BK1279" s="14">
        <v>12</v>
      </c>
      <c r="BL1279" s="14">
        <v>12</v>
      </c>
      <c r="BM1279" s="14">
        <v>12</v>
      </c>
      <c r="BP1279" s="15"/>
      <c r="BQ1279" s="15" t="s">
        <v>136</v>
      </c>
      <c r="BR1279" s="2" t="s">
        <v>247</v>
      </c>
      <c r="BS1279" s="2" t="s">
        <v>247</v>
      </c>
      <c r="BT1279" s="7" t="s">
        <v>137</v>
      </c>
      <c r="BU1279" s="7" t="s">
        <v>148</v>
      </c>
      <c r="BV1279" s="9" t="s">
        <v>137</v>
      </c>
      <c r="BW1279" s="9" t="s">
        <v>148</v>
      </c>
    </row>
    <row r="1280" spans="1:75" ht="14.25" customHeight="1" x14ac:dyDescent="0.25">
      <c r="A1280" s="1">
        <v>761</v>
      </c>
      <c r="B1280" s="1" t="s">
        <v>5181</v>
      </c>
      <c r="C1280" s="1" t="s">
        <v>5182</v>
      </c>
      <c r="D1280" s="1" t="s">
        <v>616</v>
      </c>
      <c r="E1280" s="1" t="s">
        <v>1661</v>
      </c>
      <c r="F1280" s="1" t="s">
        <v>1669</v>
      </c>
      <c r="G1280" s="1"/>
      <c r="H1280" s="2">
        <v>0</v>
      </c>
      <c r="I1280" s="2">
        <v>1</v>
      </c>
      <c r="J1280" s="2">
        <v>1</v>
      </c>
      <c r="K1280" s="2">
        <v>1</v>
      </c>
      <c r="L1280" s="3" t="s">
        <v>80</v>
      </c>
      <c r="O1280" s="4">
        <v>5</v>
      </c>
      <c r="P1280" s="4" t="s">
        <v>5183</v>
      </c>
      <c r="Q1280" s="4"/>
      <c r="R1280" s="16">
        <v>15000</v>
      </c>
      <c r="S1280" s="6">
        <v>15000</v>
      </c>
      <c r="T1280" s="16">
        <v>2400</v>
      </c>
      <c r="U1280" s="6">
        <v>2400</v>
      </c>
      <c r="V1280" s="4">
        <v>1996</v>
      </c>
      <c r="W1280" s="4" t="s">
        <v>5184</v>
      </c>
      <c r="X1280" s="4"/>
      <c r="Y1280" s="7">
        <v>3</v>
      </c>
      <c r="Z1280" s="8">
        <v>549566</v>
      </c>
      <c r="AA1280" s="7" t="s">
        <v>130</v>
      </c>
      <c r="AB1280" s="7"/>
      <c r="AC1280" s="9">
        <v>3</v>
      </c>
      <c r="AD1280" s="10">
        <v>628422</v>
      </c>
      <c r="AE1280" s="9" t="s">
        <v>130</v>
      </c>
      <c r="AF1280" s="9"/>
      <c r="AG1280" s="11">
        <v>4</v>
      </c>
      <c r="AH1280" s="11" t="s">
        <v>630</v>
      </c>
      <c r="AI1280" s="11" t="s">
        <v>5185</v>
      </c>
      <c r="AJ1280" s="11">
        <v>2</v>
      </c>
      <c r="AK1280" s="11" t="s">
        <v>132</v>
      </c>
      <c r="AL1280" s="12">
        <v>4</v>
      </c>
      <c r="AM1280" s="12" t="s">
        <v>630</v>
      </c>
      <c r="AN1280" s="12" t="s">
        <v>5186</v>
      </c>
      <c r="AO1280" s="12">
        <v>2</v>
      </c>
      <c r="AP1280" s="12" t="s">
        <v>132</v>
      </c>
      <c r="AQ1280" s="4">
        <v>3</v>
      </c>
      <c r="AR1280" s="4" t="s">
        <v>5187</v>
      </c>
      <c r="AS1280" s="4" t="s">
        <v>5188</v>
      </c>
      <c r="AT1280" s="13"/>
      <c r="AU1280" s="13"/>
      <c r="AV1280" s="13"/>
      <c r="AW1280" s="13"/>
      <c r="AX1280" s="4"/>
      <c r="AY1280" s="13"/>
      <c r="AZ1280" s="13"/>
      <c r="BA1280" s="13"/>
      <c r="BB1280" s="13"/>
      <c r="BC1280" s="4"/>
      <c r="BD1280" s="4"/>
      <c r="BE1280" s="4"/>
      <c r="BF1280" s="13"/>
      <c r="BG1280" s="4"/>
      <c r="BH1280" s="13"/>
      <c r="BI1280" s="13"/>
      <c r="BJ1280" s="4"/>
      <c r="BK1280" s="14">
        <v>15</v>
      </c>
      <c r="BL1280" s="14">
        <v>15</v>
      </c>
      <c r="BM1280" s="14">
        <v>15</v>
      </c>
      <c r="BN1280" s="3" t="s">
        <v>113</v>
      </c>
      <c r="BO1280" s="3" t="s">
        <v>120</v>
      </c>
      <c r="BP1280" s="15"/>
      <c r="BQ1280" s="15"/>
      <c r="BR1280" s="2" t="s">
        <v>97</v>
      </c>
      <c r="BS1280" s="2" t="s">
        <v>97</v>
      </c>
      <c r="BT1280" s="7" t="s">
        <v>623</v>
      </c>
      <c r="BU1280" s="7" t="s">
        <v>357</v>
      </c>
      <c r="BV1280" s="9" t="s">
        <v>357</v>
      </c>
      <c r="BW1280" s="9"/>
    </row>
    <row r="1281" spans="1:75" ht="14.25" customHeight="1" x14ac:dyDescent="0.25">
      <c r="A1281" s="1">
        <v>773</v>
      </c>
      <c r="B1281" s="1" t="s">
        <v>5189</v>
      </c>
      <c r="C1281" s="1" t="s">
        <v>5190</v>
      </c>
      <c r="D1281" s="1" t="s">
        <v>616</v>
      </c>
      <c r="E1281" s="1" t="s">
        <v>1661</v>
      </c>
      <c r="F1281" s="1" t="s">
        <v>1711</v>
      </c>
      <c r="G1281" s="1" t="s">
        <v>5191</v>
      </c>
      <c r="H1281" s="2">
        <v>1</v>
      </c>
      <c r="I1281" s="2">
        <v>1</v>
      </c>
      <c r="J1281" s="2">
        <v>1</v>
      </c>
      <c r="K1281" s="2">
        <v>1</v>
      </c>
      <c r="L1281" s="3" t="s">
        <v>127</v>
      </c>
      <c r="O1281" s="4">
        <v>3</v>
      </c>
      <c r="P1281" s="4" t="s">
        <v>1386</v>
      </c>
      <c r="Q1281" s="4" t="s">
        <v>169</v>
      </c>
      <c r="R1281" s="16">
        <v>550000</v>
      </c>
      <c r="S1281" s="6">
        <v>550000</v>
      </c>
      <c r="T1281" s="16">
        <v>36000</v>
      </c>
      <c r="U1281" s="6">
        <v>36000</v>
      </c>
      <c r="V1281" s="4">
        <v>2010.5</v>
      </c>
      <c r="W1281" s="4" t="s">
        <v>425</v>
      </c>
      <c r="X1281" s="4"/>
      <c r="Y1281" s="7">
        <v>1</v>
      </c>
      <c r="Z1281" s="8">
        <v>19400000</v>
      </c>
      <c r="AA1281" s="7" t="s">
        <v>1145</v>
      </c>
      <c r="AB1281" s="7"/>
      <c r="AC1281" s="9">
        <v>1</v>
      </c>
      <c r="AD1281" s="10">
        <v>22010267</v>
      </c>
      <c r="AE1281" s="9" t="s">
        <v>1148</v>
      </c>
      <c r="AF1281" s="9" t="s">
        <v>5192</v>
      </c>
      <c r="AG1281" s="11">
        <v>3</v>
      </c>
      <c r="AH1281" s="11" t="s">
        <v>630</v>
      </c>
      <c r="AI1281" s="11" t="s">
        <v>5193</v>
      </c>
      <c r="AJ1281" s="11">
        <v>2</v>
      </c>
      <c r="AK1281" s="11" t="s">
        <v>132</v>
      </c>
      <c r="AL1281" s="12">
        <v>3</v>
      </c>
      <c r="AM1281" s="12" t="s">
        <v>630</v>
      </c>
      <c r="AN1281" s="12" t="s">
        <v>5194</v>
      </c>
      <c r="AO1281" s="12">
        <v>2</v>
      </c>
      <c r="AP1281" s="12" t="s">
        <v>143</v>
      </c>
      <c r="AQ1281" s="4">
        <v>1</v>
      </c>
      <c r="AR1281" s="4" t="s">
        <v>133</v>
      </c>
      <c r="AS1281" s="4"/>
      <c r="AT1281" s="13">
        <v>605.88262939453102</v>
      </c>
      <c r="AU1281" s="13">
        <v>3.9054508209228498</v>
      </c>
      <c r="AV1281" s="13">
        <v>1.41999995708466</v>
      </c>
      <c r="AW1281" s="13">
        <v>6.0773968696594203</v>
      </c>
      <c r="AX1281" s="4">
        <v>1</v>
      </c>
      <c r="AY1281" s="13">
        <v>257.47702026367199</v>
      </c>
      <c r="AZ1281" s="13">
        <v>5.9613342285156303</v>
      </c>
      <c r="BA1281" s="13">
        <v>1</v>
      </c>
      <c r="BB1281" s="13">
        <v>11.140704154968301</v>
      </c>
      <c r="BC1281" s="4">
        <v>1</v>
      </c>
      <c r="BD1281" s="4">
        <v>22</v>
      </c>
      <c r="BE1281" s="4" t="s">
        <v>134</v>
      </c>
      <c r="BF1281" s="13">
        <v>4.6573967933654803</v>
      </c>
      <c r="BG1281" s="4">
        <v>95.5</v>
      </c>
      <c r="BH1281" s="13">
        <v>1.49500000476837</v>
      </c>
      <c r="BI1281" s="13">
        <v>142.58500671386699</v>
      </c>
      <c r="BJ1281" s="4"/>
      <c r="BK1281" s="14">
        <v>8</v>
      </c>
      <c r="BL1281" s="14">
        <v>8</v>
      </c>
      <c r="BM1281" s="14">
        <v>8</v>
      </c>
      <c r="BP1281" s="15"/>
      <c r="BQ1281" s="15" t="s">
        <v>136</v>
      </c>
      <c r="BR1281" s="2" t="s">
        <v>247</v>
      </c>
      <c r="BS1281" s="2" t="s">
        <v>247</v>
      </c>
      <c r="BT1281" s="7" t="s">
        <v>148</v>
      </c>
      <c r="BU1281" s="7" t="s">
        <v>147</v>
      </c>
      <c r="BV1281" s="9" t="s">
        <v>137</v>
      </c>
      <c r="BW1281" s="9" t="s">
        <v>148</v>
      </c>
    </row>
    <row r="1282" spans="1:75" ht="14.25" customHeight="1" x14ac:dyDescent="0.25">
      <c r="A1282" s="1">
        <v>774</v>
      </c>
      <c r="B1282" s="1" t="s">
        <v>5195</v>
      </c>
      <c r="C1282" s="1" t="s">
        <v>5196</v>
      </c>
      <c r="D1282" s="1" t="s">
        <v>616</v>
      </c>
      <c r="E1282" s="1" t="s">
        <v>1661</v>
      </c>
      <c r="F1282" s="1" t="s">
        <v>1711</v>
      </c>
      <c r="G1282" s="1" t="s">
        <v>118</v>
      </c>
      <c r="H1282" s="2">
        <v>1</v>
      </c>
      <c r="I1282" s="2">
        <v>1</v>
      </c>
      <c r="J1282" s="2">
        <v>1</v>
      </c>
      <c r="K1282" s="2">
        <v>1</v>
      </c>
      <c r="L1282" s="3" t="s">
        <v>127</v>
      </c>
      <c r="O1282" s="4">
        <v>2</v>
      </c>
      <c r="P1282" s="4" t="s">
        <v>635</v>
      </c>
      <c r="Q1282" s="4" t="s">
        <v>169</v>
      </c>
      <c r="R1282" s="16">
        <v>7200000</v>
      </c>
      <c r="S1282" s="6">
        <v>7200000</v>
      </c>
      <c r="T1282" s="16">
        <v>1300000</v>
      </c>
      <c r="U1282" s="6">
        <v>1300000</v>
      </c>
      <c r="V1282" s="4">
        <v>2010.5</v>
      </c>
      <c r="W1282" s="4" t="s">
        <v>425</v>
      </c>
      <c r="X1282" s="4"/>
      <c r="Y1282" s="7">
        <v>1</v>
      </c>
      <c r="Z1282" s="8">
        <v>5296202</v>
      </c>
      <c r="AA1282" s="7" t="s">
        <v>130</v>
      </c>
      <c r="AB1282" s="7"/>
      <c r="AC1282" s="9">
        <v>1</v>
      </c>
      <c r="AD1282" s="10">
        <v>5944825</v>
      </c>
      <c r="AE1282" s="9" t="s">
        <v>130</v>
      </c>
      <c r="AF1282" s="9"/>
      <c r="AG1282" s="11">
        <v>3</v>
      </c>
      <c r="AH1282" s="11" t="s">
        <v>630</v>
      </c>
      <c r="AI1282" s="11"/>
      <c r="AJ1282" s="11">
        <v>2</v>
      </c>
      <c r="AK1282" s="11" t="s">
        <v>143</v>
      </c>
      <c r="AL1282" s="12">
        <v>3</v>
      </c>
      <c r="AM1282" s="12" t="s">
        <v>630</v>
      </c>
      <c r="AN1282" s="12"/>
      <c r="AO1282" s="12">
        <v>2</v>
      </c>
      <c r="AP1282" s="12" t="s">
        <v>143</v>
      </c>
      <c r="AQ1282" s="4">
        <v>1</v>
      </c>
      <c r="AR1282" s="4" t="s">
        <v>133</v>
      </c>
      <c r="AS1282" s="4"/>
      <c r="AT1282" s="13">
        <v>472.06115722656301</v>
      </c>
      <c r="AU1282" s="13">
        <v>3.4764862060546902</v>
      </c>
      <c r="AV1282" s="13">
        <v>0.165199995040894</v>
      </c>
      <c r="AW1282" s="13">
        <v>7</v>
      </c>
      <c r="AX1282" s="4">
        <v>1</v>
      </c>
      <c r="AY1282" s="13">
        <v>55.1740531921387</v>
      </c>
      <c r="AZ1282" s="13">
        <v>2.9737641811370801</v>
      </c>
      <c r="BA1282" s="13">
        <v>-2.5799999237060498</v>
      </c>
      <c r="BB1282" s="13">
        <v>12.228595733642599</v>
      </c>
      <c r="BC1282" s="4"/>
      <c r="BD1282" s="4">
        <v>15</v>
      </c>
      <c r="BE1282" s="4" t="s">
        <v>134</v>
      </c>
      <c r="BF1282" s="13">
        <v>6.83479976654053</v>
      </c>
      <c r="BG1282" s="4">
        <v>220</v>
      </c>
      <c r="BH1282" s="13">
        <v>85.654998779296903</v>
      </c>
      <c r="BI1282" s="13">
        <v>18844.099609375</v>
      </c>
      <c r="BJ1282" s="4"/>
      <c r="BK1282" s="14">
        <v>7</v>
      </c>
      <c r="BL1282" s="14">
        <v>7</v>
      </c>
      <c r="BM1282" s="14">
        <v>7</v>
      </c>
      <c r="BP1282" s="15"/>
      <c r="BQ1282" s="15" t="s">
        <v>136</v>
      </c>
      <c r="BR1282" s="2" t="s">
        <v>247</v>
      </c>
      <c r="BS1282" s="2" t="s">
        <v>247</v>
      </c>
      <c r="BT1282" s="7" t="s">
        <v>147</v>
      </c>
      <c r="BU1282" s="7"/>
      <c r="BV1282" s="9" t="s">
        <v>137</v>
      </c>
      <c r="BW1282" s="9" t="s">
        <v>148</v>
      </c>
    </row>
    <row r="1283" spans="1:75" ht="14.25" customHeight="1" x14ac:dyDescent="0.25">
      <c r="A1283" s="1">
        <v>775</v>
      </c>
      <c r="B1283" s="1" t="s">
        <v>5197</v>
      </c>
      <c r="C1283" s="1" t="s">
        <v>5198</v>
      </c>
      <c r="D1283" s="1" t="s">
        <v>616</v>
      </c>
      <c r="E1283" s="1" t="s">
        <v>1661</v>
      </c>
      <c r="F1283" s="1" t="s">
        <v>1711</v>
      </c>
      <c r="G1283" s="1" t="s">
        <v>118</v>
      </c>
      <c r="H1283" s="2">
        <v>0</v>
      </c>
      <c r="I1283" s="2">
        <v>0</v>
      </c>
      <c r="J1283" s="2">
        <v>0</v>
      </c>
      <c r="K1283" s="2">
        <v>1</v>
      </c>
      <c r="L1283" s="3" t="s">
        <v>80</v>
      </c>
      <c r="O1283" s="4">
        <v>4</v>
      </c>
      <c r="P1283" s="4" t="s">
        <v>81</v>
      </c>
      <c r="Q1283" s="4"/>
      <c r="R1283" s="5"/>
      <c r="S1283" s="6"/>
      <c r="T1283" s="17"/>
      <c r="U1283" s="6"/>
      <c r="V1283" s="4"/>
      <c r="W1283" s="4"/>
      <c r="X1283" s="4"/>
      <c r="Y1283" s="7">
        <v>1</v>
      </c>
      <c r="Z1283" s="8">
        <v>10600000</v>
      </c>
      <c r="AA1283" s="7" t="s">
        <v>812</v>
      </c>
      <c r="AB1283" s="7"/>
      <c r="AC1283" s="9">
        <v>1</v>
      </c>
      <c r="AD1283" s="10">
        <v>10600000</v>
      </c>
      <c r="AE1283" s="9" t="s">
        <v>812</v>
      </c>
      <c r="AF1283" s="9"/>
      <c r="AG1283" s="11">
        <v>2</v>
      </c>
      <c r="AH1283" s="11" t="s">
        <v>620</v>
      </c>
      <c r="AI1283" s="11" t="s">
        <v>5199</v>
      </c>
      <c r="AJ1283" s="11"/>
      <c r="AK1283" s="11"/>
      <c r="AL1283" s="12">
        <v>2</v>
      </c>
      <c r="AM1283" s="12" t="s">
        <v>620</v>
      </c>
      <c r="AN1283" s="12"/>
      <c r="AO1283" s="12"/>
      <c r="AP1283" s="12"/>
      <c r="AQ1283" s="4">
        <v>2</v>
      </c>
      <c r="AR1283" s="4" t="s">
        <v>83</v>
      </c>
      <c r="AS1283" s="4"/>
      <c r="AT1283" s="13"/>
      <c r="AU1283" s="13"/>
      <c r="AV1283" s="13"/>
      <c r="AW1283" s="13"/>
      <c r="AX1283" s="4"/>
      <c r="AY1283" s="13"/>
      <c r="AZ1283" s="13"/>
      <c r="BA1283" s="13"/>
      <c r="BB1283" s="13"/>
      <c r="BC1283" s="4"/>
      <c r="BD1283" s="4"/>
      <c r="BE1283" s="4"/>
      <c r="BF1283" s="13"/>
      <c r="BG1283" s="4"/>
      <c r="BH1283" s="13"/>
      <c r="BI1283" s="13"/>
      <c r="BJ1283" s="4"/>
      <c r="BK1283" s="14">
        <v>9</v>
      </c>
      <c r="BL1283" s="14">
        <v>9</v>
      </c>
      <c r="BM1283" s="14">
        <v>9</v>
      </c>
      <c r="BP1283" s="15"/>
      <c r="BQ1283" s="15"/>
      <c r="BR1283" s="2" t="s">
        <v>97</v>
      </c>
      <c r="BS1283" s="2" t="s">
        <v>97</v>
      </c>
      <c r="BT1283" s="7" t="s">
        <v>240</v>
      </c>
      <c r="BU1283" s="7" t="s">
        <v>98</v>
      </c>
      <c r="BV1283" s="9" t="s">
        <v>240</v>
      </c>
      <c r="BW1283" s="9" t="s">
        <v>98</v>
      </c>
    </row>
    <row r="1284" spans="1:75" ht="14.25" customHeight="1" x14ac:dyDescent="0.25">
      <c r="A1284" s="1">
        <v>778</v>
      </c>
      <c r="B1284" s="1" t="s">
        <v>5200</v>
      </c>
      <c r="C1284" s="1" t="s">
        <v>5201</v>
      </c>
      <c r="D1284" s="1" t="s">
        <v>616</v>
      </c>
      <c r="E1284" s="1" t="s">
        <v>1661</v>
      </c>
      <c r="F1284" s="1" t="s">
        <v>1711</v>
      </c>
      <c r="G1284" s="1" t="s">
        <v>118</v>
      </c>
      <c r="H1284" s="2">
        <v>0</v>
      </c>
      <c r="I1284" s="2">
        <v>1</v>
      </c>
      <c r="J1284" s="2">
        <v>1</v>
      </c>
      <c r="K1284" s="2">
        <v>1</v>
      </c>
      <c r="L1284" s="3" t="s">
        <v>127</v>
      </c>
      <c r="O1284" s="4">
        <v>4</v>
      </c>
      <c r="P1284" s="4" t="s">
        <v>5202</v>
      </c>
      <c r="Q1284" s="4" t="s">
        <v>169</v>
      </c>
      <c r="R1284" s="16">
        <v>170000</v>
      </c>
      <c r="S1284" s="6">
        <v>170000</v>
      </c>
      <c r="T1284" s="16">
        <v>11000</v>
      </c>
      <c r="U1284" s="6">
        <v>11000</v>
      </c>
      <c r="V1284" s="4">
        <v>1998</v>
      </c>
      <c r="W1284" s="4" t="s">
        <v>5203</v>
      </c>
      <c r="X1284" s="4"/>
      <c r="Y1284" s="7">
        <v>1</v>
      </c>
      <c r="Z1284" s="8">
        <v>7970819</v>
      </c>
      <c r="AA1284" s="7" t="s">
        <v>130</v>
      </c>
      <c r="AB1284" s="7"/>
      <c r="AC1284" s="9">
        <v>1</v>
      </c>
      <c r="AD1284" s="10">
        <v>8470416</v>
      </c>
      <c r="AE1284" s="9" t="s">
        <v>130</v>
      </c>
      <c r="AF1284" s="9"/>
      <c r="AG1284" s="11">
        <v>3</v>
      </c>
      <c r="AH1284" s="11" t="s">
        <v>630</v>
      </c>
      <c r="AI1284" s="11"/>
      <c r="AJ1284" s="11">
        <v>2</v>
      </c>
      <c r="AK1284" s="11" t="s">
        <v>143</v>
      </c>
      <c r="AL1284" s="12">
        <v>3</v>
      </c>
      <c r="AM1284" s="12" t="s">
        <v>630</v>
      </c>
      <c r="AN1284" s="12"/>
      <c r="AO1284" s="12">
        <v>1</v>
      </c>
      <c r="AP1284" s="12" t="s">
        <v>132</v>
      </c>
      <c r="AQ1284" s="4">
        <v>1</v>
      </c>
      <c r="AR1284" s="4" t="s">
        <v>133</v>
      </c>
      <c r="AS1284" s="4" t="s">
        <v>5204</v>
      </c>
      <c r="AT1284" s="13">
        <v>878.15399169921898</v>
      </c>
      <c r="AU1284" s="13">
        <v>4.5748777389526403</v>
      </c>
      <c r="AV1284" s="13">
        <v>2.3099999427795401</v>
      </c>
      <c r="AW1284" s="13">
        <v>6.7872052192687997</v>
      </c>
      <c r="AX1284" s="4">
        <v>1</v>
      </c>
      <c r="AY1284" s="13">
        <v>63.907299041747997</v>
      </c>
      <c r="AZ1284" s="13">
        <v>2.0788710117340101</v>
      </c>
      <c r="BA1284" s="13">
        <v>-1.20000004768372</v>
      </c>
      <c r="BB1284" s="13">
        <v>5.0446028709411603</v>
      </c>
      <c r="BC1284" s="4"/>
      <c r="BD1284" s="4">
        <v>24</v>
      </c>
      <c r="BE1284" s="4" t="s">
        <v>134</v>
      </c>
      <c r="BF1284" s="13">
        <v>4.4772047996520996</v>
      </c>
      <c r="BG1284" s="4">
        <v>86.5</v>
      </c>
      <c r="BH1284" s="13">
        <v>0.92500001192092896</v>
      </c>
      <c r="BI1284" s="13">
        <v>79.864997863769503</v>
      </c>
      <c r="BJ1284" s="4"/>
      <c r="BK1284" s="14">
        <v>9</v>
      </c>
      <c r="BL1284" s="14">
        <v>9</v>
      </c>
      <c r="BM1284" s="14">
        <v>9</v>
      </c>
      <c r="BP1284" s="15"/>
      <c r="BQ1284" s="15" t="s">
        <v>136</v>
      </c>
      <c r="BR1284" s="2" t="s">
        <v>97</v>
      </c>
      <c r="BS1284" s="2" t="s">
        <v>97</v>
      </c>
      <c r="BT1284" s="7" t="s">
        <v>623</v>
      </c>
      <c r="BU1284" s="7" t="s">
        <v>147</v>
      </c>
      <c r="BV1284" s="9" t="s">
        <v>137</v>
      </c>
      <c r="BW1284" s="9" t="s">
        <v>148</v>
      </c>
    </row>
    <row r="1285" spans="1:75" ht="14.25" customHeight="1" x14ac:dyDescent="0.25">
      <c r="A1285" s="1">
        <v>779</v>
      </c>
      <c r="B1285" s="1" t="s">
        <v>5205</v>
      </c>
      <c r="C1285" s="1" t="s">
        <v>5206</v>
      </c>
      <c r="D1285" s="1" t="s">
        <v>77</v>
      </c>
      <c r="E1285" s="1" t="s">
        <v>5207</v>
      </c>
      <c r="F1285" s="1" t="s">
        <v>5208</v>
      </c>
      <c r="G1285" s="1" t="s">
        <v>118</v>
      </c>
      <c r="H1285" s="2">
        <v>0</v>
      </c>
      <c r="I1285" s="2">
        <v>1</v>
      </c>
      <c r="J1285" s="2">
        <v>1</v>
      </c>
      <c r="K1285" s="2">
        <v>0</v>
      </c>
      <c r="L1285" s="3" t="s">
        <v>80</v>
      </c>
      <c r="O1285" s="4">
        <v>5</v>
      </c>
      <c r="P1285" s="4" t="s">
        <v>5209</v>
      </c>
      <c r="Q1285" s="4" t="s">
        <v>5210</v>
      </c>
      <c r="R1285" s="5">
        <v>222</v>
      </c>
      <c r="S1285" s="6">
        <v>222</v>
      </c>
      <c r="T1285" s="5">
        <v>190</v>
      </c>
      <c r="U1285" s="6">
        <v>190</v>
      </c>
      <c r="V1285" s="4"/>
      <c r="W1285" s="4" t="s">
        <v>5209</v>
      </c>
      <c r="X1285" s="4"/>
      <c r="Y1285" s="7">
        <v>5</v>
      </c>
      <c r="Z1285" s="8"/>
      <c r="AA1285" s="7" t="s">
        <v>5211</v>
      </c>
      <c r="AB1285" s="7" t="s">
        <v>5212</v>
      </c>
      <c r="AC1285" s="9">
        <v>4</v>
      </c>
      <c r="AD1285" s="10">
        <v>104418</v>
      </c>
      <c r="AE1285" s="9" t="s">
        <v>283</v>
      </c>
      <c r="AF1285" s="9"/>
      <c r="AG1285" s="11">
        <v>5</v>
      </c>
      <c r="AH1285" s="11" t="s">
        <v>271</v>
      </c>
      <c r="AI1285" s="11" t="s">
        <v>5213</v>
      </c>
      <c r="AJ1285" s="11"/>
      <c r="AK1285" s="11"/>
      <c r="AL1285" s="12">
        <v>5</v>
      </c>
      <c r="AM1285" s="12" t="s">
        <v>271</v>
      </c>
      <c r="AN1285" s="12"/>
      <c r="AO1285" s="12"/>
      <c r="AP1285" s="12"/>
      <c r="AQ1285" s="4">
        <v>3</v>
      </c>
      <c r="AR1285" s="4" t="s">
        <v>1089</v>
      </c>
      <c r="AS1285" s="4" t="s">
        <v>5214</v>
      </c>
      <c r="AT1285" s="13"/>
      <c r="AU1285" s="13"/>
      <c r="AV1285" s="13"/>
      <c r="AW1285" s="13"/>
      <c r="AX1285" s="4"/>
      <c r="AY1285" s="13"/>
      <c r="AZ1285" s="13"/>
      <c r="BA1285" s="13"/>
      <c r="BB1285" s="13"/>
      <c r="BC1285" s="4"/>
      <c r="BD1285" s="4"/>
      <c r="BE1285" s="4"/>
      <c r="BF1285" s="13"/>
      <c r="BG1285" s="4"/>
      <c r="BH1285" s="13"/>
      <c r="BI1285" s="13"/>
      <c r="BJ1285" s="4"/>
      <c r="BK1285" s="14">
        <v>18</v>
      </c>
      <c r="BL1285" s="14">
        <v>17</v>
      </c>
      <c r="BM1285" s="14">
        <v>18</v>
      </c>
      <c r="BN1285" s="3" t="s">
        <v>312</v>
      </c>
      <c r="BO1285" s="3" t="s">
        <v>899</v>
      </c>
      <c r="BP1285" s="15"/>
      <c r="BQ1285" s="15"/>
      <c r="BR1285" s="2" t="s">
        <v>162</v>
      </c>
      <c r="BS1285" s="2" t="s">
        <v>162</v>
      </c>
      <c r="BT1285" s="7" t="s">
        <v>429</v>
      </c>
      <c r="BU1285" s="7" t="s">
        <v>428</v>
      </c>
      <c r="BV1285" s="9" t="s">
        <v>429</v>
      </c>
      <c r="BW1285" s="9" t="s">
        <v>428</v>
      </c>
    </row>
    <row r="1286" spans="1:75" ht="14.25" customHeight="1" x14ac:dyDescent="0.25">
      <c r="A1286" s="1">
        <v>780</v>
      </c>
      <c r="B1286" s="1" t="s">
        <v>5215</v>
      </c>
      <c r="C1286" s="1" t="s">
        <v>5216</v>
      </c>
      <c r="D1286" s="1" t="s">
        <v>77</v>
      </c>
      <c r="E1286" s="1" t="s">
        <v>5207</v>
      </c>
      <c r="F1286" s="1" t="s">
        <v>5208</v>
      </c>
      <c r="G1286" s="1" t="s">
        <v>118</v>
      </c>
      <c r="H1286" s="2">
        <v>0</v>
      </c>
      <c r="I1286" s="2">
        <v>0</v>
      </c>
      <c r="J1286" s="2">
        <v>1</v>
      </c>
      <c r="K1286" s="2">
        <v>1</v>
      </c>
      <c r="L1286" s="3" t="s">
        <v>80</v>
      </c>
      <c r="O1286" s="4">
        <v>4</v>
      </c>
      <c r="P1286" s="4" t="s">
        <v>81</v>
      </c>
      <c r="Q1286" s="4" t="s">
        <v>5217</v>
      </c>
      <c r="R1286" s="5"/>
      <c r="S1286" s="6"/>
      <c r="T1286" s="17"/>
      <c r="U1286" s="6"/>
      <c r="V1286" s="4"/>
      <c r="W1286" s="4"/>
      <c r="X1286" s="4"/>
      <c r="Y1286" s="7">
        <v>1</v>
      </c>
      <c r="Z1286" s="8">
        <v>13662423</v>
      </c>
      <c r="AA1286" s="7" t="s">
        <v>92</v>
      </c>
      <c r="AB1286" s="7"/>
      <c r="AC1286" s="9">
        <v>1</v>
      </c>
      <c r="AD1286" s="10">
        <v>13662423</v>
      </c>
      <c r="AE1286" s="9" t="s">
        <v>92</v>
      </c>
      <c r="AF1286" s="9"/>
      <c r="AG1286" s="11">
        <v>4</v>
      </c>
      <c r="AH1286" s="11" t="s">
        <v>93</v>
      </c>
      <c r="AI1286" s="11"/>
      <c r="AJ1286" s="11"/>
      <c r="AK1286" s="11"/>
      <c r="AL1286" s="12">
        <v>4</v>
      </c>
      <c r="AM1286" s="12" t="s">
        <v>93</v>
      </c>
      <c r="AN1286" s="12" t="s">
        <v>5218</v>
      </c>
      <c r="AO1286" s="12"/>
      <c r="AP1286" s="12"/>
      <c r="AQ1286" s="4">
        <v>5</v>
      </c>
      <c r="AR1286" s="4" t="s">
        <v>83</v>
      </c>
      <c r="AS1286" s="4"/>
      <c r="AT1286" s="13"/>
      <c r="AU1286" s="13"/>
      <c r="AV1286" s="13"/>
      <c r="AW1286" s="13"/>
      <c r="AX1286" s="4"/>
      <c r="AY1286" s="13"/>
      <c r="AZ1286" s="13"/>
      <c r="BA1286" s="13"/>
      <c r="BB1286" s="13"/>
      <c r="BC1286" s="4"/>
      <c r="BD1286" s="4"/>
      <c r="BE1286" s="4"/>
      <c r="BF1286" s="13"/>
      <c r="BG1286" s="4"/>
      <c r="BH1286" s="13"/>
      <c r="BI1286" s="13"/>
      <c r="BJ1286" s="4"/>
      <c r="BK1286" s="14">
        <v>14</v>
      </c>
      <c r="BL1286" s="14">
        <v>14</v>
      </c>
      <c r="BM1286" s="14">
        <v>14</v>
      </c>
      <c r="BN1286" s="3" t="s">
        <v>113</v>
      </c>
      <c r="BP1286" s="15"/>
      <c r="BQ1286" s="15"/>
      <c r="BR1286" s="2" t="s">
        <v>97</v>
      </c>
      <c r="BS1286" s="2" t="s">
        <v>97</v>
      </c>
      <c r="BT1286" s="7" t="s">
        <v>98</v>
      </c>
      <c r="BU1286" s="7"/>
      <c r="BV1286" s="9" t="s">
        <v>98</v>
      </c>
      <c r="BW1286" s="9"/>
    </row>
    <row r="1287" spans="1:75" ht="14.25" customHeight="1" x14ac:dyDescent="0.25">
      <c r="A1287" s="1">
        <v>781</v>
      </c>
      <c r="B1287" s="1" t="s">
        <v>5219</v>
      </c>
      <c r="C1287" s="1" t="s">
        <v>5220</v>
      </c>
      <c r="D1287" s="1" t="s">
        <v>77</v>
      </c>
      <c r="E1287" s="1" t="s">
        <v>5207</v>
      </c>
      <c r="F1287" s="1" t="s">
        <v>5208</v>
      </c>
      <c r="G1287" s="1"/>
      <c r="H1287" s="2">
        <v>0</v>
      </c>
      <c r="I1287" s="2">
        <v>1</v>
      </c>
      <c r="J1287" s="2">
        <v>1</v>
      </c>
      <c r="K1287" s="2">
        <v>1</v>
      </c>
      <c r="L1287" s="3" t="s">
        <v>80</v>
      </c>
      <c r="O1287" s="4">
        <v>1</v>
      </c>
      <c r="P1287" s="4" t="s">
        <v>5221</v>
      </c>
      <c r="Q1287" s="4" t="s">
        <v>5222</v>
      </c>
      <c r="R1287" s="16">
        <v>190000000</v>
      </c>
      <c r="S1287" s="6">
        <v>190000000</v>
      </c>
      <c r="T1287" s="16">
        <v>9600000</v>
      </c>
      <c r="U1287" s="6">
        <v>9600000</v>
      </c>
      <c r="V1287" s="4"/>
      <c r="W1287" s="4" t="s">
        <v>5223</v>
      </c>
      <c r="X1287" s="4" t="s">
        <v>5224</v>
      </c>
      <c r="Y1287" s="7">
        <v>1</v>
      </c>
      <c r="Z1287" s="8">
        <v>20974656</v>
      </c>
      <c r="AA1287" s="7" t="s">
        <v>92</v>
      </c>
      <c r="AB1287" s="7"/>
      <c r="AC1287" s="9">
        <v>1</v>
      </c>
      <c r="AD1287" s="10">
        <v>20974656</v>
      </c>
      <c r="AE1287" s="9" t="s">
        <v>92</v>
      </c>
      <c r="AF1287" s="9"/>
      <c r="AG1287" s="11">
        <v>2</v>
      </c>
      <c r="AH1287" s="11" t="s">
        <v>131</v>
      </c>
      <c r="AI1287" s="11" t="s">
        <v>5225</v>
      </c>
      <c r="AJ1287" s="11">
        <v>2</v>
      </c>
      <c r="AK1287" s="11" t="s">
        <v>132</v>
      </c>
      <c r="AL1287" s="12">
        <v>2</v>
      </c>
      <c r="AM1287" s="12" t="s">
        <v>131</v>
      </c>
      <c r="AN1287" s="12" t="s">
        <v>5226</v>
      </c>
      <c r="AO1287" s="12">
        <v>2</v>
      </c>
      <c r="AP1287" s="12" t="s">
        <v>132</v>
      </c>
      <c r="AQ1287" s="4">
        <v>1</v>
      </c>
      <c r="AR1287" s="4" t="s">
        <v>133</v>
      </c>
      <c r="AS1287" s="4"/>
      <c r="AT1287" s="13">
        <v>682.29040527343795</v>
      </c>
      <c r="AU1287" s="13">
        <v>4.1188511848449698</v>
      </c>
      <c r="AV1287" s="13">
        <v>3.2599999904632599</v>
      </c>
      <c r="AW1287" s="13">
        <v>4.8336977958679199</v>
      </c>
      <c r="AX1287" s="4">
        <v>1</v>
      </c>
      <c r="AY1287" s="13">
        <v>642.38153076171898</v>
      </c>
      <c r="AZ1287" s="13">
        <v>4.7710075378418004</v>
      </c>
      <c r="BA1287" s="13">
        <v>4.0100002288818404</v>
      </c>
      <c r="BB1287" s="13">
        <v>5.3976058959960902</v>
      </c>
      <c r="BC1287" s="4">
        <v>1</v>
      </c>
      <c r="BD1287" s="4">
        <v>43</v>
      </c>
      <c r="BE1287" s="4" t="s">
        <v>134</v>
      </c>
      <c r="BF1287" s="13">
        <v>1.57369804382324</v>
      </c>
      <c r="BG1287" s="4">
        <v>1113.5</v>
      </c>
      <c r="BH1287" s="13">
        <v>1.9349999427795399</v>
      </c>
      <c r="BI1287" s="13">
        <v>2156.17993164063</v>
      </c>
      <c r="BJ1287" s="4"/>
      <c r="BK1287" s="14">
        <v>5</v>
      </c>
      <c r="BL1287" s="14">
        <v>5</v>
      </c>
      <c r="BM1287" s="14">
        <v>5</v>
      </c>
      <c r="BP1287" s="15" t="s">
        <v>135</v>
      </c>
      <c r="BQ1287" s="15" t="s">
        <v>136</v>
      </c>
      <c r="BR1287" s="2" t="s">
        <v>247</v>
      </c>
      <c r="BS1287" s="2" t="s">
        <v>247</v>
      </c>
      <c r="BT1287" s="7" t="s">
        <v>458</v>
      </c>
      <c r="BU1287" s="7" t="s">
        <v>603</v>
      </c>
      <c r="BV1287" s="9" t="s">
        <v>458</v>
      </c>
      <c r="BW1287" s="9" t="s">
        <v>603</v>
      </c>
    </row>
    <row r="1288" spans="1:75" ht="14.25" customHeight="1" x14ac:dyDescent="0.25">
      <c r="A1288" s="1">
        <v>782</v>
      </c>
      <c r="B1288" s="1" t="s">
        <v>5227</v>
      </c>
      <c r="C1288" s="1" t="s">
        <v>5228</v>
      </c>
      <c r="D1288" s="1" t="s">
        <v>77</v>
      </c>
      <c r="E1288" s="1" t="s">
        <v>5207</v>
      </c>
      <c r="F1288" s="1" t="s">
        <v>5208</v>
      </c>
      <c r="G1288" s="1"/>
      <c r="H1288" s="2">
        <v>1</v>
      </c>
      <c r="I1288" s="2">
        <v>1</v>
      </c>
      <c r="J1288" s="2">
        <v>1</v>
      </c>
      <c r="K1288" s="2">
        <v>1</v>
      </c>
      <c r="L1288" s="3" t="s">
        <v>127</v>
      </c>
      <c r="O1288" s="4">
        <v>2</v>
      </c>
      <c r="P1288" s="4" t="s">
        <v>470</v>
      </c>
      <c r="Q1288" s="4"/>
      <c r="R1288" s="16">
        <v>28000000</v>
      </c>
      <c r="S1288" s="6">
        <v>28000000</v>
      </c>
      <c r="T1288" s="16">
        <v>8400000</v>
      </c>
      <c r="U1288" s="6">
        <v>8400000</v>
      </c>
      <c r="V1288" s="4">
        <v>2010.5</v>
      </c>
      <c r="W1288" s="4" t="s">
        <v>425</v>
      </c>
      <c r="X1288" s="4"/>
      <c r="Y1288" s="7">
        <v>1</v>
      </c>
      <c r="Z1288" s="8">
        <v>28220589</v>
      </c>
      <c r="AA1288" s="7" t="s">
        <v>92</v>
      </c>
      <c r="AB1288" s="7"/>
      <c r="AC1288" s="9">
        <v>1</v>
      </c>
      <c r="AD1288" s="10">
        <v>21773049</v>
      </c>
      <c r="AE1288" s="9" t="s">
        <v>92</v>
      </c>
      <c r="AF1288" s="9"/>
      <c r="AG1288" s="11">
        <v>2</v>
      </c>
      <c r="AH1288" s="11" t="s">
        <v>131</v>
      </c>
      <c r="AI1288" s="11" t="s">
        <v>5229</v>
      </c>
      <c r="AJ1288" s="11">
        <v>2</v>
      </c>
      <c r="AK1288" s="11" t="s">
        <v>132</v>
      </c>
      <c r="AL1288" s="12">
        <v>2</v>
      </c>
      <c r="AM1288" s="12" t="s">
        <v>131</v>
      </c>
      <c r="AN1288" s="12" t="s">
        <v>5230</v>
      </c>
      <c r="AO1288" s="12">
        <v>2</v>
      </c>
      <c r="AP1288" s="12" t="s">
        <v>132</v>
      </c>
      <c r="AQ1288" s="4">
        <v>1</v>
      </c>
      <c r="AR1288" s="4" t="s">
        <v>133</v>
      </c>
      <c r="AS1288" s="4"/>
      <c r="AT1288" s="13">
        <v>230.89601135253901</v>
      </c>
      <c r="AU1288" s="13">
        <v>2.3717970848083501</v>
      </c>
      <c r="AV1288" s="13">
        <v>2.00589895248413</v>
      </c>
      <c r="AW1288" s="13">
        <v>2.7400000095367401</v>
      </c>
      <c r="AX1288" s="4">
        <v>1</v>
      </c>
      <c r="AY1288" s="13">
        <v>52.921520233154297</v>
      </c>
      <c r="AZ1288" s="13">
        <v>2.1444468498229998</v>
      </c>
      <c r="BA1288" s="13">
        <v>1.59399497509003</v>
      </c>
      <c r="BB1288" s="13">
        <v>2.7799999713897701</v>
      </c>
      <c r="BC1288" s="4">
        <v>1</v>
      </c>
      <c r="BD1288" s="4">
        <v>20</v>
      </c>
      <c r="BE1288" s="4" t="s">
        <v>134</v>
      </c>
      <c r="BF1288" s="13">
        <v>0.73410099744796797</v>
      </c>
      <c r="BG1288" s="4">
        <v>3678</v>
      </c>
      <c r="BH1288" s="13">
        <v>2.5350000858306898</v>
      </c>
      <c r="BI1288" s="13">
        <v>9323.3095703125</v>
      </c>
      <c r="BJ1288" s="4"/>
      <c r="BK1288" s="14">
        <v>6</v>
      </c>
      <c r="BL1288" s="14">
        <v>6</v>
      </c>
      <c r="BM1288" s="14">
        <v>6</v>
      </c>
      <c r="BP1288" s="15" t="s">
        <v>135</v>
      </c>
      <c r="BQ1288" s="15" t="s">
        <v>136</v>
      </c>
      <c r="BR1288" s="2" t="s">
        <v>247</v>
      </c>
      <c r="BS1288" s="2" t="s">
        <v>247</v>
      </c>
      <c r="BT1288" s="7" t="s">
        <v>458</v>
      </c>
      <c r="BU1288" s="7"/>
      <c r="BV1288" s="9" t="s">
        <v>458</v>
      </c>
      <c r="BW1288" s="9"/>
    </row>
    <row r="1289" spans="1:75" ht="14.25" customHeight="1" x14ac:dyDescent="0.25">
      <c r="A1289" s="1">
        <v>783</v>
      </c>
      <c r="B1289" s="1" t="s">
        <v>5231</v>
      </c>
      <c r="C1289" s="1" t="s">
        <v>5232</v>
      </c>
      <c r="D1289" s="1" t="s">
        <v>77</v>
      </c>
      <c r="E1289" s="1" t="s">
        <v>5207</v>
      </c>
      <c r="F1289" s="1" t="s">
        <v>5208</v>
      </c>
      <c r="G1289" s="1"/>
      <c r="H1289" s="2">
        <v>0</v>
      </c>
      <c r="I1289" s="2">
        <v>0</v>
      </c>
      <c r="J1289" s="2">
        <v>1</v>
      </c>
      <c r="K1289" s="2">
        <v>1</v>
      </c>
      <c r="L1289" s="3" t="s">
        <v>80</v>
      </c>
      <c r="O1289" s="4">
        <v>3</v>
      </c>
      <c r="P1289" s="4" t="s">
        <v>112</v>
      </c>
      <c r="Q1289" s="4"/>
      <c r="R1289" s="5"/>
      <c r="S1289" s="6"/>
      <c r="T1289" s="17"/>
      <c r="U1289" s="6"/>
      <c r="V1289" s="4"/>
      <c r="W1289" s="4"/>
      <c r="X1289" s="4"/>
      <c r="Y1289" s="7">
        <v>1</v>
      </c>
      <c r="Z1289" s="8">
        <v>7836656</v>
      </c>
      <c r="AA1289" s="7" t="s">
        <v>92</v>
      </c>
      <c r="AB1289" s="7"/>
      <c r="AC1289" s="9">
        <v>1</v>
      </c>
      <c r="AD1289" s="10">
        <v>7836656</v>
      </c>
      <c r="AE1289" s="9" t="s">
        <v>92</v>
      </c>
      <c r="AF1289" s="9"/>
      <c r="AG1289" s="11">
        <v>2</v>
      </c>
      <c r="AH1289" s="11" t="s">
        <v>93</v>
      </c>
      <c r="AI1289" s="11"/>
      <c r="AJ1289" s="11"/>
      <c r="AK1289" s="11"/>
      <c r="AL1289" s="12">
        <v>2</v>
      </c>
      <c r="AM1289" s="12" t="s">
        <v>93</v>
      </c>
      <c r="AN1289" s="12" t="s">
        <v>5233</v>
      </c>
      <c r="AO1289" s="12"/>
      <c r="AP1289" s="12"/>
      <c r="AQ1289" s="4">
        <v>2</v>
      </c>
      <c r="AR1289" s="4" t="s">
        <v>83</v>
      </c>
      <c r="AS1289" s="4"/>
      <c r="AT1289" s="13"/>
      <c r="AU1289" s="13"/>
      <c r="AV1289" s="13"/>
      <c r="AW1289" s="13"/>
      <c r="AX1289" s="4"/>
      <c r="AY1289" s="13"/>
      <c r="AZ1289" s="13"/>
      <c r="BA1289" s="13"/>
      <c r="BB1289" s="13"/>
      <c r="BC1289" s="4"/>
      <c r="BD1289" s="4"/>
      <c r="BE1289" s="4"/>
      <c r="BF1289" s="13"/>
      <c r="BG1289" s="4"/>
      <c r="BH1289" s="13"/>
      <c r="BI1289" s="13"/>
      <c r="BJ1289" s="4"/>
      <c r="BK1289" s="14">
        <v>8</v>
      </c>
      <c r="BL1289" s="14">
        <v>8</v>
      </c>
      <c r="BM1289" s="14">
        <v>8</v>
      </c>
      <c r="BP1289" s="15"/>
      <c r="BQ1289" s="15"/>
      <c r="BR1289" s="2" t="s">
        <v>97</v>
      </c>
      <c r="BS1289" s="2" t="s">
        <v>97</v>
      </c>
      <c r="BT1289" s="7" t="s">
        <v>463</v>
      </c>
      <c r="BU1289" s="7" t="s">
        <v>147</v>
      </c>
      <c r="BV1289" s="9" t="s">
        <v>463</v>
      </c>
      <c r="BW1289" s="9" t="s">
        <v>147</v>
      </c>
    </row>
    <row r="1290" spans="1:75" ht="14.25" customHeight="1" x14ac:dyDescent="0.25">
      <c r="A1290" s="1">
        <v>784</v>
      </c>
      <c r="B1290" s="1" t="s">
        <v>5234</v>
      </c>
      <c r="C1290" s="1" t="s">
        <v>5235</v>
      </c>
      <c r="D1290" s="1" t="s">
        <v>77</v>
      </c>
      <c r="E1290" s="1" t="s">
        <v>1715</v>
      </c>
      <c r="F1290" s="1" t="s">
        <v>5236</v>
      </c>
      <c r="G1290" s="1"/>
      <c r="H1290" s="2">
        <v>1</v>
      </c>
      <c r="I1290" s="2">
        <v>1</v>
      </c>
      <c r="J1290" s="2">
        <v>1</v>
      </c>
      <c r="K1290" s="2">
        <v>1</v>
      </c>
      <c r="L1290" s="3" t="s">
        <v>127</v>
      </c>
      <c r="O1290" s="4">
        <v>3</v>
      </c>
      <c r="P1290" s="4" t="s">
        <v>3779</v>
      </c>
      <c r="Q1290" s="4"/>
      <c r="R1290" s="16">
        <v>1200000</v>
      </c>
      <c r="S1290" s="6">
        <v>1200000</v>
      </c>
      <c r="T1290" s="16">
        <v>400000</v>
      </c>
      <c r="U1290" s="6">
        <v>400000</v>
      </c>
      <c r="V1290" s="4">
        <v>2010.5</v>
      </c>
      <c r="W1290" s="4" t="s">
        <v>1919</v>
      </c>
      <c r="X1290" s="4"/>
      <c r="Y1290" s="7">
        <v>1</v>
      </c>
      <c r="Z1290" s="8">
        <v>18768140</v>
      </c>
      <c r="AA1290" s="7" t="s">
        <v>92</v>
      </c>
      <c r="AB1290" s="7"/>
      <c r="AC1290" s="9">
        <v>1</v>
      </c>
      <c r="AD1290" s="10">
        <v>33358756</v>
      </c>
      <c r="AE1290" s="9" t="s">
        <v>92</v>
      </c>
      <c r="AF1290" s="9"/>
      <c r="AG1290" s="11">
        <v>2</v>
      </c>
      <c r="AH1290" s="11" t="s">
        <v>131</v>
      </c>
      <c r="AI1290" s="11"/>
      <c r="AJ1290" s="11">
        <v>2</v>
      </c>
      <c r="AK1290" s="11" t="s">
        <v>132</v>
      </c>
      <c r="AL1290" s="12">
        <v>2</v>
      </c>
      <c r="AM1290" s="12" t="s">
        <v>131</v>
      </c>
      <c r="AN1290" s="12" t="s">
        <v>5237</v>
      </c>
      <c r="AO1290" s="12">
        <v>2</v>
      </c>
      <c r="AP1290" s="12" t="s">
        <v>132</v>
      </c>
      <c r="AQ1290" s="4">
        <v>1</v>
      </c>
      <c r="AR1290" s="4" t="s">
        <v>133</v>
      </c>
      <c r="AS1290" s="4"/>
      <c r="AT1290" s="13">
        <v>329.77114868164102</v>
      </c>
      <c r="AU1290" s="13">
        <v>2.8998394012451199</v>
      </c>
      <c r="AV1290" s="13">
        <v>1.9880059957504299</v>
      </c>
      <c r="AW1290" s="13">
        <v>4.28999996185303</v>
      </c>
      <c r="AX1290" s="4">
        <v>1</v>
      </c>
      <c r="AY1290" s="13">
        <v>112.50489807128901</v>
      </c>
      <c r="AZ1290" s="13">
        <v>2.5420193672180198</v>
      </c>
      <c r="BA1290" s="13">
        <v>1.6499999761581401</v>
      </c>
      <c r="BB1290" s="13">
        <v>3.8099999427795401</v>
      </c>
      <c r="BC1290" s="4">
        <v>1</v>
      </c>
      <c r="BD1290" s="4">
        <v>30</v>
      </c>
      <c r="BE1290" s="4" t="s">
        <v>134</v>
      </c>
      <c r="BF1290" s="13">
        <v>2.3019940853118901</v>
      </c>
      <c r="BG1290" s="4">
        <v>1251</v>
      </c>
      <c r="BH1290" s="13">
        <v>0.14200000464916199</v>
      </c>
      <c r="BI1290" s="13">
        <v>177.46600341796901</v>
      </c>
      <c r="BJ1290" s="4"/>
      <c r="BK1290" s="14">
        <v>7</v>
      </c>
      <c r="BL1290" s="14">
        <v>7</v>
      </c>
      <c r="BM1290" s="14">
        <v>7</v>
      </c>
      <c r="BP1290" s="15" t="s">
        <v>135</v>
      </c>
      <c r="BQ1290" s="15"/>
      <c r="BR1290" s="2" t="s">
        <v>247</v>
      </c>
      <c r="BS1290" s="2" t="s">
        <v>247</v>
      </c>
      <c r="BT1290" s="7" t="s">
        <v>212</v>
      </c>
      <c r="BU1290" s="7" t="s">
        <v>148</v>
      </c>
      <c r="BV1290" s="9" t="s">
        <v>137</v>
      </c>
      <c r="BW1290" s="9" t="s">
        <v>148</v>
      </c>
    </row>
    <row r="1291" spans="1:75" ht="14.25" customHeight="1" x14ac:dyDescent="0.25">
      <c r="A1291" s="1">
        <v>785</v>
      </c>
      <c r="B1291" s="1" t="s">
        <v>5238</v>
      </c>
      <c r="C1291" s="1" t="s">
        <v>5239</v>
      </c>
      <c r="D1291" s="1" t="s">
        <v>77</v>
      </c>
      <c r="E1291" s="1" t="s">
        <v>1715</v>
      </c>
      <c r="F1291" s="1" t="s">
        <v>1716</v>
      </c>
      <c r="G1291" s="1"/>
      <c r="H1291" s="2">
        <v>0</v>
      </c>
      <c r="I1291" s="2">
        <v>0</v>
      </c>
      <c r="J1291" s="2">
        <v>0</v>
      </c>
      <c r="K1291" s="2">
        <v>1</v>
      </c>
      <c r="L1291" s="3" t="s">
        <v>80</v>
      </c>
      <c r="O1291" s="4">
        <v>3</v>
      </c>
      <c r="P1291" s="4" t="s">
        <v>81</v>
      </c>
      <c r="Q1291" s="4"/>
      <c r="R1291" s="5"/>
      <c r="S1291" s="6"/>
      <c r="T1291" s="17"/>
      <c r="U1291" s="6"/>
      <c r="V1291" s="4"/>
      <c r="W1291" s="4"/>
      <c r="X1291" s="4"/>
      <c r="Y1291" s="7">
        <v>1</v>
      </c>
      <c r="Z1291" s="8">
        <v>10255186</v>
      </c>
      <c r="AA1291" s="7" t="s">
        <v>82</v>
      </c>
      <c r="AB1291" s="7"/>
      <c r="AC1291" s="9">
        <v>1</v>
      </c>
      <c r="AD1291" s="10">
        <v>10255186</v>
      </c>
      <c r="AE1291" s="9" t="s">
        <v>82</v>
      </c>
      <c r="AF1291" s="9"/>
      <c r="AG1291" s="11">
        <v>2</v>
      </c>
      <c r="AH1291" s="11" t="s">
        <v>83</v>
      </c>
      <c r="AI1291" s="11"/>
      <c r="AJ1291" s="11"/>
      <c r="AK1291" s="11"/>
      <c r="AL1291" s="12">
        <v>2</v>
      </c>
      <c r="AM1291" s="12" t="s">
        <v>83</v>
      </c>
      <c r="AN1291" s="12"/>
      <c r="AO1291" s="12"/>
      <c r="AP1291" s="12"/>
      <c r="AQ1291" s="4">
        <v>1</v>
      </c>
      <c r="AR1291" s="4" t="s">
        <v>83</v>
      </c>
      <c r="AS1291" s="4"/>
      <c r="AT1291" s="13"/>
      <c r="AU1291" s="13"/>
      <c r="AV1291" s="13"/>
      <c r="AW1291" s="13"/>
      <c r="AX1291" s="4"/>
      <c r="AY1291" s="13"/>
      <c r="AZ1291" s="13"/>
      <c r="BA1291" s="13"/>
      <c r="BB1291" s="13"/>
      <c r="BC1291" s="4"/>
      <c r="BD1291" s="4"/>
      <c r="BE1291" s="4"/>
      <c r="BF1291" s="13"/>
      <c r="BG1291" s="4"/>
      <c r="BH1291" s="13"/>
      <c r="BI1291" s="13"/>
      <c r="BJ1291" s="4"/>
      <c r="BK1291" s="14">
        <v>7</v>
      </c>
      <c r="BL1291" s="14">
        <v>7</v>
      </c>
      <c r="BM1291" s="14">
        <v>7</v>
      </c>
      <c r="BP1291" s="15"/>
      <c r="BQ1291" s="15"/>
      <c r="BR1291" s="2" t="s">
        <v>97</v>
      </c>
      <c r="BS1291" s="2" t="s">
        <v>97</v>
      </c>
      <c r="BT1291" s="7" t="s">
        <v>458</v>
      </c>
      <c r="BU1291" s="7"/>
      <c r="BV1291" s="9" t="s">
        <v>458</v>
      </c>
      <c r="BW1291" s="9"/>
    </row>
    <row r="1292" spans="1:75" ht="14.25" customHeight="1" x14ac:dyDescent="0.25">
      <c r="A1292" s="1">
        <v>786</v>
      </c>
      <c r="B1292" s="1" t="s">
        <v>5240</v>
      </c>
      <c r="C1292" s="1" t="s">
        <v>5241</v>
      </c>
      <c r="D1292" s="1" t="s">
        <v>77</v>
      </c>
      <c r="E1292" s="1" t="s">
        <v>1715</v>
      </c>
      <c r="F1292" s="1" t="s">
        <v>1716</v>
      </c>
      <c r="G1292" s="1"/>
      <c r="H1292" s="2">
        <v>0</v>
      </c>
      <c r="I1292" s="2">
        <v>1</v>
      </c>
      <c r="J1292" s="2">
        <v>1</v>
      </c>
      <c r="K1292" s="2">
        <v>1</v>
      </c>
      <c r="L1292" s="3" t="s">
        <v>80</v>
      </c>
      <c r="O1292" s="4">
        <v>4</v>
      </c>
      <c r="P1292" s="4" t="s">
        <v>470</v>
      </c>
      <c r="Q1292" s="4" t="s">
        <v>5242</v>
      </c>
      <c r="R1292" s="16">
        <v>260000</v>
      </c>
      <c r="S1292" s="6">
        <v>260000</v>
      </c>
      <c r="T1292" s="16">
        <v>16000</v>
      </c>
      <c r="U1292" s="6">
        <v>16000</v>
      </c>
      <c r="V1292" s="4">
        <v>2010.5</v>
      </c>
      <c r="W1292" s="4" t="s">
        <v>425</v>
      </c>
      <c r="X1292" s="4"/>
      <c r="Y1292" s="7">
        <v>1</v>
      </c>
      <c r="Z1292" s="8">
        <v>9406487</v>
      </c>
      <c r="AA1292" s="7" t="s">
        <v>92</v>
      </c>
      <c r="AB1292" s="7"/>
      <c r="AC1292" s="9">
        <v>1</v>
      </c>
      <c r="AD1292" s="10">
        <v>9406487</v>
      </c>
      <c r="AE1292" s="9" t="s">
        <v>92</v>
      </c>
      <c r="AF1292" s="9"/>
      <c r="AG1292" s="11">
        <v>2</v>
      </c>
      <c r="AH1292" s="11" t="s">
        <v>131</v>
      </c>
      <c r="AI1292" s="11" t="s">
        <v>5243</v>
      </c>
      <c r="AJ1292" s="11">
        <v>2</v>
      </c>
      <c r="AK1292" s="11" t="s">
        <v>143</v>
      </c>
      <c r="AL1292" s="12">
        <v>2</v>
      </c>
      <c r="AM1292" s="12" t="s">
        <v>131</v>
      </c>
      <c r="AN1292" s="12" t="s">
        <v>5244</v>
      </c>
      <c r="AO1292" s="12">
        <v>2</v>
      </c>
      <c r="AP1292" s="12" t="s">
        <v>143</v>
      </c>
      <c r="AQ1292" s="4">
        <v>5</v>
      </c>
      <c r="AR1292" s="4" t="s">
        <v>133</v>
      </c>
      <c r="AS1292" s="4"/>
      <c r="AT1292" s="13">
        <v>-59.714981079101598</v>
      </c>
      <c r="AU1292" s="13">
        <v>-1.7654663324356099</v>
      </c>
      <c r="AV1292" s="13">
        <v>-2.6830968856811501</v>
      </c>
      <c r="AW1292" s="13">
        <v>-0.58799999952316295</v>
      </c>
      <c r="AX1292" s="4">
        <v>1</v>
      </c>
      <c r="AY1292" s="13">
        <v>-51.079494476318402</v>
      </c>
      <c r="AZ1292" s="13">
        <v>-5.3566641807556197</v>
      </c>
      <c r="BA1292" s="13">
        <v>-9.4799995422363299</v>
      </c>
      <c r="BB1292" s="13">
        <v>-2.4227979183196999</v>
      </c>
      <c r="BC1292" s="4">
        <v>1</v>
      </c>
      <c r="BD1292" s="4">
        <v>13</v>
      </c>
      <c r="BE1292" s="4" t="s">
        <v>134</v>
      </c>
      <c r="BF1292" s="13">
        <v>2.0950970649719198</v>
      </c>
      <c r="BG1292" s="4">
        <v>132</v>
      </c>
      <c r="BH1292" s="13">
        <v>0.120999999344349</v>
      </c>
      <c r="BI1292" s="13">
        <v>15.9390001296997</v>
      </c>
      <c r="BJ1292" s="4">
        <v>13</v>
      </c>
      <c r="BK1292" s="14">
        <v>12</v>
      </c>
      <c r="BL1292" s="14">
        <v>12</v>
      </c>
      <c r="BM1292" s="14">
        <v>12</v>
      </c>
      <c r="BN1292" s="3" t="s">
        <v>302</v>
      </c>
      <c r="BP1292" s="15"/>
      <c r="BQ1292" s="15" t="s">
        <v>146</v>
      </c>
      <c r="BR1292" s="2" t="s">
        <v>247</v>
      </c>
      <c r="BS1292" s="2" t="s">
        <v>247</v>
      </c>
      <c r="BT1292" s="7" t="s">
        <v>458</v>
      </c>
      <c r="BU1292" s="7"/>
      <c r="BV1292" s="9" t="s">
        <v>458</v>
      </c>
      <c r="BW1292" s="9"/>
    </row>
    <row r="1293" spans="1:75" ht="14.25" customHeight="1" x14ac:dyDescent="0.25">
      <c r="A1293" s="1">
        <v>787</v>
      </c>
      <c r="B1293" s="1" t="s">
        <v>5245</v>
      </c>
      <c r="C1293" s="1" t="s">
        <v>5246</v>
      </c>
      <c r="D1293" s="1" t="s">
        <v>77</v>
      </c>
      <c r="E1293" s="1" t="s">
        <v>1715</v>
      </c>
      <c r="F1293" s="1" t="s">
        <v>1716</v>
      </c>
      <c r="G1293" s="1"/>
      <c r="H1293" s="2">
        <v>0</v>
      </c>
      <c r="I1293" s="2">
        <v>1</v>
      </c>
      <c r="J1293" s="2">
        <v>1</v>
      </c>
      <c r="K1293" s="2">
        <v>1</v>
      </c>
      <c r="L1293" s="3" t="s">
        <v>80</v>
      </c>
      <c r="O1293" s="4">
        <v>4</v>
      </c>
      <c r="P1293" s="4" t="s">
        <v>5247</v>
      </c>
      <c r="Q1293" s="4" t="s">
        <v>5248</v>
      </c>
      <c r="R1293" s="16">
        <v>200000</v>
      </c>
      <c r="S1293" s="6">
        <v>200000</v>
      </c>
      <c r="T1293" s="5">
        <v>50</v>
      </c>
      <c r="U1293" s="6">
        <v>50</v>
      </c>
      <c r="V1293" s="4"/>
      <c r="W1293" s="4" t="s">
        <v>543</v>
      </c>
      <c r="X1293" s="4" t="s">
        <v>5249</v>
      </c>
      <c r="Y1293" s="7">
        <v>1</v>
      </c>
      <c r="Z1293" s="8">
        <v>9787516</v>
      </c>
      <c r="AA1293" s="7" t="s">
        <v>1264</v>
      </c>
      <c r="AB1293" s="7" t="s">
        <v>5250</v>
      </c>
      <c r="AC1293" s="9">
        <v>1</v>
      </c>
      <c r="AD1293" s="10">
        <v>9787516</v>
      </c>
      <c r="AE1293" s="9" t="s">
        <v>1264</v>
      </c>
      <c r="AF1293" s="9" t="s">
        <v>5250</v>
      </c>
      <c r="AG1293" s="11">
        <v>4</v>
      </c>
      <c r="AH1293" s="11" t="s">
        <v>131</v>
      </c>
      <c r="AI1293" s="11" t="s">
        <v>5251</v>
      </c>
      <c r="AJ1293" s="11">
        <v>4</v>
      </c>
      <c r="AK1293" s="11" t="s">
        <v>143</v>
      </c>
      <c r="AL1293" s="12">
        <v>4</v>
      </c>
      <c r="AM1293" s="12" t="s">
        <v>131</v>
      </c>
      <c r="AN1293" s="12" t="s">
        <v>5252</v>
      </c>
      <c r="AO1293" s="12">
        <v>4</v>
      </c>
      <c r="AP1293" s="12" t="s">
        <v>132</v>
      </c>
      <c r="AQ1293" s="4">
        <v>4</v>
      </c>
      <c r="AR1293" s="4" t="s">
        <v>673</v>
      </c>
      <c r="AS1293" s="4" t="s">
        <v>5253</v>
      </c>
      <c r="AT1293" s="13"/>
      <c r="AU1293" s="13"/>
      <c r="AV1293" s="13"/>
      <c r="AW1293" s="13"/>
      <c r="AX1293" s="4"/>
      <c r="AY1293" s="13"/>
      <c r="AZ1293" s="13"/>
      <c r="BA1293" s="13"/>
      <c r="BB1293" s="13"/>
      <c r="BC1293" s="4"/>
      <c r="BD1293" s="4"/>
      <c r="BE1293" s="4"/>
      <c r="BF1293" s="13"/>
      <c r="BG1293" s="4"/>
      <c r="BH1293" s="13"/>
      <c r="BI1293" s="13"/>
      <c r="BJ1293" s="4"/>
      <c r="BK1293" s="14">
        <v>13</v>
      </c>
      <c r="BL1293" s="14">
        <v>13</v>
      </c>
      <c r="BM1293" s="14">
        <v>13</v>
      </c>
      <c r="BP1293" s="15"/>
      <c r="BQ1293" s="15"/>
      <c r="BR1293" s="2" t="s">
        <v>97</v>
      </c>
      <c r="BS1293" s="2" t="s">
        <v>97</v>
      </c>
      <c r="BT1293" s="7" t="s">
        <v>98</v>
      </c>
      <c r="BU1293" s="7"/>
      <c r="BV1293" s="9" t="s">
        <v>98</v>
      </c>
      <c r="BW1293" s="9"/>
    </row>
    <row r="1294" spans="1:75" ht="14.25" customHeight="1" x14ac:dyDescent="0.25">
      <c r="A1294" s="1">
        <v>789</v>
      </c>
      <c r="B1294" s="1" t="s">
        <v>5254</v>
      </c>
      <c r="C1294" s="1" t="s">
        <v>5255</v>
      </c>
      <c r="D1294" s="1" t="s">
        <v>77</v>
      </c>
      <c r="E1294" s="1" t="s">
        <v>1715</v>
      </c>
      <c r="F1294" s="1" t="s">
        <v>1716</v>
      </c>
      <c r="G1294" s="1"/>
      <c r="H1294" s="2">
        <v>0</v>
      </c>
      <c r="I1294" s="2">
        <v>0</v>
      </c>
      <c r="J1294" s="2">
        <v>1</v>
      </c>
      <c r="K1294" s="2">
        <v>1</v>
      </c>
      <c r="L1294" s="3" t="s">
        <v>80</v>
      </c>
      <c r="O1294" s="4">
        <v>4</v>
      </c>
      <c r="P1294" s="4" t="s">
        <v>2988</v>
      </c>
      <c r="Q1294" s="4" t="s">
        <v>5256</v>
      </c>
      <c r="R1294" s="5"/>
      <c r="S1294" s="6"/>
      <c r="T1294" s="17"/>
      <c r="U1294" s="6"/>
      <c r="V1294" s="4"/>
      <c r="W1294" s="4"/>
      <c r="X1294" s="4"/>
      <c r="Y1294" s="7">
        <v>1</v>
      </c>
      <c r="Z1294" s="8">
        <v>12071721</v>
      </c>
      <c r="AA1294" s="7" t="s">
        <v>1264</v>
      </c>
      <c r="AB1294" s="7" t="s">
        <v>5257</v>
      </c>
      <c r="AC1294" s="9">
        <v>1</v>
      </c>
      <c r="AD1294" s="10">
        <v>12071721</v>
      </c>
      <c r="AE1294" s="9" t="s">
        <v>1264</v>
      </c>
      <c r="AF1294" s="9" t="s">
        <v>5257</v>
      </c>
      <c r="AG1294" s="11">
        <v>3</v>
      </c>
      <c r="AH1294" s="11" t="s">
        <v>93</v>
      </c>
      <c r="AI1294" s="11"/>
      <c r="AJ1294" s="11"/>
      <c r="AK1294" s="11"/>
      <c r="AL1294" s="12">
        <v>3</v>
      </c>
      <c r="AM1294" s="12" t="s">
        <v>93</v>
      </c>
      <c r="AN1294" s="12" t="s">
        <v>5258</v>
      </c>
      <c r="AO1294" s="12"/>
      <c r="AP1294" s="12"/>
      <c r="AQ1294" s="4">
        <v>5</v>
      </c>
      <c r="AR1294" s="4" t="s">
        <v>83</v>
      </c>
      <c r="AS1294" s="4"/>
      <c r="AT1294" s="13"/>
      <c r="AU1294" s="13"/>
      <c r="AV1294" s="13"/>
      <c r="AW1294" s="13"/>
      <c r="AX1294" s="4"/>
      <c r="AY1294" s="13"/>
      <c r="AZ1294" s="13"/>
      <c r="BA1294" s="13"/>
      <c r="BB1294" s="13"/>
      <c r="BC1294" s="4"/>
      <c r="BD1294" s="4"/>
      <c r="BE1294" s="4"/>
      <c r="BF1294" s="13"/>
      <c r="BG1294" s="4"/>
      <c r="BH1294" s="13"/>
      <c r="BI1294" s="13"/>
      <c r="BJ1294" s="4"/>
      <c r="BK1294" s="14">
        <v>13</v>
      </c>
      <c r="BL1294" s="14">
        <v>13</v>
      </c>
      <c r="BM1294" s="14">
        <v>13</v>
      </c>
      <c r="BN1294" s="3" t="s">
        <v>113</v>
      </c>
      <c r="BP1294" s="15"/>
      <c r="BQ1294" s="15"/>
      <c r="BR1294" s="2" t="s">
        <v>97</v>
      </c>
      <c r="BS1294" s="2" t="s">
        <v>97</v>
      </c>
      <c r="BT1294" s="7" t="s">
        <v>98</v>
      </c>
      <c r="BU1294" s="7"/>
      <c r="BV1294" s="9" t="s">
        <v>98</v>
      </c>
      <c r="BW1294" s="9"/>
    </row>
    <row r="1295" spans="1:75" ht="14.25" customHeight="1" x14ac:dyDescent="0.25">
      <c r="A1295" s="1">
        <v>795</v>
      </c>
      <c r="B1295" s="1" t="s">
        <v>5259</v>
      </c>
      <c r="C1295" s="1" t="s">
        <v>5260</v>
      </c>
      <c r="D1295" s="1" t="s">
        <v>77</v>
      </c>
      <c r="E1295" s="1" t="s">
        <v>1715</v>
      </c>
      <c r="F1295" s="1" t="s">
        <v>1716</v>
      </c>
      <c r="G1295" s="1" t="s">
        <v>118</v>
      </c>
      <c r="H1295" s="2">
        <v>0</v>
      </c>
      <c r="I1295" s="2">
        <v>0</v>
      </c>
      <c r="J1295" s="2">
        <v>1</v>
      </c>
      <c r="K1295" s="2">
        <v>1</v>
      </c>
      <c r="L1295" s="3" t="s">
        <v>80</v>
      </c>
      <c r="O1295" s="4">
        <v>5</v>
      </c>
      <c r="P1295" s="4" t="s">
        <v>112</v>
      </c>
      <c r="Q1295" s="4"/>
      <c r="R1295" s="5"/>
      <c r="S1295" s="6"/>
      <c r="T1295" s="17"/>
      <c r="U1295" s="6"/>
      <c r="V1295" s="4"/>
      <c r="W1295" s="4"/>
      <c r="X1295" s="4"/>
      <c r="Y1295" s="7">
        <v>1</v>
      </c>
      <c r="Z1295" s="8">
        <v>8103632</v>
      </c>
      <c r="AA1295" s="7" t="s">
        <v>92</v>
      </c>
      <c r="AB1295" s="7"/>
      <c r="AC1295" s="9">
        <v>1</v>
      </c>
      <c r="AD1295" s="10">
        <v>8103632</v>
      </c>
      <c r="AE1295" s="9" t="s">
        <v>92</v>
      </c>
      <c r="AF1295" s="9"/>
      <c r="AG1295" s="11">
        <v>4</v>
      </c>
      <c r="AH1295" s="11" t="s">
        <v>93</v>
      </c>
      <c r="AI1295" s="11"/>
      <c r="AJ1295" s="11"/>
      <c r="AK1295" s="11"/>
      <c r="AL1295" s="12">
        <v>4</v>
      </c>
      <c r="AM1295" s="12" t="s">
        <v>93</v>
      </c>
      <c r="AN1295" s="12" t="s">
        <v>1738</v>
      </c>
      <c r="AO1295" s="12"/>
      <c r="AP1295" s="12"/>
      <c r="AQ1295" s="4">
        <v>5</v>
      </c>
      <c r="AR1295" s="4" t="s">
        <v>83</v>
      </c>
      <c r="AS1295" s="4" t="s">
        <v>5261</v>
      </c>
      <c r="AT1295" s="13"/>
      <c r="AU1295" s="13"/>
      <c r="AV1295" s="13"/>
      <c r="AW1295" s="13"/>
      <c r="AX1295" s="4"/>
      <c r="AY1295" s="13"/>
      <c r="AZ1295" s="13"/>
      <c r="BA1295" s="13"/>
      <c r="BB1295" s="13"/>
      <c r="BC1295" s="4"/>
      <c r="BD1295" s="4"/>
      <c r="BE1295" s="4"/>
      <c r="BF1295" s="13"/>
      <c r="BG1295" s="4"/>
      <c r="BH1295" s="13"/>
      <c r="BI1295" s="13"/>
      <c r="BJ1295" s="4"/>
      <c r="BK1295" s="14">
        <v>15</v>
      </c>
      <c r="BL1295" s="14">
        <v>15</v>
      </c>
      <c r="BM1295" s="14">
        <v>15</v>
      </c>
      <c r="BN1295" s="3" t="s">
        <v>375</v>
      </c>
      <c r="BP1295" s="15"/>
      <c r="BQ1295" s="15"/>
      <c r="BR1295" s="2" t="s">
        <v>97</v>
      </c>
      <c r="BS1295" s="2" t="s">
        <v>97</v>
      </c>
      <c r="BT1295" s="7" t="s">
        <v>98</v>
      </c>
      <c r="BU1295" s="7"/>
      <c r="BV1295" s="9" t="s">
        <v>98</v>
      </c>
      <c r="BW1295" s="9"/>
    </row>
    <row r="1296" spans="1:75" ht="14.25" customHeight="1" x14ac:dyDescent="0.25">
      <c r="A1296" s="1">
        <v>796</v>
      </c>
      <c r="B1296" s="1" t="s">
        <v>5262</v>
      </c>
      <c r="C1296" s="1" t="s">
        <v>5263</v>
      </c>
      <c r="D1296" s="1" t="s">
        <v>77</v>
      </c>
      <c r="E1296" s="1" t="s">
        <v>1715</v>
      </c>
      <c r="F1296" s="1" t="s">
        <v>1716</v>
      </c>
      <c r="G1296" s="1"/>
      <c r="H1296" s="2">
        <v>0</v>
      </c>
      <c r="I1296" s="2">
        <v>0</v>
      </c>
      <c r="J1296" s="2">
        <v>1</v>
      </c>
      <c r="K1296" s="2">
        <v>1</v>
      </c>
      <c r="L1296" s="3" t="s">
        <v>80</v>
      </c>
      <c r="O1296" s="4">
        <v>4</v>
      </c>
      <c r="P1296" s="4" t="s">
        <v>81</v>
      </c>
      <c r="Q1296" s="4" t="s">
        <v>1012</v>
      </c>
      <c r="R1296" s="5"/>
      <c r="S1296" s="6"/>
      <c r="T1296" s="17"/>
      <c r="U1296" s="6"/>
      <c r="V1296" s="4"/>
      <c r="W1296" s="4"/>
      <c r="X1296" s="4"/>
      <c r="Y1296" s="7">
        <v>1</v>
      </c>
      <c r="Z1296" s="8">
        <v>9467792</v>
      </c>
      <c r="AA1296" s="7" t="s">
        <v>92</v>
      </c>
      <c r="AB1296" s="7"/>
      <c r="AC1296" s="9">
        <v>1</v>
      </c>
      <c r="AD1296" s="10">
        <v>9467792</v>
      </c>
      <c r="AE1296" s="9" t="s">
        <v>92</v>
      </c>
      <c r="AF1296" s="9"/>
      <c r="AG1296" s="11">
        <v>4</v>
      </c>
      <c r="AH1296" s="11" t="s">
        <v>93</v>
      </c>
      <c r="AI1296" s="11"/>
      <c r="AJ1296" s="11"/>
      <c r="AK1296" s="11"/>
      <c r="AL1296" s="12">
        <v>4</v>
      </c>
      <c r="AM1296" s="12" t="s">
        <v>93</v>
      </c>
      <c r="AN1296" s="12" t="s">
        <v>1738</v>
      </c>
      <c r="AO1296" s="12"/>
      <c r="AP1296" s="12"/>
      <c r="AQ1296" s="4">
        <v>5</v>
      </c>
      <c r="AR1296" s="4" t="s">
        <v>83</v>
      </c>
      <c r="AS1296" s="4" t="s">
        <v>5264</v>
      </c>
      <c r="AT1296" s="13"/>
      <c r="AU1296" s="13"/>
      <c r="AV1296" s="13"/>
      <c r="AW1296" s="13"/>
      <c r="AX1296" s="4"/>
      <c r="AY1296" s="13"/>
      <c r="AZ1296" s="13"/>
      <c r="BA1296" s="13"/>
      <c r="BB1296" s="13"/>
      <c r="BC1296" s="4"/>
      <c r="BD1296" s="4"/>
      <c r="BE1296" s="4"/>
      <c r="BF1296" s="13"/>
      <c r="BG1296" s="4"/>
      <c r="BH1296" s="13"/>
      <c r="BI1296" s="13"/>
      <c r="BJ1296" s="4"/>
      <c r="BK1296" s="14">
        <v>14</v>
      </c>
      <c r="BL1296" s="14">
        <v>14</v>
      </c>
      <c r="BM1296" s="14">
        <v>14</v>
      </c>
      <c r="BN1296" s="3" t="s">
        <v>113</v>
      </c>
      <c r="BO1296" s="3" t="s">
        <v>120</v>
      </c>
      <c r="BP1296" s="15"/>
      <c r="BQ1296" s="15"/>
      <c r="BR1296" s="2" t="s">
        <v>97</v>
      </c>
      <c r="BS1296" s="2" t="s">
        <v>97</v>
      </c>
      <c r="BT1296" s="7" t="s">
        <v>98</v>
      </c>
      <c r="BU1296" s="7"/>
      <c r="BV1296" s="9" t="s">
        <v>98</v>
      </c>
      <c r="BW1296" s="9"/>
    </row>
    <row r="1297" spans="1:75" ht="14.25" customHeight="1" x14ac:dyDescent="0.25">
      <c r="A1297" s="1">
        <v>797</v>
      </c>
      <c r="B1297" s="1" t="s">
        <v>5265</v>
      </c>
      <c r="C1297" s="1" t="s">
        <v>5266</v>
      </c>
      <c r="D1297" s="1" t="s">
        <v>77</v>
      </c>
      <c r="E1297" s="1" t="s">
        <v>1715</v>
      </c>
      <c r="F1297" s="1" t="s">
        <v>1716</v>
      </c>
      <c r="G1297" s="1"/>
      <c r="H1297" s="2">
        <v>0</v>
      </c>
      <c r="I1297" s="2">
        <v>0</v>
      </c>
      <c r="J1297" s="2">
        <v>1</v>
      </c>
      <c r="K1297" s="2">
        <v>1</v>
      </c>
      <c r="L1297" s="3" t="s">
        <v>80</v>
      </c>
      <c r="O1297" s="4">
        <v>3</v>
      </c>
      <c r="P1297" s="4" t="s">
        <v>101</v>
      </c>
      <c r="Q1297" s="4" t="s">
        <v>5267</v>
      </c>
      <c r="R1297" s="5"/>
      <c r="S1297" s="6"/>
      <c r="T1297" s="17"/>
      <c r="U1297" s="6"/>
      <c r="V1297" s="4"/>
      <c r="W1297" s="4"/>
      <c r="X1297" s="4"/>
      <c r="Y1297" s="7">
        <v>1</v>
      </c>
      <c r="Z1297" s="8">
        <v>8990579</v>
      </c>
      <c r="AA1297" s="7" t="s">
        <v>92</v>
      </c>
      <c r="AB1297" s="7"/>
      <c r="AC1297" s="9">
        <v>1</v>
      </c>
      <c r="AD1297" s="10">
        <v>8990579</v>
      </c>
      <c r="AE1297" s="9" t="s">
        <v>92</v>
      </c>
      <c r="AF1297" s="9"/>
      <c r="AG1297" s="11">
        <v>3</v>
      </c>
      <c r="AH1297" s="11" t="s">
        <v>93</v>
      </c>
      <c r="AI1297" s="11"/>
      <c r="AJ1297" s="11"/>
      <c r="AK1297" s="11"/>
      <c r="AL1297" s="12">
        <v>3</v>
      </c>
      <c r="AM1297" s="12" t="s">
        <v>93</v>
      </c>
      <c r="AN1297" s="12" t="s">
        <v>5268</v>
      </c>
      <c r="AO1297" s="12"/>
      <c r="AP1297" s="12"/>
      <c r="AQ1297" s="4">
        <v>4</v>
      </c>
      <c r="AR1297" s="4" t="s">
        <v>83</v>
      </c>
      <c r="AS1297" s="4" t="s">
        <v>5269</v>
      </c>
      <c r="AT1297" s="13"/>
      <c r="AU1297" s="13"/>
      <c r="AV1297" s="13"/>
      <c r="AW1297" s="13"/>
      <c r="AX1297" s="4"/>
      <c r="AY1297" s="13"/>
      <c r="AZ1297" s="13"/>
      <c r="BA1297" s="13"/>
      <c r="BB1297" s="13"/>
      <c r="BC1297" s="4"/>
      <c r="BD1297" s="4"/>
      <c r="BE1297" s="4"/>
      <c r="BF1297" s="13"/>
      <c r="BG1297" s="4"/>
      <c r="BH1297" s="13"/>
      <c r="BI1297" s="13"/>
      <c r="BJ1297" s="4"/>
      <c r="BK1297" s="14">
        <v>11</v>
      </c>
      <c r="BL1297" s="14">
        <v>11</v>
      </c>
      <c r="BM1297" s="14">
        <v>11</v>
      </c>
      <c r="BP1297" s="15"/>
      <c r="BQ1297" s="15"/>
      <c r="BR1297" s="2" t="s">
        <v>97</v>
      </c>
      <c r="BS1297" s="2" t="s">
        <v>97</v>
      </c>
      <c r="BT1297" s="7" t="s">
        <v>98</v>
      </c>
      <c r="BU1297" s="7"/>
      <c r="BV1297" s="9" t="s">
        <v>98</v>
      </c>
      <c r="BW1297" s="9"/>
    </row>
    <row r="1298" spans="1:75" ht="14.25" customHeight="1" x14ac:dyDescent="0.25">
      <c r="A1298" s="1">
        <v>798</v>
      </c>
      <c r="B1298" s="1" t="s">
        <v>5270</v>
      </c>
      <c r="C1298" s="1" t="s">
        <v>5271</v>
      </c>
      <c r="D1298" s="1" t="s">
        <v>77</v>
      </c>
      <c r="E1298" s="1" t="s">
        <v>1715</v>
      </c>
      <c r="F1298" s="1" t="s">
        <v>1716</v>
      </c>
      <c r="G1298" s="1"/>
      <c r="H1298" s="2">
        <v>1</v>
      </c>
      <c r="I1298" s="2">
        <v>1</v>
      </c>
      <c r="J1298" s="2">
        <v>1</v>
      </c>
      <c r="K1298" s="2">
        <v>1</v>
      </c>
      <c r="L1298" s="3" t="s">
        <v>127</v>
      </c>
      <c r="O1298" s="4">
        <v>3</v>
      </c>
      <c r="P1298" s="4" t="s">
        <v>4318</v>
      </c>
      <c r="Q1298" s="4" t="s">
        <v>5272</v>
      </c>
      <c r="R1298" s="16">
        <v>820000</v>
      </c>
      <c r="S1298" s="6">
        <v>820000</v>
      </c>
      <c r="T1298" s="16">
        <v>820000</v>
      </c>
      <c r="U1298" s="6">
        <v>820000</v>
      </c>
      <c r="V1298" s="4">
        <v>2010.5</v>
      </c>
      <c r="W1298" s="4" t="s">
        <v>1919</v>
      </c>
      <c r="X1298" s="4"/>
      <c r="Y1298" s="7">
        <v>1</v>
      </c>
      <c r="Z1298" s="8">
        <v>12347239</v>
      </c>
      <c r="AA1298" s="7" t="s">
        <v>1461</v>
      </c>
      <c r="AB1298" s="7"/>
      <c r="AC1298" s="9">
        <v>1</v>
      </c>
      <c r="AD1298" s="10">
        <v>9102362</v>
      </c>
      <c r="AE1298" s="9" t="s">
        <v>1461</v>
      </c>
      <c r="AF1298" s="9"/>
      <c r="AG1298" s="11">
        <v>3</v>
      </c>
      <c r="AH1298" s="11" t="s">
        <v>131</v>
      </c>
      <c r="AI1298" s="11" t="s">
        <v>5273</v>
      </c>
      <c r="AJ1298" s="11">
        <v>3</v>
      </c>
      <c r="AK1298" s="11" t="s">
        <v>143</v>
      </c>
      <c r="AL1298" s="12">
        <v>3</v>
      </c>
      <c r="AM1298" s="12" t="s">
        <v>131</v>
      </c>
      <c r="AN1298" s="12" t="s">
        <v>5274</v>
      </c>
      <c r="AO1298" s="12">
        <v>2</v>
      </c>
      <c r="AP1298" s="12" t="s">
        <v>132</v>
      </c>
      <c r="AQ1298" s="4">
        <v>4</v>
      </c>
      <c r="AR1298" s="4" t="s">
        <v>133</v>
      </c>
      <c r="AS1298" s="4"/>
      <c r="AT1298" s="13">
        <v>-38.060844421386697</v>
      </c>
      <c r="AU1298" s="13">
        <v>-0.93307518959045399</v>
      </c>
      <c r="AV1298" s="13">
        <v>-1.46000003814697</v>
      </c>
      <c r="AW1298" s="13">
        <v>-0.590198993682861</v>
      </c>
      <c r="AX1298" s="4">
        <v>1</v>
      </c>
      <c r="AY1298" s="13">
        <v>-20.448909759521499</v>
      </c>
      <c r="AZ1298" s="13">
        <v>-1.74375748634338</v>
      </c>
      <c r="BA1298" s="13">
        <v>-3.4000000953674299</v>
      </c>
      <c r="BB1298" s="13">
        <v>-0.58460199832916304</v>
      </c>
      <c r="BC1298" s="4">
        <v>1</v>
      </c>
      <c r="BD1298" s="4">
        <v>13</v>
      </c>
      <c r="BE1298" s="4" t="s">
        <v>134</v>
      </c>
      <c r="BF1298" s="13">
        <v>0.869800984859467</v>
      </c>
      <c r="BG1298" s="4">
        <v>2110</v>
      </c>
      <c r="BH1298" s="13">
        <v>0.33399999141693099</v>
      </c>
      <c r="BI1298" s="13">
        <v>704.78601074218795</v>
      </c>
      <c r="BJ1298" s="4"/>
      <c r="BK1298" s="14">
        <v>11</v>
      </c>
      <c r="BL1298" s="14">
        <v>11</v>
      </c>
      <c r="BM1298" s="14">
        <v>11</v>
      </c>
      <c r="BP1298" s="15"/>
      <c r="BQ1298" s="15" t="s">
        <v>146</v>
      </c>
      <c r="BR1298" s="2" t="s">
        <v>172</v>
      </c>
      <c r="BS1298" s="2" t="s">
        <v>172</v>
      </c>
      <c r="BT1298" s="7" t="s">
        <v>585</v>
      </c>
      <c r="BU1298" s="7" t="s">
        <v>147</v>
      </c>
      <c r="BV1298" s="9" t="s">
        <v>458</v>
      </c>
      <c r="BW1298" s="9" t="s">
        <v>148</v>
      </c>
    </row>
    <row r="1299" spans="1:75" ht="14.25" customHeight="1" x14ac:dyDescent="0.25">
      <c r="A1299" s="1">
        <v>803</v>
      </c>
      <c r="B1299" s="1" t="s">
        <v>5275</v>
      </c>
      <c r="C1299" s="1" t="s">
        <v>5276</v>
      </c>
      <c r="D1299" s="1" t="s">
        <v>77</v>
      </c>
      <c r="E1299" s="1" t="s">
        <v>1715</v>
      </c>
      <c r="F1299" s="1" t="s">
        <v>1716</v>
      </c>
      <c r="G1299" s="1"/>
      <c r="H1299" s="2">
        <v>0</v>
      </c>
      <c r="I1299" s="2">
        <v>0</v>
      </c>
      <c r="J1299" s="2">
        <v>0</v>
      </c>
      <c r="K1299" s="2">
        <v>1</v>
      </c>
      <c r="L1299" s="3" t="s">
        <v>80</v>
      </c>
      <c r="O1299" s="4">
        <v>4</v>
      </c>
      <c r="P1299" s="4" t="s">
        <v>81</v>
      </c>
      <c r="Q1299" s="4"/>
      <c r="R1299" s="5"/>
      <c r="S1299" s="6"/>
      <c r="T1299" s="17"/>
      <c r="U1299" s="6"/>
      <c r="V1299" s="4"/>
      <c r="W1299" s="4"/>
      <c r="X1299" s="4"/>
      <c r="Y1299" s="7">
        <v>1</v>
      </c>
      <c r="Z1299" s="8">
        <v>8592097</v>
      </c>
      <c r="AA1299" s="7" t="s">
        <v>82</v>
      </c>
      <c r="AB1299" s="7"/>
      <c r="AC1299" s="9">
        <v>1</v>
      </c>
      <c r="AD1299" s="10">
        <v>8592097</v>
      </c>
      <c r="AE1299" s="9" t="s">
        <v>82</v>
      </c>
      <c r="AF1299" s="9"/>
      <c r="AG1299" s="11">
        <v>3</v>
      </c>
      <c r="AH1299" s="11" t="s">
        <v>83</v>
      </c>
      <c r="AI1299" s="11"/>
      <c r="AJ1299" s="11"/>
      <c r="AK1299" s="11"/>
      <c r="AL1299" s="12">
        <v>3</v>
      </c>
      <c r="AM1299" s="12" t="s">
        <v>83</v>
      </c>
      <c r="AN1299" s="12"/>
      <c r="AO1299" s="12"/>
      <c r="AP1299" s="12"/>
      <c r="AQ1299" s="4">
        <v>4</v>
      </c>
      <c r="AR1299" s="4" t="s">
        <v>83</v>
      </c>
      <c r="AS1299" s="4"/>
      <c r="AT1299" s="13"/>
      <c r="AU1299" s="13"/>
      <c r="AV1299" s="13"/>
      <c r="AW1299" s="13"/>
      <c r="AX1299" s="4"/>
      <c r="AY1299" s="13"/>
      <c r="AZ1299" s="13"/>
      <c r="BA1299" s="13"/>
      <c r="BB1299" s="13"/>
      <c r="BC1299" s="4"/>
      <c r="BD1299" s="4"/>
      <c r="BE1299" s="4"/>
      <c r="BF1299" s="13"/>
      <c r="BG1299" s="4"/>
      <c r="BH1299" s="13"/>
      <c r="BI1299" s="13"/>
      <c r="BJ1299" s="4"/>
      <c r="BK1299" s="14">
        <v>12</v>
      </c>
      <c r="BL1299" s="14">
        <v>12</v>
      </c>
      <c r="BM1299" s="14">
        <v>12</v>
      </c>
      <c r="BP1299" s="15"/>
      <c r="BQ1299" s="15"/>
      <c r="BR1299" s="2" t="s">
        <v>97</v>
      </c>
      <c r="BS1299" s="2" t="s">
        <v>97</v>
      </c>
      <c r="BT1299" s="7" t="s">
        <v>98</v>
      </c>
      <c r="BU1299" s="7"/>
      <c r="BV1299" s="9" t="s">
        <v>98</v>
      </c>
      <c r="BW1299" s="9"/>
    </row>
    <row r="1300" spans="1:75" ht="14.25" customHeight="1" x14ac:dyDescent="0.25">
      <c r="A1300" s="1">
        <v>804</v>
      </c>
      <c r="B1300" s="1" t="s">
        <v>5277</v>
      </c>
      <c r="C1300" s="1" t="s">
        <v>5278</v>
      </c>
      <c r="D1300" s="1" t="s">
        <v>77</v>
      </c>
      <c r="E1300" s="1" t="s">
        <v>1715</v>
      </c>
      <c r="F1300" s="1" t="s">
        <v>1716</v>
      </c>
      <c r="G1300" s="1"/>
      <c r="H1300" s="2">
        <v>1</v>
      </c>
      <c r="I1300" s="2">
        <v>1</v>
      </c>
      <c r="J1300" s="2">
        <v>1</v>
      </c>
      <c r="K1300" s="2">
        <v>1</v>
      </c>
      <c r="L1300" s="3" t="s">
        <v>127</v>
      </c>
      <c r="O1300" s="4">
        <v>3</v>
      </c>
      <c r="P1300" s="4" t="s">
        <v>470</v>
      </c>
      <c r="Q1300" s="4" t="s">
        <v>5279</v>
      </c>
      <c r="R1300" s="16">
        <v>1000000</v>
      </c>
      <c r="S1300" s="6">
        <v>1000000</v>
      </c>
      <c r="T1300" s="16">
        <v>410000</v>
      </c>
      <c r="U1300" s="6">
        <v>410000</v>
      </c>
      <c r="V1300" s="4">
        <v>2010.5</v>
      </c>
      <c r="W1300" s="4" t="s">
        <v>425</v>
      </c>
      <c r="X1300" s="4"/>
      <c r="Y1300" s="7">
        <v>1</v>
      </c>
      <c r="Z1300" s="8">
        <v>16346707</v>
      </c>
      <c r="AA1300" s="7" t="s">
        <v>92</v>
      </c>
      <c r="AB1300" s="7"/>
      <c r="AC1300" s="9">
        <v>1</v>
      </c>
      <c r="AD1300" s="10">
        <v>14435200</v>
      </c>
      <c r="AE1300" s="9" t="s">
        <v>92</v>
      </c>
      <c r="AF1300" s="9"/>
      <c r="AG1300" s="11">
        <v>3</v>
      </c>
      <c r="AH1300" s="11" t="s">
        <v>471</v>
      </c>
      <c r="AI1300" s="11" t="s">
        <v>5280</v>
      </c>
      <c r="AJ1300" s="11">
        <v>3</v>
      </c>
      <c r="AK1300" s="11" t="s">
        <v>143</v>
      </c>
      <c r="AL1300" s="12">
        <v>2</v>
      </c>
      <c r="AM1300" s="12" t="s">
        <v>131</v>
      </c>
      <c r="AN1300" s="12" t="s">
        <v>5281</v>
      </c>
      <c r="AO1300" s="12">
        <v>2</v>
      </c>
      <c r="AP1300" s="12" t="s">
        <v>132</v>
      </c>
      <c r="AQ1300" s="4">
        <v>2</v>
      </c>
      <c r="AR1300" s="4" t="s">
        <v>133</v>
      </c>
      <c r="AS1300" s="4"/>
      <c r="AT1300" s="13">
        <v>35.3473510742188</v>
      </c>
      <c r="AU1300" s="13">
        <v>0.59562242031097401</v>
      </c>
      <c r="AV1300" s="13">
        <v>0.23529499769210799</v>
      </c>
      <c r="AW1300" s="13">
        <v>1.21000003814697</v>
      </c>
      <c r="AX1300" s="4">
        <v>1</v>
      </c>
      <c r="AY1300" s="13">
        <v>-14.477596282959</v>
      </c>
      <c r="AZ1300" s="13">
        <v>-0.97703665494918801</v>
      </c>
      <c r="BA1300" s="13">
        <v>-3.0699999332428001</v>
      </c>
      <c r="BB1300" s="13">
        <v>0.46189999580383301</v>
      </c>
      <c r="BC1300" s="4"/>
      <c r="BD1300" s="4">
        <v>16</v>
      </c>
      <c r="BE1300" s="4" t="s">
        <v>134</v>
      </c>
      <c r="BF1300" s="13">
        <v>0.97470498085021995</v>
      </c>
      <c r="BG1300" s="4">
        <v>1479</v>
      </c>
      <c r="BH1300" s="13">
        <v>2.0649999380111701E-2</v>
      </c>
      <c r="BI1300" s="13">
        <v>30.532899856567401</v>
      </c>
      <c r="BJ1300" s="4"/>
      <c r="BK1300" s="14">
        <v>9</v>
      </c>
      <c r="BL1300" s="14">
        <v>8</v>
      </c>
      <c r="BM1300" s="14">
        <v>9</v>
      </c>
      <c r="BP1300" s="15"/>
      <c r="BQ1300" s="15"/>
      <c r="BR1300" s="2" t="s">
        <v>211</v>
      </c>
      <c r="BS1300" s="2" t="s">
        <v>247</v>
      </c>
      <c r="BT1300" s="7" t="s">
        <v>509</v>
      </c>
      <c r="BU1300" s="7"/>
      <c r="BV1300" s="9" t="s">
        <v>509</v>
      </c>
      <c r="BW1300" s="9"/>
    </row>
    <row r="1301" spans="1:75" ht="14.25" customHeight="1" x14ac:dyDescent="0.25">
      <c r="A1301" s="1">
        <v>805</v>
      </c>
      <c r="B1301" s="1" t="s">
        <v>5282</v>
      </c>
      <c r="C1301" s="1" t="s">
        <v>5283</v>
      </c>
      <c r="D1301" s="1" t="s">
        <v>77</v>
      </c>
      <c r="E1301" s="1" t="s">
        <v>1715</v>
      </c>
      <c r="F1301" s="1" t="s">
        <v>1716</v>
      </c>
      <c r="G1301" s="1" t="s">
        <v>118</v>
      </c>
      <c r="H1301" s="2">
        <v>1</v>
      </c>
      <c r="I1301" s="2">
        <v>1</v>
      </c>
      <c r="J1301" s="2">
        <v>1</v>
      </c>
      <c r="K1301" s="2">
        <v>1</v>
      </c>
      <c r="L1301" s="3" t="s">
        <v>127</v>
      </c>
      <c r="O1301" s="4">
        <v>3</v>
      </c>
      <c r="P1301" s="4" t="s">
        <v>424</v>
      </c>
      <c r="Q1301" s="4" t="s">
        <v>5284</v>
      </c>
      <c r="R1301" s="16">
        <v>1000000</v>
      </c>
      <c r="S1301" s="6">
        <v>1000000</v>
      </c>
      <c r="T1301" s="16">
        <v>840000</v>
      </c>
      <c r="U1301" s="6">
        <v>840000</v>
      </c>
      <c r="V1301" s="4">
        <v>2010.5</v>
      </c>
      <c r="W1301" s="4" t="s">
        <v>425</v>
      </c>
      <c r="X1301" s="4"/>
      <c r="Y1301" s="7">
        <v>1</v>
      </c>
      <c r="Z1301" s="8">
        <v>8365612</v>
      </c>
      <c r="AA1301" s="7" t="s">
        <v>92</v>
      </c>
      <c r="AB1301" s="7"/>
      <c r="AC1301" s="9">
        <v>1</v>
      </c>
      <c r="AD1301" s="10">
        <v>8151344</v>
      </c>
      <c r="AE1301" s="9" t="s">
        <v>92</v>
      </c>
      <c r="AF1301" s="9"/>
      <c r="AG1301" s="11">
        <v>2</v>
      </c>
      <c r="AH1301" s="11" t="s">
        <v>131</v>
      </c>
      <c r="AI1301" s="11" t="s">
        <v>5285</v>
      </c>
      <c r="AJ1301" s="11">
        <v>2</v>
      </c>
      <c r="AK1301" s="11" t="s">
        <v>132</v>
      </c>
      <c r="AL1301" s="12">
        <v>2</v>
      </c>
      <c r="AM1301" s="12" t="s">
        <v>131</v>
      </c>
      <c r="AN1301" s="12" t="s">
        <v>5286</v>
      </c>
      <c r="AO1301" s="12">
        <v>2</v>
      </c>
      <c r="AP1301" s="12" t="s">
        <v>132</v>
      </c>
      <c r="AQ1301" s="4">
        <v>1</v>
      </c>
      <c r="AR1301" s="4" t="s">
        <v>133</v>
      </c>
      <c r="AS1301" s="4"/>
      <c r="AT1301" s="13">
        <v>194.371505737305</v>
      </c>
      <c r="AU1301" s="13">
        <v>2.1376504898071298</v>
      </c>
      <c r="AV1301" s="13">
        <v>1.8400000333786</v>
      </c>
      <c r="AW1301" s="13">
        <v>2.4800000190734899</v>
      </c>
      <c r="AX1301" s="4">
        <v>1</v>
      </c>
      <c r="AY1301" s="13">
        <v>16.215133666992202</v>
      </c>
      <c r="AZ1301" s="13">
        <v>0.88737809658050504</v>
      </c>
      <c r="BA1301" s="13">
        <v>9.1099999845027896E-2</v>
      </c>
      <c r="BB1301" s="13">
        <v>1.4032009840011599</v>
      </c>
      <c r="BC1301" s="4">
        <v>1</v>
      </c>
      <c r="BD1301" s="4">
        <v>17</v>
      </c>
      <c r="BE1301" s="4" t="s">
        <v>134</v>
      </c>
      <c r="BF1301" s="13">
        <v>0.63999998569488503</v>
      </c>
      <c r="BG1301" s="4">
        <v>2336</v>
      </c>
      <c r="BH1301" s="13">
        <v>3.7950001657009097E-2</v>
      </c>
      <c r="BI1301" s="13">
        <v>88.667098999023395</v>
      </c>
      <c r="BJ1301" s="4"/>
      <c r="BK1301" s="14">
        <v>7</v>
      </c>
      <c r="BL1301" s="14">
        <v>7</v>
      </c>
      <c r="BM1301" s="14">
        <v>7</v>
      </c>
      <c r="BP1301" s="15" t="s">
        <v>135</v>
      </c>
      <c r="BQ1301" s="15"/>
      <c r="BR1301" s="2" t="s">
        <v>172</v>
      </c>
      <c r="BS1301" s="2" t="s">
        <v>247</v>
      </c>
      <c r="BT1301" s="7" t="s">
        <v>509</v>
      </c>
      <c r="BU1301" s="7"/>
      <c r="BV1301" s="9" t="s">
        <v>458</v>
      </c>
      <c r="BW1301" s="9"/>
    </row>
    <row r="1302" spans="1:75" ht="14.25" customHeight="1" x14ac:dyDescent="0.25">
      <c r="A1302" s="1">
        <v>807</v>
      </c>
      <c r="B1302" s="1" t="s">
        <v>5287</v>
      </c>
      <c r="C1302" s="1" t="s">
        <v>5288</v>
      </c>
      <c r="D1302" s="1" t="s">
        <v>77</v>
      </c>
      <c r="E1302" s="1" t="s">
        <v>1715</v>
      </c>
      <c r="F1302" s="1" t="s">
        <v>1716</v>
      </c>
      <c r="G1302" s="1"/>
      <c r="H1302" s="2">
        <v>0</v>
      </c>
      <c r="I1302" s="2">
        <v>0</v>
      </c>
      <c r="J1302" s="2">
        <v>1</v>
      </c>
      <c r="K1302" s="2">
        <v>1</v>
      </c>
      <c r="L1302" s="3" t="s">
        <v>80</v>
      </c>
      <c r="O1302" s="4">
        <v>3</v>
      </c>
      <c r="P1302" s="4" t="s">
        <v>81</v>
      </c>
      <c r="Q1302" s="4" t="s">
        <v>5289</v>
      </c>
      <c r="R1302" s="5"/>
      <c r="S1302" s="6"/>
      <c r="T1302" s="17"/>
      <c r="U1302" s="6"/>
      <c r="V1302" s="4"/>
      <c r="W1302" s="4"/>
      <c r="X1302" s="4"/>
      <c r="Y1302" s="7">
        <v>1</v>
      </c>
      <c r="Z1302" s="8">
        <v>14390047</v>
      </c>
      <c r="AA1302" s="7" t="s">
        <v>92</v>
      </c>
      <c r="AB1302" s="7"/>
      <c r="AC1302" s="9">
        <v>1</v>
      </c>
      <c r="AD1302" s="10">
        <v>14390047</v>
      </c>
      <c r="AE1302" s="9" t="s">
        <v>92</v>
      </c>
      <c r="AF1302" s="9"/>
      <c r="AG1302" s="11">
        <v>4</v>
      </c>
      <c r="AH1302" s="11" t="s">
        <v>93</v>
      </c>
      <c r="AI1302" s="11"/>
      <c r="AJ1302" s="11"/>
      <c r="AK1302" s="11"/>
      <c r="AL1302" s="12">
        <v>4</v>
      </c>
      <c r="AM1302" s="12" t="s">
        <v>93</v>
      </c>
      <c r="AN1302" s="12" t="s">
        <v>5290</v>
      </c>
      <c r="AO1302" s="12"/>
      <c r="AP1302" s="12"/>
      <c r="AQ1302" s="4">
        <v>5</v>
      </c>
      <c r="AR1302" s="4" t="s">
        <v>83</v>
      </c>
      <c r="AS1302" s="4" t="s">
        <v>5291</v>
      </c>
      <c r="AT1302" s="13"/>
      <c r="AU1302" s="13"/>
      <c r="AV1302" s="13"/>
      <c r="AW1302" s="13"/>
      <c r="AX1302" s="4"/>
      <c r="AY1302" s="13"/>
      <c r="AZ1302" s="13"/>
      <c r="BA1302" s="13"/>
      <c r="BB1302" s="13"/>
      <c r="BC1302" s="4"/>
      <c r="BD1302" s="4"/>
      <c r="BE1302" s="4"/>
      <c r="BF1302" s="13"/>
      <c r="BG1302" s="4"/>
      <c r="BH1302" s="13"/>
      <c r="BI1302" s="13"/>
      <c r="BJ1302" s="4"/>
      <c r="BK1302" s="14">
        <v>13</v>
      </c>
      <c r="BL1302" s="14">
        <v>13</v>
      </c>
      <c r="BM1302" s="14">
        <v>13</v>
      </c>
      <c r="BN1302" s="3" t="s">
        <v>113</v>
      </c>
      <c r="BP1302" s="15"/>
      <c r="BQ1302" s="15"/>
      <c r="BR1302" s="2" t="s">
        <v>97</v>
      </c>
      <c r="BS1302" s="2" t="s">
        <v>97</v>
      </c>
      <c r="BT1302" s="7" t="s">
        <v>98</v>
      </c>
      <c r="BU1302" s="7"/>
      <c r="BV1302" s="9" t="s">
        <v>98</v>
      </c>
      <c r="BW1302" s="9"/>
    </row>
    <row r="1303" spans="1:75" ht="14.25" customHeight="1" x14ac:dyDescent="0.25">
      <c r="A1303" s="1">
        <v>808</v>
      </c>
      <c r="B1303" s="1" t="s">
        <v>5292</v>
      </c>
      <c r="C1303" s="1" t="s">
        <v>5293</v>
      </c>
      <c r="D1303" s="1" t="s">
        <v>77</v>
      </c>
      <c r="E1303" s="1" t="s">
        <v>1715</v>
      </c>
      <c r="F1303" s="1" t="s">
        <v>1716</v>
      </c>
      <c r="G1303" s="1"/>
      <c r="H1303" s="2">
        <v>1</v>
      </c>
      <c r="I1303" s="2">
        <v>1</v>
      </c>
      <c r="J1303" s="2">
        <v>1</v>
      </c>
      <c r="K1303" s="2">
        <v>0</v>
      </c>
      <c r="L1303" s="3" t="s">
        <v>127</v>
      </c>
      <c r="O1303" s="4">
        <v>4</v>
      </c>
      <c r="P1303" s="4" t="s">
        <v>5294</v>
      </c>
      <c r="Q1303" s="4"/>
      <c r="R1303" s="16">
        <v>420000</v>
      </c>
      <c r="S1303" s="6">
        <v>420000</v>
      </c>
      <c r="T1303" s="16">
        <v>210000</v>
      </c>
      <c r="U1303" s="6">
        <v>210000</v>
      </c>
      <c r="V1303" s="4">
        <v>2010.5</v>
      </c>
      <c r="W1303" s="4" t="s">
        <v>1906</v>
      </c>
      <c r="X1303" s="4"/>
      <c r="Y1303" s="7">
        <v>1</v>
      </c>
      <c r="Z1303" s="8">
        <v>20028624</v>
      </c>
      <c r="AA1303" s="7" t="s">
        <v>92</v>
      </c>
      <c r="AB1303" s="7"/>
      <c r="AC1303" s="9">
        <v>1</v>
      </c>
      <c r="AD1303" s="10">
        <v>26368146</v>
      </c>
      <c r="AE1303" s="9" t="s">
        <v>92</v>
      </c>
      <c r="AF1303" s="9"/>
      <c r="AG1303" s="11">
        <v>3</v>
      </c>
      <c r="AH1303" s="11" t="s">
        <v>131</v>
      </c>
      <c r="AI1303" s="11"/>
      <c r="AJ1303" s="11">
        <v>3</v>
      </c>
      <c r="AK1303" s="11" t="s">
        <v>332</v>
      </c>
      <c r="AL1303" s="12">
        <v>3</v>
      </c>
      <c r="AM1303" s="12" t="s">
        <v>131</v>
      </c>
      <c r="AN1303" s="12"/>
      <c r="AO1303" s="12">
        <v>2</v>
      </c>
      <c r="AP1303" s="12" t="s">
        <v>143</v>
      </c>
      <c r="AQ1303" s="4">
        <v>2</v>
      </c>
      <c r="AR1303" s="4" t="s">
        <v>133</v>
      </c>
      <c r="AS1303" s="4"/>
      <c r="AT1303" s="13">
        <v>1.79209136962891</v>
      </c>
      <c r="AU1303" s="13">
        <v>3.4798298031091697E-2</v>
      </c>
      <c r="AV1303" s="13">
        <v>-0.53500002622604403</v>
      </c>
      <c r="AW1303" s="13">
        <v>0.70899999141693104</v>
      </c>
      <c r="AX1303" s="4"/>
      <c r="AY1303" s="13">
        <v>-1.94409203529358</v>
      </c>
      <c r="AZ1303" s="13">
        <v>-8.9099384844303103E-2</v>
      </c>
      <c r="BA1303" s="13">
        <v>-1.70000004768372</v>
      </c>
      <c r="BB1303" s="13">
        <v>0.84700000286102295</v>
      </c>
      <c r="BC1303" s="4"/>
      <c r="BD1303" s="4">
        <v>22</v>
      </c>
      <c r="BE1303" s="4" t="s">
        <v>134</v>
      </c>
      <c r="BF1303" s="13">
        <v>1.2439999580383301</v>
      </c>
      <c r="BG1303" s="4">
        <v>501.5</v>
      </c>
      <c r="BH1303" s="13">
        <v>1.3349999673664599E-2</v>
      </c>
      <c r="BI1303" s="13">
        <v>6.6397500038146999</v>
      </c>
      <c r="BJ1303" s="4"/>
      <c r="BK1303" s="14">
        <v>10</v>
      </c>
      <c r="BL1303" s="14">
        <v>10</v>
      </c>
      <c r="BM1303" s="14">
        <v>10</v>
      </c>
      <c r="BP1303" s="15"/>
      <c r="BQ1303" s="15"/>
      <c r="BR1303" s="2" t="s">
        <v>211</v>
      </c>
      <c r="BS1303" s="2" t="s">
        <v>172</v>
      </c>
      <c r="BT1303" s="7" t="s">
        <v>527</v>
      </c>
      <c r="BU1303" s="7" t="s">
        <v>428</v>
      </c>
      <c r="BV1303" s="9" t="s">
        <v>509</v>
      </c>
      <c r="BW1303" s="9"/>
    </row>
    <row r="1304" spans="1:75" ht="14.25" customHeight="1" x14ac:dyDescent="0.25">
      <c r="A1304" s="1">
        <v>810</v>
      </c>
      <c r="B1304" s="1" t="s">
        <v>5295</v>
      </c>
      <c r="C1304" s="1" t="s">
        <v>5296</v>
      </c>
      <c r="D1304" s="1" t="s">
        <v>77</v>
      </c>
      <c r="E1304" s="1" t="s">
        <v>1715</v>
      </c>
      <c r="F1304" s="1" t="s">
        <v>1716</v>
      </c>
      <c r="G1304" s="1"/>
      <c r="H1304" s="2">
        <v>1</v>
      </c>
      <c r="I1304" s="2">
        <v>1</v>
      </c>
      <c r="J1304" s="2">
        <v>1</v>
      </c>
      <c r="K1304" s="2">
        <v>0</v>
      </c>
      <c r="L1304" s="3" t="s">
        <v>127</v>
      </c>
      <c r="O1304" s="4">
        <v>4</v>
      </c>
      <c r="P1304" s="4" t="s">
        <v>5297</v>
      </c>
      <c r="Q1304" s="4" t="s">
        <v>5298</v>
      </c>
      <c r="R1304" s="16">
        <v>200000</v>
      </c>
      <c r="S1304" s="6">
        <v>200000</v>
      </c>
      <c r="T1304" s="16">
        <v>200000</v>
      </c>
      <c r="U1304" s="6">
        <v>200000</v>
      </c>
      <c r="V1304" s="4"/>
      <c r="W1304" s="4" t="s">
        <v>5297</v>
      </c>
      <c r="X1304" s="4" t="s">
        <v>5299</v>
      </c>
      <c r="Y1304" s="7">
        <v>1</v>
      </c>
      <c r="Z1304" s="8">
        <v>8635225</v>
      </c>
      <c r="AA1304" s="7" t="s">
        <v>92</v>
      </c>
      <c r="AB1304" s="7"/>
      <c r="AC1304" s="9">
        <v>1</v>
      </c>
      <c r="AD1304" s="10">
        <v>6488748</v>
      </c>
      <c r="AE1304" s="9" t="s">
        <v>92</v>
      </c>
      <c r="AF1304" s="9"/>
      <c r="AG1304" s="11">
        <v>2</v>
      </c>
      <c r="AH1304" s="11" t="s">
        <v>518</v>
      </c>
      <c r="AI1304" s="11" t="s">
        <v>5300</v>
      </c>
      <c r="AJ1304" s="11">
        <v>2</v>
      </c>
      <c r="AK1304" s="11" t="s">
        <v>132</v>
      </c>
      <c r="AL1304" s="12">
        <v>3</v>
      </c>
      <c r="AM1304" s="12" t="s">
        <v>131</v>
      </c>
      <c r="AN1304" s="12" t="s">
        <v>5301</v>
      </c>
      <c r="AO1304" s="12">
        <v>2</v>
      </c>
      <c r="AP1304" s="12" t="s">
        <v>332</v>
      </c>
      <c r="AQ1304" s="4">
        <v>1</v>
      </c>
      <c r="AR1304" s="4" t="s">
        <v>133</v>
      </c>
      <c r="AS1304" s="4"/>
      <c r="AT1304" s="13">
        <v>784.80194091796898</v>
      </c>
      <c r="AU1304" s="13">
        <v>4.3694972991943404</v>
      </c>
      <c r="AV1304" s="13">
        <v>2.6099998950958301</v>
      </c>
      <c r="AW1304" s="13">
        <v>5.3208951950073198</v>
      </c>
      <c r="AX1304" s="4">
        <v>1</v>
      </c>
      <c r="AY1304" s="13">
        <v>261.63534545898398</v>
      </c>
      <c r="AZ1304" s="13">
        <v>3.0350008010864298</v>
      </c>
      <c r="BA1304" s="13">
        <v>1.85749495029449</v>
      </c>
      <c r="BB1304" s="13">
        <v>4.4000000953674299</v>
      </c>
      <c r="BC1304" s="4">
        <v>1</v>
      </c>
      <c r="BD1304" s="4">
        <v>43</v>
      </c>
      <c r="BE1304" s="4" t="s">
        <v>134</v>
      </c>
      <c r="BF1304" s="13">
        <v>2.7108950614929199</v>
      </c>
      <c r="BG1304" s="4">
        <v>1375.5</v>
      </c>
      <c r="BH1304" s="13">
        <v>0.13799999654293099</v>
      </c>
      <c r="BI1304" s="13">
        <v>188.455001831055</v>
      </c>
      <c r="BJ1304" s="4"/>
      <c r="BK1304" s="14">
        <v>8</v>
      </c>
      <c r="BL1304" s="14">
        <v>9</v>
      </c>
      <c r="BM1304" s="14">
        <v>9</v>
      </c>
      <c r="BP1304" s="15"/>
      <c r="BQ1304" s="15"/>
      <c r="BR1304" s="2" t="s">
        <v>172</v>
      </c>
      <c r="BS1304" s="2" t="s">
        <v>172</v>
      </c>
      <c r="BT1304" s="7" t="s">
        <v>137</v>
      </c>
      <c r="BU1304" s="7" t="s">
        <v>357</v>
      </c>
      <c r="BV1304" s="9" t="s">
        <v>137</v>
      </c>
      <c r="BW1304" s="9" t="s">
        <v>148</v>
      </c>
    </row>
    <row r="1305" spans="1:75" ht="14.25" customHeight="1" x14ac:dyDescent="0.25">
      <c r="A1305" s="1">
        <v>829</v>
      </c>
      <c r="B1305" s="1" t="s">
        <v>5302</v>
      </c>
      <c r="C1305" s="1" t="s">
        <v>5303</v>
      </c>
      <c r="D1305" s="1" t="s">
        <v>77</v>
      </c>
      <c r="E1305" s="1" t="s">
        <v>1715</v>
      </c>
      <c r="F1305" s="1" t="s">
        <v>1716</v>
      </c>
      <c r="G1305" s="1"/>
      <c r="H1305" s="2">
        <v>0</v>
      </c>
      <c r="I1305" s="2">
        <v>0</v>
      </c>
      <c r="J1305" s="2">
        <v>1</v>
      </c>
      <c r="K1305" s="2">
        <v>1</v>
      </c>
      <c r="L1305" s="3" t="s">
        <v>80</v>
      </c>
      <c r="O1305" s="4">
        <v>4</v>
      </c>
      <c r="P1305" s="4" t="s">
        <v>81</v>
      </c>
      <c r="Q1305" s="4" t="s">
        <v>1012</v>
      </c>
      <c r="R1305" s="5"/>
      <c r="S1305" s="6"/>
      <c r="T1305" s="17"/>
      <c r="U1305" s="6"/>
      <c r="V1305" s="4"/>
      <c r="W1305" s="4"/>
      <c r="X1305" s="4"/>
      <c r="Y1305" s="7">
        <v>1</v>
      </c>
      <c r="Z1305" s="8">
        <v>7644604</v>
      </c>
      <c r="AA1305" s="7" t="s">
        <v>92</v>
      </c>
      <c r="AB1305" s="7"/>
      <c r="AC1305" s="9">
        <v>1</v>
      </c>
      <c r="AD1305" s="10">
        <v>7644604</v>
      </c>
      <c r="AE1305" s="9" t="s">
        <v>92</v>
      </c>
      <c r="AF1305" s="9"/>
      <c r="AG1305" s="11">
        <v>4</v>
      </c>
      <c r="AH1305" s="11" t="s">
        <v>93</v>
      </c>
      <c r="AI1305" s="11"/>
      <c r="AJ1305" s="11"/>
      <c r="AK1305" s="11"/>
      <c r="AL1305" s="12">
        <v>4</v>
      </c>
      <c r="AM1305" s="12" t="s">
        <v>93</v>
      </c>
      <c r="AN1305" s="12" t="s">
        <v>5290</v>
      </c>
      <c r="AO1305" s="12"/>
      <c r="AP1305" s="12"/>
      <c r="AQ1305" s="4">
        <v>5</v>
      </c>
      <c r="AR1305" s="4" t="s">
        <v>83</v>
      </c>
      <c r="AS1305" s="4" t="s">
        <v>5304</v>
      </c>
      <c r="AT1305" s="13"/>
      <c r="AU1305" s="13"/>
      <c r="AV1305" s="13"/>
      <c r="AW1305" s="13"/>
      <c r="AX1305" s="4"/>
      <c r="AY1305" s="13"/>
      <c r="AZ1305" s="13"/>
      <c r="BA1305" s="13"/>
      <c r="BB1305" s="13"/>
      <c r="BC1305" s="4"/>
      <c r="BD1305" s="4"/>
      <c r="BE1305" s="4"/>
      <c r="BF1305" s="13"/>
      <c r="BG1305" s="4"/>
      <c r="BH1305" s="13"/>
      <c r="BI1305" s="13"/>
      <c r="BJ1305" s="4"/>
      <c r="BK1305" s="14">
        <v>14</v>
      </c>
      <c r="BL1305" s="14">
        <v>14</v>
      </c>
      <c r="BM1305" s="14">
        <v>14</v>
      </c>
      <c r="BN1305" s="3" t="s">
        <v>113</v>
      </c>
      <c r="BP1305" s="15"/>
      <c r="BQ1305" s="15"/>
      <c r="BR1305" s="2" t="s">
        <v>97</v>
      </c>
      <c r="BS1305" s="2" t="s">
        <v>97</v>
      </c>
      <c r="BT1305" s="7" t="s">
        <v>98</v>
      </c>
      <c r="BU1305" s="7"/>
      <c r="BV1305" s="9" t="s">
        <v>98</v>
      </c>
      <c r="BW1305" s="9"/>
    </row>
    <row r="1306" spans="1:75" ht="14.25" customHeight="1" x14ac:dyDescent="0.25">
      <c r="A1306" s="1">
        <v>830</v>
      </c>
      <c r="B1306" s="1" t="s">
        <v>5305</v>
      </c>
      <c r="C1306" s="1" t="s">
        <v>5306</v>
      </c>
      <c r="D1306" s="1" t="s">
        <v>77</v>
      </c>
      <c r="E1306" s="1" t="s">
        <v>1715</v>
      </c>
      <c r="F1306" s="1" t="s">
        <v>1716</v>
      </c>
      <c r="G1306" s="1" t="s">
        <v>118</v>
      </c>
      <c r="H1306" s="2">
        <v>0</v>
      </c>
      <c r="I1306" s="2">
        <v>0</v>
      </c>
      <c r="J1306" s="2">
        <v>0</v>
      </c>
      <c r="K1306" s="2">
        <v>1</v>
      </c>
      <c r="L1306" s="3" t="s">
        <v>80</v>
      </c>
      <c r="O1306" s="4">
        <v>5</v>
      </c>
      <c r="P1306" s="4" t="s">
        <v>81</v>
      </c>
      <c r="Q1306" s="4"/>
      <c r="R1306" s="5"/>
      <c r="S1306" s="6"/>
      <c r="T1306" s="17"/>
      <c r="U1306" s="6"/>
      <c r="V1306" s="4"/>
      <c r="W1306" s="4"/>
      <c r="X1306" s="4"/>
      <c r="Y1306" s="7">
        <v>4</v>
      </c>
      <c r="Z1306" s="8">
        <v>237197</v>
      </c>
      <c r="AA1306" s="7" t="s">
        <v>82</v>
      </c>
      <c r="AB1306" s="7"/>
      <c r="AC1306" s="9">
        <v>4</v>
      </c>
      <c r="AD1306" s="10">
        <v>237197</v>
      </c>
      <c r="AE1306" s="9" t="s">
        <v>82</v>
      </c>
      <c r="AF1306" s="9"/>
      <c r="AG1306" s="11">
        <v>4</v>
      </c>
      <c r="AH1306" s="11" t="s">
        <v>83</v>
      </c>
      <c r="AI1306" s="11"/>
      <c r="AJ1306" s="11"/>
      <c r="AK1306" s="11"/>
      <c r="AL1306" s="12">
        <v>4</v>
      </c>
      <c r="AM1306" s="12" t="s">
        <v>83</v>
      </c>
      <c r="AN1306" s="12"/>
      <c r="AO1306" s="12"/>
      <c r="AP1306" s="12"/>
      <c r="AQ1306" s="4">
        <v>4</v>
      </c>
      <c r="AR1306" s="4" t="s">
        <v>83</v>
      </c>
      <c r="AS1306" s="4"/>
      <c r="AT1306" s="13"/>
      <c r="AU1306" s="13"/>
      <c r="AV1306" s="13"/>
      <c r="AW1306" s="13"/>
      <c r="AX1306" s="4"/>
      <c r="AY1306" s="13"/>
      <c r="AZ1306" s="13"/>
      <c r="BA1306" s="13"/>
      <c r="BB1306" s="13"/>
      <c r="BC1306" s="4"/>
      <c r="BD1306" s="4"/>
      <c r="BE1306" s="4"/>
      <c r="BF1306" s="13"/>
      <c r="BG1306" s="4"/>
      <c r="BH1306" s="13"/>
      <c r="BI1306" s="13"/>
      <c r="BJ1306" s="4"/>
      <c r="BK1306" s="14">
        <v>17</v>
      </c>
      <c r="BL1306" s="14">
        <v>17</v>
      </c>
      <c r="BM1306" s="14">
        <v>17</v>
      </c>
      <c r="BN1306" s="3" t="s">
        <v>312</v>
      </c>
      <c r="BP1306" s="15"/>
      <c r="BQ1306" s="15"/>
      <c r="BR1306" s="2" t="s">
        <v>121</v>
      </c>
      <c r="BS1306" s="2" t="s">
        <v>121</v>
      </c>
      <c r="BT1306" s="7" t="s">
        <v>98</v>
      </c>
      <c r="BU1306" s="7"/>
      <c r="BV1306" s="9" t="s">
        <v>98</v>
      </c>
      <c r="BW1306" s="9"/>
    </row>
    <row r="1307" spans="1:75" ht="14.25" customHeight="1" x14ac:dyDescent="0.25">
      <c r="A1307" s="1">
        <v>831</v>
      </c>
      <c r="B1307" s="1" t="s">
        <v>5307</v>
      </c>
      <c r="C1307" s="1" t="s">
        <v>5308</v>
      </c>
      <c r="D1307" s="1" t="s">
        <v>77</v>
      </c>
      <c r="E1307" s="1" t="s">
        <v>1715</v>
      </c>
      <c r="F1307" s="1" t="s">
        <v>1716</v>
      </c>
      <c r="G1307" s="1"/>
      <c r="H1307" s="2">
        <v>0</v>
      </c>
      <c r="I1307" s="2">
        <v>1</v>
      </c>
      <c r="J1307" s="2">
        <v>1</v>
      </c>
      <c r="K1307" s="2">
        <v>1</v>
      </c>
      <c r="L1307" s="3" t="s">
        <v>127</v>
      </c>
      <c r="O1307" s="4">
        <v>3</v>
      </c>
      <c r="P1307" s="4" t="s">
        <v>1813</v>
      </c>
      <c r="Q1307" s="4" t="s">
        <v>5309</v>
      </c>
      <c r="R1307" s="16">
        <v>2000000</v>
      </c>
      <c r="S1307" s="6">
        <v>2000000</v>
      </c>
      <c r="T1307" s="17" t="s">
        <v>1780</v>
      </c>
      <c r="U1307" s="6">
        <v>2000</v>
      </c>
      <c r="V1307" s="4"/>
      <c r="W1307" s="4" t="s">
        <v>543</v>
      </c>
      <c r="X1307" s="4" t="s">
        <v>5310</v>
      </c>
      <c r="Y1307" s="7">
        <v>1</v>
      </c>
      <c r="Z1307" s="8">
        <v>11298528</v>
      </c>
      <c r="AA1307" s="7" t="s">
        <v>92</v>
      </c>
      <c r="AB1307" s="7"/>
      <c r="AC1307" s="9">
        <v>1</v>
      </c>
      <c r="AD1307" s="10">
        <v>11171002</v>
      </c>
      <c r="AE1307" s="9" t="s">
        <v>92</v>
      </c>
      <c r="AF1307" s="9"/>
      <c r="AG1307" s="11">
        <v>2</v>
      </c>
      <c r="AH1307" s="11" t="s">
        <v>471</v>
      </c>
      <c r="AI1307" s="11" t="s">
        <v>5311</v>
      </c>
      <c r="AJ1307" s="11">
        <v>1</v>
      </c>
      <c r="AK1307" s="11" t="s">
        <v>132</v>
      </c>
      <c r="AL1307" s="12">
        <v>3</v>
      </c>
      <c r="AM1307" s="12" t="s">
        <v>131</v>
      </c>
      <c r="AN1307" s="12" t="s">
        <v>5312</v>
      </c>
      <c r="AO1307" s="12">
        <v>3</v>
      </c>
      <c r="AP1307" s="12" t="s">
        <v>132</v>
      </c>
      <c r="AQ1307" s="4">
        <v>2</v>
      </c>
      <c r="AR1307" s="4" t="s">
        <v>673</v>
      </c>
      <c r="AS1307" s="4" t="s">
        <v>5313</v>
      </c>
      <c r="AT1307" s="13"/>
      <c r="AU1307" s="13"/>
      <c r="AV1307" s="13"/>
      <c r="AW1307" s="13"/>
      <c r="AX1307" s="4"/>
      <c r="AY1307" s="13"/>
      <c r="AZ1307" s="13"/>
      <c r="BA1307" s="13"/>
      <c r="BB1307" s="13"/>
      <c r="BC1307" s="4"/>
      <c r="BD1307" s="4"/>
      <c r="BE1307" s="4"/>
      <c r="BF1307" s="13"/>
      <c r="BG1307" s="4"/>
      <c r="BH1307" s="13"/>
      <c r="BI1307" s="13"/>
      <c r="BJ1307" s="4"/>
      <c r="BK1307" s="14">
        <v>8</v>
      </c>
      <c r="BL1307" s="14">
        <v>9</v>
      </c>
      <c r="BM1307" s="14">
        <v>9</v>
      </c>
      <c r="BP1307" s="15"/>
      <c r="BQ1307" s="15"/>
      <c r="BR1307" s="2" t="s">
        <v>400</v>
      </c>
      <c r="BS1307" s="2" t="s">
        <v>400</v>
      </c>
      <c r="BT1307" s="7" t="s">
        <v>109</v>
      </c>
      <c r="BU1307" s="7" t="s">
        <v>487</v>
      </c>
      <c r="BV1307" s="9" t="s">
        <v>109</v>
      </c>
      <c r="BW1307" s="9" t="s">
        <v>458</v>
      </c>
    </row>
    <row r="1308" spans="1:75" ht="14.25" customHeight="1" x14ac:dyDescent="0.25">
      <c r="A1308" s="1">
        <v>832</v>
      </c>
      <c r="B1308" s="1" t="s">
        <v>5314</v>
      </c>
      <c r="C1308" s="1" t="s">
        <v>5315</v>
      </c>
      <c r="D1308" s="1" t="s">
        <v>77</v>
      </c>
      <c r="E1308" s="1" t="s">
        <v>1715</v>
      </c>
      <c r="F1308" s="1" t="s">
        <v>1716</v>
      </c>
      <c r="G1308" s="1" t="s">
        <v>5316</v>
      </c>
      <c r="H1308" s="2">
        <v>0</v>
      </c>
      <c r="I1308" s="2">
        <v>0</v>
      </c>
      <c r="J1308" s="2">
        <v>0</v>
      </c>
      <c r="K1308" s="2">
        <v>1</v>
      </c>
      <c r="L1308" s="3" t="s">
        <v>80</v>
      </c>
      <c r="O1308" s="4">
        <v>3</v>
      </c>
      <c r="P1308" s="4" t="s">
        <v>81</v>
      </c>
      <c r="Q1308" s="4" t="s">
        <v>5317</v>
      </c>
      <c r="R1308" s="5"/>
      <c r="S1308" s="6"/>
      <c r="T1308" s="17"/>
      <c r="U1308" s="6"/>
      <c r="V1308" s="4"/>
      <c r="W1308" s="4"/>
      <c r="X1308" s="4"/>
      <c r="Y1308" s="7">
        <v>1</v>
      </c>
      <c r="Z1308" s="8">
        <v>10412891</v>
      </c>
      <c r="AA1308" s="7" t="s">
        <v>283</v>
      </c>
      <c r="AB1308" s="7"/>
      <c r="AC1308" s="9">
        <v>1</v>
      </c>
      <c r="AD1308" s="10">
        <v>10412891</v>
      </c>
      <c r="AE1308" s="9" t="s">
        <v>283</v>
      </c>
      <c r="AF1308" s="9"/>
      <c r="AG1308" s="11">
        <v>3</v>
      </c>
      <c r="AH1308" s="11" t="s">
        <v>83</v>
      </c>
      <c r="AI1308" s="11" t="s">
        <v>5318</v>
      </c>
      <c r="AJ1308" s="11"/>
      <c r="AK1308" s="11"/>
      <c r="AL1308" s="12">
        <v>3</v>
      </c>
      <c r="AM1308" s="12" t="s">
        <v>83</v>
      </c>
      <c r="AN1308" s="12"/>
      <c r="AO1308" s="12"/>
      <c r="AP1308" s="12"/>
      <c r="AQ1308" s="4">
        <v>2</v>
      </c>
      <c r="AR1308" s="4" t="s">
        <v>83</v>
      </c>
      <c r="AS1308" s="4"/>
      <c r="AT1308" s="13"/>
      <c r="AU1308" s="13"/>
      <c r="AV1308" s="13"/>
      <c r="AW1308" s="13"/>
      <c r="AX1308" s="4"/>
      <c r="AY1308" s="13"/>
      <c r="AZ1308" s="13"/>
      <c r="BA1308" s="13"/>
      <c r="BB1308" s="13"/>
      <c r="BC1308" s="4"/>
      <c r="BD1308" s="4"/>
      <c r="BE1308" s="4"/>
      <c r="BF1308" s="13"/>
      <c r="BG1308" s="4"/>
      <c r="BH1308" s="13"/>
      <c r="BI1308" s="13"/>
      <c r="BJ1308" s="4"/>
      <c r="BK1308" s="14">
        <v>9</v>
      </c>
      <c r="BL1308" s="14">
        <v>9</v>
      </c>
      <c r="BM1308" s="14">
        <v>9</v>
      </c>
      <c r="BP1308" s="15"/>
      <c r="BQ1308" s="15"/>
      <c r="BR1308" s="2" t="s">
        <v>740</v>
      </c>
      <c r="BS1308" s="2" t="s">
        <v>740</v>
      </c>
      <c r="BT1308" s="7" t="s">
        <v>458</v>
      </c>
      <c r="BU1308" s="7"/>
      <c r="BV1308" s="9" t="s">
        <v>458</v>
      </c>
      <c r="BW1308" s="9"/>
    </row>
    <row r="1309" spans="1:75" ht="14.25" customHeight="1" x14ac:dyDescent="0.25">
      <c r="A1309" s="1">
        <v>833</v>
      </c>
      <c r="B1309" s="1" t="s">
        <v>5319</v>
      </c>
      <c r="C1309" s="1" t="s">
        <v>5320</v>
      </c>
      <c r="D1309" s="1" t="s">
        <v>77</v>
      </c>
      <c r="E1309" s="1" t="s">
        <v>1715</v>
      </c>
      <c r="F1309" s="1" t="s">
        <v>1716</v>
      </c>
      <c r="G1309" s="1"/>
      <c r="H1309" s="2">
        <v>1</v>
      </c>
      <c r="I1309" s="2">
        <v>1</v>
      </c>
      <c r="J1309" s="2">
        <v>1</v>
      </c>
      <c r="K1309" s="2">
        <v>0</v>
      </c>
      <c r="L1309" s="3" t="s">
        <v>127</v>
      </c>
      <c r="O1309" s="4">
        <v>3</v>
      </c>
      <c r="P1309" s="4" t="s">
        <v>424</v>
      </c>
      <c r="Q1309" s="4"/>
      <c r="R1309" s="16">
        <v>1900000</v>
      </c>
      <c r="S1309" s="6">
        <v>1900000</v>
      </c>
      <c r="T1309" s="16">
        <v>1800000</v>
      </c>
      <c r="U1309" s="6">
        <v>1800000</v>
      </c>
      <c r="V1309" s="4">
        <v>2010.5</v>
      </c>
      <c r="W1309" s="4" t="s">
        <v>425</v>
      </c>
      <c r="X1309" s="4"/>
      <c r="Y1309" s="7">
        <v>2</v>
      </c>
      <c r="Z1309" s="8">
        <v>3480787</v>
      </c>
      <c r="AA1309" s="7" t="s">
        <v>92</v>
      </c>
      <c r="AB1309" s="7"/>
      <c r="AC1309" s="9">
        <v>2</v>
      </c>
      <c r="AD1309" s="10">
        <v>3225870</v>
      </c>
      <c r="AE1309" s="9" t="s">
        <v>92</v>
      </c>
      <c r="AF1309" s="9"/>
      <c r="AG1309" s="11">
        <v>2</v>
      </c>
      <c r="AH1309" s="11" t="s">
        <v>131</v>
      </c>
      <c r="AI1309" s="11" t="s">
        <v>5321</v>
      </c>
      <c r="AJ1309" s="11">
        <v>2</v>
      </c>
      <c r="AK1309" s="11" t="s">
        <v>132</v>
      </c>
      <c r="AL1309" s="12">
        <v>2</v>
      </c>
      <c r="AM1309" s="12" t="s">
        <v>131</v>
      </c>
      <c r="AN1309" s="12" t="s">
        <v>5322</v>
      </c>
      <c r="AO1309" s="12">
        <v>2</v>
      </c>
      <c r="AP1309" s="12" t="s">
        <v>143</v>
      </c>
      <c r="AQ1309" s="4">
        <v>1</v>
      </c>
      <c r="AR1309" s="4" t="s">
        <v>133</v>
      </c>
      <c r="AS1309" s="4"/>
      <c r="AT1309" s="13">
        <v>321.42886352539102</v>
      </c>
      <c r="AU1309" s="13">
        <v>2.8597476482391402</v>
      </c>
      <c r="AV1309" s="13">
        <v>2.6690011024475102</v>
      </c>
      <c r="AW1309" s="13">
        <v>3.1300001144409202</v>
      </c>
      <c r="AX1309" s="4">
        <v>1</v>
      </c>
      <c r="AY1309" s="13">
        <v>48.875717163085902</v>
      </c>
      <c r="AZ1309" s="13">
        <v>2.3702211380004901</v>
      </c>
      <c r="BA1309" s="13">
        <v>1.7771010398864699</v>
      </c>
      <c r="BB1309" s="13">
        <v>3.1300001144409202</v>
      </c>
      <c r="BC1309" s="4">
        <v>1</v>
      </c>
      <c r="BD1309" s="4">
        <v>17</v>
      </c>
      <c r="BE1309" s="4" t="s">
        <v>134</v>
      </c>
      <c r="BF1309" s="13">
        <v>0.46099901199340798</v>
      </c>
      <c r="BG1309" s="4">
        <v>1777.5</v>
      </c>
      <c r="BH1309" s="13">
        <v>0.48399999737739602</v>
      </c>
      <c r="BI1309" s="13">
        <v>860.87701416015602</v>
      </c>
      <c r="BJ1309" s="4"/>
      <c r="BK1309" s="14">
        <v>8</v>
      </c>
      <c r="BL1309" s="14">
        <v>8</v>
      </c>
      <c r="BM1309" s="14">
        <v>8</v>
      </c>
      <c r="BP1309" s="15" t="s">
        <v>135</v>
      </c>
      <c r="BQ1309" s="15"/>
      <c r="BR1309" s="2" t="s">
        <v>172</v>
      </c>
      <c r="BS1309" s="2" t="s">
        <v>172</v>
      </c>
      <c r="BT1309" s="7" t="s">
        <v>241</v>
      </c>
      <c r="BU1309" s="7" t="s">
        <v>428</v>
      </c>
      <c r="BV1309" s="9" t="s">
        <v>241</v>
      </c>
      <c r="BW1309" s="9" t="s">
        <v>428</v>
      </c>
    </row>
    <row r="1310" spans="1:75" ht="14.25" customHeight="1" x14ac:dyDescent="0.25">
      <c r="A1310" s="1">
        <v>850</v>
      </c>
      <c r="B1310" s="1" t="s">
        <v>5323</v>
      </c>
      <c r="C1310" s="1" t="s">
        <v>5324</v>
      </c>
      <c r="D1310" s="1" t="s">
        <v>77</v>
      </c>
      <c r="E1310" s="1" t="s">
        <v>1854</v>
      </c>
      <c r="F1310" s="1" t="s">
        <v>1862</v>
      </c>
      <c r="G1310" s="1" t="s">
        <v>118</v>
      </c>
      <c r="H1310" s="2">
        <v>0</v>
      </c>
      <c r="I1310" s="2">
        <v>0</v>
      </c>
      <c r="J1310" s="2">
        <v>0</v>
      </c>
      <c r="K1310" s="2">
        <v>1</v>
      </c>
      <c r="L1310" s="3" t="s">
        <v>80</v>
      </c>
      <c r="O1310" s="4">
        <v>5</v>
      </c>
      <c r="P1310" s="4" t="s">
        <v>81</v>
      </c>
      <c r="Q1310" s="4"/>
      <c r="R1310" s="5"/>
      <c r="S1310" s="6"/>
      <c r="T1310" s="17"/>
      <c r="U1310" s="6"/>
      <c r="V1310" s="4"/>
      <c r="W1310" s="4"/>
      <c r="X1310" s="4"/>
      <c r="Y1310" s="7">
        <v>5</v>
      </c>
      <c r="Z1310" s="8">
        <v>9957</v>
      </c>
      <c r="AA1310" s="7" t="s">
        <v>82</v>
      </c>
      <c r="AB1310" s="7"/>
      <c r="AC1310" s="9">
        <v>5</v>
      </c>
      <c r="AD1310" s="10">
        <v>9957</v>
      </c>
      <c r="AE1310" s="9" t="s">
        <v>82</v>
      </c>
      <c r="AF1310" s="9"/>
      <c r="AG1310" s="11">
        <v>3</v>
      </c>
      <c r="AH1310" s="11" t="s">
        <v>83</v>
      </c>
      <c r="AI1310" s="11" t="s">
        <v>5325</v>
      </c>
      <c r="AJ1310" s="11"/>
      <c r="AK1310" s="11"/>
      <c r="AL1310" s="12">
        <v>3</v>
      </c>
      <c r="AM1310" s="12" t="s">
        <v>83</v>
      </c>
      <c r="AN1310" s="12"/>
      <c r="AO1310" s="12"/>
      <c r="AP1310" s="12"/>
      <c r="AQ1310" s="4">
        <v>3</v>
      </c>
      <c r="AR1310" s="4" t="s">
        <v>83</v>
      </c>
      <c r="AS1310" s="4"/>
      <c r="AT1310" s="13"/>
      <c r="AU1310" s="13"/>
      <c r="AV1310" s="13"/>
      <c r="AW1310" s="13"/>
      <c r="AX1310" s="4"/>
      <c r="AY1310" s="13"/>
      <c r="AZ1310" s="13"/>
      <c r="BA1310" s="13"/>
      <c r="BB1310" s="13"/>
      <c r="BC1310" s="4"/>
      <c r="BD1310" s="4"/>
      <c r="BE1310" s="4"/>
      <c r="BF1310" s="13"/>
      <c r="BG1310" s="4"/>
      <c r="BH1310" s="13"/>
      <c r="BI1310" s="13"/>
      <c r="BJ1310" s="4"/>
      <c r="BK1310" s="14">
        <v>16</v>
      </c>
      <c r="BL1310" s="14">
        <v>16</v>
      </c>
      <c r="BM1310" s="14">
        <v>16</v>
      </c>
      <c r="BN1310" s="3" t="s">
        <v>86</v>
      </c>
      <c r="BP1310" s="15"/>
      <c r="BQ1310" s="15"/>
      <c r="BR1310" s="2" t="s">
        <v>87</v>
      </c>
      <c r="BS1310" s="2" t="s">
        <v>87</v>
      </c>
      <c r="BT1310" s="7" t="s">
        <v>88</v>
      </c>
      <c r="BU1310" s="7"/>
      <c r="BV1310" s="9" t="s">
        <v>88</v>
      </c>
      <c r="BW1310" s="9"/>
    </row>
    <row r="1311" spans="1:75" ht="14.25" customHeight="1" x14ac:dyDescent="0.25">
      <c r="A1311" s="1">
        <v>851</v>
      </c>
      <c r="B1311" s="1" t="s">
        <v>5326</v>
      </c>
      <c r="C1311" s="1" t="s">
        <v>5327</v>
      </c>
      <c r="D1311" s="1" t="s">
        <v>77</v>
      </c>
      <c r="E1311" s="1" t="s">
        <v>1854</v>
      </c>
      <c r="F1311" s="1" t="s">
        <v>1862</v>
      </c>
      <c r="G1311" s="1"/>
      <c r="H1311" s="2">
        <v>0</v>
      </c>
      <c r="I1311" s="2">
        <v>0</v>
      </c>
      <c r="J1311" s="2">
        <v>0</v>
      </c>
      <c r="K1311" s="2">
        <v>1</v>
      </c>
      <c r="L1311" s="3" t="s">
        <v>80</v>
      </c>
      <c r="O1311" s="4">
        <v>3</v>
      </c>
      <c r="P1311" s="4" t="s">
        <v>81</v>
      </c>
      <c r="Q1311" s="4"/>
      <c r="R1311" s="5"/>
      <c r="S1311" s="6"/>
      <c r="T1311" s="17"/>
      <c r="U1311" s="6"/>
      <c r="V1311" s="4"/>
      <c r="W1311" s="4"/>
      <c r="X1311" s="4"/>
      <c r="Y1311" s="7">
        <v>1</v>
      </c>
      <c r="Z1311" s="8">
        <v>13100722</v>
      </c>
      <c r="AA1311" s="7" t="s">
        <v>82</v>
      </c>
      <c r="AB1311" s="7"/>
      <c r="AC1311" s="9">
        <v>1</v>
      </c>
      <c r="AD1311" s="10">
        <v>13100722</v>
      </c>
      <c r="AE1311" s="9" t="s">
        <v>82</v>
      </c>
      <c r="AF1311" s="9"/>
      <c r="AG1311" s="11">
        <v>3</v>
      </c>
      <c r="AH1311" s="11" t="s">
        <v>83</v>
      </c>
      <c r="AI1311" s="11" t="s">
        <v>5328</v>
      </c>
      <c r="AJ1311" s="11"/>
      <c r="AK1311" s="11"/>
      <c r="AL1311" s="12">
        <v>3</v>
      </c>
      <c r="AM1311" s="12" t="s">
        <v>83</v>
      </c>
      <c r="AN1311" s="12"/>
      <c r="AO1311" s="12"/>
      <c r="AP1311" s="12"/>
      <c r="AQ1311" s="4">
        <v>3</v>
      </c>
      <c r="AR1311" s="4" t="s">
        <v>83</v>
      </c>
      <c r="AS1311" s="4" t="s">
        <v>5329</v>
      </c>
      <c r="AT1311" s="13"/>
      <c r="AU1311" s="13"/>
      <c r="AV1311" s="13"/>
      <c r="AW1311" s="13"/>
      <c r="AX1311" s="4"/>
      <c r="AY1311" s="13"/>
      <c r="AZ1311" s="13"/>
      <c r="BA1311" s="13"/>
      <c r="BB1311" s="13"/>
      <c r="BC1311" s="4"/>
      <c r="BD1311" s="4"/>
      <c r="BE1311" s="4"/>
      <c r="BF1311" s="13"/>
      <c r="BG1311" s="4"/>
      <c r="BH1311" s="13"/>
      <c r="BI1311" s="13"/>
      <c r="BJ1311" s="4"/>
      <c r="BK1311" s="14">
        <v>10</v>
      </c>
      <c r="BL1311" s="14">
        <v>10</v>
      </c>
      <c r="BM1311" s="14">
        <v>10</v>
      </c>
      <c r="BP1311" s="15" t="s">
        <v>135</v>
      </c>
      <c r="BQ1311" s="15"/>
      <c r="BR1311" s="2" t="s">
        <v>97</v>
      </c>
      <c r="BS1311" s="2" t="s">
        <v>97</v>
      </c>
      <c r="BT1311" s="7" t="s">
        <v>98</v>
      </c>
      <c r="BU1311" s="7"/>
      <c r="BV1311" s="9" t="s">
        <v>98</v>
      </c>
      <c r="BW1311" s="9"/>
    </row>
    <row r="1312" spans="1:75" ht="14.25" customHeight="1" x14ac:dyDescent="0.25">
      <c r="A1312" s="1">
        <v>852</v>
      </c>
      <c r="B1312" s="1" t="s">
        <v>5330</v>
      </c>
      <c r="C1312" s="1" t="s">
        <v>5331</v>
      </c>
      <c r="D1312" s="1" t="s">
        <v>77</v>
      </c>
      <c r="E1312" s="1" t="s">
        <v>1854</v>
      </c>
      <c r="F1312" s="1" t="s">
        <v>1862</v>
      </c>
      <c r="G1312" s="1" t="s">
        <v>118</v>
      </c>
      <c r="H1312" s="2">
        <v>0</v>
      </c>
      <c r="I1312" s="2">
        <v>0</v>
      </c>
      <c r="J1312" s="2">
        <v>1</v>
      </c>
      <c r="K1312" s="2">
        <v>1</v>
      </c>
      <c r="L1312" s="3" t="s">
        <v>80</v>
      </c>
      <c r="O1312" s="4">
        <v>5</v>
      </c>
      <c r="P1312" s="4" t="s">
        <v>112</v>
      </c>
      <c r="Q1312" s="4"/>
      <c r="R1312" s="5"/>
      <c r="S1312" s="6"/>
      <c r="T1312" s="17"/>
      <c r="U1312" s="6"/>
      <c r="V1312" s="4"/>
      <c r="W1312" s="4"/>
      <c r="X1312" s="4"/>
      <c r="Y1312" s="7">
        <v>5</v>
      </c>
      <c r="Z1312" s="8">
        <v>44614</v>
      </c>
      <c r="AA1312" s="7" t="s">
        <v>92</v>
      </c>
      <c r="AB1312" s="7"/>
      <c r="AC1312" s="9">
        <v>5</v>
      </c>
      <c r="AD1312" s="10">
        <v>44614</v>
      </c>
      <c r="AE1312" s="9" t="s">
        <v>92</v>
      </c>
      <c r="AF1312" s="9"/>
      <c r="AG1312" s="11">
        <v>5</v>
      </c>
      <c r="AH1312" s="11" t="s">
        <v>93</v>
      </c>
      <c r="AI1312" s="11" t="s">
        <v>393</v>
      </c>
      <c r="AJ1312" s="11"/>
      <c r="AK1312" s="11"/>
      <c r="AL1312" s="12">
        <v>5</v>
      </c>
      <c r="AM1312" s="12" t="s">
        <v>93</v>
      </c>
      <c r="AN1312" s="12" t="s">
        <v>5332</v>
      </c>
      <c r="AO1312" s="12"/>
      <c r="AP1312" s="12"/>
      <c r="AQ1312" s="4">
        <v>5</v>
      </c>
      <c r="AR1312" s="4" t="s">
        <v>83</v>
      </c>
      <c r="AS1312" s="4"/>
      <c r="AT1312" s="13"/>
      <c r="AU1312" s="13"/>
      <c r="AV1312" s="13"/>
      <c r="AW1312" s="13"/>
      <c r="AX1312" s="4"/>
      <c r="AY1312" s="13"/>
      <c r="AZ1312" s="13"/>
      <c r="BA1312" s="13"/>
      <c r="BB1312" s="13"/>
      <c r="BC1312" s="4"/>
      <c r="BD1312" s="4"/>
      <c r="BE1312" s="4"/>
      <c r="BF1312" s="13"/>
      <c r="BG1312" s="4"/>
      <c r="BH1312" s="13"/>
      <c r="BI1312" s="13"/>
      <c r="BJ1312" s="4"/>
      <c r="BK1312" s="14">
        <v>20</v>
      </c>
      <c r="BL1312" s="14">
        <v>20</v>
      </c>
      <c r="BM1312" s="14">
        <v>20</v>
      </c>
      <c r="BN1312" s="3" t="s">
        <v>312</v>
      </c>
      <c r="BP1312" s="15"/>
      <c r="BQ1312" s="15"/>
      <c r="BR1312" s="2" t="s">
        <v>409</v>
      </c>
      <c r="BS1312" s="2" t="s">
        <v>409</v>
      </c>
      <c r="BT1312" s="7" t="s">
        <v>88</v>
      </c>
      <c r="BU1312" s="7"/>
      <c r="BV1312" s="9" t="s">
        <v>88</v>
      </c>
      <c r="BW1312" s="9"/>
    </row>
    <row r="1313" spans="1:75" ht="14.25" customHeight="1" x14ac:dyDescent="0.25">
      <c r="A1313" s="1">
        <v>853</v>
      </c>
      <c r="B1313" s="1" t="s">
        <v>5333</v>
      </c>
      <c r="C1313" s="1" t="s">
        <v>5334</v>
      </c>
      <c r="D1313" s="1" t="s">
        <v>77</v>
      </c>
      <c r="E1313" s="1" t="s">
        <v>1854</v>
      </c>
      <c r="F1313" s="1" t="s">
        <v>1862</v>
      </c>
      <c r="G1313" s="1"/>
      <c r="H1313" s="2">
        <v>0</v>
      </c>
      <c r="I1313" s="2">
        <v>0</v>
      </c>
      <c r="J1313" s="2">
        <v>1</v>
      </c>
      <c r="K1313" s="2">
        <v>1</v>
      </c>
      <c r="L1313" s="3" t="s">
        <v>80</v>
      </c>
      <c r="O1313" s="4">
        <v>4</v>
      </c>
      <c r="P1313" s="4" t="s">
        <v>81</v>
      </c>
      <c r="Q1313" s="4" t="s">
        <v>1012</v>
      </c>
      <c r="R1313" s="5"/>
      <c r="S1313" s="6"/>
      <c r="T1313" s="17"/>
      <c r="U1313" s="6"/>
      <c r="V1313" s="4"/>
      <c r="W1313" s="4"/>
      <c r="X1313" s="4"/>
      <c r="Y1313" s="7">
        <v>5</v>
      </c>
      <c r="Z1313" s="8">
        <v>78613</v>
      </c>
      <c r="AA1313" s="7" t="s">
        <v>92</v>
      </c>
      <c r="AB1313" s="7"/>
      <c r="AC1313" s="9">
        <v>5</v>
      </c>
      <c r="AD1313" s="10">
        <v>78613</v>
      </c>
      <c r="AE1313" s="9" t="s">
        <v>92</v>
      </c>
      <c r="AF1313" s="9"/>
      <c r="AG1313" s="11">
        <v>3</v>
      </c>
      <c r="AH1313" s="11" t="s">
        <v>93</v>
      </c>
      <c r="AI1313" s="11"/>
      <c r="AJ1313" s="11"/>
      <c r="AK1313" s="11"/>
      <c r="AL1313" s="12">
        <v>3</v>
      </c>
      <c r="AM1313" s="12" t="s">
        <v>93</v>
      </c>
      <c r="AN1313" s="12" t="s">
        <v>1879</v>
      </c>
      <c r="AO1313" s="12"/>
      <c r="AP1313" s="12"/>
      <c r="AQ1313" s="4">
        <v>4</v>
      </c>
      <c r="AR1313" s="4" t="s">
        <v>83</v>
      </c>
      <c r="AS1313" s="4" t="s">
        <v>5335</v>
      </c>
      <c r="AT1313" s="13"/>
      <c r="AU1313" s="13"/>
      <c r="AV1313" s="13"/>
      <c r="AW1313" s="13"/>
      <c r="AX1313" s="4"/>
      <c r="AY1313" s="13"/>
      <c r="AZ1313" s="13"/>
      <c r="BA1313" s="13"/>
      <c r="BB1313" s="13"/>
      <c r="BC1313" s="4"/>
      <c r="BD1313" s="4"/>
      <c r="BE1313" s="4"/>
      <c r="BF1313" s="13"/>
      <c r="BG1313" s="4"/>
      <c r="BH1313" s="13"/>
      <c r="BI1313" s="13"/>
      <c r="BJ1313" s="4"/>
      <c r="BK1313" s="14">
        <v>16</v>
      </c>
      <c r="BL1313" s="14">
        <v>16</v>
      </c>
      <c r="BM1313" s="14">
        <v>16</v>
      </c>
      <c r="BN1313" s="3" t="s">
        <v>86</v>
      </c>
      <c r="BP1313" s="15"/>
      <c r="BQ1313" s="15"/>
      <c r="BR1313" s="2" t="s">
        <v>108</v>
      </c>
      <c r="BS1313" s="2" t="s">
        <v>108</v>
      </c>
      <c r="BT1313" s="7" t="s">
        <v>109</v>
      </c>
      <c r="BU1313" s="7"/>
      <c r="BV1313" s="9" t="s">
        <v>109</v>
      </c>
      <c r="BW1313" s="9"/>
    </row>
    <row r="1314" spans="1:75" ht="14.25" customHeight="1" x14ac:dyDescent="0.25">
      <c r="A1314" s="1">
        <v>854</v>
      </c>
      <c r="B1314" s="1" t="s">
        <v>5336</v>
      </c>
      <c r="C1314" s="1" t="s">
        <v>5337</v>
      </c>
      <c r="D1314" s="1" t="s">
        <v>77</v>
      </c>
      <c r="E1314" s="1" t="s">
        <v>1854</v>
      </c>
      <c r="F1314" s="1" t="s">
        <v>1862</v>
      </c>
      <c r="G1314" s="1"/>
      <c r="H1314" s="2">
        <v>1</v>
      </c>
      <c r="I1314" s="2">
        <v>1</v>
      </c>
      <c r="J1314" s="2">
        <v>1</v>
      </c>
      <c r="K1314" s="2">
        <v>0</v>
      </c>
      <c r="L1314" s="3" t="s">
        <v>80</v>
      </c>
      <c r="O1314" s="4">
        <v>4</v>
      </c>
      <c r="P1314" s="4" t="s">
        <v>424</v>
      </c>
      <c r="Q1314" s="4"/>
      <c r="R1314" s="5">
        <v>180000</v>
      </c>
      <c r="S1314" s="6">
        <v>180000</v>
      </c>
      <c r="T1314" s="5">
        <v>140000</v>
      </c>
      <c r="U1314" s="6">
        <v>140000</v>
      </c>
      <c r="V1314" s="4">
        <v>2010.5</v>
      </c>
      <c r="W1314" s="4" t="s">
        <v>425</v>
      </c>
      <c r="X1314" s="4"/>
      <c r="Y1314" s="7">
        <v>2</v>
      </c>
      <c r="Z1314" s="8">
        <v>3579650</v>
      </c>
      <c r="AA1314" s="7" t="s">
        <v>92</v>
      </c>
      <c r="AB1314" s="7"/>
      <c r="AC1314" s="9">
        <v>2</v>
      </c>
      <c r="AD1314" s="10">
        <v>3579650</v>
      </c>
      <c r="AE1314" s="9" t="s">
        <v>92</v>
      </c>
      <c r="AF1314" s="9"/>
      <c r="AG1314" s="11">
        <v>3</v>
      </c>
      <c r="AH1314" s="11" t="s">
        <v>131</v>
      </c>
      <c r="AI1314" s="11" t="s">
        <v>5338</v>
      </c>
      <c r="AJ1314" s="11">
        <v>2</v>
      </c>
      <c r="AK1314" s="11" t="s">
        <v>132</v>
      </c>
      <c r="AL1314" s="12">
        <v>3</v>
      </c>
      <c r="AM1314" s="12" t="s">
        <v>131</v>
      </c>
      <c r="AN1314" s="12" t="s">
        <v>5339</v>
      </c>
      <c r="AO1314" s="12">
        <v>2</v>
      </c>
      <c r="AP1314" s="12" t="s">
        <v>132</v>
      </c>
      <c r="AQ1314" s="4">
        <v>3</v>
      </c>
      <c r="AR1314" s="4" t="s">
        <v>133</v>
      </c>
      <c r="AS1314" s="4"/>
      <c r="AT1314" s="13">
        <v>-19.7479057312012</v>
      </c>
      <c r="AU1314" s="13">
        <v>-0.43094462156295799</v>
      </c>
      <c r="AV1314" s="13">
        <v>-2.6300001144409202</v>
      </c>
      <c r="AW1314" s="13">
        <v>0.68500000238418601</v>
      </c>
      <c r="AX1314" s="4"/>
      <c r="AY1314" s="13">
        <v>-5.7504391670227104</v>
      </c>
      <c r="AZ1314" s="13">
        <v>-0.53513771295547496</v>
      </c>
      <c r="BA1314" s="13">
        <v>-4.3299999237060502</v>
      </c>
      <c r="BB1314" s="13">
        <v>1.7599999904632599</v>
      </c>
      <c r="BC1314" s="4"/>
      <c r="BD1314" s="4">
        <v>11</v>
      </c>
      <c r="BE1314" s="4" t="s">
        <v>134</v>
      </c>
      <c r="BF1314" s="13">
        <v>3.3150000572204599</v>
      </c>
      <c r="BG1314" s="4">
        <v>101.5</v>
      </c>
      <c r="BH1314" s="13">
        <v>1.10499998554587E-2</v>
      </c>
      <c r="BI1314" s="13">
        <v>1.12000000476837</v>
      </c>
      <c r="BJ1314" s="4"/>
      <c r="BK1314" s="14">
        <v>12</v>
      </c>
      <c r="BL1314" s="14">
        <v>12</v>
      </c>
      <c r="BM1314" s="14">
        <v>12</v>
      </c>
      <c r="BP1314" s="15" t="s">
        <v>135</v>
      </c>
      <c r="BQ1314" s="15"/>
      <c r="BR1314" s="2" t="s">
        <v>256</v>
      </c>
      <c r="BS1314" s="2" t="s">
        <v>256</v>
      </c>
      <c r="BT1314" s="7" t="s">
        <v>428</v>
      </c>
      <c r="BU1314" s="7" t="s">
        <v>487</v>
      </c>
      <c r="BV1314" s="9" t="s">
        <v>428</v>
      </c>
      <c r="BW1314" s="9" t="s">
        <v>487</v>
      </c>
    </row>
    <row r="1315" spans="1:75" ht="14.25" customHeight="1" x14ac:dyDescent="0.25">
      <c r="A1315" s="1">
        <v>886</v>
      </c>
      <c r="B1315" s="1" t="s">
        <v>5340</v>
      </c>
      <c r="C1315" s="1" t="s">
        <v>5341</v>
      </c>
      <c r="D1315" s="1" t="s">
        <v>77</v>
      </c>
      <c r="E1315" s="1" t="s">
        <v>1854</v>
      </c>
      <c r="F1315" s="1" t="s">
        <v>1862</v>
      </c>
      <c r="G1315" s="1"/>
      <c r="H1315" s="2">
        <v>1</v>
      </c>
      <c r="I1315" s="2">
        <v>1</v>
      </c>
      <c r="J1315" s="2">
        <v>0</v>
      </c>
      <c r="K1315" s="2">
        <v>0</v>
      </c>
      <c r="L1315" s="3" t="s">
        <v>127</v>
      </c>
      <c r="O1315" s="4">
        <v>3</v>
      </c>
      <c r="P1315" s="4" t="s">
        <v>659</v>
      </c>
      <c r="Q1315" s="4" t="s">
        <v>5342</v>
      </c>
      <c r="R1315" s="16">
        <v>1540000</v>
      </c>
      <c r="S1315" s="6">
        <v>1540000</v>
      </c>
      <c r="T1315" s="16">
        <v>500000</v>
      </c>
      <c r="U1315" s="6">
        <v>500000</v>
      </c>
      <c r="V1315" s="4"/>
      <c r="W1315" s="4" t="s">
        <v>5343</v>
      </c>
      <c r="X1315" s="4"/>
      <c r="Y1315" s="7">
        <v>1</v>
      </c>
      <c r="Z1315" s="8">
        <v>23137560</v>
      </c>
      <c r="AA1315" s="7" t="s">
        <v>92</v>
      </c>
      <c r="AB1315" s="7"/>
      <c r="AC1315" s="9">
        <v>1</v>
      </c>
      <c r="AD1315" s="10">
        <v>23137560</v>
      </c>
      <c r="AE1315" s="9" t="s">
        <v>92</v>
      </c>
      <c r="AF1315" s="9"/>
      <c r="AG1315" s="11">
        <v>4</v>
      </c>
      <c r="AH1315" s="11" t="s">
        <v>454</v>
      </c>
      <c r="AI1315" s="11" t="s">
        <v>5344</v>
      </c>
      <c r="AJ1315" s="11">
        <v>4</v>
      </c>
      <c r="AK1315" s="11" t="s">
        <v>143</v>
      </c>
      <c r="AL1315" s="12">
        <v>3</v>
      </c>
      <c r="AM1315" s="12" t="s">
        <v>131</v>
      </c>
      <c r="AN1315" s="12" t="s">
        <v>5345</v>
      </c>
      <c r="AO1315" s="12">
        <v>3</v>
      </c>
      <c r="AP1315" s="12" t="s">
        <v>143</v>
      </c>
      <c r="AQ1315" s="4">
        <v>3</v>
      </c>
      <c r="AR1315" s="4" t="s">
        <v>537</v>
      </c>
      <c r="AS1315" s="4"/>
      <c r="AT1315" s="13"/>
      <c r="AU1315" s="13"/>
      <c r="AV1315" s="13"/>
      <c r="AW1315" s="13"/>
      <c r="AX1315" s="4"/>
      <c r="AY1315" s="13"/>
      <c r="AZ1315" s="13"/>
      <c r="BA1315" s="13"/>
      <c r="BB1315" s="13"/>
      <c r="BC1315" s="4"/>
      <c r="BD1315" s="4"/>
      <c r="BE1315" s="4"/>
      <c r="BF1315" s="13"/>
      <c r="BG1315" s="4"/>
      <c r="BH1315" s="13"/>
      <c r="BI1315" s="13"/>
      <c r="BJ1315" s="4"/>
      <c r="BK1315" s="14">
        <v>11</v>
      </c>
      <c r="BL1315" s="14">
        <v>10</v>
      </c>
      <c r="BM1315" s="14">
        <v>11</v>
      </c>
      <c r="BP1315" s="15"/>
      <c r="BQ1315" s="15"/>
      <c r="BR1315" s="2" t="s">
        <v>211</v>
      </c>
      <c r="BS1315" s="2" t="s">
        <v>211</v>
      </c>
      <c r="BT1315" s="7" t="s">
        <v>527</v>
      </c>
      <c r="BU1315" s="7"/>
      <c r="BV1315" s="9" t="s">
        <v>527</v>
      </c>
      <c r="BW1315" s="9"/>
    </row>
    <row r="1316" spans="1:75" ht="14.25" customHeight="1" x14ac:dyDescent="0.25">
      <c r="A1316" s="1">
        <v>887</v>
      </c>
      <c r="B1316" s="1" t="s">
        <v>5346</v>
      </c>
      <c r="C1316" s="1" t="s">
        <v>5347</v>
      </c>
      <c r="D1316" s="1" t="s">
        <v>77</v>
      </c>
      <c r="E1316" s="1" t="s">
        <v>1854</v>
      </c>
      <c r="F1316" s="1" t="s">
        <v>1862</v>
      </c>
      <c r="G1316" s="1"/>
      <c r="H1316" s="2">
        <v>1</v>
      </c>
      <c r="I1316" s="2">
        <v>1</v>
      </c>
      <c r="J1316" s="2">
        <v>1</v>
      </c>
      <c r="K1316" s="2">
        <v>0</v>
      </c>
      <c r="L1316" s="3" t="s">
        <v>127</v>
      </c>
      <c r="O1316" s="4">
        <v>3</v>
      </c>
      <c r="P1316" s="4" t="s">
        <v>5343</v>
      </c>
      <c r="Q1316" s="4" t="s">
        <v>5348</v>
      </c>
      <c r="R1316" s="16">
        <v>2000000</v>
      </c>
      <c r="S1316" s="6">
        <v>2000000</v>
      </c>
      <c r="T1316" s="16">
        <v>2000000</v>
      </c>
      <c r="U1316" s="6">
        <v>2000000</v>
      </c>
      <c r="V1316" s="4"/>
      <c r="W1316" s="4" t="s">
        <v>5343</v>
      </c>
      <c r="X1316" s="4"/>
      <c r="Y1316" s="7">
        <v>1</v>
      </c>
      <c r="Z1316" s="8">
        <v>5695944</v>
      </c>
      <c r="AA1316" s="7" t="s">
        <v>92</v>
      </c>
      <c r="AB1316" s="7"/>
      <c r="AC1316" s="9">
        <v>1</v>
      </c>
      <c r="AD1316" s="10">
        <v>10792933</v>
      </c>
      <c r="AE1316" s="9" t="s">
        <v>92</v>
      </c>
      <c r="AF1316" s="9" t="s">
        <v>774</v>
      </c>
      <c r="AG1316" s="11">
        <v>3</v>
      </c>
      <c r="AH1316" s="11" t="s">
        <v>454</v>
      </c>
      <c r="AI1316" s="11" t="s">
        <v>5349</v>
      </c>
      <c r="AJ1316" s="11">
        <v>3</v>
      </c>
      <c r="AK1316" s="11" t="s">
        <v>132</v>
      </c>
      <c r="AL1316" s="12">
        <v>2</v>
      </c>
      <c r="AM1316" s="12" t="s">
        <v>131</v>
      </c>
      <c r="AN1316" s="12"/>
      <c r="AO1316" s="12">
        <v>2</v>
      </c>
      <c r="AP1316" s="12" t="s">
        <v>143</v>
      </c>
      <c r="AQ1316" s="4">
        <v>1</v>
      </c>
      <c r="AR1316" s="4" t="s">
        <v>1150</v>
      </c>
      <c r="AS1316" s="4"/>
      <c r="AT1316" s="13">
        <v>219.66705322265599</v>
      </c>
      <c r="AU1316" s="13">
        <v>2.4000000953674299</v>
      </c>
      <c r="AV1316" s="13">
        <v>2</v>
      </c>
      <c r="AW1316" s="13">
        <v>2.7000000476837198</v>
      </c>
      <c r="AX1316" s="4">
        <v>1</v>
      </c>
      <c r="AY1316" s="13">
        <v>29.262813568115199</v>
      </c>
      <c r="AZ1316" s="13">
        <v>2.5999999046325701</v>
      </c>
      <c r="BA1316" s="13">
        <v>1.70000004768372</v>
      </c>
      <c r="BB1316" s="13">
        <v>3.4000000953674299</v>
      </c>
      <c r="BC1316" s="4">
        <v>1</v>
      </c>
      <c r="BD1316" s="4">
        <v>10</v>
      </c>
      <c r="BE1316" s="4"/>
      <c r="BF1316" s="13">
        <v>0.69999998807907104</v>
      </c>
      <c r="BG1316" s="4"/>
      <c r="BH1316" s="13"/>
      <c r="BI1316" s="13"/>
      <c r="BJ1316" s="4"/>
      <c r="BK1316" s="14">
        <v>8</v>
      </c>
      <c r="BL1316" s="14">
        <v>7</v>
      </c>
      <c r="BM1316" s="14">
        <v>8</v>
      </c>
      <c r="BP1316" s="15"/>
      <c r="BQ1316" s="15"/>
      <c r="BR1316" s="2" t="s">
        <v>211</v>
      </c>
      <c r="BS1316" s="2" t="s">
        <v>172</v>
      </c>
      <c r="BT1316" s="7" t="s">
        <v>527</v>
      </c>
      <c r="BU1316" s="7" t="s">
        <v>428</v>
      </c>
      <c r="BV1316" s="9" t="s">
        <v>509</v>
      </c>
      <c r="BW1316" s="9"/>
    </row>
    <row r="1317" spans="1:75" ht="14.25" customHeight="1" x14ac:dyDescent="0.25">
      <c r="A1317" s="1">
        <v>888</v>
      </c>
      <c r="B1317" s="1" t="s">
        <v>5350</v>
      </c>
      <c r="C1317" s="1" t="s">
        <v>5351</v>
      </c>
      <c r="D1317" s="1" t="s">
        <v>77</v>
      </c>
      <c r="E1317" s="1" t="s">
        <v>1854</v>
      </c>
      <c r="F1317" s="1" t="s">
        <v>1862</v>
      </c>
      <c r="G1317" s="1"/>
      <c r="H1317" s="2">
        <v>0</v>
      </c>
      <c r="I1317" s="2">
        <v>0</v>
      </c>
      <c r="J1317" s="2">
        <v>1</v>
      </c>
      <c r="K1317" s="2">
        <v>1</v>
      </c>
      <c r="L1317" s="3" t="s">
        <v>80</v>
      </c>
      <c r="O1317" s="4">
        <v>5</v>
      </c>
      <c r="P1317" s="4" t="s">
        <v>112</v>
      </c>
      <c r="Q1317" s="4" t="s">
        <v>5352</v>
      </c>
      <c r="R1317" s="5"/>
      <c r="S1317" s="6"/>
      <c r="T1317" s="17"/>
      <c r="U1317" s="6"/>
      <c r="V1317" s="4"/>
      <c r="W1317" s="4"/>
      <c r="X1317" s="4"/>
      <c r="Y1317" s="7">
        <v>5</v>
      </c>
      <c r="Z1317" s="8">
        <v>62161</v>
      </c>
      <c r="AA1317" s="7" t="s">
        <v>580</v>
      </c>
      <c r="AB1317" s="7" t="s">
        <v>5353</v>
      </c>
      <c r="AC1317" s="9">
        <v>5</v>
      </c>
      <c r="AD1317" s="10">
        <v>62161</v>
      </c>
      <c r="AE1317" s="9" t="s">
        <v>92</v>
      </c>
      <c r="AF1317" s="9" t="s">
        <v>5354</v>
      </c>
      <c r="AG1317" s="11">
        <v>5</v>
      </c>
      <c r="AH1317" s="11" t="s">
        <v>93</v>
      </c>
      <c r="AI1317" s="11" t="s">
        <v>393</v>
      </c>
      <c r="AJ1317" s="11"/>
      <c r="AK1317" s="11"/>
      <c r="AL1317" s="12">
        <v>5</v>
      </c>
      <c r="AM1317" s="12" t="s">
        <v>93</v>
      </c>
      <c r="AN1317" s="12" t="s">
        <v>5355</v>
      </c>
      <c r="AO1317" s="12"/>
      <c r="AP1317" s="12"/>
      <c r="AQ1317" s="4">
        <v>5</v>
      </c>
      <c r="AR1317" s="4" t="s">
        <v>83</v>
      </c>
      <c r="AS1317" s="4"/>
      <c r="AT1317" s="13"/>
      <c r="AU1317" s="13"/>
      <c r="AV1317" s="13"/>
      <c r="AW1317" s="13"/>
      <c r="AX1317" s="4"/>
      <c r="AY1317" s="13"/>
      <c r="AZ1317" s="13"/>
      <c r="BA1317" s="13"/>
      <c r="BB1317" s="13"/>
      <c r="BC1317" s="4"/>
      <c r="BD1317" s="4"/>
      <c r="BE1317" s="4"/>
      <c r="BF1317" s="13"/>
      <c r="BG1317" s="4"/>
      <c r="BH1317" s="13"/>
      <c r="BI1317" s="13"/>
      <c r="BJ1317" s="4"/>
      <c r="BK1317" s="14">
        <v>20</v>
      </c>
      <c r="BL1317" s="14">
        <v>20</v>
      </c>
      <c r="BM1317" s="14">
        <v>20</v>
      </c>
      <c r="BN1317" s="3" t="s">
        <v>312</v>
      </c>
      <c r="BP1317" s="15"/>
      <c r="BQ1317" s="15"/>
      <c r="BR1317" s="2" t="s">
        <v>409</v>
      </c>
      <c r="BS1317" s="2" t="s">
        <v>409</v>
      </c>
      <c r="BT1317" s="7" t="s">
        <v>437</v>
      </c>
      <c r="BU1317" s="7" t="s">
        <v>438</v>
      </c>
      <c r="BV1317" s="9" t="s">
        <v>437</v>
      </c>
      <c r="BW1317" s="9" t="s">
        <v>438</v>
      </c>
    </row>
    <row r="1318" spans="1:75" ht="14.25" customHeight="1" x14ac:dyDescent="0.25">
      <c r="A1318" s="1">
        <v>892</v>
      </c>
      <c r="B1318" s="1" t="s">
        <v>5356</v>
      </c>
      <c r="C1318" s="1" t="s">
        <v>5357</v>
      </c>
      <c r="D1318" s="1" t="s">
        <v>77</v>
      </c>
      <c r="E1318" s="1" t="s">
        <v>2015</v>
      </c>
      <c r="F1318" s="1" t="s">
        <v>2016</v>
      </c>
      <c r="G1318" s="1" t="s">
        <v>118</v>
      </c>
      <c r="H1318" s="2">
        <v>0</v>
      </c>
      <c r="I1318" s="2">
        <v>0</v>
      </c>
      <c r="J1318" s="2">
        <v>0</v>
      </c>
      <c r="K1318" s="2">
        <v>1</v>
      </c>
      <c r="L1318" s="3" t="s">
        <v>80</v>
      </c>
      <c r="O1318" s="4">
        <v>5</v>
      </c>
      <c r="P1318" s="4" t="s">
        <v>81</v>
      </c>
      <c r="Q1318" s="4"/>
      <c r="R1318" s="5"/>
      <c r="S1318" s="6"/>
      <c r="T1318" s="17"/>
      <c r="U1318" s="6"/>
      <c r="V1318" s="4"/>
      <c r="W1318" s="4"/>
      <c r="X1318" s="4"/>
      <c r="Y1318" s="7">
        <v>5</v>
      </c>
      <c r="Z1318" s="8">
        <v>16328</v>
      </c>
      <c r="AA1318" s="7" t="s">
        <v>82</v>
      </c>
      <c r="AB1318" s="7"/>
      <c r="AC1318" s="9">
        <v>5</v>
      </c>
      <c r="AD1318" s="10">
        <v>16328</v>
      </c>
      <c r="AE1318" s="9" t="s">
        <v>82</v>
      </c>
      <c r="AF1318" s="9"/>
      <c r="AG1318" s="11">
        <v>4</v>
      </c>
      <c r="AH1318" s="11" t="s">
        <v>83</v>
      </c>
      <c r="AI1318" s="11" t="s">
        <v>5358</v>
      </c>
      <c r="AJ1318" s="11"/>
      <c r="AK1318" s="11"/>
      <c r="AL1318" s="12">
        <v>4</v>
      </c>
      <c r="AM1318" s="12" t="s">
        <v>83</v>
      </c>
      <c r="AN1318" s="12"/>
      <c r="AO1318" s="12"/>
      <c r="AP1318" s="12"/>
      <c r="AQ1318" s="4">
        <v>5</v>
      </c>
      <c r="AR1318" s="4" t="s">
        <v>83</v>
      </c>
      <c r="AS1318" s="4"/>
      <c r="AT1318" s="13"/>
      <c r="AU1318" s="13"/>
      <c r="AV1318" s="13"/>
      <c r="AW1318" s="13"/>
      <c r="AX1318" s="4"/>
      <c r="AY1318" s="13"/>
      <c r="AZ1318" s="13"/>
      <c r="BA1318" s="13"/>
      <c r="BB1318" s="13"/>
      <c r="BC1318" s="4"/>
      <c r="BD1318" s="4"/>
      <c r="BE1318" s="4"/>
      <c r="BF1318" s="13"/>
      <c r="BG1318" s="4"/>
      <c r="BH1318" s="13"/>
      <c r="BI1318" s="13"/>
      <c r="BJ1318" s="4"/>
      <c r="BK1318" s="14">
        <v>19</v>
      </c>
      <c r="BL1318" s="14">
        <v>19</v>
      </c>
      <c r="BM1318" s="14">
        <v>19</v>
      </c>
      <c r="BN1318" s="3" t="s">
        <v>312</v>
      </c>
      <c r="BP1318" s="15"/>
      <c r="BQ1318" s="15"/>
      <c r="BR1318" s="2" t="s">
        <v>87</v>
      </c>
      <c r="BS1318" s="2" t="s">
        <v>87</v>
      </c>
      <c r="BT1318" s="7" t="s">
        <v>98</v>
      </c>
      <c r="BU1318" s="7"/>
      <c r="BV1318" s="9" t="s">
        <v>98</v>
      </c>
      <c r="BW1318" s="9"/>
    </row>
    <row r="1319" spans="1:75" ht="14.25" customHeight="1" x14ac:dyDescent="0.25">
      <c r="A1319" s="1">
        <v>893</v>
      </c>
      <c r="B1319" s="1" t="s">
        <v>5359</v>
      </c>
      <c r="C1319" s="1" t="s">
        <v>5360</v>
      </c>
      <c r="D1319" s="1" t="s">
        <v>77</v>
      </c>
      <c r="E1319" s="1" t="s">
        <v>2015</v>
      </c>
      <c r="F1319" s="1" t="s">
        <v>2016</v>
      </c>
      <c r="G1319" s="1"/>
      <c r="H1319" s="2">
        <v>0</v>
      </c>
      <c r="I1319" s="2">
        <v>0</v>
      </c>
      <c r="J1319" s="2">
        <v>1</v>
      </c>
      <c r="K1319" s="2">
        <v>1</v>
      </c>
      <c r="L1319" s="3" t="s">
        <v>80</v>
      </c>
      <c r="O1319" s="4">
        <v>4</v>
      </c>
      <c r="P1319" s="4" t="s">
        <v>81</v>
      </c>
      <c r="Q1319" s="4" t="s">
        <v>1012</v>
      </c>
      <c r="R1319" s="5"/>
      <c r="S1319" s="6"/>
      <c r="T1319" s="17"/>
      <c r="U1319" s="6"/>
      <c r="V1319" s="4"/>
      <c r="W1319" s="4"/>
      <c r="X1319" s="4"/>
      <c r="Y1319" s="7">
        <v>3</v>
      </c>
      <c r="Z1319" s="8">
        <v>492084</v>
      </c>
      <c r="AA1319" s="7" t="s">
        <v>92</v>
      </c>
      <c r="AB1319" s="7"/>
      <c r="AC1319" s="9">
        <v>3</v>
      </c>
      <c r="AD1319" s="10">
        <v>492084</v>
      </c>
      <c r="AE1319" s="9" t="s">
        <v>92</v>
      </c>
      <c r="AF1319" s="9"/>
      <c r="AG1319" s="11">
        <v>3</v>
      </c>
      <c r="AH1319" s="11" t="s">
        <v>93</v>
      </c>
      <c r="AI1319" s="11"/>
      <c r="AJ1319" s="11"/>
      <c r="AK1319" s="11"/>
      <c r="AL1319" s="12">
        <v>3</v>
      </c>
      <c r="AM1319" s="12" t="s">
        <v>93</v>
      </c>
      <c r="AN1319" s="12" t="s">
        <v>5361</v>
      </c>
      <c r="AO1319" s="12"/>
      <c r="AP1319" s="12"/>
      <c r="AQ1319" s="4">
        <v>4</v>
      </c>
      <c r="AR1319" s="4" t="s">
        <v>83</v>
      </c>
      <c r="AS1319" s="4" t="s">
        <v>5362</v>
      </c>
      <c r="AT1319" s="13"/>
      <c r="AU1319" s="13"/>
      <c r="AV1319" s="13"/>
      <c r="AW1319" s="13"/>
      <c r="AX1319" s="4"/>
      <c r="AY1319" s="13"/>
      <c r="AZ1319" s="13"/>
      <c r="BA1319" s="13"/>
      <c r="BB1319" s="13"/>
      <c r="BC1319" s="4"/>
      <c r="BD1319" s="4"/>
      <c r="BE1319" s="4"/>
      <c r="BF1319" s="13"/>
      <c r="BG1319" s="4"/>
      <c r="BH1319" s="13"/>
      <c r="BI1319" s="13"/>
      <c r="BJ1319" s="4"/>
      <c r="BK1319" s="14">
        <v>14</v>
      </c>
      <c r="BL1319" s="14">
        <v>14</v>
      </c>
      <c r="BM1319" s="14">
        <v>14</v>
      </c>
      <c r="BN1319" s="3" t="s">
        <v>86</v>
      </c>
      <c r="BP1319" s="15"/>
      <c r="BQ1319" s="15"/>
      <c r="BR1319" s="2" t="s">
        <v>121</v>
      </c>
      <c r="BS1319" s="2" t="s">
        <v>121</v>
      </c>
      <c r="BT1319" s="7" t="s">
        <v>98</v>
      </c>
      <c r="BU1319" s="7"/>
      <c r="BV1319" s="9" t="s">
        <v>98</v>
      </c>
      <c r="BW1319" s="9"/>
    </row>
    <row r="1320" spans="1:75" ht="14.25" customHeight="1" x14ac:dyDescent="0.25">
      <c r="A1320" s="1">
        <v>916</v>
      </c>
      <c r="B1320" s="1" t="s">
        <v>5363</v>
      </c>
      <c r="C1320" s="1" t="s">
        <v>5364</v>
      </c>
      <c r="D1320" s="1" t="s">
        <v>77</v>
      </c>
      <c r="E1320" s="1" t="s">
        <v>2060</v>
      </c>
      <c r="F1320" s="1" t="s">
        <v>2061</v>
      </c>
      <c r="G1320" s="1" t="s">
        <v>5365</v>
      </c>
      <c r="H1320" s="2">
        <v>0</v>
      </c>
      <c r="I1320" s="2">
        <v>0</v>
      </c>
      <c r="J1320" s="2">
        <v>1</v>
      </c>
      <c r="K1320" s="2">
        <v>0</v>
      </c>
      <c r="L1320" s="3" t="s">
        <v>80</v>
      </c>
      <c r="O1320" s="4">
        <v>5</v>
      </c>
      <c r="P1320" s="4" t="s">
        <v>871</v>
      </c>
      <c r="Q1320" s="4" t="s">
        <v>872</v>
      </c>
      <c r="R1320" s="5"/>
      <c r="S1320" s="6"/>
      <c r="T1320" s="17"/>
      <c r="U1320" s="6"/>
      <c r="V1320" s="4"/>
      <c r="W1320" s="4"/>
      <c r="X1320" s="4"/>
      <c r="Y1320" s="7">
        <v>5</v>
      </c>
      <c r="Z1320" s="8">
        <v>71390</v>
      </c>
      <c r="AA1320" s="7" t="s">
        <v>5366</v>
      </c>
      <c r="AB1320" s="7"/>
      <c r="AC1320" s="9">
        <v>5</v>
      </c>
      <c r="AD1320" s="10">
        <v>71390</v>
      </c>
      <c r="AE1320" s="9" t="s">
        <v>5366</v>
      </c>
      <c r="AF1320" s="9"/>
      <c r="AG1320" s="11">
        <v>3</v>
      </c>
      <c r="AH1320" s="11" t="s">
        <v>1480</v>
      </c>
      <c r="AI1320" s="11" t="s">
        <v>5367</v>
      </c>
      <c r="AJ1320" s="11"/>
      <c r="AK1320" s="11"/>
      <c r="AL1320" s="12">
        <v>3</v>
      </c>
      <c r="AM1320" s="12" t="s">
        <v>1480</v>
      </c>
      <c r="AN1320" s="12" t="s">
        <v>5367</v>
      </c>
      <c r="AO1320" s="12"/>
      <c r="AP1320" s="12"/>
      <c r="AQ1320" s="4">
        <v>4</v>
      </c>
      <c r="AR1320" s="4" t="s">
        <v>1480</v>
      </c>
      <c r="AS1320" s="4" t="s">
        <v>5367</v>
      </c>
      <c r="AT1320" s="13"/>
      <c r="AU1320" s="13"/>
      <c r="AV1320" s="13"/>
      <c r="AW1320" s="13"/>
      <c r="AX1320" s="4"/>
      <c r="AY1320" s="13"/>
      <c r="AZ1320" s="13"/>
      <c r="BA1320" s="13"/>
      <c r="BB1320" s="13"/>
      <c r="BC1320" s="4"/>
      <c r="BD1320" s="4"/>
      <c r="BE1320" s="4"/>
      <c r="BF1320" s="13"/>
      <c r="BG1320" s="4"/>
      <c r="BH1320" s="13"/>
      <c r="BI1320" s="13"/>
      <c r="BJ1320" s="4"/>
      <c r="BK1320" s="14">
        <v>17</v>
      </c>
      <c r="BL1320" s="14">
        <v>17</v>
      </c>
      <c r="BM1320" s="14">
        <v>17</v>
      </c>
      <c r="BN1320" s="3" t="s">
        <v>312</v>
      </c>
      <c r="BP1320" s="15"/>
      <c r="BQ1320" s="15"/>
      <c r="BR1320" s="2" t="s">
        <v>115</v>
      </c>
      <c r="BS1320" s="2" t="s">
        <v>115</v>
      </c>
      <c r="BT1320" s="7" t="s">
        <v>98</v>
      </c>
      <c r="BU1320" s="7"/>
      <c r="BV1320" s="9" t="s">
        <v>98</v>
      </c>
      <c r="BW1320" s="9"/>
    </row>
    <row r="1321" spans="1:75" ht="14.25" customHeight="1" x14ac:dyDescent="0.25">
      <c r="A1321" s="1">
        <v>917</v>
      </c>
      <c r="B1321" s="1" t="s">
        <v>5368</v>
      </c>
      <c r="C1321" s="1" t="s">
        <v>5369</v>
      </c>
      <c r="D1321" s="1" t="s">
        <v>77</v>
      </c>
      <c r="E1321" s="1" t="s">
        <v>2060</v>
      </c>
      <c r="F1321" s="1" t="s">
        <v>2061</v>
      </c>
      <c r="G1321" s="1" t="s">
        <v>5370</v>
      </c>
      <c r="H1321" s="2">
        <v>0</v>
      </c>
      <c r="I1321" s="2">
        <v>0</v>
      </c>
      <c r="J1321" s="2">
        <v>1</v>
      </c>
      <c r="K1321" s="2">
        <v>1</v>
      </c>
      <c r="L1321" s="3" t="s">
        <v>80</v>
      </c>
      <c r="O1321" s="4">
        <v>3</v>
      </c>
      <c r="P1321" s="4" t="s">
        <v>81</v>
      </c>
      <c r="Q1321" s="4"/>
      <c r="R1321" s="5"/>
      <c r="S1321" s="6"/>
      <c r="T1321" s="17"/>
      <c r="U1321" s="6"/>
      <c r="V1321" s="4"/>
      <c r="W1321" s="4"/>
      <c r="X1321" s="4"/>
      <c r="Y1321" s="7">
        <v>3</v>
      </c>
      <c r="Z1321" s="8">
        <v>602133</v>
      </c>
      <c r="AA1321" s="7" t="s">
        <v>5366</v>
      </c>
      <c r="AB1321" s="7"/>
      <c r="AC1321" s="9">
        <v>3</v>
      </c>
      <c r="AD1321" s="10">
        <v>602133</v>
      </c>
      <c r="AE1321" s="9" t="s">
        <v>5366</v>
      </c>
      <c r="AF1321" s="9"/>
      <c r="AG1321" s="11">
        <v>2</v>
      </c>
      <c r="AH1321" s="11" t="s">
        <v>874</v>
      </c>
      <c r="AI1321" s="11" t="s">
        <v>875</v>
      </c>
      <c r="AJ1321" s="11"/>
      <c r="AK1321" s="11"/>
      <c r="AL1321" s="12">
        <v>2</v>
      </c>
      <c r="AM1321" s="12" t="s">
        <v>876</v>
      </c>
      <c r="AN1321" s="12" t="s">
        <v>5371</v>
      </c>
      <c r="AO1321" s="12"/>
      <c r="AP1321" s="12"/>
      <c r="AQ1321" s="4">
        <v>3</v>
      </c>
      <c r="AR1321" s="4" t="s">
        <v>874</v>
      </c>
      <c r="AS1321" s="4" t="s">
        <v>875</v>
      </c>
      <c r="AT1321" s="13"/>
      <c r="AU1321" s="13"/>
      <c r="AV1321" s="13"/>
      <c r="AW1321" s="13"/>
      <c r="AX1321" s="4"/>
      <c r="AY1321" s="13"/>
      <c r="AZ1321" s="13"/>
      <c r="BA1321" s="13"/>
      <c r="BB1321" s="13"/>
      <c r="BC1321" s="4"/>
      <c r="BD1321" s="4"/>
      <c r="BE1321" s="4"/>
      <c r="BF1321" s="13"/>
      <c r="BG1321" s="4"/>
      <c r="BH1321" s="13"/>
      <c r="BI1321" s="13"/>
      <c r="BJ1321" s="4"/>
      <c r="BK1321" s="14">
        <v>11</v>
      </c>
      <c r="BL1321" s="14">
        <v>11</v>
      </c>
      <c r="BM1321" s="14">
        <v>11</v>
      </c>
      <c r="BP1321" s="15"/>
      <c r="BQ1321" s="15"/>
      <c r="BR1321" s="2" t="s">
        <v>400</v>
      </c>
      <c r="BS1321" s="2" t="s">
        <v>400</v>
      </c>
      <c r="BT1321" s="7" t="s">
        <v>98</v>
      </c>
      <c r="BU1321" s="7"/>
      <c r="BV1321" s="9" t="s">
        <v>98</v>
      </c>
      <c r="BW1321" s="9"/>
    </row>
    <row r="1322" spans="1:75" ht="14.25" customHeight="1" x14ac:dyDescent="0.25">
      <c r="A1322" s="1">
        <v>918</v>
      </c>
      <c r="B1322" s="1" t="s">
        <v>5372</v>
      </c>
      <c r="C1322" s="1" t="s">
        <v>5373</v>
      </c>
      <c r="D1322" s="1" t="s">
        <v>77</v>
      </c>
      <c r="E1322" s="1" t="s">
        <v>2060</v>
      </c>
      <c r="F1322" s="1" t="s">
        <v>2061</v>
      </c>
      <c r="G1322" s="1" t="s">
        <v>5374</v>
      </c>
      <c r="H1322" s="2">
        <v>0</v>
      </c>
      <c r="I1322" s="2">
        <v>0</v>
      </c>
      <c r="J1322" s="2">
        <v>0</v>
      </c>
      <c r="K1322" s="2">
        <v>1</v>
      </c>
      <c r="L1322" s="3" t="s">
        <v>80</v>
      </c>
      <c r="O1322" s="4">
        <v>4</v>
      </c>
      <c r="P1322" s="4" t="s">
        <v>871</v>
      </c>
      <c r="Q1322" s="4" t="s">
        <v>5375</v>
      </c>
      <c r="R1322" s="5"/>
      <c r="S1322" s="6"/>
      <c r="T1322" s="17"/>
      <c r="U1322" s="6"/>
      <c r="V1322" s="4"/>
      <c r="W1322" s="4"/>
      <c r="X1322" s="4"/>
      <c r="Y1322" s="7">
        <v>3</v>
      </c>
      <c r="Z1322" s="8">
        <v>341748</v>
      </c>
      <c r="AA1322" s="7" t="s">
        <v>3271</v>
      </c>
      <c r="AB1322" s="7"/>
      <c r="AC1322" s="9">
        <v>3</v>
      </c>
      <c r="AD1322" s="10">
        <v>341748</v>
      </c>
      <c r="AE1322" s="9" t="s">
        <v>3271</v>
      </c>
      <c r="AF1322" s="9"/>
      <c r="AG1322" s="11">
        <v>2</v>
      </c>
      <c r="AH1322" s="11" t="s">
        <v>876</v>
      </c>
      <c r="AI1322" s="11" t="s">
        <v>4794</v>
      </c>
      <c r="AJ1322" s="11"/>
      <c r="AK1322" s="11"/>
      <c r="AL1322" s="12">
        <v>2</v>
      </c>
      <c r="AM1322" s="12" t="s">
        <v>876</v>
      </c>
      <c r="AN1322" s="12" t="s">
        <v>4794</v>
      </c>
      <c r="AO1322" s="12"/>
      <c r="AP1322" s="12"/>
      <c r="AQ1322" s="4">
        <v>2</v>
      </c>
      <c r="AR1322" s="4" t="s">
        <v>876</v>
      </c>
      <c r="AS1322" s="4" t="s">
        <v>4794</v>
      </c>
      <c r="AT1322" s="13"/>
      <c r="AU1322" s="13"/>
      <c r="AV1322" s="13"/>
      <c r="AW1322" s="13"/>
      <c r="AX1322" s="4"/>
      <c r="AY1322" s="13"/>
      <c r="AZ1322" s="13"/>
      <c r="BA1322" s="13"/>
      <c r="BB1322" s="13"/>
      <c r="BC1322" s="4"/>
      <c r="BD1322" s="4"/>
      <c r="BE1322" s="4"/>
      <c r="BF1322" s="13"/>
      <c r="BG1322" s="4"/>
      <c r="BH1322" s="13"/>
      <c r="BI1322" s="13"/>
      <c r="BJ1322" s="4"/>
      <c r="BK1322" s="14">
        <v>11</v>
      </c>
      <c r="BL1322" s="14">
        <v>11</v>
      </c>
      <c r="BM1322" s="14">
        <v>11</v>
      </c>
      <c r="BP1322" s="15"/>
      <c r="BQ1322" s="15"/>
      <c r="BR1322" s="2" t="s">
        <v>121</v>
      </c>
      <c r="BS1322" s="2" t="s">
        <v>121</v>
      </c>
      <c r="BT1322" s="7" t="s">
        <v>98</v>
      </c>
      <c r="BU1322" s="7"/>
      <c r="BV1322" s="9" t="s">
        <v>98</v>
      </c>
      <c r="BW1322" s="9"/>
    </row>
    <row r="1323" spans="1:75" ht="14.25" customHeight="1" x14ac:dyDescent="0.25">
      <c r="A1323" s="1">
        <v>919</v>
      </c>
      <c r="B1323" s="1" t="s">
        <v>5376</v>
      </c>
      <c r="C1323" s="1" t="s">
        <v>5377</v>
      </c>
      <c r="D1323" s="1" t="s">
        <v>77</v>
      </c>
      <c r="E1323" s="1" t="s">
        <v>2060</v>
      </c>
      <c r="F1323" s="1" t="s">
        <v>2061</v>
      </c>
      <c r="G1323" s="1"/>
      <c r="H1323" s="2">
        <v>0</v>
      </c>
      <c r="I1323" s="2">
        <v>0</v>
      </c>
      <c r="J1323" s="2">
        <v>0</v>
      </c>
      <c r="K1323" s="2">
        <v>1</v>
      </c>
      <c r="L1323" s="3" t="s">
        <v>80</v>
      </c>
      <c r="O1323" s="4">
        <v>2</v>
      </c>
      <c r="P1323" s="4" t="s">
        <v>81</v>
      </c>
      <c r="Q1323" s="4"/>
      <c r="R1323" s="5"/>
      <c r="S1323" s="6"/>
      <c r="T1323" s="17"/>
      <c r="U1323" s="6"/>
      <c r="V1323" s="4"/>
      <c r="W1323" s="4"/>
      <c r="X1323" s="4"/>
      <c r="Y1323" s="7">
        <v>2</v>
      </c>
      <c r="Z1323" s="8">
        <v>2817448</v>
      </c>
      <c r="AA1323" s="7" t="s">
        <v>82</v>
      </c>
      <c r="AB1323" s="7"/>
      <c r="AC1323" s="9">
        <v>2</v>
      </c>
      <c r="AD1323" s="10">
        <v>2817448</v>
      </c>
      <c r="AE1323" s="9" t="s">
        <v>82</v>
      </c>
      <c r="AF1323" s="9"/>
      <c r="AG1323" s="11">
        <v>4</v>
      </c>
      <c r="AH1323" s="11" t="s">
        <v>83</v>
      </c>
      <c r="AI1323" s="11"/>
      <c r="AJ1323" s="11"/>
      <c r="AK1323" s="11"/>
      <c r="AL1323" s="12">
        <v>4</v>
      </c>
      <c r="AM1323" s="12" t="s">
        <v>83</v>
      </c>
      <c r="AN1323" s="12"/>
      <c r="AO1323" s="12"/>
      <c r="AP1323" s="12"/>
      <c r="AQ1323" s="4">
        <v>4</v>
      </c>
      <c r="AR1323" s="4" t="s">
        <v>83</v>
      </c>
      <c r="AS1323" s="4"/>
      <c r="AT1323" s="13"/>
      <c r="AU1323" s="13"/>
      <c r="AV1323" s="13"/>
      <c r="AW1323" s="13"/>
      <c r="AX1323" s="4"/>
      <c r="AY1323" s="13"/>
      <c r="AZ1323" s="13"/>
      <c r="BA1323" s="13"/>
      <c r="BB1323" s="13"/>
      <c r="BC1323" s="4"/>
      <c r="BD1323" s="4"/>
      <c r="BE1323" s="4"/>
      <c r="BF1323" s="13"/>
      <c r="BG1323" s="4"/>
      <c r="BH1323" s="13"/>
      <c r="BI1323" s="13"/>
      <c r="BJ1323" s="4"/>
      <c r="BK1323" s="14">
        <v>12</v>
      </c>
      <c r="BL1323" s="14">
        <v>12</v>
      </c>
      <c r="BM1323" s="14">
        <v>12</v>
      </c>
      <c r="BP1323" s="15"/>
      <c r="BQ1323" s="15"/>
      <c r="BR1323" s="2" t="s">
        <v>97</v>
      </c>
      <c r="BS1323" s="2" t="s">
        <v>97</v>
      </c>
      <c r="BT1323" s="7" t="s">
        <v>98</v>
      </c>
      <c r="BU1323" s="7"/>
      <c r="BV1323" s="9" t="s">
        <v>98</v>
      </c>
      <c r="BW1323" s="9"/>
    </row>
    <row r="1324" spans="1:75" ht="14.25" customHeight="1" x14ac:dyDescent="0.25">
      <c r="A1324" s="1">
        <v>920</v>
      </c>
      <c r="B1324" s="1" t="s">
        <v>5378</v>
      </c>
      <c r="C1324" s="1" t="s">
        <v>5379</v>
      </c>
      <c r="D1324" s="1" t="s">
        <v>77</v>
      </c>
      <c r="E1324" s="1" t="s">
        <v>2060</v>
      </c>
      <c r="F1324" s="1" t="s">
        <v>2061</v>
      </c>
      <c r="G1324" s="1" t="s">
        <v>118</v>
      </c>
      <c r="H1324" s="2">
        <v>0</v>
      </c>
      <c r="I1324" s="2">
        <v>0</v>
      </c>
      <c r="J1324" s="2">
        <v>1</v>
      </c>
      <c r="K1324" s="2">
        <v>1</v>
      </c>
      <c r="L1324" s="3" t="s">
        <v>80</v>
      </c>
      <c r="O1324" s="4">
        <v>5</v>
      </c>
      <c r="P1324" s="4" t="s">
        <v>112</v>
      </c>
      <c r="Q1324" s="4"/>
      <c r="R1324" s="5"/>
      <c r="S1324" s="6"/>
      <c r="T1324" s="17"/>
      <c r="U1324" s="6"/>
      <c r="V1324" s="4"/>
      <c r="W1324" s="4"/>
      <c r="X1324" s="4"/>
      <c r="Y1324" s="7">
        <v>4</v>
      </c>
      <c r="Z1324" s="8">
        <v>176925</v>
      </c>
      <c r="AA1324" s="7" t="s">
        <v>92</v>
      </c>
      <c r="AB1324" s="7"/>
      <c r="AC1324" s="9">
        <v>4</v>
      </c>
      <c r="AD1324" s="10">
        <v>176925</v>
      </c>
      <c r="AE1324" s="9" t="s">
        <v>92</v>
      </c>
      <c r="AF1324" s="9"/>
      <c r="AG1324" s="11">
        <v>4</v>
      </c>
      <c r="AH1324" s="11" t="s">
        <v>93</v>
      </c>
      <c r="AI1324" s="11"/>
      <c r="AJ1324" s="11"/>
      <c r="AK1324" s="11"/>
      <c r="AL1324" s="12">
        <v>4</v>
      </c>
      <c r="AM1324" s="12" t="s">
        <v>93</v>
      </c>
      <c r="AN1324" s="12" t="s">
        <v>408</v>
      </c>
      <c r="AO1324" s="12"/>
      <c r="AP1324" s="12"/>
      <c r="AQ1324" s="4">
        <v>5</v>
      </c>
      <c r="AR1324" s="4" t="s">
        <v>83</v>
      </c>
      <c r="AS1324" s="4" t="s">
        <v>5380</v>
      </c>
      <c r="AT1324" s="13"/>
      <c r="AU1324" s="13"/>
      <c r="AV1324" s="13"/>
      <c r="AW1324" s="13"/>
      <c r="AX1324" s="4"/>
      <c r="AY1324" s="13"/>
      <c r="AZ1324" s="13"/>
      <c r="BA1324" s="13"/>
      <c r="BB1324" s="13"/>
      <c r="BC1324" s="4"/>
      <c r="BD1324" s="4"/>
      <c r="BE1324" s="4"/>
      <c r="BF1324" s="13"/>
      <c r="BG1324" s="4"/>
      <c r="BH1324" s="13"/>
      <c r="BI1324" s="13"/>
      <c r="BJ1324" s="4"/>
      <c r="BK1324" s="14">
        <v>18</v>
      </c>
      <c r="BL1324" s="14">
        <v>18</v>
      </c>
      <c r="BM1324" s="14">
        <v>18</v>
      </c>
      <c r="BN1324" s="3" t="s">
        <v>312</v>
      </c>
      <c r="BO1324" s="3" t="s">
        <v>114</v>
      </c>
      <c r="BP1324" s="15"/>
      <c r="BQ1324" s="15"/>
      <c r="BR1324" s="2" t="s">
        <v>115</v>
      </c>
      <c r="BS1324" s="2" t="s">
        <v>115</v>
      </c>
      <c r="BT1324" s="7" t="s">
        <v>98</v>
      </c>
      <c r="BU1324" s="7"/>
      <c r="BV1324" s="9" t="s">
        <v>98</v>
      </c>
      <c r="BW1324" s="9"/>
    </row>
    <row r="1325" spans="1:75" ht="14.25" customHeight="1" x14ac:dyDescent="0.25">
      <c r="A1325" s="1">
        <v>921</v>
      </c>
      <c r="B1325" s="1" t="s">
        <v>5381</v>
      </c>
      <c r="C1325" s="1" t="s">
        <v>5382</v>
      </c>
      <c r="D1325" s="1" t="s">
        <v>77</v>
      </c>
      <c r="E1325" s="1" t="s">
        <v>2060</v>
      </c>
      <c r="F1325" s="1" t="s">
        <v>2061</v>
      </c>
      <c r="G1325" s="1"/>
      <c r="H1325" s="2">
        <v>0</v>
      </c>
      <c r="I1325" s="2">
        <v>0</v>
      </c>
      <c r="J1325" s="2">
        <v>0</v>
      </c>
      <c r="K1325" s="2">
        <v>1</v>
      </c>
      <c r="L1325" s="3" t="s">
        <v>80</v>
      </c>
      <c r="O1325" s="4">
        <v>3</v>
      </c>
      <c r="P1325" s="4" t="s">
        <v>81</v>
      </c>
      <c r="Q1325" s="4"/>
      <c r="R1325" s="5"/>
      <c r="S1325" s="6"/>
      <c r="T1325" s="17"/>
      <c r="U1325" s="6"/>
      <c r="V1325" s="4"/>
      <c r="W1325" s="4"/>
      <c r="X1325" s="4"/>
      <c r="Y1325" s="7">
        <v>2</v>
      </c>
      <c r="Z1325" s="8">
        <v>2873630</v>
      </c>
      <c r="AA1325" s="7" t="s">
        <v>82</v>
      </c>
      <c r="AB1325" s="7"/>
      <c r="AC1325" s="9">
        <v>2</v>
      </c>
      <c r="AD1325" s="10">
        <v>2873630</v>
      </c>
      <c r="AE1325" s="9" t="s">
        <v>82</v>
      </c>
      <c r="AF1325" s="9"/>
      <c r="AG1325" s="11">
        <v>4</v>
      </c>
      <c r="AH1325" s="11" t="s">
        <v>83</v>
      </c>
      <c r="AI1325" s="11"/>
      <c r="AJ1325" s="11"/>
      <c r="AK1325" s="11"/>
      <c r="AL1325" s="12">
        <v>4</v>
      </c>
      <c r="AM1325" s="12" t="s">
        <v>83</v>
      </c>
      <c r="AN1325" s="12"/>
      <c r="AO1325" s="12"/>
      <c r="AP1325" s="12"/>
      <c r="AQ1325" s="4">
        <v>5</v>
      </c>
      <c r="AR1325" s="4" t="s">
        <v>83</v>
      </c>
      <c r="AS1325" s="4"/>
      <c r="AT1325" s="13"/>
      <c r="AU1325" s="13"/>
      <c r="AV1325" s="13"/>
      <c r="AW1325" s="13"/>
      <c r="AX1325" s="4"/>
      <c r="AY1325" s="13"/>
      <c r="AZ1325" s="13"/>
      <c r="BA1325" s="13"/>
      <c r="BB1325" s="13"/>
      <c r="BC1325" s="4"/>
      <c r="BD1325" s="4"/>
      <c r="BE1325" s="4"/>
      <c r="BF1325" s="13"/>
      <c r="BG1325" s="4"/>
      <c r="BH1325" s="13"/>
      <c r="BI1325" s="13"/>
      <c r="BJ1325" s="4"/>
      <c r="BK1325" s="14">
        <v>14</v>
      </c>
      <c r="BL1325" s="14">
        <v>14</v>
      </c>
      <c r="BM1325" s="14">
        <v>14</v>
      </c>
      <c r="BN1325" s="3" t="s">
        <v>113</v>
      </c>
      <c r="BP1325" s="15"/>
      <c r="BQ1325" s="15"/>
      <c r="BR1325" s="2" t="s">
        <v>97</v>
      </c>
      <c r="BS1325" s="2" t="s">
        <v>97</v>
      </c>
      <c r="BT1325" s="7" t="s">
        <v>98</v>
      </c>
      <c r="BU1325" s="7"/>
      <c r="BV1325" s="9" t="s">
        <v>98</v>
      </c>
      <c r="BW1325" s="9"/>
    </row>
    <row r="1326" spans="1:75" ht="14.25" customHeight="1" x14ac:dyDescent="0.25">
      <c r="A1326" s="1">
        <v>922</v>
      </c>
      <c r="B1326" s="1" t="s">
        <v>5383</v>
      </c>
      <c r="C1326" s="1" t="s">
        <v>5384</v>
      </c>
      <c r="D1326" s="1" t="s">
        <v>77</v>
      </c>
      <c r="E1326" s="1" t="s">
        <v>2060</v>
      </c>
      <c r="F1326" s="1" t="s">
        <v>2061</v>
      </c>
      <c r="G1326" s="1"/>
      <c r="H1326" s="2">
        <v>0</v>
      </c>
      <c r="I1326" s="2">
        <v>0</v>
      </c>
      <c r="J1326" s="2">
        <v>1</v>
      </c>
      <c r="K1326" s="2">
        <v>1</v>
      </c>
      <c r="L1326" s="3" t="s">
        <v>80</v>
      </c>
      <c r="O1326" s="4">
        <v>3</v>
      </c>
      <c r="P1326" s="4" t="s">
        <v>81</v>
      </c>
      <c r="Q1326" s="4" t="s">
        <v>1789</v>
      </c>
      <c r="R1326" s="5"/>
      <c r="S1326" s="6"/>
      <c r="T1326" s="17"/>
      <c r="U1326" s="6"/>
      <c r="V1326" s="4"/>
      <c r="W1326" s="4"/>
      <c r="X1326" s="4"/>
      <c r="Y1326" s="7">
        <v>4</v>
      </c>
      <c r="Z1326" s="8">
        <v>242076</v>
      </c>
      <c r="AA1326" s="7" t="s">
        <v>92</v>
      </c>
      <c r="AB1326" s="7"/>
      <c r="AC1326" s="9">
        <v>4</v>
      </c>
      <c r="AD1326" s="10">
        <v>242076</v>
      </c>
      <c r="AE1326" s="9" t="s">
        <v>92</v>
      </c>
      <c r="AF1326" s="9"/>
      <c r="AG1326" s="11">
        <v>3</v>
      </c>
      <c r="AH1326" s="11" t="s">
        <v>93</v>
      </c>
      <c r="AI1326" s="11" t="s">
        <v>393</v>
      </c>
      <c r="AJ1326" s="11"/>
      <c r="AK1326" s="11"/>
      <c r="AL1326" s="12">
        <v>3</v>
      </c>
      <c r="AM1326" s="12" t="s">
        <v>93</v>
      </c>
      <c r="AN1326" s="12" t="s">
        <v>394</v>
      </c>
      <c r="AO1326" s="12"/>
      <c r="AP1326" s="12"/>
      <c r="AQ1326" s="4">
        <v>3</v>
      </c>
      <c r="AR1326" s="4" t="s">
        <v>83</v>
      </c>
      <c r="AS1326" s="4" t="s">
        <v>5385</v>
      </c>
      <c r="AT1326" s="13"/>
      <c r="AU1326" s="13"/>
      <c r="AV1326" s="13"/>
      <c r="AW1326" s="13"/>
      <c r="AX1326" s="4"/>
      <c r="AY1326" s="13"/>
      <c r="AZ1326" s="13"/>
      <c r="BA1326" s="13"/>
      <c r="BB1326" s="13"/>
      <c r="BC1326" s="4"/>
      <c r="BD1326" s="4"/>
      <c r="BE1326" s="4"/>
      <c r="BF1326" s="13"/>
      <c r="BG1326" s="4"/>
      <c r="BH1326" s="13"/>
      <c r="BI1326" s="13"/>
      <c r="BJ1326" s="4"/>
      <c r="BK1326" s="14">
        <v>13</v>
      </c>
      <c r="BL1326" s="14">
        <v>13</v>
      </c>
      <c r="BM1326" s="14">
        <v>13</v>
      </c>
      <c r="BP1326" s="15"/>
      <c r="BQ1326" s="15"/>
      <c r="BR1326" s="2" t="s">
        <v>108</v>
      </c>
      <c r="BS1326" s="2" t="s">
        <v>108</v>
      </c>
      <c r="BT1326" s="7" t="s">
        <v>109</v>
      </c>
      <c r="BU1326" s="7"/>
      <c r="BV1326" s="9" t="s">
        <v>109</v>
      </c>
      <c r="BW1326" s="9"/>
    </row>
    <row r="1327" spans="1:75" ht="14.25" customHeight="1" x14ac:dyDescent="0.25">
      <c r="A1327" s="1">
        <v>923</v>
      </c>
      <c r="B1327" s="1" t="s">
        <v>5386</v>
      </c>
      <c r="C1327" s="1" t="s">
        <v>5387</v>
      </c>
      <c r="D1327" s="1" t="s">
        <v>77</v>
      </c>
      <c r="E1327" s="1" t="s">
        <v>2060</v>
      </c>
      <c r="F1327" s="1" t="s">
        <v>2071</v>
      </c>
      <c r="G1327" s="1"/>
      <c r="H1327" s="2">
        <v>0</v>
      </c>
      <c r="I1327" s="2">
        <v>1</v>
      </c>
      <c r="J1327" s="2">
        <v>1</v>
      </c>
      <c r="K1327" s="2">
        <v>1</v>
      </c>
      <c r="L1327" s="3" t="s">
        <v>80</v>
      </c>
      <c r="O1327" s="4">
        <v>2</v>
      </c>
      <c r="P1327" s="4" t="s">
        <v>2079</v>
      </c>
      <c r="Q1327" s="4" t="s">
        <v>5388</v>
      </c>
      <c r="R1327" s="16">
        <v>20000000</v>
      </c>
      <c r="S1327" s="6">
        <v>20000000</v>
      </c>
      <c r="T1327" s="17" t="s">
        <v>1869</v>
      </c>
      <c r="U1327" s="6">
        <v>500</v>
      </c>
      <c r="V1327" s="4"/>
      <c r="W1327" s="4" t="s">
        <v>543</v>
      </c>
      <c r="X1327" s="4" t="s">
        <v>5389</v>
      </c>
      <c r="Y1327" s="7">
        <v>1</v>
      </c>
      <c r="Z1327" s="8">
        <v>16654825</v>
      </c>
      <c r="AA1327" s="7" t="s">
        <v>92</v>
      </c>
      <c r="AB1327" s="7"/>
      <c r="AC1327" s="9">
        <v>1</v>
      </c>
      <c r="AD1327" s="10">
        <v>16654825</v>
      </c>
      <c r="AE1327" s="9" t="s">
        <v>92</v>
      </c>
      <c r="AF1327" s="9"/>
      <c r="AG1327" s="11">
        <v>2</v>
      </c>
      <c r="AH1327" s="11" t="s">
        <v>131</v>
      </c>
      <c r="AI1327" s="11" t="s">
        <v>5390</v>
      </c>
      <c r="AJ1327" s="11">
        <v>1</v>
      </c>
      <c r="AK1327" s="11" t="s">
        <v>143</v>
      </c>
      <c r="AL1327" s="12">
        <v>3</v>
      </c>
      <c r="AM1327" s="12" t="s">
        <v>131</v>
      </c>
      <c r="AN1327" s="12" t="s">
        <v>394</v>
      </c>
      <c r="AO1327" s="12">
        <v>2</v>
      </c>
      <c r="AP1327" s="12" t="s">
        <v>332</v>
      </c>
      <c r="AQ1327" s="4">
        <v>3</v>
      </c>
      <c r="AR1327" s="4" t="s">
        <v>673</v>
      </c>
      <c r="AS1327" s="4"/>
      <c r="AT1327" s="13"/>
      <c r="AU1327" s="13"/>
      <c r="AV1327" s="13"/>
      <c r="AW1327" s="13"/>
      <c r="AX1327" s="4"/>
      <c r="AY1327" s="13"/>
      <c r="AZ1327" s="13"/>
      <c r="BA1327" s="13"/>
      <c r="BB1327" s="13"/>
      <c r="BC1327" s="4"/>
      <c r="BD1327" s="4"/>
      <c r="BE1327" s="4"/>
      <c r="BF1327" s="13"/>
      <c r="BG1327" s="4"/>
      <c r="BH1327" s="13"/>
      <c r="BI1327" s="13"/>
      <c r="BJ1327" s="4"/>
      <c r="BK1327" s="14">
        <v>8</v>
      </c>
      <c r="BL1327" s="14">
        <v>9</v>
      </c>
      <c r="BM1327" s="14">
        <v>9</v>
      </c>
      <c r="BP1327" s="15"/>
      <c r="BQ1327" s="15"/>
      <c r="BR1327" s="2" t="s">
        <v>97</v>
      </c>
      <c r="BS1327" s="2" t="s">
        <v>97</v>
      </c>
      <c r="BT1327" s="7" t="s">
        <v>137</v>
      </c>
      <c r="BU1327" s="7"/>
      <c r="BV1327" s="9" t="s">
        <v>137</v>
      </c>
      <c r="BW1327" s="9"/>
    </row>
    <row r="1328" spans="1:75" ht="14.25" customHeight="1" x14ac:dyDescent="0.25">
      <c r="A1328" s="1">
        <v>924</v>
      </c>
      <c r="B1328" s="1" t="s">
        <v>5391</v>
      </c>
      <c r="C1328" s="1" t="s">
        <v>5392</v>
      </c>
      <c r="D1328" s="1" t="s">
        <v>77</v>
      </c>
      <c r="E1328" s="1" t="s">
        <v>2060</v>
      </c>
      <c r="F1328" s="1" t="s">
        <v>2071</v>
      </c>
      <c r="G1328" s="1"/>
      <c r="H1328" s="2">
        <v>1</v>
      </c>
      <c r="I1328" s="2">
        <v>1</v>
      </c>
      <c r="J1328" s="2">
        <v>1</v>
      </c>
      <c r="K1328" s="2">
        <v>1</v>
      </c>
      <c r="L1328" s="3" t="s">
        <v>127</v>
      </c>
      <c r="O1328" s="4">
        <v>3</v>
      </c>
      <c r="P1328" s="4" t="s">
        <v>579</v>
      </c>
      <c r="Q1328" s="4" t="s">
        <v>763</v>
      </c>
      <c r="R1328" s="16">
        <v>1800000</v>
      </c>
      <c r="S1328" s="6">
        <v>1800000</v>
      </c>
      <c r="T1328" s="16">
        <v>1800000</v>
      </c>
      <c r="U1328" s="6">
        <v>1800000</v>
      </c>
      <c r="V1328" s="4">
        <v>2010.5</v>
      </c>
      <c r="W1328" s="4" t="s">
        <v>579</v>
      </c>
      <c r="X1328" s="4"/>
      <c r="Y1328" s="7">
        <v>1</v>
      </c>
      <c r="Z1328" s="8">
        <v>13949116</v>
      </c>
      <c r="AA1328" s="7" t="s">
        <v>92</v>
      </c>
      <c r="AB1328" s="7"/>
      <c r="AC1328" s="9">
        <v>1</v>
      </c>
      <c r="AD1328" s="10">
        <v>10303824</v>
      </c>
      <c r="AE1328" s="9" t="s">
        <v>92</v>
      </c>
      <c r="AF1328" s="9"/>
      <c r="AG1328" s="11">
        <v>2</v>
      </c>
      <c r="AH1328" s="11" t="s">
        <v>131</v>
      </c>
      <c r="AI1328" s="11" t="s">
        <v>5393</v>
      </c>
      <c r="AJ1328" s="11">
        <v>2</v>
      </c>
      <c r="AK1328" s="11" t="s">
        <v>132</v>
      </c>
      <c r="AL1328" s="12">
        <v>2</v>
      </c>
      <c r="AM1328" s="12" t="s">
        <v>131</v>
      </c>
      <c r="AN1328" s="12" t="s">
        <v>5394</v>
      </c>
      <c r="AO1328" s="12">
        <v>2</v>
      </c>
      <c r="AP1328" s="12" t="s">
        <v>132</v>
      </c>
      <c r="AQ1328" s="4">
        <v>4</v>
      </c>
      <c r="AR1328" s="4" t="s">
        <v>133</v>
      </c>
      <c r="AS1328" s="4"/>
      <c r="AT1328" s="13">
        <v>-46.199710845947301</v>
      </c>
      <c r="AU1328" s="13">
        <v>-1.2058516740798999</v>
      </c>
      <c r="AV1328" s="13">
        <v>-1.53999996185303</v>
      </c>
      <c r="AW1328" s="13">
        <v>-0.88700002431869496</v>
      </c>
      <c r="AX1328" s="4">
        <v>1</v>
      </c>
      <c r="AY1328" s="13">
        <v>-3.8230392932891801</v>
      </c>
      <c r="AZ1328" s="13">
        <v>-0.389283627271652</v>
      </c>
      <c r="BA1328" s="13">
        <v>-1.5599999427795399</v>
      </c>
      <c r="BB1328" s="13">
        <v>0.41120100021362299</v>
      </c>
      <c r="BC1328" s="4"/>
      <c r="BD1328" s="4">
        <v>10</v>
      </c>
      <c r="BE1328" s="4" t="s">
        <v>134</v>
      </c>
      <c r="BF1328" s="13">
        <v>0.65299999713897705</v>
      </c>
      <c r="BG1328" s="4">
        <v>3344</v>
      </c>
      <c r="BH1328" s="13">
        <v>0.26550000905990601</v>
      </c>
      <c r="BI1328" s="13">
        <v>887.79150390625</v>
      </c>
      <c r="BJ1328" s="4"/>
      <c r="BK1328" s="14">
        <v>10</v>
      </c>
      <c r="BL1328" s="14">
        <v>10</v>
      </c>
      <c r="BM1328" s="14">
        <v>10</v>
      </c>
      <c r="BP1328" s="15"/>
      <c r="BQ1328" s="15"/>
      <c r="BR1328" s="2" t="s">
        <v>172</v>
      </c>
      <c r="BS1328" s="2" t="s">
        <v>247</v>
      </c>
      <c r="BT1328" s="7" t="s">
        <v>137</v>
      </c>
      <c r="BU1328" s="7"/>
      <c r="BV1328" s="9" t="s">
        <v>137</v>
      </c>
      <c r="BW1328" s="9" t="s">
        <v>148</v>
      </c>
    </row>
    <row r="1329" spans="1:75" ht="14.25" customHeight="1" x14ac:dyDescent="0.25">
      <c r="A1329" s="1">
        <v>986</v>
      </c>
      <c r="B1329" s="1" t="s">
        <v>5395</v>
      </c>
      <c r="C1329" s="1" t="s">
        <v>5396</v>
      </c>
      <c r="D1329" s="1" t="s">
        <v>77</v>
      </c>
      <c r="E1329" s="1" t="s">
        <v>2089</v>
      </c>
      <c r="F1329" s="1" t="s">
        <v>2148</v>
      </c>
      <c r="G1329" s="1" t="s">
        <v>2219</v>
      </c>
      <c r="H1329" s="2">
        <v>0</v>
      </c>
      <c r="I1329" s="2">
        <v>0</v>
      </c>
      <c r="J1329" s="2">
        <v>1</v>
      </c>
      <c r="K1329" s="2">
        <v>0</v>
      </c>
      <c r="L1329" s="3" t="s">
        <v>80</v>
      </c>
      <c r="O1329" s="4">
        <v>5</v>
      </c>
      <c r="P1329" s="4" t="s">
        <v>112</v>
      </c>
      <c r="Q1329" s="4"/>
      <c r="R1329" s="5"/>
      <c r="S1329" s="6"/>
      <c r="T1329" s="17"/>
      <c r="U1329" s="6"/>
      <c r="V1329" s="4"/>
      <c r="W1329" s="4"/>
      <c r="X1329" s="4"/>
      <c r="Y1329" s="7">
        <v>5</v>
      </c>
      <c r="Z1329" s="8">
        <v>18755</v>
      </c>
      <c r="AA1329" s="7" t="s">
        <v>92</v>
      </c>
      <c r="AB1329" s="7"/>
      <c r="AC1329" s="9">
        <v>5</v>
      </c>
      <c r="AD1329" s="10">
        <v>18755</v>
      </c>
      <c r="AE1329" s="9" t="s">
        <v>92</v>
      </c>
      <c r="AF1329" s="9"/>
      <c r="AG1329" s="11">
        <v>3</v>
      </c>
      <c r="AH1329" s="11" t="s">
        <v>93</v>
      </c>
      <c r="AI1329" s="11"/>
      <c r="AJ1329" s="11"/>
      <c r="AK1329" s="11"/>
      <c r="AL1329" s="12">
        <v>3</v>
      </c>
      <c r="AM1329" s="12" t="s">
        <v>93</v>
      </c>
      <c r="AN1329" s="12" t="s">
        <v>2178</v>
      </c>
      <c r="AO1329" s="12"/>
      <c r="AP1329" s="12"/>
      <c r="AQ1329" s="4">
        <v>4</v>
      </c>
      <c r="AR1329" s="4" t="s">
        <v>93</v>
      </c>
      <c r="AS1329" s="4"/>
      <c r="AT1329" s="13"/>
      <c r="AU1329" s="13"/>
      <c r="AV1329" s="13"/>
      <c r="AW1329" s="13"/>
      <c r="AX1329" s="4"/>
      <c r="AY1329" s="13"/>
      <c r="AZ1329" s="13"/>
      <c r="BA1329" s="13"/>
      <c r="BB1329" s="13"/>
      <c r="BC1329" s="4"/>
      <c r="BD1329" s="4"/>
      <c r="BE1329" s="4"/>
      <c r="BF1329" s="13"/>
      <c r="BG1329" s="4"/>
      <c r="BH1329" s="13"/>
      <c r="BI1329" s="13"/>
      <c r="BJ1329" s="4"/>
      <c r="BK1329" s="14">
        <v>17</v>
      </c>
      <c r="BL1329" s="14">
        <v>17</v>
      </c>
      <c r="BM1329" s="14">
        <v>17</v>
      </c>
      <c r="BN1329" s="3" t="s">
        <v>312</v>
      </c>
      <c r="BP1329" s="15"/>
      <c r="BQ1329" s="15"/>
      <c r="BR1329" s="2" t="s">
        <v>409</v>
      </c>
      <c r="BS1329" s="2" t="s">
        <v>409</v>
      </c>
      <c r="BT1329" s="7" t="s">
        <v>438</v>
      </c>
      <c r="BU1329" s="7"/>
      <c r="BV1329" s="9" t="s">
        <v>438</v>
      </c>
      <c r="BW1329" s="9"/>
    </row>
    <row r="1330" spans="1:75" ht="14.25" customHeight="1" x14ac:dyDescent="0.25">
      <c r="A1330" s="1">
        <v>987</v>
      </c>
      <c r="B1330" s="1" t="s">
        <v>5397</v>
      </c>
      <c r="C1330" s="1" t="s">
        <v>5398</v>
      </c>
      <c r="D1330" s="1" t="s">
        <v>77</v>
      </c>
      <c r="E1330" s="1" t="s">
        <v>2089</v>
      </c>
      <c r="F1330" s="1" t="s">
        <v>2148</v>
      </c>
      <c r="G1330" s="1" t="s">
        <v>5399</v>
      </c>
      <c r="H1330" s="2">
        <v>0</v>
      </c>
      <c r="I1330" s="2">
        <v>0</v>
      </c>
      <c r="J1330" s="2">
        <v>0</v>
      </c>
      <c r="K1330" s="2">
        <v>1</v>
      </c>
      <c r="L1330" s="3" t="s">
        <v>80</v>
      </c>
      <c r="O1330" s="4">
        <v>3</v>
      </c>
      <c r="P1330" s="4" t="s">
        <v>81</v>
      </c>
      <c r="Q1330" s="4"/>
      <c r="R1330" s="5"/>
      <c r="S1330" s="6"/>
      <c r="T1330" s="17"/>
      <c r="U1330" s="6"/>
      <c r="V1330" s="4"/>
      <c r="W1330" s="4"/>
      <c r="X1330" s="4"/>
      <c r="Y1330" s="7">
        <v>3</v>
      </c>
      <c r="Z1330" s="8">
        <v>685012</v>
      </c>
      <c r="AA1330" s="7" t="s">
        <v>82</v>
      </c>
      <c r="AB1330" s="7"/>
      <c r="AC1330" s="9">
        <v>3</v>
      </c>
      <c r="AD1330" s="10">
        <v>685012</v>
      </c>
      <c r="AE1330" s="9" t="s">
        <v>82</v>
      </c>
      <c r="AF1330" s="9"/>
      <c r="AG1330" s="11">
        <v>4</v>
      </c>
      <c r="AH1330" s="11" t="s">
        <v>83</v>
      </c>
      <c r="AI1330" s="11"/>
      <c r="AJ1330" s="11"/>
      <c r="AK1330" s="11"/>
      <c r="AL1330" s="12">
        <v>4</v>
      </c>
      <c r="AM1330" s="12" t="s">
        <v>83</v>
      </c>
      <c r="AN1330" s="12"/>
      <c r="AO1330" s="12"/>
      <c r="AP1330" s="12"/>
      <c r="AQ1330" s="4">
        <v>4</v>
      </c>
      <c r="AR1330" s="4" t="s">
        <v>83</v>
      </c>
      <c r="AS1330" s="4"/>
      <c r="AT1330" s="13"/>
      <c r="AU1330" s="13"/>
      <c r="AV1330" s="13"/>
      <c r="AW1330" s="13"/>
      <c r="AX1330" s="4"/>
      <c r="AY1330" s="13"/>
      <c r="AZ1330" s="13"/>
      <c r="BA1330" s="13"/>
      <c r="BB1330" s="13"/>
      <c r="BC1330" s="4"/>
      <c r="BD1330" s="4"/>
      <c r="BE1330" s="4"/>
      <c r="BF1330" s="13"/>
      <c r="BG1330" s="4"/>
      <c r="BH1330" s="13"/>
      <c r="BI1330" s="13"/>
      <c r="BJ1330" s="4"/>
      <c r="BK1330" s="14">
        <v>14</v>
      </c>
      <c r="BL1330" s="14">
        <v>14</v>
      </c>
      <c r="BM1330" s="14">
        <v>14</v>
      </c>
      <c r="BN1330" s="3" t="s">
        <v>86</v>
      </c>
      <c r="BP1330" s="15"/>
      <c r="BQ1330" s="15"/>
      <c r="BR1330" s="2" t="s">
        <v>121</v>
      </c>
      <c r="BS1330" s="2" t="s">
        <v>121</v>
      </c>
      <c r="BT1330" s="7" t="s">
        <v>98</v>
      </c>
      <c r="BU1330" s="7"/>
      <c r="BV1330" s="9" t="s">
        <v>98</v>
      </c>
      <c r="BW1330" s="9"/>
    </row>
    <row r="1331" spans="1:75" ht="14.25" customHeight="1" x14ac:dyDescent="0.25">
      <c r="A1331" s="1">
        <v>988</v>
      </c>
      <c r="B1331" s="1" t="s">
        <v>5400</v>
      </c>
      <c r="C1331" s="1" t="s">
        <v>5401</v>
      </c>
      <c r="D1331" s="1" t="s">
        <v>77</v>
      </c>
      <c r="E1331" s="1" t="s">
        <v>2089</v>
      </c>
      <c r="F1331" s="1" t="s">
        <v>2148</v>
      </c>
      <c r="G1331" s="1" t="s">
        <v>118</v>
      </c>
      <c r="H1331" s="2">
        <v>0</v>
      </c>
      <c r="I1331" s="2">
        <v>0</v>
      </c>
      <c r="J1331" s="2">
        <v>0</v>
      </c>
      <c r="K1331" s="2">
        <v>1</v>
      </c>
      <c r="L1331" s="3" t="s">
        <v>80</v>
      </c>
      <c r="O1331" s="4">
        <v>4</v>
      </c>
      <c r="P1331" s="4" t="s">
        <v>81</v>
      </c>
      <c r="Q1331" s="4"/>
      <c r="R1331" s="5"/>
      <c r="S1331" s="6"/>
      <c r="T1331" s="17"/>
      <c r="U1331" s="6"/>
      <c r="V1331" s="4"/>
      <c r="W1331" s="4"/>
      <c r="X1331" s="4"/>
      <c r="Y1331" s="7">
        <v>4</v>
      </c>
      <c r="Z1331" s="8">
        <v>92899</v>
      </c>
      <c r="AA1331" s="7" t="s">
        <v>82</v>
      </c>
      <c r="AB1331" s="7"/>
      <c r="AC1331" s="9">
        <v>4</v>
      </c>
      <c r="AD1331" s="10">
        <v>92899</v>
      </c>
      <c r="AE1331" s="9" t="s">
        <v>82</v>
      </c>
      <c r="AF1331" s="9"/>
      <c r="AG1331" s="11">
        <v>4</v>
      </c>
      <c r="AH1331" s="11" t="s">
        <v>83</v>
      </c>
      <c r="AI1331" s="11"/>
      <c r="AJ1331" s="11"/>
      <c r="AK1331" s="11"/>
      <c r="AL1331" s="12">
        <v>4</v>
      </c>
      <c r="AM1331" s="12" t="s">
        <v>83</v>
      </c>
      <c r="AN1331" s="12"/>
      <c r="AO1331" s="12"/>
      <c r="AP1331" s="12"/>
      <c r="AQ1331" s="4">
        <v>5</v>
      </c>
      <c r="AR1331" s="4" t="s">
        <v>83</v>
      </c>
      <c r="AS1331" s="4"/>
      <c r="AT1331" s="13"/>
      <c r="AU1331" s="13"/>
      <c r="AV1331" s="13"/>
      <c r="AW1331" s="13"/>
      <c r="AX1331" s="4"/>
      <c r="AY1331" s="13"/>
      <c r="AZ1331" s="13"/>
      <c r="BA1331" s="13"/>
      <c r="BB1331" s="13"/>
      <c r="BC1331" s="4"/>
      <c r="BD1331" s="4"/>
      <c r="BE1331" s="4"/>
      <c r="BF1331" s="13"/>
      <c r="BG1331" s="4"/>
      <c r="BH1331" s="13"/>
      <c r="BI1331" s="13"/>
      <c r="BJ1331" s="4"/>
      <c r="BK1331" s="14">
        <v>17</v>
      </c>
      <c r="BL1331" s="14">
        <v>17</v>
      </c>
      <c r="BM1331" s="14">
        <v>17</v>
      </c>
      <c r="BN1331" s="3" t="s">
        <v>312</v>
      </c>
      <c r="BP1331" s="15"/>
      <c r="BQ1331" s="15"/>
      <c r="BR1331" s="2" t="s">
        <v>115</v>
      </c>
      <c r="BS1331" s="2" t="s">
        <v>115</v>
      </c>
      <c r="BT1331" s="7" t="s">
        <v>98</v>
      </c>
      <c r="BU1331" s="7"/>
      <c r="BV1331" s="9" t="s">
        <v>98</v>
      </c>
      <c r="BW1331" s="9"/>
    </row>
    <row r="1332" spans="1:75" ht="14.25" customHeight="1" x14ac:dyDescent="0.25">
      <c r="A1332" s="1">
        <v>989</v>
      </c>
      <c r="B1332" s="1" t="s">
        <v>5402</v>
      </c>
      <c r="C1332" s="1" t="s">
        <v>5403</v>
      </c>
      <c r="D1332" s="1" t="s">
        <v>77</v>
      </c>
      <c r="E1332" s="1" t="s">
        <v>2089</v>
      </c>
      <c r="F1332" s="1" t="s">
        <v>2148</v>
      </c>
      <c r="G1332" s="1" t="s">
        <v>118</v>
      </c>
      <c r="H1332" s="2">
        <v>0</v>
      </c>
      <c r="I1332" s="2">
        <v>0</v>
      </c>
      <c r="J1332" s="2">
        <v>0</v>
      </c>
      <c r="K1332" s="2">
        <v>1</v>
      </c>
      <c r="L1332" s="3" t="s">
        <v>80</v>
      </c>
      <c r="O1332" s="4">
        <v>5</v>
      </c>
      <c r="P1332" s="4" t="s">
        <v>81</v>
      </c>
      <c r="Q1332" s="4"/>
      <c r="R1332" s="5"/>
      <c r="S1332" s="6"/>
      <c r="T1332" s="17"/>
      <c r="U1332" s="6"/>
      <c r="V1332" s="4"/>
      <c r="W1332" s="4"/>
      <c r="X1332" s="4"/>
      <c r="Y1332" s="7">
        <v>5</v>
      </c>
      <c r="Z1332" s="8">
        <v>5400</v>
      </c>
      <c r="AA1332" s="7" t="s">
        <v>82</v>
      </c>
      <c r="AB1332" s="7"/>
      <c r="AC1332" s="9">
        <v>5</v>
      </c>
      <c r="AD1332" s="10">
        <v>5400</v>
      </c>
      <c r="AE1332" s="9" t="s">
        <v>82</v>
      </c>
      <c r="AF1332" s="9"/>
      <c r="AG1332" s="11">
        <v>3</v>
      </c>
      <c r="AH1332" s="11" t="s">
        <v>83</v>
      </c>
      <c r="AI1332" s="11"/>
      <c r="AJ1332" s="11"/>
      <c r="AK1332" s="11"/>
      <c r="AL1332" s="12">
        <v>3</v>
      </c>
      <c r="AM1332" s="12" t="s">
        <v>83</v>
      </c>
      <c r="AN1332" s="12"/>
      <c r="AO1332" s="12"/>
      <c r="AP1332" s="12"/>
      <c r="AQ1332" s="4">
        <v>4</v>
      </c>
      <c r="AR1332" s="4" t="s">
        <v>83</v>
      </c>
      <c r="AS1332" s="4"/>
      <c r="AT1332" s="13"/>
      <c r="AU1332" s="13"/>
      <c r="AV1332" s="13"/>
      <c r="AW1332" s="13"/>
      <c r="AX1332" s="4"/>
      <c r="AY1332" s="13"/>
      <c r="AZ1332" s="13"/>
      <c r="BA1332" s="13"/>
      <c r="BB1332" s="13"/>
      <c r="BC1332" s="4"/>
      <c r="BD1332" s="4"/>
      <c r="BE1332" s="4"/>
      <c r="BF1332" s="13"/>
      <c r="BG1332" s="4"/>
      <c r="BH1332" s="13"/>
      <c r="BI1332" s="13"/>
      <c r="BJ1332" s="4"/>
      <c r="BK1332" s="14">
        <v>17</v>
      </c>
      <c r="BL1332" s="14">
        <v>17</v>
      </c>
      <c r="BM1332" s="14">
        <v>17</v>
      </c>
      <c r="BN1332" s="3" t="s">
        <v>312</v>
      </c>
      <c r="BP1332" s="15"/>
      <c r="BQ1332" s="15"/>
      <c r="BR1332" s="2" t="s">
        <v>121</v>
      </c>
      <c r="BS1332" s="2" t="s">
        <v>121</v>
      </c>
      <c r="BT1332" s="7" t="s">
        <v>98</v>
      </c>
      <c r="BU1332" s="7"/>
      <c r="BV1332" s="9" t="s">
        <v>98</v>
      </c>
      <c r="BW1332" s="9"/>
    </row>
    <row r="1333" spans="1:75" ht="14.25" customHeight="1" x14ac:dyDescent="0.25">
      <c r="A1333" s="1">
        <v>990</v>
      </c>
      <c r="B1333" s="1" t="s">
        <v>5404</v>
      </c>
      <c r="C1333" s="1" t="s">
        <v>5405</v>
      </c>
      <c r="D1333" s="1" t="s">
        <v>77</v>
      </c>
      <c r="E1333" s="1" t="s">
        <v>2089</v>
      </c>
      <c r="F1333" s="1" t="s">
        <v>2148</v>
      </c>
      <c r="G1333" s="1"/>
      <c r="H1333" s="2">
        <v>0</v>
      </c>
      <c r="I1333" s="2">
        <v>0</v>
      </c>
      <c r="J1333" s="2">
        <v>0</v>
      </c>
      <c r="K1333" s="2">
        <v>1</v>
      </c>
      <c r="L1333" s="3" t="s">
        <v>80</v>
      </c>
      <c r="O1333" s="4">
        <v>3</v>
      </c>
      <c r="P1333" s="4" t="s">
        <v>81</v>
      </c>
      <c r="Q1333" s="4"/>
      <c r="R1333" s="5"/>
      <c r="S1333" s="6"/>
      <c r="T1333" s="17"/>
      <c r="U1333" s="6"/>
      <c r="V1333" s="4"/>
      <c r="W1333" s="4"/>
      <c r="X1333" s="4"/>
      <c r="Y1333" s="7">
        <v>1</v>
      </c>
      <c r="Z1333" s="8">
        <v>8619875</v>
      </c>
      <c r="AA1333" s="7" t="s">
        <v>82</v>
      </c>
      <c r="AB1333" s="7"/>
      <c r="AC1333" s="9">
        <v>1</v>
      </c>
      <c r="AD1333" s="10">
        <v>8619875</v>
      </c>
      <c r="AE1333" s="9" t="s">
        <v>82</v>
      </c>
      <c r="AF1333" s="9"/>
      <c r="AG1333" s="11">
        <v>4</v>
      </c>
      <c r="AH1333" s="11" t="s">
        <v>83</v>
      </c>
      <c r="AI1333" s="11"/>
      <c r="AJ1333" s="11"/>
      <c r="AK1333" s="11"/>
      <c r="AL1333" s="12">
        <v>4</v>
      </c>
      <c r="AM1333" s="12" t="s">
        <v>83</v>
      </c>
      <c r="AN1333" s="12"/>
      <c r="AO1333" s="12"/>
      <c r="AP1333" s="12"/>
      <c r="AQ1333" s="4">
        <v>5</v>
      </c>
      <c r="AR1333" s="4" t="s">
        <v>83</v>
      </c>
      <c r="AS1333" s="4"/>
      <c r="AT1333" s="13"/>
      <c r="AU1333" s="13"/>
      <c r="AV1333" s="13"/>
      <c r="AW1333" s="13"/>
      <c r="AX1333" s="4"/>
      <c r="AY1333" s="13"/>
      <c r="AZ1333" s="13"/>
      <c r="BA1333" s="13"/>
      <c r="BB1333" s="13"/>
      <c r="BC1333" s="4"/>
      <c r="BD1333" s="4"/>
      <c r="BE1333" s="4"/>
      <c r="BF1333" s="13"/>
      <c r="BG1333" s="4"/>
      <c r="BH1333" s="13"/>
      <c r="BI1333" s="13"/>
      <c r="BJ1333" s="4"/>
      <c r="BK1333" s="14">
        <v>13</v>
      </c>
      <c r="BL1333" s="14">
        <v>13</v>
      </c>
      <c r="BM1333" s="14">
        <v>13</v>
      </c>
      <c r="BN1333" s="3" t="s">
        <v>113</v>
      </c>
      <c r="BP1333" s="15"/>
      <c r="BQ1333" s="15"/>
      <c r="BR1333" s="2" t="s">
        <v>740</v>
      </c>
      <c r="BS1333" s="2" t="s">
        <v>740</v>
      </c>
      <c r="BT1333" s="7" t="s">
        <v>98</v>
      </c>
      <c r="BU1333" s="7"/>
      <c r="BV1333" s="9" t="s">
        <v>98</v>
      </c>
      <c r="BW1333" s="9"/>
    </row>
    <row r="1334" spans="1:75" ht="14.25" customHeight="1" x14ac:dyDescent="0.25">
      <c r="A1334" s="1">
        <v>991</v>
      </c>
      <c r="B1334" s="1" t="s">
        <v>5406</v>
      </c>
      <c r="C1334" s="1" t="s">
        <v>5407</v>
      </c>
      <c r="D1334" s="1" t="s">
        <v>77</v>
      </c>
      <c r="E1334" s="1" t="s">
        <v>2089</v>
      </c>
      <c r="F1334" s="1" t="s">
        <v>2148</v>
      </c>
      <c r="G1334" s="1"/>
      <c r="H1334" s="2">
        <v>0</v>
      </c>
      <c r="I1334" s="2">
        <v>0</v>
      </c>
      <c r="J1334" s="2">
        <v>1</v>
      </c>
      <c r="K1334" s="2">
        <v>1</v>
      </c>
      <c r="L1334" s="3" t="s">
        <v>80</v>
      </c>
      <c r="O1334" s="4">
        <v>3</v>
      </c>
      <c r="P1334" s="4" t="s">
        <v>112</v>
      </c>
      <c r="Q1334" s="4"/>
      <c r="R1334" s="5"/>
      <c r="S1334" s="6"/>
      <c r="T1334" s="17"/>
      <c r="U1334" s="6"/>
      <c r="V1334" s="4"/>
      <c r="W1334" s="4"/>
      <c r="X1334" s="4"/>
      <c r="Y1334" s="7">
        <v>2</v>
      </c>
      <c r="Z1334" s="8">
        <v>1827176</v>
      </c>
      <c r="AA1334" s="7" t="s">
        <v>92</v>
      </c>
      <c r="AB1334" s="7"/>
      <c r="AC1334" s="9">
        <v>2</v>
      </c>
      <c r="AD1334" s="10">
        <v>1827176</v>
      </c>
      <c r="AE1334" s="9" t="s">
        <v>92</v>
      </c>
      <c r="AF1334" s="9"/>
      <c r="AG1334" s="11">
        <v>2</v>
      </c>
      <c r="AH1334" s="11" t="s">
        <v>93</v>
      </c>
      <c r="AI1334" s="11"/>
      <c r="AJ1334" s="11"/>
      <c r="AK1334" s="11"/>
      <c r="AL1334" s="12">
        <v>2</v>
      </c>
      <c r="AM1334" s="12" t="s">
        <v>93</v>
      </c>
      <c r="AN1334" s="12" t="s">
        <v>394</v>
      </c>
      <c r="AO1334" s="12"/>
      <c r="AP1334" s="12"/>
      <c r="AQ1334" s="4">
        <v>4</v>
      </c>
      <c r="AR1334" s="4" t="s">
        <v>83</v>
      </c>
      <c r="AS1334" s="4"/>
      <c r="AT1334" s="13"/>
      <c r="AU1334" s="13"/>
      <c r="AV1334" s="13"/>
      <c r="AW1334" s="13"/>
      <c r="AX1334" s="4"/>
      <c r="AY1334" s="13"/>
      <c r="AZ1334" s="13"/>
      <c r="BA1334" s="13"/>
      <c r="BB1334" s="13"/>
      <c r="BC1334" s="4"/>
      <c r="BD1334" s="4"/>
      <c r="BE1334" s="4"/>
      <c r="BF1334" s="13"/>
      <c r="BG1334" s="4"/>
      <c r="BH1334" s="13"/>
      <c r="BI1334" s="13"/>
      <c r="BJ1334" s="4"/>
      <c r="BK1334" s="14">
        <v>11</v>
      </c>
      <c r="BL1334" s="14">
        <v>11</v>
      </c>
      <c r="BM1334" s="14">
        <v>11</v>
      </c>
      <c r="BP1334" s="15"/>
      <c r="BQ1334" s="15"/>
      <c r="BR1334" s="2" t="s">
        <v>87</v>
      </c>
      <c r="BS1334" s="2" t="s">
        <v>87</v>
      </c>
      <c r="BT1334" s="7" t="s">
        <v>797</v>
      </c>
      <c r="BU1334" s="7"/>
      <c r="BV1334" s="9" t="s">
        <v>797</v>
      </c>
      <c r="BW1334" s="9"/>
    </row>
    <row r="1335" spans="1:75" ht="14.25" customHeight="1" x14ac:dyDescent="0.25">
      <c r="A1335" s="1">
        <v>992</v>
      </c>
      <c r="B1335" s="1" t="s">
        <v>5408</v>
      </c>
      <c r="C1335" s="1" t="s">
        <v>5409</v>
      </c>
      <c r="D1335" s="1" t="s">
        <v>77</v>
      </c>
      <c r="E1335" s="1" t="s">
        <v>2089</v>
      </c>
      <c r="F1335" s="1" t="s">
        <v>2148</v>
      </c>
      <c r="G1335" s="1" t="s">
        <v>118</v>
      </c>
      <c r="H1335" s="2">
        <v>0</v>
      </c>
      <c r="I1335" s="2">
        <v>0</v>
      </c>
      <c r="J1335" s="2">
        <v>1</v>
      </c>
      <c r="K1335" s="2">
        <v>0</v>
      </c>
      <c r="L1335" s="3" t="s">
        <v>80</v>
      </c>
      <c r="O1335" s="4">
        <v>5</v>
      </c>
      <c r="P1335" s="4" t="s">
        <v>112</v>
      </c>
      <c r="Q1335" s="4"/>
      <c r="R1335" s="5"/>
      <c r="S1335" s="6"/>
      <c r="T1335" s="17"/>
      <c r="U1335" s="6"/>
      <c r="V1335" s="4"/>
      <c r="W1335" s="4"/>
      <c r="X1335" s="4"/>
      <c r="Y1335" s="7">
        <v>4</v>
      </c>
      <c r="Z1335" s="8">
        <v>197267</v>
      </c>
      <c r="AA1335" s="7" t="s">
        <v>92</v>
      </c>
      <c r="AB1335" s="7"/>
      <c r="AC1335" s="9">
        <v>4</v>
      </c>
      <c r="AD1335" s="10">
        <v>197267</v>
      </c>
      <c r="AE1335" s="9" t="s">
        <v>92</v>
      </c>
      <c r="AF1335" s="9"/>
      <c r="AG1335" s="11">
        <v>4</v>
      </c>
      <c r="AH1335" s="11" t="s">
        <v>93</v>
      </c>
      <c r="AI1335" s="11" t="s">
        <v>393</v>
      </c>
      <c r="AJ1335" s="11"/>
      <c r="AK1335" s="11"/>
      <c r="AL1335" s="12">
        <v>4</v>
      </c>
      <c r="AM1335" s="12" t="s">
        <v>93</v>
      </c>
      <c r="AN1335" s="12" t="s">
        <v>805</v>
      </c>
      <c r="AO1335" s="12"/>
      <c r="AP1335" s="12"/>
      <c r="AQ1335" s="4">
        <v>4</v>
      </c>
      <c r="AR1335" s="4" t="s">
        <v>441</v>
      </c>
      <c r="AS1335" s="4" t="s">
        <v>5410</v>
      </c>
      <c r="AT1335" s="13"/>
      <c r="AU1335" s="13"/>
      <c r="AV1335" s="13"/>
      <c r="AW1335" s="13"/>
      <c r="AX1335" s="4"/>
      <c r="AY1335" s="13"/>
      <c r="AZ1335" s="13"/>
      <c r="BA1335" s="13"/>
      <c r="BB1335" s="13"/>
      <c r="BC1335" s="4"/>
      <c r="BD1335" s="4"/>
      <c r="BE1335" s="4"/>
      <c r="BF1335" s="13"/>
      <c r="BG1335" s="4"/>
      <c r="BH1335" s="13"/>
      <c r="BI1335" s="13"/>
      <c r="BJ1335" s="4"/>
      <c r="BK1335" s="14">
        <v>17</v>
      </c>
      <c r="BL1335" s="14">
        <v>17</v>
      </c>
      <c r="BM1335" s="14">
        <v>17</v>
      </c>
      <c r="BN1335" s="3" t="s">
        <v>312</v>
      </c>
      <c r="BP1335" s="15"/>
      <c r="BQ1335" s="15"/>
      <c r="BR1335" s="2" t="s">
        <v>108</v>
      </c>
      <c r="BS1335" s="2" t="s">
        <v>108</v>
      </c>
      <c r="BT1335" s="7" t="s">
        <v>109</v>
      </c>
      <c r="BU1335" s="7"/>
      <c r="BV1335" s="9" t="s">
        <v>109</v>
      </c>
      <c r="BW1335" s="9"/>
    </row>
    <row r="1336" spans="1:75" ht="14.25" customHeight="1" x14ac:dyDescent="0.25">
      <c r="A1336" s="1">
        <v>993</v>
      </c>
      <c r="B1336" s="1" t="s">
        <v>5411</v>
      </c>
      <c r="C1336" s="1" t="s">
        <v>5412</v>
      </c>
      <c r="D1336" s="1" t="s">
        <v>77</v>
      </c>
      <c r="E1336" s="1" t="s">
        <v>2089</v>
      </c>
      <c r="F1336" s="1" t="s">
        <v>2148</v>
      </c>
      <c r="G1336" s="1"/>
      <c r="H1336" s="2">
        <v>0</v>
      </c>
      <c r="I1336" s="2">
        <v>0</v>
      </c>
      <c r="J1336" s="2">
        <v>0</v>
      </c>
      <c r="K1336" s="2">
        <v>1</v>
      </c>
      <c r="L1336" s="3" t="s">
        <v>80</v>
      </c>
      <c r="O1336" s="4">
        <v>3</v>
      </c>
      <c r="P1336" s="4" t="s">
        <v>81</v>
      </c>
      <c r="Q1336" s="4"/>
      <c r="R1336" s="5"/>
      <c r="S1336" s="6"/>
      <c r="T1336" s="17"/>
      <c r="U1336" s="6"/>
      <c r="V1336" s="4"/>
      <c r="W1336" s="4"/>
      <c r="X1336" s="4"/>
      <c r="Y1336" s="7">
        <v>2</v>
      </c>
      <c r="Z1336" s="8">
        <v>3381510</v>
      </c>
      <c r="AA1336" s="7" t="s">
        <v>82</v>
      </c>
      <c r="AB1336" s="7"/>
      <c r="AC1336" s="9">
        <v>2</v>
      </c>
      <c r="AD1336" s="10">
        <v>3381510</v>
      </c>
      <c r="AE1336" s="9" t="s">
        <v>82</v>
      </c>
      <c r="AF1336" s="9"/>
      <c r="AG1336" s="11">
        <v>2</v>
      </c>
      <c r="AH1336" s="11" t="s">
        <v>83</v>
      </c>
      <c r="AI1336" s="11"/>
      <c r="AJ1336" s="11"/>
      <c r="AK1336" s="11"/>
      <c r="AL1336" s="12">
        <v>2</v>
      </c>
      <c r="AM1336" s="12" t="s">
        <v>83</v>
      </c>
      <c r="AN1336" s="12"/>
      <c r="AO1336" s="12"/>
      <c r="AP1336" s="12"/>
      <c r="AQ1336" s="4">
        <v>2</v>
      </c>
      <c r="AR1336" s="4" t="s">
        <v>83</v>
      </c>
      <c r="AS1336" s="4"/>
      <c r="AT1336" s="13"/>
      <c r="AU1336" s="13"/>
      <c r="AV1336" s="13"/>
      <c r="AW1336" s="13"/>
      <c r="AX1336" s="4"/>
      <c r="AY1336" s="13"/>
      <c r="AZ1336" s="13"/>
      <c r="BA1336" s="13"/>
      <c r="BB1336" s="13"/>
      <c r="BC1336" s="4"/>
      <c r="BD1336" s="4"/>
      <c r="BE1336" s="4"/>
      <c r="BF1336" s="13"/>
      <c r="BG1336" s="4"/>
      <c r="BH1336" s="13"/>
      <c r="BI1336" s="13"/>
      <c r="BJ1336" s="4"/>
      <c r="BK1336" s="14">
        <v>9</v>
      </c>
      <c r="BL1336" s="14">
        <v>9</v>
      </c>
      <c r="BM1336" s="14">
        <v>9</v>
      </c>
      <c r="BP1336" s="15"/>
      <c r="BQ1336" s="15"/>
      <c r="BR1336" s="2" t="s">
        <v>740</v>
      </c>
      <c r="BS1336" s="2" t="s">
        <v>740</v>
      </c>
      <c r="BT1336" s="7" t="s">
        <v>98</v>
      </c>
      <c r="BU1336" s="7"/>
      <c r="BV1336" s="9" t="s">
        <v>98</v>
      </c>
      <c r="BW1336" s="9"/>
    </row>
    <row r="1337" spans="1:75" ht="14.25" customHeight="1" x14ac:dyDescent="0.25">
      <c r="A1337" s="1">
        <v>994</v>
      </c>
      <c r="B1337" s="1" t="s">
        <v>5413</v>
      </c>
      <c r="C1337" s="1" t="s">
        <v>5414</v>
      </c>
      <c r="D1337" s="1" t="s">
        <v>77</v>
      </c>
      <c r="E1337" s="1" t="s">
        <v>2089</v>
      </c>
      <c r="F1337" s="1" t="s">
        <v>2148</v>
      </c>
      <c r="G1337" s="1"/>
      <c r="H1337" s="2">
        <v>1</v>
      </c>
      <c r="I1337" s="2">
        <v>1</v>
      </c>
      <c r="J1337" s="2">
        <v>1</v>
      </c>
      <c r="K1337" s="2">
        <v>1</v>
      </c>
      <c r="L1337" s="3" t="s">
        <v>127</v>
      </c>
      <c r="O1337" s="4">
        <v>2</v>
      </c>
      <c r="P1337" s="4" t="s">
        <v>1840</v>
      </c>
      <c r="Q1337" s="4"/>
      <c r="R1337" s="16">
        <v>12000000</v>
      </c>
      <c r="S1337" s="6">
        <v>12000000</v>
      </c>
      <c r="T1337" s="16">
        <v>11000000</v>
      </c>
      <c r="U1337" s="6">
        <v>11000000</v>
      </c>
      <c r="V1337" s="4">
        <v>2010.5</v>
      </c>
      <c r="W1337" s="4" t="s">
        <v>579</v>
      </c>
      <c r="X1337" s="4"/>
      <c r="Y1337" s="7">
        <v>1</v>
      </c>
      <c r="Z1337" s="8">
        <v>14801848</v>
      </c>
      <c r="AA1337" s="7" t="s">
        <v>92</v>
      </c>
      <c r="AB1337" s="7"/>
      <c r="AC1337" s="9">
        <v>1</v>
      </c>
      <c r="AD1337" s="10">
        <v>9828397</v>
      </c>
      <c r="AE1337" s="9" t="s">
        <v>92</v>
      </c>
      <c r="AF1337" s="9"/>
      <c r="AG1337" s="11">
        <v>3</v>
      </c>
      <c r="AH1337" s="11" t="s">
        <v>131</v>
      </c>
      <c r="AI1337" s="11" t="s">
        <v>5415</v>
      </c>
      <c r="AJ1337" s="11">
        <v>3</v>
      </c>
      <c r="AK1337" s="11" t="s">
        <v>143</v>
      </c>
      <c r="AL1337" s="12">
        <v>2</v>
      </c>
      <c r="AM1337" s="12" t="s">
        <v>131</v>
      </c>
      <c r="AN1337" s="12" t="s">
        <v>5416</v>
      </c>
      <c r="AO1337" s="12">
        <v>2</v>
      </c>
      <c r="AP1337" s="12" t="s">
        <v>143</v>
      </c>
      <c r="AQ1337" s="4">
        <v>4</v>
      </c>
      <c r="AR1337" s="4" t="s">
        <v>133</v>
      </c>
      <c r="AS1337" s="4"/>
      <c r="AT1337" s="13">
        <v>-49.273883819580099</v>
      </c>
      <c r="AU1337" s="13">
        <v>-1.3248547315597501</v>
      </c>
      <c r="AV1337" s="13">
        <v>-1.6499999761581401</v>
      </c>
      <c r="AW1337" s="13">
        <v>-1.0802979469299301</v>
      </c>
      <c r="AX1337" s="4">
        <v>1</v>
      </c>
      <c r="AY1337" s="13">
        <v>-16.348087310791001</v>
      </c>
      <c r="AZ1337" s="13">
        <v>-1.77252781391144</v>
      </c>
      <c r="BA1337" s="13">
        <v>-2.21000003814697</v>
      </c>
      <c r="BB1337" s="13">
        <v>-1.2200000286102299</v>
      </c>
      <c r="BC1337" s="4">
        <v>1</v>
      </c>
      <c r="BD1337" s="4">
        <v>10</v>
      </c>
      <c r="BE1337" s="4" t="s">
        <v>134</v>
      </c>
      <c r="BF1337" s="13">
        <v>0.56970202922821001</v>
      </c>
      <c r="BG1337" s="4">
        <v>4557</v>
      </c>
      <c r="BH1337" s="13">
        <v>2.5950000286102299</v>
      </c>
      <c r="BI1337" s="13">
        <v>11822.0400390625</v>
      </c>
      <c r="BJ1337" s="4"/>
      <c r="BK1337" s="14">
        <v>10</v>
      </c>
      <c r="BL1337" s="14">
        <v>9</v>
      </c>
      <c r="BM1337" s="14">
        <v>10</v>
      </c>
      <c r="BP1337" s="15" t="s">
        <v>135</v>
      </c>
      <c r="BQ1337" s="15"/>
      <c r="BR1337" s="2" t="s">
        <v>172</v>
      </c>
      <c r="BS1337" s="2" t="s">
        <v>172</v>
      </c>
      <c r="BT1337" s="7" t="s">
        <v>1827</v>
      </c>
      <c r="BU1337" s="7"/>
      <c r="BV1337" s="9" t="s">
        <v>509</v>
      </c>
      <c r="BW1337" s="9"/>
    </row>
    <row r="1338" spans="1:75" ht="14.25" customHeight="1" x14ac:dyDescent="0.25">
      <c r="A1338" s="1">
        <v>995</v>
      </c>
      <c r="B1338" s="1" t="s">
        <v>5417</v>
      </c>
      <c r="C1338" s="1" t="s">
        <v>5418</v>
      </c>
      <c r="D1338" s="1" t="s">
        <v>77</v>
      </c>
      <c r="E1338" s="1" t="s">
        <v>2089</v>
      </c>
      <c r="F1338" s="1" t="s">
        <v>2148</v>
      </c>
      <c r="G1338" s="1"/>
      <c r="H1338" s="2">
        <v>0</v>
      </c>
      <c r="I1338" s="2">
        <v>1</v>
      </c>
      <c r="J1338" s="2">
        <v>1</v>
      </c>
      <c r="K1338" s="2">
        <v>0</v>
      </c>
      <c r="L1338" s="3" t="s">
        <v>80</v>
      </c>
      <c r="O1338" s="4">
        <v>3</v>
      </c>
      <c r="P1338" s="4" t="s">
        <v>470</v>
      </c>
      <c r="Q1338" s="4"/>
      <c r="R1338" s="16">
        <v>770000</v>
      </c>
      <c r="S1338" s="6">
        <v>770000</v>
      </c>
      <c r="T1338" s="16">
        <v>190000</v>
      </c>
      <c r="U1338" s="6">
        <v>190000</v>
      </c>
      <c r="V1338" s="4">
        <v>2010.5</v>
      </c>
      <c r="W1338" s="4" t="s">
        <v>425</v>
      </c>
      <c r="X1338" s="4"/>
      <c r="Y1338" s="7">
        <v>3</v>
      </c>
      <c r="Z1338" s="8">
        <v>377752</v>
      </c>
      <c r="AA1338" s="7" t="s">
        <v>92</v>
      </c>
      <c r="AB1338" s="7"/>
      <c r="AC1338" s="9">
        <v>3</v>
      </c>
      <c r="AD1338" s="10">
        <v>377752</v>
      </c>
      <c r="AE1338" s="9" t="s">
        <v>92</v>
      </c>
      <c r="AF1338" s="9"/>
      <c r="AG1338" s="11">
        <v>4</v>
      </c>
      <c r="AH1338" s="11" t="s">
        <v>131</v>
      </c>
      <c r="AI1338" s="11" t="s">
        <v>5419</v>
      </c>
      <c r="AJ1338" s="11">
        <v>3</v>
      </c>
      <c r="AK1338" s="11" t="s">
        <v>332</v>
      </c>
      <c r="AL1338" s="12">
        <v>3</v>
      </c>
      <c r="AM1338" s="12" t="s">
        <v>131</v>
      </c>
      <c r="AN1338" s="12"/>
      <c r="AO1338" s="12">
        <v>2</v>
      </c>
      <c r="AP1338" s="12" t="s">
        <v>132</v>
      </c>
      <c r="AQ1338" s="4">
        <v>2</v>
      </c>
      <c r="AR1338" s="4" t="s">
        <v>133</v>
      </c>
      <c r="AS1338" s="4"/>
      <c r="AT1338" s="13">
        <v>-14.5014505386353</v>
      </c>
      <c r="AU1338" s="13">
        <v>-0.30728936195373502</v>
      </c>
      <c r="AV1338" s="13">
        <v>-1.66999995708466</v>
      </c>
      <c r="AW1338" s="13">
        <v>0.35800001025199901</v>
      </c>
      <c r="AX1338" s="4"/>
      <c r="AY1338" s="13">
        <v>1.4575389623642001</v>
      </c>
      <c r="AZ1338" s="13">
        <v>0.14451590180397</v>
      </c>
      <c r="BA1338" s="13">
        <v>-1.6599999666214</v>
      </c>
      <c r="BB1338" s="13">
        <v>2.8099999427795401</v>
      </c>
      <c r="BC1338" s="4"/>
      <c r="BD1338" s="4">
        <v>10</v>
      </c>
      <c r="BE1338" s="4" t="s">
        <v>134</v>
      </c>
      <c r="BF1338" s="13">
        <v>2.0280001163482702</v>
      </c>
      <c r="BG1338" s="4">
        <v>40</v>
      </c>
      <c r="BH1338" s="13">
        <v>4.8200001716613796</v>
      </c>
      <c r="BI1338" s="13">
        <v>192.80000305175801</v>
      </c>
      <c r="BJ1338" s="4"/>
      <c r="BK1338" s="14">
        <v>12</v>
      </c>
      <c r="BL1338" s="14">
        <v>11</v>
      </c>
      <c r="BM1338" s="14">
        <v>12</v>
      </c>
      <c r="BN1338" s="3" t="s">
        <v>917</v>
      </c>
      <c r="BP1338" s="15"/>
      <c r="BQ1338" s="15"/>
      <c r="BR1338" s="2" t="s">
        <v>297</v>
      </c>
      <c r="BS1338" s="2" t="s">
        <v>297</v>
      </c>
      <c r="BT1338" s="7" t="s">
        <v>475</v>
      </c>
      <c r="BU1338" s="7" t="s">
        <v>487</v>
      </c>
      <c r="BV1338" s="9" t="s">
        <v>475</v>
      </c>
      <c r="BW1338" s="9" t="s">
        <v>487</v>
      </c>
    </row>
    <row r="1339" spans="1:75" ht="14.25" customHeight="1" x14ac:dyDescent="0.25">
      <c r="A1339" s="1">
        <v>997</v>
      </c>
      <c r="B1339" s="1" t="s">
        <v>5420</v>
      </c>
      <c r="C1339" s="1" t="s">
        <v>5421</v>
      </c>
      <c r="D1339" s="1" t="s">
        <v>77</v>
      </c>
      <c r="E1339" s="1" t="s">
        <v>2089</v>
      </c>
      <c r="F1339" s="1" t="s">
        <v>2148</v>
      </c>
      <c r="G1339" s="1"/>
      <c r="H1339" s="2">
        <v>0</v>
      </c>
      <c r="I1339" s="2">
        <v>0</v>
      </c>
      <c r="J1339" s="2">
        <v>0</v>
      </c>
      <c r="K1339" s="2">
        <v>1</v>
      </c>
      <c r="L1339" s="3" t="s">
        <v>80</v>
      </c>
      <c r="O1339" s="4">
        <v>4</v>
      </c>
      <c r="P1339" s="4" t="s">
        <v>81</v>
      </c>
      <c r="Q1339" s="4"/>
      <c r="R1339" s="5"/>
      <c r="S1339" s="6"/>
      <c r="T1339" s="17"/>
      <c r="U1339" s="6"/>
      <c r="V1339" s="4"/>
      <c r="W1339" s="4"/>
      <c r="X1339" s="4"/>
      <c r="Y1339" s="7">
        <v>4</v>
      </c>
      <c r="Z1339" s="8">
        <v>297051</v>
      </c>
      <c r="AA1339" s="7" t="s">
        <v>82</v>
      </c>
      <c r="AB1339" s="7"/>
      <c r="AC1339" s="9">
        <v>4</v>
      </c>
      <c r="AD1339" s="10">
        <v>297051</v>
      </c>
      <c r="AE1339" s="9" t="s">
        <v>82</v>
      </c>
      <c r="AF1339" s="9"/>
      <c r="AG1339" s="11">
        <v>4</v>
      </c>
      <c r="AH1339" s="11" t="s">
        <v>83</v>
      </c>
      <c r="AI1339" s="11"/>
      <c r="AJ1339" s="11"/>
      <c r="AK1339" s="11"/>
      <c r="AL1339" s="12">
        <v>4</v>
      </c>
      <c r="AM1339" s="12" t="s">
        <v>83</v>
      </c>
      <c r="AN1339" s="12"/>
      <c r="AO1339" s="12"/>
      <c r="AP1339" s="12"/>
      <c r="AQ1339" s="4">
        <v>5</v>
      </c>
      <c r="AR1339" s="4" t="s">
        <v>83</v>
      </c>
      <c r="AS1339" s="4"/>
      <c r="AT1339" s="13"/>
      <c r="AU1339" s="13"/>
      <c r="AV1339" s="13"/>
      <c r="AW1339" s="13"/>
      <c r="AX1339" s="4"/>
      <c r="AY1339" s="13"/>
      <c r="AZ1339" s="13"/>
      <c r="BA1339" s="13"/>
      <c r="BB1339" s="13"/>
      <c r="BC1339" s="4"/>
      <c r="BD1339" s="4"/>
      <c r="BE1339" s="4"/>
      <c r="BF1339" s="13"/>
      <c r="BG1339" s="4"/>
      <c r="BH1339" s="13"/>
      <c r="BI1339" s="13"/>
      <c r="BJ1339" s="4"/>
      <c r="BK1339" s="14">
        <v>17</v>
      </c>
      <c r="BL1339" s="14">
        <v>17</v>
      </c>
      <c r="BM1339" s="14">
        <v>17</v>
      </c>
      <c r="BN1339" s="3" t="s">
        <v>312</v>
      </c>
      <c r="BP1339" s="15"/>
      <c r="BQ1339" s="15"/>
      <c r="BR1339" s="2" t="s">
        <v>121</v>
      </c>
      <c r="BS1339" s="2" t="s">
        <v>121</v>
      </c>
      <c r="BT1339" s="7" t="s">
        <v>98</v>
      </c>
      <c r="BU1339" s="7"/>
      <c r="BV1339" s="9" t="s">
        <v>98</v>
      </c>
      <c r="BW1339" s="9"/>
    </row>
    <row r="1340" spans="1:75" ht="14.25" customHeight="1" x14ac:dyDescent="0.25">
      <c r="A1340" s="1">
        <v>998</v>
      </c>
      <c r="B1340" s="1" t="s">
        <v>5422</v>
      </c>
      <c r="C1340" s="1" t="s">
        <v>5423</v>
      </c>
      <c r="D1340" s="1" t="s">
        <v>77</v>
      </c>
      <c r="E1340" s="1" t="s">
        <v>2089</v>
      </c>
      <c r="F1340" s="1" t="s">
        <v>2148</v>
      </c>
      <c r="G1340" s="1" t="s">
        <v>118</v>
      </c>
      <c r="H1340" s="2">
        <v>0</v>
      </c>
      <c r="I1340" s="2">
        <v>0</v>
      </c>
      <c r="J1340" s="2">
        <v>1</v>
      </c>
      <c r="K1340" s="2">
        <v>1</v>
      </c>
      <c r="L1340" s="3" t="s">
        <v>80</v>
      </c>
      <c r="O1340" s="4">
        <v>4</v>
      </c>
      <c r="P1340" s="4" t="s">
        <v>81</v>
      </c>
      <c r="Q1340" s="4" t="s">
        <v>5424</v>
      </c>
      <c r="R1340" s="5"/>
      <c r="S1340" s="6"/>
      <c r="T1340" s="17"/>
      <c r="U1340" s="6"/>
      <c r="V1340" s="4"/>
      <c r="W1340" s="4"/>
      <c r="X1340" s="4"/>
      <c r="Y1340" s="7">
        <v>3</v>
      </c>
      <c r="Z1340" s="8">
        <v>394772</v>
      </c>
      <c r="AA1340" s="7" t="s">
        <v>92</v>
      </c>
      <c r="AB1340" s="7"/>
      <c r="AC1340" s="9">
        <v>3</v>
      </c>
      <c r="AD1340" s="10">
        <v>394772</v>
      </c>
      <c r="AE1340" s="9" t="s">
        <v>92</v>
      </c>
      <c r="AF1340" s="9"/>
      <c r="AG1340" s="11">
        <v>4</v>
      </c>
      <c r="AH1340" s="11" t="s">
        <v>93</v>
      </c>
      <c r="AI1340" s="11" t="s">
        <v>5425</v>
      </c>
      <c r="AJ1340" s="11"/>
      <c r="AK1340" s="11"/>
      <c r="AL1340" s="12">
        <v>4</v>
      </c>
      <c r="AM1340" s="12" t="s">
        <v>93</v>
      </c>
      <c r="AN1340" s="12" t="s">
        <v>805</v>
      </c>
      <c r="AO1340" s="12"/>
      <c r="AP1340" s="12"/>
      <c r="AQ1340" s="4">
        <v>5</v>
      </c>
      <c r="AR1340" s="4" t="s">
        <v>83</v>
      </c>
      <c r="AS1340" s="4" t="s">
        <v>5426</v>
      </c>
      <c r="AT1340" s="13"/>
      <c r="AU1340" s="13"/>
      <c r="AV1340" s="13"/>
      <c r="AW1340" s="13"/>
      <c r="AX1340" s="4"/>
      <c r="AY1340" s="13"/>
      <c r="AZ1340" s="13"/>
      <c r="BA1340" s="13"/>
      <c r="BB1340" s="13"/>
      <c r="BC1340" s="4"/>
      <c r="BD1340" s="4"/>
      <c r="BE1340" s="4"/>
      <c r="BF1340" s="13"/>
      <c r="BG1340" s="4"/>
      <c r="BH1340" s="13"/>
      <c r="BI1340" s="13"/>
      <c r="BJ1340" s="4"/>
      <c r="BK1340" s="14">
        <v>16</v>
      </c>
      <c r="BL1340" s="14">
        <v>16</v>
      </c>
      <c r="BM1340" s="14">
        <v>16</v>
      </c>
      <c r="BN1340" s="3" t="s">
        <v>312</v>
      </c>
      <c r="BP1340" s="15"/>
      <c r="BQ1340" s="15"/>
      <c r="BR1340" s="2" t="s">
        <v>115</v>
      </c>
      <c r="BS1340" s="2" t="s">
        <v>115</v>
      </c>
      <c r="BT1340" s="7" t="s">
        <v>98</v>
      </c>
      <c r="BU1340" s="7"/>
      <c r="BV1340" s="9" t="s">
        <v>98</v>
      </c>
      <c r="BW1340" s="9"/>
    </row>
    <row r="1341" spans="1:75" ht="14.25" customHeight="1" x14ac:dyDescent="0.25">
      <c r="A1341" s="1">
        <v>999</v>
      </c>
      <c r="B1341" s="1" t="s">
        <v>5427</v>
      </c>
      <c r="C1341" s="1" t="s">
        <v>5428</v>
      </c>
      <c r="D1341" s="1" t="s">
        <v>77</v>
      </c>
      <c r="E1341" s="1" t="s">
        <v>2089</v>
      </c>
      <c r="F1341" s="1" t="s">
        <v>2148</v>
      </c>
      <c r="G1341" s="1"/>
      <c r="H1341" s="2">
        <v>0</v>
      </c>
      <c r="I1341" s="2">
        <v>0</v>
      </c>
      <c r="J1341" s="2">
        <v>1</v>
      </c>
      <c r="K1341" s="2">
        <v>1</v>
      </c>
      <c r="L1341" s="3" t="s">
        <v>80</v>
      </c>
      <c r="O1341" s="4">
        <v>2</v>
      </c>
      <c r="P1341" s="4" t="s">
        <v>112</v>
      </c>
      <c r="Q1341" s="4"/>
      <c r="R1341" s="5"/>
      <c r="S1341" s="6"/>
      <c r="T1341" s="17"/>
      <c r="U1341" s="6"/>
      <c r="V1341" s="4"/>
      <c r="W1341" s="4"/>
      <c r="X1341" s="4"/>
      <c r="Y1341" s="7">
        <v>1</v>
      </c>
      <c r="Z1341" s="8">
        <v>13622862</v>
      </c>
      <c r="AA1341" s="7" t="s">
        <v>92</v>
      </c>
      <c r="AB1341" s="7"/>
      <c r="AC1341" s="9">
        <v>1</v>
      </c>
      <c r="AD1341" s="10">
        <v>13622862</v>
      </c>
      <c r="AE1341" s="9" t="s">
        <v>92</v>
      </c>
      <c r="AF1341" s="9"/>
      <c r="AG1341" s="11">
        <v>3</v>
      </c>
      <c r="AH1341" s="11" t="s">
        <v>93</v>
      </c>
      <c r="AI1341" s="11"/>
      <c r="AJ1341" s="11"/>
      <c r="AK1341" s="11"/>
      <c r="AL1341" s="12">
        <v>2</v>
      </c>
      <c r="AM1341" s="12" t="s">
        <v>93</v>
      </c>
      <c r="AN1341" s="12" t="s">
        <v>394</v>
      </c>
      <c r="AO1341" s="12"/>
      <c r="AP1341" s="12"/>
      <c r="AQ1341" s="4">
        <v>3</v>
      </c>
      <c r="AR1341" s="4" t="s">
        <v>83</v>
      </c>
      <c r="AS1341" s="4"/>
      <c r="AT1341" s="13"/>
      <c r="AU1341" s="13"/>
      <c r="AV1341" s="13"/>
      <c r="AW1341" s="13"/>
      <c r="AX1341" s="4"/>
      <c r="AY1341" s="13"/>
      <c r="AZ1341" s="13"/>
      <c r="BA1341" s="13"/>
      <c r="BB1341" s="13"/>
      <c r="BC1341" s="4"/>
      <c r="BD1341" s="4"/>
      <c r="BE1341" s="4"/>
      <c r="BF1341" s="13"/>
      <c r="BG1341" s="4"/>
      <c r="BH1341" s="13"/>
      <c r="BI1341" s="13"/>
      <c r="BJ1341" s="4"/>
      <c r="BK1341" s="14">
        <v>9</v>
      </c>
      <c r="BL1341" s="14">
        <v>8</v>
      </c>
      <c r="BM1341" s="14">
        <v>9</v>
      </c>
      <c r="BP1341" s="15"/>
      <c r="BQ1341" s="15"/>
      <c r="BR1341" s="2" t="s">
        <v>97</v>
      </c>
      <c r="BS1341" s="2" t="s">
        <v>97</v>
      </c>
      <c r="BT1341" s="7" t="s">
        <v>98</v>
      </c>
      <c r="BU1341" s="7"/>
      <c r="BV1341" s="9" t="s">
        <v>98</v>
      </c>
      <c r="BW1341" s="9"/>
    </row>
    <row r="1342" spans="1:75" ht="14.25" customHeight="1" x14ac:dyDescent="0.25">
      <c r="A1342" s="1">
        <v>1000</v>
      </c>
      <c r="B1342" s="1" t="s">
        <v>5429</v>
      </c>
      <c r="C1342" s="1" t="s">
        <v>5430</v>
      </c>
      <c r="D1342" s="1" t="s">
        <v>77</v>
      </c>
      <c r="E1342" s="1" t="s">
        <v>2089</v>
      </c>
      <c r="F1342" s="1" t="s">
        <v>2148</v>
      </c>
      <c r="G1342" s="1"/>
      <c r="H1342" s="2">
        <v>1</v>
      </c>
      <c r="I1342" s="2">
        <v>1</v>
      </c>
      <c r="J1342" s="2">
        <v>0</v>
      </c>
      <c r="K1342" s="2">
        <v>0</v>
      </c>
      <c r="L1342" s="3" t="s">
        <v>80</v>
      </c>
      <c r="O1342" s="4">
        <v>3</v>
      </c>
      <c r="P1342" s="4" t="s">
        <v>579</v>
      </c>
      <c r="Q1342" s="4"/>
      <c r="R1342" s="16">
        <v>2600000</v>
      </c>
      <c r="S1342" s="6">
        <v>2600000</v>
      </c>
      <c r="T1342" s="16">
        <v>2600000</v>
      </c>
      <c r="U1342" s="6">
        <v>2600000</v>
      </c>
      <c r="V1342" s="4">
        <v>2010.5</v>
      </c>
      <c r="W1342" s="4" t="s">
        <v>579</v>
      </c>
      <c r="X1342" s="4"/>
      <c r="Y1342" s="7">
        <v>1</v>
      </c>
      <c r="Z1342" s="8">
        <v>5905279</v>
      </c>
      <c r="AA1342" s="7" t="s">
        <v>92</v>
      </c>
      <c r="AB1342" s="7"/>
      <c r="AC1342" s="9">
        <v>1</v>
      </c>
      <c r="AD1342" s="10">
        <v>5905279</v>
      </c>
      <c r="AE1342" s="9" t="s">
        <v>92</v>
      </c>
      <c r="AF1342" s="9"/>
      <c r="AG1342" s="11">
        <v>2</v>
      </c>
      <c r="AH1342" s="11" t="s">
        <v>131</v>
      </c>
      <c r="AI1342" s="11" t="s">
        <v>5431</v>
      </c>
      <c r="AJ1342" s="11">
        <v>2</v>
      </c>
      <c r="AK1342" s="11" t="s">
        <v>143</v>
      </c>
      <c r="AL1342" s="12">
        <v>2</v>
      </c>
      <c r="AM1342" s="12" t="s">
        <v>131</v>
      </c>
      <c r="AN1342" s="12" t="s">
        <v>5431</v>
      </c>
      <c r="AO1342" s="12">
        <v>2</v>
      </c>
      <c r="AP1342" s="12" t="s">
        <v>132</v>
      </c>
      <c r="AQ1342" s="4">
        <v>1</v>
      </c>
      <c r="AR1342" s="4" t="s">
        <v>133</v>
      </c>
      <c r="AS1342" s="4"/>
      <c r="AT1342" s="13">
        <v>120.19467926025401</v>
      </c>
      <c r="AU1342" s="13">
        <v>1.5632152557373</v>
      </c>
      <c r="AV1342" s="13">
        <v>1.27819800376892</v>
      </c>
      <c r="AW1342" s="13">
        <v>1.9099999666214</v>
      </c>
      <c r="AX1342" s="4">
        <v>1</v>
      </c>
      <c r="AY1342" s="13">
        <v>22.284307479858398</v>
      </c>
      <c r="AZ1342" s="13">
        <v>1.5606316328048699</v>
      </c>
      <c r="BA1342" s="13">
        <v>1.1799999475479099</v>
      </c>
      <c r="BB1342" s="13">
        <v>2.0899999141693102</v>
      </c>
      <c r="BC1342" s="4">
        <v>1</v>
      </c>
      <c r="BD1342" s="4">
        <v>13</v>
      </c>
      <c r="BE1342" s="4" t="s">
        <v>134</v>
      </c>
      <c r="BF1342" s="13">
        <v>0.63180202245712302</v>
      </c>
      <c r="BG1342" s="4">
        <v>2914</v>
      </c>
      <c r="BH1342" s="13">
        <v>0.78399997949600198</v>
      </c>
      <c r="BI1342" s="13">
        <v>2284.55810546875</v>
      </c>
      <c r="BJ1342" s="4"/>
      <c r="BK1342" s="14">
        <v>7</v>
      </c>
      <c r="BL1342" s="14">
        <v>7</v>
      </c>
      <c r="BM1342" s="14">
        <v>7</v>
      </c>
      <c r="BP1342" s="15" t="s">
        <v>135</v>
      </c>
      <c r="BQ1342" s="15"/>
      <c r="BR1342" s="2" t="s">
        <v>172</v>
      </c>
      <c r="BS1342" s="2" t="s">
        <v>172</v>
      </c>
      <c r="BT1342" s="7" t="s">
        <v>509</v>
      </c>
      <c r="BU1342" s="7"/>
      <c r="BV1342" s="9" t="s">
        <v>509</v>
      </c>
      <c r="BW1342" s="9"/>
    </row>
    <row r="1343" spans="1:75" ht="14.25" customHeight="1" x14ac:dyDescent="0.25">
      <c r="A1343" s="1">
        <v>1001</v>
      </c>
      <c r="B1343" s="1" t="s">
        <v>5432</v>
      </c>
      <c r="C1343" s="1" t="s">
        <v>5433</v>
      </c>
      <c r="D1343" s="1" t="s">
        <v>77</v>
      </c>
      <c r="E1343" s="1" t="s">
        <v>2089</v>
      </c>
      <c r="F1343" s="1" t="s">
        <v>2148</v>
      </c>
      <c r="G1343" s="1"/>
      <c r="H1343" s="2">
        <v>0</v>
      </c>
      <c r="I1343" s="2">
        <v>0</v>
      </c>
      <c r="J1343" s="2">
        <v>0</v>
      </c>
      <c r="K1343" s="2">
        <v>1</v>
      </c>
      <c r="L1343" s="3" t="s">
        <v>80</v>
      </c>
      <c r="O1343" s="4">
        <v>5</v>
      </c>
      <c r="P1343" s="4" t="s">
        <v>81</v>
      </c>
      <c r="Q1343" s="4"/>
      <c r="R1343" s="5"/>
      <c r="S1343" s="6"/>
      <c r="T1343" s="17"/>
      <c r="U1343" s="6"/>
      <c r="V1343" s="4"/>
      <c r="W1343" s="4"/>
      <c r="X1343" s="4"/>
      <c r="Y1343" s="7">
        <v>4</v>
      </c>
      <c r="Z1343" s="8">
        <v>273669</v>
      </c>
      <c r="AA1343" s="7" t="s">
        <v>82</v>
      </c>
      <c r="AB1343" s="7"/>
      <c r="AC1343" s="9">
        <v>4</v>
      </c>
      <c r="AD1343" s="10">
        <v>273669</v>
      </c>
      <c r="AE1343" s="9" t="s">
        <v>82</v>
      </c>
      <c r="AF1343" s="9"/>
      <c r="AG1343" s="11">
        <v>4</v>
      </c>
      <c r="AH1343" s="11" t="s">
        <v>83</v>
      </c>
      <c r="AI1343" s="11"/>
      <c r="AJ1343" s="11"/>
      <c r="AK1343" s="11"/>
      <c r="AL1343" s="12">
        <v>4</v>
      </c>
      <c r="AM1343" s="12" t="s">
        <v>83</v>
      </c>
      <c r="AN1343" s="12"/>
      <c r="AO1343" s="12"/>
      <c r="AP1343" s="12"/>
      <c r="AQ1343" s="4">
        <v>4</v>
      </c>
      <c r="AR1343" s="4" t="s">
        <v>83</v>
      </c>
      <c r="AS1343" s="4"/>
      <c r="AT1343" s="13"/>
      <c r="AU1343" s="13"/>
      <c r="AV1343" s="13"/>
      <c r="AW1343" s="13"/>
      <c r="AX1343" s="4"/>
      <c r="AY1343" s="13"/>
      <c r="AZ1343" s="13"/>
      <c r="BA1343" s="13"/>
      <c r="BB1343" s="13"/>
      <c r="BC1343" s="4"/>
      <c r="BD1343" s="4"/>
      <c r="BE1343" s="4"/>
      <c r="BF1343" s="13"/>
      <c r="BG1343" s="4"/>
      <c r="BH1343" s="13"/>
      <c r="BI1343" s="13"/>
      <c r="BJ1343" s="4"/>
      <c r="BK1343" s="14">
        <v>17</v>
      </c>
      <c r="BL1343" s="14">
        <v>17</v>
      </c>
      <c r="BM1343" s="14">
        <v>17</v>
      </c>
      <c r="BN1343" s="3" t="s">
        <v>312</v>
      </c>
      <c r="BP1343" s="15"/>
      <c r="BQ1343" s="15"/>
      <c r="BR1343" s="2" t="s">
        <v>87</v>
      </c>
      <c r="BS1343" s="2" t="s">
        <v>87</v>
      </c>
      <c r="BT1343" s="7" t="s">
        <v>88</v>
      </c>
      <c r="BU1343" s="7"/>
      <c r="BV1343" s="9" t="s">
        <v>88</v>
      </c>
      <c r="BW1343" s="9"/>
    </row>
    <row r="1344" spans="1:75" ht="14.25" customHeight="1" x14ac:dyDescent="0.25">
      <c r="A1344" s="1">
        <v>1002</v>
      </c>
      <c r="B1344" s="1" t="s">
        <v>5434</v>
      </c>
      <c r="C1344" s="1" t="s">
        <v>5435</v>
      </c>
      <c r="D1344" s="1" t="s">
        <v>77</v>
      </c>
      <c r="E1344" s="1" t="s">
        <v>2089</v>
      </c>
      <c r="F1344" s="1" t="s">
        <v>2148</v>
      </c>
      <c r="G1344" s="1"/>
      <c r="H1344" s="2">
        <v>0</v>
      </c>
      <c r="I1344" s="2">
        <v>0</v>
      </c>
      <c r="J1344" s="2">
        <v>0</v>
      </c>
      <c r="K1344" s="2">
        <v>1</v>
      </c>
      <c r="L1344" s="3" t="s">
        <v>80</v>
      </c>
      <c r="O1344" s="4">
        <v>2</v>
      </c>
      <c r="P1344" s="4" t="s">
        <v>81</v>
      </c>
      <c r="Q1344" s="4"/>
      <c r="R1344" s="5"/>
      <c r="S1344" s="6"/>
      <c r="T1344" s="17"/>
      <c r="U1344" s="6"/>
      <c r="V1344" s="4"/>
      <c r="W1344" s="4"/>
      <c r="X1344" s="4"/>
      <c r="Y1344" s="7">
        <v>1</v>
      </c>
      <c r="Z1344" s="8">
        <v>11134074</v>
      </c>
      <c r="AA1344" s="7" t="s">
        <v>82</v>
      </c>
      <c r="AB1344" s="7"/>
      <c r="AC1344" s="9">
        <v>1</v>
      </c>
      <c r="AD1344" s="10">
        <v>11134074</v>
      </c>
      <c r="AE1344" s="9" t="s">
        <v>82</v>
      </c>
      <c r="AF1344" s="9"/>
      <c r="AG1344" s="11">
        <v>4</v>
      </c>
      <c r="AH1344" s="11" t="s">
        <v>83</v>
      </c>
      <c r="AI1344" s="11"/>
      <c r="AJ1344" s="11"/>
      <c r="AK1344" s="11"/>
      <c r="AL1344" s="12">
        <v>4</v>
      </c>
      <c r="AM1344" s="12" t="s">
        <v>83</v>
      </c>
      <c r="AN1344" s="12"/>
      <c r="AO1344" s="12"/>
      <c r="AP1344" s="12"/>
      <c r="AQ1344" s="4">
        <v>4</v>
      </c>
      <c r="AR1344" s="4" t="s">
        <v>83</v>
      </c>
      <c r="AS1344" s="4"/>
      <c r="AT1344" s="13"/>
      <c r="AU1344" s="13"/>
      <c r="AV1344" s="13"/>
      <c r="AW1344" s="13"/>
      <c r="AX1344" s="4"/>
      <c r="AY1344" s="13"/>
      <c r="AZ1344" s="13"/>
      <c r="BA1344" s="13"/>
      <c r="BB1344" s="13"/>
      <c r="BC1344" s="4"/>
      <c r="BD1344" s="4"/>
      <c r="BE1344" s="4"/>
      <c r="BF1344" s="13"/>
      <c r="BG1344" s="4"/>
      <c r="BH1344" s="13"/>
      <c r="BI1344" s="13"/>
      <c r="BJ1344" s="4"/>
      <c r="BK1344" s="14">
        <v>11</v>
      </c>
      <c r="BL1344" s="14">
        <v>11</v>
      </c>
      <c r="BM1344" s="14">
        <v>11</v>
      </c>
      <c r="BP1344" s="15"/>
      <c r="BQ1344" s="15"/>
      <c r="BR1344" s="2" t="s">
        <v>740</v>
      </c>
      <c r="BS1344" s="2" t="s">
        <v>740</v>
      </c>
      <c r="BT1344" s="7" t="s">
        <v>98</v>
      </c>
      <c r="BU1344" s="7"/>
      <c r="BV1344" s="9" t="s">
        <v>98</v>
      </c>
      <c r="BW1344" s="9"/>
    </row>
    <row r="1345" spans="1:75" ht="14.25" customHeight="1" x14ac:dyDescent="0.25">
      <c r="A1345" s="1">
        <v>1003</v>
      </c>
      <c r="B1345" s="1" t="s">
        <v>5436</v>
      </c>
      <c r="C1345" s="1" t="s">
        <v>5437</v>
      </c>
      <c r="D1345" s="1" t="s">
        <v>77</v>
      </c>
      <c r="E1345" s="1" t="s">
        <v>2089</v>
      </c>
      <c r="F1345" s="1" t="s">
        <v>2148</v>
      </c>
      <c r="G1345" s="1"/>
      <c r="H1345" s="2">
        <v>0</v>
      </c>
      <c r="I1345" s="2">
        <v>0</v>
      </c>
      <c r="J1345" s="2">
        <v>1</v>
      </c>
      <c r="K1345" s="2">
        <v>1</v>
      </c>
      <c r="L1345" s="3" t="s">
        <v>80</v>
      </c>
      <c r="O1345" s="4">
        <v>4</v>
      </c>
      <c r="P1345" s="4" t="s">
        <v>112</v>
      </c>
      <c r="Q1345" s="4"/>
      <c r="R1345" s="5"/>
      <c r="S1345" s="6"/>
      <c r="T1345" s="17"/>
      <c r="U1345" s="6"/>
      <c r="V1345" s="4"/>
      <c r="W1345" s="4"/>
      <c r="X1345" s="4"/>
      <c r="Y1345" s="7">
        <v>3</v>
      </c>
      <c r="Z1345" s="8">
        <v>892720</v>
      </c>
      <c r="AA1345" s="7" t="s">
        <v>92</v>
      </c>
      <c r="AB1345" s="7"/>
      <c r="AC1345" s="9">
        <v>3</v>
      </c>
      <c r="AD1345" s="10">
        <v>892720</v>
      </c>
      <c r="AE1345" s="9" t="s">
        <v>92</v>
      </c>
      <c r="AF1345" s="9"/>
      <c r="AG1345" s="11">
        <v>3</v>
      </c>
      <c r="AH1345" s="11" t="s">
        <v>93</v>
      </c>
      <c r="AI1345" s="11"/>
      <c r="AJ1345" s="11"/>
      <c r="AK1345" s="11"/>
      <c r="AL1345" s="12">
        <v>3</v>
      </c>
      <c r="AM1345" s="12" t="s">
        <v>93</v>
      </c>
      <c r="AN1345" s="12" t="s">
        <v>698</v>
      </c>
      <c r="AO1345" s="12"/>
      <c r="AP1345" s="12"/>
      <c r="AQ1345" s="4">
        <v>4</v>
      </c>
      <c r="AR1345" s="4" t="s">
        <v>83</v>
      </c>
      <c r="AS1345" s="4"/>
      <c r="AT1345" s="13"/>
      <c r="AU1345" s="13"/>
      <c r="AV1345" s="13"/>
      <c r="AW1345" s="13"/>
      <c r="AX1345" s="4"/>
      <c r="AY1345" s="13"/>
      <c r="AZ1345" s="13"/>
      <c r="BA1345" s="13"/>
      <c r="BB1345" s="13"/>
      <c r="BC1345" s="4"/>
      <c r="BD1345" s="4"/>
      <c r="BE1345" s="4"/>
      <c r="BF1345" s="13"/>
      <c r="BG1345" s="4"/>
      <c r="BH1345" s="13"/>
      <c r="BI1345" s="13"/>
      <c r="BJ1345" s="4"/>
      <c r="BK1345" s="14">
        <v>14</v>
      </c>
      <c r="BL1345" s="14">
        <v>14</v>
      </c>
      <c r="BM1345" s="14">
        <v>14</v>
      </c>
      <c r="BN1345" s="3" t="s">
        <v>86</v>
      </c>
      <c r="BP1345" s="15"/>
      <c r="BQ1345" s="15"/>
      <c r="BR1345" s="2" t="s">
        <v>400</v>
      </c>
      <c r="BS1345" s="2" t="s">
        <v>400</v>
      </c>
      <c r="BT1345" s="7" t="s">
        <v>98</v>
      </c>
      <c r="BU1345" s="7"/>
      <c r="BV1345" s="9" t="s">
        <v>98</v>
      </c>
      <c r="BW1345" s="9"/>
    </row>
    <row r="1346" spans="1:75" ht="14.25" customHeight="1" x14ac:dyDescent="0.25">
      <c r="A1346" s="1">
        <v>1004</v>
      </c>
      <c r="B1346" s="1" t="s">
        <v>5438</v>
      </c>
      <c r="C1346" s="1" t="s">
        <v>5439</v>
      </c>
      <c r="D1346" s="1" t="s">
        <v>77</v>
      </c>
      <c r="E1346" s="1" t="s">
        <v>2089</v>
      </c>
      <c r="F1346" s="1" t="s">
        <v>2148</v>
      </c>
      <c r="G1346" s="1"/>
      <c r="H1346" s="2">
        <v>0</v>
      </c>
      <c r="I1346" s="2">
        <v>1</v>
      </c>
      <c r="J1346" s="2">
        <v>0</v>
      </c>
      <c r="K1346" s="2">
        <v>0</v>
      </c>
      <c r="L1346" s="3" t="s">
        <v>80</v>
      </c>
      <c r="O1346" s="4">
        <v>5</v>
      </c>
      <c r="P1346" s="4" t="s">
        <v>271</v>
      </c>
      <c r="Q1346" s="4"/>
      <c r="R1346" s="5" t="s">
        <v>5440</v>
      </c>
      <c r="S1346" s="6">
        <v>0</v>
      </c>
      <c r="T1346" s="17" t="s">
        <v>5440</v>
      </c>
      <c r="U1346" s="6">
        <v>0</v>
      </c>
      <c r="V1346" s="4"/>
      <c r="W1346" s="4" t="s">
        <v>543</v>
      </c>
      <c r="X1346" s="4"/>
      <c r="Y1346" s="7">
        <v>5</v>
      </c>
      <c r="Z1346" s="8">
        <v>3572</v>
      </c>
      <c r="AA1346" s="7" t="s">
        <v>92</v>
      </c>
      <c r="AB1346" s="7"/>
      <c r="AC1346" s="9">
        <v>5</v>
      </c>
      <c r="AD1346" s="10">
        <v>3572</v>
      </c>
      <c r="AE1346" s="9" t="s">
        <v>92</v>
      </c>
      <c r="AF1346" s="9"/>
      <c r="AG1346" s="11">
        <v>5</v>
      </c>
      <c r="AH1346" s="11" t="s">
        <v>271</v>
      </c>
      <c r="AI1346" s="11"/>
      <c r="AJ1346" s="11"/>
      <c r="AK1346" s="11"/>
      <c r="AL1346" s="12">
        <v>5</v>
      </c>
      <c r="AM1346" s="12" t="s">
        <v>271</v>
      </c>
      <c r="AN1346" s="12"/>
      <c r="AO1346" s="12"/>
      <c r="AP1346" s="12"/>
      <c r="AQ1346" s="4">
        <v>3</v>
      </c>
      <c r="AR1346" s="4" t="s">
        <v>2868</v>
      </c>
      <c r="AS1346" s="4"/>
      <c r="AT1346" s="13"/>
      <c r="AU1346" s="13"/>
      <c r="AV1346" s="13"/>
      <c r="AW1346" s="13"/>
      <c r="AX1346" s="4"/>
      <c r="AY1346" s="13"/>
      <c r="AZ1346" s="13"/>
      <c r="BA1346" s="13"/>
      <c r="BB1346" s="13"/>
      <c r="BC1346" s="4"/>
      <c r="BD1346" s="4"/>
      <c r="BE1346" s="4"/>
      <c r="BF1346" s="13"/>
      <c r="BG1346" s="4"/>
      <c r="BH1346" s="13"/>
      <c r="BI1346" s="13"/>
      <c r="BJ1346" s="4"/>
      <c r="BK1346" s="14">
        <v>18</v>
      </c>
      <c r="BL1346" s="14">
        <v>18</v>
      </c>
      <c r="BM1346" s="14">
        <v>18</v>
      </c>
      <c r="BN1346" s="3" t="s">
        <v>312</v>
      </c>
      <c r="BO1346" s="3" t="s">
        <v>899</v>
      </c>
      <c r="BP1346" s="15"/>
      <c r="BQ1346" s="15"/>
      <c r="BR1346" s="2" t="s">
        <v>239</v>
      </c>
      <c r="BS1346" s="2" t="s">
        <v>239</v>
      </c>
      <c r="BT1346" s="7" t="s">
        <v>241</v>
      </c>
      <c r="BU1346" s="7"/>
      <c r="BV1346" s="9" t="s">
        <v>241</v>
      </c>
      <c r="BW1346" s="9"/>
    </row>
    <row r="1347" spans="1:75" ht="14.25" customHeight="1" x14ac:dyDescent="0.25">
      <c r="A1347" s="1">
        <v>1005</v>
      </c>
      <c r="B1347" s="1" t="s">
        <v>5441</v>
      </c>
      <c r="C1347" s="1" t="s">
        <v>5442</v>
      </c>
      <c r="D1347" s="1" t="s">
        <v>77</v>
      </c>
      <c r="E1347" s="1" t="s">
        <v>2089</v>
      </c>
      <c r="F1347" s="1" t="s">
        <v>2148</v>
      </c>
      <c r="G1347" s="1" t="s">
        <v>118</v>
      </c>
      <c r="H1347" s="2">
        <v>0</v>
      </c>
      <c r="I1347" s="2">
        <v>0</v>
      </c>
      <c r="J1347" s="2">
        <v>1</v>
      </c>
      <c r="K1347" s="2">
        <v>0</v>
      </c>
      <c r="L1347" s="3" t="s">
        <v>80</v>
      </c>
      <c r="O1347" s="4">
        <v>5</v>
      </c>
      <c r="P1347" s="4" t="s">
        <v>537</v>
      </c>
      <c r="Q1347" s="4" t="s">
        <v>5443</v>
      </c>
      <c r="R1347" s="5"/>
      <c r="S1347" s="6"/>
      <c r="T1347" s="17"/>
      <c r="U1347" s="6"/>
      <c r="V1347" s="4"/>
      <c r="W1347" s="4"/>
      <c r="X1347" s="4"/>
      <c r="Y1347" s="7">
        <v>5</v>
      </c>
      <c r="Z1347" s="8"/>
      <c r="AA1347" s="7" t="s">
        <v>93</v>
      </c>
      <c r="AB1347" s="7" t="s">
        <v>2860</v>
      </c>
      <c r="AC1347" s="9">
        <v>5</v>
      </c>
      <c r="AD1347" s="10"/>
      <c r="AE1347" s="9" t="s">
        <v>92</v>
      </c>
      <c r="AF1347" s="9" t="s">
        <v>2861</v>
      </c>
      <c r="AG1347" s="11">
        <v>5</v>
      </c>
      <c r="AH1347" s="11" t="s">
        <v>93</v>
      </c>
      <c r="AI1347" s="11"/>
      <c r="AJ1347" s="11"/>
      <c r="AK1347" s="11"/>
      <c r="AL1347" s="12">
        <v>5</v>
      </c>
      <c r="AM1347" s="12" t="s">
        <v>93</v>
      </c>
      <c r="AN1347" s="12" t="s">
        <v>5444</v>
      </c>
      <c r="AO1347" s="12"/>
      <c r="AP1347" s="12"/>
      <c r="AQ1347" s="4">
        <v>5</v>
      </c>
      <c r="AR1347" s="4" t="s">
        <v>93</v>
      </c>
      <c r="AS1347" s="4"/>
      <c r="AT1347" s="13"/>
      <c r="AU1347" s="13"/>
      <c r="AV1347" s="13"/>
      <c r="AW1347" s="13"/>
      <c r="AX1347" s="4"/>
      <c r="AY1347" s="13"/>
      <c r="AZ1347" s="13"/>
      <c r="BA1347" s="13"/>
      <c r="BB1347" s="13"/>
      <c r="BC1347" s="4"/>
      <c r="BD1347" s="4"/>
      <c r="BE1347" s="4"/>
      <c r="BF1347" s="13"/>
      <c r="BG1347" s="4"/>
      <c r="BH1347" s="13"/>
      <c r="BI1347" s="13"/>
      <c r="BJ1347" s="4"/>
      <c r="BK1347" s="14">
        <v>20</v>
      </c>
      <c r="BL1347" s="14">
        <v>20</v>
      </c>
      <c r="BM1347" s="14">
        <v>20</v>
      </c>
      <c r="BN1347" s="3" t="s">
        <v>312</v>
      </c>
      <c r="BO1347" s="3" t="s">
        <v>3648</v>
      </c>
      <c r="BP1347" s="15"/>
      <c r="BQ1347" s="15"/>
      <c r="BR1347" s="2" t="s">
        <v>409</v>
      </c>
      <c r="BS1347" s="2" t="s">
        <v>409</v>
      </c>
      <c r="BT1347" s="7" t="s">
        <v>438</v>
      </c>
      <c r="BU1347" s="7"/>
      <c r="BV1347" s="9" t="s">
        <v>438</v>
      </c>
      <c r="BW1347" s="9"/>
    </row>
    <row r="1348" spans="1:75" ht="14.25" customHeight="1" x14ac:dyDescent="0.25">
      <c r="A1348" s="1">
        <v>1006</v>
      </c>
      <c r="B1348" s="1" t="s">
        <v>5445</v>
      </c>
      <c r="C1348" s="1" t="s">
        <v>5446</v>
      </c>
      <c r="D1348" s="1" t="s">
        <v>77</v>
      </c>
      <c r="E1348" s="1" t="s">
        <v>2248</v>
      </c>
      <c r="F1348" s="1" t="s">
        <v>2249</v>
      </c>
      <c r="G1348" s="1"/>
      <c r="H1348" s="2">
        <v>0</v>
      </c>
      <c r="I1348" s="2">
        <v>0</v>
      </c>
      <c r="J1348" s="2">
        <v>1</v>
      </c>
      <c r="K1348" s="2">
        <v>1</v>
      </c>
      <c r="L1348" s="3" t="s">
        <v>80</v>
      </c>
      <c r="O1348" s="4">
        <v>3</v>
      </c>
      <c r="P1348" s="4" t="s">
        <v>271</v>
      </c>
      <c r="Q1348" s="4"/>
      <c r="R1348" s="5"/>
      <c r="S1348" s="6"/>
      <c r="T1348" s="17"/>
      <c r="U1348" s="6"/>
      <c r="V1348" s="4"/>
      <c r="W1348" s="4"/>
      <c r="X1348" s="4"/>
      <c r="Y1348" s="7">
        <v>1</v>
      </c>
      <c r="Z1348" s="8">
        <v>13000893</v>
      </c>
      <c r="AA1348" s="7" t="s">
        <v>92</v>
      </c>
      <c r="AB1348" s="7"/>
      <c r="AC1348" s="9">
        <v>1</v>
      </c>
      <c r="AD1348" s="10">
        <v>13000893</v>
      </c>
      <c r="AE1348" s="9" t="s">
        <v>92</v>
      </c>
      <c r="AF1348" s="9"/>
      <c r="AG1348" s="11">
        <v>3</v>
      </c>
      <c r="AH1348" s="11" t="s">
        <v>537</v>
      </c>
      <c r="AI1348" s="11"/>
      <c r="AJ1348" s="11"/>
      <c r="AK1348" s="11"/>
      <c r="AL1348" s="12">
        <v>2</v>
      </c>
      <c r="AM1348" s="12" t="s">
        <v>271</v>
      </c>
      <c r="AN1348" s="12" t="s">
        <v>5447</v>
      </c>
      <c r="AO1348" s="12"/>
      <c r="AP1348" s="12"/>
      <c r="AQ1348" s="4">
        <v>3</v>
      </c>
      <c r="AR1348" s="4" t="s">
        <v>83</v>
      </c>
      <c r="AS1348" s="4"/>
      <c r="AT1348" s="13"/>
      <c r="AU1348" s="13"/>
      <c r="AV1348" s="13"/>
      <c r="AW1348" s="13"/>
      <c r="AX1348" s="4"/>
      <c r="AY1348" s="13"/>
      <c r="AZ1348" s="13"/>
      <c r="BA1348" s="13"/>
      <c r="BB1348" s="13"/>
      <c r="BC1348" s="4"/>
      <c r="BD1348" s="4"/>
      <c r="BE1348" s="4"/>
      <c r="BF1348" s="13"/>
      <c r="BG1348" s="4"/>
      <c r="BH1348" s="13"/>
      <c r="BI1348" s="13"/>
      <c r="BJ1348" s="4"/>
      <c r="BK1348" s="14">
        <v>10</v>
      </c>
      <c r="BL1348" s="14">
        <v>9</v>
      </c>
      <c r="BM1348" s="14">
        <v>10</v>
      </c>
      <c r="BP1348" s="15"/>
      <c r="BQ1348" s="15"/>
      <c r="BR1348" s="2" t="s">
        <v>97</v>
      </c>
      <c r="BS1348" s="2" t="s">
        <v>97</v>
      </c>
      <c r="BT1348" s="7" t="s">
        <v>98</v>
      </c>
      <c r="BU1348" s="7"/>
      <c r="BV1348" s="9" t="s">
        <v>98</v>
      </c>
      <c r="BW1348" s="9"/>
    </row>
    <row r="1349" spans="1:75" ht="14.25" customHeight="1" x14ac:dyDescent="0.25">
      <c r="A1349" s="1">
        <v>1007</v>
      </c>
      <c r="B1349" s="1" t="s">
        <v>5448</v>
      </c>
      <c r="C1349" s="1" t="s">
        <v>5449</v>
      </c>
      <c r="D1349" s="1" t="s">
        <v>77</v>
      </c>
      <c r="E1349" s="1" t="s">
        <v>2248</v>
      </c>
      <c r="F1349" s="1" t="s">
        <v>2249</v>
      </c>
      <c r="G1349" s="1"/>
      <c r="H1349" s="2">
        <v>0</v>
      </c>
      <c r="I1349" s="2">
        <v>0</v>
      </c>
      <c r="J1349" s="2">
        <v>1</v>
      </c>
      <c r="K1349" s="2">
        <v>1</v>
      </c>
      <c r="L1349" s="3" t="s">
        <v>80</v>
      </c>
      <c r="O1349" s="4">
        <v>3</v>
      </c>
      <c r="P1349" s="4" t="s">
        <v>112</v>
      </c>
      <c r="Q1349" s="4" t="s">
        <v>5450</v>
      </c>
      <c r="R1349" s="5"/>
      <c r="S1349" s="6"/>
      <c r="T1349" s="17"/>
      <c r="U1349" s="6"/>
      <c r="V1349" s="4"/>
      <c r="W1349" s="4"/>
      <c r="X1349" s="4"/>
      <c r="Y1349" s="7">
        <v>1</v>
      </c>
      <c r="Z1349" s="8">
        <v>12428019</v>
      </c>
      <c r="AA1349" s="7" t="s">
        <v>92</v>
      </c>
      <c r="AB1349" s="7"/>
      <c r="AC1349" s="9">
        <v>1</v>
      </c>
      <c r="AD1349" s="10">
        <v>12428019</v>
      </c>
      <c r="AE1349" s="9" t="s">
        <v>92</v>
      </c>
      <c r="AF1349" s="9"/>
      <c r="AG1349" s="11">
        <v>4</v>
      </c>
      <c r="AH1349" s="11" t="s">
        <v>93</v>
      </c>
      <c r="AI1349" s="11"/>
      <c r="AJ1349" s="11"/>
      <c r="AK1349" s="11"/>
      <c r="AL1349" s="12">
        <v>4</v>
      </c>
      <c r="AM1349" s="12" t="s">
        <v>93</v>
      </c>
      <c r="AN1349" s="12" t="s">
        <v>5268</v>
      </c>
      <c r="AO1349" s="12"/>
      <c r="AP1349" s="12"/>
      <c r="AQ1349" s="4">
        <v>5</v>
      </c>
      <c r="AR1349" s="4" t="s">
        <v>83</v>
      </c>
      <c r="AS1349" s="4" t="s">
        <v>5451</v>
      </c>
      <c r="AT1349" s="13"/>
      <c r="AU1349" s="13"/>
      <c r="AV1349" s="13"/>
      <c r="AW1349" s="13"/>
      <c r="AX1349" s="4"/>
      <c r="AY1349" s="13"/>
      <c r="AZ1349" s="13"/>
      <c r="BA1349" s="13"/>
      <c r="BB1349" s="13"/>
      <c r="BC1349" s="4"/>
      <c r="BD1349" s="4"/>
      <c r="BE1349" s="4"/>
      <c r="BF1349" s="13"/>
      <c r="BG1349" s="4"/>
      <c r="BH1349" s="13"/>
      <c r="BI1349" s="13"/>
      <c r="BJ1349" s="4"/>
      <c r="BK1349" s="14">
        <v>13</v>
      </c>
      <c r="BL1349" s="14">
        <v>13</v>
      </c>
      <c r="BM1349" s="14">
        <v>13</v>
      </c>
      <c r="BN1349" s="3" t="s">
        <v>113</v>
      </c>
      <c r="BP1349" s="15"/>
      <c r="BQ1349" s="15"/>
      <c r="BR1349" s="2" t="s">
        <v>97</v>
      </c>
      <c r="BS1349" s="2" t="s">
        <v>97</v>
      </c>
      <c r="BT1349" s="7" t="s">
        <v>98</v>
      </c>
      <c r="BU1349" s="7"/>
      <c r="BV1349" s="9" t="s">
        <v>98</v>
      </c>
      <c r="BW1349" s="9"/>
    </row>
    <row r="1350" spans="1:75" ht="14.25" customHeight="1" x14ac:dyDescent="0.25">
      <c r="A1350" s="1">
        <v>1008</v>
      </c>
      <c r="B1350" s="1" t="s">
        <v>5452</v>
      </c>
      <c r="C1350" s="1" t="s">
        <v>5453</v>
      </c>
      <c r="D1350" s="1" t="s">
        <v>77</v>
      </c>
      <c r="E1350" s="1" t="s">
        <v>2248</v>
      </c>
      <c r="F1350" s="1" t="s">
        <v>2249</v>
      </c>
      <c r="G1350" s="1" t="s">
        <v>118</v>
      </c>
      <c r="H1350" s="2">
        <v>0</v>
      </c>
      <c r="I1350" s="2">
        <v>0</v>
      </c>
      <c r="J1350" s="2">
        <v>0</v>
      </c>
      <c r="K1350" s="2">
        <v>1</v>
      </c>
      <c r="L1350" s="3" t="s">
        <v>80</v>
      </c>
      <c r="O1350" s="4">
        <v>4</v>
      </c>
      <c r="P1350" s="4" t="s">
        <v>81</v>
      </c>
      <c r="Q1350" s="4"/>
      <c r="R1350" s="5"/>
      <c r="S1350" s="6"/>
      <c r="T1350" s="17"/>
      <c r="U1350" s="6"/>
      <c r="V1350" s="4"/>
      <c r="W1350" s="4"/>
      <c r="X1350" s="4"/>
      <c r="Y1350" s="7">
        <v>1</v>
      </c>
      <c r="Z1350" s="8">
        <v>5314861</v>
      </c>
      <c r="AA1350" s="7" t="s">
        <v>82</v>
      </c>
      <c r="AB1350" s="7"/>
      <c r="AC1350" s="9">
        <v>1</v>
      </c>
      <c r="AD1350" s="10">
        <v>5314861</v>
      </c>
      <c r="AE1350" s="9" t="s">
        <v>82</v>
      </c>
      <c r="AF1350" s="9"/>
      <c r="AG1350" s="11">
        <v>4</v>
      </c>
      <c r="AH1350" s="11" t="s">
        <v>83</v>
      </c>
      <c r="AI1350" s="11"/>
      <c r="AJ1350" s="11"/>
      <c r="AK1350" s="11"/>
      <c r="AL1350" s="12">
        <v>4</v>
      </c>
      <c r="AM1350" s="12" t="s">
        <v>83</v>
      </c>
      <c r="AN1350" s="12"/>
      <c r="AO1350" s="12"/>
      <c r="AP1350" s="12"/>
      <c r="AQ1350" s="4">
        <v>5</v>
      </c>
      <c r="AR1350" s="4" t="s">
        <v>83</v>
      </c>
      <c r="AS1350" s="4"/>
      <c r="AT1350" s="13"/>
      <c r="AU1350" s="13"/>
      <c r="AV1350" s="13"/>
      <c r="AW1350" s="13"/>
      <c r="AX1350" s="4"/>
      <c r="AY1350" s="13"/>
      <c r="AZ1350" s="13"/>
      <c r="BA1350" s="13"/>
      <c r="BB1350" s="13"/>
      <c r="BC1350" s="4"/>
      <c r="BD1350" s="4"/>
      <c r="BE1350" s="4"/>
      <c r="BF1350" s="13"/>
      <c r="BG1350" s="4"/>
      <c r="BH1350" s="13"/>
      <c r="BI1350" s="13"/>
      <c r="BJ1350" s="4"/>
      <c r="BK1350" s="14">
        <v>14</v>
      </c>
      <c r="BL1350" s="14">
        <v>14</v>
      </c>
      <c r="BM1350" s="14">
        <v>14</v>
      </c>
      <c r="BN1350" s="3" t="s">
        <v>113</v>
      </c>
      <c r="BP1350" s="15"/>
      <c r="BQ1350" s="15"/>
      <c r="BR1350" s="2" t="s">
        <v>97</v>
      </c>
      <c r="BS1350" s="2" t="s">
        <v>97</v>
      </c>
      <c r="BT1350" s="7" t="s">
        <v>98</v>
      </c>
      <c r="BU1350" s="7"/>
      <c r="BV1350" s="9" t="s">
        <v>98</v>
      </c>
      <c r="BW1350" s="9"/>
    </row>
    <row r="1351" spans="1:75" ht="14.25" customHeight="1" x14ac:dyDescent="0.25">
      <c r="A1351" s="1">
        <v>1009</v>
      </c>
      <c r="B1351" s="1" t="s">
        <v>5454</v>
      </c>
      <c r="C1351" s="1" t="s">
        <v>5455</v>
      </c>
      <c r="D1351" s="1" t="s">
        <v>77</v>
      </c>
      <c r="E1351" s="1" t="s">
        <v>2248</v>
      </c>
      <c r="F1351" s="1" t="s">
        <v>2249</v>
      </c>
      <c r="G1351" s="1"/>
      <c r="H1351" s="2">
        <v>0</v>
      </c>
      <c r="I1351" s="2">
        <v>0</v>
      </c>
      <c r="J1351" s="2">
        <v>1</v>
      </c>
      <c r="K1351" s="2">
        <v>1</v>
      </c>
      <c r="L1351" s="3" t="s">
        <v>80</v>
      </c>
      <c r="O1351" s="4">
        <v>3</v>
      </c>
      <c r="P1351" s="4" t="s">
        <v>112</v>
      </c>
      <c r="Q1351" s="4"/>
      <c r="R1351" s="5"/>
      <c r="S1351" s="6"/>
      <c r="T1351" s="17"/>
      <c r="U1351" s="6"/>
      <c r="V1351" s="4"/>
      <c r="W1351" s="4"/>
      <c r="X1351" s="4"/>
      <c r="Y1351" s="7">
        <v>1</v>
      </c>
      <c r="Z1351" s="8">
        <v>13217495</v>
      </c>
      <c r="AA1351" s="7" t="s">
        <v>92</v>
      </c>
      <c r="AB1351" s="7"/>
      <c r="AC1351" s="9">
        <v>1</v>
      </c>
      <c r="AD1351" s="10">
        <v>13217495</v>
      </c>
      <c r="AE1351" s="9" t="s">
        <v>92</v>
      </c>
      <c r="AF1351" s="9"/>
      <c r="AG1351" s="11">
        <v>3</v>
      </c>
      <c r="AH1351" s="11" t="s">
        <v>271</v>
      </c>
      <c r="AI1351" s="11" t="s">
        <v>5456</v>
      </c>
      <c r="AJ1351" s="11"/>
      <c r="AK1351" s="11"/>
      <c r="AL1351" s="12">
        <v>3</v>
      </c>
      <c r="AM1351" s="12" t="s">
        <v>537</v>
      </c>
      <c r="AN1351" s="12" t="s">
        <v>5457</v>
      </c>
      <c r="AO1351" s="12"/>
      <c r="AP1351" s="12"/>
      <c r="AQ1351" s="4">
        <v>4</v>
      </c>
      <c r="AR1351" s="4" t="s">
        <v>83</v>
      </c>
      <c r="AS1351" s="4"/>
      <c r="AT1351" s="13"/>
      <c r="AU1351" s="13"/>
      <c r="AV1351" s="13"/>
      <c r="AW1351" s="13"/>
      <c r="AX1351" s="4"/>
      <c r="AY1351" s="13"/>
      <c r="AZ1351" s="13"/>
      <c r="BA1351" s="13"/>
      <c r="BB1351" s="13"/>
      <c r="BC1351" s="4"/>
      <c r="BD1351" s="4"/>
      <c r="BE1351" s="4"/>
      <c r="BF1351" s="13"/>
      <c r="BG1351" s="4"/>
      <c r="BH1351" s="13"/>
      <c r="BI1351" s="13"/>
      <c r="BJ1351" s="4"/>
      <c r="BK1351" s="14">
        <v>11</v>
      </c>
      <c r="BL1351" s="14">
        <v>11</v>
      </c>
      <c r="BM1351" s="14">
        <v>11</v>
      </c>
      <c r="BP1351" s="15"/>
      <c r="BQ1351" s="15"/>
      <c r="BR1351" s="2" t="s">
        <v>97</v>
      </c>
      <c r="BS1351" s="2" t="s">
        <v>97</v>
      </c>
      <c r="BT1351" s="7" t="s">
        <v>98</v>
      </c>
      <c r="BU1351" s="7"/>
      <c r="BV1351" s="9" t="s">
        <v>98</v>
      </c>
      <c r="BW1351" s="9"/>
    </row>
    <row r="1352" spans="1:75" ht="14.25" customHeight="1" x14ac:dyDescent="0.25">
      <c r="A1352" s="1">
        <v>1010</v>
      </c>
      <c r="B1352" s="1" t="s">
        <v>5458</v>
      </c>
      <c r="C1352" s="1" t="s">
        <v>5459</v>
      </c>
      <c r="D1352" s="1" t="s">
        <v>77</v>
      </c>
      <c r="E1352" s="1" t="s">
        <v>2248</v>
      </c>
      <c r="F1352" s="1" t="s">
        <v>2249</v>
      </c>
      <c r="G1352" s="1" t="s">
        <v>118</v>
      </c>
      <c r="H1352" s="2">
        <v>0</v>
      </c>
      <c r="I1352" s="2">
        <v>0</v>
      </c>
      <c r="J1352" s="2">
        <v>1</v>
      </c>
      <c r="K1352" s="2">
        <v>1</v>
      </c>
      <c r="L1352" s="3" t="s">
        <v>80</v>
      </c>
      <c r="O1352" s="4">
        <v>3</v>
      </c>
      <c r="P1352" s="4" t="s">
        <v>5460</v>
      </c>
      <c r="Q1352" s="4" t="s">
        <v>5461</v>
      </c>
      <c r="R1352" s="5"/>
      <c r="S1352" s="6"/>
      <c r="T1352" s="17"/>
      <c r="U1352" s="6"/>
      <c r="V1352" s="4"/>
      <c r="W1352" s="4"/>
      <c r="X1352" s="4"/>
      <c r="Y1352" s="7">
        <v>1</v>
      </c>
      <c r="Z1352" s="8">
        <v>8108594</v>
      </c>
      <c r="AA1352" s="7" t="s">
        <v>92</v>
      </c>
      <c r="AB1352" s="7"/>
      <c r="AC1352" s="9">
        <v>1</v>
      </c>
      <c r="AD1352" s="10">
        <v>8108594</v>
      </c>
      <c r="AE1352" s="9" t="s">
        <v>92</v>
      </c>
      <c r="AF1352" s="9"/>
      <c r="AG1352" s="11">
        <v>5</v>
      </c>
      <c r="AH1352" s="11" t="s">
        <v>93</v>
      </c>
      <c r="AI1352" s="11"/>
      <c r="AJ1352" s="11"/>
      <c r="AK1352" s="11"/>
      <c r="AL1352" s="12">
        <v>5</v>
      </c>
      <c r="AM1352" s="12" t="s">
        <v>93</v>
      </c>
      <c r="AN1352" s="12" t="s">
        <v>5462</v>
      </c>
      <c r="AO1352" s="12"/>
      <c r="AP1352" s="12"/>
      <c r="AQ1352" s="4">
        <v>5</v>
      </c>
      <c r="AR1352" s="4" t="s">
        <v>83</v>
      </c>
      <c r="AS1352" s="4"/>
      <c r="AT1352" s="13"/>
      <c r="AU1352" s="13"/>
      <c r="AV1352" s="13"/>
      <c r="AW1352" s="13"/>
      <c r="AX1352" s="4"/>
      <c r="AY1352" s="13"/>
      <c r="AZ1352" s="13"/>
      <c r="BA1352" s="13"/>
      <c r="BB1352" s="13"/>
      <c r="BC1352" s="4"/>
      <c r="BD1352" s="4"/>
      <c r="BE1352" s="4"/>
      <c r="BF1352" s="13"/>
      <c r="BG1352" s="4"/>
      <c r="BH1352" s="13"/>
      <c r="BI1352" s="13"/>
      <c r="BJ1352" s="4"/>
      <c r="BK1352" s="14">
        <v>14</v>
      </c>
      <c r="BL1352" s="14">
        <v>14</v>
      </c>
      <c r="BM1352" s="14">
        <v>14</v>
      </c>
      <c r="BN1352" s="3" t="s">
        <v>375</v>
      </c>
      <c r="BP1352" s="15"/>
      <c r="BQ1352" s="15"/>
      <c r="BR1352" s="2" t="s">
        <v>97</v>
      </c>
      <c r="BS1352" s="2" t="s">
        <v>97</v>
      </c>
      <c r="BT1352" s="7" t="s">
        <v>98</v>
      </c>
      <c r="BU1352" s="7"/>
      <c r="BV1352" s="9" t="s">
        <v>98</v>
      </c>
      <c r="BW1352" s="9"/>
    </row>
    <row r="1353" spans="1:75" ht="14.25" customHeight="1" x14ac:dyDescent="0.25">
      <c r="A1353" s="1">
        <v>1011</v>
      </c>
      <c r="B1353" s="1" t="s">
        <v>5463</v>
      </c>
      <c r="C1353" s="1" t="s">
        <v>5464</v>
      </c>
      <c r="D1353" s="1" t="s">
        <v>77</v>
      </c>
      <c r="E1353" s="1" t="s">
        <v>2248</v>
      </c>
      <c r="F1353" s="1" t="s">
        <v>2249</v>
      </c>
      <c r="G1353" s="1"/>
      <c r="H1353" s="2">
        <v>0</v>
      </c>
      <c r="I1353" s="2">
        <v>1</v>
      </c>
      <c r="J1353" s="2">
        <v>1</v>
      </c>
      <c r="K1353" s="2">
        <v>1</v>
      </c>
      <c r="L1353" s="3" t="s">
        <v>80</v>
      </c>
      <c r="O1353" s="4">
        <v>2</v>
      </c>
      <c r="P1353" s="4" t="s">
        <v>5465</v>
      </c>
      <c r="Q1353" s="4" t="s">
        <v>5466</v>
      </c>
      <c r="R1353" s="16">
        <v>8100000</v>
      </c>
      <c r="S1353" s="6">
        <v>8100000</v>
      </c>
      <c r="T1353" s="16">
        <v>120000</v>
      </c>
      <c r="U1353" s="6">
        <v>120000</v>
      </c>
      <c r="V1353" s="4">
        <v>2010.5</v>
      </c>
      <c r="W1353" s="4" t="s">
        <v>425</v>
      </c>
      <c r="X1353" s="4" t="s">
        <v>5467</v>
      </c>
      <c r="Y1353" s="7">
        <v>1</v>
      </c>
      <c r="Z1353" s="8">
        <v>13188173</v>
      </c>
      <c r="AA1353" s="7" t="s">
        <v>1283</v>
      </c>
      <c r="AB1353" s="7" t="s">
        <v>5468</v>
      </c>
      <c r="AC1353" s="9">
        <v>1</v>
      </c>
      <c r="AD1353" s="10">
        <v>13188173</v>
      </c>
      <c r="AE1353" s="9" t="s">
        <v>1283</v>
      </c>
      <c r="AF1353" s="9" t="s">
        <v>5468</v>
      </c>
      <c r="AG1353" s="11">
        <v>2</v>
      </c>
      <c r="AH1353" s="11" t="s">
        <v>131</v>
      </c>
      <c r="AI1353" s="11" t="s">
        <v>5469</v>
      </c>
      <c r="AJ1353" s="11">
        <v>2</v>
      </c>
      <c r="AK1353" s="11" t="s">
        <v>143</v>
      </c>
      <c r="AL1353" s="12">
        <v>2</v>
      </c>
      <c r="AM1353" s="12" t="s">
        <v>131</v>
      </c>
      <c r="AN1353" s="12" t="s">
        <v>5470</v>
      </c>
      <c r="AO1353" s="12">
        <v>2</v>
      </c>
      <c r="AP1353" s="12" t="s">
        <v>132</v>
      </c>
      <c r="AQ1353" s="4">
        <v>2</v>
      </c>
      <c r="AR1353" s="4" t="s">
        <v>93</v>
      </c>
      <c r="AS1353" s="4"/>
      <c r="AT1353" s="13"/>
      <c r="AU1353" s="13"/>
      <c r="AV1353" s="13"/>
      <c r="AW1353" s="13"/>
      <c r="AX1353" s="4"/>
      <c r="AY1353" s="13"/>
      <c r="AZ1353" s="13"/>
      <c r="BA1353" s="13"/>
      <c r="BB1353" s="13"/>
      <c r="BC1353" s="4"/>
      <c r="BD1353" s="4"/>
      <c r="BE1353" s="4"/>
      <c r="BF1353" s="13"/>
      <c r="BG1353" s="4"/>
      <c r="BH1353" s="13"/>
      <c r="BI1353" s="13"/>
      <c r="BJ1353" s="4"/>
      <c r="BK1353" s="14">
        <v>7</v>
      </c>
      <c r="BL1353" s="14">
        <v>7</v>
      </c>
      <c r="BM1353" s="14">
        <v>7</v>
      </c>
      <c r="BP1353" s="15"/>
      <c r="BQ1353" s="15" t="s">
        <v>146</v>
      </c>
      <c r="BR1353" s="2" t="s">
        <v>247</v>
      </c>
      <c r="BS1353" s="2" t="s">
        <v>247</v>
      </c>
      <c r="BT1353" s="7" t="s">
        <v>458</v>
      </c>
      <c r="BU1353" s="7"/>
      <c r="BV1353" s="9" t="s">
        <v>458</v>
      </c>
      <c r="BW1353" s="9"/>
    </row>
    <row r="1354" spans="1:75" ht="14.25" customHeight="1" x14ac:dyDescent="0.25">
      <c r="A1354" s="1">
        <v>1013</v>
      </c>
      <c r="B1354" s="1" t="s">
        <v>5471</v>
      </c>
      <c r="C1354" s="1" t="s">
        <v>5472</v>
      </c>
      <c r="D1354" s="1" t="s">
        <v>77</v>
      </c>
      <c r="E1354" s="1" t="s">
        <v>2248</v>
      </c>
      <c r="F1354" s="1" t="s">
        <v>2249</v>
      </c>
      <c r="G1354" s="1"/>
      <c r="H1354" s="2">
        <v>0</v>
      </c>
      <c r="I1354" s="2">
        <v>0</v>
      </c>
      <c r="J1354" s="2">
        <v>0</v>
      </c>
      <c r="K1354" s="2">
        <v>1</v>
      </c>
      <c r="L1354" s="3" t="s">
        <v>80</v>
      </c>
      <c r="O1354" s="4">
        <v>2</v>
      </c>
      <c r="P1354" s="4" t="s">
        <v>81</v>
      </c>
      <c r="Q1354" s="4"/>
      <c r="R1354" s="5"/>
      <c r="S1354" s="6"/>
      <c r="T1354" s="17"/>
      <c r="U1354" s="6"/>
      <c r="V1354" s="4"/>
      <c r="W1354" s="4"/>
      <c r="X1354" s="4"/>
      <c r="Y1354" s="7">
        <v>1</v>
      </c>
      <c r="Z1354" s="8">
        <v>11226161</v>
      </c>
      <c r="AA1354" s="7" t="s">
        <v>82</v>
      </c>
      <c r="AB1354" s="7"/>
      <c r="AC1354" s="9">
        <v>1</v>
      </c>
      <c r="AD1354" s="10">
        <v>11226161</v>
      </c>
      <c r="AE1354" s="9" t="s">
        <v>82</v>
      </c>
      <c r="AF1354" s="9"/>
      <c r="AG1354" s="11">
        <v>1</v>
      </c>
      <c r="AH1354" s="11" t="s">
        <v>83</v>
      </c>
      <c r="AI1354" s="11"/>
      <c r="AJ1354" s="11"/>
      <c r="AK1354" s="11"/>
      <c r="AL1354" s="12">
        <v>1</v>
      </c>
      <c r="AM1354" s="12" t="s">
        <v>83</v>
      </c>
      <c r="AN1354" s="12"/>
      <c r="AO1354" s="12"/>
      <c r="AP1354" s="12"/>
      <c r="AQ1354" s="4">
        <v>1</v>
      </c>
      <c r="AR1354" s="4" t="s">
        <v>83</v>
      </c>
      <c r="AS1354" s="4"/>
      <c r="AT1354" s="13"/>
      <c r="AU1354" s="13"/>
      <c r="AV1354" s="13"/>
      <c r="AW1354" s="13"/>
      <c r="AX1354" s="4"/>
      <c r="AY1354" s="13"/>
      <c r="AZ1354" s="13"/>
      <c r="BA1354" s="13"/>
      <c r="BB1354" s="13"/>
      <c r="BC1354" s="4"/>
      <c r="BD1354" s="4"/>
      <c r="BE1354" s="4"/>
      <c r="BF1354" s="13"/>
      <c r="BG1354" s="4"/>
      <c r="BH1354" s="13"/>
      <c r="BI1354" s="13"/>
      <c r="BJ1354" s="4"/>
      <c r="BK1354" s="14">
        <v>5</v>
      </c>
      <c r="BL1354" s="14">
        <v>5</v>
      </c>
      <c r="BM1354" s="14">
        <v>5</v>
      </c>
      <c r="BP1354" s="15" t="s">
        <v>135</v>
      </c>
      <c r="BQ1354" s="15"/>
      <c r="BR1354" s="2" t="s">
        <v>97</v>
      </c>
      <c r="BS1354" s="2" t="s">
        <v>97</v>
      </c>
      <c r="BT1354" s="7" t="s">
        <v>458</v>
      </c>
      <c r="BU1354" s="7" t="s">
        <v>463</v>
      </c>
      <c r="BV1354" s="9" t="s">
        <v>458</v>
      </c>
      <c r="BW1354" s="9" t="s">
        <v>463</v>
      </c>
    </row>
    <row r="1355" spans="1:75" ht="14.25" customHeight="1" x14ac:dyDescent="0.25">
      <c r="A1355" s="1">
        <v>1015</v>
      </c>
      <c r="B1355" s="1" t="s">
        <v>5473</v>
      </c>
      <c r="C1355" s="1" t="s">
        <v>5474</v>
      </c>
      <c r="D1355" s="1" t="s">
        <v>77</v>
      </c>
      <c r="E1355" s="1" t="s">
        <v>2248</v>
      </c>
      <c r="F1355" s="1" t="s">
        <v>2249</v>
      </c>
      <c r="G1355" s="1"/>
      <c r="H1355" s="2">
        <v>1</v>
      </c>
      <c r="I1355" s="2">
        <v>1</v>
      </c>
      <c r="J1355" s="2">
        <v>1</v>
      </c>
      <c r="K1355" s="2">
        <v>1</v>
      </c>
      <c r="L1355" s="3" t="s">
        <v>127</v>
      </c>
      <c r="O1355" s="4">
        <v>2</v>
      </c>
      <c r="P1355" s="4" t="s">
        <v>5475</v>
      </c>
      <c r="Q1355" s="4"/>
      <c r="R1355" s="16">
        <v>9200000</v>
      </c>
      <c r="S1355" s="6">
        <v>9200000</v>
      </c>
      <c r="T1355" s="16">
        <v>2800000</v>
      </c>
      <c r="U1355" s="6">
        <v>2800000</v>
      </c>
      <c r="V1355" s="4">
        <v>2010.5</v>
      </c>
      <c r="W1355" s="4" t="s">
        <v>579</v>
      </c>
      <c r="X1355" s="4"/>
      <c r="Y1355" s="7">
        <v>1</v>
      </c>
      <c r="Z1355" s="8">
        <v>24137348</v>
      </c>
      <c r="AA1355" s="7" t="s">
        <v>92</v>
      </c>
      <c r="AB1355" s="7"/>
      <c r="AC1355" s="9">
        <v>1</v>
      </c>
      <c r="AD1355" s="10">
        <v>19001139</v>
      </c>
      <c r="AE1355" s="9" t="s">
        <v>92</v>
      </c>
      <c r="AF1355" s="9"/>
      <c r="AG1355" s="11">
        <v>3</v>
      </c>
      <c r="AH1355" s="11" t="s">
        <v>800</v>
      </c>
      <c r="AI1355" s="11" t="s">
        <v>5476</v>
      </c>
      <c r="AJ1355" s="11">
        <v>2</v>
      </c>
      <c r="AK1355" s="11" t="s">
        <v>132</v>
      </c>
      <c r="AL1355" s="12">
        <v>2</v>
      </c>
      <c r="AM1355" s="12" t="s">
        <v>131</v>
      </c>
      <c r="AN1355" s="12" t="s">
        <v>5477</v>
      </c>
      <c r="AO1355" s="12">
        <v>2</v>
      </c>
      <c r="AP1355" s="12" t="s">
        <v>132</v>
      </c>
      <c r="AQ1355" s="4">
        <v>4</v>
      </c>
      <c r="AR1355" s="4" t="s">
        <v>133</v>
      </c>
      <c r="AS1355" s="4"/>
      <c r="AT1355" s="13">
        <v>-44.557159423828097</v>
      </c>
      <c r="AU1355" s="13">
        <v>-1.1489160060882599</v>
      </c>
      <c r="AV1355" s="13">
        <v>-1.3930979967117301</v>
      </c>
      <c r="AW1355" s="13">
        <v>-0.769999980926514</v>
      </c>
      <c r="AX1355" s="4">
        <v>1</v>
      </c>
      <c r="AY1355" s="13">
        <v>-12.7859754562378</v>
      </c>
      <c r="AZ1355" s="13">
        <v>-1.35869324207306</v>
      </c>
      <c r="BA1355" s="13">
        <v>-2.4200000762939502</v>
      </c>
      <c r="BB1355" s="13">
        <v>-0.74970102310180697</v>
      </c>
      <c r="BC1355" s="4">
        <v>1</v>
      </c>
      <c r="BD1355" s="4">
        <v>10</v>
      </c>
      <c r="BE1355" s="4" t="s">
        <v>134</v>
      </c>
      <c r="BF1355" s="13">
        <v>0.62309801578521695</v>
      </c>
      <c r="BG1355" s="4">
        <v>3758.5</v>
      </c>
      <c r="BH1355" s="13">
        <v>0.76150000095367398</v>
      </c>
      <c r="BI1355" s="13">
        <v>2860.498046875</v>
      </c>
      <c r="BJ1355" s="4"/>
      <c r="BK1355" s="14">
        <v>10</v>
      </c>
      <c r="BL1355" s="14">
        <v>9</v>
      </c>
      <c r="BM1355" s="14">
        <v>10</v>
      </c>
      <c r="BP1355" s="15"/>
      <c r="BQ1355" s="15" t="s">
        <v>146</v>
      </c>
      <c r="BR1355" s="2" t="s">
        <v>247</v>
      </c>
      <c r="BS1355" s="2" t="s">
        <v>247</v>
      </c>
      <c r="BT1355" s="7" t="s">
        <v>458</v>
      </c>
      <c r="BU1355" s="7"/>
      <c r="BV1355" s="9" t="s">
        <v>458</v>
      </c>
      <c r="BW1355" s="9" t="s">
        <v>603</v>
      </c>
    </row>
    <row r="1356" spans="1:75" ht="14.25" customHeight="1" x14ac:dyDescent="0.25">
      <c r="A1356" s="1">
        <v>1017</v>
      </c>
      <c r="B1356" s="1" t="s">
        <v>5478</v>
      </c>
      <c r="C1356" s="1" t="s">
        <v>5479</v>
      </c>
      <c r="D1356" s="1" t="s">
        <v>77</v>
      </c>
      <c r="E1356" s="1" t="s">
        <v>2248</v>
      </c>
      <c r="F1356" s="1" t="s">
        <v>2249</v>
      </c>
      <c r="G1356" s="1"/>
      <c r="H1356" s="2">
        <v>1</v>
      </c>
      <c r="I1356" s="2">
        <v>1</v>
      </c>
      <c r="J1356" s="2">
        <v>1</v>
      </c>
      <c r="K1356" s="2">
        <v>1</v>
      </c>
      <c r="L1356" s="3" t="s">
        <v>127</v>
      </c>
      <c r="O1356" s="4">
        <v>3</v>
      </c>
      <c r="P1356" s="4" t="s">
        <v>5480</v>
      </c>
      <c r="Q1356" s="4"/>
      <c r="R1356" s="16">
        <v>3200000</v>
      </c>
      <c r="S1356" s="6">
        <v>3200000</v>
      </c>
      <c r="T1356" s="16">
        <v>1600000</v>
      </c>
      <c r="U1356" s="6">
        <v>1600000</v>
      </c>
      <c r="V1356" s="4">
        <v>2010.5</v>
      </c>
      <c r="W1356" s="4" t="s">
        <v>531</v>
      </c>
      <c r="X1356" s="4"/>
      <c r="Y1356" s="7">
        <v>1</v>
      </c>
      <c r="Z1356" s="8">
        <v>17706550</v>
      </c>
      <c r="AA1356" s="7" t="s">
        <v>92</v>
      </c>
      <c r="AB1356" s="7"/>
      <c r="AC1356" s="9">
        <v>1</v>
      </c>
      <c r="AD1356" s="10">
        <v>14400758</v>
      </c>
      <c r="AE1356" s="9" t="s">
        <v>92</v>
      </c>
      <c r="AF1356" s="9"/>
      <c r="AG1356" s="11">
        <v>3</v>
      </c>
      <c r="AH1356" s="11" t="s">
        <v>131</v>
      </c>
      <c r="AI1356" s="11"/>
      <c r="AJ1356" s="11">
        <v>3</v>
      </c>
      <c r="AK1356" s="11" t="s">
        <v>143</v>
      </c>
      <c r="AL1356" s="12">
        <v>2</v>
      </c>
      <c r="AM1356" s="12" t="s">
        <v>131</v>
      </c>
      <c r="AN1356" s="12"/>
      <c r="AO1356" s="12">
        <v>2</v>
      </c>
      <c r="AP1356" s="12" t="s">
        <v>132</v>
      </c>
      <c r="AQ1356" s="4">
        <v>1</v>
      </c>
      <c r="AR1356" s="4" t="s">
        <v>133</v>
      </c>
      <c r="AS1356" s="4"/>
      <c r="AT1356" s="13">
        <v>342.558349609375</v>
      </c>
      <c r="AU1356" s="13">
        <v>2.9583187103271502</v>
      </c>
      <c r="AV1356" s="13">
        <v>2.1644949913024898</v>
      </c>
      <c r="AW1356" s="13">
        <v>4.2600002288818404</v>
      </c>
      <c r="AX1356" s="4">
        <v>1</v>
      </c>
      <c r="AY1356" s="13">
        <v>11.417799949646</v>
      </c>
      <c r="AZ1356" s="13">
        <v>1.08259272575378</v>
      </c>
      <c r="BA1356" s="13">
        <v>-0.903999984264374</v>
      </c>
      <c r="BB1356" s="13">
        <v>3.5199999809265101</v>
      </c>
      <c r="BC1356" s="4"/>
      <c r="BD1356" s="4">
        <v>10</v>
      </c>
      <c r="BE1356" s="4" t="s">
        <v>134</v>
      </c>
      <c r="BF1356" s="13">
        <v>2.0955049991607702</v>
      </c>
      <c r="BG1356" s="4">
        <v>827.5</v>
      </c>
      <c r="BH1356" s="13">
        <v>6.17499984800816E-2</v>
      </c>
      <c r="BI1356" s="13">
        <v>50.951248168945298</v>
      </c>
      <c r="BJ1356" s="4"/>
      <c r="BK1356" s="14">
        <v>8</v>
      </c>
      <c r="BL1356" s="14">
        <v>7</v>
      </c>
      <c r="BM1356" s="14">
        <v>8</v>
      </c>
      <c r="BP1356" s="15" t="s">
        <v>135</v>
      </c>
      <c r="BQ1356" s="15"/>
      <c r="BR1356" s="2" t="s">
        <v>211</v>
      </c>
      <c r="BS1356" s="2" t="s">
        <v>247</v>
      </c>
      <c r="BT1356" s="7" t="s">
        <v>527</v>
      </c>
      <c r="BU1356" s="7" t="s">
        <v>458</v>
      </c>
      <c r="BV1356" s="9" t="s">
        <v>458</v>
      </c>
      <c r="BW1356" s="9"/>
    </row>
    <row r="1357" spans="1:75" ht="14.25" customHeight="1" x14ac:dyDescent="0.25">
      <c r="A1357" s="1">
        <v>1019</v>
      </c>
      <c r="B1357" s="1" t="s">
        <v>5481</v>
      </c>
      <c r="C1357" s="1" t="s">
        <v>5482</v>
      </c>
      <c r="D1357" s="1" t="s">
        <v>77</v>
      </c>
      <c r="E1357" s="1" t="s">
        <v>2248</v>
      </c>
      <c r="F1357" s="1" t="s">
        <v>2249</v>
      </c>
      <c r="G1357" s="1"/>
      <c r="H1357" s="2">
        <v>0</v>
      </c>
      <c r="I1357" s="2">
        <v>1</v>
      </c>
      <c r="J1357" s="2">
        <v>1</v>
      </c>
      <c r="K1357" s="2">
        <v>1</v>
      </c>
      <c r="L1357" s="3" t="s">
        <v>80</v>
      </c>
      <c r="O1357" s="4">
        <v>4</v>
      </c>
      <c r="P1357" s="4" t="s">
        <v>706</v>
      </c>
      <c r="Q1357" s="4"/>
      <c r="R1357" s="16">
        <v>200000</v>
      </c>
      <c r="S1357" s="6">
        <v>200000</v>
      </c>
      <c r="T1357" s="17" t="s">
        <v>5483</v>
      </c>
      <c r="U1357" s="6">
        <v>100</v>
      </c>
      <c r="V1357" s="4"/>
      <c r="W1357" s="4" t="s">
        <v>543</v>
      </c>
      <c r="X1357" s="4" t="s">
        <v>5484</v>
      </c>
      <c r="Y1357" s="7">
        <v>1</v>
      </c>
      <c r="Z1357" s="8">
        <v>11682246</v>
      </c>
      <c r="AA1357" s="7" t="s">
        <v>92</v>
      </c>
      <c r="AB1357" s="7"/>
      <c r="AC1357" s="9">
        <v>1</v>
      </c>
      <c r="AD1357" s="10">
        <v>11688177</v>
      </c>
      <c r="AE1357" s="9" t="s">
        <v>92</v>
      </c>
      <c r="AF1357" s="9"/>
      <c r="AG1357" s="11">
        <v>4</v>
      </c>
      <c r="AH1357" s="11" t="s">
        <v>5485</v>
      </c>
      <c r="AI1357" s="11" t="s">
        <v>5486</v>
      </c>
      <c r="AJ1357" s="11">
        <v>3</v>
      </c>
      <c r="AK1357" s="11" t="s">
        <v>143</v>
      </c>
      <c r="AL1357" s="12">
        <v>3</v>
      </c>
      <c r="AM1357" s="12" t="s">
        <v>131</v>
      </c>
      <c r="AN1357" s="12" t="s">
        <v>5487</v>
      </c>
      <c r="AO1357" s="12">
        <v>3</v>
      </c>
      <c r="AP1357" s="12" t="s">
        <v>143</v>
      </c>
      <c r="AQ1357" s="4">
        <v>4</v>
      </c>
      <c r="AR1357" s="4" t="s">
        <v>93</v>
      </c>
      <c r="AS1357" s="4"/>
      <c r="AT1357" s="13"/>
      <c r="AU1357" s="13"/>
      <c r="AV1357" s="13"/>
      <c r="AW1357" s="13"/>
      <c r="AX1357" s="4"/>
      <c r="AY1357" s="13"/>
      <c r="AZ1357" s="13"/>
      <c r="BA1357" s="13"/>
      <c r="BB1357" s="13"/>
      <c r="BC1357" s="4"/>
      <c r="BD1357" s="4"/>
      <c r="BE1357" s="4"/>
      <c r="BF1357" s="13"/>
      <c r="BG1357" s="4"/>
      <c r="BH1357" s="13"/>
      <c r="BI1357" s="13"/>
      <c r="BJ1357" s="4"/>
      <c r="BK1357" s="14">
        <v>13</v>
      </c>
      <c r="BL1357" s="14">
        <v>12</v>
      </c>
      <c r="BM1357" s="14">
        <v>13</v>
      </c>
      <c r="BP1357" s="15"/>
      <c r="BQ1357" s="15"/>
      <c r="BR1357" s="2" t="s">
        <v>97</v>
      </c>
      <c r="BS1357" s="2" t="s">
        <v>97</v>
      </c>
      <c r="BT1357" s="7" t="s">
        <v>463</v>
      </c>
      <c r="BU1357" s="7" t="s">
        <v>474</v>
      </c>
      <c r="BV1357" s="9" t="s">
        <v>463</v>
      </c>
      <c r="BW1357" s="9" t="s">
        <v>474</v>
      </c>
    </row>
    <row r="1358" spans="1:75" ht="14.25" customHeight="1" x14ac:dyDescent="0.25">
      <c r="A1358" s="1">
        <v>1020</v>
      </c>
      <c r="B1358" s="1" t="s">
        <v>5488</v>
      </c>
      <c r="C1358" s="1" t="s">
        <v>5489</v>
      </c>
      <c r="D1358" s="1" t="s">
        <v>77</v>
      </c>
      <c r="E1358" s="1" t="s">
        <v>2248</v>
      </c>
      <c r="F1358" s="1" t="s">
        <v>2249</v>
      </c>
      <c r="G1358" s="1"/>
      <c r="H1358" s="2">
        <v>0</v>
      </c>
      <c r="I1358" s="2">
        <v>0</v>
      </c>
      <c r="J1358" s="2">
        <v>1</v>
      </c>
      <c r="K1358" s="2">
        <v>1</v>
      </c>
      <c r="L1358" s="3" t="s">
        <v>80</v>
      </c>
      <c r="O1358" s="4">
        <v>3</v>
      </c>
      <c r="P1358" s="4" t="s">
        <v>271</v>
      </c>
      <c r="Q1358" s="4"/>
      <c r="R1358" s="5"/>
      <c r="S1358" s="6"/>
      <c r="T1358" s="17"/>
      <c r="U1358" s="6"/>
      <c r="V1358" s="4"/>
      <c r="W1358" s="4"/>
      <c r="X1358" s="4"/>
      <c r="Y1358" s="7">
        <v>1</v>
      </c>
      <c r="Z1358" s="8">
        <v>13413590</v>
      </c>
      <c r="AA1358" s="7" t="s">
        <v>92</v>
      </c>
      <c r="AB1358" s="7"/>
      <c r="AC1358" s="9">
        <v>1</v>
      </c>
      <c r="AD1358" s="10">
        <v>13413590</v>
      </c>
      <c r="AE1358" s="9" t="s">
        <v>92</v>
      </c>
      <c r="AF1358" s="9"/>
      <c r="AG1358" s="11">
        <v>3</v>
      </c>
      <c r="AH1358" s="11" t="s">
        <v>537</v>
      </c>
      <c r="AI1358" s="11"/>
      <c r="AJ1358" s="11"/>
      <c r="AK1358" s="11"/>
      <c r="AL1358" s="12">
        <v>3</v>
      </c>
      <c r="AM1358" s="12" t="s">
        <v>537</v>
      </c>
      <c r="AN1358" s="12" t="s">
        <v>5490</v>
      </c>
      <c r="AO1358" s="12"/>
      <c r="AP1358" s="12"/>
      <c r="AQ1358" s="4">
        <v>4</v>
      </c>
      <c r="AR1358" s="4" t="s">
        <v>83</v>
      </c>
      <c r="AS1358" s="4"/>
      <c r="AT1358" s="13"/>
      <c r="AU1358" s="13"/>
      <c r="AV1358" s="13"/>
      <c r="AW1358" s="13"/>
      <c r="AX1358" s="4"/>
      <c r="AY1358" s="13"/>
      <c r="AZ1358" s="13"/>
      <c r="BA1358" s="13"/>
      <c r="BB1358" s="13"/>
      <c r="BC1358" s="4"/>
      <c r="BD1358" s="4"/>
      <c r="BE1358" s="4"/>
      <c r="BF1358" s="13"/>
      <c r="BG1358" s="4"/>
      <c r="BH1358" s="13"/>
      <c r="BI1358" s="13"/>
      <c r="BJ1358" s="4"/>
      <c r="BK1358" s="14">
        <v>11</v>
      </c>
      <c r="BL1358" s="14">
        <v>11</v>
      </c>
      <c r="BM1358" s="14">
        <v>11</v>
      </c>
      <c r="BP1358" s="15"/>
      <c r="BQ1358" s="15"/>
      <c r="BR1358" s="2" t="s">
        <v>97</v>
      </c>
      <c r="BS1358" s="2" t="s">
        <v>97</v>
      </c>
      <c r="BT1358" s="7" t="s">
        <v>98</v>
      </c>
      <c r="BU1358" s="7"/>
      <c r="BV1358" s="9" t="s">
        <v>98</v>
      </c>
      <c r="BW1358" s="9"/>
    </row>
    <row r="1359" spans="1:75" ht="14.25" customHeight="1" x14ac:dyDescent="0.25">
      <c r="A1359" s="1">
        <v>1021</v>
      </c>
      <c r="B1359" s="1" t="s">
        <v>5491</v>
      </c>
      <c r="C1359" s="1" t="s">
        <v>5492</v>
      </c>
      <c r="D1359" s="1" t="s">
        <v>77</v>
      </c>
      <c r="E1359" s="1" t="s">
        <v>2248</v>
      </c>
      <c r="F1359" s="1" t="s">
        <v>2249</v>
      </c>
      <c r="G1359" s="1" t="s">
        <v>118</v>
      </c>
      <c r="H1359" s="2">
        <v>0</v>
      </c>
      <c r="I1359" s="2">
        <v>0</v>
      </c>
      <c r="J1359" s="2">
        <v>1</v>
      </c>
      <c r="K1359" s="2">
        <v>1</v>
      </c>
      <c r="L1359" s="3" t="s">
        <v>80</v>
      </c>
      <c r="O1359" s="4">
        <v>5</v>
      </c>
      <c r="P1359" s="4" t="s">
        <v>112</v>
      </c>
      <c r="Q1359" s="4"/>
      <c r="R1359" s="5"/>
      <c r="S1359" s="6"/>
      <c r="T1359" s="17"/>
      <c r="U1359" s="6"/>
      <c r="V1359" s="4"/>
      <c r="W1359" s="4"/>
      <c r="X1359" s="4"/>
      <c r="Y1359" s="7">
        <v>2</v>
      </c>
      <c r="Z1359" s="8">
        <v>3258144</v>
      </c>
      <c r="AA1359" s="7" t="s">
        <v>92</v>
      </c>
      <c r="AB1359" s="7"/>
      <c r="AC1359" s="9">
        <v>2</v>
      </c>
      <c r="AD1359" s="10">
        <v>3258144</v>
      </c>
      <c r="AE1359" s="9" t="s">
        <v>92</v>
      </c>
      <c r="AF1359" s="9"/>
      <c r="AG1359" s="11">
        <v>5</v>
      </c>
      <c r="AH1359" s="11" t="s">
        <v>93</v>
      </c>
      <c r="AI1359" s="11"/>
      <c r="AJ1359" s="11"/>
      <c r="AK1359" s="11"/>
      <c r="AL1359" s="12">
        <v>5</v>
      </c>
      <c r="AM1359" s="12" t="s">
        <v>93</v>
      </c>
      <c r="AN1359" s="12" t="s">
        <v>5493</v>
      </c>
      <c r="AO1359" s="12"/>
      <c r="AP1359" s="12"/>
      <c r="AQ1359" s="4">
        <v>5</v>
      </c>
      <c r="AR1359" s="4" t="s">
        <v>83</v>
      </c>
      <c r="AS1359" s="4"/>
      <c r="AT1359" s="13"/>
      <c r="AU1359" s="13"/>
      <c r="AV1359" s="13"/>
      <c r="AW1359" s="13"/>
      <c r="AX1359" s="4"/>
      <c r="AY1359" s="13"/>
      <c r="AZ1359" s="13"/>
      <c r="BA1359" s="13"/>
      <c r="BB1359" s="13"/>
      <c r="BC1359" s="4"/>
      <c r="BD1359" s="4"/>
      <c r="BE1359" s="4"/>
      <c r="BF1359" s="13"/>
      <c r="BG1359" s="4"/>
      <c r="BH1359" s="13"/>
      <c r="BI1359" s="13"/>
      <c r="BJ1359" s="4"/>
      <c r="BK1359" s="14">
        <v>17</v>
      </c>
      <c r="BL1359" s="14">
        <v>17</v>
      </c>
      <c r="BM1359" s="14">
        <v>17</v>
      </c>
      <c r="BN1359" s="3" t="s">
        <v>312</v>
      </c>
      <c r="BO1359" s="3" t="s">
        <v>120</v>
      </c>
      <c r="BP1359" s="15"/>
      <c r="BQ1359" s="15"/>
      <c r="BR1359" s="2" t="s">
        <v>97</v>
      </c>
      <c r="BS1359" s="2" t="s">
        <v>97</v>
      </c>
      <c r="BT1359" s="7" t="s">
        <v>98</v>
      </c>
      <c r="BU1359" s="7"/>
      <c r="BV1359" s="9" t="s">
        <v>98</v>
      </c>
      <c r="BW1359" s="9"/>
    </row>
    <row r="1360" spans="1:75" ht="14.25" customHeight="1" x14ac:dyDescent="0.25">
      <c r="A1360" s="1">
        <v>1096</v>
      </c>
      <c r="B1360" s="1" t="s">
        <v>5494</v>
      </c>
      <c r="C1360" s="1" t="s">
        <v>5495</v>
      </c>
      <c r="D1360" s="1" t="s">
        <v>77</v>
      </c>
      <c r="E1360" s="1" t="s">
        <v>2396</v>
      </c>
      <c r="F1360" s="1" t="s">
        <v>2428</v>
      </c>
      <c r="G1360" s="1" t="s">
        <v>118</v>
      </c>
      <c r="H1360" s="2">
        <v>0</v>
      </c>
      <c r="I1360" s="2">
        <v>0</v>
      </c>
      <c r="J1360" s="2">
        <v>0</v>
      </c>
      <c r="K1360" s="2">
        <v>1</v>
      </c>
      <c r="L1360" s="3" t="s">
        <v>127</v>
      </c>
      <c r="O1360" s="4">
        <v>5</v>
      </c>
      <c r="P1360" s="4" t="s">
        <v>81</v>
      </c>
      <c r="Q1360" s="4"/>
      <c r="R1360" s="5"/>
      <c r="S1360" s="6"/>
      <c r="T1360" s="17"/>
      <c r="U1360" s="6"/>
      <c r="V1360" s="4"/>
      <c r="W1360" s="4"/>
      <c r="X1360" s="4"/>
      <c r="Y1360" s="7">
        <v>5</v>
      </c>
      <c r="Z1360" s="8">
        <v>9295</v>
      </c>
      <c r="AA1360" s="7" t="s">
        <v>82</v>
      </c>
      <c r="AB1360" s="7"/>
      <c r="AC1360" s="9">
        <v>5</v>
      </c>
      <c r="AD1360" s="10">
        <v>17878</v>
      </c>
      <c r="AE1360" s="9" t="s">
        <v>82</v>
      </c>
      <c r="AF1360" s="9"/>
      <c r="AG1360" s="11">
        <v>3</v>
      </c>
      <c r="AH1360" s="11" t="s">
        <v>83</v>
      </c>
      <c r="AI1360" s="11"/>
      <c r="AJ1360" s="11"/>
      <c r="AK1360" s="11"/>
      <c r="AL1360" s="12">
        <v>5</v>
      </c>
      <c r="AM1360" s="12" t="s">
        <v>83</v>
      </c>
      <c r="AN1360" s="12" t="s">
        <v>5496</v>
      </c>
      <c r="AO1360" s="12"/>
      <c r="AP1360" s="12"/>
      <c r="AQ1360" s="4">
        <v>4</v>
      </c>
      <c r="AR1360" s="4" t="s">
        <v>83</v>
      </c>
      <c r="AS1360" s="4"/>
      <c r="AT1360" s="13"/>
      <c r="AU1360" s="13"/>
      <c r="AV1360" s="13"/>
      <c r="AW1360" s="13"/>
      <c r="AX1360" s="4"/>
      <c r="AY1360" s="13"/>
      <c r="AZ1360" s="13"/>
      <c r="BA1360" s="13"/>
      <c r="BB1360" s="13"/>
      <c r="BC1360" s="4"/>
      <c r="BD1360" s="4"/>
      <c r="BE1360" s="4"/>
      <c r="BF1360" s="13"/>
      <c r="BG1360" s="4"/>
      <c r="BH1360" s="13"/>
      <c r="BI1360" s="13"/>
      <c r="BJ1360" s="4"/>
      <c r="BK1360" s="14">
        <v>17</v>
      </c>
      <c r="BL1360" s="14">
        <v>19</v>
      </c>
      <c r="BM1360" s="14">
        <v>19</v>
      </c>
      <c r="BN1360" s="3" t="s">
        <v>312</v>
      </c>
      <c r="BO1360" s="3" t="s">
        <v>414</v>
      </c>
      <c r="BP1360" s="15"/>
      <c r="BQ1360" s="15"/>
      <c r="BR1360" s="2" t="s">
        <v>87</v>
      </c>
      <c r="BS1360" s="2" t="s">
        <v>87</v>
      </c>
      <c r="BT1360" s="7" t="s">
        <v>98</v>
      </c>
      <c r="BU1360" s="7"/>
      <c r="BV1360" s="9" t="s">
        <v>98</v>
      </c>
      <c r="BW1360" s="9"/>
    </row>
    <row r="1361" spans="1:75" ht="14.25" customHeight="1" x14ac:dyDescent="0.25">
      <c r="A1361" s="1">
        <v>1097</v>
      </c>
      <c r="B1361" s="1" t="s">
        <v>5497</v>
      </c>
      <c r="C1361" s="1" t="s">
        <v>5498</v>
      </c>
      <c r="D1361" s="1" t="s">
        <v>77</v>
      </c>
      <c r="E1361" s="1" t="s">
        <v>2396</v>
      </c>
      <c r="F1361" s="1" t="s">
        <v>2428</v>
      </c>
      <c r="G1361" s="1" t="s">
        <v>118</v>
      </c>
      <c r="H1361" s="2">
        <v>0</v>
      </c>
      <c r="I1361" s="2">
        <v>0</v>
      </c>
      <c r="J1361" s="2">
        <v>1</v>
      </c>
      <c r="K1361" s="2">
        <v>1</v>
      </c>
      <c r="L1361" s="3" t="s">
        <v>80</v>
      </c>
      <c r="O1361" s="4">
        <v>5</v>
      </c>
      <c r="P1361" s="4" t="s">
        <v>112</v>
      </c>
      <c r="Q1361" s="4"/>
      <c r="R1361" s="5"/>
      <c r="S1361" s="6"/>
      <c r="T1361" s="17"/>
      <c r="U1361" s="6"/>
      <c r="V1361" s="4"/>
      <c r="W1361" s="4"/>
      <c r="X1361" s="4"/>
      <c r="Y1361" s="7">
        <v>4</v>
      </c>
      <c r="Z1361" s="8">
        <v>298751</v>
      </c>
      <c r="AA1361" s="7" t="s">
        <v>92</v>
      </c>
      <c r="AB1361" s="7"/>
      <c r="AC1361" s="9">
        <v>4</v>
      </c>
      <c r="AD1361" s="10">
        <v>298751</v>
      </c>
      <c r="AE1361" s="9" t="s">
        <v>92</v>
      </c>
      <c r="AF1361" s="9"/>
      <c r="AG1361" s="11">
        <v>5</v>
      </c>
      <c r="AH1361" s="11" t="s">
        <v>93</v>
      </c>
      <c r="AI1361" s="11"/>
      <c r="AJ1361" s="11"/>
      <c r="AK1361" s="11"/>
      <c r="AL1361" s="12">
        <v>5</v>
      </c>
      <c r="AM1361" s="12" t="s">
        <v>93</v>
      </c>
      <c r="AN1361" s="12" t="s">
        <v>408</v>
      </c>
      <c r="AO1361" s="12"/>
      <c r="AP1361" s="12"/>
      <c r="AQ1361" s="4">
        <v>5</v>
      </c>
      <c r="AR1361" s="4" t="s">
        <v>83</v>
      </c>
      <c r="AS1361" s="4" t="s">
        <v>3876</v>
      </c>
      <c r="AT1361" s="13"/>
      <c r="AU1361" s="13"/>
      <c r="AV1361" s="13"/>
      <c r="AW1361" s="13"/>
      <c r="AX1361" s="4"/>
      <c r="AY1361" s="13"/>
      <c r="AZ1361" s="13"/>
      <c r="BA1361" s="13"/>
      <c r="BB1361" s="13"/>
      <c r="BC1361" s="4"/>
      <c r="BD1361" s="4"/>
      <c r="BE1361" s="4"/>
      <c r="BF1361" s="13"/>
      <c r="BG1361" s="4"/>
      <c r="BH1361" s="13"/>
      <c r="BI1361" s="13"/>
      <c r="BJ1361" s="4"/>
      <c r="BK1361" s="14">
        <v>19</v>
      </c>
      <c r="BL1361" s="14">
        <v>19</v>
      </c>
      <c r="BM1361" s="14">
        <v>19</v>
      </c>
      <c r="BN1361" s="3" t="s">
        <v>312</v>
      </c>
      <c r="BP1361" s="15"/>
      <c r="BQ1361" s="15"/>
      <c r="BR1361" s="2" t="s">
        <v>115</v>
      </c>
      <c r="BS1361" s="2" t="s">
        <v>115</v>
      </c>
      <c r="BT1361" s="7" t="s">
        <v>98</v>
      </c>
      <c r="BU1361" s="7"/>
      <c r="BV1361" s="9" t="s">
        <v>98</v>
      </c>
      <c r="BW1361" s="9"/>
    </row>
    <row r="1362" spans="1:75" ht="14.25" customHeight="1" x14ac:dyDescent="0.25">
      <c r="A1362" s="1">
        <v>1098</v>
      </c>
      <c r="B1362" s="1" t="s">
        <v>5499</v>
      </c>
      <c r="C1362" s="1" t="s">
        <v>5500</v>
      </c>
      <c r="D1362" s="1" t="s">
        <v>77</v>
      </c>
      <c r="E1362" s="1" t="s">
        <v>2396</v>
      </c>
      <c r="F1362" s="1" t="s">
        <v>2428</v>
      </c>
      <c r="G1362" s="1" t="s">
        <v>118</v>
      </c>
      <c r="H1362" s="2">
        <v>0</v>
      </c>
      <c r="I1362" s="2">
        <v>0</v>
      </c>
      <c r="J1362" s="2">
        <v>0</v>
      </c>
      <c r="K1362" s="2">
        <v>1</v>
      </c>
      <c r="L1362" s="3" t="s">
        <v>80</v>
      </c>
      <c r="O1362" s="4">
        <v>5</v>
      </c>
      <c r="P1362" s="4" t="s">
        <v>81</v>
      </c>
      <c r="Q1362" s="4"/>
      <c r="R1362" s="5"/>
      <c r="S1362" s="6"/>
      <c r="T1362" s="17"/>
      <c r="U1362" s="6"/>
      <c r="V1362" s="4"/>
      <c r="W1362" s="4"/>
      <c r="X1362" s="4"/>
      <c r="Y1362" s="7">
        <v>5</v>
      </c>
      <c r="Z1362" s="8">
        <v>11175</v>
      </c>
      <c r="AA1362" s="7" t="s">
        <v>82</v>
      </c>
      <c r="AB1362" s="7"/>
      <c r="AC1362" s="9">
        <v>5</v>
      </c>
      <c r="AD1362" s="10">
        <v>11175</v>
      </c>
      <c r="AE1362" s="9" t="s">
        <v>82</v>
      </c>
      <c r="AF1362" s="9"/>
      <c r="AG1362" s="11">
        <v>4</v>
      </c>
      <c r="AH1362" s="11" t="s">
        <v>83</v>
      </c>
      <c r="AI1362" s="11"/>
      <c r="AJ1362" s="11"/>
      <c r="AK1362" s="11"/>
      <c r="AL1362" s="12">
        <v>5</v>
      </c>
      <c r="AM1362" s="12" t="s">
        <v>83</v>
      </c>
      <c r="AN1362" s="12" t="s">
        <v>5501</v>
      </c>
      <c r="AO1362" s="12"/>
      <c r="AP1362" s="12"/>
      <c r="AQ1362" s="4">
        <v>5</v>
      </c>
      <c r="AR1362" s="4" t="s">
        <v>83</v>
      </c>
      <c r="AS1362" s="4"/>
      <c r="AT1362" s="13"/>
      <c r="AU1362" s="13"/>
      <c r="AV1362" s="13"/>
      <c r="AW1362" s="13"/>
      <c r="AX1362" s="4"/>
      <c r="AY1362" s="13"/>
      <c r="AZ1362" s="13"/>
      <c r="BA1362" s="13"/>
      <c r="BB1362" s="13"/>
      <c r="BC1362" s="4"/>
      <c r="BD1362" s="4"/>
      <c r="BE1362" s="4"/>
      <c r="BF1362" s="13"/>
      <c r="BG1362" s="4"/>
      <c r="BH1362" s="13"/>
      <c r="BI1362" s="13"/>
      <c r="BJ1362" s="4"/>
      <c r="BK1362" s="14">
        <v>19</v>
      </c>
      <c r="BL1362" s="14">
        <v>20</v>
      </c>
      <c r="BM1362" s="14">
        <v>20</v>
      </c>
      <c r="BN1362" s="3" t="s">
        <v>312</v>
      </c>
      <c r="BO1362" s="3" t="s">
        <v>114</v>
      </c>
      <c r="BP1362" s="15"/>
      <c r="BQ1362" s="15"/>
      <c r="BR1362" s="2" t="s">
        <v>108</v>
      </c>
      <c r="BS1362" s="2" t="s">
        <v>108</v>
      </c>
      <c r="BT1362" s="7" t="s">
        <v>98</v>
      </c>
      <c r="BU1362" s="7"/>
      <c r="BV1362" s="9" t="s">
        <v>98</v>
      </c>
      <c r="BW1362" s="9"/>
    </row>
    <row r="1363" spans="1:75" ht="14.25" customHeight="1" x14ac:dyDescent="0.25">
      <c r="A1363" s="1">
        <v>1099</v>
      </c>
      <c r="B1363" s="1" t="s">
        <v>5502</v>
      </c>
      <c r="C1363" s="1" t="s">
        <v>5503</v>
      </c>
      <c r="D1363" s="1" t="s">
        <v>77</v>
      </c>
      <c r="E1363" s="1" t="s">
        <v>2396</v>
      </c>
      <c r="F1363" s="1" t="s">
        <v>2428</v>
      </c>
      <c r="G1363" s="1" t="s">
        <v>118</v>
      </c>
      <c r="H1363" s="2">
        <v>0</v>
      </c>
      <c r="I1363" s="2">
        <v>0</v>
      </c>
      <c r="J1363" s="2">
        <v>0</v>
      </c>
      <c r="K1363" s="2">
        <v>1</v>
      </c>
      <c r="L1363" s="3" t="s">
        <v>80</v>
      </c>
      <c r="O1363" s="4">
        <v>4</v>
      </c>
      <c r="P1363" s="4" t="s">
        <v>81</v>
      </c>
      <c r="Q1363" s="4"/>
      <c r="R1363" s="5"/>
      <c r="S1363" s="6"/>
      <c r="T1363" s="17"/>
      <c r="U1363" s="6"/>
      <c r="V1363" s="4"/>
      <c r="W1363" s="4"/>
      <c r="X1363" s="4"/>
      <c r="Y1363" s="7">
        <v>4</v>
      </c>
      <c r="Z1363" s="8">
        <v>175677</v>
      </c>
      <c r="AA1363" s="7" t="s">
        <v>82</v>
      </c>
      <c r="AB1363" s="7"/>
      <c r="AC1363" s="9">
        <v>4</v>
      </c>
      <c r="AD1363" s="10">
        <v>175677</v>
      </c>
      <c r="AE1363" s="9" t="s">
        <v>82</v>
      </c>
      <c r="AF1363" s="9"/>
      <c r="AG1363" s="11">
        <v>4</v>
      </c>
      <c r="AH1363" s="11" t="s">
        <v>83</v>
      </c>
      <c r="AI1363" s="11"/>
      <c r="AJ1363" s="11"/>
      <c r="AK1363" s="11"/>
      <c r="AL1363" s="12">
        <v>4</v>
      </c>
      <c r="AM1363" s="12" t="s">
        <v>83</v>
      </c>
      <c r="AN1363" s="12"/>
      <c r="AO1363" s="12"/>
      <c r="AP1363" s="12"/>
      <c r="AQ1363" s="4">
        <v>4</v>
      </c>
      <c r="AR1363" s="4" t="s">
        <v>83</v>
      </c>
      <c r="AS1363" s="4"/>
      <c r="AT1363" s="13"/>
      <c r="AU1363" s="13"/>
      <c r="AV1363" s="13"/>
      <c r="AW1363" s="13"/>
      <c r="AX1363" s="4"/>
      <c r="AY1363" s="13"/>
      <c r="AZ1363" s="13"/>
      <c r="BA1363" s="13"/>
      <c r="BB1363" s="13"/>
      <c r="BC1363" s="4"/>
      <c r="BD1363" s="4"/>
      <c r="BE1363" s="4"/>
      <c r="BF1363" s="13"/>
      <c r="BG1363" s="4"/>
      <c r="BH1363" s="13"/>
      <c r="BI1363" s="13"/>
      <c r="BJ1363" s="4"/>
      <c r="BK1363" s="14">
        <v>16</v>
      </c>
      <c r="BL1363" s="14">
        <v>16</v>
      </c>
      <c r="BM1363" s="14">
        <v>16</v>
      </c>
      <c r="BN1363" s="3" t="s">
        <v>86</v>
      </c>
      <c r="BP1363" s="15"/>
      <c r="BQ1363" s="15"/>
      <c r="BR1363" s="2" t="s">
        <v>121</v>
      </c>
      <c r="BS1363" s="2" t="s">
        <v>121</v>
      </c>
      <c r="BT1363" s="7" t="s">
        <v>98</v>
      </c>
      <c r="BU1363" s="7"/>
      <c r="BV1363" s="9" t="s">
        <v>98</v>
      </c>
      <c r="BW1363" s="9"/>
    </row>
    <row r="1364" spans="1:75" ht="14.25" customHeight="1" x14ac:dyDescent="0.25">
      <c r="A1364" s="1">
        <v>1100</v>
      </c>
      <c r="B1364" s="1" t="s">
        <v>5504</v>
      </c>
      <c r="C1364" s="1" t="s">
        <v>5505</v>
      </c>
      <c r="D1364" s="1" t="s">
        <v>77</v>
      </c>
      <c r="E1364" s="1" t="s">
        <v>2396</v>
      </c>
      <c r="F1364" s="1" t="s">
        <v>2428</v>
      </c>
      <c r="G1364" s="1"/>
      <c r="H1364" s="2">
        <v>0</v>
      </c>
      <c r="I1364" s="2">
        <v>0</v>
      </c>
      <c r="J1364" s="2">
        <v>1</v>
      </c>
      <c r="K1364" s="2">
        <v>1</v>
      </c>
      <c r="L1364" s="3" t="s">
        <v>80</v>
      </c>
      <c r="O1364" s="4">
        <v>4</v>
      </c>
      <c r="P1364" s="4" t="s">
        <v>112</v>
      </c>
      <c r="Q1364" s="4"/>
      <c r="R1364" s="5"/>
      <c r="S1364" s="6"/>
      <c r="T1364" s="17"/>
      <c r="U1364" s="6"/>
      <c r="V1364" s="4"/>
      <c r="W1364" s="4"/>
      <c r="X1364" s="4"/>
      <c r="Y1364" s="7">
        <v>3</v>
      </c>
      <c r="Z1364" s="8">
        <v>462935</v>
      </c>
      <c r="AA1364" s="7" t="s">
        <v>92</v>
      </c>
      <c r="AB1364" s="7"/>
      <c r="AC1364" s="9">
        <v>3</v>
      </c>
      <c r="AD1364" s="10">
        <v>462935</v>
      </c>
      <c r="AE1364" s="9" t="s">
        <v>92</v>
      </c>
      <c r="AF1364" s="9" t="s">
        <v>5506</v>
      </c>
      <c r="AG1364" s="11">
        <v>4</v>
      </c>
      <c r="AH1364" s="11" t="s">
        <v>93</v>
      </c>
      <c r="AI1364" s="11"/>
      <c r="AJ1364" s="11"/>
      <c r="AK1364" s="11"/>
      <c r="AL1364" s="12">
        <v>4</v>
      </c>
      <c r="AM1364" s="12" t="s">
        <v>93</v>
      </c>
      <c r="AN1364" s="12" t="s">
        <v>408</v>
      </c>
      <c r="AO1364" s="12"/>
      <c r="AP1364" s="12"/>
      <c r="AQ1364" s="4">
        <v>4</v>
      </c>
      <c r="AR1364" s="4" t="s">
        <v>83</v>
      </c>
      <c r="AS1364" s="4" t="s">
        <v>2423</v>
      </c>
      <c r="AT1364" s="13"/>
      <c r="AU1364" s="13"/>
      <c r="AV1364" s="13"/>
      <c r="AW1364" s="13"/>
      <c r="AX1364" s="4"/>
      <c r="AY1364" s="13"/>
      <c r="AZ1364" s="13"/>
      <c r="BA1364" s="13"/>
      <c r="BB1364" s="13"/>
      <c r="BC1364" s="4"/>
      <c r="BD1364" s="4"/>
      <c r="BE1364" s="4"/>
      <c r="BF1364" s="13"/>
      <c r="BG1364" s="4"/>
      <c r="BH1364" s="13"/>
      <c r="BI1364" s="13"/>
      <c r="BJ1364" s="4"/>
      <c r="BK1364" s="14">
        <v>15</v>
      </c>
      <c r="BL1364" s="14">
        <v>15</v>
      </c>
      <c r="BM1364" s="14">
        <v>15</v>
      </c>
      <c r="BN1364" s="3" t="s">
        <v>86</v>
      </c>
      <c r="BP1364" s="15"/>
      <c r="BQ1364" s="15"/>
      <c r="BR1364" s="2" t="s">
        <v>121</v>
      </c>
      <c r="BS1364" s="2" t="s">
        <v>121</v>
      </c>
      <c r="BT1364" s="7" t="s">
        <v>98</v>
      </c>
      <c r="BU1364" s="7"/>
      <c r="BV1364" s="9" t="s">
        <v>98</v>
      </c>
      <c r="BW1364" s="9"/>
    </row>
    <row r="1365" spans="1:75" ht="14.25" customHeight="1" x14ac:dyDescent="0.25">
      <c r="A1365" s="1">
        <v>1101</v>
      </c>
      <c r="B1365" s="1" t="s">
        <v>5507</v>
      </c>
      <c r="C1365" s="1" t="s">
        <v>5508</v>
      </c>
      <c r="D1365" s="1" t="s">
        <v>77</v>
      </c>
      <c r="E1365" s="1" t="s">
        <v>2396</v>
      </c>
      <c r="F1365" s="1" t="s">
        <v>2428</v>
      </c>
      <c r="G1365" s="1" t="s">
        <v>118</v>
      </c>
      <c r="H1365" s="2">
        <v>0</v>
      </c>
      <c r="I1365" s="2">
        <v>0</v>
      </c>
      <c r="J1365" s="2">
        <v>0</v>
      </c>
      <c r="K1365" s="2">
        <v>1</v>
      </c>
      <c r="L1365" s="3" t="s">
        <v>127</v>
      </c>
      <c r="O1365" s="4">
        <v>5</v>
      </c>
      <c r="P1365" s="4" t="s">
        <v>81</v>
      </c>
      <c r="Q1365" s="4"/>
      <c r="R1365" s="5"/>
      <c r="S1365" s="6"/>
      <c r="T1365" s="17"/>
      <c r="U1365" s="6"/>
      <c r="V1365" s="4"/>
      <c r="W1365" s="4"/>
      <c r="X1365" s="4"/>
      <c r="Y1365" s="7">
        <v>5</v>
      </c>
      <c r="Z1365" s="8">
        <v>7161</v>
      </c>
      <c r="AA1365" s="7" t="s">
        <v>82</v>
      </c>
      <c r="AB1365" s="7"/>
      <c r="AC1365" s="9">
        <v>4</v>
      </c>
      <c r="AD1365" s="10">
        <v>132881</v>
      </c>
      <c r="AE1365" s="9" t="s">
        <v>82</v>
      </c>
      <c r="AF1365" s="9"/>
      <c r="AG1365" s="11">
        <v>4</v>
      </c>
      <c r="AH1365" s="11" t="s">
        <v>83</v>
      </c>
      <c r="AI1365" s="11" t="s">
        <v>5509</v>
      </c>
      <c r="AJ1365" s="11"/>
      <c r="AK1365" s="11"/>
      <c r="AL1365" s="12">
        <v>5</v>
      </c>
      <c r="AM1365" s="12" t="s">
        <v>83</v>
      </c>
      <c r="AN1365" s="12" t="s">
        <v>5501</v>
      </c>
      <c r="AO1365" s="12"/>
      <c r="AP1365" s="12"/>
      <c r="AQ1365" s="4">
        <v>5</v>
      </c>
      <c r="AR1365" s="4" t="s">
        <v>83</v>
      </c>
      <c r="AS1365" s="4"/>
      <c r="AT1365" s="13"/>
      <c r="AU1365" s="13"/>
      <c r="AV1365" s="13"/>
      <c r="AW1365" s="13"/>
      <c r="AX1365" s="4"/>
      <c r="AY1365" s="13"/>
      <c r="AZ1365" s="13"/>
      <c r="BA1365" s="13"/>
      <c r="BB1365" s="13"/>
      <c r="BC1365" s="4"/>
      <c r="BD1365" s="4"/>
      <c r="BE1365" s="4"/>
      <c r="BF1365" s="13"/>
      <c r="BG1365" s="4"/>
      <c r="BH1365" s="13"/>
      <c r="BI1365" s="13"/>
      <c r="BJ1365" s="4"/>
      <c r="BK1365" s="14">
        <v>19</v>
      </c>
      <c r="BL1365" s="14">
        <v>19</v>
      </c>
      <c r="BM1365" s="14">
        <v>19</v>
      </c>
      <c r="BN1365" s="3" t="s">
        <v>312</v>
      </c>
      <c r="BO1365" s="3" t="s">
        <v>114</v>
      </c>
      <c r="BP1365" s="15"/>
      <c r="BQ1365" s="15"/>
      <c r="BR1365" s="2" t="s">
        <v>87</v>
      </c>
      <c r="BS1365" s="2" t="s">
        <v>87</v>
      </c>
      <c r="BT1365" s="7" t="s">
        <v>88</v>
      </c>
      <c r="BU1365" s="7"/>
      <c r="BV1365" s="9" t="s">
        <v>88</v>
      </c>
      <c r="BW1365" s="9"/>
    </row>
    <row r="1366" spans="1:75" ht="14.25" customHeight="1" x14ac:dyDescent="0.25">
      <c r="A1366" s="1">
        <v>1102</v>
      </c>
      <c r="B1366" s="1" t="s">
        <v>5510</v>
      </c>
      <c r="C1366" s="1" t="s">
        <v>5511</v>
      </c>
      <c r="D1366" s="1" t="s">
        <v>77</v>
      </c>
      <c r="E1366" s="1" t="s">
        <v>2396</v>
      </c>
      <c r="F1366" s="1" t="s">
        <v>2428</v>
      </c>
      <c r="G1366" s="1" t="s">
        <v>118</v>
      </c>
      <c r="H1366" s="2">
        <v>0</v>
      </c>
      <c r="I1366" s="2">
        <v>0</v>
      </c>
      <c r="J1366" s="2">
        <v>0</v>
      </c>
      <c r="K1366" s="2">
        <v>1</v>
      </c>
      <c r="L1366" s="3" t="s">
        <v>80</v>
      </c>
      <c r="O1366" s="4">
        <v>5</v>
      </c>
      <c r="P1366" s="4" t="s">
        <v>81</v>
      </c>
      <c r="Q1366" s="4"/>
      <c r="R1366" s="5"/>
      <c r="S1366" s="6"/>
      <c r="T1366" s="17"/>
      <c r="U1366" s="6"/>
      <c r="V1366" s="4"/>
      <c r="W1366" s="4"/>
      <c r="X1366" s="4"/>
      <c r="Y1366" s="7">
        <v>4</v>
      </c>
      <c r="Z1366" s="8">
        <v>95641</v>
      </c>
      <c r="AA1366" s="7" t="s">
        <v>82</v>
      </c>
      <c r="AB1366" s="7"/>
      <c r="AC1366" s="9">
        <v>4</v>
      </c>
      <c r="AD1366" s="10">
        <v>95641</v>
      </c>
      <c r="AE1366" s="9" t="s">
        <v>82</v>
      </c>
      <c r="AF1366" s="9"/>
      <c r="AG1366" s="11">
        <v>4</v>
      </c>
      <c r="AH1366" s="11" t="s">
        <v>83</v>
      </c>
      <c r="AI1366" s="11"/>
      <c r="AJ1366" s="11"/>
      <c r="AK1366" s="11"/>
      <c r="AL1366" s="12">
        <v>4</v>
      </c>
      <c r="AM1366" s="12" t="s">
        <v>83</v>
      </c>
      <c r="AN1366" s="12"/>
      <c r="AO1366" s="12"/>
      <c r="AP1366" s="12"/>
      <c r="AQ1366" s="4">
        <v>4</v>
      </c>
      <c r="AR1366" s="4" t="s">
        <v>83</v>
      </c>
      <c r="AS1366" s="4"/>
      <c r="AT1366" s="13"/>
      <c r="AU1366" s="13"/>
      <c r="AV1366" s="13"/>
      <c r="AW1366" s="13"/>
      <c r="AX1366" s="4"/>
      <c r="AY1366" s="13"/>
      <c r="AZ1366" s="13"/>
      <c r="BA1366" s="13"/>
      <c r="BB1366" s="13"/>
      <c r="BC1366" s="4"/>
      <c r="BD1366" s="4"/>
      <c r="BE1366" s="4"/>
      <c r="BF1366" s="13"/>
      <c r="BG1366" s="4"/>
      <c r="BH1366" s="13"/>
      <c r="BI1366" s="13"/>
      <c r="BJ1366" s="4"/>
      <c r="BK1366" s="14">
        <v>17</v>
      </c>
      <c r="BL1366" s="14">
        <v>17</v>
      </c>
      <c r="BM1366" s="14">
        <v>17</v>
      </c>
      <c r="BN1366" s="3" t="s">
        <v>312</v>
      </c>
      <c r="BP1366" s="15"/>
      <c r="BQ1366" s="15"/>
      <c r="BR1366" s="2" t="s">
        <v>121</v>
      </c>
      <c r="BS1366" s="2" t="s">
        <v>121</v>
      </c>
      <c r="BT1366" s="7" t="s">
        <v>98</v>
      </c>
      <c r="BU1366" s="7"/>
      <c r="BV1366" s="9" t="s">
        <v>98</v>
      </c>
      <c r="BW1366" s="9"/>
    </row>
    <row r="1367" spans="1:75" ht="14.25" customHeight="1" x14ac:dyDescent="0.25">
      <c r="A1367" s="1">
        <v>1103</v>
      </c>
      <c r="B1367" s="1" t="s">
        <v>5512</v>
      </c>
      <c r="C1367" s="1" t="s">
        <v>5513</v>
      </c>
      <c r="D1367" s="1" t="s">
        <v>77</v>
      </c>
      <c r="E1367" s="1" t="s">
        <v>2396</v>
      </c>
      <c r="F1367" s="1" t="s">
        <v>2428</v>
      </c>
      <c r="G1367" s="1" t="s">
        <v>118</v>
      </c>
      <c r="H1367" s="2">
        <v>0</v>
      </c>
      <c r="I1367" s="2">
        <v>0</v>
      </c>
      <c r="J1367" s="2">
        <v>0</v>
      </c>
      <c r="K1367" s="2">
        <v>1</v>
      </c>
      <c r="L1367" s="3" t="s">
        <v>80</v>
      </c>
      <c r="O1367" s="4">
        <v>5</v>
      </c>
      <c r="P1367" s="4" t="s">
        <v>81</v>
      </c>
      <c r="Q1367" s="4"/>
      <c r="R1367" s="5"/>
      <c r="S1367" s="6"/>
      <c r="T1367" s="17"/>
      <c r="U1367" s="6"/>
      <c r="V1367" s="4"/>
      <c r="W1367" s="4"/>
      <c r="X1367" s="4"/>
      <c r="Y1367" s="7">
        <v>5</v>
      </c>
      <c r="Z1367" s="8">
        <v>6481</v>
      </c>
      <c r="AA1367" s="7" t="s">
        <v>82</v>
      </c>
      <c r="AB1367" s="7"/>
      <c r="AC1367" s="9">
        <v>5</v>
      </c>
      <c r="AD1367" s="10">
        <v>6481</v>
      </c>
      <c r="AE1367" s="9" t="s">
        <v>82</v>
      </c>
      <c r="AF1367" s="9"/>
      <c r="AG1367" s="11">
        <v>5</v>
      </c>
      <c r="AH1367" s="11" t="s">
        <v>83</v>
      </c>
      <c r="AI1367" s="11" t="s">
        <v>5514</v>
      </c>
      <c r="AJ1367" s="11"/>
      <c r="AK1367" s="11"/>
      <c r="AL1367" s="12">
        <v>5</v>
      </c>
      <c r="AM1367" s="12" t="s">
        <v>83</v>
      </c>
      <c r="AN1367" s="12"/>
      <c r="AO1367" s="12"/>
      <c r="AP1367" s="12"/>
      <c r="AQ1367" s="4">
        <v>5</v>
      </c>
      <c r="AR1367" s="4" t="s">
        <v>83</v>
      </c>
      <c r="AS1367" s="4"/>
      <c r="AT1367" s="13"/>
      <c r="AU1367" s="13"/>
      <c r="AV1367" s="13"/>
      <c r="AW1367" s="13"/>
      <c r="AX1367" s="4"/>
      <c r="AY1367" s="13"/>
      <c r="AZ1367" s="13"/>
      <c r="BA1367" s="13"/>
      <c r="BB1367" s="13"/>
      <c r="BC1367" s="4"/>
      <c r="BD1367" s="4"/>
      <c r="BE1367" s="4"/>
      <c r="BF1367" s="13"/>
      <c r="BG1367" s="4"/>
      <c r="BH1367" s="13"/>
      <c r="BI1367" s="13"/>
      <c r="BJ1367" s="4"/>
      <c r="BK1367" s="14">
        <v>20</v>
      </c>
      <c r="BL1367" s="14">
        <v>20</v>
      </c>
      <c r="BM1367" s="14">
        <v>20</v>
      </c>
      <c r="BN1367" s="3" t="s">
        <v>312</v>
      </c>
      <c r="BO1367" s="3" t="s">
        <v>120</v>
      </c>
      <c r="BP1367" s="15"/>
      <c r="BQ1367" s="15"/>
      <c r="BR1367" s="2" t="s">
        <v>108</v>
      </c>
      <c r="BS1367" s="2" t="s">
        <v>108</v>
      </c>
      <c r="BT1367" s="7" t="s">
        <v>623</v>
      </c>
      <c r="BU1367" s="7" t="s">
        <v>98</v>
      </c>
      <c r="BV1367" s="9" t="s">
        <v>623</v>
      </c>
      <c r="BW1367" s="9" t="s">
        <v>98</v>
      </c>
    </row>
    <row r="1368" spans="1:75" ht="14.25" customHeight="1" x14ac:dyDescent="0.25">
      <c r="A1368" s="1">
        <v>1104</v>
      </c>
      <c r="B1368" s="1" t="s">
        <v>5515</v>
      </c>
      <c r="C1368" s="1" t="s">
        <v>5516</v>
      </c>
      <c r="D1368" s="1" t="s">
        <v>77</v>
      </c>
      <c r="E1368" s="1" t="s">
        <v>2396</v>
      </c>
      <c r="F1368" s="1" t="s">
        <v>2428</v>
      </c>
      <c r="G1368" s="1" t="s">
        <v>118</v>
      </c>
      <c r="H1368" s="2">
        <v>0</v>
      </c>
      <c r="I1368" s="2">
        <v>0</v>
      </c>
      <c r="J1368" s="2">
        <v>0</v>
      </c>
      <c r="K1368" s="2">
        <v>1</v>
      </c>
      <c r="L1368" s="3" t="s">
        <v>80</v>
      </c>
      <c r="O1368" s="4">
        <v>5</v>
      </c>
      <c r="P1368" s="4" t="s">
        <v>81</v>
      </c>
      <c r="Q1368" s="4"/>
      <c r="R1368" s="5"/>
      <c r="S1368" s="6"/>
      <c r="T1368" s="17"/>
      <c r="U1368" s="6"/>
      <c r="V1368" s="4"/>
      <c r="W1368" s="4"/>
      <c r="X1368" s="4"/>
      <c r="Y1368" s="7">
        <v>4</v>
      </c>
      <c r="Z1368" s="8">
        <v>103375</v>
      </c>
      <c r="AA1368" s="7" t="s">
        <v>82</v>
      </c>
      <c r="AB1368" s="7"/>
      <c r="AC1368" s="9">
        <v>4</v>
      </c>
      <c r="AD1368" s="10">
        <v>103375</v>
      </c>
      <c r="AE1368" s="9" t="s">
        <v>82</v>
      </c>
      <c r="AF1368" s="9"/>
      <c r="AG1368" s="11">
        <v>5</v>
      </c>
      <c r="AH1368" s="11" t="s">
        <v>83</v>
      </c>
      <c r="AI1368" s="11"/>
      <c r="AJ1368" s="11"/>
      <c r="AK1368" s="11"/>
      <c r="AL1368" s="12">
        <v>5</v>
      </c>
      <c r="AM1368" s="12" t="s">
        <v>83</v>
      </c>
      <c r="AN1368" s="12"/>
      <c r="AO1368" s="12"/>
      <c r="AP1368" s="12"/>
      <c r="AQ1368" s="4">
        <v>5</v>
      </c>
      <c r="AR1368" s="4" t="s">
        <v>83</v>
      </c>
      <c r="AS1368" s="4"/>
      <c r="AT1368" s="13"/>
      <c r="AU1368" s="13"/>
      <c r="AV1368" s="13"/>
      <c r="AW1368" s="13"/>
      <c r="AX1368" s="4"/>
      <c r="AY1368" s="13"/>
      <c r="AZ1368" s="13"/>
      <c r="BA1368" s="13"/>
      <c r="BB1368" s="13"/>
      <c r="BC1368" s="4"/>
      <c r="BD1368" s="4"/>
      <c r="BE1368" s="4"/>
      <c r="BF1368" s="13"/>
      <c r="BG1368" s="4"/>
      <c r="BH1368" s="13"/>
      <c r="BI1368" s="13"/>
      <c r="BJ1368" s="4"/>
      <c r="BK1368" s="14">
        <v>19</v>
      </c>
      <c r="BL1368" s="14">
        <v>19</v>
      </c>
      <c r="BM1368" s="14">
        <v>19</v>
      </c>
      <c r="BN1368" s="3" t="s">
        <v>312</v>
      </c>
      <c r="BP1368" s="15"/>
      <c r="BQ1368" s="15"/>
      <c r="BR1368" s="2" t="s">
        <v>115</v>
      </c>
      <c r="BS1368" s="2" t="s">
        <v>115</v>
      </c>
      <c r="BT1368" s="7" t="s">
        <v>98</v>
      </c>
      <c r="BU1368" s="7"/>
      <c r="BV1368" s="9" t="s">
        <v>98</v>
      </c>
      <c r="BW1368" s="9"/>
    </row>
    <row r="1369" spans="1:75" ht="14.25" customHeight="1" x14ac:dyDescent="0.25">
      <c r="A1369" s="1">
        <v>1105</v>
      </c>
      <c r="B1369" s="1" t="s">
        <v>5517</v>
      </c>
      <c r="C1369" s="1" t="s">
        <v>5518</v>
      </c>
      <c r="D1369" s="1" t="s">
        <v>77</v>
      </c>
      <c r="E1369" s="1" t="s">
        <v>2396</v>
      </c>
      <c r="F1369" s="1" t="s">
        <v>2431</v>
      </c>
      <c r="G1369" s="1" t="s">
        <v>5519</v>
      </c>
      <c r="H1369" s="2">
        <v>0</v>
      </c>
      <c r="I1369" s="2">
        <v>0</v>
      </c>
      <c r="J1369" s="2">
        <v>1</v>
      </c>
      <c r="K1369" s="2">
        <v>1</v>
      </c>
      <c r="L1369" s="3" t="s">
        <v>80</v>
      </c>
      <c r="O1369" s="4">
        <v>4</v>
      </c>
      <c r="P1369" s="4" t="s">
        <v>81</v>
      </c>
      <c r="Q1369" s="4"/>
      <c r="R1369" s="5"/>
      <c r="S1369" s="6"/>
      <c r="T1369" s="17"/>
      <c r="U1369" s="6"/>
      <c r="V1369" s="4"/>
      <c r="W1369" s="4"/>
      <c r="X1369" s="4"/>
      <c r="Y1369" s="7">
        <v>3</v>
      </c>
      <c r="Z1369" s="8">
        <v>549033</v>
      </c>
      <c r="AA1369" s="7" t="s">
        <v>283</v>
      </c>
      <c r="AB1369" s="7"/>
      <c r="AC1369" s="9">
        <v>3</v>
      </c>
      <c r="AD1369" s="10">
        <v>549033</v>
      </c>
      <c r="AE1369" s="9" t="s">
        <v>283</v>
      </c>
      <c r="AF1369" s="9"/>
      <c r="AG1369" s="11">
        <v>4</v>
      </c>
      <c r="AH1369" s="11" t="s">
        <v>81</v>
      </c>
      <c r="AI1369" s="11"/>
      <c r="AJ1369" s="11"/>
      <c r="AK1369" s="11"/>
      <c r="AL1369" s="12">
        <v>4</v>
      </c>
      <c r="AM1369" s="12" t="s">
        <v>81</v>
      </c>
      <c r="AN1369" s="12" t="s">
        <v>408</v>
      </c>
      <c r="AO1369" s="12"/>
      <c r="AP1369" s="12"/>
      <c r="AQ1369" s="4">
        <v>4</v>
      </c>
      <c r="AR1369" s="4" t="s">
        <v>83</v>
      </c>
      <c r="AS1369" s="4" t="s">
        <v>5304</v>
      </c>
      <c r="AT1369" s="13"/>
      <c r="AU1369" s="13"/>
      <c r="AV1369" s="13"/>
      <c r="AW1369" s="13"/>
      <c r="AX1369" s="4"/>
      <c r="AY1369" s="13"/>
      <c r="AZ1369" s="13"/>
      <c r="BA1369" s="13"/>
      <c r="BB1369" s="13"/>
      <c r="BC1369" s="4"/>
      <c r="BD1369" s="4"/>
      <c r="BE1369" s="4"/>
      <c r="BF1369" s="13"/>
      <c r="BG1369" s="4"/>
      <c r="BH1369" s="13"/>
      <c r="BI1369" s="13"/>
      <c r="BJ1369" s="4"/>
      <c r="BK1369" s="14">
        <v>15</v>
      </c>
      <c r="BL1369" s="14">
        <v>15</v>
      </c>
      <c r="BM1369" s="14">
        <v>15</v>
      </c>
      <c r="BN1369" s="3" t="s">
        <v>86</v>
      </c>
      <c r="BP1369" s="15"/>
      <c r="BQ1369" s="15"/>
      <c r="BR1369" s="2" t="s">
        <v>121</v>
      </c>
      <c r="BS1369" s="2" t="s">
        <v>121</v>
      </c>
      <c r="BT1369" s="7" t="s">
        <v>98</v>
      </c>
      <c r="BU1369" s="7"/>
      <c r="BV1369" s="9" t="s">
        <v>98</v>
      </c>
      <c r="BW1369" s="9"/>
    </row>
    <row r="1370" spans="1:75" ht="14.25" customHeight="1" x14ac:dyDescent="0.25">
      <c r="A1370" s="1">
        <v>1106</v>
      </c>
      <c r="B1370" s="1" t="s">
        <v>5520</v>
      </c>
      <c r="C1370" s="1" t="s">
        <v>5521</v>
      </c>
      <c r="D1370" s="1" t="s">
        <v>77</v>
      </c>
      <c r="E1370" s="1" t="s">
        <v>2396</v>
      </c>
      <c r="F1370" s="1" t="s">
        <v>2431</v>
      </c>
      <c r="G1370" s="1" t="s">
        <v>5519</v>
      </c>
      <c r="H1370" s="2">
        <v>0</v>
      </c>
      <c r="I1370" s="2">
        <v>0</v>
      </c>
      <c r="J1370" s="2">
        <v>0</v>
      </c>
      <c r="K1370" s="2">
        <v>1</v>
      </c>
      <c r="L1370" s="3" t="s">
        <v>80</v>
      </c>
      <c r="O1370" s="4">
        <v>5</v>
      </c>
      <c r="P1370" s="4" t="s">
        <v>81</v>
      </c>
      <c r="Q1370" s="4"/>
      <c r="R1370" s="5"/>
      <c r="S1370" s="6"/>
      <c r="T1370" s="17"/>
      <c r="U1370" s="6"/>
      <c r="V1370" s="4"/>
      <c r="W1370" s="4"/>
      <c r="X1370" s="4"/>
      <c r="Y1370" s="7">
        <v>3</v>
      </c>
      <c r="Z1370" s="8">
        <v>453862</v>
      </c>
      <c r="AA1370" s="7" t="s">
        <v>283</v>
      </c>
      <c r="AB1370" s="7"/>
      <c r="AC1370" s="9">
        <v>3</v>
      </c>
      <c r="AD1370" s="10">
        <v>453862</v>
      </c>
      <c r="AE1370" s="9" t="s">
        <v>283</v>
      </c>
      <c r="AF1370" s="9"/>
      <c r="AG1370" s="11">
        <v>3</v>
      </c>
      <c r="AH1370" s="11" t="s">
        <v>83</v>
      </c>
      <c r="AI1370" s="11"/>
      <c r="AJ1370" s="11"/>
      <c r="AK1370" s="11"/>
      <c r="AL1370" s="12">
        <v>3</v>
      </c>
      <c r="AM1370" s="12" t="s">
        <v>83</v>
      </c>
      <c r="AN1370" s="12"/>
      <c r="AO1370" s="12"/>
      <c r="AP1370" s="12"/>
      <c r="AQ1370" s="4">
        <v>5</v>
      </c>
      <c r="AR1370" s="4" t="s">
        <v>83</v>
      </c>
      <c r="AS1370" s="4" t="s">
        <v>5522</v>
      </c>
      <c r="AT1370" s="13"/>
      <c r="AU1370" s="13"/>
      <c r="AV1370" s="13"/>
      <c r="AW1370" s="13"/>
      <c r="AX1370" s="4"/>
      <c r="AY1370" s="13"/>
      <c r="AZ1370" s="13"/>
      <c r="BA1370" s="13"/>
      <c r="BB1370" s="13"/>
      <c r="BC1370" s="4"/>
      <c r="BD1370" s="4"/>
      <c r="BE1370" s="4"/>
      <c r="BF1370" s="13"/>
      <c r="BG1370" s="4"/>
      <c r="BH1370" s="13"/>
      <c r="BI1370" s="13"/>
      <c r="BJ1370" s="4"/>
      <c r="BK1370" s="14">
        <v>16</v>
      </c>
      <c r="BL1370" s="14">
        <v>16</v>
      </c>
      <c r="BM1370" s="14">
        <v>16</v>
      </c>
      <c r="BN1370" s="3" t="s">
        <v>375</v>
      </c>
      <c r="BP1370" s="15"/>
      <c r="BQ1370" s="15"/>
      <c r="BR1370" s="2" t="s">
        <v>121</v>
      </c>
      <c r="BS1370" s="2" t="s">
        <v>121</v>
      </c>
      <c r="BT1370" s="7" t="s">
        <v>98</v>
      </c>
      <c r="BU1370" s="7"/>
      <c r="BV1370" s="9" t="s">
        <v>98</v>
      </c>
      <c r="BW1370" s="9"/>
    </row>
    <row r="1371" spans="1:75" ht="14.25" customHeight="1" x14ac:dyDescent="0.25">
      <c r="A1371" s="1">
        <v>1107</v>
      </c>
      <c r="B1371" s="1" t="s">
        <v>5523</v>
      </c>
      <c r="C1371" s="1" t="s">
        <v>5524</v>
      </c>
      <c r="D1371" s="1" t="s">
        <v>77</v>
      </c>
      <c r="E1371" s="1" t="s">
        <v>2396</v>
      </c>
      <c r="F1371" s="1" t="s">
        <v>2431</v>
      </c>
      <c r="G1371" s="1"/>
      <c r="H1371" s="2">
        <v>0</v>
      </c>
      <c r="I1371" s="2">
        <v>0</v>
      </c>
      <c r="J1371" s="2">
        <v>1</v>
      </c>
      <c r="K1371" s="2">
        <v>1</v>
      </c>
      <c r="L1371" s="3" t="s">
        <v>80</v>
      </c>
      <c r="O1371" s="4">
        <v>5</v>
      </c>
      <c r="P1371" s="4" t="s">
        <v>112</v>
      </c>
      <c r="Q1371" s="4"/>
      <c r="R1371" s="5"/>
      <c r="S1371" s="6"/>
      <c r="T1371" s="17"/>
      <c r="U1371" s="6"/>
      <c r="V1371" s="4"/>
      <c r="W1371" s="4"/>
      <c r="X1371" s="4"/>
      <c r="Y1371" s="7">
        <v>3</v>
      </c>
      <c r="Z1371" s="8">
        <v>394493</v>
      </c>
      <c r="AA1371" s="7" t="s">
        <v>92</v>
      </c>
      <c r="AB1371" s="7"/>
      <c r="AC1371" s="9">
        <v>3</v>
      </c>
      <c r="AD1371" s="10">
        <v>394493</v>
      </c>
      <c r="AE1371" s="9" t="s">
        <v>92</v>
      </c>
      <c r="AF1371" s="9" t="s">
        <v>5506</v>
      </c>
      <c r="AG1371" s="11">
        <v>4</v>
      </c>
      <c r="AH1371" s="11" t="s">
        <v>93</v>
      </c>
      <c r="AI1371" s="11"/>
      <c r="AJ1371" s="11"/>
      <c r="AK1371" s="11"/>
      <c r="AL1371" s="12">
        <v>4</v>
      </c>
      <c r="AM1371" s="12" t="s">
        <v>93</v>
      </c>
      <c r="AN1371" s="12" t="s">
        <v>408</v>
      </c>
      <c r="AO1371" s="12"/>
      <c r="AP1371" s="12"/>
      <c r="AQ1371" s="4">
        <v>5</v>
      </c>
      <c r="AR1371" s="4" t="s">
        <v>83</v>
      </c>
      <c r="AS1371" s="4" t="s">
        <v>1902</v>
      </c>
      <c r="AT1371" s="13"/>
      <c r="AU1371" s="13"/>
      <c r="AV1371" s="13"/>
      <c r="AW1371" s="13"/>
      <c r="AX1371" s="4"/>
      <c r="AY1371" s="13"/>
      <c r="AZ1371" s="13"/>
      <c r="BA1371" s="13"/>
      <c r="BB1371" s="13"/>
      <c r="BC1371" s="4"/>
      <c r="BD1371" s="4"/>
      <c r="BE1371" s="4"/>
      <c r="BF1371" s="13"/>
      <c r="BG1371" s="4"/>
      <c r="BH1371" s="13"/>
      <c r="BI1371" s="13"/>
      <c r="BJ1371" s="4"/>
      <c r="BK1371" s="14">
        <v>17</v>
      </c>
      <c r="BL1371" s="14">
        <v>17</v>
      </c>
      <c r="BM1371" s="14">
        <v>17</v>
      </c>
      <c r="BN1371" s="3" t="s">
        <v>312</v>
      </c>
      <c r="BP1371" s="15"/>
      <c r="BQ1371" s="15"/>
      <c r="BR1371" s="2" t="s">
        <v>115</v>
      </c>
      <c r="BS1371" s="2" t="s">
        <v>115</v>
      </c>
      <c r="BT1371" s="7" t="s">
        <v>98</v>
      </c>
      <c r="BU1371" s="7"/>
      <c r="BV1371" s="9" t="s">
        <v>98</v>
      </c>
      <c r="BW1371" s="9"/>
    </row>
    <row r="1372" spans="1:75" ht="14.25" customHeight="1" x14ac:dyDescent="0.25">
      <c r="A1372" s="1">
        <v>1108</v>
      </c>
      <c r="B1372" s="1" t="s">
        <v>5525</v>
      </c>
      <c r="C1372" s="1" t="s">
        <v>5526</v>
      </c>
      <c r="D1372" s="1" t="s">
        <v>77</v>
      </c>
      <c r="E1372" s="1" t="s">
        <v>2396</v>
      </c>
      <c r="F1372" s="1" t="s">
        <v>2431</v>
      </c>
      <c r="G1372" s="1"/>
      <c r="H1372" s="2">
        <v>0</v>
      </c>
      <c r="I1372" s="2">
        <v>0</v>
      </c>
      <c r="J1372" s="2">
        <v>1</v>
      </c>
      <c r="K1372" s="2">
        <v>1</v>
      </c>
      <c r="L1372" s="3" t="s">
        <v>80</v>
      </c>
      <c r="O1372" s="4">
        <v>2</v>
      </c>
      <c r="P1372" s="4" t="s">
        <v>112</v>
      </c>
      <c r="Q1372" s="4"/>
      <c r="R1372" s="5"/>
      <c r="S1372" s="6"/>
      <c r="T1372" s="17"/>
      <c r="U1372" s="6"/>
      <c r="V1372" s="4"/>
      <c r="W1372" s="4"/>
      <c r="X1372" s="4"/>
      <c r="Y1372" s="7">
        <v>1</v>
      </c>
      <c r="Z1372" s="8">
        <v>5880886</v>
      </c>
      <c r="AA1372" s="7" t="s">
        <v>92</v>
      </c>
      <c r="AB1372" s="7"/>
      <c r="AC1372" s="9">
        <v>1</v>
      </c>
      <c r="AD1372" s="10">
        <v>5880886</v>
      </c>
      <c r="AE1372" s="9" t="s">
        <v>92</v>
      </c>
      <c r="AF1372" s="9"/>
      <c r="AG1372" s="11">
        <v>3</v>
      </c>
      <c r="AH1372" s="11" t="s">
        <v>93</v>
      </c>
      <c r="AI1372" s="11"/>
      <c r="AJ1372" s="11"/>
      <c r="AK1372" s="11"/>
      <c r="AL1372" s="12">
        <v>3</v>
      </c>
      <c r="AM1372" s="12" t="s">
        <v>93</v>
      </c>
      <c r="AN1372" s="12" t="s">
        <v>5527</v>
      </c>
      <c r="AO1372" s="12"/>
      <c r="AP1372" s="12"/>
      <c r="AQ1372" s="4">
        <v>3</v>
      </c>
      <c r="AR1372" s="4" t="s">
        <v>83</v>
      </c>
      <c r="AS1372" s="4"/>
      <c r="AT1372" s="13"/>
      <c r="AU1372" s="13"/>
      <c r="AV1372" s="13"/>
      <c r="AW1372" s="13"/>
      <c r="AX1372" s="4"/>
      <c r="AY1372" s="13"/>
      <c r="AZ1372" s="13"/>
      <c r="BA1372" s="13"/>
      <c r="BB1372" s="13"/>
      <c r="BC1372" s="4"/>
      <c r="BD1372" s="4"/>
      <c r="BE1372" s="4"/>
      <c r="BF1372" s="13"/>
      <c r="BG1372" s="4"/>
      <c r="BH1372" s="13"/>
      <c r="BI1372" s="13"/>
      <c r="BJ1372" s="4"/>
      <c r="BK1372" s="14">
        <v>9</v>
      </c>
      <c r="BL1372" s="14">
        <v>9</v>
      </c>
      <c r="BM1372" s="14">
        <v>9</v>
      </c>
      <c r="BP1372" s="15"/>
      <c r="BQ1372" s="15"/>
      <c r="BR1372" s="2" t="s">
        <v>97</v>
      </c>
      <c r="BS1372" s="2" t="s">
        <v>97</v>
      </c>
      <c r="BT1372" s="7" t="s">
        <v>98</v>
      </c>
      <c r="BU1372" s="7" t="s">
        <v>109</v>
      </c>
      <c r="BV1372" s="9" t="s">
        <v>98</v>
      </c>
      <c r="BW1372" s="9" t="s">
        <v>109</v>
      </c>
    </row>
    <row r="1373" spans="1:75" ht="14.25" customHeight="1" x14ac:dyDescent="0.25">
      <c r="A1373" s="1">
        <v>1109</v>
      </c>
      <c r="B1373" s="1" t="s">
        <v>5528</v>
      </c>
      <c r="C1373" s="1" t="s">
        <v>5529</v>
      </c>
      <c r="D1373" s="1" t="s">
        <v>77</v>
      </c>
      <c r="E1373" s="1" t="s">
        <v>2396</v>
      </c>
      <c r="F1373" s="1" t="s">
        <v>2431</v>
      </c>
      <c r="G1373" s="1"/>
      <c r="H1373" s="2">
        <v>0</v>
      </c>
      <c r="I1373" s="2">
        <v>0</v>
      </c>
      <c r="J1373" s="2">
        <v>1</v>
      </c>
      <c r="K1373" s="2">
        <v>1</v>
      </c>
      <c r="L1373" s="3" t="s">
        <v>80</v>
      </c>
      <c r="O1373" s="4">
        <v>3</v>
      </c>
      <c r="P1373" s="4" t="s">
        <v>112</v>
      </c>
      <c r="Q1373" s="4"/>
      <c r="R1373" s="5"/>
      <c r="S1373" s="6"/>
      <c r="T1373" s="17"/>
      <c r="U1373" s="6"/>
      <c r="V1373" s="4"/>
      <c r="W1373" s="4"/>
      <c r="X1373" s="4"/>
      <c r="Y1373" s="7">
        <v>1</v>
      </c>
      <c r="Z1373" s="8">
        <v>11223585</v>
      </c>
      <c r="AA1373" s="7" t="s">
        <v>92</v>
      </c>
      <c r="AB1373" s="7"/>
      <c r="AC1373" s="9">
        <v>1</v>
      </c>
      <c r="AD1373" s="10">
        <v>11223585</v>
      </c>
      <c r="AE1373" s="9" t="s">
        <v>92</v>
      </c>
      <c r="AF1373" s="9"/>
      <c r="AG1373" s="11">
        <v>3</v>
      </c>
      <c r="AH1373" s="11" t="s">
        <v>93</v>
      </c>
      <c r="AI1373" s="11"/>
      <c r="AJ1373" s="11"/>
      <c r="AK1373" s="11"/>
      <c r="AL1373" s="12">
        <v>3</v>
      </c>
      <c r="AM1373" s="12" t="s">
        <v>93</v>
      </c>
      <c r="AN1373" s="12" t="s">
        <v>805</v>
      </c>
      <c r="AO1373" s="12"/>
      <c r="AP1373" s="12"/>
      <c r="AQ1373" s="4">
        <v>4</v>
      </c>
      <c r="AR1373" s="4" t="s">
        <v>83</v>
      </c>
      <c r="AS1373" s="4"/>
      <c r="AT1373" s="13"/>
      <c r="AU1373" s="13"/>
      <c r="AV1373" s="13"/>
      <c r="AW1373" s="13"/>
      <c r="AX1373" s="4"/>
      <c r="AY1373" s="13"/>
      <c r="AZ1373" s="13"/>
      <c r="BA1373" s="13"/>
      <c r="BB1373" s="13"/>
      <c r="BC1373" s="4"/>
      <c r="BD1373" s="4"/>
      <c r="BE1373" s="4"/>
      <c r="BF1373" s="13"/>
      <c r="BG1373" s="4"/>
      <c r="BH1373" s="13"/>
      <c r="BI1373" s="13"/>
      <c r="BJ1373" s="4"/>
      <c r="BK1373" s="14">
        <v>11</v>
      </c>
      <c r="BL1373" s="14">
        <v>11</v>
      </c>
      <c r="BM1373" s="14">
        <v>11</v>
      </c>
      <c r="BP1373" s="15"/>
      <c r="BQ1373" s="15"/>
      <c r="BR1373" s="2" t="s">
        <v>97</v>
      </c>
      <c r="BS1373" s="2" t="s">
        <v>97</v>
      </c>
      <c r="BT1373" s="7" t="s">
        <v>98</v>
      </c>
      <c r="BU1373" s="7"/>
      <c r="BV1373" s="9" t="s">
        <v>98</v>
      </c>
      <c r="BW1373" s="9"/>
    </row>
    <row r="1374" spans="1:75" ht="14.25" customHeight="1" x14ac:dyDescent="0.25">
      <c r="A1374" s="1">
        <v>1110</v>
      </c>
      <c r="B1374" s="1" t="s">
        <v>5530</v>
      </c>
      <c r="C1374" s="1" t="s">
        <v>5531</v>
      </c>
      <c r="D1374" s="1" t="s">
        <v>77</v>
      </c>
      <c r="E1374" s="1" t="s">
        <v>2396</v>
      </c>
      <c r="F1374" s="1" t="s">
        <v>2431</v>
      </c>
      <c r="G1374" s="1"/>
      <c r="H1374" s="2">
        <v>0</v>
      </c>
      <c r="I1374" s="2">
        <v>0</v>
      </c>
      <c r="J1374" s="2">
        <v>0</v>
      </c>
      <c r="K1374" s="2">
        <v>1</v>
      </c>
      <c r="L1374" s="3" t="s">
        <v>80</v>
      </c>
      <c r="O1374" s="4">
        <v>3</v>
      </c>
      <c r="P1374" s="4" t="s">
        <v>81</v>
      </c>
      <c r="Q1374" s="4"/>
      <c r="R1374" s="5"/>
      <c r="S1374" s="6"/>
      <c r="T1374" s="17"/>
      <c r="U1374" s="6"/>
      <c r="V1374" s="4"/>
      <c r="W1374" s="4"/>
      <c r="X1374" s="4"/>
      <c r="Y1374" s="7">
        <v>3</v>
      </c>
      <c r="Z1374" s="8">
        <v>303415</v>
      </c>
      <c r="AA1374" s="7" t="s">
        <v>82</v>
      </c>
      <c r="AB1374" s="7"/>
      <c r="AC1374" s="9">
        <v>3</v>
      </c>
      <c r="AD1374" s="10">
        <v>303415</v>
      </c>
      <c r="AE1374" s="9" t="s">
        <v>82</v>
      </c>
      <c r="AF1374" s="9"/>
      <c r="AG1374" s="11">
        <v>3</v>
      </c>
      <c r="AH1374" s="11" t="s">
        <v>83</v>
      </c>
      <c r="AI1374" s="11"/>
      <c r="AJ1374" s="11"/>
      <c r="AK1374" s="11"/>
      <c r="AL1374" s="12">
        <v>3</v>
      </c>
      <c r="AM1374" s="12" t="s">
        <v>83</v>
      </c>
      <c r="AN1374" s="12"/>
      <c r="AO1374" s="12"/>
      <c r="AP1374" s="12"/>
      <c r="AQ1374" s="4">
        <v>3</v>
      </c>
      <c r="AR1374" s="4" t="s">
        <v>83</v>
      </c>
      <c r="AS1374" s="4"/>
      <c r="AT1374" s="13"/>
      <c r="AU1374" s="13"/>
      <c r="AV1374" s="13"/>
      <c r="AW1374" s="13"/>
      <c r="AX1374" s="4"/>
      <c r="AY1374" s="13"/>
      <c r="AZ1374" s="13"/>
      <c r="BA1374" s="13"/>
      <c r="BB1374" s="13"/>
      <c r="BC1374" s="4"/>
      <c r="BD1374" s="4"/>
      <c r="BE1374" s="4"/>
      <c r="BF1374" s="13"/>
      <c r="BG1374" s="4"/>
      <c r="BH1374" s="13"/>
      <c r="BI1374" s="13"/>
      <c r="BJ1374" s="4"/>
      <c r="BK1374" s="14">
        <v>12</v>
      </c>
      <c r="BL1374" s="14">
        <v>12</v>
      </c>
      <c r="BM1374" s="14">
        <v>12</v>
      </c>
      <c r="BP1374" s="15"/>
      <c r="BQ1374" s="15"/>
      <c r="BR1374" s="2" t="s">
        <v>87</v>
      </c>
      <c r="BS1374" s="2" t="s">
        <v>87</v>
      </c>
      <c r="BT1374" s="7" t="s">
        <v>88</v>
      </c>
      <c r="BU1374" s="7"/>
      <c r="BV1374" s="9" t="s">
        <v>88</v>
      </c>
      <c r="BW1374" s="9"/>
    </row>
    <row r="1375" spans="1:75" ht="14.25" customHeight="1" x14ac:dyDescent="0.25">
      <c r="A1375" s="1">
        <v>1111</v>
      </c>
      <c r="B1375" s="1" t="s">
        <v>5532</v>
      </c>
      <c r="C1375" s="1" t="s">
        <v>5533</v>
      </c>
      <c r="D1375" s="1" t="s">
        <v>77</v>
      </c>
      <c r="E1375" s="1" t="s">
        <v>2396</v>
      </c>
      <c r="F1375" s="1" t="s">
        <v>2431</v>
      </c>
      <c r="G1375" s="1"/>
      <c r="H1375" s="2">
        <v>0</v>
      </c>
      <c r="I1375" s="2">
        <v>0</v>
      </c>
      <c r="J1375" s="2">
        <v>0</v>
      </c>
      <c r="K1375" s="2">
        <v>1</v>
      </c>
      <c r="L1375" s="3" t="s">
        <v>80</v>
      </c>
      <c r="O1375" s="4">
        <v>3</v>
      </c>
      <c r="P1375" s="4" t="s">
        <v>81</v>
      </c>
      <c r="Q1375" s="4"/>
      <c r="R1375" s="5"/>
      <c r="S1375" s="6"/>
      <c r="T1375" s="17"/>
      <c r="U1375" s="6"/>
      <c r="V1375" s="4"/>
      <c r="W1375" s="4"/>
      <c r="X1375" s="4"/>
      <c r="Y1375" s="7">
        <v>2</v>
      </c>
      <c r="Z1375" s="8">
        <v>3912599</v>
      </c>
      <c r="AA1375" s="7" t="s">
        <v>82</v>
      </c>
      <c r="AB1375" s="7"/>
      <c r="AC1375" s="9">
        <v>2</v>
      </c>
      <c r="AD1375" s="10">
        <v>3912599</v>
      </c>
      <c r="AE1375" s="9" t="s">
        <v>82</v>
      </c>
      <c r="AF1375" s="9"/>
      <c r="AG1375" s="11">
        <v>3</v>
      </c>
      <c r="AH1375" s="11" t="s">
        <v>83</v>
      </c>
      <c r="AI1375" s="11"/>
      <c r="AJ1375" s="11"/>
      <c r="AK1375" s="11"/>
      <c r="AL1375" s="12">
        <v>3</v>
      </c>
      <c r="AM1375" s="12" t="s">
        <v>83</v>
      </c>
      <c r="AN1375" s="12"/>
      <c r="AO1375" s="12"/>
      <c r="AP1375" s="12"/>
      <c r="AQ1375" s="4">
        <v>3</v>
      </c>
      <c r="AR1375" s="4" t="s">
        <v>83</v>
      </c>
      <c r="AS1375" s="4"/>
      <c r="AT1375" s="13"/>
      <c r="AU1375" s="13"/>
      <c r="AV1375" s="13"/>
      <c r="AW1375" s="13"/>
      <c r="AX1375" s="4"/>
      <c r="AY1375" s="13"/>
      <c r="AZ1375" s="13"/>
      <c r="BA1375" s="13"/>
      <c r="BB1375" s="13"/>
      <c r="BC1375" s="4"/>
      <c r="BD1375" s="4"/>
      <c r="BE1375" s="4"/>
      <c r="BF1375" s="13"/>
      <c r="BG1375" s="4"/>
      <c r="BH1375" s="13"/>
      <c r="BI1375" s="13"/>
      <c r="BJ1375" s="4"/>
      <c r="BK1375" s="14">
        <v>11</v>
      </c>
      <c r="BL1375" s="14">
        <v>11</v>
      </c>
      <c r="BM1375" s="14">
        <v>11</v>
      </c>
      <c r="BP1375" s="15"/>
      <c r="BQ1375" s="15"/>
      <c r="BR1375" s="2" t="s">
        <v>740</v>
      </c>
      <c r="BS1375" s="2" t="s">
        <v>740</v>
      </c>
      <c r="BT1375" s="7" t="s">
        <v>98</v>
      </c>
      <c r="BU1375" s="7"/>
      <c r="BV1375" s="9" t="s">
        <v>98</v>
      </c>
      <c r="BW1375" s="9"/>
    </row>
    <row r="1376" spans="1:75" ht="14.25" customHeight="1" x14ac:dyDescent="0.25">
      <c r="A1376" s="1">
        <v>1112</v>
      </c>
      <c r="B1376" s="1" t="s">
        <v>5534</v>
      </c>
      <c r="C1376" s="1" t="s">
        <v>5535</v>
      </c>
      <c r="D1376" s="1" t="s">
        <v>77</v>
      </c>
      <c r="E1376" s="1" t="s">
        <v>2396</v>
      </c>
      <c r="F1376" s="1" t="s">
        <v>2431</v>
      </c>
      <c r="G1376" s="1"/>
      <c r="H1376" s="2">
        <v>0</v>
      </c>
      <c r="I1376" s="2">
        <v>0</v>
      </c>
      <c r="J1376" s="2">
        <v>1</v>
      </c>
      <c r="K1376" s="2">
        <v>1</v>
      </c>
      <c r="L1376" s="3" t="s">
        <v>80</v>
      </c>
      <c r="O1376" s="4">
        <v>4</v>
      </c>
      <c r="P1376" s="4" t="s">
        <v>112</v>
      </c>
      <c r="Q1376" s="4"/>
      <c r="R1376" s="5"/>
      <c r="S1376" s="6"/>
      <c r="T1376" s="17"/>
      <c r="U1376" s="6"/>
      <c r="V1376" s="4"/>
      <c r="W1376" s="4"/>
      <c r="X1376" s="4"/>
      <c r="Y1376" s="7">
        <v>3</v>
      </c>
      <c r="Z1376" s="8">
        <v>700723</v>
      </c>
      <c r="AA1376" s="7" t="s">
        <v>92</v>
      </c>
      <c r="AB1376" s="7"/>
      <c r="AC1376" s="9">
        <v>3</v>
      </c>
      <c r="AD1376" s="10">
        <v>700723</v>
      </c>
      <c r="AE1376" s="9" t="s">
        <v>92</v>
      </c>
      <c r="AF1376" s="9" t="s">
        <v>5506</v>
      </c>
      <c r="AG1376" s="11">
        <v>3</v>
      </c>
      <c r="AH1376" s="11" t="s">
        <v>93</v>
      </c>
      <c r="AI1376" s="11"/>
      <c r="AJ1376" s="11"/>
      <c r="AK1376" s="11"/>
      <c r="AL1376" s="12">
        <v>3</v>
      </c>
      <c r="AM1376" s="12" t="s">
        <v>93</v>
      </c>
      <c r="AN1376" s="12" t="s">
        <v>805</v>
      </c>
      <c r="AO1376" s="12"/>
      <c r="AP1376" s="12"/>
      <c r="AQ1376" s="4">
        <v>4</v>
      </c>
      <c r="AR1376" s="4" t="s">
        <v>83</v>
      </c>
      <c r="AS1376" s="4" t="s">
        <v>5536</v>
      </c>
      <c r="AT1376" s="13"/>
      <c r="AU1376" s="13"/>
      <c r="AV1376" s="13"/>
      <c r="AW1376" s="13"/>
      <c r="AX1376" s="4"/>
      <c r="AY1376" s="13"/>
      <c r="AZ1376" s="13"/>
      <c r="BA1376" s="13"/>
      <c r="BB1376" s="13"/>
      <c r="BC1376" s="4"/>
      <c r="BD1376" s="4"/>
      <c r="BE1376" s="4"/>
      <c r="BF1376" s="13"/>
      <c r="BG1376" s="4"/>
      <c r="BH1376" s="13"/>
      <c r="BI1376" s="13"/>
      <c r="BJ1376" s="4"/>
      <c r="BK1376" s="14">
        <v>14</v>
      </c>
      <c r="BL1376" s="14">
        <v>14</v>
      </c>
      <c r="BM1376" s="14">
        <v>14</v>
      </c>
      <c r="BN1376" s="3" t="s">
        <v>86</v>
      </c>
      <c r="BP1376" s="15"/>
      <c r="BQ1376" s="15"/>
      <c r="BR1376" s="2" t="s">
        <v>97</v>
      </c>
      <c r="BS1376" s="2" t="s">
        <v>97</v>
      </c>
      <c r="BT1376" s="7" t="s">
        <v>98</v>
      </c>
      <c r="BU1376" s="7"/>
      <c r="BV1376" s="9" t="s">
        <v>98</v>
      </c>
      <c r="BW1376" s="9"/>
    </row>
    <row r="1377" spans="1:75" ht="14.25" customHeight="1" x14ac:dyDescent="0.25">
      <c r="A1377" s="1">
        <v>1113</v>
      </c>
      <c r="B1377" s="1" t="s">
        <v>5537</v>
      </c>
      <c r="C1377" s="1" t="s">
        <v>5538</v>
      </c>
      <c r="D1377" s="1" t="s">
        <v>77</v>
      </c>
      <c r="E1377" s="1" t="s">
        <v>2396</v>
      </c>
      <c r="F1377" s="1" t="s">
        <v>2431</v>
      </c>
      <c r="G1377" s="1"/>
      <c r="H1377" s="2">
        <v>0</v>
      </c>
      <c r="I1377" s="2">
        <v>0</v>
      </c>
      <c r="J1377" s="2">
        <v>1</v>
      </c>
      <c r="K1377" s="2">
        <v>1</v>
      </c>
      <c r="L1377" s="3" t="s">
        <v>127</v>
      </c>
      <c r="O1377" s="4">
        <v>2</v>
      </c>
      <c r="P1377" s="4" t="s">
        <v>112</v>
      </c>
      <c r="Q1377" s="4"/>
      <c r="R1377" s="5"/>
      <c r="S1377" s="6"/>
      <c r="T1377" s="17"/>
      <c r="U1377" s="6"/>
      <c r="V1377" s="4"/>
      <c r="W1377" s="4"/>
      <c r="X1377" s="4"/>
      <c r="Y1377" s="7">
        <v>1</v>
      </c>
      <c r="Z1377" s="8">
        <v>13953182</v>
      </c>
      <c r="AA1377" s="7" t="s">
        <v>92</v>
      </c>
      <c r="AB1377" s="7"/>
      <c r="AC1377" s="9">
        <v>1</v>
      </c>
      <c r="AD1377" s="10">
        <v>13953182</v>
      </c>
      <c r="AE1377" s="9" t="s">
        <v>92</v>
      </c>
      <c r="AF1377" s="9"/>
      <c r="AG1377" s="11">
        <v>3</v>
      </c>
      <c r="AH1377" s="11" t="s">
        <v>93</v>
      </c>
      <c r="AI1377" s="11"/>
      <c r="AJ1377" s="11"/>
      <c r="AK1377" s="11"/>
      <c r="AL1377" s="12">
        <v>3</v>
      </c>
      <c r="AM1377" s="12" t="s">
        <v>93</v>
      </c>
      <c r="AN1377" s="12" t="s">
        <v>805</v>
      </c>
      <c r="AO1377" s="12"/>
      <c r="AP1377" s="12"/>
      <c r="AQ1377" s="4">
        <v>3</v>
      </c>
      <c r="AR1377" s="4" t="s">
        <v>83</v>
      </c>
      <c r="AS1377" s="4"/>
      <c r="AT1377" s="13"/>
      <c r="AU1377" s="13"/>
      <c r="AV1377" s="13"/>
      <c r="AW1377" s="13"/>
      <c r="AX1377" s="4"/>
      <c r="AY1377" s="13"/>
      <c r="AZ1377" s="13"/>
      <c r="BA1377" s="13"/>
      <c r="BB1377" s="13"/>
      <c r="BC1377" s="4"/>
      <c r="BD1377" s="4"/>
      <c r="BE1377" s="4"/>
      <c r="BF1377" s="13"/>
      <c r="BG1377" s="4"/>
      <c r="BH1377" s="13"/>
      <c r="BI1377" s="13"/>
      <c r="BJ1377" s="4"/>
      <c r="BK1377" s="14">
        <v>9</v>
      </c>
      <c r="BL1377" s="14">
        <v>9</v>
      </c>
      <c r="BM1377" s="14">
        <v>9</v>
      </c>
      <c r="BP1377" s="15"/>
      <c r="BQ1377" s="15"/>
      <c r="BR1377" s="2" t="s">
        <v>97</v>
      </c>
      <c r="BS1377" s="2" t="s">
        <v>97</v>
      </c>
      <c r="BT1377" s="7" t="s">
        <v>98</v>
      </c>
      <c r="BU1377" s="7"/>
      <c r="BV1377" s="9" t="s">
        <v>98</v>
      </c>
      <c r="BW1377" s="9"/>
    </row>
    <row r="1378" spans="1:75" ht="14.25" customHeight="1" x14ac:dyDescent="0.25">
      <c r="A1378" s="1">
        <v>1114</v>
      </c>
      <c r="B1378" s="1" t="s">
        <v>5539</v>
      </c>
      <c r="C1378" s="1" t="s">
        <v>5540</v>
      </c>
      <c r="D1378" s="1" t="s">
        <v>77</v>
      </c>
      <c r="E1378" s="1" t="s">
        <v>2396</v>
      </c>
      <c r="F1378" s="1" t="s">
        <v>2431</v>
      </c>
      <c r="G1378" s="1"/>
      <c r="H1378" s="2">
        <v>0</v>
      </c>
      <c r="I1378" s="2">
        <v>0</v>
      </c>
      <c r="J1378" s="2">
        <v>0</v>
      </c>
      <c r="K1378" s="2">
        <v>1</v>
      </c>
      <c r="L1378" s="3" t="s">
        <v>80</v>
      </c>
      <c r="O1378" s="4">
        <v>3</v>
      </c>
      <c r="P1378" s="4" t="s">
        <v>81</v>
      </c>
      <c r="Q1378" s="4"/>
      <c r="R1378" s="5"/>
      <c r="S1378" s="6"/>
      <c r="T1378" s="17"/>
      <c r="U1378" s="6"/>
      <c r="V1378" s="4"/>
      <c r="W1378" s="4"/>
      <c r="X1378" s="4"/>
      <c r="Y1378" s="7">
        <v>3</v>
      </c>
      <c r="Z1378" s="8">
        <v>341488</v>
      </c>
      <c r="AA1378" s="7" t="s">
        <v>82</v>
      </c>
      <c r="AB1378" s="7"/>
      <c r="AC1378" s="9">
        <v>3</v>
      </c>
      <c r="AD1378" s="10">
        <v>341488</v>
      </c>
      <c r="AE1378" s="9" t="s">
        <v>82</v>
      </c>
      <c r="AF1378" s="9"/>
      <c r="AG1378" s="11">
        <v>3</v>
      </c>
      <c r="AH1378" s="11" t="s">
        <v>83</v>
      </c>
      <c r="AI1378" s="11"/>
      <c r="AJ1378" s="11"/>
      <c r="AK1378" s="11"/>
      <c r="AL1378" s="12">
        <v>3</v>
      </c>
      <c r="AM1378" s="12" t="s">
        <v>83</v>
      </c>
      <c r="AN1378" s="12"/>
      <c r="AO1378" s="12"/>
      <c r="AP1378" s="12"/>
      <c r="AQ1378" s="4">
        <v>3</v>
      </c>
      <c r="AR1378" s="4" t="s">
        <v>83</v>
      </c>
      <c r="AS1378" s="4"/>
      <c r="AT1378" s="13"/>
      <c r="AU1378" s="13"/>
      <c r="AV1378" s="13"/>
      <c r="AW1378" s="13"/>
      <c r="AX1378" s="4"/>
      <c r="AY1378" s="13"/>
      <c r="AZ1378" s="13"/>
      <c r="BA1378" s="13"/>
      <c r="BB1378" s="13"/>
      <c r="BC1378" s="4"/>
      <c r="BD1378" s="4"/>
      <c r="BE1378" s="4"/>
      <c r="BF1378" s="13"/>
      <c r="BG1378" s="4"/>
      <c r="BH1378" s="13"/>
      <c r="BI1378" s="13"/>
      <c r="BJ1378" s="4"/>
      <c r="BK1378" s="14">
        <v>12</v>
      </c>
      <c r="BL1378" s="14">
        <v>12</v>
      </c>
      <c r="BM1378" s="14">
        <v>12</v>
      </c>
      <c r="BP1378" s="15"/>
      <c r="BQ1378" s="15"/>
      <c r="BR1378" s="2" t="s">
        <v>87</v>
      </c>
      <c r="BS1378" s="2" t="s">
        <v>87</v>
      </c>
      <c r="BT1378" s="7" t="s">
        <v>88</v>
      </c>
      <c r="BU1378" s="7"/>
      <c r="BV1378" s="9" t="s">
        <v>88</v>
      </c>
      <c r="BW1378" s="9"/>
    </row>
    <row r="1379" spans="1:75" ht="14.25" customHeight="1" x14ac:dyDescent="0.25">
      <c r="A1379" s="1">
        <v>1115</v>
      </c>
      <c r="B1379" s="1" t="s">
        <v>5541</v>
      </c>
      <c r="C1379" s="1" t="s">
        <v>5542</v>
      </c>
      <c r="D1379" s="1" t="s">
        <v>77</v>
      </c>
      <c r="E1379" s="1" t="s">
        <v>2396</v>
      </c>
      <c r="F1379" s="1" t="s">
        <v>2431</v>
      </c>
      <c r="G1379" s="1"/>
      <c r="H1379" s="2">
        <v>0</v>
      </c>
      <c r="I1379" s="2">
        <v>0</v>
      </c>
      <c r="J1379" s="2">
        <v>1</v>
      </c>
      <c r="K1379" s="2">
        <v>1</v>
      </c>
      <c r="L1379" s="3" t="s">
        <v>80</v>
      </c>
      <c r="O1379" s="4">
        <v>4</v>
      </c>
      <c r="P1379" s="4" t="s">
        <v>112</v>
      </c>
      <c r="Q1379" s="4"/>
      <c r="R1379" s="5"/>
      <c r="S1379" s="6"/>
      <c r="T1379" s="17"/>
      <c r="U1379" s="6"/>
      <c r="V1379" s="4"/>
      <c r="W1379" s="4"/>
      <c r="X1379" s="4"/>
      <c r="Y1379" s="7">
        <v>3</v>
      </c>
      <c r="Z1379" s="8">
        <v>554518</v>
      </c>
      <c r="AA1379" s="7" t="s">
        <v>92</v>
      </c>
      <c r="AB1379" s="7"/>
      <c r="AC1379" s="9">
        <v>3</v>
      </c>
      <c r="AD1379" s="10">
        <v>554518</v>
      </c>
      <c r="AE1379" s="9" t="s">
        <v>92</v>
      </c>
      <c r="AF1379" s="9"/>
      <c r="AG1379" s="11">
        <v>3</v>
      </c>
      <c r="AH1379" s="11" t="s">
        <v>93</v>
      </c>
      <c r="AI1379" s="11"/>
      <c r="AJ1379" s="11"/>
      <c r="AK1379" s="11"/>
      <c r="AL1379" s="12">
        <v>3</v>
      </c>
      <c r="AM1379" s="12" t="s">
        <v>93</v>
      </c>
      <c r="AN1379" s="12" t="s">
        <v>805</v>
      </c>
      <c r="AO1379" s="12"/>
      <c r="AP1379" s="12"/>
      <c r="AQ1379" s="4">
        <v>4</v>
      </c>
      <c r="AR1379" s="4" t="s">
        <v>83</v>
      </c>
      <c r="AS1379" s="4"/>
      <c r="AT1379" s="13"/>
      <c r="AU1379" s="13"/>
      <c r="AV1379" s="13"/>
      <c r="AW1379" s="13"/>
      <c r="AX1379" s="4"/>
      <c r="AY1379" s="13"/>
      <c r="AZ1379" s="13"/>
      <c r="BA1379" s="13"/>
      <c r="BB1379" s="13"/>
      <c r="BC1379" s="4"/>
      <c r="BD1379" s="4"/>
      <c r="BE1379" s="4"/>
      <c r="BF1379" s="13"/>
      <c r="BG1379" s="4"/>
      <c r="BH1379" s="13"/>
      <c r="BI1379" s="13"/>
      <c r="BJ1379" s="4"/>
      <c r="BK1379" s="14">
        <v>14</v>
      </c>
      <c r="BL1379" s="14">
        <v>14</v>
      </c>
      <c r="BM1379" s="14">
        <v>14</v>
      </c>
      <c r="BN1379" s="3" t="s">
        <v>86</v>
      </c>
      <c r="BP1379" s="15"/>
      <c r="BQ1379" s="15"/>
      <c r="BR1379" s="2" t="s">
        <v>409</v>
      </c>
      <c r="BS1379" s="2" t="s">
        <v>409</v>
      </c>
      <c r="BT1379" s="7" t="s">
        <v>438</v>
      </c>
      <c r="BU1379" s="7" t="s">
        <v>109</v>
      </c>
      <c r="BV1379" s="9" t="s">
        <v>438</v>
      </c>
      <c r="BW1379" s="9" t="s">
        <v>109</v>
      </c>
    </row>
    <row r="1380" spans="1:75" ht="14.25" customHeight="1" x14ac:dyDescent="0.25">
      <c r="A1380" s="1">
        <v>1116</v>
      </c>
      <c r="B1380" s="1" t="s">
        <v>5543</v>
      </c>
      <c r="C1380" s="1" t="s">
        <v>5544</v>
      </c>
      <c r="D1380" s="1" t="s">
        <v>77</v>
      </c>
      <c r="E1380" s="1" t="s">
        <v>2396</v>
      </c>
      <c r="F1380" s="1" t="s">
        <v>2431</v>
      </c>
      <c r="G1380" s="1"/>
      <c r="H1380" s="2">
        <v>0</v>
      </c>
      <c r="I1380" s="2">
        <v>1</v>
      </c>
      <c r="J1380" s="2">
        <v>1</v>
      </c>
      <c r="K1380" s="2">
        <v>1</v>
      </c>
      <c r="L1380" s="3" t="s">
        <v>127</v>
      </c>
      <c r="O1380" s="4">
        <v>3</v>
      </c>
      <c r="P1380" s="4" t="s">
        <v>706</v>
      </c>
      <c r="Q1380" s="4"/>
      <c r="R1380" s="16">
        <v>2000000</v>
      </c>
      <c r="S1380" s="6">
        <v>2000000</v>
      </c>
      <c r="T1380" s="17" t="s">
        <v>682</v>
      </c>
      <c r="U1380" s="6">
        <v>50</v>
      </c>
      <c r="V1380" s="4"/>
      <c r="W1380" s="4" t="s">
        <v>543</v>
      </c>
      <c r="X1380" s="4" t="s">
        <v>787</v>
      </c>
      <c r="Y1380" s="7">
        <v>2</v>
      </c>
      <c r="Z1380" s="8">
        <v>1317811</v>
      </c>
      <c r="AA1380" s="7" t="s">
        <v>92</v>
      </c>
      <c r="AB1380" s="7"/>
      <c r="AC1380" s="9">
        <v>2</v>
      </c>
      <c r="AD1380" s="10">
        <v>1170436</v>
      </c>
      <c r="AE1380" s="9" t="s">
        <v>92</v>
      </c>
      <c r="AF1380" s="9"/>
      <c r="AG1380" s="11">
        <v>3</v>
      </c>
      <c r="AH1380" s="11" t="s">
        <v>271</v>
      </c>
      <c r="AI1380" s="11"/>
      <c r="AJ1380" s="11"/>
      <c r="AK1380" s="11"/>
      <c r="AL1380" s="12">
        <v>3</v>
      </c>
      <c r="AM1380" s="12" t="s">
        <v>271</v>
      </c>
      <c r="AN1380" s="12" t="s">
        <v>5527</v>
      </c>
      <c r="AO1380" s="12"/>
      <c r="AP1380" s="12"/>
      <c r="AQ1380" s="4">
        <v>3</v>
      </c>
      <c r="AR1380" s="4" t="s">
        <v>93</v>
      </c>
      <c r="AS1380" s="4"/>
      <c r="AT1380" s="13"/>
      <c r="AU1380" s="13"/>
      <c r="AV1380" s="13"/>
      <c r="AW1380" s="13"/>
      <c r="AX1380" s="4"/>
      <c r="AY1380" s="13"/>
      <c r="AZ1380" s="13"/>
      <c r="BA1380" s="13"/>
      <c r="BB1380" s="13"/>
      <c r="BC1380" s="4"/>
      <c r="BD1380" s="4"/>
      <c r="BE1380" s="4"/>
      <c r="BF1380" s="13"/>
      <c r="BG1380" s="4"/>
      <c r="BH1380" s="13"/>
      <c r="BI1380" s="13"/>
      <c r="BJ1380" s="4"/>
      <c r="BK1380" s="14">
        <v>11</v>
      </c>
      <c r="BL1380" s="14">
        <v>11</v>
      </c>
      <c r="BM1380" s="14">
        <v>11</v>
      </c>
      <c r="BP1380" s="15"/>
      <c r="BQ1380" s="15"/>
      <c r="BR1380" s="2" t="s">
        <v>400</v>
      </c>
      <c r="BS1380" s="2" t="s">
        <v>400</v>
      </c>
      <c r="BT1380" s="7" t="s">
        <v>109</v>
      </c>
      <c r="BU1380" s="7"/>
      <c r="BV1380" s="9" t="s">
        <v>109</v>
      </c>
      <c r="BW1380" s="9"/>
    </row>
    <row r="1381" spans="1:75" ht="14.25" customHeight="1" x14ac:dyDescent="0.25">
      <c r="A1381" s="1">
        <v>1130</v>
      </c>
      <c r="B1381" s="1" t="s">
        <v>5545</v>
      </c>
      <c r="C1381" s="1" t="s">
        <v>5546</v>
      </c>
      <c r="D1381" s="1" t="s">
        <v>77</v>
      </c>
      <c r="E1381" s="1" t="s">
        <v>2396</v>
      </c>
      <c r="F1381" s="1" t="s">
        <v>2452</v>
      </c>
      <c r="G1381" s="1"/>
      <c r="H1381" s="2">
        <v>0</v>
      </c>
      <c r="I1381" s="2">
        <v>0</v>
      </c>
      <c r="J1381" s="2">
        <v>1</v>
      </c>
      <c r="K1381" s="2">
        <v>1</v>
      </c>
      <c r="L1381" s="3" t="s">
        <v>80</v>
      </c>
      <c r="O1381" s="4">
        <v>2</v>
      </c>
      <c r="P1381" s="4" t="s">
        <v>81</v>
      </c>
      <c r="Q1381" s="4" t="s">
        <v>91</v>
      </c>
      <c r="R1381" s="5"/>
      <c r="S1381" s="6"/>
      <c r="T1381" s="17"/>
      <c r="U1381" s="6"/>
      <c r="V1381" s="4"/>
      <c r="W1381" s="4"/>
      <c r="X1381" s="4"/>
      <c r="Y1381" s="7">
        <v>1</v>
      </c>
      <c r="Z1381" s="8">
        <v>8952753</v>
      </c>
      <c r="AA1381" s="7" t="s">
        <v>92</v>
      </c>
      <c r="AB1381" s="7"/>
      <c r="AC1381" s="9">
        <v>1</v>
      </c>
      <c r="AD1381" s="10">
        <v>8952753</v>
      </c>
      <c r="AE1381" s="9" t="s">
        <v>92</v>
      </c>
      <c r="AF1381" s="9"/>
      <c r="AG1381" s="11">
        <v>4</v>
      </c>
      <c r="AH1381" s="11" t="s">
        <v>93</v>
      </c>
      <c r="AI1381" s="11"/>
      <c r="AJ1381" s="11"/>
      <c r="AK1381" s="11"/>
      <c r="AL1381" s="12">
        <v>4</v>
      </c>
      <c r="AM1381" s="12" t="s">
        <v>93</v>
      </c>
      <c r="AN1381" s="12" t="s">
        <v>5547</v>
      </c>
      <c r="AO1381" s="12"/>
      <c r="AP1381" s="12"/>
      <c r="AQ1381" s="4">
        <v>4</v>
      </c>
      <c r="AR1381" s="4" t="s">
        <v>83</v>
      </c>
      <c r="AS1381" s="4" t="s">
        <v>5548</v>
      </c>
      <c r="AT1381" s="13"/>
      <c r="AU1381" s="13"/>
      <c r="AV1381" s="13"/>
      <c r="AW1381" s="13"/>
      <c r="AX1381" s="4"/>
      <c r="AY1381" s="13"/>
      <c r="AZ1381" s="13"/>
      <c r="BA1381" s="13"/>
      <c r="BB1381" s="13"/>
      <c r="BC1381" s="4"/>
      <c r="BD1381" s="4"/>
      <c r="BE1381" s="4"/>
      <c r="BF1381" s="13"/>
      <c r="BG1381" s="4"/>
      <c r="BH1381" s="13"/>
      <c r="BI1381" s="13"/>
      <c r="BJ1381" s="4"/>
      <c r="BK1381" s="14">
        <v>11</v>
      </c>
      <c r="BL1381" s="14">
        <v>11</v>
      </c>
      <c r="BM1381" s="14">
        <v>11</v>
      </c>
      <c r="BP1381" s="15"/>
      <c r="BQ1381" s="15"/>
      <c r="BR1381" s="2" t="s">
        <v>97</v>
      </c>
      <c r="BS1381" s="2" t="s">
        <v>97</v>
      </c>
      <c r="BT1381" s="7" t="s">
        <v>98</v>
      </c>
      <c r="BU1381" s="7"/>
      <c r="BV1381" s="9" t="s">
        <v>98</v>
      </c>
      <c r="BW1381" s="9"/>
    </row>
    <row r="1382" spans="1:75" ht="14.25" customHeight="1" x14ac:dyDescent="0.25">
      <c r="A1382" s="1">
        <v>1131</v>
      </c>
      <c r="B1382" s="1" t="s">
        <v>5549</v>
      </c>
      <c r="C1382" s="1" t="s">
        <v>5550</v>
      </c>
      <c r="D1382" s="1" t="s">
        <v>77</v>
      </c>
      <c r="E1382" s="1" t="s">
        <v>2396</v>
      </c>
      <c r="F1382" s="1" t="s">
        <v>2452</v>
      </c>
      <c r="G1382" s="1"/>
      <c r="H1382" s="2">
        <v>0</v>
      </c>
      <c r="I1382" s="2">
        <v>0</v>
      </c>
      <c r="J1382" s="2">
        <v>1</v>
      </c>
      <c r="K1382" s="2">
        <v>1</v>
      </c>
      <c r="L1382" s="3" t="s">
        <v>80</v>
      </c>
      <c r="O1382" s="4">
        <v>3</v>
      </c>
      <c r="P1382" s="4" t="s">
        <v>112</v>
      </c>
      <c r="Q1382" s="4"/>
      <c r="R1382" s="5"/>
      <c r="S1382" s="6"/>
      <c r="T1382" s="17"/>
      <c r="U1382" s="6"/>
      <c r="V1382" s="4"/>
      <c r="W1382" s="4"/>
      <c r="X1382" s="4"/>
      <c r="Y1382" s="7">
        <v>1</v>
      </c>
      <c r="Z1382" s="8">
        <v>8085228</v>
      </c>
      <c r="AA1382" s="7" t="s">
        <v>92</v>
      </c>
      <c r="AB1382" s="7"/>
      <c r="AC1382" s="9">
        <v>1</v>
      </c>
      <c r="AD1382" s="10">
        <v>8085228</v>
      </c>
      <c r="AE1382" s="9" t="s">
        <v>92</v>
      </c>
      <c r="AF1382" s="9"/>
      <c r="AG1382" s="11">
        <v>4</v>
      </c>
      <c r="AH1382" s="11" t="s">
        <v>93</v>
      </c>
      <c r="AI1382" s="11"/>
      <c r="AJ1382" s="11"/>
      <c r="AK1382" s="11"/>
      <c r="AL1382" s="12">
        <v>4</v>
      </c>
      <c r="AM1382" s="12" t="s">
        <v>93</v>
      </c>
      <c r="AN1382" s="12" t="s">
        <v>2440</v>
      </c>
      <c r="AO1382" s="12"/>
      <c r="AP1382" s="12"/>
      <c r="AQ1382" s="4">
        <v>5</v>
      </c>
      <c r="AR1382" s="4" t="s">
        <v>83</v>
      </c>
      <c r="AS1382" s="4" t="s">
        <v>5551</v>
      </c>
      <c r="AT1382" s="13"/>
      <c r="AU1382" s="13"/>
      <c r="AV1382" s="13"/>
      <c r="AW1382" s="13"/>
      <c r="AX1382" s="4"/>
      <c r="AY1382" s="13"/>
      <c r="AZ1382" s="13"/>
      <c r="BA1382" s="13"/>
      <c r="BB1382" s="13"/>
      <c r="BC1382" s="4"/>
      <c r="BD1382" s="4"/>
      <c r="BE1382" s="4"/>
      <c r="BF1382" s="13"/>
      <c r="BG1382" s="4"/>
      <c r="BH1382" s="13"/>
      <c r="BI1382" s="13"/>
      <c r="BJ1382" s="4"/>
      <c r="BK1382" s="14">
        <v>13</v>
      </c>
      <c r="BL1382" s="14">
        <v>13</v>
      </c>
      <c r="BM1382" s="14">
        <v>13</v>
      </c>
      <c r="BN1382" s="3" t="s">
        <v>113</v>
      </c>
      <c r="BP1382" s="15"/>
      <c r="BQ1382" s="15"/>
      <c r="BR1382" s="2" t="s">
        <v>97</v>
      </c>
      <c r="BS1382" s="2" t="s">
        <v>97</v>
      </c>
      <c r="BT1382" s="7" t="s">
        <v>98</v>
      </c>
      <c r="BU1382" s="7"/>
      <c r="BV1382" s="9" t="s">
        <v>98</v>
      </c>
      <c r="BW1382" s="9"/>
    </row>
    <row r="1383" spans="1:75" ht="14.25" customHeight="1" x14ac:dyDescent="0.25">
      <c r="A1383" s="1">
        <v>1132</v>
      </c>
      <c r="B1383" s="1" t="s">
        <v>5552</v>
      </c>
      <c r="C1383" s="1" t="s">
        <v>5553</v>
      </c>
      <c r="D1383" s="1" t="s">
        <v>77</v>
      </c>
      <c r="E1383" s="1" t="s">
        <v>2396</v>
      </c>
      <c r="F1383" s="1" t="s">
        <v>2452</v>
      </c>
      <c r="G1383" s="1"/>
      <c r="H1383" s="2">
        <v>0</v>
      </c>
      <c r="I1383" s="2">
        <v>0</v>
      </c>
      <c r="J1383" s="2">
        <v>0</v>
      </c>
      <c r="K1383" s="2">
        <v>1</v>
      </c>
      <c r="L1383" s="3" t="s">
        <v>80</v>
      </c>
      <c r="O1383" s="4">
        <v>2</v>
      </c>
      <c r="P1383" s="4" t="s">
        <v>81</v>
      </c>
      <c r="Q1383" s="4"/>
      <c r="R1383" s="5"/>
      <c r="S1383" s="6"/>
      <c r="T1383" s="17"/>
      <c r="U1383" s="6"/>
      <c r="V1383" s="4"/>
      <c r="W1383" s="4"/>
      <c r="X1383" s="4"/>
      <c r="Y1383" s="7">
        <v>3</v>
      </c>
      <c r="Z1383" s="8">
        <v>617865</v>
      </c>
      <c r="AA1383" s="7" t="s">
        <v>82</v>
      </c>
      <c r="AB1383" s="7"/>
      <c r="AC1383" s="9">
        <v>3</v>
      </c>
      <c r="AD1383" s="10">
        <v>617865</v>
      </c>
      <c r="AE1383" s="9" t="s">
        <v>82</v>
      </c>
      <c r="AF1383" s="9"/>
      <c r="AG1383" s="11">
        <v>3</v>
      </c>
      <c r="AH1383" s="11" t="s">
        <v>83</v>
      </c>
      <c r="AI1383" s="11"/>
      <c r="AJ1383" s="11"/>
      <c r="AK1383" s="11"/>
      <c r="AL1383" s="12">
        <v>3</v>
      </c>
      <c r="AM1383" s="12" t="s">
        <v>83</v>
      </c>
      <c r="AN1383" s="12"/>
      <c r="AO1383" s="12"/>
      <c r="AP1383" s="12"/>
      <c r="AQ1383" s="4">
        <v>4</v>
      </c>
      <c r="AR1383" s="4" t="s">
        <v>83</v>
      </c>
      <c r="AS1383" s="4"/>
      <c r="AT1383" s="13"/>
      <c r="AU1383" s="13"/>
      <c r="AV1383" s="13"/>
      <c r="AW1383" s="13"/>
      <c r="AX1383" s="4"/>
      <c r="AY1383" s="13"/>
      <c r="AZ1383" s="13"/>
      <c r="BA1383" s="13"/>
      <c r="BB1383" s="13"/>
      <c r="BC1383" s="4"/>
      <c r="BD1383" s="4"/>
      <c r="BE1383" s="4"/>
      <c r="BF1383" s="13"/>
      <c r="BG1383" s="4"/>
      <c r="BH1383" s="13"/>
      <c r="BI1383" s="13"/>
      <c r="BJ1383" s="4"/>
      <c r="BK1383" s="14">
        <v>12</v>
      </c>
      <c r="BL1383" s="14">
        <v>12</v>
      </c>
      <c r="BM1383" s="14">
        <v>12</v>
      </c>
      <c r="BP1383" s="15"/>
      <c r="BQ1383" s="15"/>
      <c r="BR1383" s="2" t="s">
        <v>87</v>
      </c>
      <c r="BS1383" s="2" t="s">
        <v>87</v>
      </c>
      <c r="BT1383" s="7" t="s">
        <v>88</v>
      </c>
      <c r="BU1383" s="7"/>
      <c r="BV1383" s="9" t="s">
        <v>88</v>
      </c>
      <c r="BW1383" s="9"/>
    </row>
    <row r="1384" spans="1:75" ht="14.25" customHeight="1" x14ac:dyDescent="0.25">
      <c r="A1384" s="1">
        <v>1133</v>
      </c>
      <c r="B1384" s="1" t="s">
        <v>5554</v>
      </c>
      <c r="C1384" s="1" t="s">
        <v>5555</v>
      </c>
      <c r="D1384" s="1" t="s">
        <v>77</v>
      </c>
      <c r="E1384" s="1" t="s">
        <v>2396</v>
      </c>
      <c r="F1384" s="1" t="s">
        <v>2452</v>
      </c>
      <c r="G1384" s="1" t="s">
        <v>118</v>
      </c>
      <c r="H1384" s="2">
        <v>0</v>
      </c>
      <c r="I1384" s="2">
        <v>0</v>
      </c>
      <c r="J1384" s="2">
        <v>0</v>
      </c>
      <c r="K1384" s="2">
        <v>1</v>
      </c>
      <c r="L1384" s="3" t="s">
        <v>80</v>
      </c>
      <c r="O1384" s="4">
        <v>5</v>
      </c>
      <c r="P1384" s="4" t="s">
        <v>81</v>
      </c>
      <c r="Q1384" s="4"/>
      <c r="R1384" s="5"/>
      <c r="S1384" s="6"/>
      <c r="T1384" s="17"/>
      <c r="U1384" s="6"/>
      <c r="V1384" s="4"/>
      <c r="W1384" s="4"/>
      <c r="X1384" s="4"/>
      <c r="Y1384" s="7">
        <v>5</v>
      </c>
      <c r="Z1384" s="8">
        <v>17326</v>
      </c>
      <c r="AA1384" s="7" t="s">
        <v>82</v>
      </c>
      <c r="AB1384" s="7"/>
      <c r="AC1384" s="9">
        <v>5</v>
      </c>
      <c r="AD1384" s="10">
        <v>17326</v>
      </c>
      <c r="AE1384" s="9" t="s">
        <v>82</v>
      </c>
      <c r="AF1384" s="9"/>
      <c r="AG1384" s="11">
        <v>4</v>
      </c>
      <c r="AH1384" s="11" t="s">
        <v>83</v>
      </c>
      <c r="AI1384" s="11"/>
      <c r="AJ1384" s="11"/>
      <c r="AK1384" s="11"/>
      <c r="AL1384" s="12">
        <v>4</v>
      </c>
      <c r="AM1384" s="12" t="s">
        <v>83</v>
      </c>
      <c r="AN1384" s="12"/>
      <c r="AO1384" s="12"/>
      <c r="AP1384" s="12"/>
      <c r="AQ1384" s="4">
        <v>4</v>
      </c>
      <c r="AR1384" s="4" t="s">
        <v>83</v>
      </c>
      <c r="AS1384" s="4"/>
      <c r="AT1384" s="13"/>
      <c r="AU1384" s="13"/>
      <c r="AV1384" s="13"/>
      <c r="AW1384" s="13"/>
      <c r="AX1384" s="4"/>
      <c r="AY1384" s="13"/>
      <c r="AZ1384" s="13"/>
      <c r="BA1384" s="13"/>
      <c r="BB1384" s="13"/>
      <c r="BC1384" s="4"/>
      <c r="BD1384" s="4"/>
      <c r="BE1384" s="4"/>
      <c r="BF1384" s="13"/>
      <c r="BG1384" s="4"/>
      <c r="BH1384" s="13"/>
      <c r="BI1384" s="13"/>
      <c r="BJ1384" s="4"/>
      <c r="BK1384" s="14">
        <v>18</v>
      </c>
      <c r="BL1384" s="14">
        <v>18</v>
      </c>
      <c r="BM1384" s="14">
        <v>18</v>
      </c>
      <c r="BN1384" s="3" t="s">
        <v>312</v>
      </c>
      <c r="BP1384" s="15"/>
      <c r="BQ1384" s="15"/>
      <c r="BR1384" s="2" t="s">
        <v>121</v>
      </c>
      <c r="BS1384" s="2" t="s">
        <v>121</v>
      </c>
      <c r="BT1384" s="7" t="s">
        <v>98</v>
      </c>
      <c r="BU1384" s="7"/>
      <c r="BV1384" s="9" t="s">
        <v>98</v>
      </c>
      <c r="BW1384" s="9"/>
    </row>
    <row r="1385" spans="1:75" ht="14.25" customHeight="1" x14ac:dyDescent="0.25">
      <c r="A1385" s="1">
        <v>1134</v>
      </c>
      <c r="B1385" s="1" t="s">
        <v>5556</v>
      </c>
      <c r="C1385" s="1" t="s">
        <v>5557</v>
      </c>
      <c r="D1385" s="1" t="s">
        <v>77</v>
      </c>
      <c r="E1385" s="1" t="s">
        <v>2396</v>
      </c>
      <c r="F1385" s="1" t="s">
        <v>2452</v>
      </c>
      <c r="G1385" s="1"/>
      <c r="H1385" s="2">
        <v>0</v>
      </c>
      <c r="I1385" s="2">
        <v>0</v>
      </c>
      <c r="J1385" s="2">
        <v>0</v>
      </c>
      <c r="K1385" s="2">
        <v>1</v>
      </c>
      <c r="L1385" s="3" t="s">
        <v>80</v>
      </c>
      <c r="O1385" s="4">
        <v>4</v>
      </c>
      <c r="P1385" s="4" t="s">
        <v>81</v>
      </c>
      <c r="Q1385" s="4" t="s">
        <v>5558</v>
      </c>
      <c r="R1385" s="5"/>
      <c r="S1385" s="6"/>
      <c r="T1385" s="17"/>
      <c r="U1385" s="6"/>
      <c r="V1385" s="4"/>
      <c r="W1385" s="4"/>
      <c r="X1385" s="4"/>
      <c r="Y1385" s="7">
        <v>5</v>
      </c>
      <c r="Z1385" s="8">
        <v>47247</v>
      </c>
      <c r="AA1385" s="7" t="s">
        <v>82</v>
      </c>
      <c r="AB1385" s="7"/>
      <c r="AC1385" s="9">
        <v>5</v>
      </c>
      <c r="AD1385" s="10">
        <v>15749</v>
      </c>
      <c r="AE1385" s="9" t="s">
        <v>82</v>
      </c>
      <c r="AF1385" s="9"/>
      <c r="AG1385" s="11">
        <v>3</v>
      </c>
      <c r="AH1385" s="11" t="s">
        <v>83</v>
      </c>
      <c r="AI1385" s="11"/>
      <c r="AJ1385" s="11"/>
      <c r="AK1385" s="11"/>
      <c r="AL1385" s="12">
        <v>3</v>
      </c>
      <c r="AM1385" s="12" t="s">
        <v>83</v>
      </c>
      <c r="AN1385" s="12"/>
      <c r="AO1385" s="12"/>
      <c r="AP1385" s="12"/>
      <c r="AQ1385" s="4">
        <v>3</v>
      </c>
      <c r="AR1385" s="4" t="s">
        <v>83</v>
      </c>
      <c r="AS1385" s="4"/>
      <c r="AT1385" s="13"/>
      <c r="AU1385" s="13"/>
      <c r="AV1385" s="13"/>
      <c r="AW1385" s="13"/>
      <c r="AX1385" s="4"/>
      <c r="AY1385" s="13"/>
      <c r="AZ1385" s="13"/>
      <c r="BA1385" s="13"/>
      <c r="BB1385" s="13"/>
      <c r="BC1385" s="4"/>
      <c r="BD1385" s="4"/>
      <c r="BE1385" s="4"/>
      <c r="BF1385" s="13"/>
      <c r="BG1385" s="4"/>
      <c r="BH1385" s="13"/>
      <c r="BI1385" s="13"/>
      <c r="BJ1385" s="4"/>
      <c r="BK1385" s="14">
        <v>15</v>
      </c>
      <c r="BL1385" s="14">
        <v>15</v>
      </c>
      <c r="BM1385" s="14">
        <v>15</v>
      </c>
      <c r="BN1385" s="3" t="s">
        <v>86</v>
      </c>
      <c r="BP1385" s="15"/>
      <c r="BQ1385" s="15"/>
      <c r="BR1385" s="2" t="s">
        <v>87</v>
      </c>
      <c r="BS1385" s="2" t="s">
        <v>87</v>
      </c>
      <c r="BT1385" s="7" t="s">
        <v>88</v>
      </c>
      <c r="BU1385" s="7"/>
      <c r="BV1385" s="9" t="s">
        <v>88</v>
      </c>
      <c r="BW1385" s="9"/>
    </row>
    <row r="1386" spans="1:75" ht="14.25" customHeight="1" x14ac:dyDescent="0.25">
      <c r="A1386" s="1">
        <v>1135</v>
      </c>
      <c r="B1386" s="1" t="s">
        <v>5559</v>
      </c>
      <c r="C1386" s="1" t="s">
        <v>5560</v>
      </c>
      <c r="D1386" s="1" t="s">
        <v>77</v>
      </c>
      <c r="E1386" s="1" t="s">
        <v>2396</v>
      </c>
      <c r="F1386" s="1" t="s">
        <v>2452</v>
      </c>
      <c r="G1386" s="1"/>
      <c r="H1386" s="2">
        <v>0</v>
      </c>
      <c r="I1386" s="2">
        <v>0</v>
      </c>
      <c r="J1386" s="2">
        <v>0</v>
      </c>
      <c r="K1386" s="2">
        <v>1</v>
      </c>
      <c r="L1386" s="3" t="s">
        <v>80</v>
      </c>
      <c r="O1386" s="4">
        <v>3</v>
      </c>
      <c r="P1386" s="4" t="s">
        <v>81</v>
      </c>
      <c r="Q1386" s="4"/>
      <c r="R1386" s="5"/>
      <c r="S1386" s="6"/>
      <c r="T1386" s="17"/>
      <c r="U1386" s="6"/>
      <c r="V1386" s="4"/>
      <c r="W1386" s="4"/>
      <c r="X1386" s="4"/>
      <c r="Y1386" s="7">
        <v>4</v>
      </c>
      <c r="Z1386" s="8">
        <v>116299</v>
      </c>
      <c r="AA1386" s="7" t="s">
        <v>82</v>
      </c>
      <c r="AB1386" s="7"/>
      <c r="AC1386" s="9">
        <v>4</v>
      </c>
      <c r="AD1386" s="10">
        <v>116299</v>
      </c>
      <c r="AE1386" s="9" t="s">
        <v>82</v>
      </c>
      <c r="AF1386" s="9"/>
      <c r="AG1386" s="11">
        <v>4</v>
      </c>
      <c r="AH1386" s="11" t="s">
        <v>83</v>
      </c>
      <c r="AI1386" s="11"/>
      <c r="AJ1386" s="11"/>
      <c r="AK1386" s="11"/>
      <c r="AL1386" s="12">
        <v>4</v>
      </c>
      <c r="AM1386" s="12" t="s">
        <v>83</v>
      </c>
      <c r="AN1386" s="12"/>
      <c r="AO1386" s="12"/>
      <c r="AP1386" s="12"/>
      <c r="AQ1386" s="4">
        <v>3</v>
      </c>
      <c r="AR1386" s="4" t="s">
        <v>83</v>
      </c>
      <c r="AS1386" s="4"/>
      <c r="AT1386" s="13"/>
      <c r="AU1386" s="13"/>
      <c r="AV1386" s="13"/>
      <c r="AW1386" s="13"/>
      <c r="AX1386" s="4"/>
      <c r="AY1386" s="13"/>
      <c r="AZ1386" s="13"/>
      <c r="BA1386" s="13"/>
      <c r="BB1386" s="13"/>
      <c r="BC1386" s="4"/>
      <c r="BD1386" s="4"/>
      <c r="BE1386" s="4"/>
      <c r="BF1386" s="13"/>
      <c r="BG1386" s="4"/>
      <c r="BH1386" s="13"/>
      <c r="BI1386" s="13"/>
      <c r="BJ1386" s="4"/>
      <c r="BK1386" s="14">
        <v>14</v>
      </c>
      <c r="BL1386" s="14">
        <v>14</v>
      </c>
      <c r="BM1386" s="14">
        <v>14</v>
      </c>
      <c r="BN1386" s="3" t="s">
        <v>86</v>
      </c>
      <c r="BP1386" s="15"/>
      <c r="BQ1386" s="15"/>
      <c r="BR1386" s="2" t="s">
        <v>87</v>
      </c>
      <c r="BS1386" s="2" t="s">
        <v>87</v>
      </c>
      <c r="BT1386" s="7" t="s">
        <v>88</v>
      </c>
      <c r="BU1386" s="7"/>
      <c r="BV1386" s="9" t="s">
        <v>88</v>
      </c>
      <c r="BW1386" s="9"/>
    </row>
    <row r="1387" spans="1:75" ht="14.25" customHeight="1" x14ac:dyDescent="0.25">
      <c r="A1387" s="1">
        <v>1136</v>
      </c>
      <c r="B1387" s="1" t="s">
        <v>5561</v>
      </c>
      <c r="C1387" s="1" t="s">
        <v>5562</v>
      </c>
      <c r="D1387" s="1" t="s">
        <v>77</v>
      </c>
      <c r="E1387" s="1" t="s">
        <v>2396</v>
      </c>
      <c r="F1387" s="1" t="s">
        <v>2452</v>
      </c>
      <c r="G1387" s="1" t="s">
        <v>118</v>
      </c>
      <c r="H1387" s="2">
        <v>0</v>
      </c>
      <c r="I1387" s="2">
        <v>0</v>
      </c>
      <c r="J1387" s="2">
        <v>0</v>
      </c>
      <c r="K1387" s="2">
        <v>1</v>
      </c>
      <c r="L1387" s="3" t="s">
        <v>80</v>
      </c>
      <c r="O1387" s="4">
        <v>3</v>
      </c>
      <c r="P1387" s="4" t="s">
        <v>81</v>
      </c>
      <c r="Q1387" s="4"/>
      <c r="R1387" s="5"/>
      <c r="S1387" s="6"/>
      <c r="T1387" s="17"/>
      <c r="U1387" s="6"/>
      <c r="V1387" s="4"/>
      <c r="W1387" s="4"/>
      <c r="X1387" s="4"/>
      <c r="Y1387" s="7">
        <v>4</v>
      </c>
      <c r="Z1387" s="8">
        <v>183171</v>
      </c>
      <c r="AA1387" s="7" t="s">
        <v>82</v>
      </c>
      <c r="AB1387" s="7"/>
      <c r="AC1387" s="9">
        <v>4</v>
      </c>
      <c r="AD1387" s="10">
        <v>183171</v>
      </c>
      <c r="AE1387" s="9" t="s">
        <v>82</v>
      </c>
      <c r="AF1387" s="9"/>
      <c r="AG1387" s="11">
        <v>4</v>
      </c>
      <c r="AH1387" s="11" t="s">
        <v>83</v>
      </c>
      <c r="AI1387" s="11"/>
      <c r="AJ1387" s="11"/>
      <c r="AK1387" s="11"/>
      <c r="AL1387" s="12">
        <v>4</v>
      </c>
      <c r="AM1387" s="12" t="s">
        <v>83</v>
      </c>
      <c r="AN1387" s="12"/>
      <c r="AO1387" s="12"/>
      <c r="AP1387" s="12"/>
      <c r="AQ1387" s="4">
        <v>4</v>
      </c>
      <c r="AR1387" s="4" t="s">
        <v>83</v>
      </c>
      <c r="AS1387" s="4"/>
      <c r="AT1387" s="13"/>
      <c r="AU1387" s="13"/>
      <c r="AV1387" s="13"/>
      <c r="AW1387" s="13"/>
      <c r="AX1387" s="4"/>
      <c r="AY1387" s="13"/>
      <c r="AZ1387" s="13"/>
      <c r="BA1387" s="13"/>
      <c r="BB1387" s="13"/>
      <c r="BC1387" s="4"/>
      <c r="BD1387" s="4"/>
      <c r="BE1387" s="4"/>
      <c r="BF1387" s="13"/>
      <c r="BG1387" s="4"/>
      <c r="BH1387" s="13"/>
      <c r="BI1387" s="13"/>
      <c r="BJ1387" s="4"/>
      <c r="BK1387" s="14">
        <v>15</v>
      </c>
      <c r="BL1387" s="14">
        <v>15</v>
      </c>
      <c r="BM1387" s="14">
        <v>15</v>
      </c>
      <c r="BN1387" s="3" t="s">
        <v>86</v>
      </c>
      <c r="BP1387" s="15"/>
      <c r="BQ1387" s="15"/>
      <c r="BR1387" s="2" t="s">
        <v>121</v>
      </c>
      <c r="BS1387" s="2" t="s">
        <v>121</v>
      </c>
      <c r="BT1387" s="7" t="s">
        <v>98</v>
      </c>
      <c r="BU1387" s="7"/>
      <c r="BV1387" s="9" t="s">
        <v>98</v>
      </c>
      <c r="BW1387" s="9"/>
    </row>
    <row r="1388" spans="1:75" ht="14.25" customHeight="1" x14ac:dyDescent="0.25">
      <c r="A1388" s="1">
        <v>1137</v>
      </c>
      <c r="B1388" s="1" t="s">
        <v>5563</v>
      </c>
      <c r="C1388" s="1" t="s">
        <v>5564</v>
      </c>
      <c r="D1388" s="1" t="s">
        <v>77</v>
      </c>
      <c r="E1388" s="1" t="s">
        <v>2396</v>
      </c>
      <c r="F1388" s="1" t="s">
        <v>2452</v>
      </c>
      <c r="G1388" s="1"/>
      <c r="H1388" s="2">
        <v>0</v>
      </c>
      <c r="I1388" s="2">
        <v>0</v>
      </c>
      <c r="J1388" s="2">
        <v>0</v>
      </c>
      <c r="K1388" s="2">
        <v>1</v>
      </c>
      <c r="L1388" s="3" t="s">
        <v>80</v>
      </c>
      <c r="O1388" s="4">
        <v>3</v>
      </c>
      <c r="P1388" s="4" t="s">
        <v>81</v>
      </c>
      <c r="Q1388" s="4"/>
      <c r="R1388" s="5"/>
      <c r="S1388" s="6"/>
      <c r="T1388" s="17"/>
      <c r="U1388" s="6"/>
      <c r="V1388" s="4"/>
      <c r="W1388" s="4"/>
      <c r="X1388" s="4"/>
      <c r="Y1388" s="7">
        <v>3</v>
      </c>
      <c r="Z1388" s="8">
        <v>471778</v>
      </c>
      <c r="AA1388" s="7" t="s">
        <v>82</v>
      </c>
      <c r="AB1388" s="7"/>
      <c r="AC1388" s="9">
        <v>3</v>
      </c>
      <c r="AD1388" s="10">
        <v>471778</v>
      </c>
      <c r="AE1388" s="9" t="s">
        <v>82</v>
      </c>
      <c r="AF1388" s="9"/>
      <c r="AG1388" s="11">
        <v>3</v>
      </c>
      <c r="AH1388" s="11" t="s">
        <v>83</v>
      </c>
      <c r="AI1388" s="11"/>
      <c r="AJ1388" s="11"/>
      <c r="AK1388" s="11"/>
      <c r="AL1388" s="12">
        <v>3</v>
      </c>
      <c r="AM1388" s="12" t="s">
        <v>83</v>
      </c>
      <c r="AN1388" s="12"/>
      <c r="AO1388" s="12"/>
      <c r="AP1388" s="12"/>
      <c r="AQ1388" s="4">
        <v>4</v>
      </c>
      <c r="AR1388" s="4" t="s">
        <v>83</v>
      </c>
      <c r="AS1388" s="4"/>
      <c r="AT1388" s="13"/>
      <c r="AU1388" s="13"/>
      <c r="AV1388" s="13"/>
      <c r="AW1388" s="13"/>
      <c r="AX1388" s="4"/>
      <c r="AY1388" s="13"/>
      <c r="AZ1388" s="13"/>
      <c r="BA1388" s="13"/>
      <c r="BB1388" s="13"/>
      <c r="BC1388" s="4"/>
      <c r="BD1388" s="4"/>
      <c r="BE1388" s="4"/>
      <c r="BF1388" s="13"/>
      <c r="BG1388" s="4"/>
      <c r="BH1388" s="13"/>
      <c r="BI1388" s="13"/>
      <c r="BJ1388" s="4"/>
      <c r="BK1388" s="14">
        <v>13</v>
      </c>
      <c r="BL1388" s="14">
        <v>13</v>
      </c>
      <c r="BM1388" s="14">
        <v>13</v>
      </c>
      <c r="BP1388" s="15"/>
      <c r="BQ1388" s="15"/>
      <c r="BR1388" s="2" t="s">
        <v>87</v>
      </c>
      <c r="BS1388" s="2" t="s">
        <v>87</v>
      </c>
      <c r="BT1388" s="7" t="s">
        <v>88</v>
      </c>
      <c r="BU1388" s="7"/>
      <c r="BV1388" s="9" t="s">
        <v>88</v>
      </c>
      <c r="BW1388" s="9"/>
    </row>
    <row r="1389" spans="1:75" ht="14.25" customHeight="1" x14ac:dyDescent="0.25">
      <c r="A1389" s="1">
        <v>1138</v>
      </c>
      <c r="B1389" s="1" t="s">
        <v>5565</v>
      </c>
      <c r="C1389" s="1" t="s">
        <v>5566</v>
      </c>
      <c r="D1389" s="1" t="s">
        <v>77</v>
      </c>
      <c r="E1389" s="1" t="s">
        <v>2396</v>
      </c>
      <c r="F1389" s="1" t="s">
        <v>2452</v>
      </c>
      <c r="G1389" s="1"/>
      <c r="H1389" s="2">
        <v>0</v>
      </c>
      <c r="I1389" s="2">
        <v>0</v>
      </c>
      <c r="J1389" s="2">
        <v>0</v>
      </c>
      <c r="K1389" s="2">
        <v>1</v>
      </c>
      <c r="L1389" s="3" t="s">
        <v>80</v>
      </c>
      <c r="O1389" s="4">
        <v>3</v>
      </c>
      <c r="P1389" s="4" t="s">
        <v>81</v>
      </c>
      <c r="Q1389" s="4"/>
      <c r="R1389" s="5"/>
      <c r="S1389" s="6"/>
      <c r="T1389" s="17"/>
      <c r="U1389" s="6"/>
      <c r="V1389" s="4"/>
      <c r="W1389" s="4"/>
      <c r="X1389" s="4"/>
      <c r="Y1389" s="7">
        <v>3</v>
      </c>
      <c r="Z1389" s="8">
        <v>815689</v>
      </c>
      <c r="AA1389" s="7" t="s">
        <v>82</v>
      </c>
      <c r="AB1389" s="7"/>
      <c r="AC1389" s="9">
        <v>3</v>
      </c>
      <c r="AD1389" s="10">
        <v>815689</v>
      </c>
      <c r="AE1389" s="9" t="s">
        <v>82</v>
      </c>
      <c r="AF1389" s="9"/>
      <c r="AG1389" s="11">
        <v>3</v>
      </c>
      <c r="AH1389" s="11" t="s">
        <v>83</v>
      </c>
      <c r="AI1389" s="11"/>
      <c r="AJ1389" s="11"/>
      <c r="AK1389" s="11"/>
      <c r="AL1389" s="12">
        <v>3</v>
      </c>
      <c r="AM1389" s="12" t="s">
        <v>83</v>
      </c>
      <c r="AN1389" s="12"/>
      <c r="AO1389" s="12"/>
      <c r="AP1389" s="12"/>
      <c r="AQ1389" s="4">
        <v>3</v>
      </c>
      <c r="AR1389" s="4" t="s">
        <v>83</v>
      </c>
      <c r="AS1389" s="4"/>
      <c r="AT1389" s="13"/>
      <c r="AU1389" s="13"/>
      <c r="AV1389" s="13"/>
      <c r="AW1389" s="13"/>
      <c r="AX1389" s="4"/>
      <c r="AY1389" s="13"/>
      <c r="AZ1389" s="13"/>
      <c r="BA1389" s="13"/>
      <c r="BB1389" s="13"/>
      <c r="BC1389" s="4"/>
      <c r="BD1389" s="4"/>
      <c r="BE1389" s="4"/>
      <c r="BF1389" s="13"/>
      <c r="BG1389" s="4"/>
      <c r="BH1389" s="13"/>
      <c r="BI1389" s="13"/>
      <c r="BJ1389" s="4"/>
      <c r="BK1389" s="14">
        <v>12</v>
      </c>
      <c r="BL1389" s="14">
        <v>12</v>
      </c>
      <c r="BM1389" s="14">
        <v>12</v>
      </c>
      <c r="BP1389" s="15"/>
      <c r="BQ1389" s="15"/>
      <c r="BR1389" s="2" t="s">
        <v>740</v>
      </c>
      <c r="BS1389" s="2" t="s">
        <v>740</v>
      </c>
      <c r="BT1389" s="7" t="s">
        <v>109</v>
      </c>
      <c r="BU1389" s="7"/>
      <c r="BV1389" s="9" t="s">
        <v>109</v>
      </c>
      <c r="BW1389" s="9"/>
    </row>
    <row r="1390" spans="1:75" ht="14.25" customHeight="1" x14ac:dyDescent="0.25">
      <c r="A1390" s="1">
        <v>1139</v>
      </c>
      <c r="B1390" s="1" t="s">
        <v>5567</v>
      </c>
      <c r="C1390" s="1" t="s">
        <v>5568</v>
      </c>
      <c r="D1390" s="1" t="s">
        <v>77</v>
      </c>
      <c r="E1390" s="1" t="s">
        <v>2396</v>
      </c>
      <c r="F1390" s="1" t="s">
        <v>2452</v>
      </c>
      <c r="G1390" s="1" t="s">
        <v>118</v>
      </c>
      <c r="H1390" s="2">
        <v>0</v>
      </c>
      <c r="I1390" s="2">
        <v>0</v>
      </c>
      <c r="J1390" s="2">
        <v>1</v>
      </c>
      <c r="K1390" s="2">
        <v>1</v>
      </c>
      <c r="L1390" s="3" t="s">
        <v>80</v>
      </c>
      <c r="O1390" s="4">
        <v>3</v>
      </c>
      <c r="P1390" s="4" t="s">
        <v>112</v>
      </c>
      <c r="Q1390" s="4"/>
      <c r="R1390" s="5"/>
      <c r="S1390" s="6"/>
      <c r="T1390" s="17"/>
      <c r="U1390" s="6"/>
      <c r="V1390" s="4"/>
      <c r="W1390" s="4"/>
      <c r="X1390" s="4"/>
      <c r="Y1390" s="7">
        <v>3</v>
      </c>
      <c r="Z1390" s="8">
        <v>584179</v>
      </c>
      <c r="AA1390" s="7" t="s">
        <v>92</v>
      </c>
      <c r="AB1390" s="7"/>
      <c r="AC1390" s="9">
        <v>3</v>
      </c>
      <c r="AD1390" s="10">
        <v>584179</v>
      </c>
      <c r="AE1390" s="9" t="s">
        <v>92</v>
      </c>
      <c r="AF1390" s="9"/>
      <c r="AG1390" s="11">
        <v>3</v>
      </c>
      <c r="AH1390" s="11" t="s">
        <v>93</v>
      </c>
      <c r="AI1390" s="11" t="s">
        <v>5569</v>
      </c>
      <c r="AJ1390" s="11"/>
      <c r="AK1390" s="11"/>
      <c r="AL1390" s="12">
        <v>3</v>
      </c>
      <c r="AM1390" s="12" t="s">
        <v>93</v>
      </c>
      <c r="AN1390" s="12" t="s">
        <v>5570</v>
      </c>
      <c r="AO1390" s="12"/>
      <c r="AP1390" s="12"/>
      <c r="AQ1390" s="4">
        <v>4</v>
      </c>
      <c r="AR1390" s="4" t="s">
        <v>83</v>
      </c>
      <c r="AS1390" s="4" t="s">
        <v>5571</v>
      </c>
      <c r="AT1390" s="13"/>
      <c r="AU1390" s="13"/>
      <c r="AV1390" s="13"/>
      <c r="AW1390" s="13"/>
      <c r="AX1390" s="4"/>
      <c r="AY1390" s="13"/>
      <c r="AZ1390" s="13"/>
      <c r="BA1390" s="13"/>
      <c r="BB1390" s="13"/>
      <c r="BC1390" s="4"/>
      <c r="BD1390" s="4"/>
      <c r="BE1390" s="4"/>
      <c r="BF1390" s="13"/>
      <c r="BG1390" s="4"/>
      <c r="BH1390" s="13"/>
      <c r="BI1390" s="13"/>
      <c r="BJ1390" s="4"/>
      <c r="BK1390" s="14">
        <v>13</v>
      </c>
      <c r="BL1390" s="14">
        <v>13</v>
      </c>
      <c r="BM1390" s="14">
        <v>13</v>
      </c>
      <c r="BP1390" s="15"/>
      <c r="BQ1390" s="15"/>
      <c r="BR1390" s="2" t="s">
        <v>400</v>
      </c>
      <c r="BS1390" s="2" t="s">
        <v>400</v>
      </c>
      <c r="BT1390" s="7" t="s">
        <v>98</v>
      </c>
      <c r="BU1390" s="7"/>
      <c r="BV1390" s="9" t="s">
        <v>98</v>
      </c>
      <c r="BW1390" s="9"/>
    </row>
    <row r="1391" spans="1:75" ht="14.25" customHeight="1" x14ac:dyDescent="0.25">
      <c r="A1391" s="1">
        <v>1140</v>
      </c>
      <c r="B1391" s="1" t="s">
        <v>5572</v>
      </c>
      <c r="C1391" s="1" t="s">
        <v>5573</v>
      </c>
      <c r="D1391" s="1" t="s">
        <v>77</v>
      </c>
      <c r="E1391" s="1" t="s">
        <v>2396</v>
      </c>
      <c r="F1391" s="1" t="s">
        <v>2452</v>
      </c>
      <c r="G1391" s="1" t="s">
        <v>118</v>
      </c>
      <c r="H1391" s="2">
        <v>0</v>
      </c>
      <c r="I1391" s="2">
        <v>0</v>
      </c>
      <c r="J1391" s="2">
        <v>0</v>
      </c>
      <c r="K1391" s="2">
        <v>1</v>
      </c>
      <c r="L1391" s="3" t="s">
        <v>80</v>
      </c>
      <c r="O1391" s="4">
        <v>3</v>
      </c>
      <c r="P1391" s="4" t="s">
        <v>81</v>
      </c>
      <c r="Q1391" s="4"/>
      <c r="R1391" s="5"/>
      <c r="S1391" s="6"/>
      <c r="T1391" s="17"/>
      <c r="U1391" s="6"/>
      <c r="V1391" s="4"/>
      <c r="W1391" s="4"/>
      <c r="X1391" s="4"/>
      <c r="Y1391" s="7">
        <v>4</v>
      </c>
      <c r="Z1391" s="8">
        <v>226170</v>
      </c>
      <c r="AA1391" s="7" t="s">
        <v>82</v>
      </c>
      <c r="AB1391" s="7"/>
      <c r="AC1391" s="9">
        <v>4</v>
      </c>
      <c r="AD1391" s="10">
        <v>226170</v>
      </c>
      <c r="AE1391" s="9" t="s">
        <v>82</v>
      </c>
      <c r="AF1391" s="9"/>
      <c r="AG1391" s="11">
        <v>3</v>
      </c>
      <c r="AH1391" s="11" t="s">
        <v>83</v>
      </c>
      <c r="AI1391" s="11"/>
      <c r="AJ1391" s="11"/>
      <c r="AK1391" s="11"/>
      <c r="AL1391" s="12">
        <v>3</v>
      </c>
      <c r="AM1391" s="12" t="s">
        <v>83</v>
      </c>
      <c r="AN1391" s="12"/>
      <c r="AO1391" s="12"/>
      <c r="AP1391" s="12"/>
      <c r="AQ1391" s="4">
        <v>4</v>
      </c>
      <c r="AR1391" s="4" t="s">
        <v>83</v>
      </c>
      <c r="AS1391" s="4"/>
      <c r="AT1391" s="13"/>
      <c r="AU1391" s="13"/>
      <c r="AV1391" s="13"/>
      <c r="AW1391" s="13"/>
      <c r="AX1391" s="4"/>
      <c r="AY1391" s="13"/>
      <c r="AZ1391" s="13"/>
      <c r="BA1391" s="13"/>
      <c r="BB1391" s="13"/>
      <c r="BC1391" s="4"/>
      <c r="BD1391" s="4"/>
      <c r="BE1391" s="4"/>
      <c r="BF1391" s="13"/>
      <c r="BG1391" s="4"/>
      <c r="BH1391" s="13"/>
      <c r="BI1391" s="13"/>
      <c r="BJ1391" s="4"/>
      <c r="BK1391" s="14">
        <v>14</v>
      </c>
      <c r="BL1391" s="14">
        <v>14</v>
      </c>
      <c r="BM1391" s="14">
        <v>14</v>
      </c>
      <c r="BN1391" s="3" t="s">
        <v>86</v>
      </c>
      <c r="BP1391" s="15"/>
      <c r="BQ1391" s="15"/>
      <c r="BR1391" s="2" t="s">
        <v>121</v>
      </c>
      <c r="BS1391" s="2" t="s">
        <v>121</v>
      </c>
      <c r="BT1391" s="7" t="s">
        <v>98</v>
      </c>
      <c r="BU1391" s="7"/>
      <c r="BV1391" s="9" t="s">
        <v>98</v>
      </c>
      <c r="BW1391" s="9"/>
    </row>
    <row r="1392" spans="1:75" ht="14.25" customHeight="1" x14ac:dyDescent="0.25">
      <c r="A1392" s="1">
        <v>1141</v>
      </c>
      <c r="B1392" s="1" t="s">
        <v>5574</v>
      </c>
      <c r="C1392" s="1" t="s">
        <v>5575</v>
      </c>
      <c r="D1392" s="1" t="s">
        <v>77</v>
      </c>
      <c r="E1392" s="1" t="s">
        <v>2396</v>
      </c>
      <c r="F1392" s="1" t="s">
        <v>2452</v>
      </c>
      <c r="G1392" s="1"/>
      <c r="H1392" s="2">
        <v>0</v>
      </c>
      <c r="I1392" s="2">
        <v>0</v>
      </c>
      <c r="J1392" s="2">
        <v>1</v>
      </c>
      <c r="K1392" s="2">
        <v>1</v>
      </c>
      <c r="L1392" s="3" t="s">
        <v>80</v>
      </c>
      <c r="O1392" s="4">
        <v>3</v>
      </c>
      <c r="P1392" s="4" t="s">
        <v>81</v>
      </c>
      <c r="Q1392" s="4" t="s">
        <v>1789</v>
      </c>
      <c r="R1392" s="5"/>
      <c r="S1392" s="6"/>
      <c r="T1392" s="17"/>
      <c r="U1392" s="6"/>
      <c r="V1392" s="4"/>
      <c r="W1392" s="4"/>
      <c r="X1392" s="4"/>
      <c r="Y1392" s="7">
        <v>2</v>
      </c>
      <c r="Z1392" s="8">
        <v>1913020</v>
      </c>
      <c r="AA1392" s="7" t="s">
        <v>92</v>
      </c>
      <c r="AB1392" s="7"/>
      <c r="AC1392" s="9">
        <v>2</v>
      </c>
      <c r="AD1392" s="10">
        <v>1913020</v>
      </c>
      <c r="AE1392" s="9" t="s">
        <v>92</v>
      </c>
      <c r="AF1392" s="9"/>
      <c r="AG1392" s="11">
        <v>3</v>
      </c>
      <c r="AH1392" s="11" t="s">
        <v>93</v>
      </c>
      <c r="AI1392" s="11"/>
      <c r="AJ1392" s="11"/>
      <c r="AK1392" s="11"/>
      <c r="AL1392" s="12">
        <v>3</v>
      </c>
      <c r="AM1392" s="12" t="s">
        <v>93</v>
      </c>
      <c r="AN1392" s="12" t="s">
        <v>5576</v>
      </c>
      <c r="AO1392" s="12"/>
      <c r="AP1392" s="12"/>
      <c r="AQ1392" s="4">
        <v>4</v>
      </c>
      <c r="AR1392" s="4" t="s">
        <v>83</v>
      </c>
      <c r="AS1392" s="4"/>
      <c r="AT1392" s="13"/>
      <c r="AU1392" s="13"/>
      <c r="AV1392" s="13"/>
      <c r="AW1392" s="13"/>
      <c r="AX1392" s="4"/>
      <c r="AY1392" s="13"/>
      <c r="AZ1392" s="13"/>
      <c r="BA1392" s="13"/>
      <c r="BB1392" s="13"/>
      <c r="BC1392" s="4"/>
      <c r="BD1392" s="4"/>
      <c r="BE1392" s="4"/>
      <c r="BF1392" s="13"/>
      <c r="BG1392" s="4"/>
      <c r="BH1392" s="13"/>
      <c r="BI1392" s="13"/>
      <c r="BJ1392" s="4"/>
      <c r="BK1392" s="14">
        <v>12</v>
      </c>
      <c r="BL1392" s="14">
        <v>12</v>
      </c>
      <c r="BM1392" s="14">
        <v>12</v>
      </c>
      <c r="BP1392" s="15"/>
      <c r="BQ1392" s="15"/>
      <c r="BR1392" s="2" t="s">
        <v>97</v>
      </c>
      <c r="BS1392" s="2" t="s">
        <v>97</v>
      </c>
      <c r="BT1392" s="7" t="s">
        <v>98</v>
      </c>
      <c r="BU1392" s="7"/>
      <c r="BV1392" s="9" t="s">
        <v>98</v>
      </c>
      <c r="BW1392" s="9"/>
    </row>
    <row r="1393" spans="1:75" ht="14.25" customHeight="1" x14ac:dyDescent="0.25">
      <c r="A1393" s="1">
        <v>1142</v>
      </c>
      <c r="B1393" s="1" t="s">
        <v>5577</v>
      </c>
      <c r="C1393" s="1" t="s">
        <v>5578</v>
      </c>
      <c r="D1393" s="1" t="s">
        <v>77</v>
      </c>
      <c r="E1393" s="1" t="s">
        <v>2396</v>
      </c>
      <c r="F1393" s="1" t="s">
        <v>2452</v>
      </c>
      <c r="G1393" s="1"/>
      <c r="H1393" s="2">
        <v>0</v>
      </c>
      <c r="I1393" s="2">
        <v>0</v>
      </c>
      <c r="J1393" s="2">
        <v>1</v>
      </c>
      <c r="K1393" s="2">
        <v>1</v>
      </c>
      <c r="L1393" s="3" t="s">
        <v>80</v>
      </c>
      <c r="O1393" s="4">
        <v>2</v>
      </c>
      <c r="P1393" s="4" t="s">
        <v>112</v>
      </c>
      <c r="Q1393" s="4"/>
      <c r="R1393" s="5"/>
      <c r="S1393" s="6"/>
      <c r="T1393" s="17"/>
      <c r="U1393" s="6"/>
      <c r="V1393" s="4"/>
      <c r="W1393" s="4"/>
      <c r="X1393" s="4"/>
      <c r="Y1393" s="7">
        <v>1</v>
      </c>
      <c r="Z1393" s="8">
        <v>8090504</v>
      </c>
      <c r="AA1393" s="7" t="s">
        <v>92</v>
      </c>
      <c r="AB1393" s="7"/>
      <c r="AC1393" s="9">
        <v>1</v>
      </c>
      <c r="AD1393" s="10">
        <v>8090504</v>
      </c>
      <c r="AE1393" s="9" t="s">
        <v>92</v>
      </c>
      <c r="AF1393" s="9"/>
      <c r="AG1393" s="11">
        <v>2</v>
      </c>
      <c r="AH1393" s="11" t="s">
        <v>93</v>
      </c>
      <c r="AI1393" s="11"/>
      <c r="AJ1393" s="11"/>
      <c r="AK1393" s="11"/>
      <c r="AL1393" s="12">
        <v>2</v>
      </c>
      <c r="AM1393" s="12" t="s">
        <v>93</v>
      </c>
      <c r="AN1393" s="12" t="s">
        <v>5576</v>
      </c>
      <c r="AO1393" s="12"/>
      <c r="AP1393" s="12"/>
      <c r="AQ1393" s="4">
        <v>2</v>
      </c>
      <c r="AR1393" s="4" t="s">
        <v>83</v>
      </c>
      <c r="AS1393" s="4"/>
      <c r="AT1393" s="13"/>
      <c r="AU1393" s="13"/>
      <c r="AV1393" s="13"/>
      <c r="AW1393" s="13"/>
      <c r="AX1393" s="4"/>
      <c r="AY1393" s="13"/>
      <c r="AZ1393" s="13"/>
      <c r="BA1393" s="13"/>
      <c r="BB1393" s="13"/>
      <c r="BC1393" s="4"/>
      <c r="BD1393" s="4"/>
      <c r="BE1393" s="4"/>
      <c r="BF1393" s="13"/>
      <c r="BG1393" s="4"/>
      <c r="BH1393" s="13"/>
      <c r="BI1393" s="13"/>
      <c r="BJ1393" s="4"/>
      <c r="BK1393" s="14">
        <v>7</v>
      </c>
      <c r="BL1393" s="14">
        <v>7</v>
      </c>
      <c r="BM1393" s="14">
        <v>7</v>
      </c>
      <c r="BP1393" s="15" t="s">
        <v>135</v>
      </c>
      <c r="BQ1393" s="15"/>
      <c r="BR1393" s="2" t="s">
        <v>97</v>
      </c>
      <c r="BS1393" s="2" t="s">
        <v>97</v>
      </c>
      <c r="BT1393" s="7" t="s">
        <v>458</v>
      </c>
      <c r="BU1393" s="7"/>
      <c r="BV1393" s="9" t="s">
        <v>458</v>
      </c>
      <c r="BW1393" s="9"/>
    </row>
    <row r="1394" spans="1:75" ht="14.25" customHeight="1" x14ac:dyDescent="0.25">
      <c r="A1394" s="1">
        <v>1143</v>
      </c>
      <c r="B1394" s="1" t="s">
        <v>5579</v>
      </c>
      <c r="C1394" s="1" t="s">
        <v>5580</v>
      </c>
      <c r="D1394" s="1" t="s">
        <v>77</v>
      </c>
      <c r="E1394" s="1" t="s">
        <v>2396</v>
      </c>
      <c r="F1394" s="1" t="s">
        <v>2452</v>
      </c>
      <c r="G1394" s="1" t="s">
        <v>118</v>
      </c>
      <c r="H1394" s="2">
        <v>0</v>
      </c>
      <c r="I1394" s="2">
        <v>0</v>
      </c>
      <c r="J1394" s="2">
        <v>0</v>
      </c>
      <c r="K1394" s="2">
        <v>1</v>
      </c>
      <c r="L1394" s="3" t="s">
        <v>80</v>
      </c>
      <c r="O1394" s="4">
        <v>3</v>
      </c>
      <c r="P1394" s="4" t="s">
        <v>81</v>
      </c>
      <c r="Q1394" s="4"/>
      <c r="R1394" s="5"/>
      <c r="S1394" s="6"/>
      <c r="T1394" s="17"/>
      <c r="U1394" s="6"/>
      <c r="V1394" s="4"/>
      <c r="W1394" s="4"/>
      <c r="X1394" s="4"/>
      <c r="Y1394" s="7">
        <v>3</v>
      </c>
      <c r="Z1394" s="8">
        <v>400457</v>
      </c>
      <c r="AA1394" s="7" t="s">
        <v>82</v>
      </c>
      <c r="AB1394" s="7"/>
      <c r="AC1394" s="9">
        <v>3</v>
      </c>
      <c r="AD1394" s="10">
        <v>400457</v>
      </c>
      <c r="AE1394" s="9" t="s">
        <v>82</v>
      </c>
      <c r="AF1394" s="9"/>
      <c r="AG1394" s="11">
        <v>4</v>
      </c>
      <c r="AH1394" s="11" t="s">
        <v>83</v>
      </c>
      <c r="AI1394" s="11"/>
      <c r="AJ1394" s="11"/>
      <c r="AK1394" s="11"/>
      <c r="AL1394" s="12">
        <v>4</v>
      </c>
      <c r="AM1394" s="12" t="s">
        <v>83</v>
      </c>
      <c r="AN1394" s="12"/>
      <c r="AO1394" s="12"/>
      <c r="AP1394" s="12"/>
      <c r="AQ1394" s="4">
        <v>5</v>
      </c>
      <c r="AR1394" s="4" t="s">
        <v>83</v>
      </c>
      <c r="AS1394" s="4"/>
      <c r="AT1394" s="13"/>
      <c r="AU1394" s="13"/>
      <c r="AV1394" s="13"/>
      <c r="AW1394" s="13"/>
      <c r="AX1394" s="4"/>
      <c r="AY1394" s="13"/>
      <c r="AZ1394" s="13"/>
      <c r="BA1394" s="13"/>
      <c r="BB1394" s="13"/>
      <c r="BC1394" s="4"/>
      <c r="BD1394" s="4"/>
      <c r="BE1394" s="4"/>
      <c r="BF1394" s="13"/>
      <c r="BG1394" s="4"/>
      <c r="BH1394" s="13"/>
      <c r="BI1394" s="13"/>
      <c r="BJ1394" s="4"/>
      <c r="BK1394" s="14">
        <v>15</v>
      </c>
      <c r="BL1394" s="14">
        <v>15</v>
      </c>
      <c r="BM1394" s="14">
        <v>15</v>
      </c>
      <c r="BN1394" s="3" t="s">
        <v>113</v>
      </c>
      <c r="BP1394" s="15"/>
      <c r="BQ1394" s="15"/>
      <c r="BR1394" s="2" t="s">
        <v>121</v>
      </c>
      <c r="BS1394" s="2" t="s">
        <v>121</v>
      </c>
      <c r="BT1394" s="7" t="s">
        <v>98</v>
      </c>
      <c r="BU1394" s="7"/>
      <c r="BV1394" s="9" t="s">
        <v>98</v>
      </c>
      <c r="BW1394" s="9"/>
    </row>
    <row r="1395" spans="1:75" ht="14.25" customHeight="1" x14ac:dyDescent="0.25">
      <c r="A1395" s="1">
        <v>1144</v>
      </c>
      <c r="B1395" s="1" t="s">
        <v>5581</v>
      </c>
      <c r="C1395" s="1" t="s">
        <v>5582</v>
      </c>
      <c r="D1395" s="1" t="s">
        <v>77</v>
      </c>
      <c r="E1395" s="1" t="s">
        <v>2396</v>
      </c>
      <c r="F1395" s="1" t="s">
        <v>2452</v>
      </c>
      <c r="G1395" s="1"/>
      <c r="H1395" s="2">
        <v>0</v>
      </c>
      <c r="I1395" s="2">
        <v>0</v>
      </c>
      <c r="J1395" s="2">
        <v>0</v>
      </c>
      <c r="K1395" s="2">
        <v>1</v>
      </c>
      <c r="L1395" s="3" t="s">
        <v>80</v>
      </c>
      <c r="O1395" s="4">
        <v>4</v>
      </c>
      <c r="P1395" s="4" t="s">
        <v>81</v>
      </c>
      <c r="Q1395" s="4"/>
      <c r="R1395" s="5"/>
      <c r="S1395" s="6"/>
      <c r="T1395" s="17"/>
      <c r="U1395" s="6"/>
      <c r="V1395" s="4"/>
      <c r="W1395" s="4"/>
      <c r="X1395" s="4"/>
      <c r="Y1395" s="7">
        <v>2</v>
      </c>
      <c r="Z1395" s="8">
        <v>1957696</v>
      </c>
      <c r="AA1395" s="7" t="s">
        <v>82</v>
      </c>
      <c r="AB1395" s="7"/>
      <c r="AC1395" s="9">
        <v>2</v>
      </c>
      <c r="AD1395" s="10">
        <v>1957696</v>
      </c>
      <c r="AE1395" s="9" t="s">
        <v>82</v>
      </c>
      <c r="AF1395" s="9"/>
      <c r="AG1395" s="11">
        <v>4</v>
      </c>
      <c r="AH1395" s="11" t="s">
        <v>83</v>
      </c>
      <c r="AI1395" s="11"/>
      <c r="AJ1395" s="11"/>
      <c r="AK1395" s="11"/>
      <c r="AL1395" s="12">
        <v>4</v>
      </c>
      <c r="AM1395" s="12" t="s">
        <v>83</v>
      </c>
      <c r="AN1395" s="12"/>
      <c r="AO1395" s="12"/>
      <c r="AP1395" s="12"/>
      <c r="AQ1395" s="4">
        <v>4</v>
      </c>
      <c r="AR1395" s="4" t="s">
        <v>83</v>
      </c>
      <c r="AS1395" s="4"/>
      <c r="AT1395" s="13"/>
      <c r="AU1395" s="13"/>
      <c r="AV1395" s="13"/>
      <c r="AW1395" s="13"/>
      <c r="AX1395" s="4"/>
      <c r="AY1395" s="13"/>
      <c r="AZ1395" s="13"/>
      <c r="BA1395" s="13"/>
      <c r="BB1395" s="13"/>
      <c r="BC1395" s="4"/>
      <c r="BD1395" s="4"/>
      <c r="BE1395" s="4"/>
      <c r="BF1395" s="13"/>
      <c r="BG1395" s="4"/>
      <c r="BH1395" s="13"/>
      <c r="BI1395" s="13"/>
      <c r="BJ1395" s="4"/>
      <c r="BK1395" s="14">
        <v>14</v>
      </c>
      <c r="BL1395" s="14">
        <v>14</v>
      </c>
      <c r="BM1395" s="14">
        <v>14</v>
      </c>
      <c r="BN1395" s="3" t="s">
        <v>86</v>
      </c>
      <c r="BP1395" s="15"/>
      <c r="BQ1395" s="15"/>
      <c r="BR1395" s="2" t="s">
        <v>740</v>
      </c>
      <c r="BS1395" s="2" t="s">
        <v>740</v>
      </c>
      <c r="BT1395" s="7" t="s">
        <v>98</v>
      </c>
      <c r="BU1395" s="7"/>
      <c r="BV1395" s="9" t="s">
        <v>98</v>
      </c>
      <c r="BW1395" s="9"/>
    </row>
    <row r="1396" spans="1:75" ht="14.25" customHeight="1" x14ac:dyDescent="0.25">
      <c r="A1396" s="1">
        <v>1145</v>
      </c>
      <c r="B1396" s="1" t="s">
        <v>5583</v>
      </c>
      <c r="C1396" s="1" t="s">
        <v>5584</v>
      </c>
      <c r="D1396" s="1" t="s">
        <v>77</v>
      </c>
      <c r="E1396" s="1" t="s">
        <v>2396</v>
      </c>
      <c r="F1396" s="1" t="s">
        <v>2452</v>
      </c>
      <c r="G1396" s="1"/>
      <c r="H1396" s="2">
        <v>0</v>
      </c>
      <c r="I1396" s="2">
        <v>0</v>
      </c>
      <c r="J1396" s="2">
        <v>1</v>
      </c>
      <c r="K1396" s="2">
        <v>1</v>
      </c>
      <c r="L1396" s="3" t="s">
        <v>80</v>
      </c>
      <c r="O1396" s="4">
        <v>4</v>
      </c>
      <c r="P1396" s="4" t="s">
        <v>112</v>
      </c>
      <c r="Q1396" s="4"/>
      <c r="R1396" s="5"/>
      <c r="S1396" s="6"/>
      <c r="T1396" s="17"/>
      <c r="U1396" s="6"/>
      <c r="V1396" s="4"/>
      <c r="W1396" s="4"/>
      <c r="X1396" s="4"/>
      <c r="Y1396" s="7">
        <v>3</v>
      </c>
      <c r="Z1396" s="8">
        <v>579420</v>
      </c>
      <c r="AA1396" s="7" t="s">
        <v>92</v>
      </c>
      <c r="AB1396" s="7"/>
      <c r="AC1396" s="9">
        <v>3</v>
      </c>
      <c r="AD1396" s="10">
        <v>579420</v>
      </c>
      <c r="AE1396" s="9" t="s">
        <v>92</v>
      </c>
      <c r="AF1396" s="9"/>
      <c r="AG1396" s="11">
        <v>4</v>
      </c>
      <c r="AH1396" s="11" t="s">
        <v>93</v>
      </c>
      <c r="AI1396" s="11"/>
      <c r="AJ1396" s="11"/>
      <c r="AK1396" s="11"/>
      <c r="AL1396" s="12">
        <v>4</v>
      </c>
      <c r="AM1396" s="12" t="s">
        <v>93</v>
      </c>
      <c r="AN1396" s="12" t="s">
        <v>805</v>
      </c>
      <c r="AO1396" s="12"/>
      <c r="AP1396" s="12"/>
      <c r="AQ1396" s="4">
        <v>4</v>
      </c>
      <c r="AR1396" s="4" t="s">
        <v>83</v>
      </c>
      <c r="AS1396" s="4" t="s">
        <v>5585</v>
      </c>
      <c r="AT1396" s="13"/>
      <c r="AU1396" s="13"/>
      <c r="AV1396" s="13"/>
      <c r="AW1396" s="13"/>
      <c r="AX1396" s="4"/>
      <c r="AY1396" s="13"/>
      <c r="AZ1396" s="13"/>
      <c r="BA1396" s="13"/>
      <c r="BB1396" s="13"/>
      <c r="BC1396" s="4"/>
      <c r="BD1396" s="4"/>
      <c r="BE1396" s="4"/>
      <c r="BF1396" s="13"/>
      <c r="BG1396" s="4"/>
      <c r="BH1396" s="13"/>
      <c r="BI1396" s="13"/>
      <c r="BJ1396" s="4"/>
      <c r="BK1396" s="14">
        <v>15</v>
      </c>
      <c r="BL1396" s="14">
        <v>15</v>
      </c>
      <c r="BM1396" s="14">
        <v>15</v>
      </c>
      <c r="BN1396" s="3" t="s">
        <v>86</v>
      </c>
      <c r="BP1396" s="15"/>
      <c r="BQ1396" s="15"/>
      <c r="BR1396" s="2" t="s">
        <v>115</v>
      </c>
      <c r="BS1396" s="2" t="s">
        <v>115</v>
      </c>
      <c r="BT1396" s="7" t="s">
        <v>98</v>
      </c>
      <c r="BU1396" s="7"/>
      <c r="BV1396" s="9" t="s">
        <v>98</v>
      </c>
      <c r="BW1396" s="9"/>
    </row>
    <row r="1397" spans="1:75" ht="14.25" customHeight="1" x14ac:dyDescent="0.25">
      <c r="A1397" s="1">
        <v>1146</v>
      </c>
      <c r="B1397" s="1" t="s">
        <v>5586</v>
      </c>
      <c r="C1397" s="1" t="s">
        <v>5587</v>
      </c>
      <c r="D1397" s="1" t="s">
        <v>77</v>
      </c>
      <c r="E1397" s="1" t="s">
        <v>2396</v>
      </c>
      <c r="F1397" s="1" t="s">
        <v>2452</v>
      </c>
      <c r="G1397" s="1"/>
      <c r="H1397" s="2">
        <v>0</v>
      </c>
      <c r="I1397" s="2">
        <v>0</v>
      </c>
      <c r="J1397" s="2">
        <v>0</v>
      </c>
      <c r="K1397" s="2">
        <v>1</v>
      </c>
      <c r="L1397" s="3" t="s">
        <v>80</v>
      </c>
      <c r="O1397" s="4">
        <v>3</v>
      </c>
      <c r="P1397" s="4" t="s">
        <v>81</v>
      </c>
      <c r="Q1397" s="4"/>
      <c r="R1397" s="5"/>
      <c r="S1397" s="6"/>
      <c r="T1397" s="17"/>
      <c r="U1397" s="6"/>
      <c r="V1397" s="4"/>
      <c r="W1397" s="4"/>
      <c r="X1397" s="4"/>
      <c r="Y1397" s="7">
        <v>1</v>
      </c>
      <c r="Z1397" s="8">
        <v>5707294</v>
      </c>
      <c r="AA1397" s="7" t="s">
        <v>82</v>
      </c>
      <c r="AB1397" s="7"/>
      <c r="AC1397" s="9">
        <v>1</v>
      </c>
      <c r="AD1397" s="10">
        <v>5707294</v>
      </c>
      <c r="AE1397" s="9" t="s">
        <v>82</v>
      </c>
      <c r="AF1397" s="9"/>
      <c r="AG1397" s="11">
        <v>4</v>
      </c>
      <c r="AH1397" s="11" t="s">
        <v>83</v>
      </c>
      <c r="AI1397" s="11"/>
      <c r="AJ1397" s="11"/>
      <c r="AK1397" s="11"/>
      <c r="AL1397" s="12">
        <v>4</v>
      </c>
      <c r="AM1397" s="12" t="s">
        <v>83</v>
      </c>
      <c r="AN1397" s="12"/>
      <c r="AO1397" s="12"/>
      <c r="AP1397" s="12"/>
      <c r="AQ1397" s="4">
        <v>4</v>
      </c>
      <c r="AR1397" s="4" t="s">
        <v>83</v>
      </c>
      <c r="AS1397" s="4"/>
      <c r="AT1397" s="13"/>
      <c r="AU1397" s="13"/>
      <c r="AV1397" s="13"/>
      <c r="AW1397" s="13"/>
      <c r="AX1397" s="4"/>
      <c r="AY1397" s="13"/>
      <c r="AZ1397" s="13"/>
      <c r="BA1397" s="13"/>
      <c r="BB1397" s="13"/>
      <c r="BC1397" s="4"/>
      <c r="BD1397" s="4"/>
      <c r="BE1397" s="4"/>
      <c r="BF1397" s="13"/>
      <c r="BG1397" s="4"/>
      <c r="BH1397" s="13"/>
      <c r="BI1397" s="13"/>
      <c r="BJ1397" s="4"/>
      <c r="BK1397" s="14">
        <v>12</v>
      </c>
      <c r="BL1397" s="14">
        <v>12</v>
      </c>
      <c r="BM1397" s="14">
        <v>12</v>
      </c>
      <c r="BP1397" s="15"/>
      <c r="BQ1397" s="15"/>
      <c r="BR1397" s="2" t="s">
        <v>740</v>
      </c>
      <c r="BS1397" s="2" t="s">
        <v>740</v>
      </c>
      <c r="BT1397" s="7" t="s">
        <v>98</v>
      </c>
      <c r="BU1397" s="7"/>
      <c r="BV1397" s="9" t="s">
        <v>98</v>
      </c>
      <c r="BW1397" s="9"/>
    </row>
    <row r="1398" spans="1:75" ht="14.25" customHeight="1" x14ac:dyDescent="0.25">
      <c r="A1398" s="1">
        <v>1147</v>
      </c>
      <c r="B1398" s="1" t="s">
        <v>5588</v>
      </c>
      <c r="C1398" s="1" t="s">
        <v>5589</v>
      </c>
      <c r="D1398" s="1" t="s">
        <v>77</v>
      </c>
      <c r="E1398" s="1" t="s">
        <v>2396</v>
      </c>
      <c r="F1398" s="1" t="s">
        <v>2452</v>
      </c>
      <c r="G1398" s="1"/>
      <c r="H1398" s="2">
        <v>0</v>
      </c>
      <c r="I1398" s="2">
        <v>0</v>
      </c>
      <c r="J1398" s="2">
        <v>1</v>
      </c>
      <c r="K1398" s="2">
        <v>1</v>
      </c>
      <c r="L1398" s="3" t="s">
        <v>80</v>
      </c>
      <c r="O1398" s="4">
        <v>2</v>
      </c>
      <c r="P1398" s="4" t="s">
        <v>112</v>
      </c>
      <c r="Q1398" s="4"/>
      <c r="R1398" s="5"/>
      <c r="S1398" s="6"/>
      <c r="T1398" s="17"/>
      <c r="U1398" s="6"/>
      <c r="V1398" s="4"/>
      <c r="W1398" s="4"/>
      <c r="X1398" s="4"/>
      <c r="Y1398" s="7">
        <v>1</v>
      </c>
      <c r="Z1398" s="8">
        <v>12488612</v>
      </c>
      <c r="AA1398" s="7" t="s">
        <v>92</v>
      </c>
      <c r="AB1398" s="7"/>
      <c r="AC1398" s="9">
        <v>1</v>
      </c>
      <c r="AD1398" s="10">
        <v>12488612</v>
      </c>
      <c r="AE1398" s="9" t="s">
        <v>92</v>
      </c>
      <c r="AF1398" s="9"/>
      <c r="AG1398" s="11">
        <v>2</v>
      </c>
      <c r="AH1398" s="11" t="s">
        <v>93</v>
      </c>
      <c r="AI1398" s="11"/>
      <c r="AJ1398" s="11"/>
      <c r="AK1398" s="11"/>
      <c r="AL1398" s="12">
        <v>2</v>
      </c>
      <c r="AM1398" s="12" t="s">
        <v>93</v>
      </c>
      <c r="AN1398" s="12" t="s">
        <v>394</v>
      </c>
      <c r="AO1398" s="12"/>
      <c r="AP1398" s="12"/>
      <c r="AQ1398" s="4">
        <v>4</v>
      </c>
      <c r="AR1398" s="4" t="s">
        <v>83</v>
      </c>
      <c r="AS1398" s="4" t="s">
        <v>5590</v>
      </c>
      <c r="AT1398" s="13"/>
      <c r="AU1398" s="13"/>
      <c r="AV1398" s="13"/>
      <c r="AW1398" s="13"/>
      <c r="AX1398" s="4"/>
      <c r="AY1398" s="13"/>
      <c r="AZ1398" s="13"/>
      <c r="BA1398" s="13"/>
      <c r="BB1398" s="13"/>
      <c r="BC1398" s="4"/>
      <c r="BD1398" s="4"/>
      <c r="BE1398" s="4"/>
      <c r="BF1398" s="13"/>
      <c r="BG1398" s="4"/>
      <c r="BH1398" s="13"/>
      <c r="BI1398" s="13"/>
      <c r="BJ1398" s="4"/>
      <c r="BK1398" s="14">
        <v>9</v>
      </c>
      <c r="BL1398" s="14">
        <v>9</v>
      </c>
      <c r="BM1398" s="14">
        <v>9</v>
      </c>
      <c r="BP1398" s="15"/>
      <c r="BQ1398" s="15"/>
      <c r="BR1398" s="2" t="s">
        <v>97</v>
      </c>
      <c r="BS1398" s="2" t="s">
        <v>97</v>
      </c>
      <c r="BT1398" s="7" t="s">
        <v>98</v>
      </c>
      <c r="BU1398" s="7"/>
      <c r="BV1398" s="9" t="s">
        <v>98</v>
      </c>
      <c r="BW1398" s="9"/>
    </row>
    <row r="1399" spans="1:75" ht="14.25" customHeight="1" x14ac:dyDescent="0.25">
      <c r="A1399" s="1">
        <v>1148</v>
      </c>
      <c r="B1399" s="1" t="s">
        <v>5591</v>
      </c>
      <c r="C1399" s="1" t="s">
        <v>5592</v>
      </c>
      <c r="D1399" s="1" t="s">
        <v>77</v>
      </c>
      <c r="E1399" s="1" t="s">
        <v>2396</v>
      </c>
      <c r="F1399" s="1" t="s">
        <v>2452</v>
      </c>
      <c r="G1399" s="1"/>
      <c r="H1399" s="2">
        <v>0</v>
      </c>
      <c r="I1399" s="2">
        <v>0</v>
      </c>
      <c r="J1399" s="2">
        <v>0</v>
      </c>
      <c r="K1399" s="2">
        <v>1</v>
      </c>
      <c r="L1399" s="3" t="s">
        <v>80</v>
      </c>
      <c r="O1399" s="4">
        <v>2</v>
      </c>
      <c r="P1399" s="4" t="s">
        <v>81</v>
      </c>
      <c r="Q1399" s="4" t="s">
        <v>5593</v>
      </c>
      <c r="R1399" s="5"/>
      <c r="S1399" s="6"/>
      <c r="T1399" s="17"/>
      <c r="U1399" s="6"/>
      <c r="V1399" s="4"/>
      <c r="W1399" s="4"/>
      <c r="X1399" s="4"/>
      <c r="Y1399" s="7">
        <v>1</v>
      </c>
      <c r="Z1399" s="8">
        <v>6098440</v>
      </c>
      <c r="AA1399" s="7" t="s">
        <v>82</v>
      </c>
      <c r="AB1399" s="7"/>
      <c r="AC1399" s="9">
        <v>1</v>
      </c>
      <c r="AD1399" s="10">
        <v>6098440</v>
      </c>
      <c r="AE1399" s="9" t="s">
        <v>82</v>
      </c>
      <c r="AF1399" s="9"/>
      <c r="AG1399" s="11">
        <v>3</v>
      </c>
      <c r="AH1399" s="11" t="s">
        <v>83</v>
      </c>
      <c r="AI1399" s="11"/>
      <c r="AJ1399" s="11"/>
      <c r="AK1399" s="11"/>
      <c r="AL1399" s="12">
        <v>3</v>
      </c>
      <c r="AM1399" s="12" t="s">
        <v>83</v>
      </c>
      <c r="AN1399" s="12"/>
      <c r="AO1399" s="12"/>
      <c r="AP1399" s="12"/>
      <c r="AQ1399" s="4">
        <v>3</v>
      </c>
      <c r="AR1399" s="4" t="s">
        <v>83</v>
      </c>
      <c r="AS1399" s="4"/>
      <c r="AT1399" s="13"/>
      <c r="AU1399" s="13"/>
      <c r="AV1399" s="13"/>
      <c r="AW1399" s="13"/>
      <c r="AX1399" s="4"/>
      <c r="AY1399" s="13"/>
      <c r="AZ1399" s="13"/>
      <c r="BA1399" s="13"/>
      <c r="BB1399" s="13"/>
      <c r="BC1399" s="4"/>
      <c r="BD1399" s="4"/>
      <c r="BE1399" s="4"/>
      <c r="BF1399" s="13"/>
      <c r="BG1399" s="4"/>
      <c r="BH1399" s="13"/>
      <c r="BI1399" s="13"/>
      <c r="BJ1399" s="4"/>
      <c r="BK1399" s="14">
        <v>9</v>
      </c>
      <c r="BL1399" s="14">
        <v>9</v>
      </c>
      <c r="BM1399" s="14">
        <v>9</v>
      </c>
      <c r="BP1399" s="15"/>
      <c r="BQ1399" s="15"/>
      <c r="BR1399" s="2" t="s">
        <v>97</v>
      </c>
      <c r="BS1399" s="2" t="s">
        <v>97</v>
      </c>
      <c r="BT1399" s="7" t="s">
        <v>98</v>
      </c>
      <c r="BU1399" s="7"/>
      <c r="BV1399" s="9" t="s">
        <v>98</v>
      </c>
      <c r="BW1399" s="9"/>
    </row>
    <row r="1400" spans="1:75" ht="14.25" customHeight="1" x14ac:dyDescent="0.25">
      <c r="A1400" s="1">
        <v>1150</v>
      </c>
      <c r="B1400" s="1" t="s">
        <v>5594</v>
      </c>
      <c r="C1400" s="1" t="s">
        <v>5595</v>
      </c>
      <c r="D1400" s="1" t="s">
        <v>77</v>
      </c>
      <c r="E1400" s="1" t="s">
        <v>2396</v>
      </c>
      <c r="F1400" s="1" t="s">
        <v>2452</v>
      </c>
      <c r="G1400" s="1" t="s">
        <v>118</v>
      </c>
      <c r="H1400" s="2">
        <v>0</v>
      </c>
      <c r="I1400" s="2">
        <v>0</v>
      </c>
      <c r="J1400" s="2">
        <v>1</v>
      </c>
      <c r="K1400" s="2">
        <v>1</v>
      </c>
      <c r="L1400" s="3" t="s">
        <v>80</v>
      </c>
      <c r="O1400" s="4">
        <v>4</v>
      </c>
      <c r="P1400" s="4" t="s">
        <v>101</v>
      </c>
      <c r="Q1400" s="4" t="s">
        <v>5596</v>
      </c>
      <c r="R1400" s="5"/>
      <c r="S1400" s="6"/>
      <c r="T1400" s="17"/>
      <c r="U1400" s="6"/>
      <c r="V1400" s="4"/>
      <c r="W1400" s="4"/>
      <c r="X1400" s="4"/>
      <c r="Y1400" s="7">
        <v>4</v>
      </c>
      <c r="Z1400" s="8">
        <v>257003</v>
      </c>
      <c r="AA1400" s="7" t="s">
        <v>92</v>
      </c>
      <c r="AB1400" s="7"/>
      <c r="AC1400" s="9">
        <v>4</v>
      </c>
      <c r="AD1400" s="10">
        <v>257003</v>
      </c>
      <c r="AE1400" s="9" t="s">
        <v>92</v>
      </c>
      <c r="AF1400" s="9"/>
      <c r="AG1400" s="11">
        <v>3</v>
      </c>
      <c r="AH1400" s="11" t="s">
        <v>93</v>
      </c>
      <c r="AI1400" s="11" t="s">
        <v>5597</v>
      </c>
      <c r="AJ1400" s="11"/>
      <c r="AK1400" s="11"/>
      <c r="AL1400" s="12">
        <v>3</v>
      </c>
      <c r="AM1400" s="12" t="s">
        <v>93</v>
      </c>
      <c r="AN1400" s="12" t="s">
        <v>2440</v>
      </c>
      <c r="AO1400" s="12"/>
      <c r="AP1400" s="12"/>
      <c r="AQ1400" s="4">
        <v>4</v>
      </c>
      <c r="AR1400" s="4" t="s">
        <v>83</v>
      </c>
      <c r="AS1400" s="4"/>
      <c r="AT1400" s="13"/>
      <c r="AU1400" s="13"/>
      <c r="AV1400" s="13"/>
      <c r="AW1400" s="13"/>
      <c r="AX1400" s="4"/>
      <c r="AY1400" s="13"/>
      <c r="AZ1400" s="13"/>
      <c r="BA1400" s="13"/>
      <c r="BB1400" s="13"/>
      <c r="BC1400" s="4"/>
      <c r="BD1400" s="4"/>
      <c r="BE1400" s="4"/>
      <c r="BF1400" s="13"/>
      <c r="BG1400" s="4"/>
      <c r="BH1400" s="13"/>
      <c r="BI1400" s="13"/>
      <c r="BJ1400" s="4"/>
      <c r="BK1400" s="14">
        <v>15</v>
      </c>
      <c r="BL1400" s="14">
        <v>15</v>
      </c>
      <c r="BM1400" s="14">
        <v>15</v>
      </c>
      <c r="BN1400" s="3" t="s">
        <v>86</v>
      </c>
      <c r="BP1400" s="15"/>
      <c r="BQ1400" s="15"/>
      <c r="BR1400" s="2" t="s">
        <v>400</v>
      </c>
      <c r="BS1400" s="2" t="s">
        <v>400</v>
      </c>
      <c r="BT1400" s="7" t="s">
        <v>98</v>
      </c>
      <c r="BU1400" s="7"/>
      <c r="BV1400" s="9" t="s">
        <v>98</v>
      </c>
      <c r="BW1400" s="9"/>
    </row>
    <row r="1401" spans="1:75" ht="14.25" customHeight="1" x14ac:dyDescent="0.25">
      <c r="A1401" s="1">
        <v>1151</v>
      </c>
      <c r="B1401" s="1" t="s">
        <v>5598</v>
      </c>
      <c r="C1401" s="1" t="s">
        <v>5599</v>
      </c>
      <c r="D1401" s="1" t="s">
        <v>77</v>
      </c>
      <c r="E1401" s="1" t="s">
        <v>2396</v>
      </c>
      <c r="F1401" s="1" t="s">
        <v>2452</v>
      </c>
      <c r="G1401" s="1"/>
      <c r="H1401" s="2">
        <v>0</v>
      </c>
      <c r="I1401" s="2">
        <v>0</v>
      </c>
      <c r="J1401" s="2">
        <v>0</v>
      </c>
      <c r="K1401" s="2">
        <v>1</v>
      </c>
      <c r="L1401" s="3" t="s">
        <v>80</v>
      </c>
      <c r="O1401" s="4">
        <v>3</v>
      </c>
      <c r="P1401" s="4" t="s">
        <v>81</v>
      </c>
      <c r="Q1401" s="4"/>
      <c r="R1401" s="5"/>
      <c r="S1401" s="6"/>
      <c r="T1401" s="17"/>
      <c r="U1401" s="6"/>
      <c r="V1401" s="4"/>
      <c r="W1401" s="4"/>
      <c r="X1401" s="4"/>
      <c r="Y1401" s="7">
        <v>4</v>
      </c>
      <c r="Z1401" s="8">
        <v>282186</v>
      </c>
      <c r="AA1401" s="7" t="s">
        <v>82</v>
      </c>
      <c r="AB1401" s="7"/>
      <c r="AC1401" s="9">
        <v>4</v>
      </c>
      <c r="AD1401" s="10">
        <v>282186</v>
      </c>
      <c r="AE1401" s="9" t="s">
        <v>82</v>
      </c>
      <c r="AF1401" s="9"/>
      <c r="AG1401" s="11">
        <v>3</v>
      </c>
      <c r="AH1401" s="11" t="s">
        <v>83</v>
      </c>
      <c r="AI1401" s="11"/>
      <c r="AJ1401" s="11"/>
      <c r="AK1401" s="11"/>
      <c r="AL1401" s="12">
        <v>3</v>
      </c>
      <c r="AM1401" s="12" t="s">
        <v>83</v>
      </c>
      <c r="AN1401" s="12"/>
      <c r="AO1401" s="12"/>
      <c r="AP1401" s="12"/>
      <c r="AQ1401" s="4">
        <v>3</v>
      </c>
      <c r="AR1401" s="4" t="s">
        <v>83</v>
      </c>
      <c r="AS1401" s="4"/>
      <c r="AT1401" s="13"/>
      <c r="AU1401" s="13"/>
      <c r="AV1401" s="13"/>
      <c r="AW1401" s="13"/>
      <c r="AX1401" s="4"/>
      <c r="AY1401" s="13"/>
      <c r="AZ1401" s="13"/>
      <c r="BA1401" s="13"/>
      <c r="BB1401" s="13"/>
      <c r="BC1401" s="4"/>
      <c r="BD1401" s="4"/>
      <c r="BE1401" s="4"/>
      <c r="BF1401" s="13"/>
      <c r="BG1401" s="4"/>
      <c r="BH1401" s="13"/>
      <c r="BI1401" s="13"/>
      <c r="BJ1401" s="4"/>
      <c r="BK1401" s="14">
        <v>13</v>
      </c>
      <c r="BL1401" s="14">
        <v>13</v>
      </c>
      <c r="BM1401" s="14">
        <v>13</v>
      </c>
      <c r="BP1401" s="15"/>
      <c r="BQ1401" s="15"/>
      <c r="BR1401" s="2" t="s">
        <v>121</v>
      </c>
      <c r="BS1401" s="2" t="s">
        <v>121</v>
      </c>
      <c r="BT1401" s="7" t="s">
        <v>98</v>
      </c>
      <c r="BU1401" s="7"/>
      <c r="BV1401" s="9" t="s">
        <v>98</v>
      </c>
      <c r="BW1401" s="9"/>
    </row>
    <row r="1402" spans="1:75" ht="14.25" customHeight="1" x14ac:dyDescent="0.25">
      <c r="A1402" s="1">
        <v>1152</v>
      </c>
      <c r="B1402" s="1" t="s">
        <v>5600</v>
      </c>
      <c r="C1402" s="1" t="s">
        <v>5601</v>
      </c>
      <c r="D1402" s="1" t="s">
        <v>77</v>
      </c>
      <c r="E1402" s="1" t="s">
        <v>2396</v>
      </c>
      <c r="F1402" s="1" t="s">
        <v>2452</v>
      </c>
      <c r="G1402" s="1"/>
      <c r="H1402" s="2">
        <v>0</v>
      </c>
      <c r="I1402" s="2">
        <v>1</v>
      </c>
      <c r="J1402" s="2">
        <v>1</v>
      </c>
      <c r="K1402" s="2">
        <v>1</v>
      </c>
      <c r="L1402" s="3" t="s">
        <v>127</v>
      </c>
      <c r="O1402" s="4">
        <v>3</v>
      </c>
      <c r="P1402" s="4" t="s">
        <v>753</v>
      </c>
      <c r="Q1402" s="4" t="s">
        <v>5602</v>
      </c>
      <c r="R1402" s="16">
        <v>2000000</v>
      </c>
      <c r="S1402" s="6">
        <v>2000000</v>
      </c>
      <c r="T1402" s="17" t="s">
        <v>707</v>
      </c>
      <c r="U1402" s="6">
        <v>10000</v>
      </c>
      <c r="V1402" s="4"/>
      <c r="W1402" s="4" t="s">
        <v>543</v>
      </c>
      <c r="X1402" s="4"/>
      <c r="Y1402" s="7">
        <v>2</v>
      </c>
      <c r="Z1402" s="8">
        <v>1452715</v>
      </c>
      <c r="AA1402" s="7" t="s">
        <v>92</v>
      </c>
      <c r="AB1402" s="7"/>
      <c r="AC1402" s="9">
        <v>2</v>
      </c>
      <c r="AD1402" s="10">
        <v>1334055</v>
      </c>
      <c r="AE1402" s="9" t="s">
        <v>92</v>
      </c>
      <c r="AF1402" s="9"/>
      <c r="AG1402" s="11">
        <v>2</v>
      </c>
      <c r="AH1402" s="11" t="s">
        <v>131</v>
      </c>
      <c r="AI1402" s="11" t="s">
        <v>5603</v>
      </c>
      <c r="AJ1402" s="11">
        <v>2</v>
      </c>
      <c r="AK1402" s="11" t="s">
        <v>143</v>
      </c>
      <c r="AL1402" s="12">
        <v>2</v>
      </c>
      <c r="AM1402" s="12" t="s">
        <v>131</v>
      </c>
      <c r="AN1402" s="12" t="s">
        <v>394</v>
      </c>
      <c r="AO1402" s="12">
        <v>2</v>
      </c>
      <c r="AP1402" s="12" t="s">
        <v>132</v>
      </c>
      <c r="AQ1402" s="4">
        <v>3</v>
      </c>
      <c r="AR1402" s="4" t="s">
        <v>673</v>
      </c>
      <c r="AS1402" s="4" t="s">
        <v>5604</v>
      </c>
      <c r="AT1402" s="13"/>
      <c r="AU1402" s="13"/>
      <c r="AV1402" s="13"/>
      <c r="AW1402" s="13"/>
      <c r="AX1402" s="4"/>
      <c r="AY1402" s="13"/>
      <c r="AZ1402" s="13"/>
      <c r="BA1402" s="13"/>
      <c r="BB1402" s="13"/>
      <c r="BC1402" s="4"/>
      <c r="BD1402" s="4"/>
      <c r="BE1402" s="4"/>
      <c r="BF1402" s="13"/>
      <c r="BG1402" s="4"/>
      <c r="BH1402" s="13"/>
      <c r="BI1402" s="13"/>
      <c r="BJ1402" s="4"/>
      <c r="BK1402" s="14">
        <v>10</v>
      </c>
      <c r="BL1402" s="14">
        <v>10</v>
      </c>
      <c r="BM1402" s="14">
        <v>10</v>
      </c>
      <c r="BP1402" s="15"/>
      <c r="BQ1402" s="15"/>
      <c r="BR1402" s="2" t="s">
        <v>400</v>
      </c>
      <c r="BS1402" s="2" t="s">
        <v>400</v>
      </c>
      <c r="BT1402" s="7" t="s">
        <v>109</v>
      </c>
      <c r="BU1402" s="7" t="s">
        <v>487</v>
      </c>
      <c r="BV1402" s="9" t="s">
        <v>109</v>
      </c>
      <c r="BW1402" s="9" t="s">
        <v>475</v>
      </c>
    </row>
    <row r="1403" spans="1:75" ht="14.25" customHeight="1" x14ac:dyDescent="0.25">
      <c r="A1403" s="1">
        <v>1153</v>
      </c>
      <c r="B1403" s="1" t="s">
        <v>5605</v>
      </c>
      <c r="C1403" s="1" t="s">
        <v>5606</v>
      </c>
      <c r="D1403" s="1" t="s">
        <v>77</v>
      </c>
      <c r="E1403" s="1" t="s">
        <v>2396</v>
      </c>
      <c r="F1403" s="1" t="s">
        <v>2452</v>
      </c>
      <c r="G1403" s="1"/>
      <c r="H1403" s="2">
        <v>0</v>
      </c>
      <c r="I1403" s="2">
        <v>0</v>
      </c>
      <c r="J1403" s="2">
        <v>0</v>
      </c>
      <c r="K1403" s="2">
        <v>1</v>
      </c>
      <c r="L1403" s="3" t="s">
        <v>127</v>
      </c>
      <c r="O1403" s="4">
        <v>1</v>
      </c>
      <c r="P1403" s="4" t="s">
        <v>81</v>
      </c>
      <c r="Q1403" s="4"/>
      <c r="R1403" s="5"/>
      <c r="S1403" s="6"/>
      <c r="T1403" s="17"/>
      <c r="U1403" s="6"/>
      <c r="V1403" s="4"/>
      <c r="W1403" s="4"/>
      <c r="X1403" s="4"/>
      <c r="Y1403" s="7">
        <v>1</v>
      </c>
      <c r="Z1403" s="8">
        <v>14466343</v>
      </c>
      <c r="AA1403" s="7" t="s">
        <v>82</v>
      </c>
      <c r="AB1403" s="7"/>
      <c r="AC1403" s="9">
        <v>1</v>
      </c>
      <c r="AD1403" s="10">
        <v>14466343</v>
      </c>
      <c r="AE1403" s="9" t="s">
        <v>82</v>
      </c>
      <c r="AF1403" s="9"/>
      <c r="AG1403" s="11">
        <v>2</v>
      </c>
      <c r="AH1403" s="11" t="s">
        <v>83</v>
      </c>
      <c r="AI1403" s="11"/>
      <c r="AJ1403" s="11"/>
      <c r="AK1403" s="11"/>
      <c r="AL1403" s="12">
        <v>2</v>
      </c>
      <c r="AM1403" s="12" t="s">
        <v>83</v>
      </c>
      <c r="AN1403" s="12"/>
      <c r="AO1403" s="12"/>
      <c r="AP1403" s="12"/>
      <c r="AQ1403" s="4">
        <v>2</v>
      </c>
      <c r="AR1403" s="4" t="s">
        <v>83</v>
      </c>
      <c r="AS1403" s="4"/>
      <c r="AT1403" s="13"/>
      <c r="AU1403" s="13"/>
      <c r="AV1403" s="13"/>
      <c r="AW1403" s="13"/>
      <c r="AX1403" s="4"/>
      <c r="AY1403" s="13"/>
      <c r="AZ1403" s="13"/>
      <c r="BA1403" s="13"/>
      <c r="BB1403" s="13"/>
      <c r="BC1403" s="4"/>
      <c r="BD1403" s="4"/>
      <c r="BE1403" s="4"/>
      <c r="BF1403" s="13"/>
      <c r="BG1403" s="4"/>
      <c r="BH1403" s="13"/>
      <c r="BI1403" s="13"/>
      <c r="BJ1403" s="4"/>
      <c r="BK1403" s="14">
        <v>6</v>
      </c>
      <c r="BL1403" s="14">
        <v>6</v>
      </c>
      <c r="BM1403" s="14">
        <v>6</v>
      </c>
      <c r="BP1403" s="15"/>
      <c r="BQ1403" s="15"/>
      <c r="BR1403" s="2" t="s">
        <v>740</v>
      </c>
      <c r="BS1403" s="2" t="s">
        <v>740</v>
      </c>
      <c r="BT1403" s="7" t="s">
        <v>98</v>
      </c>
      <c r="BU1403" s="7"/>
      <c r="BV1403" s="9" t="s">
        <v>98</v>
      </c>
      <c r="BW1403" s="9"/>
    </row>
    <row r="1404" spans="1:75" ht="14.25" customHeight="1" x14ac:dyDescent="0.25">
      <c r="A1404" s="1">
        <v>1154</v>
      </c>
      <c r="B1404" s="1" t="s">
        <v>5607</v>
      </c>
      <c r="C1404" s="1" t="s">
        <v>5608</v>
      </c>
      <c r="D1404" s="1" t="s">
        <v>77</v>
      </c>
      <c r="E1404" s="1" t="s">
        <v>2396</v>
      </c>
      <c r="F1404" s="1" t="s">
        <v>2452</v>
      </c>
      <c r="G1404" s="1" t="s">
        <v>118</v>
      </c>
      <c r="H1404" s="2">
        <v>0</v>
      </c>
      <c r="I1404" s="2">
        <v>0</v>
      </c>
      <c r="J1404" s="2">
        <v>0</v>
      </c>
      <c r="K1404" s="2">
        <v>1</v>
      </c>
      <c r="L1404" s="3" t="s">
        <v>80</v>
      </c>
      <c r="O1404" s="4">
        <v>5</v>
      </c>
      <c r="P1404" s="4" t="s">
        <v>81</v>
      </c>
      <c r="Q1404" s="4"/>
      <c r="R1404" s="5"/>
      <c r="S1404" s="6"/>
      <c r="T1404" s="17"/>
      <c r="U1404" s="6"/>
      <c r="V1404" s="4"/>
      <c r="W1404" s="4"/>
      <c r="X1404" s="4"/>
      <c r="Y1404" s="7">
        <v>5</v>
      </c>
      <c r="Z1404" s="8">
        <v>24</v>
      </c>
      <c r="AA1404" s="7" t="s">
        <v>82</v>
      </c>
      <c r="AB1404" s="7"/>
      <c r="AC1404" s="9">
        <v>5</v>
      </c>
      <c r="AD1404" s="10">
        <v>24</v>
      </c>
      <c r="AE1404" s="9" t="s">
        <v>82</v>
      </c>
      <c r="AF1404" s="9"/>
      <c r="AG1404" s="11">
        <v>3</v>
      </c>
      <c r="AH1404" s="11" t="s">
        <v>83</v>
      </c>
      <c r="AI1404" s="11"/>
      <c r="AJ1404" s="11"/>
      <c r="AK1404" s="11"/>
      <c r="AL1404" s="12">
        <v>3</v>
      </c>
      <c r="AM1404" s="12" t="s">
        <v>83</v>
      </c>
      <c r="AN1404" s="12"/>
      <c r="AO1404" s="12"/>
      <c r="AP1404" s="12"/>
      <c r="AQ1404" s="4">
        <v>2</v>
      </c>
      <c r="AR1404" s="4" t="s">
        <v>83</v>
      </c>
      <c r="AS1404" s="4"/>
      <c r="AT1404" s="13"/>
      <c r="AU1404" s="13"/>
      <c r="AV1404" s="13"/>
      <c r="AW1404" s="13"/>
      <c r="AX1404" s="4"/>
      <c r="AY1404" s="13"/>
      <c r="AZ1404" s="13"/>
      <c r="BA1404" s="13"/>
      <c r="BB1404" s="13"/>
      <c r="BC1404" s="4"/>
      <c r="BD1404" s="4"/>
      <c r="BE1404" s="4"/>
      <c r="BF1404" s="13"/>
      <c r="BG1404" s="4"/>
      <c r="BH1404" s="13"/>
      <c r="BI1404" s="13"/>
      <c r="BJ1404" s="4"/>
      <c r="BK1404" s="14">
        <v>15</v>
      </c>
      <c r="BL1404" s="14">
        <v>15</v>
      </c>
      <c r="BM1404" s="14">
        <v>15</v>
      </c>
      <c r="BN1404" s="3" t="s">
        <v>86</v>
      </c>
      <c r="BO1404" s="3" t="s">
        <v>114</v>
      </c>
      <c r="BP1404" s="15"/>
      <c r="BQ1404" s="15"/>
      <c r="BR1404" s="2" t="s">
        <v>108</v>
      </c>
      <c r="BS1404" s="2" t="s">
        <v>108</v>
      </c>
      <c r="BT1404" s="7" t="s">
        <v>760</v>
      </c>
      <c r="BU1404" s="7"/>
      <c r="BV1404" s="9" t="s">
        <v>760</v>
      </c>
      <c r="BW1404" s="9"/>
    </row>
    <row r="1405" spans="1:75" ht="14.25" customHeight="1" x14ac:dyDescent="0.25">
      <c r="A1405" s="1">
        <v>1155</v>
      </c>
      <c r="B1405" s="1" t="s">
        <v>5609</v>
      </c>
      <c r="C1405" s="1" t="s">
        <v>5610</v>
      </c>
      <c r="D1405" s="1" t="s">
        <v>77</v>
      </c>
      <c r="E1405" s="1" t="s">
        <v>2396</v>
      </c>
      <c r="F1405" s="1" t="s">
        <v>2452</v>
      </c>
      <c r="G1405" s="1" t="s">
        <v>5611</v>
      </c>
      <c r="H1405" s="2">
        <v>0</v>
      </c>
      <c r="I1405" s="2">
        <v>0</v>
      </c>
      <c r="J1405" s="2">
        <v>0</v>
      </c>
      <c r="K1405" s="2">
        <v>1</v>
      </c>
      <c r="L1405" s="3" t="s">
        <v>80</v>
      </c>
      <c r="O1405" s="4">
        <v>2</v>
      </c>
      <c r="P1405" s="4" t="s">
        <v>81</v>
      </c>
      <c r="Q1405" s="4"/>
      <c r="R1405" s="5"/>
      <c r="S1405" s="6"/>
      <c r="T1405" s="17"/>
      <c r="U1405" s="6"/>
      <c r="V1405" s="4"/>
      <c r="W1405" s="4"/>
      <c r="X1405" s="4"/>
      <c r="Y1405" s="7">
        <v>1</v>
      </c>
      <c r="Z1405" s="8">
        <v>10980139</v>
      </c>
      <c r="AA1405" s="7" t="s">
        <v>82</v>
      </c>
      <c r="AB1405" s="7"/>
      <c r="AC1405" s="9">
        <v>1</v>
      </c>
      <c r="AD1405" s="10">
        <v>10980139</v>
      </c>
      <c r="AE1405" s="9" t="s">
        <v>82</v>
      </c>
      <c r="AF1405" s="9"/>
      <c r="AG1405" s="11">
        <v>2</v>
      </c>
      <c r="AH1405" s="11" t="s">
        <v>83</v>
      </c>
      <c r="AI1405" s="11"/>
      <c r="AJ1405" s="11"/>
      <c r="AK1405" s="11"/>
      <c r="AL1405" s="12">
        <v>2</v>
      </c>
      <c r="AM1405" s="12" t="s">
        <v>83</v>
      </c>
      <c r="AN1405" s="12"/>
      <c r="AO1405" s="12"/>
      <c r="AP1405" s="12"/>
      <c r="AQ1405" s="4">
        <v>2</v>
      </c>
      <c r="AR1405" s="4" t="s">
        <v>83</v>
      </c>
      <c r="AS1405" s="4"/>
      <c r="AT1405" s="13"/>
      <c r="AU1405" s="13"/>
      <c r="AV1405" s="13"/>
      <c r="AW1405" s="13"/>
      <c r="AX1405" s="4"/>
      <c r="AY1405" s="13"/>
      <c r="AZ1405" s="13"/>
      <c r="BA1405" s="13"/>
      <c r="BB1405" s="13"/>
      <c r="BC1405" s="4"/>
      <c r="BD1405" s="4"/>
      <c r="BE1405" s="4"/>
      <c r="BF1405" s="13"/>
      <c r="BG1405" s="4"/>
      <c r="BH1405" s="13"/>
      <c r="BI1405" s="13"/>
      <c r="BJ1405" s="4"/>
      <c r="BK1405" s="14">
        <v>7</v>
      </c>
      <c r="BL1405" s="14">
        <v>7</v>
      </c>
      <c r="BM1405" s="14">
        <v>7</v>
      </c>
      <c r="BP1405" s="15"/>
      <c r="BQ1405" s="15"/>
      <c r="BR1405" s="2" t="s">
        <v>97</v>
      </c>
      <c r="BS1405" s="2" t="s">
        <v>97</v>
      </c>
      <c r="BT1405" s="7" t="s">
        <v>679</v>
      </c>
      <c r="BU1405" s="7"/>
      <c r="BV1405" s="9" t="s">
        <v>679</v>
      </c>
      <c r="BW1405" s="9"/>
    </row>
    <row r="1406" spans="1:75" ht="14.25" customHeight="1" x14ac:dyDescent="0.25">
      <c r="A1406" s="1">
        <v>1156</v>
      </c>
      <c r="B1406" s="1" t="s">
        <v>5612</v>
      </c>
      <c r="C1406" s="1" t="s">
        <v>5613</v>
      </c>
      <c r="D1406" s="1" t="s">
        <v>77</v>
      </c>
      <c r="E1406" s="1" t="s">
        <v>2396</v>
      </c>
      <c r="F1406" s="1" t="s">
        <v>2452</v>
      </c>
      <c r="G1406" s="1"/>
      <c r="H1406" s="2">
        <v>0</v>
      </c>
      <c r="I1406" s="2">
        <v>0</v>
      </c>
      <c r="J1406" s="2">
        <v>0</v>
      </c>
      <c r="K1406" s="2">
        <v>1</v>
      </c>
      <c r="L1406" s="3" t="s">
        <v>80</v>
      </c>
      <c r="O1406" s="4">
        <v>2</v>
      </c>
      <c r="P1406" s="4" t="s">
        <v>81</v>
      </c>
      <c r="Q1406" s="4"/>
      <c r="R1406" s="5"/>
      <c r="S1406" s="6"/>
      <c r="T1406" s="17"/>
      <c r="U1406" s="6"/>
      <c r="V1406" s="4"/>
      <c r="W1406" s="4"/>
      <c r="X1406" s="4"/>
      <c r="Y1406" s="7">
        <v>1</v>
      </c>
      <c r="Z1406" s="8">
        <v>5524315</v>
      </c>
      <c r="AA1406" s="7" t="s">
        <v>82</v>
      </c>
      <c r="AB1406" s="7"/>
      <c r="AC1406" s="9">
        <v>1</v>
      </c>
      <c r="AD1406" s="10">
        <v>5524315</v>
      </c>
      <c r="AE1406" s="9" t="s">
        <v>82</v>
      </c>
      <c r="AF1406" s="9"/>
      <c r="AG1406" s="11">
        <v>2</v>
      </c>
      <c r="AH1406" s="11" t="s">
        <v>83</v>
      </c>
      <c r="AI1406" s="11"/>
      <c r="AJ1406" s="11"/>
      <c r="AK1406" s="11"/>
      <c r="AL1406" s="12">
        <v>2</v>
      </c>
      <c r="AM1406" s="12" t="s">
        <v>83</v>
      </c>
      <c r="AN1406" s="12"/>
      <c r="AO1406" s="12"/>
      <c r="AP1406" s="12"/>
      <c r="AQ1406" s="4">
        <v>3</v>
      </c>
      <c r="AR1406" s="4" t="s">
        <v>83</v>
      </c>
      <c r="AS1406" s="4"/>
      <c r="AT1406" s="13"/>
      <c r="AU1406" s="13"/>
      <c r="AV1406" s="13"/>
      <c r="AW1406" s="13"/>
      <c r="AX1406" s="4"/>
      <c r="AY1406" s="13"/>
      <c r="AZ1406" s="13"/>
      <c r="BA1406" s="13"/>
      <c r="BB1406" s="13"/>
      <c r="BC1406" s="4"/>
      <c r="BD1406" s="4"/>
      <c r="BE1406" s="4"/>
      <c r="BF1406" s="13"/>
      <c r="BG1406" s="4"/>
      <c r="BH1406" s="13"/>
      <c r="BI1406" s="13"/>
      <c r="BJ1406" s="4"/>
      <c r="BK1406" s="14">
        <v>8</v>
      </c>
      <c r="BL1406" s="14">
        <v>8</v>
      </c>
      <c r="BM1406" s="14">
        <v>8</v>
      </c>
      <c r="BP1406" s="15"/>
      <c r="BQ1406" s="15"/>
      <c r="BR1406" s="2" t="s">
        <v>97</v>
      </c>
      <c r="BS1406" s="2" t="s">
        <v>97</v>
      </c>
      <c r="BT1406" s="7" t="s">
        <v>458</v>
      </c>
      <c r="BU1406" s="7"/>
      <c r="BV1406" s="9" t="s">
        <v>458</v>
      </c>
      <c r="BW1406" s="9"/>
    </row>
    <row r="1407" spans="1:75" ht="14.25" customHeight="1" x14ac:dyDescent="0.25">
      <c r="A1407" s="1">
        <v>1157</v>
      </c>
      <c r="B1407" s="1" t="s">
        <v>5614</v>
      </c>
      <c r="C1407" s="1" t="s">
        <v>5615</v>
      </c>
      <c r="D1407" s="1" t="s">
        <v>77</v>
      </c>
      <c r="E1407" s="1" t="s">
        <v>2396</v>
      </c>
      <c r="F1407" s="1" t="s">
        <v>2452</v>
      </c>
      <c r="G1407" s="1" t="s">
        <v>118</v>
      </c>
      <c r="H1407" s="2">
        <v>0</v>
      </c>
      <c r="I1407" s="2">
        <v>0</v>
      </c>
      <c r="J1407" s="2">
        <v>0</v>
      </c>
      <c r="K1407" s="2">
        <v>1</v>
      </c>
      <c r="L1407" s="3" t="s">
        <v>80</v>
      </c>
      <c r="O1407" s="4">
        <v>1</v>
      </c>
      <c r="P1407" s="4" t="s">
        <v>81</v>
      </c>
      <c r="Q1407" s="4"/>
      <c r="R1407" s="5"/>
      <c r="S1407" s="6"/>
      <c r="T1407" s="17"/>
      <c r="U1407" s="6"/>
      <c r="V1407" s="4"/>
      <c r="W1407" s="4"/>
      <c r="X1407" s="4"/>
      <c r="Y1407" s="7">
        <v>1</v>
      </c>
      <c r="Z1407" s="8">
        <v>6424790</v>
      </c>
      <c r="AA1407" s="7" t="s">
        <v>82</v>
      </c>
      <c r="AB1407" s="7"/>
      <c r="AC1407" s="9">
        <v>1</v>
      </c>
      <c r="AD1407" s="10">
        <v>6424790</v>
      </c>
      <c r="AE1407" s="9" t="s">
        <v>82</v>
      </c>
      <c r="AF1407" s="9"/>
      <c r="AG1407" s="11">
        <v>2</v>
      </c>
      <c r="AH1407" s="11" t="s">
        <v>83</v>
      </c>
      <c r="AI1407" s="11"/>
      <c r="AJ1407" s="11"/>
      <c r="AK1407" s="11"/>
      <c r="AL1407" s="12">
        <v>2</v>
      </c>
      <c r="AM1407" s="12" t="s">
        <v>83</v>
      </c>
      <c r="AN1407" s="12"/>
      <c r="AO1407" s="12"/>
      <c r="AP1407" s="12"/>
      <c r="AQ1407" s="4">
        <v>2</v>
      </c>
      <c r="AR1407" s="4" t="s">
        <v>83</v>
      </c>
      <c r="AS1407" s="4"/>
      <c r="AT1407" s="13"/>
      <c r="AU1407" s="13"/>
      <c r="AV1407" s="13"/>
      <c r="AW1407" s="13"/>
      <c r="AX1407" s="4"/>
      <c r="AY1407" s="13"/>
      <c r="AZ1407" s="13"/>
      <c r="BA1407" s="13"/>
      <c r="BB1407" s="13"/>
      <c r="BC1407" s="4"/>
      <c r="BD1407" s="4"/>
      <c r="BE1407" s="4"/>
      <c r="BF1407" s="13"/>
      <c r="BG1407" s="4"/>
      <c r="BH1407" s="13"/>
      <c r="BI1407" s="13"/>
      <c r="BJ1407" s="4"/>
      <c r="BK1407" s="14">
        <v>6</v>
      </c>
      <c r="BL1407" s="14">
        <v>6</v>
      </c>
      <c r="BM1407" s="14">
        <v>6</v>
      </c>
      <c r="BP1407" s="15"/>
      <c r="BQ1407" s="15"/>
      <c r="BR1407" s="2" t="s">
        <v>97</v>
      </c>
      <c r="BS1407" s="2" t="s">
        <v>97</v>
      </c>
      <c r="BT1407" s="7" t="s">
        <v>98</v>
      </c>
      <c r="BU1407" s="7"/>
      <c r="BV1407" s="9" t="s">
        <v>98</v>
      </c>
      <c r="BW1407" s="9"/>
    </row>
    <row r="1408" spans="1:75" ht="14.25" customHeight="1" x14ac:dyDescent="0.25">
      <c r="A1408" s="1">
        <v>1158</v>
      </c>
      <c r="B1408" s="1" t="s">
        <v>5616</v>
      </c>
      <c r="C1408" s="1" t="s">
        <v>5617</v>
      </c>
      <c r="D1408" s="1" t="s">
        <v>77</v>
      </c>
      <c r="E1408" s="1" t="s">
        <v>2396</v>
      </c>
      <c r="F1408" s="1" t="s">
        <v>2452</v>
      </c>
      <c r="G1408" s="1"/>
      <c r="H1408" s="2">
        <v>0</v>
      </c>
      <c r="I1408" s="2">
        <v>0</v>
      </c>
      <c r="J1408" s="2">
        <v>0</v>
      </c>
      <c r="K1408" s="2">
        <v>1</v>
      </c>
      <c r="L1408" s="3" t="s">
        <v>80</v>
      </c>
      <c r="O1408" s="4">
        <v>2</v>
      </c>
      <c r="P1408" s="4" t="s">
        <v>81</v>
      </c>
      <c r="Q1408" s="4"/>
      <c r="R1408" s="5"/>
      <c r="S1408" s="6"/>
      <c r="T1408" s="17"/>
      <c r="U1408" s="6"/>
      <c r="V1408" s="4"/>
      <c r="W1408" s="4"/>
      <c r="X1408" s="4"/>
      <c r="Y1408" s="7">
        <v>1</v>
      </c>
      <c r="Z1408" s="8">
        <v>8680521</v>
      </c>
      <c r="AA1408" s="7" t="s">
        <v>82</v>
      </c>
      <c r="AB1408" s="7"/>
      <c r="AC1408" s="9">
        <v>1</v>
      </c>
      <c r="AD1408" s="10">
        <v>8680521</v>
      </c>
      <c r="AE1408" s="9" t="s">
        <v>82</v>
      </c>
      <c r="AF1408" s="9"/>
      <c r="AG1408" s="11">
        <v>3</v>
      </c>
      <c r="AH1408" s="11" t="s">
        <v>83</v>
      </c>
      <c r="AI1408" s="11"/>
      <c r="AJ1408" s="11"/>
      <c r="AK1408" s="11"/>
      <c r="AL1408" s="12">
        <v>3</v>
      </c>
      <c r="AM1408" s="12" t="s">
        <v>83</v>
      </c>
      <c r="AN1408" s="12"/>
      <c r="AO1408" s="12"/>
      <c r="AP1408" s="12"/>
      <c r="AQ1408" s="4">
        <v>3</v>
      </c>
      <c r="AR1408" s="4" t="s">
        <v>83</v>
      </c>
      <c r="AS1408" s="4"/>
      <c r="AT1408" s="13"/>
      <c r="AU1408" s="13"/>
      <c r="AV1408" s="13"/>
      <c r="AW1408" s="13"/>
      <c r="AX1408" s="4"/>
      <c r="AY1408" s="13"/>
      <c r="AZ1408" s="13"/>
      <c r="BA1408" s="13"/>
      <c r="BB1408" s="13"/>
      <c r="BC1408" s="4"/>
      <c r="BD1408" s="4"/>
      <c r="BE1408" s="4"/>
      <c r="BF1408" s="13"/>
      <c r="BG1408" s="4"/>
      <c r="BH1408" s="13"/>
      <c r="BI1408" s="13"/>
      <c r="BJ1408" s="4"/>
      <c r="BK1408" s="14">
        <v>9</v>
      </c>
      <c r="BL1408" s="14">
        <v>9</v>
      </c>
      <c r="BM1408" s="14">
        <v>9</v>
      </c>
      <c r="BP1408" s="15"/>
      <c r="BQ1408" s="15"/>
      <c r="BR1408" s="2" t="s">
        <v>740</v>
      </c>
      <c r="BS1408" s="2" t="s">
        <v>740</v>
      </c>
      <c r="BT1408" s="7" t="s">
        <v>98</v>
      </c>
      <c r="BU1408" s="7"/>
      <c r="BV1408" s="9" t="s">
        <v>98</v>
      </c>
      <c r="BW1408" s="9"/>
    </row>
    <row r="1409" spans="1:75" ht="14.25" customHeight="1" x14ac:dyDescent="0.25">
      <c r="A1409" s="1">
        <v>1159</v>
      </c>
      <c r="B1409" s="1" t="s">
        <v>5618</v>
      </c>
      <c r="C1409" s="1" t="s">
        <v>5619</v>
      </c>
      <c r="D1409" s="1" t="s">
        <v>77</v>
      </c>
      <c r="E1409" s="1" t="s">
        <v>2396</v>
      </c>
      <c r="F1409" s="1" t="s">
        <v>2452</v>
      </c>
      <c r="G1409" s="1"/>
      <c r="H1409" s="2">
        <v>0</v>
      </c>
      <c r="I1409" s="2">
        <v>0</v>
      </c>
      <c r="J1409" s="2">
        <v>0</v>
      </c>
      <c r="K1409" s="2">
        <v>1</v>
      </c>
      <c r="L1409" s="3" t="s">
        <v>80</v>
      </c>
      <c r="O1409" s="4">
        <v>3</v>
      </c>
      <c r="P1409" s="4" t="s">
        <v>81</v>
      </c>
      <c r="Q1409" s="4"/>
      <c r="R1409" s="5"/>
      <c r="S1409" s="6"/>
      <c r="T1409" s="17"/>
      <c r="U1409" s="6"/>
      <c r="V1409" s="4"/>
      <c r="W1409" s="4"/>
      <c r="X1409" s="4"/>
      <c r="Y1409" s="7">
        <v>1</v>
      </c>
      <c r="Z1409" s="8">
        <v>7081030</v>
      </c>
      <c r="AA1409" s="7" t="s">
        <v>82</v>
      </c>
      <c r="AB1409" s="7"/>
      <c r="AC1409" s="9">
        <v>1</v>
      </c>
      <c r="AD1409" s="10">
        <v>7081030</v>
      </c>
      <c r="AE1409" s="9" t="s">
        <v>82</v>
      </c>
      <c r="AF1409" s="9"/>
      <c r="AG1409" s="11">
        <v>4</v>
      </c>
      <c r="AH1409" s="11" t="s">
        <v>83</v>
      </c>
      <c r="AI1409" s="11"/>
      <c r="AJ1409" s="11"/>
      <c r="AK1409" s="11"/>
      <c r="AL1409" s="12">
        <v>4</v>
      </c>
      <c r="AM1409" s="12" t="s">
        <v>83</v>
      </c>
      <c r="AN1409" s="12"/>
      <c r="AO1409" s="12"/>
      <c r="AP1409" s="12"/>
      <c r="AQ1409" s="4">
        <v>4</v>
      </c>
      <c r="AR1409" s="4" t="s">
        <v>83</v>
      </c>
      <c r="AS1409" s="4"/>
      <c r="AT1409" s="13"/>
      <c r="AU1409" s="13"/>
      <c r="AV1409" s="13"/>
      <c r="AW1409" s="13"/>
      <c r="AX1409" s="4"/>
      <c r="AY1409" s="13"/>
      <c r="AZ1409" s="13"/>
      <c r="BA1409" s="13"/>
      <c r="BB1409" s="13"/>
      <c r="BC1409" s="4"/>
      <c r="BD1409" s="4"/>
      <c r="BE1409" s="4"/>
      <c r="BF1409" s="13"/>
      <c r="BG1409" s="4"/>
      <c r="BH1409" s="13"/>
      <c r="BI1409" s="13"/>
      <c r="BJ1409" s="4"/>
      <c r="BK1409" s="14">
        <v>12</v>
      </c>
      <c r="BL1409" s="14">
        <v>12</v>
      </c>
      <c r="BM1409" s="14">
        <v>12</v>
      </c>
      <c r="BP1409" s="15"/>
      <c r="BQ1409" s="15"/>
      <c r="BR1409" s="2" t="s">
        <v>740</v>
      </c>
      <c r="BS1409" s="2" t="s">
        <v>740</v>
      </c>
      <c r="BT1409" s="7" t="s">
        <v>98</v>
      </c>
      <c r="BU1409" s="7"/>
      <c r="BV1409" s="9" t="s">
        <v>98</v>
      </c>
      <c r="BW1409" s="9"/>
    </row>
    <row r="1410" spans="1:75" ht="14.25" customHeight="1" x14ac:dyDescent="0.25">
      <c r="A1410" s="1">
        <v>1161</v>
      </c>
      <c r="B1410" s="1" t="s">
        <v>5620</v>
      </c>
      <c r="C1410" s="1" t="s">
        <v>5621</v>
      </c>
      <c r="D1410" s="1" t="s">
        <v>77</v>
      </c>
      <c r="E1410" s="1" t="s">
        <v>2396</v>
      </c>
      <c r="F1410" s="1" t="s">
        <v>2452</v>
      </c>
      <c r="G1410" s="1"/>
      <c r="H1410" s="2">
        <v>0</v>
      </c>
      <c r="I1410" s="2">
        <v>0</v>
      </c>
      <c r="J1410" s="2">
        <v>1</v>
      </c>
      <c r="K1410" s="2">
        <v>1</v>
      </c>
      <c r="L1410" s="3" t="s">
        <v>127</v>
      </c>
      <c r="O1410" s="4">
        <v>3</v>
      </c>
      <c r="P1410" s="4" t="s">
        <v>112</v>
      </c>
      <c r="Q1410" s="4"/>
      <c r="R1410" s="5"/>
      <c r="S1410" s="6"/>
      <c r="T1410" s="17"/>
      <c r="U1410" s="6"/>
      <c r="V1410" s="4"/>
      <c r="W1410" s="4"/>
      <c r="X1410" s="4"/>
      <c r="Y1410" s="7">
        <v>1</v>
      </c>
      <c r="Z1410" s="8">
        <v>7307741</v>
      </c>
      <c r="AA1410" s="7" t="s">
        <v>92</v>
      </c>
      <c r="AB1410" s="7"/>
      <c r="AC1410" s="9">
        <v>1</v>
      </c>
      <c r="AD1410" s="10">
        <v>7307741</v>
      </c>
      <c r="AE1410" s="9" t="s">
        <v>92</v>
      </c>
      <c r="AF1410" s="9"/>
      <c r="AG1410" s="11">
        <v>3</v>
      </c>
      <c r="AH1410" s="11" t="s">
        <v>93</v>
      </c>
      <c r="AI1410" s="11"/>
      <c r="AJ1410" s="11"/>
      <c r="AK1410" s="11"/>
      <c r="AL1410" s="12">
        <v>3</v>
      </c>
      <c r="AM1410" s="12" t="s">
        <v>93</v>
      </c>
      <c r="AN1410" s="12" t="s">
        <v>5622</v>
      </c>
      <c r="AO1410" s="12"/>
      <c r="AP1410" s="12"/>
      <c r="AQ1410" s="4">
        <v>4</v>
      </c>
      <c r="AR1410" s="4" t="s">
        <v>83</v>
      </c>
      <c r="AS1410" s="4" t="s">
        <v>5623</v>
      </c>
      <c r="AT1410" s="13"/>
      <c r="AU1410" s="13"/>
      <c r="AV1410" s="13"/>
      <c r="AW1410" s="13"/>
      <c r="AX1410" s="4"/>
      <c r="AY1410" s="13"/>
      <c r="AZ1410" s="13"/>
      <c r="BA1410" s="13"/>
      <c r="BB1410" s="13"/>
      <c r="BC1410" s="4"/>
      <c r="BD1410" s="4"/>
      <c r="BE1410" s="4"/>
      <c r="BF1410" s="13"/>
      <c r="BG1410" s="4"/>
      <c r="BH1410" s="13"/>
      <c r="BI1410" s="13"/>
      <c r="BJ1410" s="4"/>
      <c r="BK1410" s="14">
        <v>11</v>
      </c>
      <c r="BL1410" s="14">
        <v>11</v>
      </c>
      <c r="BM1410" s="14">
        <v>11</v>
      </c>
      <c r="BP1410" s="15"/>
      <c r="BQ1410" s="15"/>
      <c r="BR1410" s="2" t="s">
        <v>97</v>
      </c>
      <c r="BS1410" s="2" t="s">
        <v>97</v>
      </c>
      <c r="BT1410" s="7" t="s">
        <v>98</v>
      </c>
      <c r="BU1410" s="7" t="s">
        <v>109</v>
      </c>
      <c r="BV1410" s="9" t="s">
        <v>98</v>
      </c>
      <c r="BW1410" s="9" t="s">
        <v>109</v>
      </c>
    </row>
    <row r="1411" spans="1:75" ht="14.25" customHeight="1" x14ac:dyDescent="0.25">
      <c r="A1411" s="1">
        <v>1162</v>
      </c>
      <c r="B1411" s="1" t="s">
        <v>5624</v>
      </c>
      <c r="C1411" s="1" t="s">
        <v>5625</v>
      </c>
      <c r="D1411" s="1" t="s">
        <v>77</v>
      </c>
      <c r="E1411" s="1" t="s">
        <v>2396</v>
      </c>
      <c r="F1411" s="1" t="s">
        <v>2452</v>
      </c>
      <c r="G1411" s="1"/>
      <c r="H1411" s="2">
        <v>0</v>
      </c>
      <c r="I1411" s="2">
        <v>0</v>
      </c>
      <c r="J1411" s="2">
        <v>1</v>
      </c>
      <c r="K1411" s="2">
        <v>1</v>
      </c>
      <c r="L1411" s="3" t="s">
        <v>80</v>
      </c>
      <c r="O1411" s="4">
        <v>3</v>
      </c>
      <c r="P1411" s="4" t="s">
        <v>4430</v>
      </c>
      <c r="Q1411" s="4" t="s">
        <v>5626</v>
      </c>
      <c r="R1411" s="5"/>
      <c r="S1411" s="6"/>
      <c r="T1411" s="17"/>
      <c r="U1411" s="6"/>
      <c r="V1411" s="4"/>
      <c r="W1411" s="4"/>
      <c r="X1411" s="4"/>
      <c r="Y1411" s="7">
        <v>5</v>
      </c>
      <c r="Z1411" s="8">
        <v>27050</v>
      </c>
      <c r="AA1411" s="7" t="s">
        <v>92</v>
      </c>
      <c r="AB1411" s="7" t="s">
        <v>5627</v>
      </c>
      <c r="AC1411" s="9">
        <v>5</v>
      </c>
      <c r="AD1411" s="10">
        <v>27050</v>
      </c>
      <c r="AE1411" s="9" t="s">
        <v>92</v>
      </c>
      <c r="AF1411" s="9" t="s">
        <v>5628</v>
      </c>
      <c r="AG1411" s="11">
        <v>3</v>
      </c>
      <c r="AH1411" s="11" t="s">
        <v>93</v>
      </c>
      <c r="AI1411" s="11"/>
      <c r="AJ1411" s="11"/>
      <c r="AK1411" s="11"/>
      <c r="AL1411" s="12">
        <v>3</v>
      </c>
      <c r="AM1411" s="12" t="s">
        <v>93</v>
      </c>
      <c r="AN1411" s="12" t="s">
        <v>5629</v>
      </c>
      <c r="AO1411" s="12"/>
      <c r="AP1411" s="12"/>
      <c r="AQ1411" s="4">
        <v>3</v>
      </c>
      <c r="AR1411" s="4" t="s">
        <v>83</v>
      </c>
      <c r="AS1411" s="4" t="s">
        <v>5630</v>
      </c>
      <c r="AT1411" s="13"/>
      <c r="AU1411" s="13"/>
      <c r="AV1411" s="13"/>
      <c r="AW1411" s="13"/>
      <c r="AX1411" s="4"/>
      <c r="AY1411" s="13"/>
      <c r="AZ1411" s="13"/>
      <c r="BA1411" s="13"/>
      <c r="BB1411" s="13"/>
      <c r="BC1411" s="4"/>
      <c r="BD1411" s="4"/>
      <c r="BE1411" s="4"/>
      <c r="BF1411" s="13"/>
      <c r="BG1411" s="4"/>
      <c r="BH1411" s="13"/>
      <c r="BI1411" s="13"/>
      <c r="BJ1411" s="4"/>
      <c r="BK1411" s="14">
        <v>14</v>
      </c>
      <c r="BL1411" s="14">
        <v>14</v>
      </c>
      <c r="BM1411" s="14">
        <v>14</v>
      </c>
      <c r="BN1411" s="3" t="s">
        <v>86</v>
      </c>
      <c r="BP1411" s="15"/>
      <c r="BQ1411" s="15"/>
      <c r="BR1411" s="2" t="s">
        <v>791</v>
      </c>
      <c r="BS1411" s="2" t="s">
        <v>791</v>
      </c>
      <c r="BT1411" s="7" t="s">
        <v>458</v>
      </c>
      <c r="BU1411" s="7"/>
      <c r="BV1411" s="9" t="s">
        <v>458</v>
      </c>
      <c r="BW1411" s="9"/>
    </row>
    <row r="1412" spans="1:75" ht="14.25" customHeight="1" x14ac:dyDescent="0.25">
      <c r="A1412" s="1">
        <v>1163</v>
      </c>
      <c r="B1412" s="1" t="s">
        <v>5631</v>
      </c>
      <c r="C1412" s="1" t="s">
        <v>5632</v>
      </c>
      <c r="D1412" s="1" t="s">
        <v>77</v>
      </c>
      <c r="E1412" s="1" t="s">
        <v>2396</v>
      </c>
      <c r="F1412" s="1" t="s">
        <v>2452</v>
      </c>
      <c r="G1412" s="1"/>
      <c r="H1412" s="2">
        <v>0</v>
      </c>
      <c r="I1412" s="2">
        <v>0</v>
      </c>
      <c r="J1412" s="2">
        <v>1</v>
      </c>
      <c r="K1412" s="2">
        <v>1</v>
      </c>
      <c r="L1412" s="3" t="s">
        <v>80</v>
      </c>
      <c r="O1412" s="4">
        <v>2</v>
      </c>
      <c r="P1412" s="4" t="s">
        <v>112</v>
      </c>
      <c r="Q1412" s="4"/>
      <c r="R1412" s="5"/>
      <c r="S1412" s="6"/>
      <c r="T1412" s="17"/>
      <c r="U1412" s="6"/>
      <c r="V1412" s="4"/>
      <c r="W1412" s="4"/>
      <c r="X1412" s="4"/>
      <c r="Y1412" s="7">
        <v>1</v>
      </c>
      <c r="Z1412" s="8">
        <v>10304086</v>
      </c>
      <c r="AA1412" s="7" t="s">
        <v>92</v>
      </c>
      <c r="AB1412" s="7"/>
      <c r="AC1412" s="9">
        <v>1</v>
      </c>
      <c r="AD1412" s="10">
        <v>10304086</v>
      </c>
      <c r="AE1412" s="9" t="s">
        <v>92</v>
      </c>
      <c r="AF1412" s="9"/>
      <c r="AG1412" s="11">
        <v>2</v>
      </c>
      <c r="AH1412" s="11" t="s">
        <v>93</v>
      </c>
      <c r="AI1412" s="11"/>
      <c r="AJ1412" s="11"/>
      <c r="AK1412" s="11"/>
      <c r="AL1412" s="12">
        <v>2</v>
      </c>
      <c r="AM1412" s="12" t="s">
        <v>93</v>
      </c>
      <c r="AN1412" s="12" t="s">
        <v>394</v>
      </c>
      <c r="AO1412" s="12"/>
      <c r="AP1412" s="12"/>
      <c r="AQ1412" s="4">
        <v>2</v>
      </c>
      <c r="AR1412" s="4" t="s">
        <v>83</v>
      </c>
      <c r="AS1412" s="4"/>
      <c r="AT1412" s="13"/>
      <c r="AU1412" s="13"/>
      <c r="AV1412" s="13"/>
      <c r="AW1412" s="13"/>
      <c r="AX1412" s="4"/>
      <c r="AY1412" s="13"/>
      <c r="AZ1412" s="13"/>
      <c r="BA1412" s="13"/>
      <c r="BB1412" s="13"/>
      <c r="BC1412" s="4"/>
      <c r="BD1412" s="4"/>
      <c r="BE1412" s="4"/>
      <c r="BF1412" s="13"/>
      <c r="BG1412" s="4"/>
      <c r="BH1412" s="13"/>
      <c r="BI1412" s="13"/>
      <c r="BJ1412" s="4"/>
      <c r="BK1412" s="14">
        <v>7</v>
      </c>
      <c r="BL1412" s="14">
        <v>7</v>
      </c>
      <c r="BM1412" s="14">
        <v>7</v>
      </c>
      <c r="BP1412" s="15"/>
      <c r="BQ1412" s="15"/>
      <c r="BR1412" s="2" t="s">
        <v>97</v>
      </c>
      <c r="BS1412" s="2" t="s">
        <v>97</v>
      </c>
      <c r="BT1412" s="7" t="s">
        <v>458</v>
      </c>
      <c r="BU1412" s="7"/>
      <c r="BV1412" s="9" t="s">
        <v>458</v>
      </c>
      <c r="BW1412" s="9"/>
    </row>
    <row r="1413" spans="1:75" ht="14.25" customHeight="1" x14ac:dyDescent="0.25">
      <c r="A1413" s="1">
        <v>1166</v>
      </c>
      <c r="B1413" s="1" t="s">
        <v>5633</v>
      </c>
      <c r="C1413" s="1" t="s">
        <v>5634</v>
      </c>
      <c r="D1413" s="1" t="s">
        <v>77</v>
      </c>
      <c r="E1413" s="1" t="s">
        <v>2396</v>
      </c>
      <c r="F1413" s="1" t="s">
        <v>2452</v>
      </c>
      <c r="G1413" s="1"/>
      <c r="H1413" s="2">
        <v>0</v>
      </c>
      <c r="I1413" s="2">
        <v>0</v>
      </c>
      <c r="J1413" s="2">
        <v>0</v>
      </c>
      <c r="K1413" s="2">
        <v>1</v>
      </c>
      <c r="L1413" s="3" t="s">
        <v>80</v>
      </c>
      <c r="O1413" s="4">
        <v>2</v>
      </c>
      <c r="P1413" s="4" t="s">
        <v>81</v>
      </c>
      <c r="Q1413" s="4"/>
      <c r="R1413" s="5"/>
      <c r="S1413" s="6"/>
      <c r="T1413" s="17"/>
      <c r="U1413" s="6"/>
      <c r="V1413" s="4"/>
      <c r="W1413" s="4"/>
      <c r="X1413" s="4"/>
      <c r="Y1413" s="7">
        <v>1</v>
      </c>
      <c r="Z1413" s="8">
        <v>7208422</v>
      </c>
      <c r="AA1413" s="7" t="s">
        <v>1300</v>
      </c>
      <c r="AB1413" s="7"/>
      <c r="AC1413" s="9">
        <v>1</v>
      </c>
      <c r="AD1413" s="10">
        <v>7208422</v>
      </c>
      <c r="AE1413" s="9" t="s">
        <v>1300</v>
      </c>
      <c r="AF1413" s="9"/>
      <c r="AG1413" s="11">
        <v>2</v>
      </c>
      <c r="AH1413" s="11" t="s">
        <v>83</v>
      </c>
      <c r="AI1413" s="11"/>
      <c r="AJ1413" s="11"/>
      <c r="AK1413" s="11"/>
      <c r="AL1413" s="12">
        <v>2</v>
      </c>
      <c r="AM1413" s="12" t="s">
        <v>83</v>
      </c>
      <c r="AN1413" s="12"/>
      <c r="AO1413" s="12"/>
      <c r="AP1413" s="12"/>
      <c r="AQ1413" s="4">
        <v>2</v>
      </c>
      <c r="AR1413" s="4" t="s">
        <v>83</v>
      </c>
      <c r="AS1413" s="4"/>
      <c r="AT1413" s="13"/>
      <c r="AU1413" s="13"/>
      <c r="AV1413" s="13"/>
      <c r="AW1413" s="13"/>
      <c r="AX1413" s="4"/>
      <c r="AY1413" s="13"/>
      <c r="AZ1413" s="13"/>
      <c r="BA1413" s="13"/>
      <c r="BB1413" s="13"/>
      <c r="BC1413" s="4"/>
      <c r="BD1413" s="4"/>
      <c r="BE1413" s="4"/>
      <c r="BF1413" s="13"/>
      <c r="BG1413" s="4"/>
      <c r="BH1413" s="13"/>
      <c r="BI1413" s="13"/>
      <c r="BJ1413" s="4"/>
      <c r="BK1413" s="14">
        <v>7</v>
      </c>
      <c r="BL1413" s="14">
        <v>7</v>
      </c>
      <c r="BM1413" s="14">
        <v>7</v>
      </c>
      <c r="BP1413" s="15"/>
      <c r="BQ1413" s="15"/>
      <c r="BR1413" s="2" t="s">
        <v>97</v>
      </c>
      <c r="BS1413" s="2" t="s">
        <v>97</v>
      </c>
      <c r="BT1413" s="7" t="s">
        <v>458</v>
      </c>
      <c r="BU1413" s="7"/>
      <c r="BV1413" s="9" t="s">
        <v>458</v>
      </c>
      <c r="BW1413" s="9"/>
    </row>
    <row r="1414" spans="1:75" ht="14.25" customHeight="1" x14ac:dyDescent="0.25">
      <c r="A1414" s="1">
        <v>1167</v>
      </c>
      <c r="B1414" s="1" t="s">
        <v>5635</v>
      </c>
      <c r="C1414" s="1" t="s">
        <v>5636</v>
      </c>
      <c r="D1414" s="1" t="s">
        <v>77</v>
      </c>
      <c r="E1414" s="1" t="s">
        <v>2396</v>
      </c>
      <c r="F1414" s="1" t="s">
        <v>2452</v>
      </c>
      <c r="G1414" s="1"/>
      <c r="H1414" s="2">
        <v>0</v>
      </c>
      <c r="I1414" s="2">
        <v>0</v>
      </c>
      <c r="J1414" s="2">
        <v>0</v>
      </c>
      <c r="K1414" s="2">
        <v>1</v>
      </c>
      <c r="L1414" s="3" t="s">
        <v>80</v>
      </c>
      <c r="O1414" s="4">
        <v>3</v>
      </c>
      <c r="P1414" s="4" t="s">
        <v>81</v>
      </c>
      <c r="Q1414" s="4"/>
      <c r="R1414" s="5"/>
      <c r="S1414" s="6"/>
      <c r="T1414" s="17"/>
      <c r="U1414" s="6"/>
      <c r="V1414" s="4"/>
      <c r="W1414" s="4"/>
      <c r="X1414" s="4"/>
      <c r="Y1414" s="7">
        <v>4</v>
      </c>
      <c r="Z1414" s="8">
        <v>260535</v>
      </c>
      <c r="AA1414" s="7" t="s">
        <v>82</v>
      </c>
      <c r="AB1414" s="7"/>
      <c r="AC1414" s="9">
        <v>4</v>
      </c>
      <c r="AD1414" s="10">
        <v>260535</v>
      </c>
      <c r="AE1414" s="9" t="s">
        <v>82</v>
      </c>
      <c r="AF1414" s="9"/>
      <c r="AG1414" s="11">
        <v>3</v>
      </c>
      <c r="AH1414" s="11" t="s">
        <v>83</v>
      </c>
      <c r="AI1414" s="11" t="s">
        <v>5637</v>
      </c>
      <c r="AJ1414" s="11"/>
      <c r="AK1414" s="11"/>
      <c r="AL1414" s="12">
        <v>3</v>
      </c>
      <c r="AM1414" s="12" t="s">
        <v>83</v>
      </c>
      <c r="AN1414" s="12"/>
      <c r="AO1414" s="12"/>
      <c r="AP1414" s="12"/>
      <c r="AQ1414" s="4">
        <v>4</v>
      </c>
      <c r="AR1414" s="4" t="s">
        <v>83</v>
      </c>
      <c r="AS1414" s="4"/>
      <c r="AT1414" s="13"/>
      <c r="AU1414" s="13"/>
      <c r="AV1414" s="13"/>
      <c r="AW1414" s="13"/>
      <c r="AX1414" s="4"/>
      <c r="AY1414" s="13"/>
      <c r="AZ1414" s="13"/>
      <c r="BA1414" s="13"/>
      <c r="BB1414" s="13"/>
      <c r="BC1414" s="4"/>
      <c r="BD1414" s="4"/>
      <c r="BE1414" s="4"/>
      <c r="BF1414" s="13"/>
      <c r="BG1414" s="4"/>
      <c r="BH1414" s="13"/>
      <c r="BI1414" s="13"/>
      <c r="BJ1414" s="4"/>
      <c r="BK1414" s="14">
        <v>14</v>
      </c>
      <c r="BL1414" s="14">
        <v>14</v>
      </c>
      <c r="BM1414" s="14">
        <v>14</v>
      </c>
      <c r="BN1414" s="3" t="s">
        <v>86</v>
      </c>
      <c r="BP1414" s="15"/>
      <c r="BQ1414" s="15"/>
      <c r="BR1414" s="2" t="s">
        <v>87</v>
      </c>
      <c r="BS1414" s="2" t="s">
        <v>87</v>
      </c>
      <c r="BT1414" s="7" t="s">
        <v>88</v>
      </c>
      <c r="BU1414" s="7"/>
      <c r="BV1414" s="9" t="s">
        <v>88</v>
      </c>
      <c r="BW1414" s="9"/>
    </row>
    <row r="1415" spans="1:75" ht="14.25" customHeight="1" x14ac:dyDescent="0.25">
      <c r="A1415" s="1">
        <v>1169</v>
      </c>
      <c r="B1415" s="1" t="s">
        <v>5638</v>
      </c>
      <c r="C1415" s="1" t="s">
        <v>5639</v>
      </c>
      <c r="D1415" s="1" t="s">
        <v>77</v>
      </c>
      <c r="E1415" s="1" t="s">
        <v>2396</v>
      </c>
      <c r="F1415" s="1" t="s">
        <v>2452</v>
      </c>
      <c r="G1415" s="1"/>
      <c r="H1415" s="2">
        <v>0</v>
      </c>
      <c r="I1415" s="2">
        <v>0</v>
      </c>
      <c r="J1415" s="2">
        <v>0</v>
      </c>
      <c r="K1415" s="2">
        <v>1</v>
      </c>
      <c r="L1415" s="3" t="s">
        <v>80</v>
      </c>
      <c r="O1415" s="4">
        <v>3</v>
      </c>
      <c r="P1415" s="4" t="s">
        <v>81</v>
      </c>
      <c r="Q1415" s="4"/>
      <c r="R1415" s="5"/>
      <c r="S1415" s="6"/>
      <c r="T1415" s="17"/>
      <c r="U1415" s="6"/>
      <c r="V1415" s="4"/>
      <c r="W1415" s="4"/>
      <c r="X1415" s="4"/>
      <c r="Y1415" s="7">
        <v>3</v>
      </c>
      <c r="Z1415" s="8">
        <v>539616</v>
      </c>
      <c r="AA1415" s="7" t="s">
        <v>82</v>
      </c>
      <c r="AB1415" s="7"/>
      <c r="AC1415" s="9">
        <v>3</v>
      </c>
      <c r="AD1415" s="10">
        <v>539616</v>
      </c>
      <c r="AE1415" s="9" t="s">
        <v>82</v>
      </c>
      <c r="AF1415" s="9"/>
      <c r="AG1415" s="11">
        <v>4</v>
      </c>
      <c r="AH1415" s="11" t="s">
        <v>83</v>
      </c>
      <c r="AI1415" s="11"/>
      <c r="AJ1415" s="11"/>
      <c r="AK1415" s="11"/>
      <c r="AL1415" s="12">
        <v>4</v>
      </c>
      <c r="AM1415" s="12" t="s">
        <v>83</v>
      </c>
      <c r="AN1415" s="12"/>
      <c r="AO1415" s="12"/>
      <c r="AP1415" s="12"/>
      <c r="AQ1415" s="4">
        <v>3</v>
      </c>
      <c r="AR1415" s="4" t="s">
        <v>83</v>
      </c>
      <c r="AS1415" s="4"/>
      <c r="AT1415" s="13"/>
      <c r="AU1415" s="13"/>
      <c r="AV1415" s="13"/>
      <c r="AW1415" s="13"/>
      <c r="AX1415" s="4"/>
      <c r="AY1415" s="13"/>
      <c r="AZ1415" s="13"/>
      <c r="BA1415" s="13"/>
      <c r="BB1415" s="13"/>
      <c r="BC1415" s="4"/>
      <c r="BD1415" s="4"/>
      <c r="BE1415" s="4"/>
      <c r="BF1415" s="13"/>
      <c r="BG1415" s="4"/>
      <c r="BH1415" s="13"/>
      <c r="BI1415" s="13"/>
      <c r="BJ1415" s="4"/>
      <c r="BK1415" s="14">
        <v>13</v>
      </c>
      <c r="BL1415" s="14">
        <v>13</v>
      </c>
      <c r="BM1415" s="14">
        <v>13</v>
      </c>
      <c r="BP1415" s="15"/>
      <c r="BQ1415" s="15"/>
      <c r="BR1415" s="2" t="s">
        <v>87</v>
      </c>
      <c r="BS1415" s="2" t="s">
        <v>87</v>
      </c>
      <c r="BT1415" s="7" t="s">
        <v>212</v>
      </c>
      <c r="BU1415" s="7" t="s">
        <v>88</v>
      </c>
      <c r="BV1415" s="9" t="s">
        <v>212</v>
      </c>
      <c r="BW1415" s="9" t="s">
        <v>88</v>
      </c>
    </row>
    <row r="1416" spans="1:75" ht="14.25" customHeight="1" x14ac:dyDescent="0.25">
      <c r="A1416" s="1">
        <v>1170</v>
      </c>
      <c r="B1416" s="1" t="s">
        <v>5640</v>
      </c>
      <c r="C1416" s="1" t="s">
        <v>5641</v>
      </c>
      <c r="D1416" s="1" t="s">
        <v>77</v>
      </c>
      <c r="E1416" s="1" t="s">
        <v>2396</v>
      </c>
      <c r="F1416" s="1" t="s">
        <v>2452</v>
      </c>
      <c r="G1416" s="1" t="s">
        <v>118</v>
      </c>
      <c r="H1416" s="2">
        <v>0</v>
      </c>
      <c r="I1416" s="2">
        <v>0</v>
      </c>
      <c r="J1416" s="2">
        <v>0</v>
      </c>
      <c r="K1416" s="2">
        <v>1</v>
      </c>
      <c r="L1416" s="3" t="s">
        <v>80</v>
      </c>
      <c r="O1416" s="4">
        <v>3</v>
      </c>
      <c r="P1416" s="4" t="s">
        <v>81</v>
      </c>
      <c r="Q1416" s="4" t="s">
        <v>5642</v>
      </c>
      <c r="R1416" s="5"/>
      <c r="S1416" s="6"/>
      <c r="T1416" s="17"/>
      <c r="U1416" s="6"/>
      <c r="V1416" s="4"/>
      <c r="W1416" s="4"/>
      <c r="X1416" s="4"/>
      <c r="Y1416" s="7">
        <v>3</v>
      </c>
      <c r="Z1416" s="8">
        <v>854748</v>
      </c>
      <c r="AA1416" s="7" t="s">
        <v>82</v>
      </c>
      <c r="AB1416" s="7"/>
      <c r="AC1416" s="9">
        <v>3</v>
      </c>
      <c r="AD1416" s="10">
        <v>854748</v>
      </c>
      <c r="AE1416" s="9" t="s">
        <v>82</v>
      </c>
      <c r="AF1416" s="9"/>
      <c r="AG1416" s="11">
        <v>3</v>
      </c>
      <c r="AH1416" s="11" t="s">
        <v>83</v>
      </c>
      <c r="AI1416" s="11"/>
      <c r="AJ1416" s="11"/>
      <c r="AK1416" s="11"/>
      <c r="AL1416" s="12">
        <v>3</v>
      </c>
      <c r="AM1416" s="12" t="s">
        <v>83</v>
      </c>
      <c r="AN1416" s="12"/>
      <c r="AO1416" s="12"/>
      <c r="AP1416" s="12"/>
      <c r="AQ1416" s="4">
        <v>4</v>
      </c>
      <c r="AR1416" s="4" t="s">
        <v>83</v>
      </c>
      <c r="AS1416" s="4"/>
      <c r="AT1416" s="13"/>
      <c r="AU1416" s="13"/>
      <c r="AV1416" s="13"/>
      <c r="AW1416" s="13"/>
      <c r="AX1416" s="4"/>
      <c r="AY1416" s="13"/>
      <c r="AZ1416" s="13"/>
      <c r="BA1416" s="13"/>
      <c r="BB1416" s="13"/>
      <c r="BC1416" s="4"/>
      <c r="BD1416" s="4"/>
      <c r="BE1416" s="4"/>
      <c r="BF1416" s="13"/>
      <c r="BG1416" s="4"/>
      <c r="BH1416" s="13"/>
      <c r="BI1416" s="13"/>
      <c r="BJ1416" s="4"/>
      <c r="BK1416" s="14">
        <v>13</v>
      </c>
      <c r="BL1416" s="14">
        <v>13</v>
      </c>
      <c r="BM1416" s="14">
        <v>13</v>
      </c>
      <c r="BP1416" s="15"/>
      <c r="BQ1416" s="15"/>
      <c r="BR1416" s="2" t="s">
        <v>87</v>
      </c>
      <c r="BS1416" s="2" t="s">
        <v>87</v>
      </c>
      <c r="BT1416" s="7" t="s">
        <v>98</v>
      </c>
      <c r="BU1416" s="7"/>
      <c r="BV1416" s="9" t="s">
        <v>98</v>
      </c>
      <c r="BW1416" s="9"/>
    </row>
    <row r="1417" spans="1:75" ht="14.25" customHeight="1" x14ac:dyDescent="0.25">
      <c r="A1417" s="1">
        <v>1172</v>
      </c>
      <c r="B1417" s="1" t="s">
        <v>5643</v>
      </c>
      <c r="C1417" s="1" t="s">
        <v>5644</v>
      </c>
      <c r="D1417" s="1" t="s">
        <v>77</v>
      </c>
      <c r="E1417" s="1" t="s">
        <v>2396</v>
      </c>
      <c r="F1417" s="1" t="s">
        <v>2452</v>
      </c>
      <c r="G1417" s="1" t="s">
        <v>5645</v>
      </c>
      <c r="H1417" s="2">
        <v>0</v>
      </c>
      <c r="I1417" s="2">
        <v>0</v>
      </c>
      <c r="J1417" s="2">
        <v>1</v>
      </c>
      <c r="K1417" s="2">
        <v>1</v>
      </c>
      <c r="L1417" s="3" t="s">
        <v>80</v>
      </c>
      <c r="O1417" s="4">
        <v>3</v>
      </c>
      <c r="P1417" s="4" t="s">
        <v>5646</v>
      </c>
      <c r="Q1417" s="4" t="s">
        <v>5647</v>
      </c>
      <c r="R1417" s="5"/>
      <c r="S1417" s="6"/>
      <c r="T1417" s="17"/>
      <c r="U1417" s="6"/>
      <c r="V1417" s="4"/>
      <c r="W1417" s="4"/>
      <c r="X1417" s="4"/>
      <c r="Y1417" s="7">
        <v>5</v>
      </c>
      <c r="Z1417" s="8">
        <v>79101</v>
      </c>
      <c r="AA1417" s="7" t="s">
        <v>283</v>
      </c>
      <c r="AB1417" s="7"/>
      <c r="AC1417" s="9">
        <v>5</v>
      </c>
      <c r="AD1417" s="10">
        <v>79101</v>
      </c>
      <c r="AE1417" s="9" t="s">
        <v>283</v>
      </c>
      <c r="AF1417" s="9"/>
      <c r="AG1417" s="11">
        <v>3</v>
      </c>
      <c r="AH1417" s="11" t="s">
        <v>5648</v>
      </c>
      <c r="AI1417" s="11" t="s">
        <v>5649</v>
      </c>
      <c r="AJ1417" s="11"/>
      <c r="AK1417" s="11"/>
      <c r="AL1417" s="12">
        <v>3</v>
      </c>
      <c r="AM1417" s="12" t="s">
        <v>3363</v>
      </c>
      <c r="AN1417" s="12" t="s">
        <v>5650</v>
      </c>
      <c r="AO1417" s="12"/>
      <c r="AP1417" s="12"/>
      <c r="AQ1417" s="4">
        <v>4</v>
      </c>
      <c r="AR1417" s="4" t="s">
        <v>5651</v>
      </c>
      <c r="AS1417" s="4" t="s">
        <v>5649</v>
      </c>
      <c r="AT1417" s="13"/>
      <c r="AU1417" s="13"/>
      <c r="AV1417" s="13"/>
      <c r="AW1417" s="13"/>
      <c r="AX1417" s="4"/>
      <c r="AY1417" s="13"/>
      <c r="AZ1417" s="13"/>
      <c r="BA1417" s="13"/>
      <c r="BB1417" s="13"/>
      <c r="BC1417" s="4"/>
      <c r="BD1417" s="4"/>
      <c r="BE1417" s="4"/>
      <c r="BF1417" s="13"/>
      <c r="BG1417" s="4"/>
      <c r="BH1417" s="13"/>
      <c r="BI1417" s="13"/>
      <c r="BJ1417" s="4"/>
      <c r="BK1417" s="14">
        <v>15</v>
      </c>
      <c r="BL1417" s="14">
        <v>15</v>
      </c>
      <c r="BM1417" s="14">
        <v>15</v>
      </c>
      <c r="BN1417" s="3" t="s">
        <v>86</v>
      </c>
      <c r="BP1417" s="15"/>
      <c r="BQ1417" s="15" t="s">
        <v>146</v>
      </c>
      <c r="BR1417" s="2" t="s">
        <v>5652</v>
      </c>
      <c r="BS1417" s="2" t="s">
        <v>5652</v>
      </c>
      <c r="BT1417" s="7" t="s">
        <v>88</v>
      </c>
      <c r="BU1417" s="7" t="s">
        <v>98</v>
      </c>
      <c r="BV1417" s="9" t="s">
        <v>88</v>
      </c>
      <c r="BW1417" s="9" t="s">
        <v>98</v>
      </c>
    </row>
    <row r="1418" spans="1:75" ht="14.25" customHeight="1" x14ac:dyDescent="0.25">
      <c r="A1418" s="1">
        <v>1173</v>
      </c>
      <c r="B1418" s="1" t="s">
        <v>5653</v>
      </c>
      <c r="C1418" s="1" t="s">
        <v>5654</v>
      </c>
      <c r="D1418" s="1" t="s">
        <v>77</v>
      </c>
      <c r="E1418" s="1" t="s">
        <v>2396</v>
      </c>
      <c r="F1418" s="1" t="s">
        <v>2452</v>
      </c>
      <c r="G1418" s="1" t="s">
        <v>5655</v>
      </c>
      <c r="H1418" s="2">
        <v>0</v>
      </c>
      <c r="I1418" s="2">
        <v>0</v>
      </c>
      <c r="J1418" s="2">
        <v>0</v>
      </c>
      <c r="K1418" s="2">
        <v>1</v>
      </c>
      <c r="L1418" s="3" t="s">
        <v>80</v>
      </c>
      <c r="O1418" s="4">
        <v>3</v>
      </c>
      <c r="P1418" s="4" t="s">
        <v>5646</v>
      </c>
      <c r="Q1418" s="4" t="s">
        <v>5656</v>
      </c>
      <c r="R1418" s="5"/>
      <c r="S1418" s="6"/>
      <c r="T1418" s="17"/>
      <c r="U1418" s="6"/>
      <c r="V1418" s="4"/>
      <c r="W1418" s="4"/>
      <c r="X1418" s="4"/>
      <c r="Y1418" s="7">
        <v>4</v>
      </c>
      <c r="Z1418" s="8">
        <v>223529</v>
      </c>
      <c r="AA1418" s="7" t="s">
        <v>283</v>
      </c>
      <c r="AB1418" s="7"/>
      <c r="AC1418" s="9">
        <v>4</v>
      </c>
      <c r="AD1418" s="10">
        <v>223529</v>
      </c>
      <c r="AE1418" s="9" t="s">
        <v>283</v>
      </c>
      <c r="AF1418" s="9"/>
      <c r="AG1418" s="11">
        <v>2</v>
      </c>
      <c r="AH1418" s="11" t="s">
        <v>3363</v>
      </c>
      <c r="AI1418" s="11" t="s">
        <v>5657</v>
      </c>
      <c r="AJ1418" s="11"/>
      <c r="AK1418" s="11"/>
      <c r="AL1418" s="12">
        <v>2</v>
      </c>
      <c r="AM1418" s="12" t="s">
        <v>3363</v>
      </c>
      <c r="AN1418" s="12" t="s">
        <v>5658</v>
      </c>
      <c r="AO1418" s="12"/>
      <c r="AP1418" s="12"/>
      <c r="AQ1418" s="4">
        <v>3</v>
      </c>
      <c r="AR1418" s="4" t="s">
        <v>3363</v>
      </c>
      <c r="AS1418" s="4" t="s">
        <v>5658</v>
      </c>
      <c r="AT1418" s="13"/>
      <c r="AU1418" s="13"/>
      <c r="AV1418" s="13"/>
      <c r="AW1418" s="13"/>
      <c r="AX1418" s="4"/>
      <c r="AY1418" s="13"/>
      <c r="AZ1418" s="13"/>
      <c r="BA1418" s="13"/>
      <c r="BB1418" s="13"/>
      <c r="BC1418" s="4"/>
      <c r="BD1418" s="4"/>
      <c r="BE1418" s="4"/>
      <c r="BF1418" s="13"/>
      <c r="BG1418" s="4"/>
      <c r="BH1418" s="13"/>
      <c r="BI1418" s="13"/>
      <c r="BJ1418" s="4"/>
      <c r="BK1418" s="14">
        <v>12</v>
      </c>
      <c r="BL1418" s="14">
        <v>12</v>
      </c>
      <c r="BM1418" s="14">
        <v>12</v>
      </c>
      <c r="BP1418" s="15"/>
      <c r="BQ1418" s="15" t="s">
        <v>146</v>
      </c>
      <c r="BR1418" s="2" t="s">
        <v>5652</v>
      </c>
      <c r="BS1418" s="2" t="s">
        <v>5652</v>
      </c>
      <c r="BT1418" s="7" t="s">
        <v>98</v>
      </c>
      <c r="BU1418" s="7" t="s">
        <v>88</v>
      </c>
      <c r="BV1418" s="9" t="s">
        <v>98</v>
      </c>
      <c r="BW1418" s="9" t="s">
        <v>88</v>
      </c>
    </row>
    <row r="1419" spans="1:75" ht="14.25" customHeight="1" x14ac:dyDescent="0.25">
      <c r="A1419" s="1">
        <v>1174</v>
      </c>
      <c r="B1419" s="1" t="s">
        <v>5659</v>
      </c>
      <c r="C1419" s="1" t="s">
        <v>5660</v>
      </c>
      <c r="D1419" s="1" t="s">
        <v>77</v>
      </c>
      <c r="E1419" s="1" t="s">
        <v>2396</v>
      </c>
      <c r="F1419" s="1" t="s">
        <v>2452</v>
      </c>
      <c r="G1419" s="1"/>
      <c r="H1419" s="2">
        <v>0</v>
      </c>
      <c r="I1419" s="2">
        <v>0</v>
      </c>
      <c r="J1419" s="2">
        <v>1</v>
      </c>
      <c r="K1419" s="2">
        <v>1</v>
      </c>
      <c r="L1419" s="3" t="s">
        <v>80</v>
      </c>
      <c r="O1419" s="4">
        <v>3</v>
      </c>
      <c r="P1419" s="4" t="s">
        <v>112</v>
      </c>
      <c r="Q1419" s="4" t="s">
        <v>5661</v>
      </c>
      <c r="R1419" s="5"/>
      <c r="S1419" s="6"/>
      <c r="T1419" s="17"/>
      <c r="U1419" s="6"/>
      <c r="V1419" s="4"/>
      <c r="W1419" s="4"/>
      <c r="X1419" s="4"/>
      <c r="Y1419" s="7">
        <v>1</v>
      </c>
      <c r="Z1419" s="8">
        <v>7263791</v>
      </c>
      <c r="AA1419" s="7" t="s">
        <v>92</v>
      </c>
      <c r="AB1419" s="7"/>
      <c r="AC1419" s="9">
        <v>1</v>
      </c>
      <c r="AD1419" s="10">
        <v>7263791</v>
      </c>
      <c r="AE1419" s="9" t="s">
        <v>92</v>
      </c>
      <c r="AF1419" s="9"/>
      <c r="AG1419" s="11">
        <v>3</v>
      </c>
      <c r="AH1419" s="11" t="s">
        <v>93</v>
      </c>
      <c r="AI1419" s="11"/>
      <c r="AJ1419" s="11"/>
      <c r="AK1419" s="11"/>
      <c r="AL1419" s="12">
        <v>3</v>
      </c>
      <c r="AM1419" s="12" t="s">
        <v>93</v>
      </c>
      <c r="AN1419" s="12" t="s">
        <v>698</v>
      </c>
      <c r="AO1419" s="12"/>
      <c r="AP1419" s="12"/>
      <c r="AQ1419" s="4">
        <v>4</v>
      </c>
      <c r="AR1419" s="4" t="s">
        <v>83</v>
      </c>
      <c r="AS1419" s="4"/>
      <c r="AT1419" s="13"/>
      <c r="AU1419" s="13"/>
      <c r="AV1419" s="13"/>
      <c r="AW1419" s="13"/>
      <c r="AX1419" s="4"/>
      <c r="AY1419" s="13"/>
      <c r="AZ1419" s="13"/>
      <c r="BA1419" s="13"/>
      <c r="BB1419" s="13"/>
      <c r="BC1419" s="4"/>
      <c r="BD1419" s="4"/>
      <c r="BE1419" s="4"/>
      <c r="BF1419" s="13"/>
      <c r="BG1419" s="4"/>
      <c r="BH1419" s="13"/>
      <c r="BI1419" s="13"/>
      <c r="BJ1419" s="4"/>
      <c r="BK1419" s="14">
        <v>11</v>
      </c>
      <c r="BL1419" s="14">
        <v>11</v>
      </c>
      <c r="BM1419" s="14">
        <v>11</v>
      </c>
      <c r="BP1419" s="15"/>
      <c r="BQ1419" s="15"/>
      <c r="BR1419" s="2" t="s">
        <v>97</v>
      </c>
      <c r="BS1419" s="2" t="s">
        <v>97</v>
      </c>
      <c r="BT1419" s="7" t="s">
        <v>98</v>
      </c>
      <c r="BU1419" s="7" t="s">
        <v>109</v>
      </c>
      <c r="BV1419" s="9" t="s">
        <v>98</v>
      </c>
      <c r="BW1419" s="9" t="s">
        <v>109</v>
      </c>
    </row>
    <row r="1420" spans="1:75" ht="14.25" customHeight="1" x14ac:dyDescent="0.25">
      <c r="A1420" s="1">
        <v>1175</v>
      </c>
      <c r="B1420" s="1" t="s">
        <v>5662</v>
      </c>
      <c r="C1420" s="1" t="s">
        <v>5663</v>
      </c>
      <c r="D1420" s="1" t="s">
        <v>77</v>
      </c>
      <c r="E1420" s="1" t="s">
        <v>2396</v>
      </c>
      <c r="F1420" s="1" t="s">
        <v>2452</v>
      </c>
      <c r="G1420" s="1" t="s">
        <v>5664</v>
      </c>
      <c r="H1420" s="2">
        <v>0</v>
      </c>
      <c r="I1420" s="2">
        <v>0</v>
      </c>
      <c r="J1420" s="2">
        <v>0</v>
      </c>
      <c r="K1420" s="2">
        <v>1</v>
      </c>
      <c r="L1420" s="3" t="s">
        <v>80</v>
      </c>
      <c r="O1420" s="4">
        <v>5</v>
      </c>
      <c r="P1420" s="4" t="s">
        <v>81</v>
      </c>
      <c r="Q1420" s="4" t="s">
        <v>5665</v>
      </c>
      <c r="R1420" s="5"/>
      <c r="S1420" s="6"/>
      <c r="T1420" s="17"/>
      <c r="U1420" s="6"/>
      <c r="V1420" s="4"/>
      <c r="W1420" s="4"/>
      <c r="X1420" s="4"/>
      <c r="Y1420" s="7">
        <v>4</v>
      </c>
      <c r="Z1420" s="8">
        <v>182762</v>
      </c>
      <c r="AA1420" s="7" t="s">
        <v>5666</v>
      </c>
      <c r="AB1420" s="7"/>
      <c r="AC1420" s="9">
        <v>4</v>
      </c>
      <c r="AD1420" s="10">
        <v>182762</v>
      </c>
      <c r="AE1420" s="9" t="s">
        <v>5666</v>
      </c>
      <c r="AF1420" s="9"/>
      <c r="AG1420" s="11">
        <v>3</v>
      </c>
      <c r="AH1420" s="11" t="s">
        <v>876</v>
      </c>
      <c r="AI1420" s="11" t="s">
        <v>4794</v>
      </c>
      <c r="AJ1420" s="11"/>
      <c r="AK1420" s="11"/>
      <c r="AL1420" s="12">
        <v>3</v>
      </c>
      <c r="AM1420" s="12" t="s">
        <v>876</v>
      </c>
      <c r="AN1420" s="12" t="s">
        <v>4794</v>
      </c>
      <c r="AO1420" s="12"/>
      <c r="AP1420" s="12"/>
      <c r="AQ1420" s="4">
        <v>4</v>
      </c>
      <c r="AR1420" s="4" t="s">
        <v>876</v>
      </c>
      <c r="AS1420" s="4" t="s">
        <v>4794</v>
      </c>
      <c r="AT1420" s="13"/>
      <c r="AU1420" s="13"/>
      <c r="AV1420" s="13"/>
      <c r="AW1420" s="13"/>
      <c r="AX1420" s="4"/>
      <c r="AY1420" s="13"/>
      <c r="AZ1420" s="13"/>
      <c r="BA1420" s="13"/>
      <c r="BB1420" s="13"/>
      <c r="BC1420" s="4"/>
      <c r="BD1420" s="4"/>
      <c r="BE1420" s="4"/>
      <c r="BF1420" s="13"/>
      <c r="BG1420" s="4"/>
      <c r="BH1420" s="13"/>
      <c r="BI1420" s="13"/>
      <c r="BJ1420" s="4"/>
      <c r="BK1420" s="14">
        <v>16</v>
      </c>
      <c r="BL1420" s="14">
        <v>16</v>
      </c>
      <c r="BM1420" s="14">
        <v>16</v>
      </c>
      <c r="BN1420" s="3" t="s">
        <v>86</v>
      </c>
      <c r="BP1420" s="15"/>
      <c r="BQ1420" s="15"/>
      <c r="BR1420" s="2" t="s">
        <v>121</v>
      </c>
      <c r="BS1420" s="2" t="s">
        <v>121</v>
      </c>
      <c r="BT1420" s="7" t="s">
        <v>98</v>
      </c>
      <c r="BU1420" s="7"/>
      <c r="BV1420" s="9" t="s">
        <v>98</v>
      </c>
      <c r="BW1420" s="9"/>
    </row>
    <row r="1421" spans="1:75" ht="14.25" customHeight="1" x14ac:dyDescent="0.25">
      <c r="A1421" s="1">
        <v>1176</v>
      </c>
      <c r="B1421" s="1" t="s">
        <v>5667</v>
      </c>
      <c r="C1421" s="1" t="s">
        <v>5668</v>
      </c>
      <c r="D1421" s="1" t="s">
        <v>77</v>
      </c>
      <c r="E1421" s="1" t="s">
        <v>2396</v>
      </c>
      <c r="F1421" s="1" t="s">
        <v>2452</v>
      </c>
      <c r="G1421" s="1"/>
      <c r="H1421" s="2">
        <v>0</v>
      </c>
      <c r="I1421" s="2">
        <v>0</v>
      </c>
      <c r="J1421" s="2">
        <v>1</v>
      </c>
      <c r="K1421" s="2">
        <v>1</v>
      </c>
      <c r="L1421" s="3" t="s">
        <v>80</v>
      </c>
      <c r="O1421" s="4">
        <v>4</v>
      </c>
      <c r="P1421" s="4" t="s">
        <v>112</v>
      </c>
      <c r="Q1421" s="4"/>
      <c r="R1421" s="5"/>
      <c r="S1421" s="6"/>
      <c r="T1421" s="17"/>
      <c r="U1421" s="6"/>
      <c r="V1421" s="4"/>
      <c r="W1421" s="4"/>
      <c r="X1421" s="4"/>
      <c r="Y1421" s="7">
        <v>3</v>
      </c>
      <c r="Z1421" s="8">
        <v>470490</v>
      </c>
      <c r="AA1421" s="7" t="s">
        <v>92</v>
      </c>
      <c r="AB1421" s="7"/>
      <c r="AC1421" s="9">
        <v>3</v>
      </c>
      <c r="AD1421" s="10">
        <v>470490</v>
      </c>
      <c r="AE1421" s="9" t="s">
        <v>92</v>
      </c>
      <c r="AF1421" s="9" t="s">
        <v>5669</v>
      </c>
      <c r="AG1421" s="11">
        <v>4</v>
      </c>
      <c r="AH1421" s="11" t="s">
        <v>93</v>
      </c>
      <c r="AI1421" s="11"/>
      <c r="AJ1421" s="11"/>
      <c r="AK1421" s="11"/>
      <c r="AL1421" s="12">
        <v>4</v>
      </c>
      <c r="AM1421" s="12" t="s">
        <v>93</v>
      </c>
      <c r="AN1421" s="12" t="s">
        <v>408</v>
      </c>
      <c r="AO1421" s="12"/>
      <c r="AP1421" s="12"/>
      <c r="AQ1421" s="4">
        <v>4</v>
      </c>
      <c r="AR1421" s="4" t="s">
        <v>83</v>
      </c>
      <c r="AS1421" s="4" t="s">
        <v>2423</v>
      </c>
      <c r="AT1421" s="13"/>
      <c r="AU1421" s="13"/>
      <c r="AV1421" s="13"/>
      <c r="AW1421" s="13"/>
      <c r="AX1421" s="4"/>
      <c r="AY1421" s="13"/>
      <c r="AZ1421" s="13"/>
      <c r="BA1421" s="13"/>
      <c r="BB1421" s="13"/>
      <c r="BC1421" s="4"/>
      <c r="BD1421" s="4"/>
      <c r="BE1421" s="4"/>
      <c r="BF1421" s="13"/>
      <c r="BG1421" s="4"/>
      <c r="BH1421" s="13"/>
      <c r="BI1421" s="13"/>
      <c r="BJ1421" s="4"/>
      <c r="BK1421" s="14">
        <v>15</v>
      </c>
      <c r="BL1421" s="14">
        <v>15</v>
      </c>
      <c r="BM1421" s="14">
        <v>15</v>
      </c>
      <c r="BN1421" s="3" t="s">
        <v>86</v>
      </c>
      <c r="BP1421" s="15"/>
      <c r="BQ1421" s="15"/>
      <c r="BR1421" s="2" t="s">
        <v>115</v>
      </c>
      <c r="BS1421" s="2" t="s">
        <v>115</v>
      </c>
      <c r="BT1421" s="7" t="s">
        <v>98</v>
      </c>
      <c r="BU1421" s="7"/>
      <c r="BV1421" s="9" t="s">
        <v>98</v>
      </c>
      <c r="BW1421" s="9"/>
    </row>
    <row r="1422" spans="1:75" ht="14.25" customHeight="1" x14ac:dyDescent="0.25">
      <c r="A1422" s="1">
        <v>1177</v>
      </c>
      <c r="B1422" s="1" t="s">
        <v>5670</v>
      </c>
      <c r="C1422" s="1" t="s">
        <v>5671</v>
      </c>
      <c r="D1422" s="1" t="s">
        <v>77</v>
      </c>
      <c r="E1422" s="1" t="s">
        <v>2396</v>
      </c>
      <c r="F1422" s="1" t="s">
        <v>2452</v>
      </c>
      <c r="G1422" s="1"/>
      <c r="H1422" s="2">
        <v>0</v>
      </c>
      <c r="I1422" s="2">
        <v>0</v>
      </c>
      <c r="J1422" s="2">
        <v>1</v>
      </c>
      <c r="K1422" s="2">
        <v>1</v>
      </c>
      <c r="L1422" s="3" t="s">
        <v>80</v>
      </c>
      <c r="O1422" s="4">
        <v>5</v>
      </c>
      <c r="P1422" s="4" t="s">
        <v>112</v>
      </c>
      <c r="Q1422" s="4" t="s">
        <v>5672</v>
      </c>
      <c r="R1422" s="5"/>
      <c r="S1422" s="6"/>
      <c r="T1422" s="17"/>
      <c r="U1422" s="6"/>
      <c r="V1422" s="4"/>
      <c r="W1422" s="4"/>
      <c r="X1422" s="4"/>
      <c r="Y1422" s="7">
        <v>4</v>
      </c>
      <c r="Z1422" s="8">
        <v>165915</v>
      </c>
      <c r="AA1422" s="7" t="s">
        <v>92</v>
      </c>
      <c r="AB1422" s="7"/>
      <c r="AC1422" s="9">
        <v>4</v>
      </c>
      <c r="AD1422" s="10">
        <v>165915</v>
      </c>
      <c r="AE1422" s="9" t="s">
        <v>92</v>
      </c>
      <c r="AF1422" s="9"/>
      <c r="AG1422" s="11">
        <v>3</v>
      </c>
      <c r="AH1422" s="11" t="s">
        <v>93</v>
      </c>
      <c r="AI1422" s="11"/>
      <c r="AJ1422" s="11"/>
      <c r="AK1422" s="11"/>
      <c r="AL1422" s="12">
        <v>3</v>
      </c>
      <c r="AM1422" s="12" t="s">
        <v>93</v>
      </c>
      <c r="AN1422" s="12" t="s">
        <v>698</v>
      </c>
      <c r="AO1422" s="12"/>
      <c r="AP1422" s="12"/>
      <c r="AQ1422" s="4">
        <v>3</v>
      </c>
      <c r="AR1422" s="4" t="s">
        <v>83</v>
      </c>
      <c r="AS1422" s="4"/>
      <c r="AT1422" s="13"/>
      <c r="AU1422" s="13"/>
      <c r="AV1422" s="13"/>
      <c r="AW1422" s="13"/>
      <c r="AX1422" s="4"/>
      <c r="AY1422" s="13"/>
      <c r="AZ1422" s="13"/>
      <c r="BA1422" s="13"/>
      <c r="BB1422" s="13"/>
      <c r="BC1422" s="4"/>
      <c r="BD1422" s="4"/>
      <c r="BE1422" s="4"/>
      <c r="BF1422" s="13"/>
      <c r="BG1422" s="4"/>
      <c r="BH1422" s="13"/>
      <c r="BI1422" s="13"/>
      <c r="BJ1422" s="4"/>
      <c r="BK1422" s="14">
        <v>15</v>
      </c>
      <c r="BL1422" s="14">
        <v>15</v>
      </c>
      <c r="BM1422" s="14">
        <v>15</v>
      </c>
      <c r="BN1422" s="3" t="s">
        <v>86</v>
      </c>
      <c r="BP1422" s="15"/>
      <c r="BQ1422" s="15"/>
      <c r="BR1422" s="2" t="s">
        <v>115</v>
      </c>
      <c r="BS1422" s="2" t="s">
        <v>115</v>
      </c>
      <c r="BT1422" s="7" t="s">
        <v>98</v>
      </c>
      <c r="BU1422" s="7" t="s">
        <v>109</v>
      </c>
      <c r="BV1422" s="9" t="s">
        <v>98</v>
      </c>
      <c r="BW1422" s="9" t="s">
        <v>109</v>
      </c>
    </row>
    <row r="1423" spans="1:75" ht="14.25" customHeight="1" x14ac:dyDescent="0.25">
      <c r="A1423" s="1">
        <v>1179</v>
      </c>
      <c r="B1423" s="1" t="s">
        <v>5673</v>
      </c>
      <c r="C1423" s="1" t="s">
        <v>5674</v>
      </c>
      <c r="D1423" s="1" t="s">
        <v>77</v>
      </c>
      <c r="E1423" s="1" t="s">
        <v>2396</v>
      </c>
      <c r="F1423" s="1" t="s">
        <v>2452</v>
      </c>
      <c r="G1423" s="1"/>
      <c r="H1423" s="2">
        <v>0</v>
      </c>
      <c r="I1423" s="2">
        <v>1</v>
      </c>
      <c r="J1423" s="2">
        <v>1</v>
      </c>
      <c r="K1423" s="2">
        <v>1</v>
      </c>
      <c r="L1423" s="3" t="s">
        <v>127</v>
      </c>
      <c r="O1423" s="4">
        <v>2</v>
      </c>
      <c r="P1423" s="4" t="s">
        <v>706</v>
      </c>
      <c r="Q1423" s="4"/>
      <c r="R1423" s="16">
        <v>20000000</v>
      </c>
      <c r="S1423" s="6">
        <v>20000000</v>
      </c>
      <c r="T1423" s="17" t="s">
        <v>707</v>
      </c>
      <c r="U1423" s="6">
        <v>10000</v>
      </c>
      <c r="V1423" s="4"/>
      <c r="W1423" s="4" t="s">
        <v>543</v>
      </c>
      <c r="X1423" s="4"/>
      <c r="Y1423" s="7">
        <v>1</v>
      </c>
      <c r="Z1423" s="8">
        <v>10609885</v>
      </c>
      <c r="AA1423" s="7" t="s">
        <v>92</v>
      </c>
      <c r="AB1423" s="7"/>
      <c r="AC1423" s="9">
        <v>1</v>
      </c>
      <c r="AD1423" s="10">
        <v>10319630</v>
      </c>
      <c r="AE1423" s="9" t="s">
        <v>92</v>
      </c>
      <c r="AF1423" s="9"/>
      <c r="AG1423" s="11">
        <v>3</v>
      </c>
      <c r="AH1423" s="11" t="s">
        <v>131</v>
      </c>
      <c r="AI1423" s="11" t="s">
        <v>5675</v>
      </c>
      <c r="AJ1423" s="11">
        <v>3</v>
      </c>
      <c r="AK1423" s="11" t="s">
        <v>132</v>
      </c>
      <c r="AL1423" s="12">
        <v>3</v>
      </c>
      <c r="AM1423" s="12" t="s">
        <v>131</v>
      </c>
      <c r="AN1423" s="12" t="s">
        <v>394</v>
      </c>
      <c r="AO1423" s="12">
        <v>2</v>
      </c>
      <c r="AP1423" s="12" t="s">
        <v>132</v>
      </c>
      <c r="AQ1423" s="4">
        <v>3</v>
      </c>
      <c r="AR1423" s="4" t="s">
        <v>93</v>
      </c>
      <c r="AS1423" s="4"/>
      <c r="AT1423" s="13"/>
      <c r="AU1423" s="13"/>
      <c r="AV1423" s="13"/>
      <c r="AW1423" s="13"/>
      <c r="AX1423" s="4"/>
      <c r="AY1423" s="13"/>
      <c r="AZ1423" s="13"/>
      <c r="BA1423" s="13"/>
      <c r="BB1423" s="13"/>
      <c r="BC1423" s="4"/>
      <c r="BD1423" s="4"/>
      <c r="BE1423" s="4"/>
      <c r="BF1423" s="13"/>
      <c r="BG1423" s="4"/>
      <c r="BH1423" s="13"/>
      <c r="BI1423" s="13"/>
      <c r="BJ1423" s="4"/>
      <c r="BK1423" s="14">
        <v>9</v>
      </c>
      <c r="BL1423" s="14">
        <v>9</v>
      </c>
      <c r="BM1423" s="14">
        <v>9</v>
      </c>
      <c r="BP1423" s="15"/>
      <c r="BQ1423" s="15"/>
      <c r="BR1423" s="2" t="s">
        <v>97</v>
      </c>
      <c r="BS1423" s="2" t="s">
        <v>97</v>
      </c>
      <c r="BT1423" s="7" t="s">
        <v>797</v>
      </c>
      <c r="BU1423" s="7"/>
      <c r="BV1423" s="9" t="s">
        <v>797</v>
      </c>
      <c r="BW1423" s="9"/>
    </row>
    <row r="1424" spans="1:75" ht="14.25" customHeight="1" x14ac:dyDescent="0.25">
      <c r="A1424" s="1">
        <v>1180</v>
      </c>
      <c r="B1424" s="1" t="s">
        <v>5676</v>
      </c>
      <c r="C1424" s="1" t="s">
        <v>5677</v>
      </c>
      <c r="D1424" s="1" t="s">
        <v>77</v>
      </c>
      <c r="E1424" s="1" t="s">
        <v>2396</v>
      </c>
      <c r="F1424" s="1" t="s">
        <v>2452</v>
      </c>
      <c r="G1424" s="1"/>
      <c r="H1424" s="2">
        <v>0</v>
      </c>
      <c r="I1424" s="2">
        <v>0</v>
      </c>
      <c r="J1424" s="2">
        <v>0</v>
      </c>
      <c r="K1424" s="2">
        <v>1</v>
      </c>
      <c r="L1424" s="3" t="s">
        <v>80</v>
      </c>
      <c r="O1424" s="4">
        <v>3</v>
      </c>
      <c r="P1424" s="4" t="s">
        <v>81</v>
      </c>
      <c r="Q1424" s="4"/>
      <c r="R1424" s="5"/>
      <c r="S1424" s="6"/>
      <c r="T1424" s="17"/>
      <c r="U1424" s="6"/>
      <c r="V1424" s="4"/>
      <c r="W1424" s="4"/>
      <c r="X1424" s="4"/>
      <c r="Y1424" s="7">
        <v>3</v>
      </c>
      <c r="Z1424" s="8">
        <v>371089</v>
      </c>
      <c r="AA1424" s="7" t="s">
        <v>82</v>
      </c>
      <c r="AB1424" s="7"/>
      <c r="AC1424" s="9">
        <v>3</v>
      </c>
      <c r="AD1424" s="10">
        <v>371089</v>
      </c>
      <c r="AE1424" s="9" t="s">
        <v>82</v>
      </c>
      <c r="AF1424" s="9"/>
      <c r="AG1424" s="11">
        <v>3</v>
      </c>
      <c r="AH1424" s="11" t="s">
        <v>83</v>
      </c>
      <c r="AI1424" s="11"/>
      <c r="AJ1424" s="11"/>
      <c r="AK1424" s="11"/>
      <c r="AL1424" s="12">
        <v>3</v>
      </c>
      <c r="AM1424" s="12" t="s">
        <v>83</v>
      </c>
      <c r="AN1424" s="12"/>
      <c r="AO1424" s="12"/>
      <c r="AP1424" s="12"/>
      <c r="AQ1424" s="4">
        <v>3</v>
      </c>
      <c r="AR1424" s="4" t="s">
        <v>83</v>
      </c>
      <c r="AS1424" s="4"/>
      <c r="AT1424" s="13"/>
      <c r="AU1424" s="13"/>
      <c r="AV1424" s="13"/>
      <c r="AW1424" s="13"/>
      <c r="AX1424" s="4"/>
      <c r="AY1424" s="13"/>
      <c r="AZ1424" s="13"/>
      <c r="BA1424" s="13"/>
      <c r="BB1424" s="13"/>
      <c r="BC1424" s="4"/>
      <c r="BD1424" s="4"/>
      <c r="BE1424" s="4"/>
      <c r="BF1424" s="13"/>
      <c r="BG1424" s="4"/>
      <c r="BH1424" s="13"/>
      <c r="BI1424" s="13"/>
      <c r="BJ1424" s="4"/>
      <c r="BK1424" s="14">
        <v>12</v>
      </c>
      <c r="BL1424" s="14">
        <v>12</v>
      </c>
      <c r="BM1424" s="14">
        <v>12</v>
      </c>
      <c r="BP1424" s="15"/>
      <c r="BQ1424" s="15"/>
      <c r="BR1424" s="2" t="s">
        <v>121</v>
      </c>
      <c r="BS1424" s="2" t="s">
        <v>121</v>
      </c>
      <c r="BT1424" s="7" t="s">
        <v>109</v>
      </c>
      <c r="BU1424" s="7" t="s">
        <v>623</v>
      </c>
      <c r="BV1424" s="9" t="s">
        <v>109</v>
      </c>
      <c r="BW1424" s="9" t="s">
        <v>623</v>
      </c>
    </row>
    <row r="1425" spans="1:75" ht="14.25" customHeight="1" x14ac:dyDescent="0.25">
      <c r="A1425" s="1">
        <v>1181</v>
      </c>
      <c r="B1425" s="1" t="s">
        <v>5678</v>
      </c>
      <c r="C1425" s="1" t="s">
        <v>5679</v>
      </c>
      <c r="D1425" s="1" t="s">
        <v>77</v>
      </c>
      <c r="E1425" s="1" t="s">
        <v>2396</v>
      </c>
      <c r="F1425" s="1" t="s">
        <v>2452</v>
      </c>
      <c r="G1425" s="1"/>
      <c r="H1425" s="2">
        <v>0</v>
      </c>
      <c r="I1425" s="2">
        <v>1</v>
      </c>
      <c r="J1425" s="2">
        <v>1</v>
      </c>
      <c r="K1425" s="2">
        <v>1</v>
      </c>
      <c r="L1425" s="3" t="s">
        <v>127</v>
      </c>
      <c r="O1425" s="4">
        <v>2</v>
      </c>
      <c r="P1425" s="4" t="s">
        <v>424</v>
      </c>
      <c r="Q1425" s="4"/>
      <c r="R1425" s="16">
        <v>10000000</v>
      </c>
      <c r="S1425" s="6">
        <v>10000000</v>
      </c>
      <c r="T1425" s="16">
        <v>6800000</v>
      </c>
      <c r="U1425" s="6">
        <v>6800000</v>
      </c>
      <c r="V1425" s="4">
        <v>2010.5</v>
      </c>
      <c r="W1425" s="4" t="s">
        <v>425</v>
      </c>
      <c r="X1425" s="4"/>
      <c r="Y1425" s="7">
        <v>2</v>
      </c>
      <c r="Z1425" s="8">
        <v>3495016</v>
      </c>
      <c r="AA1425" s="7" t="s">
        <v>92</v>
      </c>
      <c r="AB1425" s="7"/>
      <c r="AC1425" s="9">
        <v>3</v>
      </c>
      <c r="AD1425" s="10">
        <v>927035</v>
      </c>
      <c r="AE1425" s="9" t="s">
        <v>92</v>
      </c>
      <c r="AF1425" s="9"/>
      <c r="AG1425" s="11">
        <v>2</v>
      </c>
      <c r="AH1425" s="11" t="s">
        <v>131</v>
      </c>
      <c r="AI1425" s="11"/>
      <c r="AJ1425" s="11">
        <v>2</v>
      </c>
      <c r="AK1425" s="11" t="s">
        <v>132</v>
      </c>
      <c r="AL1425" s="12">
        <v>2</v>
      </c>
      <c r="AM1425" s="12" t="s">
        <v>131</v>
      </c>
      <c r="AN1425" s="12"/>
      <c r="AO1425" s="12">
        <v>2</v>
      </c>
      <c r="AP1425" s="12" t="s">
        <v>132</v>
      </c>
      <c r="AQ1425" s="4">
        <v>1</v>
      </c>
      <c r="AR1425" s="4" t="s">
        <v>133</v>
      </c>
      <c r="AS1425" s="4"/>
      <c r="AT1425" s="13">
        <v>51.912189483642599</v>
      </c>
      <c r="AU1425" s="13">
        <v>0.82350045442581199</v>
      </c>
      <c r="AV1425" s="13">
        <v>0.56999999284744296</v>
      </c>
      <c r="AW1425" s="13">
        <v>1.08000004291534</v>
      </c>
      <c r="AX1425" s="4">
        <v>1</v>
      </c>
      <c r="AY1425" s="13">
        <v>3.01756620407104</v>
      </c>
      <c r="AZ1425" s="13">
        <v>0.29773259162902799</v>
      </c>
      <c r="BA1425" s="13">
        <v>-0.83899998664856001</v>
      </c>
      <c r="BB1425" s="13">
        <v>1.32639396190643</v>
      </c>
      <c r="BC1425" s="4"/>
      <c r="BD1425" s="4">
        <v>10</v>
      </c>
      <c r="BE1425" s="4" t="s">
        <v>134</v>
      </c>
      <c r="BF1425" s="13">
        <v>0.50999999046325695</v>
      </c>
      <c r="BG1425" s="4">
        <v>745.5</v>
      </c>
      <c r="BH1425" s="13">
        <v>6.5900001525878897</v>
      </c>
      <c r="BI1425" s="13">
        <v>4911.9599609375</v>
      </c>
      <c r="BJ1425" s="4"/>
      <c r="BK1425" s="14">
        <v>7</v>
      </c>
      <c r="BL1425" s="14">
        <v>8</v>
      </c>
      <c r="BM1425" s="14">
        <v>8</v>
      </c>
      <c r="BP1425" s="15"/>
      <c r="BQ1425" s="15"/>
      <c r="BR1425" s="2" t="s">
        <v>297</v>
      </c>
      <c r="BS1425" s="2" t="s">
        <v>108</v>
      </c>
      <c r="BT1425" s="7" t="s">
        <v>475</v>
      </c>
      <c r="BU1425" s="7" t="s">
        <v>428</v>
      </c>
      <c r="BV1425" s="9" t="s">
        <v>109</v>
      </c>
      <c r="BW1425" s="9" t="s">
        <v>475</v>
      </c>
    </row>
    <row r="1426" spans="1:75" ht="14.25" customHeight="1" x14ac:dyDescent="0.25">
      <c r="A1426" s="1">
        <v>1182</v>
      </c>
      <c r="B1426" s="1" t="s">
        <v>5680</v>
      </c>
      <c r="C1426" s="1" t="s">
        <v>5681</v>
      </c>
      <c r="D1426" s="1" t="s">
        <v>77</v>
      </c>
      <c r="E1426" s="1" t="s">
        <v>2396</v>
      </c>
      <c r="F1426" s="1" t="s">
        <v>2452</v>
      </c>
      <c r="G1426" s="1"/>
      <c r="H1426" s="2">
        <v>0</v>
      </c>
      <c r="I1426" s="2">
        <v>0</v>
      </c>
      <c r="J1426" s="2">
        <v>1</v>
      </c>
      <c r="K1426" s="2">
        <v>1</v>
      </c>
      <c r="L1426" s="3" t="s">
        <v>80</v>
      </c>
      <c r="O1426" s="4">
        <v>3</v>
      </c>
      <c r="P1426" s="4" t="s">
        <v>112</v>
      </c>
      <c r="Q1426" s="4"/>
      <c r="R1426" s="5"/>
      <c r="S1426" s="6"/>
      <c r="T1426" s="17"/>
      <c r="U1426" s="6"/>
      <c r="V1426" s="4"/>
      <c r="W1426" s="4"/>
      <c r="X1426" s="4"/>
      <c r="Y1426" s="7">
        <v>3</v>
      </c>
      <c r="Z1426" s="8">
        <v>636211</v>
      </c>
      <c r="AA1426" s="7" t="s">
        <v>92</v>
      </c>
      <c r="AB1426" s="7"/>
      <c r="AC1426" s="9">
        <v>3</v>
      </c>
      <c r="AD1426" s="10">
        <v>636211</v>
      </c>
      <c r="AE1426" s="9" t="s">
        <v>92</v>
      </c>
      <c r="AF1426" s="9"/>
      <c r="AG1426" s="11">
        <v>3</v>
      </c>
      <c r="AH1426" s="11" t="s">
        <v>93</v>
      </c>
      <c r="AI1426" s="11"/>
      <c r="AJ1426" s="11"/>
      <c r="AK1426" s="11"/>
      <c r="AL1426" s="12">
        <v>3</v>
      </c>
      <c r="AM1426" s="12" t="s">
        <v>93</v>
      </c>
      <c r="AN1426" s="12" t="s">
        <v>698</v>
      </c>
      <c r="AO1426" s="12"/>
      <c r="AP1426" s="12"/>
      <c r="AQ1426" s="4">
        <v>4</v>
      </c>
      <c r="AR1426" s="4" t="s">
        <v>83</v>
      </c>
      <c r="AS1426" s="4" t="s">
        <v>4814</v>
      </c>
      <c r="AT1426" s="13"/>
      <c r="AU1426" s="13"/>
      <c r="AV1426" s="13"/>
      <c r="AW1426" s="13"/>
      <c r="AX1426" s="4"/>
      <c r="AY1426" s="13"/>
      <c r="AZ1426" s="13"/>
      <c r="BA1426" s="13"/>
      <c r="BB1426" s="13"/>
      <c r="BC1426" s="4"/>
      <c r="BD1426" s="4"/>
      <c r="BE1426" s="4"/>
      <c r="BF1426" s="13"/>
      <c r="BG1426" s="4"/>
      <c r="BH1426" s="13"/>
      <c r="BI1426" s="13"/>
      <c r="BJ1426" s="4"/>
      <c r="BK1426" s="14">
        <v>13</v>
      </c>
      <c r="BL1426" s="14">
        <v>13</v>
      </c>
      <c r="BM1426" s="14">
        <v>13</v>
      </c>
      <c r="BP1426" s="15"/>
      <c r="BQ1426" s="15"/>
      <c r="BR1426" s="2" t="s">
        <v>108</v>
      </c>
      <c r="BS1426" s="2" t="s">
        <v>108</v>
      </c>
      <c r="BT1426" s="7" t="s">
        <v>109</v>
      </c>
      <c r="BU1426" s="7"/>
      <c r="BV1426" s="9" t="s">
        <v>109</v>
      </c>
      <c r="BW1426" s="9"/>
    </row>
    <row r="1427" spans="1:75" ht="14.25" customHeight="1" x14ac:dyDescent="0.25">
      <c r="A1427" s="1">
        <v>1183</v>
      </c>
      <c r="B1427" s="1" t="s">
        <v>5682</v>
      </c>
      <c r="C1427" s="1" t="s">
        <v>5683</v>
      </c>
      <c r="D1427" s="1" t="s">
        <v>77</v>
      </c>
      <c r="E1427" s="1" t="s">
        <v>2396</v>
      </c>
      <c r="F1427" s="1" t="s">
        <v>2452</v>
      </c>
      <c r="G1427" s="1" t="s">
        <v>118</v>
      </c>
      <c r="H1427" s="2">
        <v>1</v>
      </c>
      <c r="I1427" s="2">
        <v>1</v>
      </c>
      <c r="J1427" s="2">
        <v>1</v>
      </c>
      <c r="K1427" s="2">
        <v>1</v>
      </c>
      <c r="L1427" s="3" t="s">
        <v>127</v>
      </c>
      <c r="O1427" s="4">
        <v>2</v>
      </c>
      <c r="P1427" s="4" t="s">
        <v>424</v>
      </c>
      <c r="Q1427" s="4"/>
      <c r="R1427" s="16">
        <v>8800000</v>
      </c>
      <c r="S1427" s="6">
        <v>8800000</v>
      </c>
      <c r="T1427" s="16">
        <v>8800000</v>
      </c>
      <c r="U1427" s="6">
        <v>8800000</v>
      </c>
      <c r="V1427" s="4">
        <v>2010.5</v>
      </c>
      <c r="W1427" s="4" t="s">
        <v>425</v>
      </c>
      <c r="X1427" s="4"/>
      <c r="Y1427" s="7">
        <v>1</v>
      </c>
      <c r="Z1427" s="8">
        <v>5128258</v>
      </c>
      <c r="AA1427" s="7" t="s">
        <v>92</v>
      </c>
      <c r="AB1427" s="7"/>
      <c r="AC1427" s="9">
        <v>2</v>
      </c>
      <c r="AD1427" s="10">
        <v>1274769</v>
      </c>
      <c r="AE1427" s="9" t="s">
        <v>92</v>
      </c>
      <c r="AF1427" s="9"/>
      <c r="AG1427" s="11">
        <v>3</v>
      </c>
      <c r="AH1427" s="11" t="s">
        <v>131</v>
      </c>
      <c r="AI1427" s="11" t="s">
        <v>5684</v>
      </c>
      <c r="AJ1427" s="11">
        <v>3</v>
      </c>
      <c r="AK1427" s="11" t="s">
        <v>332</v>
      </c>
      <c r="AL1427" s="12">
        <v>2</v>
      </c>
      <c r="AM1427" s="12" t="s">
        <v>131</v>
      </c>
      <c r="AN1427" s="12" t="s">
        <v>5685</v>
      </c>
      <c r="AO1427" s="12">
        <v>1</v>
      </c>
      <c r="AP1427" s="12" t="s">
        <v>143</v>
      </c>
      <c r="AQ1427" s="4">
        <v>2</v>
      </c>
      <c r="AR1427" s="4" t="s">
        <v>133</v>
      </c>
      <c r="AS1427" s="4"/>
      <c r="AT1427" s="13">
        <v>-0.120759844779968</v>
      </c>
      <c r="AU1427" s="13">
        <v>-2.3611136712133902E-3</v>
      </c>
      <c r="AV1427" s="13">
        <v>-0.152999997138977</v>
      </c>
      <c r="AW1427" s="13">
        <v>0.101696997880936</v>
      </c>
      <c r="AX1427" s="4"/>
      <c r="AY1427" s="13">
        <v>1.47946560382843</v>
      </c>
      <c r="AZ1427" s="13">
        <v>0.14728452265262601</v>
      </c>
      <c r="BA1427" s="13">
        <v>-0.392996996641159</v>
      </c>
      <c r="BB1427" s="13">
        <v>0.79600000381469704</v>
      </c>
      <c r="BC1427" s="4"/>
      <c r="BD1427" s="4">
        <v>10</v>
      </c>
      <c r="BE1427" s="4" t="s">
        <v>134</v>
      </c>
      <c r="BF1427" s="13">
        <v>0.254696995019913</v>
      </c>
      <c r="BG1427" s="4">
        <v>2743</v>
      </c>
      <c r="BH1427" s="13">
        <v>2.7850000858306898</v>
      </c>
      <c r="BI1427" s="13">
        <v>7639.34521484375</v>
      </c>
      <c r="BJ1427" s="4"/>
      <c r="BK1427" s="14">
        <v>8</v>
      </c>
      <c r="BL1427" s="14">
        <v>8</v>
      </c>
      <c r="BM1427" s="14">
        <v>8</v>
      </c>
      <c r="BP1427" s="15" t="s">
        <v>135</v>
      </c>
      <c r="BQ1427" s="15"/>
      <c r="BR1427" s="2" t="s">
        <v>239</v>
      </c>
      <c r="BS1427" s="2" t="s">
        <v>400</v>
      </c>
      <c r="BT1427" s="7" t="s">
        <v>241</v>
      </c>
      <c r="BU1427" s="7"/>
      <c r="BV1427" s="9" t="s">
        <v>98</v>
      </c>
      <c r="BW1427" s="9"/>
    </row>
    <row r="1428" spans="1:75" ht="14.25" customHeight="1" x14ac:dyDescent="0.25">
      <c r="A1428" s="1">
        <v>1184</v>
      </c>
      <c r="B1428" s="1" t="s">
        <v>5686</v>
      </c>
      <c r="C1428" s="1" t="s">
        <v>5687</v>
      </c>
      <c r="D1428" s="1" t="s">
        <v>77</v>
      </c>
      <c r="E1428" s="1" t="s">
        <v>2396</v>
      </c>
      <c r="F1428" s="1" t="s">
        <v>2452</v>
      </c>
      <c r="G1428" s="1"/>
      <c r="H1428" s="2">
        <v>0</v>
      </c>
      <c r="I1428" s="2">
        <v>1</v>
      </c>
      <c r="J1428" s="2">
        <v>1</v>
      </c>
      <c r="K1428" s="2">
        <v>1</v>
      </c>
      <c r="L1428" s="3" t="s">
        <v>127</v>
      </c>
      <c r="O1428" s="4">
        <v>2</v>
      </c>
      <c r="P1428" s="4" t="s">
        <v>470</v>
      </c>
      <c r="Q1428" s="4"/>
      <c r="R1428" s="16">
        <v>14000000</v>
      </c>
      <c r="S1428" s="6">
        <v>14000000</v>
      </c>
      <c r="T1428" s="16">
        <v>1000000</v>
      </c>
      <c r="U1428" s="6">
        <v>1000000</v>
      </c>
      <c r="V1428" s="4">
        <v>2010.5</v>
      </c>
      <c r="W1428" s="4" t="s">
        <v>425</v>
      </c>
      <c r="X1428" s="4"/>
      <c r="Y1428" s="7">
        <v>1</v>
      </c>
      <c r="Z1428" s="8">
        <v>10392335</v>
      </c>
      <c r="AA1428" s="7" t="s">
        <v>92</v>
      </c>
      <c r="AB1428" s="7"/>
      <c r="AC1428" s="9">
        <v>1</v>
      </c>
      <c r="AD1428" s="10">
        <v>9765294</v>
      </c>
      <c r="AE1428" s="9" t="s">
        <v>92</v>
      </c>
      <c r="AF1428" s="9"/>
      <c r="AG1428" s="11">
        <v>3</v>
      </c>
      <c r="AH1428" s="11" t="s">
        <v>3247</v>
      </c>
      <c r="AI1428" s="11" t="s">
        <v>5688</v>
      </c>
      <c r="AJ1428" s="11">
        <v>1</v>
      </c>
      <c r="AK1428" s="11" t="s">
        <v>132</v>
      </c>
      <c r="AL1428" s="12">
        <v>3</v>
      </c>
      <c r="AM1428" s="12" t="s">
        <v>3247</v>
      </c>
      <c r="AN1428" s="12" t="s">
        <v>394</v>
      </c>
      <c r="AO1428" s="12">
        <v>1</v>
      </c>
      <c r="AP1428" s="12" t="s">
        <v>132</v>
      </c>
      <c r="AQ1428" s="4">
        <v>3</v>
      </c>
      <c r="AR1428" s="4" t="s">
        <v>673</v>
      </c>
      <c r="AS1428" s="4" t="s">
        <v>5689</v>
      </c>
      <c r="AT1428" s="13"/>
      <c r="AU1428" s="13"/>
      <c r="AV1428" s="13"/>
      <c r="AW1428" s="13"/>
      <c r="AX1428" s="4"/>
      <c r="AY1428" s="13"/>
      <c r="AZ1428" s="13"/>
      <c r="BA1428" s="13"/>
      <c r="BB1428" s="13"/>
      <c r="BC1428" s="4"/>
      <c r="BD1428" s="4"/>
      <c r="BE1428" s="4"/>
      <c r="BF1428" s="13"/>
      <c r="BG1428" s="4"/>
      <c r="BH1428" s="13"/>
      <c r="BI1428" s="13"/>
      <c r="BJ1428" s="4"/>
      <c r="BK1428" s="14">
        <v>9</v>
      </c>
      <c r="BL1428" s="14">
        <v>9</v>
      </c>
      <c r="BM1428" s="14">
        <v>9</v>
      </c>
      <c r="BP1428" s="15"/>
      <c r="BQ1428" s="15"/>
      <c r="BR1428" s="2" t="s">
        <v>97</v>
      </c>
      <c r="BS1428" s="2" t="s">
        <v>97</v>
      </c>
      <c r="BT1428" s="7" t="s">
        <v>109</v>
      </c>
      <c r="BU1428" s="7" t="s">
        <v>487</v>
      </c>
      <c r="BV1428" s="9" t="s">
        <v>109</v>
      </c>
      <c r="BW1428" s="9"/>
    </row>
    <row r="1429" spans="1:75" ht="14.25" customHeight="1" x14ac:dyDescent="0.25">
      <c r="A1429" s="1">
        <v>1191</v>
      </c>
      <c r="B1429" s="1" t="s">
        <v>5690</v>
      </c>
      <c r="C1429" s="1" t="s">
        <v>5691</v>
      </c>
      <c r="D1429" s="1" t="s">
        <v>77</v>
      </c>
      <c r="E1429" s="1" t="s">
        <v>2396</v>
      </c>
      <c r="F1429" s="1" t="s">
        <v>2452</v>
      </c>
      <c r="G1429" s="1" t="s">
        <v>5692</v>
      </c>
      <c r="H1429" s="2">
        <v>0</v>
      </c>
      <c r="I1429" s="2">
        <v>0</v>
      </c>
      <c r="J1429" s="2">
        <v>1</v>
      </c>
      <c r="K1429" s="2">
        <v>0</v>
      </c>
      <c r="L1429" s="3" t="s">
        <v>80</v>
      </c>
      <c r="O1429" s="4">
        <v>5</v>
      </c>
      <c r="P1429" s="4" t="s">
        <v>112</v>
      </c>
      <c r="Q1429" s="4"/>
      <c r="R1429" s="5"/>
      <c r="S1429" s="6"/>
      <c r="T1429" s="17"/>
      <c r="U1429" s="6"/>
      <c r="V1429" s="4"/>
      <c r="W1429" s="4"/>
      <c r="X1429" s="4"/>
      <c r="Y1429" s="7">
        <v>5</v>
      </c>
      <c r="Z1429" s="8">
        <v>66238</v>
      </c>
      <c r="AA1429" s="7" t="s">
        <v>92</v>
      </c>
      <c r="AB1429" s="7"/>
      <c r="AC1429" s="9">
        <v>5</v>
      </c>
      <c r="AD1429" s="10">
        <v>66238</v>
      </c>
      <c r="AE1429" s="9" t="s">
        <v>92</v>
      </c>
      <c r="AF1429" s="9"/>
      <c r="AG1429" s="11">
        <v>4</v>
      </c>
      <c r="AH1429" s="11" t="s">
        <v>93</v>
      </c>
      <c r="AI1429" s="11" t="s">
        <v>5693</v>
      </c>
      <c r="AJ1429" s="11"/>
      <c r="AK1429" s="11"/>
      <c r="AL1429" s="12">
        <v>4</v>
      </c>
      <c r="AM1429" s="12" t="s">
        <v>93</v>
      </c>
      <c r="AN1429" s="12" t="s">
        <v>805</v>
      </c>
      <c r="AO1429" s="12"/>
      <c r="AP1429" s="12"/>
      <c r="AQ1429" s="4">
        <v>4</v>
      </c>
      <c r="AR1429" s="4" t="s">
        <v>441</v>
      </c>
      <c r="AS1429" s="4" t="s">
        <v>3154</v>
      </c>
      <c r="AT1429" s="13"/>
      <c r="AU1429" s="13"/>
      <c r="AV1429" s="13"/>
      <c r="AW1429" s="13"/>
      <c r="AX1429" s="4"/>
      <c r="AY1429" s="13"/>
      <c r="AZ1429" s="13"/>
      <c r="BA1429" s="13"/>
      <c r="BB1429" s="13"/>
      <c r="BC1429" s="4"/>
      <c r="BD1429" s="4"/>
      <c r="BE1429" s="4"/>
      <c r="BF1429" s="13"/>
      <c r="BG1429" s="4"/>
      <c r="BH1429" s="13"/>
      <c r="BI1429" s="13"/>
      <c r="BJ1429" s="4"/>
      <c r="BK1429" s="14">
        <v>18</v>
      </c>
      <c r="BL1429" s="14">
        <v>18</v>
      </c>
      <c r="BM1429" s="14">
        <v>18</v>
      </c>
      <c r="BN1429" s="3" t="s">
        <v>312</v>
      </c>
      <c r="BP1429" s="15"/>
      <c r="BQ1429" s="15"/>
      <c r="BR1429" s="2" t="s">
        <v>108</v>
      </c>
      <c r="BS1429" s="2" t="s">
        <v>108</v>
      </c>
      <c r="BT1429" s="7" t="s">
        <v>109</v>
      </c>
      <c r="BU1429" s="7"/>
      <c r="BV1429" s="9" t="s">
        <v>109</v>
      </c>
      <c r="BW1429" s="9"/>
    </row>
    <row r="1430" spans="1:75" ht="14.25" customHeight="1" x14ac:dyDescent="0.25">
      <c r="A1430" s="1">
        <v>1192</v>
      </c>
      <c r="B1430" s="1" t="s">
        <v>5694</v>
      </c>
      <c r="C1430" s="1" t="s">
        <v>5695</v>
      </c>
      <c r="D1430" s="1" t="s">
        <v>77</v>
      </c>
      <c r="E1430" s="1" t="s">
        <v>2396</v>
      </c>
      <c r="F1430" s="1" t="s">
        <v>2452</v>
      </c>
      <c r="G1430" s="1" t="s">
        <v>5696</v>
      </c>
      <c r="H1430" s="2">
        <v>0</v>
      </c>
      <c r="I1430" s="2">
        <v>0</v>
      </c>
      <c r="J1430" s="2">
        <v>0</v>
      </c>
      <c r="K1430" s="2">
        <v>1</v>
      </c>
      <c r="L1430" s="3" t="s">
        <v>80</v>
      </c>
      <c r="O1430" s="4">
        <v>2</v>
      </c>
      <c r="P1430" s="4" t="s">
        <v>81</v>
      </c>
      <c r="Q1430" s="4"/>
      <c r="R1430" s="5"/>
      <c r="S1430" s="6"/>
      <c r="T1430" s="17"/>
      <c r="U1430" s="6"/>
      <c r="V1430" s="4"/>
      <c r="W1430" s="4"/>
      <c r="X1430" s="4"/>
      <c r="Y1430" s="7">
        <v>1</v>
      </c>
      <c r="Z1430" s="8">
        <v>9216754</v>
      </c>
      <c r="AA1430" s="7" t="s">
        <v>82</v>
      </c>
      <c r="AB1430" s="7"/>
      <c r="AC1430" s="9">
        <v>1</v>
      </c>
      <c r="AD1430" s="10">
        <v>9216754</v>
      </c>
      <c r="AE1430" s="9" t="s">
        <v>82</v>
      </c>
      <c r="AF1430" s="9"/>
      <c r="AG1430" s="11">
        <v>4</v>
      </c>
      <c r="AH1430" s="11" t="s">
        <v>83</v>
      </c>
      <c r="AI1430" s="11"/>
      <c r="AJ1430" s="11"/>
      <c r="AK1430" s="11"/>
      <c r="AL1430" s="12">
        <v>4</v>
      </c>
      <c r="AM1430" s="12" t="s">
        <v>83</v>
      </c>
      <c r="AN1430" s="12"/>
      <c r="AO1430" s="12"/>
      <c r="AP1430" s="12"/>
      <c r="AQ1430" s="4">
        <v>4</v>
      </c>
      <c r="AR1430" s="4" t="s">
        <v>83</v>
      </c>
      <c r="AS1430" s="4"/>
      <c r="AT1430" s="13"/>
      <c r="AU1430" s="13"/>
      <c r="AV1430" s="13"/>
      <c r="AW1430" s="13"/>
      <c r="AX1430" s="4"/>
      <c r="AY1430" s="13"/>
      <c r="AZ1430" s="13"/>
      <c r="BA1430" s="13"/>
      <c r="BB1430" s="13"/>
      <c r="BC1430" s="4"/>
      <c r="BD1430" s="4"/>
      <c r="BE1430" s="4"/>
      <c r="BF1430" s="13"/>
      <c r="BG1430" s="4"/>
      <c r="BH1430" s="13"/>
      <c r="BI1430" s="13"/>
      <c r="BJ1430" s="4"/>
      <c r="BK1430" s="14">
        <v>11</v>
      </c>
      <c r="BL1430" s="14">
        <v>11</v>
      </c>
      <c r="BM1430" s="14">
        <v>11</v>
      </c>
      <c r="BP1430" s="15"/>
      <c r="BQ1430" s="15"/>
      <c r="BR1430" s="2" t="s">
        <v>740</v>
      </c>
      <c r="BS1430" s="2" t="s">
        <v>740</v>
      </c>
      <c r="BT1430" s="7" t="s">
        <v>212</v>
      </c>
      <c r="BU1430" s="7" t="s">
        <v>98</v>
      </c>
      <c r="BV1430" s="9" t="s">
        <v>212</v>
      </c>
      <c r="BW1430" s="9" t="s">
        <v>98</v>
      </c>
    </row>
    <row r="1431" spans="1:75" ht="14.25" customHeight="1" x14ac:dyDescent="0.25">
      <c r="A1431" s="1">
        <v>1193</v>
      </c>
      <c r="B1431" s="1" t="s">
        <v>5697</v>
      </c>
      <c r="C1431" s="1" t="s">
        <v>5698</v>
      </c>
      <c r="D1431" s="1" t="s">
        <v>77</v>
      </c>
      <c r="E1431" s="1" t="s">
        <v>2396</v>
      </c>
      <c r="F1431" s="1" t="s">
        <v>2452</v>
      </c>
      <c r="G1431" s="1"/>
      <c r="H1431" s="2">
        <v>0</v>
      </c>
      <c r="I1431" s="2">
        <v>1</v>
      </c>
      <c r="J1431" s="2">
        <v>1</v>
      </c>
      <c r="K1431" s="2">
        <v>1</v>
      </c>
      <c r="L1431" s="3" t="s">
        <v>80</v>
      </c>
      <c r="O1431" s="4">
        <v>1</v>
      </c>
      <c r="P1431" s="4" t="s">
        <v>753</v>
      </c>
      <c r="Q1431" s="4" t="s">
        <v>5699</v>
      </c>
      <c r="R1431" s="16">
        <v>200000000</v>
      </c>
      <c r="S1431" s="6">
        <v>200000000</v>
      </c>
      <c r="T1431" s="17" t="s">
        <v>5700</v>
      </c>
      <c r="U1431" s="6">
        <v>60000</v>
      </c>
      <c r="V1431" s="4"/>
      <c r="W1431" s="4" t="s">
        <v>543</v>
      </c>
      <c r="X1431" s="4" t="s">
        <v>5701</v>
      </c>
      <c r="Y1431" s="7">
        <v>1</v>
      </c>
      <c r="Z1431" s="8">
        <v>16216988</v>
      </c>
      <c r="AA1431" s="7" t="s">
        <v>92</v>
      </c>
      <c r="AB1431" s="7"/>
      <c r="AC1431" s="9">
        <v>1</v>
      </c>
      <c r="AD1431" s="10">
        <v>16216988</v>
      </c>
      <c r="AE1431" s="9" t="s">
        <v>92</v>
      </c>
      <c r="AF1431" s="9"/>
      <c r="AG1431" s="11">
        <v>2</v>
      </c>
      <c r="AH1431" s="11" t="s">
        <v>471</v>
      </c>
      <c r="AI1431" s="11"/>
      <c r="AJ1431" s="11">
        <v>2</v>
      </c>
      <c r="AK1431" s="11" t="s">
        <v>132</v>
      </c>
      <c r="AL1431" s="12">
        <v>2</v>
      </c>
      <c r="AM1431" s="12" t="s">
        <v>471</v>
      </c>
      <c r="AN1431" s="12" t="s">
        <v>683</v>
      </c>
      <c r="AO1431" s="12">
        <v>2</v>
      </c>
      <c r="AP1431" s="12" t="s">
        <v>132</v>
      </c>
      <c r="AQ1431" s="4">
        <v>2</v>
      </c>
      <c r="AR1431" s="4" t="s">
        <v>93</v>
      </c>
      <c r="AS1431" s="4"/>
      <c r="AT1431" s="13"/>
      <c r="AU1431" s="13"/>
      <c r="AV1431" s="13"/>
      <c r="AW1431" s="13"/>
      <c r="AX1431" s="4"/>
      <c r="AY1431" s="13"/>
      <c r="AZ1431" s="13"/>
      <c r="BA1431" s="13"/>
      <c r="BB1431" s="13"/>
      <c r="BC1431" s="4"/>
      <c r="BD1431" s="4"/>
      <c r="BE1431" s="4"/>
      <c r="BF1431" s="13"/>
      <c r="BG1431" s="4"/>
      <c r="BH1431" s="13"/>
      <c r="BI1431" s="13"/>
      <c r="BJ1431" s="4"/>
      <c r="BK1431" s="14">
        <v>6</v>
      </c>
      <c r="BL1431" s="14">
        <v>6</v>
      </c>
      <c r="BM1431" s="14">
        <v>6</v>
      </c>
      <c r="BP1431" s="15" t="s">
        <v>135</v>
      </c>
      <c r="BQ1431" s="15"/>
      <c r="BR1431" s="2" t="s">
        <v>97</v>
      </c>
      <c r="BS1431" s="2" t="s">
        <v>97</v>
      </c>
      <c r="BT1431" s="7" t="s">
        <v>458</v>
      </c>
      <c r="BU1431" s="7" t="s">
        <v>109</v>
      </c>
      <c r="BV1431" s="9" t="s">
        <v>458</v>
      </c>
      <c r="BW1431" s="9" t="s">
        <v>109</v>
      </c>
    </row>
    <row r="1432" spans="1:75" ht="14.25" customHeight="1" x14ac:dyDescent="0.25">
      <c r="A1432" s="1">
        <v>1194</v>
      </c>
      <c r="B1432" s="1" t="s">
        <v>5702</v>
      </c>
      <c r="C1432" s="1" t="s">
        <v>5703</v>
      </c>
      <c r="D1432" s="1" t="s">
        <v>77</v>
      </c>
      <c r="E1432" s="1" t="s">
        <v>2396</v>
      </c>
      <c r="F1432" s="1" t="s">
        <v>2452</v>
      </c>
      <c r="G1432" s="1"/>
      <c r="H1432" s="2">
        <v>0</v>
      </c>
      <c r="I1432" s="2">
        <v>0</v>
      </c>
      <c r="J1432" s="2">
        <v>0</v>
      </c>
      <c r="K1432" s="2">
        <v>1</v>
      </c>
      <c r="L1432" s="3" t="s">
        <v>80</v>
      </c>
      <c r="O1432" s="4">
        <v>1</v>
      </c>
      <c r="P1432" s="4" t="s">
        <v>81</v>
      </c>
      <c r="Q1432" s="4"/>
      <c r="R1432" s="5"/>
      <c r="S1432" s="6"/>
      <c r="T1432" s="17"/>
      <c r="U1432" s="6"/>
      <c r="V1432" s="4"/>
      <c r="W1432" s="4"/>
      <c r="X1432" s="4"/>
      <c r="Y1432" s="7">
        <v>1</v>
      </c>
      <c r="Z1432" s="8">
        <v>6664426</v>
      </c>
      <c r="AA1432" s="7" t="s">
        <v>82</v>
      </c>
      <c r="AB1432" s="7"/>
      <c r="AC1432" s="9">
        <v>1</v>
      </c>
      <c r="AD1432" s="10">
        <v>6664426</v>
      </c>
      <c r="AE1432" s="9" t="s">
        <v>82</v>
      </c>
      <c r="AF1432" s="9"/>
      <c r="AG1432" s="11">
        <v>2</v>
      </c>
      <c r="AH1432" s="11" t="s">
        <v>83</v>
      </c>
      <c r="AI1432" s="11"/>
      <c r="AJ1432" s="11"/>
      <c r="AK1432" s="11"/>
      <c r="AL1432" s="12">
        <v>2</v>
      </c>
      <c r="AM1432" s="12" t="s">
        <v>83</v>
      </c>
      <c r="AN1432" s="12"/>
      <c r="AO1432" s="12"/>
      <c r="AP1432" s="12"/>
      <c r="AQ1432" s="4">
        <v>2</v>
      </c>
      <c r="AR1432" s="4" t="s">
        <v>83</v>
      </c>
      <c r="AS1432" s="4"/>
      <c r="AT1432" s="13"/>
      <c r="AU1432" s="13"/>
      <c r="AV1432" s="13"/>
      <c r="AW1432" s="13"/>
      <c r="AX1432" s="4"/>
      <c r="AY1432" s="13"/>
      <c r="AZ1432" s="13"/>
      <c r="BA1432" s="13"/>
      <c r="BB1432" s="13"/>
      <c r="BC1432" s="4"/>
      <c r="BD1432" s="4"/>
      <c r="BE1432" s="4"/>
      <c r="BF1432" s="13"/>
      <c r="BG1432" s="4"/>
      <c r="BH1432" s="13"/>
      <c r="BI1432" s="13"/>
      <c r="BJ1432" s="4"/>
      <c r="BK1432" s="14">
        <v>6</v>
      </c>
      <c r="BL1432" s="14">
        <v>6</v>
      </c>
      <c r="BM1432" s="14">
        <v>6</v>
      </c>
      <c r="BP1432" s="15"/>
      <c r="BQ1432" s="15" t="s">
        <v>2503</v>
      </c>
      <c r="BR1432" s="2" t="s">
        <v>740</v>
      </c>
      <c r="BS1432" s="2" t="s">
        <v>740</v>
      </c>
      <c r="BT1432" s="7" t="s">
        <v>603</v>
      </c>
      <c r="BU1432" s="7" t="s">
        <v>463</v>
      </c>
      <c r="BV1432" s="9" t="s">
        <v>603</v>
      </c>
      <c r="BW1432" s="9" t="s">
        <v>463</v>
      </c>
    </row>
    <row r="1433" spans="1:75" ht="14.25" customHeight="1" x14ac:dyDescent="0.25">
      <c r="A1433" s="1">
        <v>1195</v>
      </c>
      <c r="B1433" s="1" t="s">
        <v>5704</v>
      </c>
      <c r="C1433" s="1" t="s">
        <v>5705</v>
      </c>
      <c r="D1433" s="1" t="s">
        <v>77</v>
      </c>
      <c r="E1433" s="1" t="s">
        <v>2396</v>
      </c>
      <c r="F1433" s="1" t="s">
        <v>2452</v>
      </c>
      <c r="G1433" s="1"/>
      <c r="H1433" s="2">
        <v>0</v>
      </c>
      <c r="I1433" s="2">
        <v>0</v>
      </c>
      <c r="J1433" s="2">
        <v>1</v>
      </c>
      <c r="K1433" s="2">
        <v>1</v>
      </c>
      <c r="L1433" s="3" t="s">
        <v>80</v>
      </c>
      <c r="O1433" s="4">
        <v>2</v>
      </c>
      <c r="P1433" s="4" t="s">
        <v>112</v>
      </c>
      <c r="Q1433" s="4"/>
      <c r="R1433" s="5"/>
      <c r="S1433" s="6"/>
      <c r="T1433" s="17"/>
      <c r="U1433" s="6"/>
      <c r="V1433" s="4"/>
      <c r="W1433" s="4"/>
      <c r="X1433" s="4"/>
      <c r="Y1433" s="7">
        <v>1</v>
      </c>
      <c r="Z1433" s="8">
        <v>13278334</v>
      </c>
      <c r="AA1433" s="7" t="s">
        <v>92</v>
      </c>
      <c r="AB1433" s="7"/>
      <c r="AC1433" s="9">
        <v>1</v>
      </c>
      <c r="AD1433" s="10">
        <v>13278334</v>
      </c>
      <c r="AE1433" s="9" t="s">
        <v>92</v>
      </c>
      <c r="AF1433" s="9"/>
      <c r="AG1433" s="11">
        <v>2</v>
      </c>
      <c r="AH1433" s="11" t="s">
        <v>93</v>
      </c>
      <c r="AI1433" s="11"/>
      <c r="AJ1433" s="11"/>
      <c r="AK1433" s="11"/>
      <c r="AL1433" s="12">
        <v>2</v>
      </c>
      <c r="AM1433" s="12" t="s">
        <v>93</v>
      </c>
      <c r="AN1433" s="12" t="s">
        <v>394</v>
      </c>
      <c r="AO1433" s="12"/>
      <c r="AP1433" s="12"/>
      <c r="AQ1433" s="4">
        <v>2</v>
      </c>
      <c r="AR1433" s="4" t="s">
        <v>83</v>
      </c>
      <c r="AS1433" s="4"/>
      <c r="AT1433" s="13"/>
      <c r="AU1433" s="13"/>
      <c r="AV1433" s="13"/>
      <c r="AW1433" s="13"/>
      <c r="AX1433" s="4"/>
      <c r="AY1433" s="13"/>
      <c r="AZ1433" s="13"/>
      <c r="BA1433" s="13"/>
      <c r="BB1433" s="13"/>
      <c r="BC1433" s="4"/>
      <c r="BD1433" s="4"/>
      <c r="BE1433" s="4"/>
      <c r="BF1433" s="13"/>
      <c r="BG1433" s="4"/>
      <c r="BH1433" s="13"/>
      <c r="BI1433" s="13"/>
      <c r="BJ1433" s="4"/>
      <c r="BK1433" s="14">
        <v>7</v>
      </c>
      <c r="BL1433" s="14">
        <v>7</v>
      </c>
      <c r="BM1433" s="14">
        <v>7</v>
      </c>
      <c r="BP1433" s="15"/>
      <c r="BQ1433" s="15"/>
      <c r="BR1433" s="2" t="s">
        <v>97</v>
      </c>
      <c r="BS1433" s="2" t="s">
        <v>97</v>
      </c>
      <c r="BT1433" s="7" t="s">
        <v>98</v>
      </c>
      <c r="BU1433" s="7" t="s">
        <v>109</v>
      </c>
      <c r="BV1433" s="9" t="s">
        <v>98</v>
      </c>
      <c r="BW1433" s="9" t="s">
        <v>109</v>
      </c>
    </row>
    <row r="1434" spans="1:75" ht="14.25" customHeight="1" x14ac:dyDescent="0.25">
      <c r="A1434" s="1">
        <v>1196</v>
      </c>
      <c r="B1434" s="1" t="s">
        <v>5706</v>
      </c>
      <c r="C1434" s="1" t="s">
        <v>5707</v>
      </c>
      <c r="D1434" s="1" t="s">
        <v>77</v>
      </c>
      <c r="E1434" s="1" t="s">
        <v>2396</v>
      </c>
      <c r="F1434" s="1" t="s">
        <v>2452</v>
      </c>
      <c r="G1434" s="1"/>
      <c r="H1434" s="2">
        <v>0</v>
      </c>
      <c r="I1434" s="2">
        <v>0</v>
      </c>
      <c r="J1434" s="2">
        <v>0</v>
      </c>
      <c r="K1434" s="2">
        <v>1</v>
      </c>
      <c r="L1434" s="3" t="s">
        <v>80</v>
      </c>
      <c r="O1434" s="4">
        <v>1</v>
      </c>
      <c r="P1434" s="4" t="s">
        <v>81</v>
      </c>
      <c r="Q1434" s="4"/>
      <c r="R1434" s="5"/>
      <c r="S1434" s="6"/>
      <c r="T1434" s="17"/>
      <c r="U1434" s="6"/>
      <c r="V1434" s="4"/>
      <c r="W1434" s="4"/>
      <c r="X1434" s="4"/>
      <c r="Y1434" s="7">
        <v>1</v>
      </c>
      <c r="Z1434" s="8">
        <v>7558380</v>
      </c>
      <c r="AA1434" s="7" t="s">
        <v>82</v>
      </c>
      <c r="AB1434" s="7"/>
      <c r="AC1434" s="9">
        <v>1</v>
      </c>
      <c r="AD1434" s="10">
        <v>7558380</v>
      </c>
      <c r="AE1434" s="9" t="s">
        <v>82</v>
      </c>
      <c r="AF1434" s="9"/>
      <c r="AG1434" s="11">
        <v>2</v>
      </c>
      <c r="AH1434" s="11" t="s">
        <v>83</v>
      </c>
      <c r="AI1434" s="11"/>
      <c r="AJ1434" s="11"/>
      <c r="AK1434" s="11"/>
      <c r="AL1434" s="12">
        <v>2</v>
      </c>
      <c r="AM1434" s="12" t="s">
        <v>83</v>
      </c>
      <c r="AN1434" s="12"/>
      <c r="AO1434" s="12"/>
      <c r="AP1434" s="12"/>
      <c r="AQ1434" s="4">
        <v>2</v>
      </c>
      <c r="AR1434" s="4" t="s">
        <v>83</v>
      </c>
      <c r="AS1434" s="4"/>
      <c r="AT1434" s="13"/>
      <c r="AU1434" s="13"/>
      <c r="AV1434" s="13"/>
      <c r="AW1434" s="13"/>
      <c r="AX1434" s="4"/>
      <c r="AY1434" s="13"/>
      <c r="AZ1434" s="13"/>
      <c r="BA1434" s="13"/>
      <c r="BB1434" s="13"/>
      <c r="BC1434" s="4"/>
      <c r="BD1434" s="4"/>
      <c r="BE1434" s="4"/>
      <c r="BF1434" s="13"/>
      <c r="BG1434" s="4"/>
      <c r="BH1434" s="13"/>
      <c r="BI1434" s="13"/>
      <c r="BJ1434" s="4"/>
      <c r="BK1434" s="14">
        <v>6</v>
      </c>
      <c r="BL1434" s="14">
        <v>6</v>
      </c>
      <c r="BM1434" s="14">
        <v>6</v>
      </c>
      <c r="BP1434" s="15"/>
      <c r="BQ1434" s="15"/>
      <c r="BR1434" s="2" t="s">
        <v>740</v>
      </c>
      <c r="BS1434" s="2" t="s">
        <v>740</v>
      </c>
      <c r="BT1434" s="7" t="s">
        <v>98</v>
      </c>
      <c r="BU1434" s="7"/>
      <c r="BV1434" s="9" t="s">
        <v>98</v>
      </c>
      <c r="BW1434" s="9"/>
    </row>
    <row r="1435" spans="1:75" ht="14.25" customHeight="1" x14ac:dyDescent="0.25">
      <c r="A1435" s="1">
        <v>1227</v>
      </c>
      <c r="B1435" s="1" t="s">
        <v>5708</v>
      </c>
      <c r="C1435" s="1" t="s">
        <v>5709</v>
      </c>
      <c r="D1435" s="1" t="s">
        <v>77</v>
      </c>
      <c r="E1435" s="1" t="s">
        <v>2396</v>
      </c>
      <c r="F1435" s="1" t="s">
        <v>2452</v>
      </c>
      <c r="G1435" s="1" t="s">
        <v>118</v>
      </c>
      <c r="H1435" s="2">
        <v>0</v>
      </c>
      <c r="I1435" s="2">
        <v>0</v>
      </c>
      <c r="J1435" s="2">
        <v>0</v>
      </c>
      <c r="K1435" s="2">
        <v>1</v>
      </c>
      <c r="L1435" s="3" t="s">
        <v>80</v>
      </c>
      <c r="O1435" s="4">
        <v>5</v>
      </c>
      <c r="P1435" s="4" t="s">
        <v>81</v>
      </c>
      <c r="Q1435" s="4"/>
      <c r="R1435" s="5"/>
      <c r="S1435" s="6"/>
      <c r="T1435" s="17"/>
      <c r="U1435" s="6"/>
      <c r="V1435" s="4"/>
      <c r="W1435" s="4"/>
      <c r="X1435" s="4"/>
      <c r="Y1435" s="7">
        <v>5</v>
      </c>
      <c r="Z1435" s="8">
        <v>8227</v>
      </c>
      <c r="AA1435" s="7" t="s">
        <v>82</v>
      </c>
      <c r="AB1435" s="7"/>
      <c r="AC1435" s="9">
        <v>5</v>
      </c>
      <c r="AD1435" s="10">
        <v>8227</v>
      </c>
      <c r="AE1435" s="9" t="s">
        <v>82</v>
      </c>
      <c r="AF1435" s="9"/>
      <c r="AG1435" s="11">
        <v>3</v>
      </c>
      <c r="AH1435" s="11" t="s">
        <v>83</v>
      </c>
      <c r="AI1435" s="11"/>
      <c r="AJ1435" s="11"/>
      <c r="AK1435" s="11"/>
      <c r="AL1435" s="12">
        <v>3</v>
      </c>
      <c r="AM1435" s="12" t="s">
        <v>83</v>
      </c>
      <c r="AN1435" s="12"/>
      <c r="AO1435" s="12"/>
      <c r="AP1435" s="12"/>
      <c r="AQ1435" s="4">
        <v>3</v>
      </c>
      <c r="AR1435" s="4" t="s">
        <v>83</v>
      </c>
      <c r="AS1435" s="4"/>
      <c r="AT1435" s="13"/>
      <c r="AU1435" s="13"/>
      <c r="AV1435" s="13"/>
      <c r="AW1435" s="13"/>
      <c r="AX1435" s="4"/>
      <c r="AY1435" s="13"/>
      <c r="AZ1435" s="13"/>
      <c r="BA1435" s="13"/>
      <c r="BB1435" s="13"/>
      <c r="BC1435" s="4"/>
      <c r="BD1435" s="4"/>
      <c r="BE1435" s="4"/>
      <c r="BF1435" s="13"/>
      <c r="BG1435" s="4"/>
      <c r="BH1435" s="13"/>
      <c r="BI1435" s="13"/>
      <c r="BJ1435" s="4"/>
      <c r="BK1435" s="14">
        <v>16</v>
      </c>
      <c r="BL1435" s="14">
        <v>16</v>
      </c>
      <c r="BM1435" s="14">
        <v>16</v>
      </c>
      <c r="BN1435" s="3" t="s">
        <v>86</v>
      </c>
      <c r="BP1435" s="15"/>
      <c r="BQ1435" s="15"/>
      <c r="BR1435" s="2" t="s">
        <v>87</v>
      </c>
      <c r="BS1435" s="2" t="s">
        <v>87</v>
      </c>
      <c r="BT1435" s="7" t="s">
        <v>88</v>
      </c>
      <c r="BU1435" s="7"/>
      <c r="BV1435" s="9" t="s">
        <v>88</v>
      </c>
      <c r="BW1435" s="9"/>
    </row>
    <row r="1436" spans="1:75" ht="14.25" customHeight="1" x14ac:dyDescent="0.25">
      <c r="A1436" s="1">
        <v>1228</v>
      </c>
      <c r="B1436" s="1" t="s">
        <v>5710</v>
      </c>
      <c r="C1436" s="1" t="s">
        <v>5711</v>
      </c>
      <c r="D1436" s="1" t="s">
        <v>77</v>
      </c>
      <c r="E1436" s="1" t="s">
        <v>2396</v>
      </c>
      <c r="F1436" s="1" t="s">
        <v>2452</v>
      </c>
      <c r="G1436" s="1" t="s">
        <v>118</v>
      </c>
      <c r="H1436" s="2">
        <v>0</v>
      </c>
      <c r="I1436" s="2">
        <v>0</v>
      </c>
      <c r="J1436" s="2">
        <v>0</v>
      </c>
      <c r="K1436" s="2">
        <v>1</v>
      </c>
      <c r="L1436" s="3" t="s">
        <v>80</v>
      </c>
      <c r="O1436" s="4">
        <v>5</v>
      </c>
      <c r="P1436" s="4" t="s">
        <v>81</v>
      </c>
      <c r="Q1436" s="4"/>
      <c r="R1436" s="5"/>
      <c r="S1436" s="6"/>
      <c r="T1436" s="17"/>
      <c r="U1436" s="6"/>
      <c r="V1436" s="4"/>
      <c r="W1436" s="4"/>
      <c r="X1436" s="4"/>
      <c r="Y1436" s="7">
        <v>5</v>
      </c>
      <c r="Z1436" s="8">
        <v>3153</v>
      </c>
      <c r="AA1436" s="7" t="s">
        <v>82</v>
      </c>
      <c r="AB1436" s="7"/>
      <c r="AC1436" s="9">
        <v>5</v>
      </c>
      <c r="AD1436" s="10">
        <v>3153</v>
      </c>
      <c r="AE1436" s="9" t="s">
        <v>82</v>
      </c>
      <c r="AF1436" s="9"/>
      <c r="AG1436" s="11">
        <v>4</v>
      </c>
      <c r="AH1436" s="11" t="s">
        <v>83</v>
      </c>
      <c r="AI1436" s="11"/>
      <c r="AJ1436" s="11"/>
      <c r="AK1436" s="11"/>
      <c r="AL1436" s="12">
        <v>4</v>
      </c>
      <c r="AM1436" s="12" t="s">
        <v>83</v>
      </c>
      <c r="AN1436" s="12"/>
      <c r="AO1436" s="12"/>
      <c r="AP1436" s="12"/>
      <c r="AQ1436" s="4">
        <v>3</v>
      </c>
      <c r="AR1436" s="4" t="s">
        <v>83</v>
      </c>
      <c r="AS1436" s="4"/>
      <c r="AT1436" s="13"/>
      <c r="AU1436" s="13"/>
      <c r="AV1436" s="13"/>
      <c r="AW1436" s="13"/>
      <c r="AX1436" s="4"/>
      <c r="AY1436" s="13"/>
      <c r="AZ1436" s="13"/>
      <c r="BA1436" s="13"/>
      <c r="BB1436" s="13"/>
      <c r="BC1436" s="4"/>
      <c r="BD1436" s="4"/>
      <c r="BE1436" s="4"/>
      <c r="BF1436" s="13"/>
      <c r="BG1436" s="4"/>
      <c r="BH1436" s="13"/>
      <c r="BI1436" s="13"/>
      <c r="BJ1436" s="4"/>
      <c r="BK1436" s="14">
        <v>17</v>
      </c>
      <c r="BL1436" s="14">
        <v>17</v>
      </c>
      <c r="BM1436" s="14">
        <v>17</v>
      </c>
      <c r="BN1436" s="3" t="s">
        <v>312</v>
      </c>
      <c r="BP1436" s="15"/>
      <c r="BQ1436" s="15"/>
      <c r="BR1436" s="2" t="s">
        <v>87</v>
      </c>
      <c r="BS1436" s="2" t="s">
        <v>87</v>
      </c>
      <c r="BT1436" s="7" t="s">
        <v>88</v>
      </c>
      <c r="BU1436" s="7"/>
      <c r="BV1436" s="9" t="s">
        <v>88</v>
      </c>
      <c r="BW1436" s="9"/>
    </row>
    <row r="1437" spans="1:75" ht="14.25" customHeight="1" x14ac:dyDescent="0.25">
      <c r="A1437" s="1">
        <v>1229</v>
      </c>
      <c r="B1437" s="1" t="s">
        <v>5712</v>
      </c>
      <c r="C1437" s="1" t="s">
        <v>5713</v>
      </c>
      <c r="D1437" s="1" t="s">
        <v>77</v>
      </c>
      <c r="E1437" s="1" t="s">
        <v>2396</v>
      </c>
      <c r="F1437" s="1" t="s">
        <v>2452</v>
      </c>
      <c r="G1437" s="1"/>
      <c r="H1437" s="2">
        <v>1</v>
      </c>
      <c r="I1437" s="2">
        <v>1</v>
      </c>
      <c r="J1437" s="2">
        <v>1</v>
      </c>
      <c r="K1437" s="2">
        <v>1</v>
      </c>
      <c r="L1437" s="3" t="s">
        <v>127</v>
      </c>
      <c r="O1437" s="4">
        <v>2</v>
      </c>
      <c r="P1437" s="4" t="s">
        <v>424</v>
      </c>
      <c r="Q1437" s="4"/>
      <c r="R1437" s="16">
        <v>9600000</v>
      </c>
      <c r="S1437" s="6">
        <v>9600000</v>
      </c>
      <c r="T1437" s="16">
        <v>8800000</v>
      </c>
      <c r="U1437" s="6">
        <v>8800000</v>
      </c>
      <c r="V1437" s="4">
        <v>2010.5</v>
      </c>
      <c r="W1437" s="4" t="s">
        <v>425</v>
      </c>
      <c r="X1437" s="4"/>
      <c r="Y1437" s="7">
        <v>1</v>
      </c>
      <c r="Z1437" s="8">
        <v>6924907</v>
      </c>
      <c r="AA1437" s="7" t="s">
        <v>92</v>
      </c>
      <c r="AB1437" s="7"/>
      <c r="AC1437" s="9">
        <v>2</v>
      </c>
      <c r="AD1437" s="10">
        <v>2252576</v>
      </c>
      <c r="AE1437" s="9" t="s">
        <v>92</v>
      </c>
      <c r="AF1437" s="9" t="s">
        <v>5714</v>
      </c>
      <c r="AG1437" s="11">
        <v>3</v>
      </c>
      <c r="AH1437" s="11" t="s">
        <v>131</v>
      </c>
      <c r="AI1437" s="11" t="s">
        <v>5715</v>
      </c>
      <c r="AJ1437" s="11">
        <v>3</v>
      </c>
      <c r="AK1437" s="11" t="s">
        <v>132</v>
      </c>
      <c r="AL1437" s="12">
        <v>3</v>
      </c>
      <c r="AM1437" s="12" t="s">
        <v>271</v>
      </c>
      <c r="AN1437" s="12"/>
      <c r="AO1437" s="12"/>
      <c r="AP1437" s="12"/>
      <c r="AQ1437" s="4">
        <v>4</v>
      </c>
      <c r="AR1437" s="4" t="s">
        <v>133</v>
      </c>
      <c r="AS1437" s="4"/>
      <c r="AT1437" s="13">
        <v>-41.872642517089801</v>
      </c>
      <c r="AU1437" s="13">
        <v>-1.0577238798141499</v>
      </c>
      <c r="AV1437" s="13">
        <v>-1.41850101947784</v>
      </c>
      <c r="AW1437" s="13">
        <v>-0.54299998283386197</v>
      </c>
      <c r="AX1437" s="4">
        <v>1</v>
      </c>
      <c r="AY1437" s="13">
        <v>-8.1196355819702095</v>
      </c>
      <c r="AZ1437" s="13">
        <v>-0.84342491626739502</v>
      </c>
      <c r="BA1437" s="13">
        <v>-1.5785989761352499</v>
      </c>
      <c r="BB1437" s="13">
        <v>-3.7900000810623197E-2</v>
      </c>
      <c r="BC1437" s="4">
        <v>1</v>
      </c>
      <c r="BD1437" s="4">
        <v>10</v>
      </c>
      <c r="BE1437" s="4" t="s">
        <v>134</v>
      </c>
      <c r="BF1437" s="13">
        <v>0.87550097703933705</v>
      </c>
      <c r="BG1437" s="4">
        <v>1462.5</v>
      </c>
      <c r="BH1437" s="13">
        <v>4.7550001144409197</v>
      </c>
      <c r="BI1437" s="13">
        <v>6949.72509765625</v>
      </c>
      <c r="BJ1437" s="4"/>
      <c r="BK1437" s="14">
        <v>10</v>
      </c>
      <c r="BL1437" s="14">
        <v>11</v>
      </c>
      <c r="BM1437" s="14">
        <v>11</v>
      </c>
      <c r="BP1437" s="15"/>
      <c r="BQ1437" s="15"/>
      <c r="BR1437" s="2" t="s">
        <v>256</v>
      </c>
      <c r="BS1437" s="2" t="s">
        <v>87</v>
      </c>
      <c r="BT1437" s="7" t="s">
        <v>428</v>
      </c>
      <c r="BU1437" s="7" t="s">
        <v>438</v>
      </c>
      <c r="BV1437" s="9" t="s">
        <v>88</v>
      </c>
      <c r="BW1437" s="9"/>
    </row>
    <row r="1438" spans="1:75" ht="14.25" customHeight="1" x14ac:dyDescent="0.25">
      <c r="A1438" s="1">
        <v>1230</v>
      </c>
      <c r="B1438" s="1" t="s">
        <v>5716</v>
      </c>
      <c r="C1438" s="1" t="s">
        <v>5717</v>
      </c>
      <c r="D1438" s="1" t="s">
        <v>77</v>
      </c>
      <c r="E1438" s="1" t="s">
        <v>2396</v>
      </c>
      <c r="F1438" s="1" t="s">
        <v>2452</v>
      </c>
      <c r="G1438" s="1" t="s">
        <v>118</v>
      </c>
      <c r="H1438" s="2">
        <v>1</v>
      </c>
      <c r="I1438" s="2">
        <v>1</v>
      </c>
      <c r="J1438" s="2">
        <v>1</v>
      </c>
      <c r="K1438" s="2">
        <v>1</v>
      </c>
      <c r="L1438" s="3" t="s">
        <v>127</v>
      </c>
      <c r="O1438" s="4">
        <v>2</v>
      </c>
      <c r="P1438" s="4" t="s">
        <v>1840</v>
      </c>
      <c r="Q1438" s="4"/>
      <c r="R1438" s="16">
        <v>6500000</v>
      </c>
      <c r="S1438" s="6">
        <v>6500000</v>
      </c>
      <c r="T1438" s="16">
        <v>6500000</v>
      </c>
      <c r="U1438" s="6">
        <v>6500000</v>
      </c>
      <c r="V1438" s="4">
        <v>2010.5</v>
      </c>
      <c r="W1438" s="4" t="s">
        <v>579</v>
      </c>
      <c r="X1438" s="4"/>
      <c r="Y1438" s="7">
        <v>1</v>
      </c>
      <c r="Z1438" s="8">
        <v>4074595</v>
      </c>
      <c r="AA1438" s="7" t="s">
        <v>92</v>
      </c>
      <c r="AB1438" s="7"/>
      <c r="AC1438" s="9">
        <v>1</v>
      </c>
      <c r="AD1438" s="10">
        <v>5159541</v>
      </c>
      <c r="AE1438" s="9" t="s">
        <v>92</v>
      </c>
      <c r="AF1438" s="9"/>
      <c r="AG1438" s="11">
        <v>3</v>
      </c>
      <c r="AH1438" s="11" t="s">
        <v>800</v>
      </c>
      <c r="AI1438" s="11" t="s">
        <v>5718</v>
      </c>
      <c r="AJ1438" s="11">
        <v>2</v>
      </c>
      <c r="AK1438" s="11" t="s">
        <v>143</v>
      </c>
      <c r="AL1438" s="12">
        <v>3</v>
      </c>
      <c r="AM1438" s="12" t="s">
        <v>544</v>
      </c>
      <c r="AN1438" s="12" t="s">
        <v>5719</v>
      </c>
      <c r="AO1438" s="12"/>
      <c r="AP1438" s="12"/>
      <c r="AQ1438" s="4">
        <v>3</v>
      </c>
      <c r="AR1438" s="4" t="s">
        <v>133</v>
      </c>
      <c r="AS1438" s="4"/>
      <c r="AT1438" s="13">
        <v>-39.140007019042997</v>
      </c>
      <c r="AU1438" s="13">
        <v>-0.96965193748474099</v>
      </c>
      <c r="AV1438" s="13">
        <v>-1.05190300941467</v>
      </c>
      <c r="AW1438" s="13">
        <v>-0.83899998664856001</v>
      </c>
      <c r="AX1438" s="4">
        <v>1</v>
      </c>
      <c r="AY1438" s="13">
        <v>8.5099563598632795</v>
      </c>
      <c r="AZ1438" s="13">
        <v>0.81876850128173795</v>
      </c>
      <c r="BA1438" s="13">
        <v>0.40340399742126498</v>
      </c>
      <c r="BB1438" s="13">
        <v>1.33000004291534</v>
      </c>
      <c r="BC1438" s="4">
        <v>1</v>
      </c>
      <c r="BD1438" s="4">
        <v>10</v>
      </c>
      <c r="BE1438" s="4" t="s">
        <v>134</v>
      </c>
      <c r="BF1438" s="13">
        <v>0.212902992963791</v>
      </c>
      <c r="BG1438" s="4">
        <v>2618</v>
      </c>
      <c r="BH1438" s="13">
        <v>2.7799999713897701</v>
      </c>
      <c r="BI1438" s="13">
        <v>7276.7099609375</v>
      </c>
      <c r="BJ1438" s="4"/>
      <c r="BK1438" s="14">
        <v>9</v>
      </c>
      <c r="BL1438" s="14">
        <v>9</v>
      </c>
      <c r="BM1438" s="14">
        <v>9</v>
      </c>
      <c r="BP1438" s="15"/>
      <c r="BQ1438" s="15"/>
      <c r="BR1438" s="2" t="s">
        <v>239</v>
      </c>
      <c r="BS1438" s="2" t="s">
        <v>740</v>
      </c>
      <c r="BT1438" s="7" t="s">
        <v>241</v>
      </c>
      <c r="BU1438" s="7"/>
      <c r="BV1438" s="9" t="s">
        <v>98</v>
      </c>
      <c r="BW1438" s="9"/>
    </row>
    <row r="1439" spans="1:75" ht="14.25" customHeight="1" x14ac:dyDescent="0.25">
      <c r="A1439" s="1">
        <v>1231</v>
      </c>
      <c r="B1439" s="1" t="s">
        <v>5720</v>
      </c>
      <c r="C1439" s="1" t="s">
        <v>5721</v>
      </c>
      <c r="D1439" s="1" t="s">
        <v>77</v>
      </c>
      <c r="E1439" s="1" t="s">
        <v>2396</v>
      </c>
      <c r="F1439" s="1" t="s">
        <v>2452</v>
      </c>
      <c r="G1439" s="1"/>
      <c r="H1439" s="2">
        <v>0</v>
      </c>
      <c r="I1439" s="2">
        <v>0</v>
      </c>
      <c r="J1439" s="2">
        <v>1</v>
      </c>
      <c r="K1439" s="2">
        <v>1</v>
      </c>
      <c r="L1439" s="3" t="s">
        <v>80</v>
      </c>
      <c r="O1439" s="4">
        <v>2</v>
      </c>
      <c r="P1439" s="4" t="s">
        <v>112</v>
      </c>
      <c r="Q1439" s="4"/>
      <c r="R1439" s="5"/>
      <c r="S1439" s="6"/>
      <c r="T1439" s="17"/>
      <c r="U1439" s="6"/>
      <c r="V1439" s="4"/>
      <c r="W1439" s="4"/>
      <c r="X1439" s="4"/>
      <c r="Y1439" s="7">
        <v>1</v>
      </c>
      <c r="Z1439" s="8">
        <v>5660090</v>
      </c>
      <c r="AA1439" s="7" t="s">
        <v>92</v>
      </c>
      <c r="AB1439" s="7"/>
      <c r="AC1439" s="9">
        <v>1</v>
      </c>
      <c r="AD1439" s="10">
        <v>5660090</v>
      </c>
      <c r="AE1439" s="9" t="s">
        <v>92</v>
      </c>
      <c r="AF1439" s="9"/>
      <c r="AG1439" s="11">
        <v>2</v>
      </c>
      <c r="AH1439" s="11" t="s">
        <v>93</v>
      </c>
      <c r="AI1439" s="11"/>
      <c r="AJ1439" s="11"/>
      <c r="AK1439" s="11"/>
      <c r="AL1439" s="12">
        <v>2</v>
      </c>
      <c r="AM1439" s="12" t="s">
        <v>93</v>
      </c>
      <c r="AN1439" s="12" t="s">
        <v>5722</v>
      </c>
      <c r="AO1439" s="12"/>
      <c r="AP1439" s="12"/>
      <c r="AQ1439" s="4">
        <v>2</v>
      </c>
      <c r="AR1439" s="4" t="s">
        <v>83</v>
      </c>
      <c r="AS1439" s="4"/>
      <c r="AT1439" s="13"/>
      <c r="AU1439" s="13"/>
      <c r="AV1439" s="13"/>
      <c r="AW1439" s="13"/>
      <c r="AX1439" s="4"/>
      <c r="AY1439" s="13"/>
      <c r="AZ1439" s="13"/>
      <c r="BA1439" s="13"/>
      <c r="BB1439" s="13"/>
      <c r="BC1439" s="4"/>
      <c r="BD1439" s="4"/>
      <c r="BE1439" s="4"/>
      <c r="BF1439" s="13"/>
      <c r="BG1439" s="4"/>
      <c r="BH1439" s="13"/>
      <c r="BI1439" s="13"/>
      <c r="BJ1439" s="4"/>
      <c r="BK1439" s="14">
        <v>7</v>
      </c>
      <c r="BL1439" s="14">
        <v>7</v>
      </c>
      <c r="BM1439" s="14">
        <v>7</v>
      </c>
      <c r="BP1439" s="15"/>
      <c r="BQ1439" s="15"/>
      <c r="BR1439" s="2" t="s">
        <v>97</v>
      </c>
      <c r="BS1439" s="2" t="s">
        <v>97</v>
      </c>
      <c r="BT1439" s="7" t="s">
        <v>458</v>
      </c>
      <c r="BU1439" s="7"/>
      <c r="BV1439" s="9" t="s">
        <v>458</v>
      </c>
      <c r="BW1439" s="9"/>
    </row>
    <row r="1440" spans="1:75" ht="14.25" customHeight="1" x14ac:dyDescent="0.25">
      <c r="A1440" s="1">
        <v>1299</v>
      </c>
      <c r="B1440" s="1" t="s">
        <v>5723</v>
      </c>
      <c r="C1440" s="1" t="s">
        <v>5724</v>
      </c>
      <c r="D1440" s="1" t="s">
        <v>77</v>
      </c>
      <c r="E1440" s="1" t="s">
        <v>2396</v>
      </c>
      <c r="F1440" s="1" t="s">
        <v>3026</v>
      </c>
      <c r="G1440" s="1"/>
      <c r="H1440" s="2">
        <v>0</v>
      </c>
      <c r="I1440" s="2">
        <v>0</v>
      </c>
      <c r="J1440" s="2">
        <v>0</v>
      </c>
      <c r="K1440" s="2">
        <v>1</v>
      </c>
      <c r="L1440" s="3" t="s">
        <v>80</v>
      </c>
      <c r="O1440" s="4">
        <v>4</v>
      </c>
      <c r="P1440" s="4" t="s">
        <v>81</v>
      </c>
      <c r="Q1440" s="4"/>
      <c r="R1440" s="5"/>
      <c r="S1440" s="6"/>
      <c r="T1440" s="17"/>
      <c r="U1440" s="6"/>
      <c r="V1440" s="4"/>
      <c r="W1440" s="4"/>
      <c r="X1440" s="4"/>
      <c r="Y1440" s="7">
        <v>4</v>
      </c>
      <c r="Z1440" s="8">
        <v>107795</v>
      </c>
      <c r="AA1440" s="7" t="s">
        <v>82</v>
      </c>
      <c r="AB1440" s="7"/>
      <c r="AC1440" s="9">
        <v>4</v>
      </c>
      <c r="AD1440" s="10">
        <v>107795</v>
      </c>
      <c r="AE1440" s="9" t="s">
        <v>82</v>
      </c>
      <c r="AF1440" s="9"/>
      <c r="AG1440" s="11">
        <v>3</v>
      </c>
      <c r="AH1440" s="11" t="s">
        <v>83</v>
      </c>
      <c r="AI1440" s="11"/>
      <c r="AJ1440" s="11"/>
      <c r="AK1440" s="11"/>
      <c r="AL1440" s="12">
        <v>3</v>
      </c>
      <c r="AM1440" s="12" t="s">
        <v>83</v>
      </c>
      <c r="AN1440" s="12"/>
      <c r="AO1440" s="12"/>
      <c r="AP1440" s="12"/>
      <c r="AQ1440" s="4">
        <v>4</v>
      </c>
      <c r="AR1440" s="4" t="s">
        <v>83</v>
      </c>
      <c r="AS1440" s="4"/>
      <c r="AT1440" s="13"/>
      <c r="AU1440" s="13"/>
      <c r="AV1440" s="13"/>
      <c r="AW1440" s="13"/>
      <c r="AX1440" s="4"/>
      <c r="AY1440" s="13"/>
      <c r="AZ1440" s="13"/>
      <c r="BA1440" s="13"/>
      <c r="BB1440" s="13"/>
      <c r="BC1440" s="4"/>
      <c r="BD1440" s="4"/>
      <c r="BE1440" s="4"/>
      <c r="BF1440" s="13"/>
      <c r="BG1440" s="4"/>
      <c r="BH1440" s="13"/>
      <c r="BI1440" s="13"/>
      <c r="BJ1440" s="4"/>
      <c r="BK1440" s="14">
        <v>15</v>
      </c>
      <c r="BL1440" s="14">
        <v>15</v>
      </c>
      <c r="BM1440" s="14">
        <v>15</v>
      </c>
      <c r="BN1440" s="3" t="s">
        <v>86</v>
      </c>
      <c r="BP1440" s="15"/>
      <c r="BQ1440" s="15"/>
      <c r="BR1440" s="2" t="s">
        <v>87</v>
      </c>
      <c r="BS1440" s="2" t="s">
        <v>87</v>
      </c>
      <c r="BT1440" s="7" t="s">
        <v>88</v>
      </c>
      <c r="BU1440" s="7"/>
      <c r="BV1440" s="9" t="s">
        <v>88</v>
      </c>
      <c r="BW1440" s="9"/>
    </row>
    <row r="1441" spans="1:75" ht="14.25" customHeight="1" x14ac:dyDescent="0.25">
      <c r="A1441" s="1">
        <v>1300</v>
      </c>
      <c r="B1441" s="1" t="s">
        <v>5725</v>
      </c>
      <c r="C1441" s="1" t="s">
        <v>5726</v>
      </c>
      <c r="D1441" s="1" t="s">
        <v>77</v>
      </c>
      <c r="E1441" s="1" t="s">
        <v>2396</v>
      </c>
      <c r="F1441" s="1" t="s">
        <v>3026</v>
      </c>
      <c r="G1441" s="1"/>
      <c r="H1441" s="2">
        <v>0</v>
      </c>
      <c r="I1441" s="2">
        <v>0</v>
      </c>
      <c r="J1441" s="2">
        <v>0</v>
      </c>
      <c r="K1441" s="2">
        <v>1</v>
      </c>
      <c r="L1441" s="3" t="s">
        <v>80</v>
      </c>
      <c r="O1441" s="4">
        <v>3</v>
      </c>
      <c r="P1441" s="4" t="s">
        <v>81</v>
      </c>
      <c r="Q1441" s="4"/>
      <c r="R1441" s="5"/>
      <c r="S1441" s="6"/>
      <c r="T1441" s="17"/>
      <c r="U1441" s="6"/>
      <c r="V1441" s="4"/>
      <c r="W1441" s="4"/>
      <c r="X1441" s="4"/>
      <c r="Y1441" s="7">
        <v>4</v>
      </c>
      <c r="Z1441" s="8">
        <v>166348</v>
      </c>
      <c r="AA1441" s="7" t="s">
        <v>82</v>
      </c>
      <c r="AB1441" s="7"/>
      <c r="AC1441" s="9">
        <v>4</v>
      </c>
      <c r="AD1441" s="10">
        <v>166348</v>
      </c>
      <c r="AE1441" s="9" t="s">
        <v>82</v>
      </c>
      <c r="AF1441" s="9"/>
      <c r="AG1441" s="11">
        <v>4</v>
      </c>
      <c r="AH1441" s="11" t="s">
        <v>83</v>
      </c>
      <c r="AI1441" s="11" t="s">
        <v>995</v>
      </c>
      <c r="AJ1441" s="11"/>
      <c r="AK1441" s="11"/>
      <c r="AL1441" s="12">
        <v>4</v>
      </c>
      <c r="AM1441" s="12" t="s">
        <v>83</v>
      </c>
      <c r="AN1441" s="12"/>
      <c r="AO1441" s="12"/>
      <c r="AP1441" s="12"/>
      <c r="AQ1441" s="4">
        <v>4</v>
      </c>
      <c r="AR1441" s="4" t="s">
        <v>83</v>
      </c>
      <c r="AS1441" s="4"/>
      <c r="AT1441" s="13"/>
      <c r="AU1441" s="13"/>
      <c r="AV1441" s="13"/>
      <c r="AW1441" s="13"/>
      <c r="AX1441" s="4"/>
      <c r="AY1441" s="13"/>
      <c r="AZ1441" s="13"/>
      <c r="BA1441" s="13"/>
      <c r="BB1441" s="13"/>
      <c r="BC1441" s="4"/>
      <c r="BD1441" s="4"/>
      <c r="BE1441" s="4"/>
      <c r="BF1441" s="13"/>
      <c r="BG1441" s="4"/>
      <c r="BH1441" s="13"/>
      <c r="BI1441" s="13"/>
      <c r="BJ1441" s="4"/>
      <c r="BK1441" s="14">
        <v>15</v>
      </c>
      <c r="BL1441" s="14">
        <v>15</v>
      </c>
      <c r="BM1441" s="14">
        <v>15</v>
      </c>
      <c r="BN1441" s="3" t="s">
        <v>86</v>
      </c>
      <c r="BP1441" s="15"/>
      <c r="BQ1441" s="15"/>
      <c r="BR1441" s="2" t="s">
        <v>87</v>
      </c>
      <c r="BS1441" s="2" t="s">
        <v>87</v>
      </c>
      <c r="BT1441" s="7" t="s">
        <v>88</v>
      </c>
      <c r="BU1441" s="7"/>
      <c r="BV1441" s="9" t="s">
        <v>88</v>
      </c>
      <c r="BW1441" s="9"/>
    </row>
    <row r="1442" spans="1:75" ht="14.25" customHeight="1" x14ac:dyDescent="0.25">
      <c r="A1442" s="1">
        <v>1301</v>
      </c>
      <c r="B1442" s="1" t="s">
        <v>5727</v>
      </c>
      <c r="C1442" s="1" t="s">
        <v>5728</v>
      </c>
      <c r="D1442" s="1" t="s">
        <v>77</v>
      </c>
      <c r="E1442" s="1" t="s">
        <v>2396</v>
      </c>
      <c r="F1442" s="1" t="s">
        <v>3042</v>
      </c>
      <c r="G1442" s="1"/>
      <c r="H1442" s="2">
        <v>0</v>
      </c>
      <c r="I1442" s="2">
        <v>0</v>
      </c>
      <c r="J1442" s="2">
        <v>1</v>
      </c>
      <c r="K1442" s="2">
        <v>1</v>
      </c>
      <c r="L1442" s="3" t="s">
        <v>80</v>
      </c>
      <c r="O1442" s="4">
        <v>3</v>
      </c>
      <c r="P1442" s="4" t="s">
        <v>112</v>
      </c>
      <c r="Q1442" s="4"/>
      <c r="R1442" s="5"/>
      <c r="S1442" s="6"/>
      <c r="T1442" s="17"/>
      <c r="U1442" s="6"/>
      <c r="V1442" s="4"/>
      <c r="W1442" s="4"/>
      <c r="X1442" s="4"/>
      <c r="Y1442" s="7">
        <v>1</v>
      </c>
      <c r="Z1442" s="8">
        <v>6336956</v>
      </c>
      <c r="AA1442" s="7" t="s">
        <v>92</v>
      </c>
      <c r="AB1442" s="7"/>
      <c r="AC1442" s="9">
        <v>1</v>
      </c>
      <c r="AD1442" s="10">
        <v>6336956</v>
      </c>
      <c r="AE1442" s="9" t="s">
        <v>92</v>
      </c>
      <c r="AF1442" s="9"/>
      <c r="AG1442" s="11">
        <v>4</v>
      </c>
      <c r="AH1442" s="11" t="s">
        <v>93</v>
      </c>
      <c r="AI1442" s="11"/>
      <c r="AJ1442" s="11"/>
      <c r="AK1442" s="11"/>
      <c r="AL1442" s="12">
        <v>4</v>
      </c>
      <c r="AM1442" s="12" t="s">
        <v>93</v>
      </c>
      <c r="AN1442" s="12" t="s">
        <v>3052</v>
      </c>
      <c r="AO1442" s="12"/>
      <c r="AP1442" s="12"/>
      <c r="AQ1442" s="4">
        <v>4</v>
      </c>
      <c r="AR1442" s="4" t="s">
        <v>83</v>
      </c>
      <c r="AS1442" s="4"/>
      <c r="AT1442" s="13"/>
      <c r="AU1442" s="13"/>
      <c r="AV1442" s="13"/>
      <c r="AW1442" s="13"/>
      <c r="AX1442" s="4"/>
      <c r="AY1442" s="13"/>
      <c r="AZ1442" s="13"/>
      <c r="BA1442" s="13"/>
      <c r="BB1442" s="13"/>
      <c r="BC1442" s="4"/>
      <c r="BD1442" s="4"/>
      <c r="BE1442" s="4"/>
      <c r="BF1442" s="13"/>
      <c r="BG1442" s="4"/>
      <c r="BH1442" s="13"/>
      <c r="BI1442" s="13"/>
      <c r="BJ1442" s="4"/>
      <c r="BK1442" s="14">
        <v>12</v>
      </c>
      <c r="BL1442" s="14">
        <v>12</v>
      </c>
      <c r="BM1442" s="14">
        <v>12</v>
      </c>
      <c r="BP1442" s="15"/>
      <c r="BQ1442" s="15"/>
      <c r="BR1442" s="2" t="s">
        <v>97</v>
      </c>
      <c r="BS1442" s="2" t="s">
        <v>97</v>
      </c>
      <c r="BT1442" s="7" t="s">
        <v>98</v>
      </c>
      <c r="BU1442" s="7"/>
      <c r="BV1442" s="9" t="s">
        <v>98</v>
      </c>
      <c r="BW1442" s="9"/>
    </row>
    <row r="1443" spans="1:75" ht="14.25" customHeight="1" x14ac:dyDescent="0.25">
      <c r="A1443" s="1">
        <v>1302</v>
      </c>
      <c r="B1443" s="1" t="s">
        <v>5729</v>
      </c>
      <c r="C1443" s="1" t="s">
        <v>5730</v>
      </c>
      <c r="D1443" s="1" t="s">
        <v>77</v>
      </c>
      <c r="E1443" s="1" t="s">
        <v>2396</v>
      </c>
      <c r="F1443" s="1" t="s">
        <v>3042</v>
      </c>
      <c r="G1443" s="1"/>
      <c r="H1443" s="2">
        <v>0</v>
      </c>
      <c r="I1443" s="2">
        <v>0</v>
      </c>
      <c r="J1443" s="2">
        <v>0</v>
      </c>
      <c r="K1443" s="2">
        <v>1</v>
      </c>
      <c r="L1443" s="3" t="s">
        <v>80</v>
      </c>
      <c r="O1443" s="4">
        <v>3</v>
      </c>
      <c r="P1443" s="4" t="s">
        <v>81</v>
      </c>
      <c r="Q1443" s="4"/>
      <c r="R1443" s="5"/>
      <c r="S1443" s="6"/>
      <c r="T1443" s="17"/>
      <c r="U1443" s="6"/>
      <c r="V1443" s="4"/>
      <c r="W1443" s="4"/>
      <c r="X1443" s="4"/>
      <c r="Y1443" s="7">
        <v>3</v>
      </c>
      <c r="Z1443" s="8">
        <v>370923</v>
      </c>
      <c r="AA1443" s="7" t="s">
        <v>82</v>
      </c>
      <c r="AB1443" s="7"/>
      <c r="AC1443" s="9">
        <v>3</v>
      </c>
      <c r="AD1443" s="10">
        <v>370923</v>
      </c>
      <c r="AE1443" s="9" t="s">
        <v>82</v>
      </c>
      <c r="AF1443" s="9"/>
      <c r="AG1443" s="11">
        <v>4</v>
      </c>
      <c r="AH1443" s="11" t="s">
        <v>83</v>
      </c>
      <c r="AI1443" s="11"/>
      <c r="AJ1443" s="11"/>
      <c r="AK1443" s="11"/>
      <c r="AL1443" s="12">
        <v>4</v>
      </c>
      <c r="AM1443" s="12" t="s">
        <v>83</v>
      </c>
      <c r="AN1443" s="12"/>
      <c r="AO1443" s="12"/>
      <c r="AP1443" s="12"/>
      <c r="AQ1443" s="4">
        <v>4</v>
      </c>
      <c r="AR1443" s="4" t="s">
        <v>83</v>
      </c>
      <c r="AS1443" s="4"/>
      <c r="AT1443" s="13"/>
      <c r="AU1443" s="13"/>
      <c r="AV1443" s="13"/>
      <c r="AW1443" s="13"/>
      <c r="AX1443" s="4"/>
      <c r="AY1443" s="13"/>
      <c r="AZ1443" s="13"/>
      <c r="BA1443" s="13"/>
      <c r="BB1443" s="13"/>
      <c r="BC1443" s="4"/>
      <c r="BD1443" s="4"/>
      <c r="BE1443" s="4"/>
      <c r="BF1443" s="13"/>
      <c r="BG1443" s="4"/>
      <c r="BH1443" s="13"/>
      <c r="BI1443" s="13"/>
      <c r="BJ1443" s="4"/>
      <c r="BK1443" s="14">
        <v>14</v>
      </c>
      <c r="BL1443" s="14">
        <v>14</v>
      </c>
      <c r="BM1443" s="14">
        <v>14</v>
      </c>
      <c r="BN1443" s="3" t="s">
        <v>86</v>
      </c>
      <c r="BP1443" s="15"/>
      <c r="BQ1443" s="15"/>
      <c r="BR1443" s="2" t="s">
        <v>87</v>
      </c>
      <c r="BS1443" s="2" t="s">
        <v>87</v>
      </c>
      <c r="BT1443" s="7" t="s">
        <v>88</v>
      </c>
      <c r="BU1443" s="7"/>
      <c r="BV1443" s="9" t="s">
        <v>88</v>
      </c>
      <c r="BW1443" s="9"/>
    </row>
    <row r="1444" spans="1:75" ht="14.25" customHeight="1" x14ac:dyDescent="0.25">
      <c r="A1444" s="1">
        <v>1303</v>
      </c>
      <c r="B1444" s="1" t="s">
        <v>5731</v>
      </c>
      <c r="C1444" s="1" t="s">
        <v>5732</v>
      </c>
      <c r="D1444" s="1" t="s">
        <v>77</v>
      </c>
      <c r="E1444" s="1" t="s">
        <v>2396</v>
      </c>
      <c r="F1444" s="1" t="s">
        <v>3042</v>
      </c>
      <c r="G1444" s="1"/>
      <c r="H1444" s="2">
        <v>0</v>
      </c>
      <c r="I1444" s="2">
        <v>0</v>
      </c>
      <c r="J1444" s="2">
        <v>1</v>
      </c>
      <c r="K1444" s="2">
        <v>1</v>
      </c>
      <c r="L1444" s="3" t="s">
        <v>80</v>
      </c>
      <c r="O1444" s="4">
        <v>5</v>
      </c>
      <c r="P1444" s="4" t="s">
        <v>112</v>
      </c>
      <c r="Q1444" s="4"/>
      <c r="R1444" s="5"/>
      <c r="S1444" s="6"/>
      <c r="T1444" s="17"/>
      <c r="U1444" s="6"/>
      <c r="V1444" s="4"/>
      <c r="W1444" s="4"/>
      <c r="X1444" s="4"/>
      <c r="Y1444" s="7">
        <v>3</v>
      </c>
      <c r="Z1444" s="8">
        <v>418187</v>
      </c>
      <c r="AA1444" s="7" t="s">
        <v>92</v>
      </c>
      <c r="AB1444" s="7"/>
      <c r="AC1444" s="9">
        <v>3</v>
      </c>
      <c r="AD1444" s="10">
        <v>418187</v>
      </c>
      <c r="AE1444" s="9" t="s">
        <v>92</v>
      </c>
      <c r="AF1444" s="9"/>
      <c r="AG1444" s="11">
        <v>4</v>
      </c>
      <c r="AH1444" s="11" t="s">
        <v>93</v>
      </c>
      <c r="AI1444" s="11"/>
      <c r="AJ1444" s="11"/>
      <c r="AK1444" s="11"/>
      <c r="AL1444" s="12">
        <v>4</v>
      </c>
      <c r="AM1444" s="12" t="s">
        <v>93</v>
      </c>
      <c r="AN1444" s="12" t="s">
        <v>3052</v>
      </c>
      <c r="AO1444" s="12"/>
      <c r="AP1444" s="12"/>
      <c r="AQ1444" s="4">
        <v>4</v>
      </c>
      <c r="AR1444" s="4" t="s">
        <v>83</v>
      </c>
      <c r="AS1444" s="4" t="s">
        <v>5733</v>
      </c>
      <c r="AT1444" s="13"/>
      <c r="AU1444" s="13"/>
      <c r="AV1444" s="13"/>
      <c r="AW1444" s="13"/>
      <c r="AX1444" s="4"/>
      <c r="AY1444" s="13"/>
      <c r="AZ1444" s="13"/>
      <c r="BA1444" s="13"/>
      <c r="BB1444" s="13"/>
      <c r="BC1444" s="4"/>
      <c r="BD1444" s="4"/>
      <c r="BE1444" s="4"/>
      <c r="BF1444" s="13"/>
      <c r="BG1444" s="4"/>
      <c r="BH1444" s="13"/>
      <c r="BI1444" s="13"/>
      <c r="BJ1444" s="4"/>
      <c r="BK1444" s="14">
        <v>16</v>
      </c>
      <c r="BL1444" s="14">
        <v>16</v>
      </c>
      <c r="BM1444" s="14">
        <v>16</v>
      </c>
      <c r="BN1444" s="3" t="s">
        <v>113</v>
      </c>
      <c r="BP1444" s="15"/>
      <c r="BQ1444" s="15"/>
      <c r="BR1444" s="2" t="s">
        <v>115</v>
      </c>
      <c r="BS1444" s="2" t="s">
        <v>115</v>
      </c>
      <c r="BT1444" s="7" t="s">
        <v>98</v>
      </c>
      <c r="BU1444" s="7"/>
      <c r="BV1444" s="9" t="s">
        <v>98</v>
      </c>
      <c r="BW1444" s="9"/>
    </row>
    <row r="1445" spans="1:75" ht="14.25" customHeight="1" x14ac:dyDescent="0.25">
      <c r="A1445" s="1">
        <v>1310</v>
      </c>
      <c r="B1445" s="1" t="s">
        <v>5734</v>
      </c>
      <c r="C1445" s="1" t="s">
        <v>5735</v>
      </c>
      <c r="D1445" s="1" t="s">
        <v>77</v>
      </c>
      <c r="E1445" s="1" t="s">
        <v>2396</v>
      </c>
      <c r="F1445" s="1" t="s">
        <v>3042</v>
      </c>
      <c r="G1445" s="1"/>
      <c r="H1445" s="2">
        <v>0</v>
      </c>
      <c r="I1445" s="2">
        <v>0</v>
      </c>
      <c r="J1445" s="2">
        <v>1</v>
      </c>
      <c r="K1445" s="2">
        <v>1</v>
      </c>
      <c r="L1445" s="3" t="s">
        <v>80</v>
      </c>
      <c r="O1445" s="4">
        <v>4</v>
      </c>
      <c r="P1445" s="4" t="s">
        <v>112</v>
      </c>
      <c r="Q1445" s="4"/>
      <c r="R1445" s="5"/>
      <c r="S1445" s="6"/>
      <c r="T1445" s="17"/>
      <c r="U1445" s="6"/>
      <c r="V1445" s="4"/>
      <c r="W1445" s="4"/>
      <c r="X1445" s="4"/>
      <c r="Y1445" s="7">
        <v>3</v>
      </c>
      <c r="Z1445" s="8">
        <v>829323</v>
      </c>
      <c r="AA1445" s="7" t="s">
        <v>92</v>
      </c>
      <c r="AB1445" s="7"/>
      <c r="AC1445" s="9">
        <v>3</v>
      </c>
      <c r="AD1445" s="10">
        <v>829323</v>
      </c>
      <c r="AE1445" s="9" t="s">
        <v>92</v>
      </c>
      <c r="AF1445" s="9"/>
      <c r="AG1445" s="11">
        <v>4</v>
      </c>
      <c r="AH1445" s="11" t="s">
        <v>93</v>
      </c>
      <c r="AI1445" s="11"/>
      <c r="AJ1445" s="11"/>
      <c r="AK1445" s="11"/>
      <c r="AL1445" s="12">
        <v>4</v>
      </c>
      <c r="AM1445" s="12" t="s">
        <v>93</v>
      </c>
      <c r="AN1445" s="12" t="s">
        <v>5736</v>
      </c>
      <c r="AO1445" s="12"/>
      <c r="AP1445" s="12"/>
      <c r="AQ1445" s="4">
        <v>4</v>
      </c>
      <c r="AR1445" s="4" t="s">
        <v>83</v>
      </c>
      <c r="AS1445" s="4"/>
      <c r="AT1445" s="13"/>
      <c r="AU1445" s="13"/>
      <c r="AV1445" s="13"/>
      <c r="AW1445" s="13"/>
      <c r="AX1445" s="4"/>
      <c r="AY1445" s="13"/>
      <c r="AZ1445" s="13"/>
      <c r="BA1445" s="13"/>
      <c r="BB1445" s="13"/>
      <c r="BC1445" s="4"/>
      <c r="BD1445" s="4"/>
      <c r="BE1445" s="4"/>
      <c r="BF1445" s="13"/>
      <c r="BG1445" s="4"/>
      <c r="BH1445" s="13"/>
      <c r="BI1445" s="13"/>
      <c r="BJ1445" s="4"/>
      <c r="BK1445" s="14">
        <v>15</v>
      </c>
      <c r="BL1445" s="14">
        <v>15</v>
      </c>
      <c r="BM1445" s="14">
        <v>15</v>
      </c>
      <c r="BN1445" s="3" t="s">
        <v>86</v>
      </c>
      <c r="BP1445" s="15"/>
      <c r="BQ1445" s="15"/>
      <c r="BR1445" s="2" t="s">
        <v>121</v>
      </c>
      <c r="BS1445" s="2" t="s">
        <v>121</v>
      </c>
      <c r="BT1445" s="7" t="s">
        <v>98</v>
      </c>
      <c r="BU1445" s="7"/>
      <c r="BV1445" s="9" t="s">
        <v>98</v>
      </c>
      <c r="BW1445" s="9"/>
    </row>
    <row r="1446" spans="1:75" ht="14.25" customHeight="1" x14ac:dyDescent="0.25">
      <c r="A1446" s="1">
        <v>1311</v>
      </c>
      <c r="B1446" s="1" t="s">
        <v>5737</v>
      </c>
      <c r="C1446" s="1" t="s">
        <v>5738</v>
      </c>
      <c r="D1446" s="1" t="s">
        <v>77</v>
      </c>
      <c r="E1446" s="1" t="s">
        <v>2396</v>
      </c>
      <c r="F1446" s="1" t="s">
        <v>3042</v>
      </c>
      <c r="G1446" s="1"/>
      <c r="H1446" s="2">
        <v>0</v>
      </c>
      <c r="I1446" s="2">
        <v>0</v>
      </c>
      <c r="J1446" s="2">
        <v>1</v>
      </c>
      <c r="K1446" s="2">
        <v>1</v>
      </c>
      <c r="L1446" s="3" t="s">
        <v>80</v>
      </c>
      <c r="O1446" s="4">
        <v>4</v>
      </c>
      <c r="P1446" s="4" t="s">
        <v>81</v>
      </c>
      <c r="Q1446" s="4" t="s">
        <v>4518</v>
      </c>
      <c r="R1446" s="5"/>
      <c r="S1446" s="6"/>
      <c r="T1446" s="17"/>
      <c r="U1446" s="6"/>
      <c r="V1446" s="4"/>
      <c r="W1446" s="4"/>
      <c r="X1446" s="4"/>
      <c r="Y1446" s="7">
        <v>1</v>
      </c>
      <c r="Z1446" s="8">
        <v>5755719</v>
      </c>
      <c r="AA1446" s="7" t="s">
        <v>92</v>
      </c>
      <c r="AB1446" s="7"/>
      <c r="AC1446" s="9">
        <v>1</v>
      </c>
      <c r="AD1446" s="10">
        <v>5755719</v>
      </c>
      <c r="AE1446" s="9" t="s">
        <v>92</v>
      </c>
      <c r="AF1446" s="9"/>
      <c r="AG1446" s="11">
        <v>5</v>
      </c>
      <c r="AH1446" s="11" t="s">
        <v>93</v>
      </c>
      <c r="AI1446" s="11"/>
      <c r="AJ1446" s="11"/>
      <c r="AK1446" s="11"/>
      <c r="AL1446" s="12">
        <v>5</v>
      </c>
      <c r="AM1446" s="12" t="s">
        <v>93</v>
      </c>
      <c r="AN1446" s="12" t="s">
        <v>5739</v>
      </c>
      <c r="AO1446" s="12"/>
      <c r="AP1446" s="12"/>
      <c r="AQ1446" s="4">
        <v>5</v>
      </c>
      <c r="AR1446" s="4" t="s">
        <v>83</v>
      </c>
      <c r="AS1446" s="4" t="s">
        <v>5740</v>
      </c>
      <c r="AT1446" s="13"/>
      <c r="AU1446" s="13"/>
      <c r="AV1446" s="13"/>
      <c r="AW1446" s="13"/>
      <c r="AX1446" s="4"/>
      <c r="AY1446" s="13"/>
      <c r="AZ1446" s="13"/>
      <c r="BA1446" s="13"/>
      <c r="BB1446" s="13"/>
      <c r="BC1446" s="4"/>
      <c r="BD1446" s="4"/>
      <c r="BE1446" s="4"/>
      <c r="BF1446" s="13"/>
      <c r="BG1446" s="4"/>
      <c r="BH1446" s="13"/>
      <c r="BI1446" s="13"/>
      <c r="BJ1446" s="4"/>
      <c r="BK1446" s="14">
        <v>15</v>
      </c>
      <c r="BL1446" s="14">
        <v>15</v>
      </c>
      <c r="BM1446" s="14">
        <v>15</v>
      </c>
      <c r="BN1446" s="3" t="s">
        <v>375</v>
      </c>
      <c r="BP1446" s="15"/>
      <c r="BQ1446" s="15"/>
      <c r="BR1446" s="2" t="s">
        <v>97</v>
      </c>
      <c r="BS1446" s="2" t="s">
        <v>97</v>
      </c>
      <c r="BT1446" s="7" t="s">
        <v>437</v>
      </c>
      <c r="BU1446" s="7" t="s">
        <v>88</v>
      </c>
      <c r="BV1446" s="9" t="s">
        <v>437</v>
      </c>
      <c r="BW1446" s="9" t="s">
        <v>88</v>
      </c>
    </row>
    <row r="1447" spans="1:75" ht="14.25" customHeight="1" x14ac:dyDescent="0.25">
      <c r="A1447" s="1">
        <v>1312</v>
      </c>
      <c r="B1447" s="1" t="s">
        <v>5741</v>
      </c>
      <c r="C1447" s="1" t="s">
        <v>5742</v>
      </c>
      <c r="D1447" s="1" t="s">
        <v>77</v>
      </c>
      <c r="E1447" s="1" t="s">
        <v>2396</v>
      </c>
      <c r="F1447" s="1" t="s">
        <v>3042</v>
      </c>
      <c r="G1447" s="1"/>
      <c r="H1447" s="2">
        <v>0</v>
      </c>
      <c r="I1447" s="2">
        <v>0</v>
      </c>
      <c r="J1447" s="2">
        <v>1</v>
      </c>
      <c r="K1447" s="2">
        <v>1</v>
      </c>
      <c r="L1447" s="3" t="s">
        <v>80</v>
      </c>
      <c r="O1447" s="4">
        <v>4</v>
      </c>
      <c r="P1447" s="4" t="s">
        <v>112</v>
      </c>
      <c r="Q1447" s="4"/>
      <c r="R1447" s="5"/>
      <c r="S1447" s="6"/>
      <c r="T1447" s="17"/>
      <c r="U1447" s="6"/>
      <c r="V1447" s="4"/>
      <c r="W1447" s="4"/>
      <c r="X1447" s="4"/>
      <c r="Y1447" s="7">
        <v>1</v>
      </c>
      <c r="Z1447" s="8">
        <v>4663861</v>
      </c>
      <c r="AA1447" s="7" t="s">
        <v>92</v>
      </c>
      <c r="AB1447" s="7"/>
      <c r="AC1447" s="9">
        <v>1</v>
      </c>
      <c r="AD1447" s="10">
        <v>4663861</v>
      </c>
      <c r="AE1447" s="9" t="s">
        <v>92</v>
      </c>
      <c r="AF1447" s="9"/>
      <c r="AG1447" s="11">
        <v>4</v>
      </c>
      <c r="AH1447" s="11" t="s">
        <v>93</v>
      </c>
      <c r="AI1447" s="11"/>
      <c r="AJ1447" s="11"/>
      <c r="AK1447" s="11"/>
      <c r="AL1447" s="12">
        <v>4</v>
      </c>
      <c r="AM1447" s="12" t="s">
        <v>93</v>
      </c>
      <c r="AN1447" s="12" t="s">
        <v>5739</v>
      </c>
      <c r="AO1447" s="12"/>
      <c r="AP1447" s="12"/>
      <c r="AQ1447" s="4">
        <v>5</v>
      </c>
      <c r="AR1447" s="4" t="s">
        <v>83</v>
      </c>
      <c r="AS1447" s="4" t="s">
        <v>1873</v>
      </c>
      <c r="AT1447" s="13"/>
      <c r="AU1447" s="13"/>
      <c r="AV1447" s="13"/>
      <c r="AW1447" s="13"/>
      <c r="AX1447" s="4"/>
      <c r="AY1447" s="13"/>
      <c r="AZ1447" s="13"/>
      <c r="BA1447" s="13"/>
      <c r="BB1447" s="13"/>
      <c r="BC1447" s="4"/>
      <c r="BD1447" s="4"/>
      <c r="BE1447" s="4"/>
      <c r="BF1447" s="13"/>
      <c r="BG1447" s="4"/>
      <c r="BH1447" s="13"/>
      <c r="BI1447" s="13"/>
      <c r="BJ1447" s="4"/>
      <c r="BK1447" s="14">
        <v>14</v>
      </c>
      <c r="BL1447" s="14">
        <v>14</v>
      </c>
      <c r="BM1447" s="14">
        <v>14</v>
      </c>
      <c r="BN1447" s="3" t="s">
        <v>113</v>
      </c>
      <c r="BP1447" s="15"/>
      <c r="BQ1447" s="15"/>
      <c r="BR1447" s="2" t="s">
        <v>97</v>
      </c>
      <c r="BS1447" s="2" t="s">
        <v>97</v>
      </c>
      <c r="BT1447" s="7" t="s">
        <v>88</v>
      </c>
      <c r="BU1447" s="7" t="s">
        <v>437</v>
      </c>
      <c r="BV1447" s="9" t="s">
        <v>88</v>
      </c>
      <c r="BW1447" s="9" t="s">
        <v>437</v>
      </c>
    </row>
    <row r="1448" spans="1:75" ht="14.25" customHeight="1" x14ac:dyDescent="0.25">
      <c r="A1448" s="1">
        <v>1313</v>
      </c>
      <c r="B1448" s="1" t="s">
        <v>5743</v>
      </c>
      <c r="C1448" s="1" t="s">
        <v>5744</v>
      </c>
      <c r="D1448" s="1" t="s">
        <v>77</v>
      </c>
      <c r="E1448" s="1" t="s">
        <v>2396</v>
      </c>
      <c r="F1448" s="1" t="s">
        <v>3042</v>
      </c>
      <c r="G1448" s="1"/>
      <c r="H1448" s="2">
        <v>0</v>
      </c>
      <c r="I1448" s="2">
        <v>0</v>
      </c>
      <c r="J1448" s="2">
        <v>0</v>
      </c>
      <c r="K1448" s="2">
        <v>1</v>
      </c>
      <c r="L1448" s="3" t="s">
        <v>80</v>
      </c>
      <c r="O1448" s="4">
        <v>3</v>
      </c>
      <c r="P1448" s="4" t="s">
        <v>81</v>
      </c>
      <c r="Q1448" s="4"/>
      <c r="R1448" s="5"/>
      <c r="S1448" s="6"/>
      <c r="T1448" s="17"/>
      <c r="U1448" s="6"/>
      <c r="V1448" s="4"/>
      <c r="W1448" s="4"/>
      <c r="X1448" s="4"/>
      <c r="Y1448" s="7">
        <v>3</v>
      </c>
      <c r="Z1448" s="8">
        <v>610780</v>
      </c>
      <c r="AA1448" s="7" t="s">
        <v>82</v>
      </c>
      <c r="AB1448" s="7"/>
      <c r="AC1448" s="9">
        <v>3</v>
      </c>
      <c r="AD1448" s="10">
        <v>610780</v>
      </c>
      <c r="AE1448" s="9" t="s">
        <v>82</v>
      </c>
      <c r="AF1448" s="9"/>
      <c r="AG1448" s="11">
        <v>3</v>
      </c>
      <c r="AH1448" s="11" t="s">
        <v>83</v>
      </c>
      <c r="AI1448" s="11"/>
      <c r="AJ1448" s="11"/>
      <c r="AK1448" s="11"/>
      <c r="AL1448" s="12">
        <v>3</v>
      </c>
      <c r="AM1448" s="12" t="s">
        <v>83</v>
      </c>
      <c r="AN1448" s="12"/>
      <c r="AO1448" s="12"/>
      <c r="AP1448" s="12"/>
      <c r="AQ1448" s="4">
        <v>4</v>
      </c>
      <c r="AR1448" s="4" t="s">
        <v>83</v>
      </c>
      <c r="AS1448" s="4"/>
      <c r="AT1448" s="13"/>
      <c r="AU1448" s="13"/>
      <c r="AV1448" s="13"/>
      <c r="AW1448" s="13"/>
      <c r="AX1448" s="4"/>
      <c r="AY1448" s="13"/>
      <c r="AZ1448" s="13"/>
      <c r="BA1448" s="13"/>
      <c r="BB1448" s="13"/>
      <c r="BC1448" s="4"/>
      <c r="BD1448" s="4"/>
      <c r="BE1448" s="4"/>
      <c r="BF1448" s="13"/>
      <c r="BG1448" s="4"/>
      <c r="BH1448" s="13"/>
      <c r="BI1448" s="13"/>
      <c r="BJ1448" s="4"/>
      <c r="BK1448" s="14">
        <v>13</v>
      </c>
      <c r="BL1448" s="14">
        <v>13</v>
      </c>
      <c r="BM1448" s="14">
        <v>13</v>
      </c>
      <c r="BP1448" s="15"/>
      <c r="BQ1448" s="15"/>
      <c r="BR1448" s="2" t="s">
        <v>121</v>
      </c>
      <c r="BS1448" s="2" t="s">
        <v>121</v>
      </c>
      <c r="BT1448" s="7" t="s">
        <v>98</v>
      </c>
      <c r="BU1448" s="7"/>
      <c r="BV1448" s="9" t="s">
        <v>98</v>
      </c>
      <c r="BW1448" s="9"/>
    </row>
    <row r="1449" spans="1:75" ht="14.25" customHeight="1" x14ac:dyDescent="0.25">
      <c r="A1449" s="1">
        <v>1314</v>
      </c>
      <c r="B1449" s="1" t="s">
        <v>5745</v>
      </c>
      <c r="C1449" s="1" t="s">
        <v>5746</v>
      </c>
      <c r="D1449" s="1" t="s">
        <v>77</v>
      </c>
      <c r="E1449" s="1" t="s">
        <v>2396</v>
      </c>
      <c r="F1449" s="1" t="s">
        <v>3042</v>
      </c>
      <c r="G1449" s="1"/>
      <c r="H1449" s="2">
        <v>0</v>
      </c>
      <c r="I1449" s="2">
        <v>0</v>
      </c>
      <c r="J1449" s="2">
        <v>1</v>
      </c>
      <c r="K1449" s="2">
        <v>1</v>
      </c>
      <c r="L1449" s="3" t="s">
        <v>80</v>
      </c>
      <c r="O1449" s="4">
        <v>3</v>
      </c>
      <c r="P1449" s="4" t="s">
        <v>112</v>
      </c>
      <c r="Q1449" s="4"/>
      <c r="R1449" s="5"/>
      <c r="S1449" s="6"/>
      <c r="T1449" s="17"/>
      <c r="U1449" s="6"/>
      <c r="V1449" s="4"/>
      <c r="W1449" s="4"/>
      <c r="X1449" s="4"/>
      <c r="Y1449" s="7">
        <v>3</v>
      </c>
      <c r="Z1449" s="8">
        <v>767413</v>
      </c>
      <c r="AA1449" s="7" t="s">
        <v>92</v>
      </c>
      <c r="AB1449" s="7"/>
      <c r="AC1449" s="9">
        <v>3</v>
      </c>
      <c r="AD1449" s="10">
        <v>767413</v>
      </c>
      <c r="AE1449" s="9" t="s">
        <v>92</v>
      </c>
      <c r="AF1449" s="9"/>
      <c r="AG1449" s="11">
        <v>3</v>
      </c>
      <c r="AH1449" s="11" t="s">
        <v>93</v>
      </c>
      <c r="AI1449" s="11"/>
      <c r="AJ1449" s="11"/>
      <c r="AK1449" s="11"/>
      <c r="AL1449" s="12">
        <v>3</v>
      </c>
      <c r="AM1449" s="12" t="s">
        <v>93</v>
      </c>
      <c r="AN1449" s="12" t="s">
        <v>5622</v>
      </c>
      <c r="AO1449" s="12"/>
      <c r="AP1449" s="12"/>
      <c r="AQ1449" s="4">
        <v>4</v>
      </c>
      <c r="AR1449" s="4" t="s">
        <v>83</v>
      </c>
      <c r="AS1449" s="4" t="s">
        <v>5747</v>
      </c>
      <c r="AT1449" s="13"/>
      <c r="AU1449" s="13"/>
      <c r="AV1449" s="13"/>
      <c r="AW1449" s="13"/>
      <c r="AX1449" s="4"/>
      <c r="AY1449" s="13"/>
      <c r="AZ1449" s="13"/>
      <c r="BA1449" s="13"/>
      <c r="BB1449" s="13"/>
      <c r="BC1449" s="4"/>
      <c r="BD1449" s="4"/>
      <c r="BE1449" s="4"/>
      <c r="BF1449" s="13"/>
      <c r="BG1449" s="4"/>
      <c r="BH1449" s="13"/>
      <c r="BI1449" s="13"/>
      <c r="BJ1449" s="4"/>
      <c r="BK1449" s="14">
        <v>13</v>
      </c>
      <c r="BL1449" s="14">
        <v>13</v>
      </c>
      <c r="BM1449" s="14">
        <v>13</v>
      </c>
      <c r="BP1449" s="15"/>
      <c r="BQ1449" s="15"/>
      <c r="BR1449" s="2" t="s">
        <v>108</v>
      </c>
      <c r="BS1449" s="2" t="s">
        <v>108</v>
      </c>
      <c r="BT1449" s="7" t="s">
        <v>109</v>
      </c>
      <c r="BU1449" s="7" t="s">
        <v>98</v>
      </c>
      <c r="BV1449" s="9" t="s">
        <v>109</v>
      </c>
      <c r="BW1449" s="9" t="s">
        <v>98</v>
      </c>
    </row>
    <row r="1450" spans="1:75" ht="14.25" customHeight="1" x14ac:dyDescent="0.25">
      <c r="A1450" s="1">
        <v>1315</v>
      </c>
      <c r="B1450" s="1" t="s">
        <v>5748</v>
      </c>
      <c r="C1450" s="1" t="s">
        <v>5749</v>
      </c>
      <c r="D1450" s="1" t="s">
        <v>77</v>
      </c>
      <c r="E1450" s="1" t="s">
        <v>2396</v>
      </c>
      <c r="F1450" s="1" t="s">
        <v>3042</v>
      </c>
      <c r="G1450" s="1"/>
      <c r="H1450" s="2">
        <v>0</v>
      </c>
      <c r="I1450" s="2">
        <v>0</v>
      </c>
      <c r="J1450" s="2">
        <v>0</v>
      </c>
      <c r="K1450" s="2">
        <v>1</v>
      </c>
      <c r="L1450" s="3" t="s">
        <v>80</v>
      </c>
      <c r="O1450" s="4">
        <v>4</v>
      </c>
      <c r="P1450" s="4" t="s">
        <v>81</v>
      </c>
      <c r="Q1450" s="4"/>
      <c r="R1450" s="5"/>
      <c r="S1450" s="6"/>
      <c r="T1450" s="17"/>
      <c r="U1450" s="6"/>
      <c r="V1450" s="4"/>
      <c r="W1450" s="4"/>
      <c r="X1450" s="4"/>
      <c r="Y1450" s="7">
        <v>4</v>
      </c>
      <c r="Z1450" s="8">
        <v>270917</v>
      </c>
      <c r="AA1450" s="7" t="s">
        <v>82</v>
      </c>
      <c r="AB1450" s="7"/>
      <c r="AC1450" s="9">
        <v>4</v>
      </c>
      <c r="AD1450" s="10">
        <v>270917</v>
      </c>
      <c r="AE1450" s="9" t="s">
        <v>82</v>
      </c>
      <c r="AF1450" s="9"/>
      <c r="AG1450" s="11">
        <v>4</v>
      </c>
      <c r="AH1450" s="11" t="s">
        <v>83</v>
      </c>
      <c r="AI1450" s="11"/>
      <c r="AJ1450" s="11"/>
      <c r="AK1450" s="11"/>
      <c r="AL1450" s="12">
        <v>4</v>
      </c>
      <c r="AM1450" s="12" t="s">
        <v>83</v>
      </c>
      <c r="AN1450" s="12"/>
      <c r="AO1450" s="12"/>
      <c r="AP1450" s="12"/>
      <c r="AQ1450" s="4">
        <v>5</v>
      </c>
      <c r="AR1450" s="4" t="s">
        <v>83</v>
      </c>
      <c r="AS1450" s="4"/>
      <c r="AT1450" s="13"/>
      <c r="AU1450" s="13"/>
      <c r="AV1450" s="13"/>
      <c r="AW1450" s="13"/>
      <c r="AX1450" s="4"/>
      <c r="AY1450" s="13"/>
      <c r="AZ1450" s="13"/>
      <c r="BA1450" s="13"/>
      <c r="BB1450" s="13"/>
      <c r="BC1450" s="4"/>
      <c r="BD1450" s="4"/>
      <c r="BE1450" s="4"/>
      <c r="BF1450" s="13"/>
      <c r="BG1450" s="4"/>
      <c r="BH1450" s="13"/>
      <c r="BI1450" s="13"/>
      <c r="BJ1450" s="4"/>
      <c r="BK1450" s="14">
        <v>17</v>
      </c>
      <c r="BL1450" s="14">
        <v>17</v>
      </c>
      <c r="BM1450" s="14">
        <v>17</v>
      </c>
      <c r="BN1450" s="3" t="s">
        <v>312</v>
      </c>
      <c r="BP1450" s="15"/>
      <c r="BQ1450" s="15"/>
      <c r="BR1450" s="2" t="s">
        <v>121</v>
      </c>
      <c r="BS1450" s="2" t="s">
        <v>121</v>
      </c>
      <c r="BT1450" s="7" t="s">
        <v>98</v>
      </c>
      <c r="BU1450" s="7"/>
      <c r="BV1450" s="9" t="s">
        <v>98</v>
      </c>
      <c r="BW1450" s="9"/>
    </row>
    <row r="1451" spans="1:75" ht="14.25" customHeight="1" x14ac:dyDescent="0.25">
      <c r="A1451" s="1">
        <v>1316</v>
      </c>
      <c r="B1451" s="1" t="s">
        <v>5750</v>
      </c>
      <c r="C1451" s="1" t="s">
        <v>5751</v>
      </c>
      <c r="D1451" s="1" t="s">
        <v>77</v>
      </c>
      <c r="E1451" s="1" t="s">
        <v>2396</v>
      </c>
      <c r="F1451" s="1" t="s">
        <v>3042</v>
      </c>
      <c r="G1451" s="1"/>
      <c r="H1451" s="2">
        <v>0</v>
      </c>
      <c r="I1451" s="2">
        <v>0</v>
      </c>
      <c r="J1451" s="2">
        <v>1</v>
      </c>
      <c r="K1451" s="2">
        <v>1</v>
      </c>
      <c r="L1451" s="3" t="s">
        <v>80</v>
      </c>
      <c r="O1451" s="4">
        <v>4</v>
      </c>
      <c r="P1451" s="4" t="s">
        <v>112</v>
      </c>
      <c r="Q1451" s="4"/>
      <c r="R1451" s="5"/>
      <c r="S1451" s="6"/>
      <c r="T1451" s="17"/>
      <c r="U1451" s="6"/>
      <c r="V1451" s="4"/>
      <c r="W1451" s="4"/>
      <c r="X1451" s="4"/>
      <c r="Y1451" s="7">
        <v>3</v>
      </c>
      <c r="Z1451" s="8">
        <v>391961</v>
      </c>
      <c r="AA1451" s="7" t="s">
        <v>92</v>
      </c>
      <c r="AB1451" s="7"/>
      <c r="AC1451" s="9">
        <v>3</v>
      </c>
      <c r="AD1451" s="10">
        <v>391961</v>
      </c>
      <c r="AE1451" s="9" t="s">
        <v>92</v>
      </c>
      <c r="AF1451" s="9"/>
      <c r="AG1451" s="11">
        <v>4</v>
      </c>
      <c r="AH1451" s="11" t="s">
        <v>93</v>
      </c>
      <c r="AI1451" s="11"/>
      <c r="AJ1451" s="11"/>
      <c r="AK1451" s="11"/>
      <c r="AL1451" s="12">
        <v>4</v>
      </c>
      <c r="AM1451" s="12" t="s">
        <v>93</v>
      </c>
      <c r="AN1451" s="12" t="s">
        <v>408</v>
      </c>
      <c r="AO1451" s="12"/>
      <c r="AP1451" s="12"/>
      <c r="AQ1451" s="4">
        <v>4</v>
      </c>
      <c r="AR1451" s="4" t="s">
        <v>83</v>
      </c>
      <c r="AS1451" s="4" t="s">
        <v>5752</v>
      </c>
      <c r="AT1451" s="13"/>
      <c r="AU1451" s="13"/>
      <c r="AV1451" s="13"/>
      <c r="AW1451" s="13"/>
      <c r="AX1451" s="4"/>
      <c r="AY1451" s="13"/>
      <c r="AZ1451" s="13"/>
      <c r="BA1451" s="13"/>
      <c r="BB1451" s="13"/>
      <c r="BC1451" s="4"/>
      <c r="BD1451" s="4"/>
      <c r="BE1451" s="4"/>
      <c r="BF1451" s="13"/>
      <c r="BG1451" s="4"/>
      <c r="BH1451" s="13"/>
      <c r="BI1451" s="13"/>
      <c r="BJ1451" s="4"/>
      <c r="BK1451" s="14">
        <v>15</v>
      </c>
      <c r="BL1451" s="14">
        <v>15</v>
      </c>
      <c r="BM1451" s="14">
        <v>15</v>
      </c>
      <c r="BN1451" s="3" t="s">
        <v>86</v>
      </c>
      <c r="BP1451" s="15"/>
      <c r="BQ1451" s="15"/>
      <c r="BR1451" s="2" t="s">
        <v>87</v>
      </c>
      <c r="BS1451" s="2" t="s">
        <v>87</v>
      </c>
      <c r="BT1451" s="7" t="s">
        <v>88</v>
      </c>
      <c r="BU1451" s="7"/>
      <c r="BV1451" s="9" t="s">
        <v>88</v>
      </c>
      <c r="BW1451" s="9"/>
    </row>
    <row r="1452" spans="1:75" ht="14.25" customHeight="1" x14ac:dyDescent="0.25">
      <c r="A1452" s="1">
        <v>1317</v>
      </c>
      <c r="B1452" s="1" t="s">
        <v>5753</v>
      </c>
      <c r="C1452" s="1" t="s">
        <v>5754</v>
      </c>
      <c r="D1452" s="1" t="s">
        <v>77</v>
      </c>
      <c r="E1452" s="1" t="s">
        <v>2396</v>
      </c>
      <c r="F1452" s="1" t="s">
        <v>3042</v>
      </c>
      <c r="G1452" s="1"/>
      <c r="H1452" s="2">
        <v>0</v>
      </c>
      <c r="I1452" s="2">
        <v>0</v>
      </c>
      <c r="J1452" s="2">
        <v>0</v>
      </c>
      <c r="K1452" s="2">
        <v>1</v>
      </c>
      <c r="L1452" s="3" t="s">
        <v>80</v>
      </c>
      <c r="O1452" s="4">
        <v>2</v>
      </c>
      <c r="P1452" s="4" t="s">
        <v>81</v>
      </c>
      <c r="Q1452" s="4"/>
      <c r="R1452" s="5"/>
      <c r="S1452" s="6"/>
      <c r="T1452" s="17"/>
      <c r="U1452" s="6"/>
      <c r="V1452" s="4"/>
      <c r="W1452" s="4"/>
      <c r="X1452" s="4"/>
      <c r="Y1452" s="7">
        <v>1</v>
      </c>
      <c r="Z1452" s="8">
        <v>9861891</v>
      </c>
      <c r="AA1452" s="7" t="s">
        <v>82</v>
      </c>
      <c r="AB1452" s="7"/>
      <c r="AC1452" s="9">
        <v>1</v>
      </c>
      <c r="AD1452" s="10">
        <v>9861891</v>
      </c>
      <c r="AE1452" s="9" t="s">
        <v>82</v>
      </c>
      <c r="AF1452" s="9"/>
      <c r="AG1452" s="11">
        <v>5</v>
      </c>
      <c r="AH1452" s="11" t="s">
        <v>83</v>
      </c>
      <c r="AI1452" s="11" t="s">
        <v>5755</v>
      </c>
      <c r="AJ1452" s="11"/>
      <c r="AK1452" s="11"/>
      <c r="AL1452" s="12">
        <v>5</v>
      </c>
      <c r="AM1452" s="12" t="s">
        <v>83</v>
      </c>
      <c r="AN1452" s="12"/>
      <c r="AO1452" s="12"/>
      <c r="AP1452" s="12"/>
      <c r="AQ1452" s="4">
        <v>5</v>
      </c>
      <c r="AR1452" s="4" t="s">
        <v>83</v>
      </c>
      <c r="AS1452" s="4"/>
      <c r="AT1452" s="13"/>
      <c r="AU1452" s="13"/>
      <c r="AV1452" s="13"/>
      <c r="AW1452" s="13"/>
      <c r="AX1452" s="4"/>
      <c r="AY1452" s="13"/>
      <c r="AZ1452" s="13"/>
      <c r="BA1452" s="13"/>
      <c r="BB1452" s="13"/>
      <c r="BC1452" s="4"/>
      <c r="BD1452" s="4"/>
      <c r="BE1452" s="4"/>
      <c r="BF1452" s="13"/>
      <c r="BG1452" s="4"/>
      <c r="BH1452" s="13"/>
      <c r="BI1452" s="13"/>
      <c r="BJ1452" s="4"/>
      <c r="BK1452" s="14">
        <v>13</v>
      </c>
      <c r="BL1452" s="14">
        <v>13</v>
      </c>
      <c r="BM1452" s="14">
        <v>13</v>
      </c>
      <c r="BN1452" s="3" t="s">
        <v>375</v>
      </c>
      <c r="BP1452" s="15"/>
      <c r="BQ1452" s="15"/>
      <c r="BR1452" s="2" t="s">
        <v>740</v>
      </c>
      <c r="BS1452" s="2" t="s">
        <v>740</v>
      </c>
      <c r="BT1452" s="7" t="s">
        <v>98</v>
      </c>
      <c r="BU1452" s="7"/>
      <c r="BV1452" s="9" t="s">
        <v>98</v>
      </c>
      <c r="BW1452" s="9"/>
    </row>
    <row r="1453" spans="1:75" ht="14.25" customHeight="1" x14ac:dyDescent="0.25">
      <c r="A1453" s="1">
        <v>1318</v>
      </c>
      <c r="B1453" s="1" t="s">
        <v>5756</v>
      </c>
      <c r="C1453" s="1" t="s">
        <v>5757</v>
      </c>
      <c r="D1453" s="1" t="s">
        <v>77</v>
      </c>
      <c r="E1453" s="1" t="s">
        <v>2396</v>
      </c>
      <c r="F1453" s="1" t="s">
        <v>3042</v>
      </c>
      <c r="G1453" s="1"/>
      <c r="H1453" s="2">
        <v>0</v>
      </c>
      <c r="I1453" s="2">
        <v>0</v>
      </c>
      <c r="J1453" s="2">
        <v>0</v>
      </c>
      <c r="K1453" s="2">
        <v>1</v>
      </c>
      <c r="L1453" s="3" t="s">
        <v>80</v>
      </c>
      <c r="O1453" s="4">
        <v>3</v>
      </c>
      <c r="P1453" s="4" t="s">
        <v>81</v>
      </c>
      <c r="Q1453" s="4"/>
      <c r="R1453" s="5"/>
      <c r="S1453" s="6"/>
      <c r="T1453" s="17"/>
      <c r="U1453" s="6"/>
      <c r="V1453" s="4"/>
      <c r="W1453" s="4"/>
      <c r="X1453" s="4"/>
      <c r="Y1453" s="7">
        <v>1</v>
      </c>
      <c r="Z1453" s="8">
        <v>7410796</v>
      </c>
      <c r="AA1453" s="7" t="s">
        <v>82</v>
      </c>
      <c r="AB1453" s="7"/>
      <c r="AC1453" s="9">
        <v>1</v>
      </c>
      <c r="AD1453" s="10">
        <v>7410796</v>
      </c>
      <c r="AE1453" s="9" t="s">
        <v>82</v>
      </c>
      <c r="AF1453" s="9"/>
      <c r="AG1453" s="11">
        <v>4</v>
      </c>
      <c r="AH1453" s="11" t="s">
        <v>83</v>
      </c>
      <c r="AI1453" s="11"/>
      <c r="AJ1453" s="11"/>
      <c r="AK1453" s="11"/>
      <c r="AL1453" s="12">
        <v>4</v>
      </c>
      <c r="AM1453" s="12" t="s">
        <v>83</v>
      </c>
      <c r="AN1453" s="12"/>
      <c r="AO1453" s="12"/>
      <c r="AP1453" s="12"/>
      <c r="AQ1453" s="4">
        <v>4</v>
      </c>
      <c r="AR1453" s="4" t="s">
        <v>83</v>
      </c>
      <c r="AS1453" s="4"/>
      <c r="AT1453" s="13"/>
      <c r="AU1453" s="13"/>
      <c r="AV1453" s="13"/>
      <c r="AW1453" s="13"/>
      <c r="AX1453" s="4"/>
      <c r="AY1453" s="13"/>
      <c r="AZ1453" s="13"/>
      <c r="BA1453" s="13"/>
      <c r="BB1453" s="13"/>
      <c r="BC1453" s="4"/>
      <c r="BD1453" s="4"/>
      <c r="BE1453" s="4"/>
      <c r="BF1453" s="13"/>
      <c r="BG1453" s="4"/>
      <c r="BH1453" s="13"/>
      <c r="BI1453" s="13"/>
      <c r="BJ1453" s="4"/>
      <c r="BK1453" s="14">
        <v>12</v>
      </c>
      <c r="BL1453" s="14">
        <v>12</v>
      </c>
      <c r="BM1453" s="14">
        <v>12</v>
      </c>
      <c r="BP1453" s="15"/>
      <c r="BQ1453" s="15"/>
      <c r="BR1453" s="2" t="s">
        <v>740</v>
      </c>
      <c r="BS1453" s="2" t="s">
        <v>740</v>
      </c>
      <c r="BT1453" s="7" t="s">
        <v>98</v>
      </c>
      <c r="BU1453" s="7"/>
      <c r="BV1453" s="9" t="s">
        <v>98</v>
      </c>
      <c r="BW1453" s="9"/>
    </row>
    <row r="1454" spans="1:75" ht="14.25" customHeight="1" x14ac:dyDescent="0.25">
      <c r="A1454" s="1">
        <v>1319</v>
      </c>
      <c r="B1454" s="1" t="s">
        <v>5758</v>
      </c>
      <c r="C1454" s="1" t="s">
        <v>5759</v>
      </c>
      <c r="D1454" s="1" t="s">
        <v>77</v>
      </c>
      <c r="E1454" s="1" t="s">
        <v>2396</v>
      </c>
      <c r="F1454" s="1" t="s">
        <v>3042</v>
      </c>
      <c r="G1454" s="1"/>
      <c r="H1454" s="2">
        <v>0</v>
      </c>
      <c r="I1454" s="2">
        <v>0</v>
      </c>
      <c r="J1454" s="2">
        <v>0</v>
      </c>
      <c r="K1454" s="2">
        <v>1</v>
      </c>
      <c r="L1454" s="3" t="s">
        <v>80</v>
      </c>
      <c r="O1454" s="4">
        <v>3</v>
      </c>
      <c r="P1454" s="4" t="s">
        <v>81</v>
      </c>
      <c r="Q1454" s="4"/>
      <c r="R1454" s="5"/>
      <c r="S1454" s="6"/>
      <c r="T1454" s="17"/>
      <c r="U1454" s="6"/>
      <c r="V1454" s="4"/>
      <c r="W1454" s="4"/>
      <c r="X1454" s="4"/>
      <c r="Y1454" s="7">
        <v>4</v>
      </c>
      <c r="Z1454" s="8">
        <v>178591</v>
      </c>
      <c r="AA1454" s="7" t="s">
        <v>82</v>
      </c>
      <c r="AB1454" s="7"/>
      <c r="AC1454" s="9">
        <v>4</v>
      </c>
      <c r="AD1454" s="10">
        <v>178591</v>
      </c>
      <c r="AE1454" s="9" t="s">
        <v>82</v>
      </c>
      <c r="AF1454" s="9"/>
      <c r="AG1454" s="11">
        <v>4</v>
      </c>
      <c r="AH1454" s="11" t="s">
        <v>83</v>
      </c>
      <c r="AI1454" s="11"/>
      <c r="AJ1454" s="11"/>
      <c r="AK1454" s="11"/>
      <c r="AL1454" s="12">
        <v>4</v>
      </c>
      <c r="AM1454" s="12" t="s">
        <v>83</v>
      </c>
      <c r="AN1454" s="12"/>
      <c r="AO1454" s="12"/>
      <c r="AP1454" s="12"/>
      <c r="AQ1454" s="4">
        <v>4</v>
      </c>
      <c r="AR1454" s="4" t="s">
        <v>83</v>
      </c>
      <c r="AS1454" s="4"/>
      <c r="AT1454" s="13"/>
      <c r="AU1454" s="13"/>
      <c r="AV1454" s="13"/>
      <c r="AW1454" s="13"/>
      <c r="AX1454" s="4"/>
      <c r="AY1454" s="13"/>
      <c r="AZ1454" s="13"/>
      <c r="BA1454" s="13"/>
      <c r="BB1454" s="13"/>
      <c r="BC1454" s="4"/>
      <c r="BD1454" s="4"/>
      <c r="BE1454" s="4"/>
      <c r="BF1454" s="13"/>
      <c r="BG1454" s="4"/>
      <c r="BH1454" s="13"/>
      <c r="BI1454" s="13"/>
      <c r="BJ1454" s="4"/>
      <c r="BK1454" s="14">
        <v>15</v>
      </c>
      <c r="BL1454" s="14">
        <v>15</v>
      </c>
      <c r="BM1454" s="14">
        <v>15</v>
      </c>
      <c r="BN1454" s="3" t="s">
        <v>86</v>
      </c>
      <c r="BP1454" s="15"/>
      <c r="BQ1454" s="15"/>
      <c r="BR1454" s="2" t="s">
        <v>87</v>
      </c>
      <c r="BS1454" s="2" t="s">
        <v>87</v>
      </c>
      <c r="BT1454" s="7" t="s">
        <v>88</v>
      </c>
      <c r="BU1454" s="7"/>
      <c r="BV1454" s="9" t="s">
        <v>88</v>
      </c>
      <c r="BW1454" s="9"/>
    </row>
    <row r="1455" spans="1:75" ht="14.25" customHeight="1" x14ac:dyDescent="0.25">
      <c r="A1455" s="1">
        <v>1320</v>
      </c>
      <c r="B1455" s="1" t="s">
        <v>5760</v>
      </c>
      <c r="C1455" s="1" t="s">
        <v>5761</v>
      </c>
      <c r="D1455" s="1" t="s">
        <v>77</v>
      </c>
      <c r="E1455" s="1" t="s">
        <v>2396</v>
      </c>
      <c r="F1455" s="1" t="s">
        <v>3042</v>
      </c>
      <c r="G1455" s="1"/>
      <c r="H1455" s="2">
        <v>0</v>
      </c>
      <c r="I1455" s="2">
        <v>0</v>
      </c>
      <c r="J1455" s="2">
        <v>1</v>
      </c>
      <c r="K1455" s="2">
        <v>0</v>
      </c>
      <c r="L1455" s="3" t="s">
        <v>80</v>
      </c>
      <c r="O1455" s="4">
        <v>4</v>
      </c>
      <c r="P1455" s="4" t="s">
        <v>112</v>
      </c>
      <c r="Q1455" s="4"/>
      <c r="R1455" s="5"/>
      <c r="S1455" s="6"/>
      <c r="T1455" s="17"/>
      <c r="U1455" s="6"/>
      <c r="V1455" s="4"/>
      <c r="W1455" s="4"/>
      <c r="X1455" s="4"/>
      <c r="Y1455" s="7">
        <v>4</v>
      </c>
      <c r="Z1455" s="8">
        <v>292182</v>
      </c>
      <c r="AA1455" s="7" t="s">
        <v>92</v>
      </c>
      <c r="AB1455" s="7"/>
      <c r="AC1455" s="9">
        <v>4</v>
      </c>
      <c r="AD1455" s="10">
        <v>292182</v>
      </c>
      <c r="AE1455" s="9" t="s">
        <v>92</v>
      </c>
      <c r="AF1455" s="9"/>
      <c r="AG1455" s="11">
        <v>3</v>
      </c>
      <c r="AH1455" s="11" t="s">
        <v>93</v>
      </c>
      <c r="AI1455" s="11"/>
      <c r="AJ1455" s="11"/>
      <c r="AK1455" s="11"/>
      <c r="AL1455" s="12">
        <v>3</v>
      </c>
      <c r="AM1455" s="12" t="s">
        <v>93</v>
      </c>
      <c r="AN1455" s="12" t="s">
        <v>805</v>
      </c>
      <c r="AO1455" s="12"/>
      <c r="AP1455" s="12"/>
      <c r="AQ1455" s="4">
        <v>4</v>
      </c>
      <c r="AR1455" s="4" t="s">
        <v>93</v>
      </c>
      <c r="AS1455" s="4"/>
      <c r="AT1455" s="13"/>
      <c r="AU1455" s="13"/>
      <c r="AV1455" s="13"/>
      <c r="AW1455" s="13"/>
      <c r="AX1455" s="4"/>
      <c r="AY1455" s="13"/>
      <c r="AZ1455" s="13"/>
      <c r="BA1455" s="13"/>
      <c r="BB1455" s="13"/>
      <c r="BC1455" s="4"/>
      <c r="BD1455" s="4"/>
      <c r="BE1455" s="4"/>
      <c r="BF1455" s="13"/>
      <c r="BG1455" s="4"/>
      <c r="BH1455" s="13"/>
      <c r="BI1455" s="13"/>
      <c r="BJ1455" s="4"/>
      <c r="BK1455" s="14">
        <v>15</v>
      </c>
      <c r="BL1455" s="14">
        <v>15</v>
      </c>
      <c r="BM1455" s="14">
        <v>15</v>
      </c>
      <c r="BN1455" s="3" t="s">
        <v>86</v>
      </c>
      <c r="BP1455" s="15"/>
      <c r="BQ1455" s="15"/>
      <c r="BR1455" s="2" t="s">
        <v>409</v>
      </c>
      <c r="BS1455" s="2" t="s">
        <v>409</v>
      </c>
      <c r="BT1455" s="7" t="s">
        <v>438</v>
      </c>
      <c r="BU1455" s="7" t="s">
        <v>437</v>
      </c>
      <c r="BV1455" s="9" t="s">
        <v>438</v>
      </c>
      <c r="BW1455" s="9" t="s">
        <v>437</v>
      </c>
    </row>
    <row r="1456" spans="1:75" ht="14.25" customHeight="1" x14ac:dyDescent="0.25">
      <c r="A1456" s="1">
        <v>1321</v>
      </c>
      <c r="B1456" s="1" t="s">
        <v>5762</v>
      </c>
      <c r="C1456" s="1" t="s">
        <v>5763</v>
      </c>
      <c r="D1456" s="1" t="s">
        <v>77</v>
      </c>
      <c r="E1456" s="1" t="s">
        <v>2396</v>
      </c>
      <c r="F1456" s="1" t="s">
        <v>3042</v>
      </c>
      <c r="G1456" s="1"/>
      <c r="H1456" s="2">
        <v>0</v>
      </c>
      <c r="I1456" s="2">
        <v>0</v>
      </c>
      <c r="J1456" s="2">
        <v>1</v>
      </c>
      <c r="K1456" s="2">
        <v>1</v>
      </c>
      <c r="L1456" s="3" t="s">
        <v>80</v>
      </c>
      <c r="O1456" s="4">
        <v>3</v>
      </c>
      <c r="P1456" s="4" t="s">
        <v>112</v>
      </c>
      <c r="Q1456" s="4"/>
      <c r="R1456" s="5"/>
      <c r="S1456" s="6"/>
      <c r="T1456" s="17"/>
      <c r="U1456" s="6"/>
      <c r="V1456" s="4"/>
      <c r="W1456" s="4"/>
      <c r="X1456" s="4"/>
      <c r="Y1456" s="7">
        <v>2</v>
      </c>
      <c r="Z1456" s="8">
        <v>1348212</v>
      </c>
      <c r="AA1456" s="7" t="s">
        <v>92</v>
      </c>
      <c r="AB1456" s="7"/>
      <c r="AC1456" s="9">
        <v>2</v>
      </c>
      <c r="AD1456" s="10">
        <v>1348212</v>
      </c>
      <c r="AE1456" s="9" t="s">
        <v>92</v>
      </c>
      <c r="AF1456" s="9"/>
      <c r="AG1456" s="11">
        <v>3</v>
      </c>
      <c r="AH1456" s="11" t="s">
        <v>93</v>
      </c>
      <c r="AI1456" s="11"/>
      <c r="AJ1456" s="11"/>
      <c r="AK1456" s="11"/>
      <c r="AL1456" s="12">
        <v>3</v>
      </c>
      <c r="AM1456" s="12" t="s">
        <v>93</v>
      </c>
      <c r="AN1456" s="12" t="s">
        <v>5622</v>
      </c>
      <c r="AO1456" s="12"/>
      <c r="AP1456" s="12"/>
      <c r="AQ1456" s="4">
        <v>4</v>
      </c>
      <c r="AR1456" s="4" t="s">
        <v>83</v>
      </c>
      <c r="AS1456" s="4"/>
      <c r="AT1456" s="13"/>
      <c r="AU1456" s="13"/>
      <c r="AV1456" s="13"/>
      <c r="AW1456" s="13"/>
      <c r="AX1456" s="4"/>
      <c r="AY1456" s="13"/>
      <c r="AZ1456" s="13"/>
      <c r="BA1456" s="13"/>
      <c r="BB1456" s="13"/>
      <c r="BC1456" s="4"/>
      <c r="BD1456" s="4"/>
      <c r="BE1456" s="4"/>
      <c r="BF1456" s="13"/>
      <c r="BG1456" s="4"/>
      <c r="BH1456" s="13"/>
      <c r="BI1456" s="13"/>
      <c r="BJ1456" s="4"/>
      <c r="BK1456" s="14">
        <v>12</v>
      </c>
      <c r="BL1456" s="14">
        <v>12</v>
      </c>
      <c r="BM1456" s="14">
        <v>12</v>
      </c>
      <c r="BP1456" s="15"/>
      <c r="BQ1456" s="15"/>
      <c r="BR1456" s="2" t="s">
        <v>121</v>
      </c>
      <c r="BS1456" s="2" t="s">
        <v>121</v>
      </c>
      <c r="BT1456" s="7" t="s">
        <v>98</v>
      </c>
      <c r="BU1456" s="7"/>
      <c r="BV1456" s="9" t="s">
        <v>98</v>
      </c>
      <c r="BW1456" s="9"/>
    </row>
    <row r="1457" spans="1:75" ht="14.25" customHeight="1" x14ac:dyDescent="0.25">
      <c r="A1457" s="1">
        <v>1322</v>
      </c>
      <c r="B1457" s="1" t="s">
        <v>5764</v>
      </c>
      <c r="C1457" s="1" t="s">
        <v>5765</v>
      </c>
      <c r="D1457" s="1" t="s">
        <v>77</v>
      </c>
      <c r="E1457" s="1" t="s">
        <v>2396</v>
      </c>
      <c r="F1457" s="1" t="s">
        <v>3042</v>
      </c>
      <c r="G1457" s="1"/>
      <c r="H1457" s="2">
        <v>0</v>
      </c>
      <c r="I1457" s="2">
        <v>0</v>
      </c>
      <c r="J1457" s="2">
        <v>1</v>
      </c>
      <c r="K1457" s="2">
        <v>1</v>
      </c>
      <c r="L1457" s="3" t="s">
        <v>80</v>
      </c>
      <c r="O1457" s="4">
        <v>4</v>
      </c>
      <c r="P1457" s="4" t="s">
        <v>112</v>
      </c>
      <c r="Q1457" s="4"/>
      <c r="R1457" s="5"/>
      <c r="S1457" s="6"/>
      <c r="T1457" s="17"/>
      <c r="U1457" s="6"/>
      <c r="V1457" s="4"/>
      <c r="W1457" s="4"/>
      <c r="X1457" s="4"/>
      <c r="Y1457" s="7">
        <v>4</v>
      </c>
      <c r="Z1457" s="8">
        <v>187414</v>
      </c>
      <c r="AA1457" s="7" t="s">
        <v>92</v>
      </c>
      <c r="AB1457" s="7"/>
      <c r="AC1457" s="9">
        <v>4</v>
      </c>
      <c r="AD1457" s="10">
        <v>187414</v>
      </c>
      <c r="AE1457" s="9" t="s">
        <v>92</v>
      </c>
      <c r="AF1457" s="9"/>
      <c r="AG1457" s="11">
        <v>4</v>
      </c>
      <c r="AH1457" s="11" t="s">
        <v>93</v>
      </c>
      <c r="AI1457" s="11"/>
      <c r="AJ1457" s="11"/>
      <c r="AK1457" s="11"/>
      <c r="AL1457" s="12">
        <v>4</v>
      </c>
      <c r="AM1457" s="12" t="s">
        <v>93</v>
      </c>
      <c r="AN1457" s="12" t="s">
        <v>5622</v>
      </c>
      <c r="AO1457" s="12"/>
      <c r="AP1457" s="12"/>
      <c r="AQ1457" s="4">
        <v>4</v>
      </c>
      <c r="AR1457" s="4" t="s">
        <v>83</v>
      </c>
      <c r="AS1457" s="4"/>
      <c r="AT1457" s="13"/>
      <c r="AU1457" s="13"/>
      <c r="AV1457" s="13"/>
      <c r="AW1457" s="13"/>
      <c r="AX1457" s="4"/>
      <c r="AY1457" s="13"/>
      <c r="AZ1457" s="13"/>
      <c r="BA1457" s="13"/>
      <c r="BB1457" s="13"/>
      <c r="BC1457" s="4"/>
      <c r="BD1457" s="4"/>
      <c r="BE1457" s="4"/>
      <c r="BF1457" s="13"/>
      <c r="BG1457" s="4"/>
      <c r="BH1457" s="13"/>
      <c r="BI1457" s="13"/>
      <c r="BJ1457" s="4"/>
      <c r="BK1457" s="14">
        <v>16</v>
      </c>
      <c r="BL1457" s="14">
        <v>16</v>
      </c>
      <c r="BM1457" s="14">
        <v>16</v>
      </c>
      <c r="BN1457" s="3" t="s">
        <v>86</v>
      </c>
      <c r="BP1457" s="15"/>
      <c r="BQ1457" s="15"/>
      <c r="BR1457" s="2" t="s">
        <v>409</v>
      </c>
      <c r="BS1457" s="2" t="s">
        <v>409</v>
      </c>
      <c r="BT1457" s="7" t="s">
        <v>88</v>
      </c>
      <c r="BU1457" s="7"/>
      <c r="BV1457" s="9" t="s">
        <v>88</v>
      </c>
      <c r="BW1457" s="9"/>
    </row>
    <row r="1458" spans="1:75" ht="14.25" customHeight="1" x14ac:dyDescent="0.25">
      <c r="A1458" s="1">
        <v>1323</v>
      </c>
      <c r="B1458" s="1" t="s">
        <v>5766</v>
      </c>
      <c r="C1458" s="1" t="s">
        <v>5767</v>
      </c>
      <c r="D1458" s="1" t="s">
        <v>77</v>
      </c>
      <c r="E1458" s="1" t="s">
        <v>2396</v>
      </c>
      <c r="F1458" s="1" t="s">
        <v>3042</v>
      </c>
      <c r="G1458" s="1"/>
      <c r="H1458" s="2">
        <v>0</v>
      </c>
      <c r="I1458" s="2">
        <v>0</v>
      </c>
      <c r="J1458" s="2">
        <v>1</v>
      </c>
      <c r="K1458" s="2">
        <v>1</v>
      </c>
      <c r="L1458" s="3" t="s">
        <v>80</v>
      </c>
      <c r="O1458" s="4">
        <v>2</v>
      </c>
      <c r="P1458" s="4" t="s">
        <v>112</v>
      </c>
      <c r="Q1458" s="4"/>
      <c r="R1458" s="5"/>
      <c r="S1458" s="6"/>
      <c r="T1458" s="17"/>
      <c r="U1458" s="6"/>
      <c r="V1458" s="4"/>
      <c r="W1458" s="4"/>
      <c r="X1458" s="4"/>
      <c r="Y1458" s="7">
        <v>1</v>
      </c>
      <c r="Z1458" s="8">
        <v>9751250</v>
      </c>
      <c r="AA1458" s="7" t="s">
        <v>92</v>
      </c>
      <c r="AB1458" s="7"/>
      <c r="AC1458" s="9">
        <v>1</v>
      </c>
      <c r="AD1458" s="10">
        <v>9751250</v>
      </c>
      <c r="AE1458" s="9" t="s">
        <v>92</v>
      </c>
      <c r="AF1458" s="9"/>
      <c r="AG1458" s="11">
        <v>4</v>
      </c>
      <c r="AH1458" s="11" t="s">
        <v>93</v>
      </c>
      <c r="AI1458" s="11"/>
      <c r="AJ1458" s="11"/>
      <c r="AK1458" s="11"/>
      <c r="AL1458" s="12">
        <v>4</v>
      </c>
      <c r="AM1458" s="12" t="s">
        <v>93</v>
      </c>
      <c r="AN1458" s="12" t="s">
        <v>3052</v>
      </c>
      <c r="AO1458" s="12"/>
      <c r="AP1458" s="12"/>
      <c r="AQ1458" s="4">
        <v>4</v>
      </c>
      <c r="AR1458" s="4" t="s">
        <v>83</v>
      </c>
      <c r="AS1458" s="4" t="s">
        <v>2795</v>
      </c>
      <c r="AT1458" s="13"/>
      <c r="AU1458" s="13"/>
      <c r="AV1458" s="13"/>
      <c r="AW1458" s="13"/>
      <c r="AX1458" s="4"/>
      <c r="AY1458" s="13"/>
      <c r="AZ1458" s="13"/>
      <c r="BA1458" s="13"/>
      <c r="BB1458" s="13"/>
      <c r="BC1458" s="4"/>
      <c r="BD1458" s="4"/>
      <c r="BE1458" s="4"/>
      <c r="BF1458" s="13"/>
      <c r="BG1458" s="4"/>
      <c r="BH1458" s="13"/>
      <c r="BI1458" s="13"/>
      <c r="BJ1458" s="4"/>
      <c r="BK1458" s="14">
        <v>11</v>
      </c>
      <c r="BL1458" s="14">
        <v>11</v>
      </c>
      <c r="BM1458" s="14">
        <v>11</v>
      </c>
      <c r="BP1458" s="15"/>
      <c r="BQ1458" s="15"/>
      <c r="BR1458" s="2" t="s">
        <v>97</v>
      </c>
      <c r="BS1458" s="2" t="s">
        <v>97</v>
      </c>
      <c r="BT1458" s="7" t="s">
        <v>98</v>
      </c>
      <c r="BU1458" s="7"/>
      <c r="BV1458" s="9" t="s">
        <v>98</v>
      </c>
      <c r="BW1458" s="9"/>
    </row>
    <row r="1459" spans="1:75" ht="14.25" customHeight="1" x14ac:dyDescent="0.25">
      <c r="A1459" s="1">
        <v>1324</v>
      </c>
      <c r="B1459" s="1" t="s">
        <v>5768</v>
      </c>
      <c r="C1459" s="1" t="s">
        <v>5769</v>
      </c>
      <c r="D1459" s="1" t="s">
        <v>77</v>
      </c>
      <c r="E1459" s="1" t="s">
        <v>2396</v>
      </c>
      <c r="F1459" s="1" t="s">
        <v>3042</v>
      </c>
      <c r="G1459" s="1"/>
      <c r="H1459" s="2">
        <v>0</v>
      </c>
      <c r="I1459" s="2">
        <v>0</v>
      </c>
      <c r="J1459" s="2">
        <v>0</v>
      </c>
      <c r="K1459" s="2">
        <v>1</v>
      </c>
      <c r="L1459" s="3" t="s">
        <v>80</v>
      </c>
      <c r="O1459" s="4">
        <v>2</v>
      </c>
      <c r="P1459" s="4" t="s">
        <v>81</v>
      </c>
      <c r="Q1459" s="4"/>
      <c r="R1459" s="5"/>
      <c r="S1459" s="6"/>
      <c r="T1459" s="17"/>
      <c r="U1459" s="6"/>
      <c r="V1459" s="4"/>
      <c r="W1459" s="4"/>
      <c r="X1459" s="4"/>
      <c r="Y1459" s="7">
        <v>1</v>
      </c>
      <c r="Z1459" s="8">
        <v>6952889</v>
      </c>
      <c r="AA1459" s="7" t="s">
        <v>82</v>
      </c>
      <c r="AB1459" s="7"/>
      <c r="AC1459" s="9">
        <v>1</v>
      </c>
      <c r="AD1459" s="10">
        <v>6952889</v>
      </c>
      <c r="AE1459" s="9" t="s">
        <v>82</v>
      </c>
      <c r="AF1459" s="9"/>
      <c r="AG1459" s="11">
        <v>3</v>
      </c>
      <c r="AH1459" s="11" t="s">
        <v>83</v>
      </c>
      <c r="AI1459" s="11"/>
      <c r="AJ1459" s="11"/>
      <c r="AK1459" s="11"/>
      <c r="AL1459" s="12">
        <v>3</v>
      </c>
      <c r="AM1459" s="12" t="s">
        <v>83</v>
      </c>
      <c r="AN1459" s="12"/>
      <c r="AO1459" s="12"/>
      <c r="AP1459" s="12"/>
      <c r="AQ1459" s="4">
        <v>3</v>
      </c>
      <c r="AR1459" s="4" t="s">
        <v>83</v>
      </c>
      <c r="AS1459" s="4"/>
      <c r="AT1459" s="13"/>
      <c r="AU1459" s="13"/>
      <c r="AV1459" s="13"/>
      <c r="AW1459" s="13"/>
      <c r="AX1459" s="4"/>
      <c r="AY1459" s="13"/>
      <c r="AZ1459" s="13"/>
      <c r="BA1459" s="13"/>
      <c r="BB1459" s="13"/>
      <c r="BC1459" s="4"/>
      <c r="BD1459" s="4"/>
      <c r="BE1459" s="4"/>
      <c r="BF1459" s="13"/>
      <c r="BG1459" s="4"/>
      <c r="BH1459" s="13"/>
      <c r="BI1459" s="13"/>
      <c r="BJ1459" s="4"/>
      <c r="BK1459" s="14">
        <v>9</v>
      </c>
      <c r="BL1459" s="14">
        <v>9</v>
      </c>
      <c r="BM1459" s="14">
        <v>9</v>
      </c>
      <c r="BP1459" s="15"/>
      <c r="BQ1459" s="15"/>
      <c r="BR1459" s="2" t="s">
        <v>97</v>
      </c>
      <c r="BS1459" s="2" t="s">
        <v>97</v>
      </c>
      <c r="BT1459" s="7" t="s">
        <v>88</v>
      </c>
      <c r="BU1459" s="7"/>
      <c r="BV1459" s="9" t="s">
        <v>88</v>
      </c>
      <c r="BW1459" s="9"/>
    </row>
    <row r="1460" spans="1:75" ht="14.25" customHeight="1" x14ac:dyDescent="0.25">
      <c r="A1460" s="1">
        <v>1372</v>
      </c>
      <c r="B1460" s="1" t="s">
        <v>5770</v>
      </c>
      <c r="C1460" s="1" t="s">
        <v>5771</v>
      </c>
      <c r="D1460" s="1" t="s">
        <v>77</v>
      </c>
      <c r="E1460" s="1" t="s">
        <v>2396</v>
      </c>
      <c r="F1460" s="1" t="s">
        <v>3119</v>
      </c>
      <c r="G1460" s="1"/>
      <c r="H1460" s="2">
        <v>1</v>
      </c>
      <c r="I1460" s="2">
        <v>1</v>
      </c>
      <c r="J1460" s="2">
        <v>1</v>
      </c>
      <c r="K1460" s="2">
        <v>0</v>
      </c>
      <c r="L1460" s="3" t="s">
        <v>127</v>
      </c>
      <c r="O1460" s="4">
        <v>2</v>
      </c>
      <c r="P1460" s="4" t="s">
        <v>424</v>
      </c>
      <c r="Q1460" s="4"/>
      <c r="R1460" s="16">
        <v>5000000</v>
      </c>
      <c r="S1460" s="6">
        <v>5000000</v>
      </c>
      <c r="T1460" s="16">
        <v>4600000</v>
      </c>
      <c r="U1460" s="6">
        <v>4600000</v>
      </c>
      <c r="V1460" s="4">
        <v>2010.5</v>
      </c>
      <c r="W1460" s="4" t="s">
        <v>425</v>
      </c>
      <c r="X1460" s="4"/>
      <c r="Y1460" s="7">
        <v>3</v>
      </c>
      <c r="Z1460" s="8">
        <v>921150</v>
      </c>
      <c r="AA1460" s="7" t="s">
        <v>92</v>
      </c>
      <c r="AB1460" s="7"/>
      <c r="AC1460" s="9">
        <v>3</v>
      </c>
      <c r="AD1460" s="10">
        <v>950327</v>
      </c>
      <c r="AE1460" s="9" t="s">
        <v>92</v>
      </c>
      <c r="AF1460" s="9"/>
      <c r="AG1460" s="11">
        <v>3</v>
      </c>
      <c r="AH1460" s="11" t="s">
        <v>131</v>
      </c>
      <c r="AI1460" s="11" t="s">
        <v>5772</v>
      </c>
      <c r="AJ1460" s="11">
        <v>2</v>
      </c>
      <c r="AK1460" s="11" t="s">
        <v>143</v>
      </c>
      <c r="AL1460" s="12">
        <v>3</v>
      </c>
      <c r="AM1460" s="12" t="s">
        <v>131</v>
      </c>
      <c r="AN1460" s="12" t="s">
        <v>5773</v>
      </c>
      <c r="AO1460" s="12">
        <v>2</v>
      </c>
      <c r="AP1460" s="12" t="s">
        <v>143</v>
      </c>
      <c r="AQ1460" s="4">
        <v>1</v>
      </c>
      <c r="AR1460" s="4" t="s">
        <v>133</v>
      </c>
      <c r="AS1460" s="4"/>
      <c r="AT1460" s="13">
        <v>57.783027648925803</v>
      </c>
      <c r="AU1460" s="13">
        <v>0.89806443452835105</v>
      </c>
      <c r="AV1460" s="13">
        <v>0.41699999570846602</v>
      </c>
      <c r="AW1460" s="13">
        <v>1.27049696445465</v>
      </c>
      <c r="AX1460" s="4">
        <v>1</v>
      </c>
      <c r="AY1460" s="13">
        <v>4.84452247619629</v>
      </c>
      <c r="AZ1460" s="13">
        <v>0.47394230961799599</v>
      </c>
      <c r="BA1460" s="13">
        <v>-0.75800001621246305</v>
      </c>
      <c r="BB1460" s="13">
        <v>1.6427040100097701</v>
      </c>
      <c r="BC1460" s="4"/>
      <c r="BD1460" s="4">
        <v>10</v>
      </c>
      <c r="BE1460" s="4" t="s">
        <v>134</v>
      </c>
      <c r="BF1460" s="13">
        <v>0.85349702835082997</v>
      </c>
      <c r="BG1460" s="4">
        <v>486</v>
      </c>
      <c r="BH1460" s="13">
        <v>2.2599999904632599</v>
      </c>
      <c r="BI1460" s="13">
        <v>1097.91003417969</v>
      </c>
      <c r="BJ1460" s="4"/>
      <c r="BK1460" s="14">
        <v>9</v>
      </c>
      <c r="BL1460" s="14">
        <v>9</v>
      </c>
      <c r="BM1460" s="14">
        <v>9</v>
      </c>
      <c r="BP1460" s="15"/>
      <c r="BQ1460" s="15"/>
      <c r="BR1460" s="2" t="s">
        <v>162</v>
      </c>
      <c r="BS1460" s="2" t="s">
        <v>108</v>
      </c>
      <c r="BT1460" s="7" t="s">
        <v>428</v>
      </c>
      <c r="BU1460" s="7"/>
      <c r="BV1460" s="9" t="s">
        <v>109</v>
      </c>
      <c r="BW1460" s="9" t="s">
        <v>438</v>
      </c>
    </row>
    <row r="1461" spans="1:75" ht="14.25" customHeight="1" x14ac:dyDescent="0.25">
      <c r="A1461" s="1">
        <v>1373</v>
      </c>
      <c r="B1461" s="1" t="s">
        <v>5774</v>
      </c>
      <c r="C1461" s="1" t="s">
        <v>5775</v>
      </c>
      <c r="D1461" s="1" t="s">
        <v>77</v>
      </c>
      <c r="E1461" s="1" t="s">
        <v>2396</v>
      </c>
      <c r="F1461" s="1" t="s">
        <v>3119</v>
      </c>
      <c r="G1461" s="1"/>
      <c r="H1461" s="2">
        <v>1</v>
      </c>
      <c r="I1461" s="2">
        <v>1</v>
      </c>
      <c r="J1461" s="2">
        <v>1</v>
      </c>
      <c r="K1461" s="2">
        <v>1</v>
      </c>
      <c r="L1461" s="3" t="s">
        <v>127</v>
      </c>
      <c r="O1461" s="4">
        <v>2</v>
      </c>
      <c r="P1461" s="4" t="s">
        <v>579</v>
      </c>
      <c r="Q1461" s="4"/>
      <c r="R1461" s="16">
        <v>13000000</v>
      </c>
      <c r="S1461" s="6">
        <v>13000000</v>
      </c>
      <c r="T1461" s="16">
        <v>13000000</v>
      </c>
      <c r="U1461" s="6">
        <v>13000000</v>
      </c>
      <c r="V1461" s="4">
        <v>2010.5</v>
      </c>
      <c r="W1461" s="4" t="s">
        <v>579</v>
      </c>
      <c r="X1461" s="4"/>
      <c r="Y1461" s="7">
        <v>2</v>
      </c>
      <c r="Z1461" s="8">
        <v>3313965</v>
      </c>
      <c r="AA1461" s="7" t="s">
        <v>92</v>
      </c>
      <c r="AB1461" s="7"/>
      <c r="AC1461" s="9">
        <v>2</v>
      </c>
      <c r="AD1461" s="10">
        <v>1550697</v>
      </c>
      <c r="AE1461" s="9" t="s">
        <v>92</v>
      </c>
      <c r="AF1461" s="9"/>
      <c r="AG1461" s="11">
        <v>3</v>
      </c>
      <c r="AH1461" s="11" t="s">
        <v>454</v>
      </c>
      <c r="AI1461" s="11" t="s">
        <v>5776</v>
      </c>
      <c r="AJ1461" s="11">
        <v>4</v>
      </c>
      <c r="AK1461" s="11" t="s">
        <v>332</v>
      </c>
      <c r="AL1461" s="12">
        <v>3</v>
      </c>
      <c r="AM1461" s="12" t="s">
        <v>131</v>
      </c>
      <c r="AN1461" s="12"/>
      <c r="AO1461" s="12">
        <v>3</v>
      </c>
      <c r="AP1461" s="12" t="s">
        <v>143</v>
      </c>
      <c r="AQ1461" s="4">
        <v>1</v>
      </c>
      <c r="AR1461" s="4" t="s">
        <v>133</v>
      </c>
      <c r="AS1461" s="4"/>
      <c r="AT1461" s="13">
        <v>307.524658203125</v>
      </c>
      <c r="AU1461" s="13">
        <v>2.7915210723877002</v>
      </c>
      <c r="AV1461" s="13">
        <v>2.2181029319763201</v>
      </c>
      <c r="AW1461" s="13">
        <v>3.5999999046325701</v>
      </c>
      <c r="AX1461" s="4">
        <v>1</v>
      </c>
      <c r="AY1461" s="13">
        <v>6.18678951263428</v>
      </c>
      <c r="AZ1461" s="13">
        <v>0.60011082887649503</v>
      </c>
      <c r="BA1461" s="13">
        <v>-1.19550204277039</v>
      </c>
      <c r="BB1461" s="13">
        <v>2.75</v>
      </c>
      <c r="BC1461" s="4"/>
      <c r="BD1461" s="4">
        <v>10</v>
      </c>
      <c r="BE1461" s="4" t="s">
        <v>134</v>
      </c>
      <c r="BF1461" s="13">
        <v>1.38189697265625</v>
      </c>
      <c r="BG1461" s="4">
        <v>1263.5</v>
      </c>
      <c r="BH1461" s="13">
        <v>1.21000003814697</v>
      </c>
      <c r="BI1461" s="13">
        <v>1528.29504394531</v>
      </c>
      <c r="BJ1461" s="4"/>
      <c r="BK1461" s="14">
        <v>8</v>
      </c>
      <c r="BL1461" s="14">
        <v>8</v>
      </c>
      <c r="BM1461" s="14">
        <v>8</v>
      </c>
      <c r="BP1461" s="15"/>
      <c r="BQ1461" s="15"/>
      <c r="BR1461" s="2" t="s">
        <v>211</v>
      </c>
      <c r="BS1461" s="2" t="s">
        <v>115</v>
      </c>
      <c r="BT1461" s="7" t="s">
        <v>527</v>
      </c>
      <c r="BU1461" s="7" t="s">
        <v>241</v>
      </c>
      <c r="BV1461" s="9" t="s">
        <v>797</v>
      </c>
      <c r="BW1461" s="9" t="s">
        <v>241</v>
      </c>
    </row>
    <row r="1462" spans="1:75" ht="14.25" customHeight="1" x14ac:dyDescent="0.25">
      <c r="A1462" s="1">
        <v>1374</v>
      </c>
      <c r="B1462" s="1" t="s">
        <v>5777</v>
      </c>
      <c r="C1462" s="1" t="s">
        <v>5778</v>
      </c>
      <c r="D1462" s="1" t="s">
        <v>77</v>
      </c>
      <c r="E1462" s="1" t="s">
        <v>2396</v>
      </c>
      <c r="F1462" s="1" t="s">
        <v>3119</v>
      </c>
      <c r="G1462" s="1"/>
      <c r="H1462" s="2">
        <v>0</v>
      </c>
      <c r="I1462" s="2">
        <v>1</v>
      </c>
      <c r="J1462" s="2">
        <v>1</v>
      </c>
      <c r="K1462" s="2">
        <v>1</v>
      </c>
      <c r="L1462" s="3" t="s">
        <v>127</v>
      </c>
      <c r="O1462" s="4">
        <v>3</v>
      </c>
      <c r="P1462" s="4" t="s">
        <v>424</v>
      </c>
      <c r="Q1462" s="4"/>
      <c r="R1462" s="16">
        <v>3500000</v>
      </c>
      <c r="S1462" s="6">
        <v>3500000</v>
      </c>
      <c r="T1462" s="16">
        <v>3000000</v>
      </c>
      <c r="U1462" s="6">
        <v>3000000</v>
      </c>
      <c r="V1462" s="4">
        <v>2010.5</v>
      </c>
      <c r="W1462" s="4" t="s">
        <v>425</v>
      </c>
      <c r="X1462" s="4"/>
      <c r="Y1462" s="7">
        <v>2</v>
      </c>
      <c r="Z1462" s="8">
        <v>1293903</v>
      </c>
      <c r="AA1462" s="7" t="s">
        <v>92</v>
      </c>
      <c r="AB1462" s="7"/>
      <c r="AC1462" s="9">
        <v>3</v>
      </c>
      <c r="AD1462" s="10">
        <v>521345</v>
      </c>
      <c r="AE1462" s="9" t="s">
        <v>92</v>
      </c>
      <c r="AF1462" s="9"/>
      <c r="AG1462" s="11">
        <v>3</v>
      </c>
      <c r="AH1462" s="11" t="s">
        <v>5779</v>
      </c>
      <c r="AI1462" s="11" t="s">
        <v>5780</v>
      </c>
      <c r="AJ1462" s="11">
        <v>1</v>
      </c>
      <c r="AK1462" s="11" t="s">
        <v>132</v>
      </c>
      <c r="AL1462" s="12">
        <v>3</v>
      </c>
      <c r="AM1462" s="12" t="s">
        <v>5779</v>
      </c>
      <c r="AN1462" s="12" t="s">
        <v>5781</v>
      </c>
      <c r="AO1462" s="12">
        <v>3</v>
      </c>
      <c r="AP1462" s="12" t="s">
        <v>143</v>
      </c>
      <c r="AQ1462" s="4">
        <v>2</v>
      </c>
      <c r="AR1462" s="4" t="s">
        <v>133</v>
      </c>
      <c r="AS1462" s="4"/>
      <c r="AT1462" s="13">
        <v>5.0894947052001998</v>
      </c>
      <c r="AU1462" s="13">
        <v>9.7543634474277496E-2</v>
      </c>
      <c r="AV1462" s="13">
        <v>-0.79850000143051103</v>
      </c>
      <c r="AW1462" s="13">
        <v>1</v>
      </c>
      <c r="AX1462" s="4"/>
      <c r="AY1462" s="13">
        <v>1.2420450448989899</v>
      </c>
      <c r="AZ1462" s="13">
        <v>0.123534440994263</v>
      </c>
      <c r="BA1462" s="13">
        <v>-1.75</v>
      </c>
      <c r="BB1462" s="13">
        <v>1.5475989580154399</v>
      </c>
      <c r="BC1462" s="4"/>
      <c r="BD1462" s="4">
        <v>10</v>
      </c>
      <c r="BE1462" s="4" t="s">
        <v>134</v>
      </c>
      <c r="BF1462" s="13">
        <v>1.79849994182587</v>
      </c>
      <c r="BG1462" s="4">
        <v>285</v>
      </c>
      <c r="BH1462" s="13">
        <v>1.70500004291534</v>
      </c>
      <c r="BI1462" s="13">
        <v>485.92498779296898</v>
      </c>
      <c r="BJ1462" s="4"/>
      <c r="BK1462" s="14">
        <v>10</v>
      </c>
      <c r="BL1462" s="14">
        <v>11</v>
      </c>
      <c r="BM1462" s="14">
        <v>11</v>
      </c>
      <c r="BP1462" s="15"/>
      <c r="BQ1462" s="15"/>
      <c r="BR1462" s="2" t="s">
        <v>555</v>
      </c>
      <c r="BS1462" s="2" t="s">
        <v>108</v>
      </c>
      <c r="BT1462" s="7" t="s">
        <v>428</v>
      </c>
      <c r="BU1462" s="7" t="s">
        <v>438</v>
      </c>
      <c r="BV1462" s="9" t="s">
        <v>438</v>
      </c>
      <c r="BW1462" s="9" t="s">
        <v>109</v>
      </c>
    </row>
    <row r="1463" spans="1:75" ht="14.25" customHeight="1" x14ac:dyDescent="0.25">
      <c r="A1463" s="1">
        <v>1375</v>
      </c>
      <c r="B1463" s="1" t="s">
        <v>5782</v>
      </c>
      <c r="C1463" s="1" t="s">
        <v>5783</v>
      </c>
      <c r="D1463" s="1" t="s">
        <v>77</v>
      </c>
      <c r="E1463" s="1" t="s">
        <v>2396</v>
      </c>
      <c r="F1463" s="1" t="s">
        <v>3119</v>
      </c>
      <c r="G1463" s="1" t="s">
        <v>118</v>
      </c>
      <c r="H1463" s="2">
        <v>1</v>
      </c>
      <c r="I1463" s="2">
        <v>1</v>
      </c>
      <c r="J1463" s="2">
        <v>1</v>
      </c>
      <c r="K1463" s="2">
        <v>1</v>
      </c>
      <c r="L1463" s="3" t="s">
        <v>127</v>
      </c>
      <c r="O1463" s="4">
        <v>3</v>
      </c>
      <c r="P1463" s="4" t="s">
        <v>579</v>
      </c>
      <c r="Q1463" s="4"/>
      <c r="R1463" s="16">
        <v>4000000</v>
      </c>
      <c r="S1463" s="6">
        <v>4000000</v>
      </c>
      <c r="T1463" s="16">
        <v>4000000</v>
      </c>
      <c r="U1463" s="6">
        <v>4000000</v>
      </c>
      <c r="V1463" s="4">
        <v>2010.5</v>
      </c>
      <c r="W1463" s="4" t="s">
        <v>579</v>
      </c>
      <c r="X1463" s="4"/>
      <c r="Y1463" s="7">
        <v>2</v>
      </c>
      <c r="Z1463" s="8">
        <v>2739486</v>
      </c>
      <c r="AA1463" s="7" t="s">
        <v>92</v>
      </c>
      <c r="AB1463" s="7"/>
      <c r="AC1463" s="9">
        <v>3</v>
      </c>
      <c r="AD1463" s="10">
        <v>675438</v>
      </c>
      <c r="AE1463" s="9" t="s">
        <v>92</v>
      </c>
      <c r="AF1463" s="9"/>
      <c r="AG1463" s="11">
        <v>3</v>
      </c>
      <c r="AH1463" s="11" t="s">
        <v>131</v>
      </c>
      <c r="AI1463" s="11"/>
      <c r="AJ1463" s="11">
        <v>4</v>
      </c>
      <c r="AK1463" s="11" t="s">
        <v>332</v>
      </c>
      <c r="AL1463" s="12">
        <v>2</v>
      </c>
      <c r="AM1463" s="12" t="s">
        <v>271</v>
      </c>
      <c r="AN1463" s="12" t="s">
        <v>5784</v>
      </c>
      <c r="AO1463" s="12"/>
      <c r="AP1463" s="12"/>
      <c r="AQ1463" s="4">
        <v>1</v>
      </c>
      <c r="AR1463" s="4" t="s">
        <v>133</v>
      </c>
      <c r="AS1463" s="4"/>
      <c r="AT1463" s="13">
        <v>139.79899597168</v>
      </c>
      <c r="AU1463" s="13">
        <v>1.7303102016448999</v>
      </c>
      <c r="AV1463" s="13">
        <v>0.52069401741027799</v>
      </c>
      <c r="AW1463" s="13">
        <v>3.0899999141693102</v>
      </c>
      <c r="AX1463" s="4">
        <v>1</v>
      </c>
      <c r="AY1463" s="13">
        <v>73.640998840332003</v>
      </c>
      <c r="AZ1463" s="13">
        <v>5.6721220016479501</v>
      </c>
      <c r="BA1463" s="13">
        <v>-1.08000004291534</v>
      </c>
      <c r="BB1463" s="13">
        <v>10.4521989822388</v>
      </c>
      <c r="BC1463" s="4"/>
      <c r="BD1463" s="4">
        <v>10</v>
      </c>
      <c r="BE1463" s="4" t="s">
        <v>134</v>
      </c>
      <c r="BF1463" s="13">
        <v>2.5693058967590301</v>
      </c>
      <c r="BG1463" s="4">
        <v>550</v>
      </c>
      <c r="BH1463" s="13">
        <v>1.0694999694824201</v>
      </c>
      <c r="BI1463" s="13">
        <v>588.01452636718795</v>
      </c>
      <c r="BJ1463" s="4"/>
      <c r="BK1463" s="14">
        <v>9</v>
      </c>
      <c r="BL1463" s="14">
        <v>9</v>
      </c>
      <c r="BM1463" s="14">
        <v>9</v>
      </c>
      <c r="BP1463" s="15"/>
      <c r="BQ1463" s="15"/>
      <c r="BR1463" s="2" t="s">
        <v>211</v>
      </c>
      <c r="BS1463" s="2" t="s">
        <v>400</v>
      </c>
      <c r="BT1463" s="7" t="s">
        <v>527</v>
      </c>
      <c r="BU1463" s="7"/>
      <c r="BV1463" s="9" t="s">
        <v>797</v>
      </c>
      <c r="BW1463" s="9"/>
    </row>
    <row r="1464" spans="1:75" ht="14.25" customHeight="1" x14ac:dyDescent="0.25">
      <c r="A1464" s="1">
        <v>1376</v>
      </c>
      <c r="B1464" s="1" t="s">
        <v>5785</v>
      </c>
      <c r="C1464" s="1" t="s">
        <v>5786</v>
      </c>
      <c r="D1464" s="1" t="s">
        <v>77</v>
      </c>
      <c r="E1464" s="1" t="s">
        <v>2396</v>
      </c>
      <c r="F1464" s="1" t="s">
        <v>3119</v>
      </c>
      <c r="G1464" s="1"/>
      <c r="H1464" s="2">
        <v>1</v>
      </c>
      <c r="I1464" s="2">
        <v>1</v>
      </c>
      <c r="J1464" s="2">
        <v>1</v>
      </c>
      <c r="K1464" s="2">
        <v>1</v>
      </c>
      <c r="L1464" s="3" t="s">
        <v>127</v>
      </c>
      <c r="O1464" s="4">
        <v>1</v>
      </c>
      <c r="P1464" s="4" t="s">
        <v>424</v>
      </c>
      <c r="Q1464" s="4"/>
      <c r="R1464" s="16">
        <v>53000000</v>
      </c>
      <c r="S1464" s="6">
        <v>53000000</v>
      </c>
      <c r="T1464" s="16">
        <v>52000000</v>
      </c>
      <c r="U1464" s="6">
        <v>52000000</v>
      </c>
      <c r="V1464" s="4">
        <v>2010.5</v>
      </c>
      <c r="W1464" s="4" t="s">
        <v>425</v>
      </c>
      <c r="X1464" s="4"/>
      <c r="Y1464" s="7">
        <v>1</v>
      </c>
      <c r="Z1464" s="8">
        <v>9781704</v>
      </c>
      <c r="AA1464" s="7" t="s">
        <v>92</v>
      </c>
      <c r="AB1464" s="7"/>
      <c r="AC1464" s="9">
        <v>3</v>
      </c>
      <c r="AD1464" s="10">
        <v>629378</v>
      </c>
      <c r="AE1464" s="9" t="s">
        <v>92</v>
      </c>
      <c r="AF1464" s="9"/>
      <c r="AG1464" s="11">
        <v>3</v>
      </c>
      <c r="AH1464" s="11" t="s">
        <v>131</v>
      </c>
      <c r="AI1464" s="11" t="s">
        <v>5787</v>
      </c>
      <c r="AJ1464" s="11">
        <v>2</v>
      </c>
      <c r="AK1464" s="11" t="s">
        <v>132</v>
      </c>
      <c r="AL1464" s="12">
        <v>3</v>
      </c>
      <c r="AM1464" s="12" t="s">
        <v>131</v>
      </c>
      <c r="AN1464" s="12" t="s">
        <v>5788</v>
      </c>
      <c r="AO1464" s="12">
        <v>2</v>
      </c>
      <c r="AP1464" s="12" t="s">
        <v>143</v>
      </c>
      <c r="AQ1464" s="4">
        <v>1</v>
      </c>
      <c r="AR1464" s="4" t="s">
        <v>133</v>
      </c>
      <c r="AS1464" s="4"/>
      <c r="AT1464" s="13">
        <v>55.048297882080099</v>
      </c>
      <c r="AU1464" s="13">
        <v>0.86331599950790405</v>
      </c>
      <c r="AV1464" s="13">
        <v>0.56099998950958296</v>
      </c>
      <c r="AW1464" s="13">
        <v>1.0635019540786701</v>
      </c>
      <c r="AX1464" s="4">
        <v>1</v>
      </c>
      <c r="AY1464" s="13">
        <v>-1.61380314826965</v>
      </c>
      <c r="AZ1464" s="13">
        <v>-0.162628933787346</v>
      </c>
      <c r="BA1464" s="13">
        <v>-1.0110969543457</v>
      </c>
      <c r="BB1464" s="13">
        <v>0.86500000953674305</v>
      </c>
      <c r="BC1464" s="4"/>
      <c r="BD1464" s="4">
        <v>10</v>
      </c>
      <c r="BE1464" s="4" t="s">
        <v>134</v>
      </c>
      <c r="BF1464" s="13">
        <v>0.50250202417373702</v>
      </c>
      <c r="BG1464" s="4">
        <v>2998.5</v>
      </c>
      <c r="BH1464" s="13">
        <v>4.4549999237060502</v>
      </c>
      <c r="BI1464" s="13">
        <v>13353.724609375</v>
      </c>
      <c r="BJ1464" s="4"/>
      <c r="BK1464" s="14">
        <v>6</v>
      </c>
      <c r="BL1464" s="14">
        <v>8</v>
      </c>
      <c r="BM1464" s="14">
        <v>8</v>
      </c>
      <c r="BP1464" s="15"/>
      <c r="BQ1464" s="15"/>
      <c r="BR1464" s="2" t="s">
        <v>172</v>
      </c>
      <c r="BS1464" s="2" t="s">
        <v>400</v>
      </c>
      <c r="BT1464" s="7" t="s">
        <v>241</v>
      </c>
      <c r="BU1464" s="7" t="s">
        <v>428</v>
      </c>
      <c r="BV1464" s="9" t="s">
        <v>797</v>
      </c>
      <c r="BW1464" s="9"/>
    </row>
    <row r="1465" spans="1:75" ht="14.25" customHeight="1" x14ac:dyDescent="0.25">
      <c r="A1465" s="1">
        <v>1377</v>
      </c>
      <c r="B1465" s="1" t="s">
        <v>5789</v>
      </c>
      <c r="C1465" s="1" t="s">
        <v>5790</v>
      </c>
      <c r="D1465" s="1" t="s">
        <v>77</v>
      </c>
      <c r="E1465" s="1" t="s">
        <v>2396</v>
      </c>
      <c r="F1465" s="1" t="s">
        <v>3119</v>
      </c>
      <c r="G1465" s="1"/>
      <c r="H1465" s="2">
        <v>0</v>
      </c>
      <c r="I1465" s="2">
        <v>0</v>
      </c>
      <c r="J1465" s="2">
        <v>1</v>
      </c>
      <c r="K1465" s="2">
        <v>1</v>
      </c>
      <c r="L1465" s="3" t="s">
        <v>80</v>
      </c>
      <c r="O1465" s="4">
        <v>4</v>
      </c>
      <c r="P1465" s="4" t="s">
        <v>112</v>
      </c>
      <c r="Q1465" s="4"/>
      <c r="R1465" s="5"/>
      <c r="S1465" s="6"/>
      <c r="T1465" s="17"/>
      <c r="U1465" s="6"/>
      <c r="V1465" s="4"/>
      <c r="W1465" s="4"/>
      <c r="X1465" s="4"/>
      <c r="Y1465" s="7">
        <v>3</v>
      </c>
      <c r="Z1465" s="8">
        <v>577263</v>
      </c>
      <c r="AA1465" s="7" t="s">
        <v>92</v>
      </c>
      <c r="AB1465" s="7"/>
      <c r="AC1465" s="9">
        <v>3</v>
      </c>
      <c r="AD1465" s="10">
        <v>577263</v>
      </c>
      <c r="AE1465" s="9" t="s">
        <v>92</v>
      </c>
      <c r="AF1465" s="9" t="s">
        <v>3128</v>
      </c>
      <c r="AG1465" s="11">
        <v>4</v>
      </c>
      <c r="AH1465" s="11" t="s">
        <v>93</v>
      </c>
      <c r="AI1465" s="11"/>
      <c r="AJ1465" s="11"/>
      <c r="AK1465" s="11"/>
      <c r="AL1465" s="12">
        <v>4</v>
      </c>
      <c r="AM1465" s="12" t="s">
        <v>93</v>
      </c>
      <c r="AN1465" s="12" t="s">
        <v>5791</v>
      </c>
      <c r="AO1465" s="12"/>
      <c r="AP1465" s="12"/>
      <c r="AQ1465" s="4">
        <v>4</v>
      </c>
      <c r="AR1465" s="4" t="s">
        <v>83</v>
      </c>
      <c r="AS1465" s="4"/>
      <c r="AT1465" s="13"/>
      <c r="AU1465" s="13"/>
      <c r="AV1465" s="13"/>
      <c r="AW1465" s="13"/>
      <c r="AX1465" s="4"/>
      <c r="AY1465" s="13"/>
      <c r="AZ1465" s="13"/>
      <c r="BA1465" s="13"/>
      <c r="BB1465" s="13"/>
      <c r="BC1465" s="4"/>
      <c r="BD1465" s="4"/>
      <c r="BE1465" s="4"/>
      <c r="BF1465" s="13"/>
      <c r="BG1465" s="4"/>
      <c r="BH1465" s="13"/>
      <c r="BI1465" s="13"/>
      <c r="BJ1465" s="4"/>
      <c r="BK1465" s="14">
        <v>15</v>
      </c>
      <c r="BL1465" s="14">
        <v>15</v>
      </c>
      <c r="BM1465" s="14">
        <v>15</v>
      </c>
      <c r="BN1465" s="3" t="s">
        <v>86</v>
      </c>
      <c r="BP1465" s="15"/>
      <c r="BQ1465" s="15"/>
      <c r="BR1465" s="2" t="s">
        <v>87</v>
      </c>
      <c r="BS1465" s="2" t="s">
        <v>87</v>
      </c>
      <c r="BT1465" s="7" t="s">
        <v>88</v>
      </c>
      <c r="BU1465" s="7"/>
      <c r="BV1465" s="9" t="s">
        <v>88</v>
      </c>
      <c r="BW1465" s="9"/>
    </row>
    <row r="1466" spans="1:75" ht="14.25" customHeight="1" x14ac:dyDescent="0.25">
      <c r="A1466" s="1">
        <v>1378</v>
      </c>
      <c r="B1466" s="1" t="s">
        <v>5792</v>
      </c>
      <c r="C1466" s="1" t="s">
        <v>5793</v>
      </c>
      <c r="D1466" s="1" t="s">
        <v>77</v>
      </c>
      <c r="E1466" s="1" t="s">
        <v>2396</v>
      </c>
      <c r="F1466" s="1" t="s">
        <v>3119</v>
      </c>
      <c r="G1466" s="1"/>
      <c r="H1466" s="2">
        <v>1</v>
      </c>
      <c r="I1466" s="2">
        <v>1</v>
      </c>
      <c r="J1466" s="2">
        <v>1</v>
      </c>
      <c r="K1466" s="2">
        <v>1</v>
      </c>
      <c r="L1466" s="3" t="s">
        <v>127</v>
      </c>
      <c r="O1466" s="4">
        <v>1</v>
      </c>
      <c r="P1466" s="4" t="s">
        <v>5794</v>
      </c>
      <c r="Q1466" s="4" t="s">
        <v>5795</v>
      </c>
      <c r="R1466" s="16">
        <v>130000000</v>
      </c>
      <c r="S1466" s="6">
        <v>130000000</v>
      </c>
      <c r="T1466" s="16">
        <v>130000000</v>
      </c>
      <c r="U1466" s="6">
        <v>130000000</v>
      </c>
      <c r="V1466" s="4">
        <v>2010.5</v>
      </c>
      <c r="W1466" s="4" t="s">
        <v>579</v>
      </c>
      <c r="X1466" s="4"/>
      <c r="Y1466" s="7">
        <v>1</v>
      </c>
      <c r="Z1466" s="8">
        <v>8742847</v>
      </c>
      <c r="AA1466" s="7" t="s">
        <v>283</v>
      </c>
      <c r="AB1466" s="7"/>
      <c r="AC1466" s="9">
        <v>1</v>
      </c>
      <c r="AD1466" s="10">
        <v>11298861</v>
      </c>
      <c r="AE1466" s="9" t="s">
        <v>283</v>
      </c>
      <c r="AF1466" s="9"/>
      <c r="AG1466" s="11">
        <v>2</v>
      </c>
      <c r="AH1466" s="11" t="s">
        <v>131</v>
      </c>
      <c r="AI1466" s="11" t="s">
        <v>5796</v>
      </c>
      <c r="AJ1466" s="11">
        <v>2</v>
      </c>
      <c r="AK1466" s="11" t="s">
        <v>143</v>
      </c>
      <c r="AL1466" s="12">
        <v>2</v>
      </c>
      <c r="AM1466" s="12" t="s">
        <v>271</v>
      </c>
      <c r="AN1466" s="12" t="s">
        <v>5797</v>
      </c>
      <c r="AO1466" s="12"/>
      <c r="AP1466" s="12"/>
      <c r="AQ1466" s="4">
        <v>1</v>
      </c>
      <c r="AR1466" s="4" t="s">
        <v>133</v>
      </c>
      <c r="AS1466" s="4"/>
      <c r="AT1466" s="13">
        <v>56.016025543212898</v>
      </c>
      <c r="AU1466" s="13">
        <v>0.87414473295211803</v>
      </c>
      <c r="AV1466" s="13">
        <v>0.63879501819610596</v>
      </c>
      <c r="AW1466" s="13">
        <v>1.1499999761581401</v>
      </c>
      <c r="AX1466" s="4">
        <v>1</v>
      </c>
      <c r="AY1466" s="13">
        <v>16.962694168090799</v>
      </c>
      <c r="AZ1466" s="13">
        <v>1.57973527908325</v>
      </c>
      <c r="BA1466" s="13">
        <v>1.12810099124908</v>
      </c>
      <c r="BB1466" s="13">
        <v>2.1500000953674299</v>
      </c>
      <c r="BC1466" s="4">
        <v>1</v>
      </c>
      <c r="BD1466" s="4">
        <v>10</v>
      </c>
      <c r="BE1466" s="4" t="s">
        <v>134</v>
      </c>
      <c r="BF1466" s="13">
        <v>0.51120501756668102</v>
      </c>
      <c r="BG1466" s="4">
        <v>3426.5</v>
      </c>
      <c r="BH1466" s="13">
        <v>12.800000190734901</v>
      </c>
      <c r="BI1466" s="13">
        <v>43853.19921875</v>
      </c>
      <c r="BJ1466" s="4"/>
      <c r="BK1466" s="14">
        <v>5</v>
      </c>
      <c r="BL1466" s="14">
        <v>5</v>
      </c>
      <c r="BM1466" s="14">
        <v>5</v>
      </c>
      <c r="BP1466" s="15"/>
      <c r="BQ1466" s="15"/>
      <c r="BR1466" s="2" t="s">
        <v>172</v>
      </c>
      <c r="BS1466" s="2" t="s">
        <v>740</v>
      </c>
      <c r="BT1466" s="7" t="s">
        <v>509</v>
      </c>
      <c r="BU1466" s="7"/>
      <c r="BV1466" s="9" t="s">
        <v>98</v>
      </c>
      <c r="BW1466" s="9"/>
    </row>
    <row r="1467" spans="1:75" ht="14.25" customHeight="1" x14ac:dyDescent="0.25">
      <c r="A1467" s="1">
        <v>1379</v>
      </c>
      <c r="B1467" s="1" t="s">
        <v>5798</v>
      </c>
      <c r="C1467" s="1" t="s">
        <v>5799</v>
      </c>
      <c r="D1467" s="1" t="s">
        <v>77</v>
      </c>
      <c r="E1467" s="1" t="s">
        <v>2396</v>
      </c>
      <c r="F1467" s="1" t="s">
        <v>3119</v>
      </c>
      <c r="G1467" s="1"/>
      <c r="H1467" s="2">
        <v>0</v>
      </c>
      <c r="I1467" s="2">
        <v>1</v>
      </c>
      <c r="J1467" s="2">
        <v>1</v>
      </c>
      <c r="K1467" s="2">
        <v>1</v>
      </c>
      <c r="L1467" s="3" t="s">
        <v>127</v>
      </c>
      <c r="O1467" s="4">
        <v>3</v>
      </c>
      <c r="P1467" s="4" t="s">
        <v>706</v>
      </c>
      <c r="Q1467" s="4"/>
      <c r="R1467" s="16">
        <v>2000000</v>
      </c>
      <c r="S1467" s="6">
        <v>2000000</v>
      </c>
      <c r="T1467" s="17" t="s">
        <v>682</v>
      </c>
      <c r="U1467" s="6">
        <v>50</v>
      </c>
      <c r="V1467" s="4"/>
      <c r="W1467" s="4" t="s">
        <v>543</v>
      </c>
      <c r="X1467" s="4" t="s">
        <v>5800</v>
      </c>
      <c r="Y1467" s="7">
        <v>2</v>
      </c>
      <c r="Z1467" s="8">
        <v>1009338</v>
      </c>
      <c r="AA1467" s="7" t="s">
        <v>92</v>
      </c>
      <c r="AB1467" s="7"/>
      <c r="AC1467" s="9">
        <v>2</v>
      </c>
      <c r="AD1467" s="10">
        <v>1965023</v>
      </c>
      <c r="AE1467" s="9" t="s">
        <v>92</v>
      </c>
      <c r="AF1467" s="9"/>
      <c r="AG1467" s="11">
        <v>3</v>
      </c>
      <c r="AH1467" s="11" t="s">
        <v>271</v>
      </c>
      <c r="AI1467" s="11"/>
      <c r="AJ1467" s="11"/>
      <c r="AK1467" s="11"/>
      <c r="AL1467" s="12">
        <v>3</v>
      </c>
      <c r="AM1467" s="12" t="s">
        <v>271</v>
      </c>
      <c r="AN1467" s="12" t="s">
        <v>2476</v>
      </c>
      <c r="AO1467" s="12"/>
      <c r="AP1467" s="12"/>
      <c r="AQ1467" s="4">
        <v>3</v>
      </c>
      <c r="AR1467" s="4" t="s">
        <v>93</v>
      </c>
      <c r="AS1467" s="4" t="s">
        <v>5801</v>
      </c>
      <c r="AT1467" s="13"/>
      <c r="AU1467" s="13"/>
      <c r="AV1467" s="13"/>
      <c r="AW1467" s="13"/>
      <c r="AX1467" s="4"/>
      <c r="AY1467" s="13"/>
      <c r="AZ1467" s="13"/>
      <c r="BA1467" s="13"/>
      <c r="BB1467" s="13"/>
      <c r="BC1467" s="4"/>
      <c r="BD1467" s="4"/>
      <c r="BE1467" s="4"/>
      <c r="BF1467" s="13"/>
      <c r="BG1467" s="4"/>
      <c r="BH1467" s="13"/>
      <c r="BI1467" s="13"/>
      <c r="BJ1467" s="4"/>
      <c r="BK1467" s="14">
        <v>11</v>
      </c>
      <c r="BL1467" s="14">
        <v>11</v>
      </c>
      <c r="BM1467" s="14">
        <v>11</v>
      </c>
      <c r="BP1467" s="15"/>
      <c r="BQ1467" s="15"/>
      <c r="BR1467" s="2" t="s">
        <v>400</v>
      </c>
      <c r="BS1467" s="2" t="s">
        <v>740</v>
      </c>
      <c r="BT1467" s="7" t="s">
        <v>109</v>
      </c>
      <c r="BU1467" s="7" t="s">
        <v>109</v>
      </c>
      <c r="BV1467" s="9" t="s">
        <v>98</v>
      </c>
      <c r="BW1467" s="9"/>
    </row>
    <row r="1468" spans="1:75" ht="14.25" customHeight="1" x14ac:dyDescent="0.25">
      <c r="A1468" s="1">
        <v>1380</v>
      </c>
      <c r="B1468" s="1" t="s">
        <v>5802</v>
      </c>
      <c r="C1468" s="1" t="s">
        <v>5803</v>
      </c>
      <c r="D1468" s="1" t="s">
        <v>77</v>
      </c>
      <c r="E1468" s="1" t="s">
        <v>2396</v>
      </c>
      <c r="F1468" s="1" t="s">
        <v>3119</v>
      </c>
      <c r="G1468" s="1"/>
      <c r="H1468" s="2">
        <v>0</v>
      </c>
      <c r="I1468" s="2">
        <v>1</v>
      </c>
      <c r="J1468" s="2">
        <v>1</v>
      </c>
      <c r="K1468" s="2">
        <v>1</v>
      </c>
      <c r="L1468" s="3" t="s">
        <v>127</v>
      </c>
      <c r="O1468" s="4">
        <v>2</v>
      </c>
      <c r="P1468" s="4" t="s">
        <v>470</v>
      </c>
      <c r="Q1468" s="4"/>
      <c r="R1468" s="16">
        <v>6200000</v>
      </c>
      <c r="S1468" s="6">
        <v>6200000</v>
      </c>
      <c r="T1468" s="16">
        <v>84000</v>
      </c>
      <c r="U1468" s="6">
        <v>84000</v>
      </c>
      <c r="V1468" s="4">
        <v>2010.5</v>
      </c>
      <c r="W1468" s="4" t="s">
        <v>425</v>
      </c>
      <c r="X1468" s="4"/>
      <c r="Y1468" s="7">
        <v>4</v>
      </c>
      <c r="Z1468" s="8">
        <v>241658</v>
      </c>
      <c r="AA1468" s="7" t="s">
        <v>537</v>
      </c>
      <c r="AB1468" s="7" t="s">
        <v>5804</v>
      </c>
      <c r="AC1468" s="9">
        <v>1</v>
      </c>
      <c r="AD1468" s="10">
        <v>4726760</v>
      </c>
      <c r="AE1468" s="9" t="s">
        <v>92</v>
      </c>
      <c r="AF1468" s="9"/>
      <c r="AG1468" s="11">
        <v>3</v>
      </c>
      <c r="AH1468" s="11" t="s">
        <v>271</v>
      </c>
      <c r="AI1468" s="11" t="s">
        <v>5805</v>
      </c>
      <c r="AJ1468" s="11"/>
      <c r="AK1468" s="11"/>
      <c r="AL1468" s="12">
        <v>3</v>
      </c>
      <c r="AM1468" s="12" t="s">
        <v>271</v>
      </c>
      <c r="AN1468" s="12" t="s">
        <v>5806</v>
      </c>
      <c r="AO1468" s="12"/>
      <c r="AP1468" s="12"/>
      <c r="AQ1468" s="4">
        <v>3</v>
      </c>
      <c r="AR1468" s="4" t="s">
        <v>387</v>
      </c>
      <c r="AS1468" s="4" t="s">
        <v>5807</v>
      </c>
      <c r="AT1468" s="13"/>
      <c r="AU1468" s="13"/>
      <c r="AV1468" s="13"/>
      <c r="AW1468" s="13"/>
      <c r="AX1468" s="4"/>
      <c r="AY1468" s="13"/>
      <c r="AZ1468" s="13"/>
      <c r="BA1468" s="13"/>
      <c r="BB1468" s="13"/>
      <c r="BC1468" s="4"/>
      <c r="BD1468" s="4"/>
      <c r="BE1468" s="4"/>
      <c r="BF1468" s="13"/>
      <c r="BG1468" s="4"/>
      <c r="BH1468" s="13"/>
      <c r="BI1468" s="13"/>
      <c r="BJ1468" s="4"/>
      <c r="BK1468" s="14">
        <v>12</v>
      </c>
      <c r="BL1468" s="14">
        <v>9</v>
      </c>
      <c r="BM1468" s="14">
        <v>12</v>
      </c>
      <c r="BP1468" s="15"/>
      <c r="BQ1468" s="15"/>
      <c r="BR1468" s="2" t="s">
        <v>791</v>
      </c>
      <c r="BS1468" s="2" t="s">
        <v>740</v>
      </c>
      <c r="BT1468" s="7" t="s">
        <v>623</v>
      </c>
      <c r="BU1468" s="7"/>
      <c r="BV1468" s="9" t="s">
        <v>98</v>
      </c>
      <c r="BW1468" s="9"/>
    </row>
    <row r="1469" spans="1:75" ht="14.25" customHeight="1" x14ac:dyDescent="0.25">
      <c r="A1469" s="1">
        <v>1381</v>
      </c>
      <c r="B1469" s="1" t="s">
        <v>5808</v>
      </c>
      <c r="C1469" s="1" t="s">
        <v>5809</v>
      </c>
      <c r="D1469" s="1" t="s">
        <v>77</v>
      </c>
      <c r="E1469" s="1" t="s">
        <v>2396</v>
      </c>
      <c r="F1469" s="1" t="s">
        <v>3119</v>
      </c>
      <c r="G1469" s="1"/>
      <c r="H1469" s="2">
        <v>0</v>
      </c>
      <c r="I1469" s="2">
        <v>0</v>
      </c>
      <c r="J1469" s="2">
        <v>1</v>
      </c>
      <c r="K1469" s="2">
        <v>1</v>
      </c>
      <c r="L1469" s="3" t="s">
        <v>80</v>
      </c>
      <c r="O1469" s="4">
        <v>5</v>
      </c>
      <c r="P1469" s="4" t="s">
        <v>112</v>
      </c>
      <c r="Q1469" s="4"/>
      <c r="R1469" s="5"/>
      <c r="S1469" s="6"/>
      <c r="T1469" s="17"/>
      <c r="U1469" s="6"/>
      <c r="V1469" s="4"/>
      <c r="W1469" s="4"/>
      <c r="X1469" s="4"/>
      <c r="Y1469" s="7">
        <v>5</v>
      </c>
      <c r="Z1469" s="8">
        <v>8585</v>
      </c>
      <c r="AA1469" s="7" t="s">
        <v>92</v>
      </c>
      <c r="AB1469" s="7"/>
      <c r="AC1469" s="9">
        <v>5</v>
      </c>
      <c r="AD1469" s="10">
        <v>8585</v>
      </c>
      <c r="AE1469" s="9" t="s">
        <v>92</v>
      </c>
      <c r="AF1469" s="9"/>
      <c r="AG1469" s="11">
        <v>4</v>
      </c>
      <c r="AH1469" s="11" t="s">
        <v>93</v>
      </c>
      <c r="AI1469" s="11"/>
      <c r="AJ1469" s="11"/>
      <c r="AK1469" s="11"/>
      <c r="AL1469" s="12">
        <v>4</v>
      </c>
      <c r="AM1469" s="12" t="s">
        <v>93</v>
      </c>
      <c r="AN1469" s="12" t="s">
        <v>805</v>
      </c>
      <c r="AO1469" s="12"/>
      <c r="AP1469" s="12"/>
      <c r="AQ1469" s="4">
        <v>4</v>
      </c>
      <c r="AR1469" s="4" t="s">
        <v>83</v>
      </c>
      <c r="AS1469" s="4" t="s">
        <v>5810</v>
      </c>
      <c r="AT1469" s="13"/>
      <c r="AU1469" s="13"/>
      <c r="AV1469" s="13"/>
      <c r="AW1469" s="13"/>
      <c r="AX1469" s="4"/>
      <c r="AY1469" s="13"/>
      <c r="AZ1469" s="13"/>
      <c r="BA1469" s="13"/>
      <c r="BB1469" s="13"/>
      <c r="BC1469" s="4"/>
      <c r="BD1469" s="4"/>
      <c r="BE1469" s="4"/>
      <c r="BF1469" s="13"/>
      <c r="BG1469" s="4"/>
      <c r="BH1469" s="13"/>
      <c r="BI1469" s="13"/>
      <c r="BJ1469" s="4"/>
      <c r="BK1469" s="14">
        <v>18</v>
      </c>
      <c r="BL1469" s="14">
        <v>18</v>
      </c>
      <c r="BM1469" s="14">
        <v>18</v>
      </c>
      <c r="BN1469" s="3" t="s">
        <v>312</v>
      </c>
      <c r="BP1469" s="15"/>
      <c r="BQ1469" s="15"/>
      <c r="BR1469" s="2" t="s">
        <v>115</v>
      </c>
      <c r="BS1469" s="2" t="s">
        <v>115</v>
      </c>
      <c r="BT1469" s="7" t="s">
        <v>623</v>
      </c>
      <c r="BU1469" s="7" t="s">
        <v>109</v>
      </c>
      <c r="BV1469" s="9" t="s">
        <v>623</v>
      </c>
      <c r="BW1469" s="9" t="s">
        <v>109</v>
      </c>
    </row>
    <row r="1470" spans="1:75" ht="14.25" customHeight="1" x14ac:dyDescent="0.25">
      <c r="A1470" s="1">
        <v>1443</v>
      </c>
      <c r="B1470" s="1" t="s">
        <v>5811</v>
      </c>
      <c r="C1470" s="1" t="s">
        <v>5812</v>
      </c>
      <c r="D1470" s="1" t="s">
        <v>77</v>
      </c>
      <c r="E1470" s="1" t="s">
        <v>2396</v>
      </c>
      <c r="F1470" s="1" t="s">
        <v>3326</v>
      </c>
      <c r="G1470" s="1"/>
      <c r="H1470" s="2">
        <v>1</v>
      </c>
      <c r="I1470" s="2">
        <v>1</v>
      </c>
      <c r="J1470" s="2">
        <v>0</v>
      </c>
      <c r="K1470" s="2">
        <v>0</v>
      </c>
      <c r="L1470" s="3" t="s">
        <v>80</v>
      </c>
      <c r="O1470" s="4">
        <v>2</v>
      </c>
      <c r="P1470" s="4" t="s">
        <v>425</v>
      </c>
      <c r="Q1470" s="4"/>
      <c r="R1470" s="16">
        <v>12000000</v>
      </c>
      <c r="S1470" s="6">
        <v>12000000</v>
      </c>
      <c r="T1470" s="16">
        <v>12000000</v>
      </c>
      <c r="U1470" s="6">
        <v>12000000</v>
      </c>
      <c r="V1470" s="4">
        <v>2010.5</v>
      </c>
      <c r="W1470" s="4" t="s">
        <v>425</v>
      </c>
      <c r="X1470" s="4"/>
      <c r="Y1470" s="7">
        <v>2</v>
      </c>
      <c r="Z1470" s="8">
        <v>2967755</v>
      </c>
      <c r="AA1470" s="7" t="s">
        <v>92</v>
      </c>
      <c r="AB1470" s="7"/>
      <c r="AC1470" s="9">
        <v>2</v>
      </c>
      <c r="AD1470" s="10">
        <v>2967755</v>
      </c>
      <c r="AE1470" s="9" t="s">
        <v>92</v>
      </c>
      <c r="AF1470" s="9"/>
      <c r="AG1470" s="11">
        <v>2</v>
      </c>
      <c r="AH1470" s="11" t="s">
        <v>131</v>
      </c>
      <c r="AI1470" s="11" t="s">
        <v>5813</v>
      </c>
      <c r="AJ1470" s="11">
        <v>2</v>
      </c>
      <c r="AK1470" s="11" t="s">
        <v>143</v>
      </c>
      <c r="AL1470" s="12">
        <v>2</v>
      </c>
      <c r="AM1470" s="12" t="s">
        <v>131</v>
      </c>
      <c r="AN1470" s="12" t="s">
        <v>5814</v>
      </c>
      <c r="AO1470" s="12">
        <v>2</v>
      </c>
      <c r="AP1470" s="12" t="s">
        <v>143</v>
      </c>
      <c r="AQ1470" s="4">
        <v>1</v>
      </c>
      <c r="AR1470" s="4" t="s">
        <v>133</v>
      </c>
      <c r="AS1470" s="4"/>
      <c r="AT1470" s="13">
        <v>62.417022705078097</v>
      </c>
      <c r="AU1470" s="13">
        <v>0.95584535598754905</v>
      </c>
      <c r="AV1470" s="13">
        <v>0.70999997854232799</v>
      </c>
      <c r="AW1470" s="13">
        <v>1.1613969802856401</v>
      </c>
      <c r="AX1470" s="4">
        <v>1</v>
      </c>
      <c r="AY1470" s="13">
        <v>-2.5508410930633501</v>
      </c>
      <c r="AZ1470" s="13">
        <v>-0.25795596837997398</v>
      </c>
      <c r="BA1470" s="13">
        <v>-0.63099998235702504</v>
      </c>
      <c r="BB1470" s="13">
        <v>0.181999996304512</v>
      </c>
      <c r="BC1470" s="4"/>
      <c r="BD1470" s="4">
        <v>10</v>
      </c>
      <c r="BE1470" s="4" t="s">
        <v>134</v>
      </c>
      <c r="BF1470" s="13">
        <v>0.45139700174331698</v>
      </c>
      <c r="BG1470" s="4">
        <v>2020</v>
      </c>
      <c r="BH1470" s="13">
        <v>8.9449996948242205</v>
      </c>
      <c r="BI1470" s="13">
        <v>18066</v>
      </c>
      <c r="BJ1470" s="4"/>
      <c r="BK1470" s="14">
        <v>7</v>
      </c>
      <c r="BL1470" s="14">
        <v>7</v>
      </c>
      <c r="BM1470" s="14">
        <v>7</v>
      </c>
      <c r="BP1470" s="15" t="s">
        <v>135</v>
      </c>
      <c r="BQ1470" s="15"/>
      <c r="BR1470" s="2" t="s">
        <v>239</v>
      </c>
      <c r="BS1470" s="2" t="s">
        <v>239</v>
      </c>
      <c r="BT1470" s="7" t="s">
        <v>241</v>
      </c>
      <c r="BU1470" s="7"/>
      <c r="BV1470" s="9" t="s">
        <v>241</v>
      </c>
      <c r="BW1470" s="9"/>
    </row>
    <row r="1471" spans="1:75" ht="14.25" customHeight="1" x14ac:dyDescent="0.25">
      <c r="A1471" s="1">
        <v>1444</v>
      </c>
      <c r="B1471" s="1" t="s">
        <v>5815</v>
      </c>
      <c r="C1471" s="1" t="s">
        <v>5816</v>
      </c>
      <c r="D1471" s="1" t="s">
        <v>77</v>
      </c>
      <c r="E1471" s="1" t="s">
        <v>2396</v>
      </c>
      <c r="F1471" s="1" t="s">
        <v>3326</v>
      </c>
      <c r="G1471" s="1"/>
      <c r="H1471" s="2">
        <v>0</v>
      </c>
      <c r="I1471" s="2">
        <v>1</v>
      </c>
      <c r="J1471" s="2">
        <v>1</v>
      </c>
      <c r="K1471" s="2">
        <v>0</v>
      </c>
      <c r="L1471" s="3" t="s">
        <v>80</v>
      </c>
      <c r="O1471" s="4">
        <v>3</v>
      </c>
      <c r="P1471" s="4" t="s">
        <v>424</v>
      </c>
      <c r="Q1471" s="4"/>
      <c r="R1471" s="16">
        <v>1200000</v>
      </c>
      <c r="S1471" s="6">
        <v>1200000</v>
      </c>
      <c r="T1471" s="16">
        <v>640000</v>
      </c>
      <c r="U1471" s="6">
        <v>640000</v>
      </c>
      <c r="V1471" s="4">
        <v>2010.5</v>
      </c>
      <c r="W1471" s="4" t="s">
        <v>425</v>
      </c>
      <c r="X1471" s="4"/>
      <c r="Y1471" s="7">
        <v>3</v>
      </c>
      <c r="Z1471" s="8">
        <v>647816</v>
      </c>
      <c r="AA1471" s="7" t="s">
        <v>92</v>
      </c>
      <c r="AB1471" s="7"/>
      <c r="AC1471" s="9">
        <v>3</v>
      </c>
      <c r="AD1471" s="10">
        <v>647816</v>
      </c>
      <c r="AE1471" s="9" t="s">
        <v>92</v>
      </c>
      <c r="AF1471" s="9"/>
      <c r="AG1471" s="11">
        <v>2</v>
      </c>
      <c r="AH1471" s="11" t="s">
        <v>131</v>
      </c>
      <c r="AI1471" s="11"/>
      <c r="AJ1471" s="11">
        <v>1</v>
      </c>
      <c r="AK1471" s="11" t="s">
        <v>132</v>
      </c>
      <c r="AL1471" s="12">
        <v>2</v>
      </c>
      <c r="AM1471" s="12" t="s">
        <v>131</v>
      </c>
      <c r="AN1471" s="12"/>
      <c r="AO1471" s="12">
        <v>2</v>
      </c>
      <c r="AP1471" s="12" t="s">
        <v>132</v>
      </c>
      <c r="AQ1471" s="4">
        <v>2</v>
      </c>
      <c r="AR1471" s="4" t="s">
        <v>133</v>
      </c>
      <c r="AS1471" s="4"/>
      <c r="AT1471" s="13">
        <v>-2.6816856861114502</v>
      </c>
      <c r="AU1471" s="13">
        <v>-5.3651627153158202E-2</v>
      </c>
      <c r="AV1471" s="13">
        <v>-1.14979696273804</v>
      </c>
      <c r="AW1471" s="13">
        <v>1.0599999427795399</v>
      </c>
      <c r="AX1471" s="4"/>
      <c r="AY1471" s="13">
        <v>36.020362854003899</v>
      </c>
      <c r="AZ1471" s="13">
        <v>3.12433934211731</v>
      </c>
      <c r="BA1471" s="13">
        <v>0.27300000190734902</v>
      </c>
      <c r="BB1471" s="13">
        <v>5.5793051719665501</v>
      </c>
      <c r="BC1471" s="4">
        <v>1</v>
      </c>
      <c r="BD1471" s="4">
        <v>10</v>
      </c>
      <c r="BE1471" s="4" t="s">
        <v>134</v>
      </c>
      <c r="BF1471" s="13">
        <v>2.2097969055175799</v>
      </c>
      <c r="BG1471" s="4">
        <v>105.5</v>
      </c>
      <c r="BH1471" s="13">
        <v>6.1149997711181596</v>
      </c>
      <c r="BI1471" s="13">
        <v>643.96002197265602</v>
      </c>
      <c r="BJ1471" s="4"/>
      <c r="BK1471" s="14">
        <v>10</v>
      </c>
      <c r="BL1471" s="14">
        <v>10</v>
      </c>
      <c r="BM1471" s="14">
        <v>10</v>
      </c>
      <c r="BP1471" s="15" t="s">
        <v>135</v>
      </c>
      <c r="BQ1471" s="15"/>
      <c r="BR1471" s="2" t="s">
        <v>297</v>
      </c>
      <c r="BS1471" s="2" t="s">
        <v>297</v>
      </c>
      <c r="BT1471" s="7" t="s">
        <v>109</v>
      </c>
      <c r="BU1471" s="7"/>
      <c r="BV1471" s="9" t="s">
        <v>109</v>
      </c>
      <c r="BW1471" s="9"/>
    </row>
    <row r="1472" spans="1:75" ht="14.25" customHeight="1" x14ac:dyDescent="0.25">
      <c r="A1472" s="1">
        <v>1445</v>
      </c>
      <c r="B1472" s="1" t="s">
        <v>5817</v>
      </c>
      <c r="C1472" s="1" t="s">
        <v>5818</v>
      </c>
      <c r="D1472" s="1" t="s">
        <v>77</v>
      </c>
      <c r="E1472" s="1" t="s">
        <v>2396</v>
      </c>
      <c r="F1472" s="1" t="s">
        <v>5819</v>
      </c>
      <c r="G1472" s="1"/>
      <c r="H1472" s="2">
        <v>0</v>
      </c>
      <c r="I1472" s="2">
        <v>1</v>
      </c>
      <c r="J1472" s="2">
        <v>0</v>
      </c>
      <c r="K1472" s="2">
        <v>0</v>
      </c>
      <c r="L1472" s="3" t="s">
        <v>127</v>
      </c>
      <c r="O1472" s="4">
        <v>2</v>
      </c>
      <c r="P1472" s="4" t="s">
        <v>706</v>
      </c>
      <c r="Q1472" s="4"/>
      <c r="R1472" s="16">
        <v>20000000</v>
      </c>
      <c r="S1472" s="6">
        <v>20000000</v>
      </c>
      <c r="T1472" s="17"/>
      <c r="U1472" s="6"/>
      <c r="V1472" s="4"/>
      <c r="W1472" s="4"/>
      <c r="X1472" s="4"/>
      <c r="Y1472" s="7">
        <v>1</v>
      </c>
      <c r="Z1472" s="8"/>
      <c r="AA1472" s="7" t="s">
        <v>537</v>
      </c>
      <c r="AB1472" s="7"/>
      <c r="AC1472" s="9">
        <v>1</v>
      </c>
      <c r="AD1472" s="10"/>
      <c r="AE1472" s="9" t="s">
        <v>537</v>
      </c>
      <c r="AF1472" s="9"/>
      <c r="AG1472" s="11">
        <v>2</v>
      </c>
      <c r="AH1472" s="11" t="s">
        <v>271</v>
      </c>
      <c r="AI1472" s="11" t="s">
        <v>5820</v>
      </c>
      <c r="AJ1472" s="11"/>
      <c r="AK1472" s="11"/>
      <c r="AL1472" s="12">
        <v>2</v>
      </c>
      <c r="AM1472" s="12" t="s">
        <v>271</v>
      </c>
      <c r="AN1472" s="12"/>
      <c r="AO1472" s="12"/>
      <c r="AP1472" s="12"/>
      <c r="AQ1472" s="4">
        <v>3</v>
      </c>
      <c r="AR1472" s="4" t="s">
        <v>1213</v>
      </c>
      <c r="AS1472" s="4"/>
      <c r="AT1472" s="13"/>
      <c r="AU1472" s="13"/>
      <c r="AV1472" s="13"/>
      <c r="AW1472" s="13"/>
      <c r="AX1472" s="4"/>
      <c r="AY1472" s="13"/>
      <c r="AZ1472" s="13"/>
      <c r="BA1472" s="13"/>
      <c r="BB1472" s="13"/>
      <c r="BC1472" s="4"/>
      <c r="BD1472" s="4"/>
      <c r="BE1472" s="4"/>
      <c r="BF1472" s="13"/>
      <c r="BG1472" s="4"/>
      <c r="BH1472" s="13"/>
      <c r="BI1472" s="13"/>
      <c r="BJ1472" s="4"/>
      <c r="BK1472" s="14">
        <v>8</v>
      </c>
      <c r="BL1472" s="14">
        <v>8</v>
      </c>
      <c r="BM1472" s="14">
        <v>8</v>
      </c>
      <c r="BP1472" s="15"/>
      <c r="BQ1472" s="15"/>
      <c r="BR1472" s="2" t="s">
        <v>12</v>
      </c>
      <c r="BS1472" s="2" t="s">
        <v>12</v>
      </c>
      <c r="BT1472" s="7" t="s">
        <v>603</v>
      </c>
      <c r="BU1472" s="7"/>
      <c r="BV1472" s="9" t="s">
        <v>603</v>
      </c>
      <c r="BW1472" s="9"/>
    </row>
    <row r="1473" spans="1:75" ht="14.25" customHeight="1" x14ac:dyDescent="0.25">
      <c r="A1473" s="1">
        <v>1446</v>
      </c>
      <c r="B1473" s="1" t="s">
        <v>5821</v>
      </c>
      <c r="C1473" s="1" t="s">
        <v>5822</v>
      </c>
      <c r="D1473" s="1" t="s">
        <v>77</v>
      </c>
      <c r="E1473" s="1" t="s">
        <v>2396</v>
      </c>
      <c r="F1473" s="1" t="s">
        <v>5819</v>
      </c>
      <c r="G1473" s="1"/>
      <c r="H1473" s="2">
        <v>1</v>
      </c>
      <c r="I1473" s="2">
        <v>1</v>
      </c>
      <c r="J1473" s="2">
        <v>1</v>
      </c>
      <c r="K1473" s="2">
        <v>0</v>
      </c>
      <c r="L1473" s="3" t="s">
        <v>127</v>
      </c>
      <c r="O1473" s="4">
        <v>1</v>
      </c>
      <c r="P1473" s="4" t="s">
        <v>5823</v>
      </c>
      <c r="Q1473" s="4"/>
      <c r="R1473" s="16">
        <v>140000000</v>
      </c>
      <c r="S1473" s="6">
        <v>140000000</v>
      </c>
      <c r="T1473" s="16">
        <v>100000000</v>
      </c>
      <c r="U1473" s="6">
        <v>100000000</v>
      </c>
      <c r="V1473" s="4">
        <v>2010.5</v>
      </c>
      <c r="W1473" s="4" t="s">
        <v>531</v>
      </c>
      <c r="X1473" s="4"/>
      <c r="Y1473" s="7">
        <v>1</v>
      </c>
      <c r="Z1473" s="8">
        <v>20824080</v>
      </c>
      <c r="AA1473" s="7" t="s">
        <v>92</v>
      </c>
      <c r="AB1473" s="7"/>
      <c r="AC1473" s="9">
        <v>1</v>
      </c>
      <c r="AD1473" s="10">
        <v>11712736</v>
      </c>
      <c r="AE1473" s="9" t="s">
        <v>92</v>
      </c>
      <c r="AF1473" s="9"/>
      <c r="AG1473" s="11">
        <v>2</v>
      </c>
      <c r="AH1473" s="11" t="s">
        <v>131</v>
      </c>
      <c r="AI1473" s="11"/>
      <c r="AJ1473" s="11">
        <v>2</v>
      </c>
      <c r="AK1473" s="11" t="s">
        <v>143</v>
      </c>
      <c r="AL1473" s="12">
        <v>2</v>
      </c>
      <c r="AM1473" s="12" t="s">
        <v>131</v>
      </c>
      <c r="AN1473" s="12" t="s">
        <v>5824</v>
      </c>
      <c r="AO1473" s="12">
        <v>2</v>
      </c>
      <c r="AP1473" s="12" t="s">
        <v>132</v>
      </c>
      <c r="AQ1473" s="4">
        <v>5</v>
      </c>
      <c r="AR1473" s="4" t="s">
        <v>133</v>
      </c>
      <c r="AS1473" s="4"/>
      <c r="AT1473" s="13">
        <v>-70.205009460449205</v>
      </c>
      <c r="AU1473" s="13">
        <v>-2.3470654487609899</v>
      </c>
      <c r="AV1473" s="13">
        <v>-2.6300001144409202</v>
      </c>
      <c r="AW1473" s="13">
        <v>-2.1105999946594198</v>
      </c>
      <c r="AX1473" s="4">
        <v>1</v>
      </c>
      <c r="AY1473" s="13">
        <v>-24.168708801269499</v>
      </c>
      <c r="AZ1473" s="13">
        <v>-2.7274546623229998</v>
      </c>
      <c r="BA1473" s="13">
        <v>-3.4700000286102299</v>
      </c>
      <c r="BB1473" s="13">
        <v>-2.0434980392456099</v>
      </c>
      <c r="BC1473" s="4">
        <v>1</v>
      </c>
      <c r="BD1473" s="4">
        <v>10</v>
      </c>
      <c r="BE1473" s="4" t="s">
        <v>134</v>
      </c>
      <c r="BF1473" s="13">
        <v>0.51940000057220503</v>
      </c>
      <c r="BG1473" s="4">
        <v>2730.5</v>
      </c>
      <c r="BH1473" s="13">
        <v>42.090000152587898</v>
      </c>
      <c r="BI1473" s="13">
        <v>114512.8515625</v>
      </c>
      <c r="BJ1473" s="4">
        <v>25</v>
      </c>
      <c r="BK1473" s="14">
        <v>9</v>
      </c>
      <c r="BL1473" s="14">
        <v>9</v>
      </c>
      <c r="BM1473" s="14">
        <v>9</v>
      </c>
      <c r="BN1473" s="3" t="s">
        <v>302</v>
      </c>
      <c r="BP1473" s="15"/>
      <c r="BQ1473" s="15" t="s">
        <v>146</v>
      </c>
      <c r="BR1473" s="2" t="s">
        <v>172</v>
      </c>
      <c r="BS1473" s="2" t="s">
        <v>172</v>
      </c>
      <c r="BT1473" s="7" t="s">
        <v>585</v>
      </c>
      <c r="BU1473" s="7" t="s">
        <v>174</v>
      </c>
      <c r="BV1473" s="9" t="s">
        <v>603</v>
      </c>
      <c r="BW1473" s="9" t="s">
        <v>357</v>
      </c>
    </row>
    <row r="1474" spans="1:75" ht="14.25" customHeight="1" x14ac:dyDescent="0.25">
      <c r="A1474" s="1">
        <v>1451</v>
      </c>
      <c r="B1474" s="1" t="s">
        <v>5825</v>
      </c>
      <c r="C1474" s="1" t="s">
        <v>5826</v>
      </c>
      <c r="D1474" s="1" t="s">
        <v>77</v>
      </c>
      <c r="E1474" s="1" t="s">
        <v>2396</v>
      </c>
      <c r="F1474" s="1" t="s">
        <v>5827</v>
      </c>
      <c r="G1474" s="1"/>
      <c r="H1474" s="2">
        <v>0</v>
      </c>
      <c r="I1474" s="2">
        <v>0</v>
      </c>
      <c r="J1474" s="2">
        <v>0</v>
      </c>
      <c r="K1474" s="2">
        <v>1</v>
      </c>
      <c r="L1474" s="3" t="s">
        <v>80</v>
      </c>
      <c r="O1474" s="4">
        <v>2</v>
      </c>
      <c r="P1474" s="4" t="s">
        <v>81</v>
      </c>
      <c r="Q1474" s="4"/>
      <c r="R1474" s="5"/>
      <c r="S1474" s="6"/>
      <c r="T1474" s="17"/>
      <c r="U1474" s="6"/>
      <c r="V1474" s="4"/>
      <c r="W1474" s="4"/>
      <c r="X1474" s="4"/>
      <c r="Y1474" s="7">
        <v>1</v>
      </c>
      <c r="Z1474" s="8">
        <v>8651610</v>
      </c>
      <c r="AA1474" s="7" t="s">
        <v>82</v>
      </c>
      <c r="AB1474" s="7"/>
      <c r="AC1474" s="9">
        <v>1</v>
      </c>
      <c r="AD1474" s="10">
        <v>8651610</v>
      </c>
      <c r="AE1474" s="9" t="s">
        <v>82</v>
      </c>
      <c r="AF1474" s="9"/>
      <c r="AG1474" s="11">
        <v>4</v>
      </c>
      <c r="AH1474" s="11" t="s">
        <v>83</v>
      </c>
      <c r="AI1474" s="11" t="s">
        <v>5828</v>
      </c>
      <c r="AJ1474" s="11"/>
      <c r="AK1474" s="11"/>
      <c r="AL1474" s="12">
        <v>4</v>
      </c>
      <c r="AM1474" s="12" t="s">
        <v>83</v>
      </c>
      <c r="AN1474" s="12"/>
      <c r="AO1474" s="12"/>
      <c r="AP1474" s="12"/>
      <c r="AQ1474" s="4">
        <v>4</v>
      </c>
      <c r="AR1474" s="4" t="s">
        <v>83</v>
      </c>
      <c r="AS1474" s="4"/>
      <c r="AT1474" s="13"/>
      <c r="AU1474" s="13"/>
      <c r="AV1474" s="13"/>
      <c r="AW1474" s="13"/>
      <c r="AX1474" s="4"/>
      <c r="AY1474" s="13"/>
      <c r="AZ1474" s="13"/>
      <c r="BA1474" s="13"/>
      <c r="BB1474" s="13"/>
      <c r="BC1474" s="4"/>
      <c r="BD1474" s="4"/>
      <c r="BE1474" s="4"/>
      <c r="BF1474" s="13"/>
      <c r="BG1474" s="4"/>
      <c r="BH1474" s="13"/>
      <c r="BI1474" s="13"/>
      <c r="BJ1474" s="4"/>
      <c r="BK1474" s="14">
        <v>11</v>
      </c>
      <c r="BL1474" s="14">
        <v>11</v>
      </c>
      <c r="BM1474" s="14">
        <v>11</v>
      </c>
      <c r="BP1474" s="15"/>
      <c r="BQ1474" s="15"/>
      <c r="BR1474" s="2" t="s">
        <v>740</v>
      </c>
      <c r="BS1474" s="2" t="s">
        <v>740</v>
      </c>
      <c r="BT1474" s="7" t="s">
        <v>147</v>
      </c>
      <c r="BU1474" s="7" t="s">
        <v>212</v>
      </c>
      <c r="BV1474" s="9" t="s">
        <v>147</v>
      </c>
      <c r="BW1474" s="9" t="s">
        <v>212</v>
      </c>
    </row>
    <row r="1475" spans="1:75" ht="14.25" customHeight="1" x14ac:dyDescent="0.25">
      <c r="A1475" s="1">
        <v>1456</v>
      </c>
      <c r="B1475" s="1" t="s">
        <v>5829</v>
      </c>
      <c r="C1475" s="1" t="s">
        <v>5830</v>
      </c>
      <c r="D1475" s="1" t="s">
        <v>77</v>
      </c>
      <c r="E1475" s="1" t="s">
        <v>2396</v>
      </c>
      <c r="F1475" s="1" t="s">
        <v>3752</v>
      </c>
      <c r="G1475" s="1"/>
      <c r="H1475" s="2">
        <v>1</v>
      </c>
      <c r="I1475" s="2">
        <v>1</v>
      </c>
      <c r="J1475" s="2">
        <v>1</v>
      </c>
      <c r="K1475" s="2">
        <v>1</v>
      </c>
      <c r="L1475" s="3" t="s">
        <v>127</v>
      </c>
      <c r="O1475" s="4">
        <v>2</v>
      </c>
      <c r="P1475" s="4" t="s">
        <v>3779</v>
      </c>
      <c r="Q1475" s="4"/>
      <c r="R1475" s="16">
        <v>29000000</v>
      </c>
      <c r="S1475" s="6">
        <v>29000000</v>
      </c>
      <c r="T1475" s="16">
        <v>7900000</v>
      </c>
      <c r="U1475" s="6">
        <v>7900000</v>
      </c>
      <c r="V1475" s="4">
        <v>2010.5</v>
      </c>
      <c r="W1475" s="4" t="s">
        <v>1919</v>
      </c>
      <c r="X1475" s="4"/>
      <c r="Y1475" s="7">
        <v>1</v>
      </c>
      <c r="Z1475" s="8">
        <v>34349347</v>
      </c>
      <c r="AA1475" s="7" t="s">
        <v>92</v>
      </c>
      <c r="AB1475" s="7"/>
      <c r="AC1475" s="9">
        <v>1</v>
      </c>
      <c r="AD1475" s="10">
        <v>33622994</v>
      </c>
      <c r="AE1475" s="9" t="s">
        <v>92</v>
      </c>
      <c r="AF1475" s="9" t="s">
        <v>5831</v>
      </c>
      <c r="AG1475" s="11">
        <v>3</v>
      </c>
      <c r="AH1475" s="11" t="s">
        <v>454</v>
      </c>
      <c r="AI1475" s="11" t="s">
        <v>5832</v>
      </c>
      <c r="AJ1475" s="11">
        <v>2</v>
      </c>
      <c r="AK1475" s="11" t="s">
        <v>132</v>
      </c>
      <c r="AL1475" s="12">
        <v>2</v>
      </c>
      <c r="AM1475" s="12" t="s">
        <v>131</v>
      </c>
      <c r="AN1475" s="12"/>
      <c r="AO1475" s="12">
        <v>2</v>
      </c>
      <c r="AP1475" s="12" t="s">
        <v>143</v>
      </c>
      <c r="AQ1475" s="4">
        <v>5</v>
      </c>
      <c r="AR1475" s="4" t="s">
        <v>133</v>
      </c>
      <c r="AS1475" s="4"/>
      <c r="AT1475" s="13">
        <v>-87.668296813964801</v>
      </c>
      <c r="AU1475" s="13">
        <v>-4.0178384780883798</v>
      </c>
      <c r="AV1475" s="13">
        <v>-5.1900000572204599</v>
      </c>
      <c r="AW1475" s="13">
        <v>-2.8699998855590798</v>
      </c>
      <c r="AX1475" s="4">
        <v>1</v>
      </c>
      <c r="AY1475" s="13">
        <v>6.1926131248474103</v>
      </c>
      <c r="AZ1475" s="13">
        <v>0.60025316476821899</v>
      </c>
      <c r="BA1475" s="13">
        <v>-3.7699999809265101</v>
      </c>
      <c r="BB1475" s="13">
        <v>5.1342959403991699</v>
      </c>
      <c r="BC1475" s="4"/>
      <c r="BD1475" s="4">
        <v>10</v>
      </c>
      <c r="BE1475" s="4" t="s">
        <v>134</v>
      </c>
      <c r="BF1475" s="13">
        <v>2.3199999332428001</v>
      </c>
      <c r="BG1475" s="4">
        <v>2018.5</v>
      </c>
      <c r="BH1475" s="13">
        <v>6.7649998664856001</v>
      </c>
      <c r="BI1475" s="13">
        <v>13638.1953125</v>
      </c>
      <c r="BJ1475" s="4"/>
      <c r="BK1475" s="14">
        <v>11</v>
      </c>
      <c r="BL1475" s="14">
        <v>10</v>
      </c>
      <c r="BM1475" s="14">
        <v>11</v>
      </c>
      <c r="BN1475" s="3" t="s">
        <v>302</v>
      </c>
      <c r="BP1475" s="15"/>
      <c r="BQ1475" s="15" t="s">
        <v>136</v>
      </c>
      <c r="BR1475" s="2" t="s">
        <v>172</v>
      </c>
      <c r="BS1475" s="2" t="s">
        <v>740</v>
      </c>
      <c r="BT1475" s="7" t="s">
        <v>3763</v>
      </c>
      <c r="BU1475" s="7" t="s">
        <v>777</v>
      </c>
      <c r="BV1475" s="9" t="s">
        <v>777</v>
      </c>
      <c r="BW1475" s="9"/>
    </row>
    <row r="1476" spans="1:75" ht="14.25" customHeight="1" x14ac:dyDescent="0.25">
      <c r="A1476" s="1">
        <v>1457</v>
      </c>
      <c r="B1476" s="1" t="s">
        <v>5833</v>
      </c>
      <c r="C1476" s="1" t="s">
        <v>5834</v>
      </c>
      <c r="D1476" s="1" t="s">
        <v>77</v>
      </c>
      <c r="E1476" s="1" t="s">
        <v>2396</v>
      </c>
      <c r="F1476" s="1" t="s">
        <v>3752</v>
      </c>
      <c r="G1476" s="1" t="s">
        <v>118</v>
      </c>
      <c r="H1476" s="2">
        <v>1</v>
      </c>
      <c r="I1476" s="2">
        <v>1</v>
      </c>
      <c r="J1476" s="2">
        <v>1</v>
      </c>
      <c r="K1476" s="2">
        <v>1</v>
      </c>
      <c r="L1476" s="3" t="s">
        <v>127</v>
      </c>
      <c r="O1476" s="4">
        <v>2</v>
      </c>
      <c r="P1476" s="4" t="s">
        <v>531</v>
      </c>
      <c r="Q1476" s="4"/>
      <c r="R1476" s="16">
        <v>19000000</v>
      </c>
      <c r="S1476" s="6">
        <v>19000000</v>
      </c>
      <c r="T1476" s="16">
        <v>19000000</v>
      </c>
      <c r="U1476" s="6">
        <v>19000000</v>
      </c>
      <c r="V1476" s="4">
        <v>2010.5</v>
      </c>
      <c r="W1476" s="4" t="s">
        <v>531</v>
      </c>
      <c r="X1476" s="4"/>
      <c r="Y1476" s="7">
        <v>1</v>
      </c>
      <c r="Z1476" s="8">
        <v>11669285</v>
      </c>
      <c r="AA1476" s="7" t="s">
        <v>92</v>
      </c>
      <c r="AB1476" s="7"/>
      <c r="AC1476" s="9">
        <v>2</v>
      </c>
      <c r="AD1476" s="10">
        <v>2098933</v>
      </c>
      <c r="AE1476" s="9" t="s">
        <v>92</v>
      </c>
      <c r="AF1476" s="9"/>
      <c r="AG1476" s="11">
        <v>3</v>
      </c>
      <c r="AH1476" s="11" t="s">
        <v>131</v>
      </c>
      <c r="AI1476" s="11"/>
      <c r="AJ1476" s="11">
        <v>3</v>
      </c>
      <c r="AK1476" s="11" t="s">
        <v>143</v>
      </c>
      <c r="AL1476" s="12">
        <v>2</v>
      </c>
      <c r="AM1476" s="12" t="s">
        <v>131</v>
      </c>
      <c r="AN1476" s="12"/>
      <c r="AO1476" s="12">
        <v>2</v>
      </c>
      <c r="AP1476" s="12" t="s">
        <v>143</v>
      </c>
      <c r="AQ1476" s="4">
        <v>4</v>
      </c>
      <c r="AR1476" s="4" t="s">
        <v>133</v>
      </c>
      <c r="AS1476" s="4"/>
      <c r="AT1476" s="13">
        <v>-34.926830291747997</v>
      </c>
      <c r="AU1476" s="13">
        <v>-0.83927559852600098</v>
      </c>
      <c r="AV1476" s="13">
        <v>-1.1796000003814699</v>
      </c>
      <c r="AW1476" s="13">
        <v>-0.335999995470047</v>
      </c>
      <c r="AX1476" s="4">
        <v>1</v>
      </c>
      <c r="AY1476" s="13">
        <v>-11.9875440597534</v>
      </c>
      <c r="AZ1476" s="13">
        <v>-1.2673144340515099</v>
      </c>
      <c r="BA1476" s="13">
        <v>-2.1300001144409202</v>
      </c>
      <c r="BB1476" s="13">
        <v>-0.51099997758865401</v>
      </c>
      <c r="BC1476" s="4">
        <v>1</v>
      </c>
      <c r="BD1476" s="4">
        <v>10</v>
      </c>
      <c r="BE1476" s="4" t="s">
        <v>134</v>
      </c>
      <c r="BF1476" s="13">
        <v>0.84359997510910001</v>
      </c>
      <c r="BG1476" s="4">
        <v>3516</v>
      </c>
      <c r="BH1476" s="13">
        <v>4.7399997711181596</v>
      </c>
      <c r="BI1476" s="13">
        <v>16660.380859375</v>
      </c>
      <c r="BJ1476" s="4"/>
      <c r="BK1476" s="14">
        <v>10</v>
      </c>
      <c r="BL1476" s="14">
        <v>10</v>
      </c>
      <c r="BM1476" s="14">
        <v>10</v>
      </c>
      <c r="BP1476" s="15"/>
      <c r="BQ1476" s="15"/>
      <c r="BR1476" s="2" t="s">
        <v>172</v>
      </c>
      <c r="BS1476" s="2" t="s">
        <v>247</v>
      </c>
      <c r="BT1476" s="7" t="s">
        <v>5835</v>
      </c>
      <c r="BU1476" s="7"/>
      <c r="BV1476" s="9" t="s">
        <v>5835</v>
      </c>
      <c r="BW1476" s="9" t="s">
        <v>148</v>
      </c>
    </row>
    <row r="1477" spans="1:75" ht="14.25" customHeight="1" x14ac:dyDescent="0.25">
      <c r="A1477" s="1">
        <v>1459</v>
      </c>
      <c r="B1477" s="1" t="s">
        <v>5836</v>
      </c>
      <c r="C1477" s="1" t="s">
        <v>5837</v>
      </c>
      <c r="D1477" s="1" t="s">
        <v>77</v>
      </c>
      <c r="E1477" s="1" t="s">
        <v>2396</v>
      </c>
      <c r="F1477" s="1" t="s">
        <v>3752</v>
      </c>
      <c r="G1477" s="1"/>
      <c r="H1477" s="2">
        <v>1</v>
      </c>
      <c r="I1477" s="2">
        <v>1</v>
      </c>
      <c r="J1477" s="2">
        <v>1</v>
      </c>
      <c r="K1477" s="2">
        <v>1</v>
      </c>
      <c r="L1477" s="3" t="s">
        <v>127</v>
      </c>
      <c r="O1477" s="4">
        <v>2</v>
      </c>
      <c r="P1477" s="4" t="s">
        <v>424</v>
      </c>
      <c r="Q1477" s="4"/>
      <c r="R1477" s="16">
        <v>7200000</v>
      </c>
      <c r="S1477" s="6">
        <v>7200000</v>
      </c>
      <c r="T1477" s="16">
        <v>6700000</v>
      </c>
      <c r="U1477" s="6">
        <v>6700000</v>
      </c>
      <c r="V1477" s="4">
        <v>2010.5</v>
      </c>
      <c r="W1477" s="4" t="s">
        <v>425</v>
      </c>
      <c r="X1477" s="4"/>
      <c r="Y1477" s="7">
        <v>1</v>
      </c>
      <c r="Z1477" s="8">
        <v>6091653</v>
      </c>
      <c r="AA1477" s="7" t="s">
        <v>92</v>
      </c>
      <c r="AB1477" s="7"/>
      <c r="AC1477" s="9">
        <v>2</v>
      </c>
      <c r="AD1477" s="10">
        <v>1139345</v>
      </c>
      <c r="AE1477" s="9" t="s">
        <v>92</v>
      </c>
      <c r="AF1477" s="9"/>
      <c r="AG1477" s="11">
        <v>3</v>
      </c>
      <c r="AH1477" s="11" t="s">
        <v>131</v>
      </c>
      <c r="AI1477" s="11" t="s">
        <v>5838</v>
      </c>
      <c r="AJ1477" s="11">
        <v>3</v>
      </c>
      <c r="AK1477" s="11" t="s">
        <v>143</v>
      </c>
      <c r="AL1477" s="12">
        <v>2</v>
      </c>
      <c r="AM1477" s="12" t="s">
        <v>131</v>
      </c>
      <c r="AN1477" s="12" t="s">
        <v>5839</v>
      </c>
      <c r="AO1477" s="12">
        <v>2</v>
      </c>
      <c r="AP1477" s="12" t="s">
        <v>143</v>
      </c>
      <c r="AQ1477" s="4">
        <v>4</v>
      </c>
      <c r="AR1477" s="4" t="s">
        <v>133</v>
      </c>
      <c r="AS1477" s="4"/>
      <c r="AT1477" s="13">
        <v>-26.9183654785156</v>
      </c>
      <c r="AU1477" s="13">
        <v>-0.61210995912551902</v>
      </c>
      <c r="AV1477" s="13">
        <v>-1.2799999713897701</v>
      </c>
      <c r="AW1477" s="13">
        <v>-0.10589999705553101</v>
      </c>
      <c r="AX1477" s="4">
        <v>1</v>
      </c>
      <c r="AY1477" s="13">
        <v>-15.85178565979</v>
      </c>
      <c r="AZ1477" s="13">
        <v>-1.7086436748504601</v>
      </c>
      <c r="BA1477" s="13">
        <v>-3.0499999523162802</v>
      </c>
      <c r="BB1477" s="13">
        <v>-0.642198026180267</v>
      </c>
      <c r="BC1477" s="4">
        <v>1</v>
      </c>
      <c r="BD1477" s="4">
        <v>10</v>
      </c>
      <c r="BE1477" s="4" t="s">
        <v>134</v>
      </c>
      <c r="BF1477" s="13">
        <v>1.17410004138947</v>
      </c>
      <c r="BG1477" s="4">
        <v>1095.5</v>
      </c>
      <c r="BH1477" s="13">
        <v>7.5799999237060502</v>
      </c>
      <c r="BI1477" s="13">
        <v>8305.71484375</v>
      </c>
      <c r="BJ1477" s="4"/>
      <c r="BK1477" s="14">
        <v>10</v>
      </c>
      <c r="BL1477" s="14">
        <v>10</v>
      </c>
      <c r="BM1477" s="14">
        <v>10</v>
      </c>
      <c r="BP1477" s="15"/>
      <c r="BQ1477" s="15"/>
      <c r="BR1477" s="2" t="s">
        <v>256</v>
      </c>
      <c r="BS1477" s="2" t="s">
        <v>108</v>
      </c>
      <c r="BT1477" s="7" t="s">
        <v>834</v>
      </c>
      <c r="BU1477" s="7" t="s">
        <v>5840</v>
      </c>
      <c r="BV1477" s="9" t="s">
        <v>777</v>
      </c>
      <c r="BW1477" s="9" t="s">
        <v>2938</v>
      </c>
    </row>
    <row r="1478" spans="1:75" ht="14.25" customHeight="1" x14ac:dyDescent="0.25">
      <c r="A1478" s="1">
        <v>1461</v>
      </c>
      <c r="B1478" s="1" t="s">
        <v>5841</v>
      </c>
      <c r="C1478" s="1" t="s">
        <v>5842</v>
      </c>
      <c r="D1478" s="1" t="s">
        <v>77</v>
      </c>
      <c r="E1478" s="1" t="s">
        <v>2396</v>
      </c>
      <c r="F1478" s="1" t="s">
        <v>3752</v>
      </c>
      <c r="G1478" s="1" t="s">
        <v>118</v>
      </c>
      <c r="H1478" s="2">
        <v>0</v>
      </c>
      <c r="I1478" s="2">
        <v>0</v>
      </c>
      <c r="J1478" s="2">
        <v>1</v>
      </c>
      <c r="K1478" s="2">
        <v>1</v>
      </c>
      <c r="L1478" s="3" t="s">
        <v>80</v>
      </c>
      <c r="O1478" s="4">
        <v>3</v>
      </c>
      <c r="P1478" s="4" t="s">
        <v>112</v>
      </c>
      <c r="Q1478" s="4"/>
      <c r="R1478" s="5"/>
      <c r="S1478" s="6"/>
      <c r="T1478" s="17"/>
      <c r="U1478" s="6"/>
      <c r="V1478" s="4"/>
      <c r="W1478" s="4"/>
      <c r="X1478" s="4"/>
      <c r="Y1478" s="7">
        <v>3</v>
      </c>
      <c r="Z1478" s="8">
        <v>757307</v>
      </c>
      <c r="AA1478" s="7" t="s">
        <v>92</v>
      </c>
      <c r="AB1478" s="7"/>
      <c r="AC1478" s="9">
        <v>3</v>
      </c>
      <c r="AD1478" s="10">
        <v>757307</v>
      </c>
      <c r="AE1478" s="9" t="s">
        <v>92</v>
      </c>
      <c r="AF1478" s="9"/>
      <c r="AG1478" s="11">
        <v>2</v>
      </c>
      <c r="AH1478" s="11" t="s">
        <v>93</v>
      </c>
      <c r="AI1478" s="11"/>
      <c r="AJ1478" s="11"/>
      <c r="AK1478" s="11"/>
      <c r="AL1478" s="12">
        <v>2</v>
      </c>
      <c r="AM1478" s="12" t="s">
        <v>93</v>
      </c>
      <c r="AN1478" s="12" t="s">
        <v>394</v>
      </c>
      <c r="AO1478" s="12"/>
      <c r="AP1478" s="12"/>
      <c r="AQ1478" s="4">
        <v>3</v>
      </c>
      <c r="AR1478" s="4" t="s">
        <v>83</v>
      </c>
      <c r="AS1478" s="4"/>
      <c r="AT1478" s="13"/>
      <c r="AU1478" s="13"/>
      <c r="AV1478" s="13"/>
      <c r="AW1478" s="13"/>
      <c r="AX1478" s="4"/>
      <c r="AY1478" s="13"/>
      <c r="AZ1478" s="13"/>
      <c r="BA1478" s="13"/>
      <c r="BB1478" s="13"/>
      <c r="BC1478" s="4"/>
      <c r="BD1478" s="4"/>
      <c r="BE1478" s="4"/>
      <c r="BF1478" s="13"/>
      <c r="BG1478" s="4"/>
      <c r="BH1478" s="13"/>
      <c r="BI1478" s="13"/>
      <c r="BJ1478" s="4"/>
      <c r="BK1478" s="14">
        <v>11</v>
      </c>
      <c r="BL1478" s="14">
        <v>11</v>
      </c>
      <c r="BM1478" s="14">
        <v>11</v>
      </c>
      <c r="BP1478" s="15"/>
      <c r="BQ1478" s="15"/>
      <c r="BR1478" s="2" t="s">
        <v>400</v>
      </c>
      <c r="BS1478" s="2" t="s">
        <v>400</v>
      </c>
      <c r="BT1478" s="7" t="s">
        <v>5843</v>
      </c>
      <c r="BU1478" s="7" t="s">
        <v>3763</v>
      </c>
      <c r="BV1478" s="9" t="s">
        <v>5843</v>
      </c>
      <c r="BW1478" s="9" t="s">
        <v>3763</v>
      </c>
    </row>
    <row r="1479" spans="1:75" ht="14.25" customHeight="1" x14ac:dyDescent="0.25">
      <c r="A1479" s="1">
        <v>1503</v>
      </c>
      <c r="B1479" s="1" t="s">
        <v>5844</v>
      </c>
      <c r="C1479" s="1" t="s">
        <v>5845</v>
      </c>
      <c r="D1479" s="1" t="s">
        <v>77</v>
      </c>
      <c r="E1479" s="1" t="s">
        <v>2396</v>
      </c>
      <c r="F1479" s="1" t="s">
        <v>3827</v>
      </c>
      <c r="G1479" s="1"/>
      <c r="H1479" s="2">
        <v>0</v>
      </c>
      <c r="I1479" s="2">
        <v>0</v>
      </c>
      <c r="J1479" s="2">
        <v>1</v>
      </c>
      <c r="K1479" s="2">
        <v>1</v>
      </c>
      <c r="L1479" s="3" t="s">
        <v>80</v>
      </c>
      <c r="O1479" s="4">
        <v>3</v>
      </c>
      <c r="P1479" s="4" t="s">
        <v>112</v>
      </c>
      <c r="Q1479" s="4"/>
      <c r="R1479" s="5"/>
      <c r="S1479" s="6"/>
      <c r="T1479" s="17"/>
      <c r="U1479" s="6"/>
      <c r="V1479" s="4"/>
      <c r="W1479" s="4"/>
      <c r="X1479" s="4"/>
      <c r="Y1479" s="7">
        <v>3</v>
      </c>
      <c r="Z1479" s="8">
        <v>525493</v>
      </c>
      <c r="AA1479" s="7" t="s">
        <v>92</v>
      </c>
      <c r="AB1479" s="7"/>
      <c r="AC1479" s="9">
        <v>3</v>
      </c>
      <c r="AD1479" s="10">
        <v>525493</v>
      </c>
      <c r="AE1479" s="9" t="s">
        <v>92</v>
      </c>
      <c r="AF1479" s="9"/>
      <c r="AG1479" s="11">
        <v>3</v>
      </c>
      <c r="AH1479" s="11" t="s">
        <v>93</v>
      </c>
      <c r="AI1479" s="11"/>
      <c r="AJ1479" s="11"/>
      <c r="AK1479" s="11"/>
      <c r="AL1479" s="12">
        <v>2</v>
      </c>
      <c r="AM1479" s="12" t="s">
        <v>93</v>
      </c>
      <c r="AN1479" s="12" t="s">
        <v>5846</v>
      </c>
      <c r="AO1479" s="12"/>
      <c r="AP1479" s="12"/>
      <c r="AQ1479" s="4">
        <v>3</v>
      </c>
      <c r="AR1479" s="4" t="s">
        <v>83</v>
      </c>
      <c r="AS1479" s="4" t="s">
        <v>5847</v>
      </c>
      <c r="AT1479" s="13"/>
      <c r="AU1479" s="13"/>
      <c r="AV1479" s="13"/>
      <c r="AW1479" s="13"/>
      <c r="AX1479" s="4"/>
      <c r="AY1479" s="13"/>
      <c r="AZ1479" s="13"/>
      <c r="BA1479" s="13"/>
      <c r="BB1479" s="13"/>
      <c r="BC1479" s="4"/>
      <c r="BD1479" s="4"/>
      <c r="BE1479" s="4"/>
      <c r="BF1479" s="13"/>
      <c r="BG1479" s="4"/>
      <c r="BH1479" s="13"/>
      <c r="BI1479" s="13"/>
      <c r="BJ1479" s="4"/>
      <c r="BK1479" s="14">
        <v>12</v>
      </c>
      <c r="BL1479" s="14">
        <v>11</v>
      </c>
      <c r="BM1479" s="14">
        <v>12</v>
      </c>
      <c r="BP1479" s="15"/>
      <c r="BQ1479" s="15"/>
      <c r="BR1479" s="2" t="s">
        <v>409</v>
      </c>
      <c r="BS1479" s="2" t="s">
        <v>409</v>
      </c>
      <c r="BT1479" s="7" t="s">
        <v>438</v>
      </c>
      <c r="BU1479" s="7" t="s">
        <v>437</v>
      </c>
      <c r="BV1479" s="9" t="s">
        <v>438</v>
      </c>
      <c r="BW1479" s="9" t="s">
        <v>437</v>
      </c>
    </row>
    <row r="1480" spans="1:75" ht="14.25" customHeight="1" x14ac:dyDescent="0.25">
      <c r="A1480" s="1">
        <v>1504</v>
      </c>
      <c r="B1480" s="1" t="s">
        <v>5848</v>
      </c>
      <c r="C1480" s="1" t="s">
        <v>5849</v>
      </c>
      <c r="D1480" s="1" t="s">
        <v>77</v>
      </c>
      <c r="E1480" s="1" t="s">
        <v>2396</v>
      </c>
      <c r="F1480" s="1" t="s">
        <v>3827</v>
      </c>
      <c r="G1480" s="1" t="s">
        <v>118</v>
      </c>
      <c r="H1480" s="2">
        <v>0</v>
      </c>
      <c r="I1480" s="2">
        <v>0</v>
      </c>
      <c r="J1480" s="2">
        <v>0</v>
      </c>
      <c r="K1480" s="2">
        <v>1</v>
      </c>
      <c r="L1480" s="3" t="s">
        <v>80</v>
      </c>
      <c r="O1480" s="4">
        <v>5</v>
      </c>
      <c r="P1480" s="4" t="s">
        <v>81</v>
      </c>
      <c r="Q1480" s="4"/>
      <c r="R1480" s="5"/>
      <c r="S1480" s="6"/>
      <c r="T1480" s="17"/>
      <c r="U1480" s="6"/>
      <c r="V1480" s="4"/>
      <c r="W1480" s="4"/>
      <c r="X1480" s="4"/>
      <c r="Y1480" s="7">
        <v>5</v>
      </c>
      <c r="Z1480" s="8">
        <v>9592</v>
      </c>
      <c r="AA1480" s="7" t="s">
        <v>82</v>
      </c>
      <c r="AB1480" s="7"/>
      <c r="AC1480" s="9">
        <v>5</v>
      </c>
      <c r="AD1480" s="10">
        <v>9592</v>
      </c>
      <c r="AE1480" s="9" t="s">
        <v>82</v>
      </c>
      <c r="AF1480" s="9"/>
      <c r="AG1480" s="11">
        <v>4</v>
      </c>
      <c r="AH1480" s="11" t="s">
        <v>83</v>
      </c>
      <c r="AI1480" s="11"/>
      <c r="AJ1480" s="11"/>
      <c r="AK1480" s="11"/>
      <c r="AL1480" s="12">
        <v>4</v>
      </c>
      <c r="AM1480" s="12" t="s">
        <v>83</v>
      </c>
      <c r="AN1480" s="12"/>
      <c r="AO1480" s="12"/>
      <c r="AP1480" s="12"/>
      <c r="AQ1480" s="4">
        <v>3</v>
      </c>
      <c r="AR1480" s="4" t="s">
        <v>83</v>
      </c>
      <c r="AS1480" s="4"/>
      <c r="AT1480" s="13"/>
      <c r="AU1480" s="13"/>
      <c r="AV1480" s="13"/>
      <c r="AW1480" s="13"/>
      <c r="AX1480" s="4"/>
      <c r="AY1480" s="13"/>
      <c r="AZ1480" s="13"/>
      <c r="BA1480" s="13"/>
      <c r="BB1480" s="13"/>
      <c r="BC1480" s="4"/>
      <c r="BD1480" s="4"/>
      <c r="BE1480" s="4"/>
      <c r="BF1480" s="13"/>
      <c r="BG1480" s="4"/>
      <c r="BH1480" s="13"/>
      <c r="BI1480" s="13"/>
      <c r="BJ1480" s="4"/>
      <c r="BK1480" s="14">
        <v>17</v>
      </c>
      <c r="BL1480" s="14">
        <v>17</v>
      </c>
      <c r="BM1480" s="14">
        <v>17</v>
      </c>
      <c r="BN1480" s="3" t="s">
        <v>312</v>
      </c>
      <c r="BP1480" s="15"/>
      <c r="BQ1480" s="15"/>
      <c r="BR1480" s="2" t="s">
        <v>87</v>
      </c>
      <c r="BS1480" s="2" t="s">
        <v>87</v>
      </c>
      <c r="BT1480" s="7" t="s">
        <v>88</v>
      </c>
      <c r="BU1480" s="7"/>
      <c r="BV1480" s="9" t="s">
        <v>88</v>
      </c>
      <c r="BW1480" s="9"/>
    </row>
    <row r="1481" spans="1:75" ht="14.25" customHeight="1" x14ac:dyDescent="0.25">
      <c r="A1481" s="1">
        <v>1505</v>
      </c>
      <c r="B1481" s="1" t="s">
        <v>5850</v>
      </c>
      <c r="C1481" s="1" t="s">
        <v>5851</v>
      </c>
      <c r="D1481" s="1" t="s">
        <v>77</v>
      </c>
      <c r="E1481" s="1" t="s">
        <v>2396</v>
      </c>
      <c r="F1481" s="1" t="s">
        <v>3827</v>
      </c>
      <c r="G1481" s="1"/>
      <c r="H1481" s="2">
        <v>0</v>
      </c>
      <c r="I1481" s="2">
        <v>1</v>
      </c>
      <c r="J1481" s="2">
        <v>1</v>
      </c>
      <c r="K1481" s="2">
        <v>0</v>
      </c>
      <c r="L1481" s="3" t="s">
        <v>80</v>
      </c>
      <c r="O1481" s="4">
        <v>3</v>
      </c>
      <c r="P1481" s="4" t="s">
        <v>470</v>
      </c>
      <c r="Q1481" s="4"/>
      <c r="R1481" s="16">
        <v>3200000</v>
      </c>
      <c r="S1481" s="6">
        <v>3200000</v>
      </c>
      <c r="T1481" s="16">
        <v>1300000</v>
      </c>
      <c r="U1481" s="6">
        <v>1300000</v>
      </c>
      <c r="V1481" s="4">
        <v>2010.5</v>
      </c>
      <c r="W1481" s="4" t="s">
        <v>425</v>
      </c>
      <c r="X1481" s="4"/>
      <c r="Y1481" s="7">
        <v>2</v>
      </c>
      <c r="Z1481" s="8">
        <v>1251651</v>
      </c>
      <c r="AA1481" s="7" t="s">
        <v>92</v>
      </c>
      <c r="AB1481" s="7"/>
      <c r="AC1481" s="9">
        <v>2</v>
      </c>
      <c r="AD1481" s="10">
        <v>1126486</v>
      </c>
      <c r="AE1481" s="9" t="s">
        <v>92</v>
      </c>
      <c r="AF1481" s="9" t="s">
        <v>5852</v>
      </c>
      <c r="AG1481" s="11">
        <v>3</v>
      </c>
      <c r="AH1481" s="11" t="s">
        <v>131</v>
      </c>
      <c r="AI1481" s="11" t="s">
        <v>5853</v>
      </c>
      <c r="AJ1481" s="11">
        <v>2</v>
      </c>
      <c r="AK1481" s="11" t="s">
        <v>132</v>
      </c>
      <c r="AL1481" s="12">
        <v>2</v>
      </c>
      <c r="AM1481" s="12" t="s">
        <v>131</v>
      </c>
      <c r="AN1481" s="12" t="s">
        <v>394</v>
      </c>
      <c r="AO1481" s="12">
        <v>2</v>
      </c>
      <c r="AP1481" s="12" t="s">
        <v>143</v>
      </c>
      <c r="AQ1481" s="4">
        <v>2</v>
      </c>
      <c r="AR1481" s="4" t="s">
        <v>133</v>
      </c>
      <c r="AS1481" s="4"/>
      <c r="AT1481" s="13">
        <v>37.9642944335938</v>
      </c>
      <c r="AU1481" s="13">
        <v>0.63299816846847501</v>
      </c>
      <c r="AV1481" s="13">
        <v>-0.19249899685382801</v>
      </c>
      <c r="AW1481" s="13">
        <v>1.66999995708466</v>
      </c>
      <c r="AX1481" s="4"/>
      <c r="AY1481" s="13">
        <v>21.647811889648398</v>
      </c>
      <c r="AZ1481" s="13">
        <v>1.9793272018432599</v>
      </c>
      <c r="BA1481" s="13">
        <v>-0.79759997129440297</v>
      </c>
      <c r="BB1481" s="13">
        <v>4.8899998664856001</v>
      </c>
      <c r="BC1481" s="4"/>
      <c r="BD1481" s="4">
        <v>10</v>
      </c>
      <c r="BE1481" s="4" t="s">
        <v>134</v>
      </c>
      <c r="BF1481" s="13">
        <v>1.86249899864197</v>
      </c>
      <c r="BG1481" s="4">
        <v>204.5</v>
      </c>
      <c r="BH1481" s="13">
        <v>1.70500004291534</v>
      </c>
      <c r="BI1481" s="13">
        <v>348.53500366210898</v>
      </c>
      <c r="BJ1481" s="4"/>
      <c r="BK1481" s="14">
        <v>10</v>
      </c>
      <c r="BL1481" s="14">
        <v>9</v>
      </c>
      <c r="BM1481" s="14">
        <v>10</v>
      </c>
      <c r="BP1481" s="15"/>
      <c r="BQ1481" s="15"/>
      <c r="BR1481" s="2" t="s">
        <v>297</v>
      </c>
      <c r="BS1481" s="2" t="s">
        <v>297</v>
      </c>
      <c r="BT1481" s="7" t="s">
        <v>475</v>
      </c>
      <c r="BU1481" s="7" t="s">
        <v>487</v>
      </c>
      <c r="BV1481" s="9" t="s">
        <v>475</v>
      </c>
      <c r="BW1481" s="9" t="s">
        <v>487</v>
      </c>
    </row>
    <row r="1482" spans="1:75" ht="14.25" customHeight="1" x14ac:dyDescent="0.25">
      <c r="A1482" s="1">
        <v>1511</v>
      </c>
      <c r="B1482" s="1" t="s">
        <v>5854</v>
      </c>
      <c r="C1482" s="1" t="s">
        <v>5855</v>
      </c>
      <c r="D1482" s="1" t="s">
        <v>77</v>
      </c>
      <c r="E1482" s="1" t="s">
        <v>2396</v>
      </c>
      <c r="F1482" s="1" t="s">
        <v>3830</v>
      </c>
      <c r="G1482" s="1" t="s">
        <v>118</v>
      </c>
      <c r="H1482" s="2">
        <v>1</v>
      </c>
      <c r="I1482" s="2">
        <v>1</v>
      </c>
      <c r="J1482" s="2">
        <v>0</v>
      </c>
      <c r="K1482" s="2">
        <v>0</v>
      </c>
      <c r="L1482" s="3" t="s">
        <v>127</v>
      </c>
      <c r="O1482" s="4">
        <v>2</v>
      </c>
      <c r="P1482" s="4" t="s">
        <v>579</v>
      </c>
      <c r="Q1482" s="4"/>
      <c r="R1482" s="16">
        <v>20000000</v>
      </c>
      <c r="S1482" s="6">
        <v>20000000</v>
      </c>
      <c r="T1482" s="16">
        <v>20000000</v>
      </c>
      <c r="U1482" s="6">
        <v>20000000</v>
      </c>
      <c r="V1482" s="4">
        <v>2010.5</v>
      </c>
      <c r="W1482" s="4" t="s">
        <v>579</v>
      </c>
      <c r="X1482" s="4"/>
      <c r="Y1482" s="7">
        <v>1</v>
      </c>
      <c r="Z1482" s="8">
        <v>7118703</v>
      </c>
      <c r="AA1482" s="7" t="s">
        <v>92</v>
      </c>
      <c r="AB1482" s="7"/>
      <c r="AC1482" s="9">
        <v>1</v>
      </c>
      <c r="AD1482" s="10">
        <v>12321232</v>
      </c>
      <c r="AE1482" s="9" t="s">
        <v>92</v>
      </c>
      <c r="AF1482" s="9"/>
      <c r="AG1482" s="11">
        <v>3</v>
      </c>
      <c r="AH1482" s="11" t="s">
        <v>131</v>
      </c>
      <c r="AI1482" s="11"/>
      <c r="AJ1482" s="11">
        <v>3</v>
      </c>
      <c r="AK1482" s="11" t="s">
        <v>143</v>
      </c>
      <c r="AL1482" s="12">
        <v>2</v>
      </c>
      <c r="AM1482" s="12" t="s">
        <v>131</v>
      </c>
      <c r="AN1482" s="12"/>
      <c r="AO1482" s="12">
        <v>2</v>
      </c>
      <c r="AP1482" s="12" t="s">
        <v>143</v>
      </c>
      <c r="AQ1482" s="4">
        <v>1</v>
      </c>
      <c r="AR1482" s="4" t="s">
        <v>133</v>
      </c>
      <c r="AS1482" s="4"/>
      <c r="AT1482" s="13">
        <v>114.13189697265599</v>
      </c>
      <c r="AU1482" s="13">
        <v>1.5043255090713501</v>
      </c>
      <c r="AV1482" s="13">
        <v>1.0434030294418299</v>
      </c>
      <c r="AW1482" s="13">
        <v>2.03999996185303</v>
      </c>
      <c r="AX1482" s="4">
        <v>1</v>
      </c>
      <c r="AY1482" s="13">
        <v>11.8987216949463</v>
      </c>
      <c r="AZ1482" s="13">
        <v>1.1264023780822801</v>
      </c>
      <c r="BA1482" s="13">
        <v>-0.30949699878692599</v>
      </c>
      <c r="BB1482" s="13">
        <v>2.9000000953674299</v>
      </c>
      <c r="BC1482" s="4"/>
      <c r="BD1482" s="4">
        <v>10</v>
      </c>
      <c r="BE1482" s="4" t="s">
        <v>134</v>
      </c>
      <c r="BF1482" s="13">
        <v>0.99659699201583896</v>
      </c>
      <c r="BG1482" s="4">
        <v>1983</v>
      </c>
      <c r="BH1482" s="13">
        <v>2.6500000953674299</v>
      </c>
      <c r="BI1482" s="13">
        <v>5249.3701171875</v>
      </c>
      <c r="BJ1482" s="4"/>
      <c r="BK1482" s="14">
        <v>7</v>
      </c>
      <c r="BL1482" s="14">
        <v>6</v>
      </c>
      <c r="BM1482" s="14">
        <v>7</v>
      </c>
      <c r="BP1482" s="15" t="s">
        <v>135</v>
      </c>
      <c r="BQ1482" s="15"/>
      <c r="BR1482" s="2" t="s">
        <v>172</v>
      </c>
      <c r="BS1482" s="2" t="s">
        <v>172</v>
      </c>
      <c r="BT1482" s="7" t="s">
        <v>527</v>
      </c>
      <c r="BU1482" s="7" t="s">
        <v>428</v>
      </c>
      <c r="BV1482" s="9" t="s">
        <v>509</v>
      </c>
      <c r="BW1482" s="9"/>
    </row>
    <row r="1483" spans="1:75" ht="14.25" customHeight="1" x14ac:dyDescent="0.25">
      <c r="A1483" s="1">
        <v>1512</v>
      </c>
      <c r="B1483" s="1" t="s">
        <v>5856</v>
      </c>
      <c r="C1483" s="1" t="s">
        <v>5857</v>
      </c>
      <c r="D1483" s="1" t="s">
        <v>77</v>
      </c>
      <c r="E1483" s="1" t="s">
        <v>2396</v>
      </c>
      <c r="F1483" s="1" t="s">
        <v>3830</v>
      </c>
      <c r="G1483" s="1"/>
      <c r="H1483" s="2">
        <v>1</v>
      </c>
      <c r="I1483" s="2">
        <v>1</v>
      </c>
      <c r="J1483" s="2">
        <v>1</v>
      </c>
      <c r="K1483" s="2">
        <v>0</v>
      </c>
      <c r="L1483" s="3" t="s">
        <v>80</v>
      </c>
      <c r="O1483" s="4">
        <v>2</v>
      </c>
      <c r="P1483" s="4" t="s">
        <v>424</v>
      </c>
      <c r="Q1483" s="4"/>
      <c r="R1483" s="16">
        <v>10000000</v>
      </c>
      <c r="S1483" s="6">
        <v>10000000</v>
      </c>
      <c r="T1483" s="16">
        <v>10000000</v>
      </c>
      <c r="U1483" s="6">
        <v>10000000</v>
      </c>
      <c r="V1483" s="4">
        <v>2010.5</v>
      </c>
      <c r="W1483" s="4" t="s">
        <v>425</v>
      </c>
      <c r="X1483" s="4"/>
      <c r="Y1483" s="7">
        <v>1</v>
      </c>
      <c r="Z1483" s="8">
        <v>8606508</v>
      </c>
      <c r="AA1483" s="7" t="s">
        <v>92</v>
      </c>
      <c r="AB1483" s="7"/>
      <c r="AC1483" s="9">
        <v>1</v>
      </c>
      <c r="AD1483" s="10">
        <v>8606508</v>
      </c>
      <c r="AE1483" s="9" t="s">
        <v>92</v>
      </c>
      <c r="AF1483" s="9"/>
      <c r="AG1483" s="11">
        <v>2</v>
      </c>
      <c r="AH1483" s="11" t="s">
        <v>131</v>
      </c>
      <c r="AI1483" s="11" t="s">
        <v>5858</v>
      </c>
      <c r="AJ1483" s="11">
        <v>2</v>
      </c>
      <c r="AK1483" s="11" t="s">
        <v>132</v>
      </c>
      <c r="AL1483" s="12">
        <v>2</v>
      </c>
      <c r="AM1483" s="12" t="s">
        <v>131</v>
      </c>
      <c r="AN1483" s="12" t="s">
        <v>5858</v>
      </c>
      <c r="AO1483" s="12">
        <v>2</v>
      </c>
      <c r="AP1483" s="12" t="s">
        <v>132</v>
      </c>
      <c r="AQ1483" s="4">
        <v>1</v>
      </c>
      <c r="AR1483" s="4" t="s">
        <v>133</v>
      </c>
      <c r="AS1483" s="4"/>
      <c r="AT1483" s="13">
        <v>120.929801940918</v>
      </c>
      <c r="AU1483" s="13">
        <v>1.56528639793396</v>
      </c>
      <c r="AV1483" s="13">
        <v>1.29999995231628</v>
      </c>
      <c r="AW1483" s="13">
        <v>1.7315030097961399</v>
      </c>
      <c r="AX1483" s="4">
        <v>1</v>
      </c>
      <c r="AY1483" s="13">
        <v>0.64516985416412398</v>
      </c>
      <c r="AZ1483" s="13">
        <v>6.4331509172916398E-2</v>
      </c>
      <c r="BA1483" s="13">
        <v>-0.57400000095367398</v>
      </c>
      <c r="BB1483" s="13">
        <v>0.61000001430511497</v>
      </c>
      <c r="BC1483" s="4"/>
      <c r="BD1483" s="4">
        <v>10</v>
      </c>
      <c r="BE1483" s="4" t="s">
        <v>134</v>
      </c>
      <c r="BF1483" s="13">
        <v>0.43150299787521401</v>
      </c>
      <c r="BG1483" s="4">
        <v>2781.5</v>
      </c>
      <c r="BH1483" s="13">
        <v>0.90149998664856001</v>
      </c>
      <c r="BI1483" s="13">
        <v>2507.5625</v>
      </c>
      <c r="BJ1483" s="4"/>
      <c r="BK1483" s="14">
        <v>6</v>
      </c>
      <c r="BL1483" s="14">
        <v>6</v>
      </c>
      <c r="BM1483" s="14">
        <v>6</v>
      </c>
      <c r="BP1483" s="15" t="s">
        <v>135</v>
      </c>
      <c r="BQ1483" s="15"/>
      <c r="BR1483" s="2" t="s">
        <v>172</v>
      </c>
      <c r="BS1483" s="2" t="s">
        <v>172</v>
      </c>
      <c r="BT1483" s="7" t="s">
        <v>241</v>
      </c>
      <c r="BU1483" s="7" t="s">
        <v>428</v>
      </c>
      <c r="BV1483" s="9" t="s">
        <v>241</v>
      </c>
      <c r="BW1483" s="9" t="s">
        <v>428</v>
      </c>
    </row>
    <row r="1484" spans="1:75" ht="14.25" customHeight="1" x14ac:dyDescent="0.25">
      <c r="A1484" s="1">
        <v>1524</v>
      </c>
      <c r="B1484" s="1" t="s">
        <v>5859</v>
      </c>
      <c r="C1484" s="1" t="s">
        <v>5860</v>
      </c>
      <c r="D1484" s="1" t="s">
        <v>77</v>
      </c>
      <c r="E1484" s="1" t="s">
        <v>2396</v>
      </c>
      <c r="F1484" s="1" t="s">
        <v>3845</v>
      </c>
      <c r="G1484" s="1"/>
      <c r="H1484" s="2">
        <v>0</v>
      </c>
      <c r="I1484" s="2">
        <v>1</v>
      </c>
      <c r="J1484" s="2">
        <v>1</v>
      </c>
      <c r="K1484" s="2">
        <v>0</v>
      </c>
      <c r="L1484" s="3" t="s">
        <v>80</v>
      </c>
      <c r="O1484" s="4">
        <v>2</v>
      </c>
      <c r="P1484" s="4" t="s">
        <v>424</v>
      </c>
      <c r="Q1484" s="4"/>
      <c r="R1484" s="16">
        <v>11000000</v>
      </c>
      <c r="S1484" s="6">
        <v>11000000</v>
      </c>
      <c r="T1484" s="16">
        <v>6500000</v>
      </c>
      <c r="U1484" s="6">
        <v>6500000</v>
      </c>
      <c r="V1484" s="4">
        <v>2010.5</v>
      </c>
      <c r="W1484" s="4" t="s">
        <v>425</v>
      </c>
      <c r="X1484" s="4"/>
      <c r="Y1484" s="7">
        <v>2</v>
      </c>
      <c r="Z1484" s="8">
        <v>1108751</v>
      </c>
      <c r="AA1484" s="7" t="s">
        <v>92</v>
      </c>
      <c r="AB1484" s="7"/>
      <c r="AC1484" s="9">
        <v>2</v>
      </c>
      <c r="AD1484" s="10">
        <v>1108751</v>
      </c>
      <c r="AE1484" s="9" t="s">
        <v>92</v>
      </c>
      <c r="AF1484" s="9"/>
      <c r="AG1484" s="11">
        <v>3</v>
      </c>
      <c r="AH1484" s="11" t="s">
        <v>131</v>
      </c>
      <c r="AI1484" s="11" t="s">
        <v>5861</v>
      </c>
      <c r="AJ1484" s="11">
        <v>2</v>
      </c>
      <c r="AK1484" s="11" t="s">
        <v>132</v>
      </c>
      <c r="AL1484" s="12">
        <v>3</v>
      </c>
      <c r="AM1484" s="12" t="s">
        <v>131</v>
      </c>
      <c r="AN1484" s="12" t="s">
        <v>5862</v>
      </c>
      <c r="AO1484" s="12">
        <v>2</v>
      </c>
      <c r="AP1484" s="12" t="s">
        <v>132</v>
      </c>
      <c r="AQ1484" s="4">
        <v>3</v>
      </c>
      <c r="AR1484" s="4" t="s">
        <v>133</v>
      </c>
      <c r="AS1484" s="4"/>
      <c r="AT1484" s="13">
        <v>-19.697681427001999</v>
      </c>
      <c r="AU1484" s="13">
        <v>-0.429314345121384</v>
      </c>
      <c r="AV1484" s="13">
        <v>-1.8099999427795399</v>
      </c>
      <c r="AW1484" s="13">
        <v>0.53720498085021995</v>
      </c>
      <c r="AX1484" s="4"/>
      <c r="AY1484" s="13">
        <v>-1.92327213287354</v>
      </c>
      <c r="AZ1484" s="13">
        <v>-0.194115281105042</v>
      </c>
      <c r="BA1484" s="13">
        <v>-3.1500000953674299</v>
      </c>
      <c r="BB1484" s="13">
        <v>2.6787040233612101</v>
      </c>
      <c r="BC1484" s="4"/>
      <c r="BD1484" s="4">
        <v>10</v>
      </c>
      <c r="BE1484" s="4" t="s">
        <v>134</v>
      </c>
      <c r="BF1484" s="13">
        <v>2.3472049236297599</v>
      </c>
      <c r="BG1484" s="4">
        <v>126.5</v>
      </c>
      <c r="BH1484" s="13">
        <v>2.9500000476837198</v>
      </c>
      <c r="BI1484" s="13">
        <v>372.98498535156301</v>
      </c>
      <c r="BJ1484" s="4"/>
      <c r="BK1484" s="14">
        <v>10</v>
      </c>
      <c r="BL1484" s="14">
        <v>10</v>
      </c>
      <c r="BM1484" s="14">
        <v>10</v>
      </c>
      <c r="BP1484" s="15"/>
      <c r="BQ1484" s="15"/>
      <c r="BR1484" s="2" t="s">
        <v>297</v>
      </c>
      <c r="BS1484" s="2" t="s">
        <v>297</v>
      </c>
      <c r="BT1484" s="7" t="s">
        <v>475</v>
      </c>
      <c r="BU1484" s="7"/>
      <c r="BV1484" s="9" t="s">
        <v>475</v>
      </c>
      <c r="BW1484" s="9"/>
    </row>
    <row r="1485" spans="1:75" ht="14.25" customHeight="1" x14ac:dyDescent="0.25">
      <c r="A1485" s="1">
        <v>1525</v>
      </c>
      <c r="B1485" s="1" t="s">
        <v>5863</v>
      </c>
      <c r="C1485" s="1" t="s">
        <v>5864</v>
      </c>
      <c r="D1485" s="1" t="s">
        <v>77</v>
      </c>
      <c r="E1485" s="1" t="s">
        <v>2396</v>
      </c>
      <c r="F1485" s="1" t="s">
        <v>3845</v>
      </c>
      <c r="G1485" s="1"/>
      <c r="H1485" s="2">
        <v>0</v>
      </c>
      <c r="I1485" s="2">
        <v>1</v>
      </c>
      <c r="J1485" s="2">
        <v>1</v>
      </c>
      <c r="K1485" s="2">
        <v>0</v>
      </c>
      <c r="L1485" s="3" t="s">
        <v>80</v>
      </c>
      <c r="O1485" s="4">
        <v>4</v>
      </c>
      <c r="P1485" s="4" t="s">
        <v>5865</v>
      </c>
      <c r="Q1485" s="4" t="s">
        <v>5866</v>
      </c>
      <c r="R1485" s="16">
        <v>80000</v>
      </c>
      <c r="S1485" s="6">
        <v>80000</v>
      </c>
      <c r="T1485" s="17" t="s">
        <v>795</v>
      </c>
      <c r="U1485" s="6">
        <v>5000</v>
      </c>
      <c r="V1485" s="4"/>
      <c r="W1485" s="4" t="s">
        <v>543</v>
      </c>
      <c r="X1485" s="4" t="s">
        <v>5867</v>
      </c>
      <c r="Y1485" s="7">
        <v>4</v>
      </c>
      <c r="Z1485" s="8">
        <v>129339</v>
      </c>
      <c r="AA1485" s="7" t="s">
        <v>92</v>
      </c>
      <c r="AB1485" s="7"/>
      <c r="AC1485" s="9">
        <v>4</v>
      </c>
      <c r="AD1485" s="10">
        <v>129339</v>
      </c>
      <c r="AE1485" s="9" t="s">
        <v>92</v>
      </c>
      <c r="AF1485" s="9"/>
      <c r="AG1485" s="11">
        <v>3</v>
      </c>
      <c r="AH1485" s="11" t="s">
        <v>131</v>
      </c>
      <c r="AI1485" s="11" t="s">
        <v>5868</v>
      </c>
      <c r="AJ1485" s="11">
        <v>3</v>
      </c>
      <c r="AK1485" s="11" t="s">
        <v>143</v>
      </c>
      <c r="AL1485" s="12">
        <v>3</v>
      </c>
      <c r="AM1485" s="12" t="s">
        <v>131</v>
      </c>
      <c r="AN1485" s="12" t="s">
        <v>5869</v>
      </c>
      <c r="AO1485" s="12">
        <v>2</v>
      </c>
      <c r="AP1485" s="12" t="s">
        <v>143</v>
      </c>
      <c r="AQ1485" s="4">
        <v>3</v>
      </c>
      <c r="AR1485" s="4" t="s">
        <v>673</v>
      </c>
      <c r="AS1485" s="4"/>
      <c r="AT1485" s="13"/>
      <c r="AU1485" s="13"/>
      <c r="AV1485" s="13"/>
      <c r="AW1485" s="13"/>
      <c r="AX1485" s="4"/>
      <c r="AY1485" s="13"/>
      <c r="AZ1485" s="13"/>
      <c r="BA1485" s="13"/>
      <c r="BB1485" s="13"/>
      <c r="BC1485" s="4"/>
      <c r="BD1485" s="4"/>
      <c r="BE1485" s="4"/>
      <c r="BF1485" s="13"/>
      <c r="BG1485" s="4"/>
      <c r="BH1485" s="13"/>
      <c r="BI1485" s="13"/>
      <c r="BJ1485" s="4"/>
      <c r="BK1485" s="14">
        <v>14</v>
      </c>
      <c r="BL1485" s="14">
        <v>14</v>
      </c>
      <c r="BM1485" s="14">
        <v>14</v>
      </c>
      <c r="BN1485" s="3" t="s">
        <v>86</v>
      </c>
      <c r="BP1485" s="15"/>
      <c r="BQ1485" s="15"/>
      <c r="BR1485" s="2" t="s">
        <v>297</v>
      </c>
      <c r="BS1485" s="2" t="s">
        <v>297</v>
      </c>
      <c r="BT1485" s="7" t="s">
        <v>429</v>
      </c>
      <c r="BU1485" s="7"/>
      <c r="BV1485" s="9" t="s">
        <v>429</v>
      </c>
      <c r="BW1485" s="9"/>
    </row>
    <row r="1486" spans="1:75" ht="14.25" customHeight="1" x14ac:dyDescent="0.25">
      <c r="A1486" s="1">
        <v>1526</v>
      </c>
      <c r="B1486" s="1" t="s">
        <v>5870</v>
      </c>
      <c r="C1486" s="1" t="s">
        <v>5871</v>
      </c>
      <c r="D1486" s="1" t="s">
        <v>77</v>
      </c>
      <c r="E1486" s="1" t="s">
        <v>2396</v>
      </c>
      <c r="F1486" s="1" t="s">
        <v>3845</v>
      </c>
      <c r="G1486" s="1"/>
      <c r="H1486" s="2">
        <v>0</v>
      </c>
      <c r="I1486" s="2">
        <v>1</v>
      </c>
      <c r="J1486" s="2">
        <v>1</v>
      </c>
      <c r="K1486" s="2">
        <v>0</v>
      </c>
      <c r="L1486" s="3" t="s">
        <v>80</v>
      </c>
      <c r="O1486" s="4">
        <v>4</v>
      </c>
      <c r="P1486" s="4" t="s">
        <v>706</v>
      </c>
      <c r="Q1486" s="4"/>
      <c r="R1486" s="16">
        <v>200000</v>
      </c>
      <c r="S1486" s="6">
        <v>200000</v>
      </c>
      <c r="T1486" s="17" t="s">
        <v>1869</v>
      </c>
      <c r="U1486" s="6">
        <v>500</v>
      </c>
      <c r="V1486" s="4"/>
      <c r="W1486" s="4" t="s">
        <v>543</v>
      </c>
      <c r="X1486" s="4" t="s">
        <v>787</v>
      </c>
      <c r="Y1486" s="7">
        <v>4</v>
      </c>
      <c r="Z1486" s="8">
        <v>167325</v>
      </c>
      <c r="AA1486" s="7" t="s">
        <v>92</v>
      </c>
      <c r="AB1486" s="7"/>
      <c r="AC1486" s="9">
        <v>4</v>
      </c>
      <c r="AD1486" s="10">
        <v>167325</v>
      </c>
      <c r="AE1486" s="9" t="s">
        <v>92</v>
      </c>
      <c r="AF1486" s="9"/>
      <c r="AG1486" s="11">
        <v>3</v>
      </c>
      <c r="AH1486" s="11" t="s">
        <v>271</v>
      </c>
      <c r="AI1486" s="11"/>
      <c r="AJ1486" s="11"/>
      <c r="AK1486" s="11"/>
      <c r="AL1486" s="12">
        <v>3</v>
      </c>
      <c r="AM1486" s="12" t="s">
        <v>271</v>
      </c>
      <c r="AN1486" s="12" t="s">
        <v>698</v>
      </c>
      <c r="AO1486" s="12"/>
      <c r="AP1486" s="12"/>
      <c r="AQ1486" s="4">
        <v>4</v>
      </c>
      <c r="AR1486" s="4" t="s">
        <v>673</v>
      </c>
      <c r="AS1486" s="4" t="s">
        <v>5872</v>
      </c>
      <c r="AT1486" s="13"/>
      <c r="AU1486" s="13"/>
      <c r="AV1486" s="13"/>
      <c r="AW1486" s="13"/>
      <c r="AX1486" s="4"/>
      <c r="AY1486" s="13"/>
      <c r="AZ1486" s="13"/>
      <c r="BA1486" s="13"/>
      <c r="BB1486" s="13"/>
      <c r="BC1486" s="4"/>
      <c r="BD1486" s="4"/>
      <c r="BE1486" s="4"/>
      <c r="BF1486" s="13"/>
      <c r="BG1486" s="4"/>
      <c r="BH1486" s="13"/>
      <c r="BI1486" s="13"/>
      <c r="BJ1486" s="4"/>
      <c r="BK1486" s="14">
        <v>15</v>
      </c>
      <c r="BL1486" s="14">
        <v>15</v>
      </c>
      <c r="BM1486" s="14">
        <v>15</v>
      </c>
      <c r="BN1486" s="3" t="s">
        <v>86</v>
      </c>
      <c r="BP1486" s="15"/>
      <c r="BQ1486" s="15"/>
      <c r="BR1486" s="2" t="s">
        <v>108</v>
      </c>
      <c r="BS1486" s="2" t="s">
        <v>108</v>
      </c>
      <c r="BT1486" s="7" t="s">
        <v>475</v>
      </c>
      <c r="BU1486" s="7" t="s">
        <v>109</v>
      </c>
      <c r="BV1486" s="9" t="s">
        <v>475</v>
      </c>
      <c r="BW1486" s="9" t="s">
        <v>109</v>
      </c>
    </row>
    <row r="1487" spans="1:75" ht="14.25" customHeight="1" x14ac:dyDescent="0.25">
      <c r="A1487" s="1">
        <v>1527</v>
      </c>
      <c r="B1487" s="1" t="s">
        <v>5873</v>
      </c>
      <c r="C1487" s="1" t="s">
        <v>5874</v>
      </c>
      <c r="D1487" s="1" t="s">
        <v>77</v>
      </c>
      <c r="E1487" s="1" t="s">
        <v>2396</v>
      </c>
      <c r="F1487" s="1" t="s">
        <v>3845</v>
      </c>
      <c r="G1487" s="1"/>
      <c r="H1487" s="2">
        <v>0</v>
      </c>
      <c r="I1487" s="2">
        <v>0</v>
      </c>
      <c r="J1487" s="2">
        <v>1</v>
      </c>
      <c r="K1487" s="2">
        <v>1</v>
      </c>
      <c r="L1487" s="3" t="s">
        <v>80</v>
      </c>
      <c r="O1487" s="4">
        <v>4</v>
      </c>
      <c r="P1487" s="4" t="s">
        <v>5875</v>
      </c>
      <c r="Q1487" s="4" t="s">
        <v>5876</v>
      </c>
      <c r="R1487" s="5"/>
      <c r="S1487" s="6"/>
      <c r="T1487" s="17"/>
      <c r="U1487" s="6"/>
      <c r="V1487" s="4"/>
      <c r="W1487" s="4"/>
      <c r="X1487" s="4"/>
      <c r="Y1487" s="7">
        <v>4</v>
      </c>
      <c r="Z1487" s="8">
        <v>206039</v>
      </c>
      <c r="AA1487" s="7" t="s">
        <v>5877</v>
      </c>
      <c r="AB1487" s="7" t="s">
        <v>5878</v>
      </c>
      <c r="AC1487" s="9">
        <v>4</v>
      </c>
      <c r="AD1487" s="10">
        <v>206039</v>
      </c>
      <c r="AE1487" s="9" t="s">
        <v>5877</v>
      </c>
      <c r="AF1487" s="9" t="s">
        <v>5878</v>
      </c>
      <c r="AG1487" s="11">
        <v>3</v>
      </c>
      <c r="AH1487" s="11" t="s">
        <v>2304</v>
      </c>
      <c r="AI1487" s="11"/>
      <c r="AJ1487" s="11"/>
      <c r="AK1487" s="11"/>
      <c r="AL1487" s="12">
        <v>3</v>
      </c>
      <c r="AM1487" s="12" t="s">
        <v>2304</v>
      </c>
      <c r="AN1487" s="12" t="s">
        <v>698</v>
      </c>
      <c r="AO1487" s="12"/>
      <c r="AP1487" s="12"/>
      <c r="AQ1487" s="4">
        <v>4</v>
      </c>
      <c r="AR1487" s="4" t="s">
        <v>5879</v>
      </c>
      <c r="AS1487" s="4" t="s">
        <v>5880</v>
      </c>
      <c r="AT1487" s="13"/>
      <c r="AU1487" s="13"/>
      <c r="AV1487" s="13"/>
      <c r="AW1487" s="13"/>
      <c r="AX1487" s="4"/>
      <c r="AY1487" s="13"/>
      <c r="AZ1487" s="13"/>
      <c r="BA1487" s="13"/>
      <c r="BB1487" s="13"/>
      <c r="BC1487" s="4"/>
      <c r="BD1487" s="4"/>
      <c r="BE1487" s="4"/>
      <c r="BF1487" s="13"/>
      <c r="BG1487" s="4"/>
      <c r="BH1487" s="13"/>
      <c r="BI1487" s="13"/>
      <c r="BJ1487" s="4"/>
      <c r="BK1487" s="14">
        <v>15</v>
      </c>
      <c r="BL1487" s="14">
        <v>15</v>
      </c>
      <c r="BM1487" s="14">
        <v>15</v>
      </c>
      <c r="BN1487" s="3" t="s">
        <v>86</v>
      </c>
      <c r="BP1487" s="15"/>
      <c r="BQ1487" s="15"/>
      <c r="BR1487" s="2" t="s">
        <v>108</v>
      </c>
      <c r="BS1487" s="2" t="s">
        <v>108</v>
      </c>
      <c r="BT1487" s="7" t="s">
        <v>109</v>
      </c>
      <c r="BU1487" s="7"/>
      <c r="BV1487" s="9" t="s">
        <v>109</v>
      </c>
      <c r="BW1487" s="9"/>
    </row>
    <row r="1488" spans="1:75" ht="14.25" customHeight="1" x14ac:dyDescent="0.25">
      <c r="A1488" s="1">
        <v>1533</v>
      </c>
      <c r="B1488" s="1" t="s">
        <v>5881</v>
      </c>
      <c r="C1488" s="1" t="s">
        <v>5882</v>
      </c>
      <c r="D1488" s="1" t="s">
        <v>77</v>
      </c>
      <c r="E1488" s="1" t="s">
        <v>2396</v>
      </c>
      <c r="F1488" s="1" t="s">
        <v>3873</v>
      </c>
      <c r="G1488" s="1" t="s">
        <v>118</v>
      </c>
      <c r="H1488" s="2">
        <v>0</v>
      </c>
      <c r="I1488" s="2">
        <v>0</v>
      </c>
      <c r="J1488" s="2">
        <v>1</v>
      </c>
      <c r="K1488" s="2">
        <v>0</v>
      </c>
      <c r="L1488" s="3" t="s">
        <v>80</v>
      </c>
      <c r="O1488" s="4">
        <v>5</v>
      </c>
      <c r="P1488" s="4" t="s">
        <v>112</v>
      </c>
      <c r="Q1488" s="4"/>
      <c r="R1488" s="5"/>
      <c r="S1488" s="6"/>
      <c r="T1488" s="17"/>
      <c r="U1488" s="6"/>
      <c r="V1488" s="4"/>
      <c r="W1488" s="4"/>
      <c r="X1488" s="4"/>
      <c r="Y1488" s="7">
        <v>5</v>
      </c>
      <c r="Z1488" s="8">
        <v>7329</v>
      </c>
      <c r="AA1488" s="7" t="s">
        <v>92</v>
      </c>
      <c r="AB1488" s="7"/>
      <c r="AC1488" s="9">
        <v>5</v>
      </c>
      <c r="AD1488" s="10">
        <v>7329</v>
      </c>
      <c r="AE1488" s="9" t="s">
        <v>92</v>
      </c>
      <c r="AF1488" s="9"/>
      <c r="AG1488" s="11">
        <v>5</v>
      </c>
      <c r="AH1488" s="11" t="s">
        <v>743</v>
      </c>
      <c r="AI1488" s="11" t="s">
        <v>5883</v>
      </c>
      <c r="AJ1488" s="11"/>
      <c r="AK1488" s="11"/>
      <c r="AL1488" s="12">
        <v>5</v>
      </c>
      <c r="AM1488" s="12" t="s">
        <v>93</v>
      </c>
      <c r="AN1488" s="12" t="s">
        <v>805</v>
      </c>
      <c r="AO1488" s="12"/>
      <c r="AP1488" s="12"/>
      <c r="AQ1488" s="4">
        <v>5</v>
      </c>
      <c r="AR1488" s="4" t="s">
        <v>93</v>
      </c>
      <c r="AS1488" s="4"/>
      <c r="AT1488" s="13"/>
      <c r="AU1488" s="13"/>
      <c r="AV1488" s="13"/>
      <c r="AW1488" s="13"/>
      <c r="AX1488" s="4"/>
      <c r="AY1488" s="13"/>
      <c r="AZ1488" s="13"/>
      <c r="BA1488" s="13"/>
      <c r="BB1488" s="13"/>
      <c r="BC1488" s="4"/>
      <c r="BD1488" s="4"/>
      <c r="BE1488" s="4"/>
      <c r="BF1488" s="13"/>
      <c r="BG1488" s="4"/>
      <c r="BH1488" s="13"/>
      <c r="BI1488" s="13"/>
      <c r="BJ1488" s="4"/>
      <c r="BK1488" s="14">
        <v>20</v>
      </c>
      <c r="BL1488" s="14">
        <v>20</v>
      </c>
      <c r="BM1488" s="14">
        <v>20</v>
      </c>
      <c r="BN1488" s="3" t="s">
        <v>312</v>
      </c>
      <c r="BO1488" s="3" t="s">
        <v>114</v>
      </c>
      <c r="BP1488" s="15"/>
      <c r="BQ1488" s="15"/>
      <c r="BR1488" s="2" t="s">
        <v>115</v>
      </c>
      <c r="BS1488" s="2" t="s">
        <v>115</v>
      </c>
      <c r="BT1488" s="7" t="s">
        <v>98</v>
      </c>
      <c r="BU1488" s="7"/>
      <c r="BV1488" s="9" t="s">
        <v>98</v>
      </c>
      <c r="BW1488" s="9"/>
    </row>
    <row r="1489" spans="1:75" ht="14.25" customHeight="1" x14ac:dyDescent="0.25">
      <c r="A1489" s="1">
        <v>1534</v>
      </c>
      <c r="B1489" s="1" t="s">
        <v>5884</v>
      </c>
      <c r="C1489" s="1" t="s">
        <v>5885</v>
      </c>
      <c r="D1489" s="1" t="s">
        <v>77</v>
      </c>
      <c r="E1489" s="1" t="s">
        <v>2396</v>
      </c>
      <c r="F1489" s="1" t="s">
        <v>3873</v>
      </c>
      <c r="G1489" s="1" t="s">
        <v>118</v>
      </c>
      <c r="H1489" s="2">
        <v>0</v>
      </c>
      <c r="I1489" s="2">
        <v>0</v>
      </c>
      <c r="J1489" s="2">
        <v>0</v>
      </c>
      <c r="K1489" s="2">
        <v>1</v>
      </c>
      <c r="L1489" s="3" t="s">
        <v>80</v>
      </c>
      <c r="O1489" s="4">
        <v>5</v>
      </c>
      <c r="P1489" s="4" t="s">
        <v>81</v>
      </c>
      <c r="Q1489" s="4" t="s">
        <v>844</v>
      </c>
      <c r="R1489" s="5"/>
      <c r="S1489" s="6"/>
      <c r="T1489" s="17"/>
      <c r="U1489" s="6"/>
      <c r="V1489" s="4"/>
      <c r="W1489" s="4"/>
      <c r="X1489" s="4"/>
      <c r="Y1489" s="7">
        <v>5</v>
      </c>
      <c r="Z1489" s="8">
        <v>32378</v>
      </c>
      <c r="AA1489" s="7" t="s">
        <v>82</v>
      </c>
      <c r="AB1489" s="7"/>
      <c r="AC1489" s="9">
        <v>5</v>
      </c>
      <c r="AD1489" s="10">
        <v>32378</v>
      </c>
      <c r="AE1489" s="9" t="s">
        <v>82</v>
      </c>
      <c r="AF1489" s="9"/>
      <c r="AG1489" s="11">
        <v>3</v>
      </c>
      <c r="AH1489" s="11" t="s">
        <v>83</v>
      </c>
      <c r="AI1489" s="11"/>
      <c r="AJ1489" s="11"/>
      <c r="AK1489" s="11"/>
      <c r="AL1489" s="12">
        <v>3</v>
      </c>
      <c r="AM1489" s="12" t="s">
        <v>83</v>
      </c>
      <c r="AN1489" s="12"/>
      <c r="AO1489" s="12"/>
      <c r="AP1489" s="12"/>
      <c r="AQ1489" s="4">
        <v>3</v>
      </c>
      <c r="AR1489" s="4" t="s">
        <v>83</v>
      </c>
      <c r="AS1489" s="4" t="s">
        <v>5886</v>
      </c>
      <c r="AT1489" s="13"/>
      <c r="AU1489" s="13"/>
      <c r="AV1489" s="13"/>
      <c r="AW1489" s="13"/>
      <c r="AX1489" s="4"/>
      <c r="AY1489" s="13"/>
      <c r="AZ1489" s="13"/>
      <c r="BA1489" s="13"/>
      <c r="BB1489" s="13"/>
      <c r="BC1489" s="4"/>
      <c r="BD1489" s="4"/>
      <c r="BE1489" s="4"/>
      <c r="BF1489" s="13"/>
      <c r="BG1489" s="4"/>
      <c r="BH1489" s="13"/>
      <c r="BI1489" s="13"/>
      <c r="BJ1489" s="4"/>
      <c r="BK1489" s="14">
        <v>16</v>
      </c>
      <c r="BL1489" s="14">
        <v>16</v>
      </c>
      <c r="BM1489" s="14">
        <v>16</v>
      </c>
      <c r="BN1489" s="3" t="s">
        <v>86</v>
      </c>
      <c r="BP1489" s="15"/>
      <c r="BQ1489" s="15"/>
      <c r="BR1489" s="2" t="s">
        <v>87</v>
      </c>
      <c r="BS1489" s="2" t="s">
        <v>87</v>
      </c>
      <c r="BT1489" s="7" t="s">
        <v>88</v>
      </c>
      <c r="BU1489" s="7"/>
      <c r="BV1489" s="9" t="s">
        <v>88</v>
      </c>
      <c r="BW1489" s="9"/>
    </row>
    <row r="1490" spans="1:75" ht="14.25" customHeight="1" x14ac:dyDescent="0.25">
      <c r="A1490" s="1">
        <v>1535</v>
      </c>
      <c r="B1490" s="1" t="s">
        <v>5887</v>
      </c>
      <c r="C1490" s="1" t="s">
        <v>5888</v>
      </c>
      <c r="D1490" s="1" t="s">
        <v>77</v>
      </c>
      <c r="E1490" s="1" t="s">
        <v>2396</v>
      </c>
      <c r="F1490" s="1" t="s">
        <v>3873</v>
      </c>
      <c r="G1490" s="1" t="s">
        <v>118</v>
      </c>
      <c r="H1490" s="2">
        <v>0</v>
      </c>
      <c r="I1490" s="2">
        <v>0</v>
      </c>
      <c r="J1490" s="2">
        <v>0</v>
      </c>
      <c r="K1490" s="2">
        <v>1</v>
      </c>
      <c r="L1490" s="3" t="s">
        <v>80</v>
      </c>
      <c r="O1490" s="4">
        <v>4</v>
      </c>
      <c r="P1490" s="4" t="s">
        <v>81</v>
      </c>
      <c r="Q1490" s="4"/>
      <c r="R1490" s="5"/>
      <c r="S1490" s="6"/>
      <c r="T1490" s="17"/>
      <c r="U1490" s="6"/>
      <c r="V1490" s="4"/>
      <c r="W1490" s="4"/>
      <c r="X1490" s="4"/>
      <c r="Y1490" s="7">
        <v>5</v>
      </c>
      <c r="Z1490" s="8">
        <v>33016</v>
      </c>
      <c r="AA1490" s="7" t="s">
        <v>82</v>
      </c>
      <c r="AB1490" s="7"/>
      <c r="AC1490" s="9">
        <v>5</v>
      </c>
      <c r="AD1490" s="10">
        <v>33016</v>
      </c>
      <c r="AE1490" s="9" t="s">
        <v>82</v>
      </c>
      <c r="AF1490" s="9"/>
      <c r="AG1490" s="11">
        <v>3</v>
      </c>
      <c r="AH1490" s="11" t="s">
        <v>83</v>
      </c>
      <c r="AI1490" s="11"/>
      <c r="AJ1490" s="11"/>
      <c r="AK1490" s="11"/>
      <c r="AL1490" s="12">
        <v>3</v>
      </c>
      <c r="AM1490" s="12" t="s">
        <v>83</v>
      </c>
      <c r="AN1490" s="12"/>
      <c r="AO1490" s="12"/>
      <c r="AP1490" s="12"/>
      <c r="AQ1490" s="4">
        <v>3</v>
      </c>
      <c r="AR1490" s="4" t="s">
        <v>83</v>
      </c>
      <c r="AS1490" s="4"/>
      <c r="AT1490" s="13"/>
      <c r="AU1490" s="13"/>
      <c r="AV1490" s="13"/>
      <c r="AW1490" s="13"/>
      <c r="AX1490" s="4"/>
      <c r="AY1490" s="13"/>
      <c r="AZ1490" s="13"/>
      <c r="BA1490" s="13"/>
      <c r="BB1490" s="13"/>
      <c r="BC1490" s="4"/>
      <c r="BD1490" s="4"/>
      <c r="BE1490" s="4"/>
      <c r="BF1490" s="13"/>
      <c r="BG1490" s="4"/>
      <c r="BH1490" s="13"/>
      <c r="BI1490" s="13"/>
      <c r="BJ1490" s="4"/>
      <c r="BK1490" s="14">
        <v>15</v>
      </c>
      <c r="BL1490" s="14">
        <v>15</v>
      </c>
      <c r="BM1490" s="14">
        <v>15</v>
      </c>
      <c r="BN1490" s="3" t="s">
        <v>86</v>
      </c>
      <c r="BP1490" s="15"/>
      <c r="BQ1490" s="15"/>
      <c r="BR1490" s="2" t="s">
        <v>115</v>
      </c>
      <c r="BS1490" s="2" t="s">
        <v>115</v>
      </c>
      <c r="BT1490" s="7" t="s">
        <v>98</v>
      </c>
      <c r="BU1490" s="7"/>
      <c r="BV1490" s="9" t="s">
        <v>98</v>
      </c>
      <c r="BW1490" s="9"/>
    </row>
    <row r="1491" spans="1:75" ht="14.25" customHeight="1" x14ac:dyDescent="0.25">
      <c r="A1491" s="1">
        <v>1536</v>
      </c>
      <c r="B1491" s="1" t="s">
        <v>5889</v>
      </c>
      <c r="C1491" s="1" t="s">
        <v>5890</v>
      </c>
      <c r="D1491" s="1" t="s">
        <v>77</v>
      </c>
      <c r="E1491" s="1" t="s">
        <v>2396</v>
      </c>
      <c r="F1491" s="1" t="s">
        <v>3873</v>
      </c>
      <c r="G1491" s="1"/>
      <c r="H1491" s="2">
        <v>0</v>
      </c>
      <c r="I1491" s="2">
        <v>0</v>
      </c>
      <c r="J1491" s="2">
        <v>0</v>
      </c>
      <c r="K1491" s="2">
        <v>1</v>
      </c>
      <c r="L1491" s="3" t="s">
        <v>80</v>
      </c>
      <c r="O1491" s="4">
        <v>3</v>
      </c>
      <c r="P1491" s="4" t="s">
        <v>81</v>
      </c>
      <c r="Q1491" s="4"/>
      <c r="R1491" s="5"/>
      <c r="S1491" s="6"/>
      <c r="T1491" s="17"/>
      <c r="U1491" s="6"/>
      <c r="V1491" s="4"/>
      <c r="W1491" s="4"/>
      <c r="X1491" s="4"/>
      <c r="Y1491" s="7">
        <v>4</v>
      </c>
      <c r="Z1491" s="8">
        <v>206725</v>
      </c>
      <c r="AA1491" s="7" t="s">
        <v>82</v>
      </c>
      <c r="AB1491" s="7"/>
      <c r="AC1491" s="9">
        <v>4</v>
      </c>
      <c r="AD1491" s="10">
        <v>206725</v>
      </c>
      <c r="AE1491" s="9" t="s">
        <v>82</v>
      </c>
      <c r="AF1491" s="9"/>
      <c r="AG1491" s="11">
        <v>3</v>
      </c>
      <c r="AH1491" s="11" t="s">
        <v>83</v>
      </c>
      <c r="AI1491" s="11"/>
      <c r="AJ1491" s="11"/>
      <c r="AK1491" s="11"/>
      <c r="AL1491" s="12">
        <v>3</v>
      </c>
      <c r="AM1491" s="12" t="s">
        <v>83</v>
      </c>
      <c r="AN1491" s="12"/>
      <c r="AO1491" s="12"/>
      <c r="AP1491" s="12"/>
      <c r="AQ1491" s="4">
        <v>4</v>
      </c>
      <c r="AR1491" s="4" t="s">
        <v>83</v>
      </c>
      <c r="AS1491" s="4"/>
      <c r="AT1491" s="13"/>
      <c r="AU1491" s="13"/>
      <c r="AV1491" s="13"/>
      <c r="AW1491" s="13"/>
      <c r="AX1491" s="4"/>
      <c r="AY1491" s="13"/>
      <c r="AZ1491" s="13"/>
      <c r="BA1491" s="13"/>
      <c r="BB1491" s="13"/>
      <c r="BC1491" s="4"/>
      <c r="BD1491" s="4"/>
      <c r="BE1491" s="4"/>
      <c r="BF1491" s="13"/>
      <c r="BG1491" s="4"/>
      <c r="BH1491" s="13"/>
      <c r="BI1491" s="13"/>
      <c r="BJ1491" s="4"/>
      <c r="BK1491" s="14">
        <v>14</v>
      </c>
      <c r="BL1491" s="14">
        <v>14</v>
      </c>
      <c r="BM1491" s="14">
        <v>14</v>
      </c>
      <c r="BN1491" s="3" t="s">
        <v>86</v>
      </c>
      <c r="BP1491" s="15"/>
      <c r="BQ1491" s="15"/>
      <c r="BR1491" s="2" t="s">
        <v>121</v>
      </c>
      <c r="BS1491" s="2" t="s">
        <v>121</v>
      </c>
      <c r="BT1491" s="7" t="s">
        <v>98</v>
      </c>
      <c r="BU1491" s="7" t="s">
        <v>88</v>
      </c>
      <c r="BV1491" s="9" t="s">
        <v>98</v>
      </c>
      <c r="BW1491" s="9" t="s">
        <v>88</v>
      </c>
    </row>
    <row r="1492" spans="1:75" ht="14.25" customHeight="1" x14ac:dyDescent="0.25">
      <c r="A1492" s="1">
        <v>1537</v>
      </c>
      <c r="B1492" s="1" t="s">
        <v>5891</v>
      </c>
      <c r="C1492" s="1" t="s">
        <v>5892</v>
      </c>
      <c r="D1492" s="1" t="s">
        <v>77</v>
      </c>
      <c r="E1492" s="1" t="s">
        <v>2396</v>
      </c>
      <c r="F1492" s="1" t="s">
        <v>3873</v>
      </c>
      <c r="G1492" s="1"/>
      <c r="H1492" s="2">
        <v>0</v>
      </c>
      <c r="I1492" s="2">
        <v>0</v>
      </c>
      <c r="J1492" s="2">
        <v>1</v>
      </c>
      <c r="K1492" s="2">
        <v>1</v>
      </c>
      <c r="L1492" s="3" t="s">
        <v>80</v>
      </c>
      <c r="O1492" s="4">
        <v>3</v>
      </c>
      <c r="P1492" s="4" t="s">
        <v>112</v>
      </c>
      <c r="Q1492" s="4"/>
      <c r="R1492" s="5"/>
      <c r="S1492" s="6"/>
      <c r="T1492" s="17"/>
      <c r="U1492" s="6"/>
      <c r="V1492" s="4"/>
      <c r="W1492" s="4"/>
      <c r="X1492" s="4"/>
      <c r="Y1492" s="7">
        <v>3</v>
      </c>
      <c r="Z1492" s="8">
        <v>583919</v>
      </c>
      <c r="AA1492" s="7" t="s">
        <v>92</v>
      </c>
      <c r="AB1492" s="7"/>
      <c r="AC1492" s="9">
        <v>3</v>
      </c>
      <c r="AD1492" s="10">
        <v>583919</v>
      </c>
      <c r="AE1492" s="9" t="s">
        <v>92</v>
      </c>
      <c r="AF1492" s="9"/>
      <c r="AG1492" s="11">
        <v>3</v>
      </c>
      <c r="AH1492" s="11" t="s">
        <v>93</v>
      </c>
      <c r="AI1492" s="11"/>
      <c r="AJ1492" s="11"/>
      <c r="AK1492" s="11"/>
      <c r="AL1492" s="12">
        <v>3</v>
      </c>
      <c r="AM1492" s="12" t="s">
        <v>93</v>
      </c>
      <c r="AN1492" s="12" t="s">
        <v>4502</v>
      </c>
      <c r="AO1492" s="12"/>
      <c r="AP1492" s="12"/>
      <c r="AQ1492" s="4">
        <v>4</v>
      </c>
      <c r="AR1492" s="4" t="s">
        <v>83</v>
      </c>
      <c r="AS1492" s="4"/>
      <c r="AT1492" s="13"/>
      <c r="AU1492" s="13"/>
      <c r="AV1492" s="13"/>
      <c r="AW1492" s="13"/>
      <c r="AX1492" s="4"/>
      <c r="AY1492" s="13"/>
      <c r="AZ1492" s="13"/>
      <c r="BA1492" s="13"/>
      <c r="BB1492" s="13"/>
      <c r="BC1492" s="4"/>
      <c r="BD1492" s="4"/>
      <c r="BE1492" s="4"/>
      <c r="BF1492" s="13"/>
      <c r="BG1492" s="4"/>
      <c r="BH1492" s="13"/>
      <c r="BI1492" s="13"/>
      <c r="BJ1492" s="4"/>
      <c r="BK1492" s="14">
        <v>13</v>
      </c>
      <c r="BL1492" s="14">
        <v>13</v>
      </c>
      <c r="BM1492" s="14">
        <v>13</v>
      </c>
      <c r="BP1492" s="15"/>
      <c r="BQ1492" s="15"/>
      <c r="BR1492" s="2" t="s">
        <v>115</v>
      </c>
      <c r="BS1492" s="2" t="s">
        <v>115</v>
      </c>
      <c r="BT1492" s="7" t="s">
        <v>98</v>
      </c>
      <c r="BU1492" s="7"/>
      <c r="BV1492" s="9" t="s">
        <v>98</v>
      </c>
      <c r="BW1492" s="9"/>
    </row>
    <row r="1493" spans="1:75" ht="14.25" customHeight="1" x14ac:dyDescent="0.25">
      <c r="A1493" s="1">
        <v>1538</v>
      </c>
      <c r="B1493" s="1" t="s">
        <v>5893</v>
      </c>
      <c r="C1493" s="1" t="s">
        <v>5894</v>
      </c>
      <c r="D1493" s="1" t="s">
        <v>77</v>
      </c>
      <c r="E1493" s="1" t="s">
        <v>2396</v>
      </c>
      <c r="F1493" s="1" t="s">
        <v>3873</v>
      </c>
      <c r="G1493" s="1"/>
      <c r="H1493" s="2">
        <v>0</v>
      </c>
      <c r="I1493" s="2">
        <v>0</v>
      </c>
      <c r="J1493" s="2">
        <v>1</v>
      </c>
      <c r="K1493" s="2">
        <v>0</v>
      </c>
      <c r="L1493" s="3" t="s">
        <v>80</v>
      </c>
      <c r="O1493" s="4">
        <v>3</v>
      </c>
      <c r="P1493" s="4" t="s">
        <v>112</v>
      </c>
      <c r="Q1493" s="4"/>
      <c r="R1493" s="5"/>
      <c r="S1493" s="6"/>
      <c r="T1493" s="17"/>
      <c r="U1493" s="6"/>
      <c r="V1493" s="4"/>
      <c r="W1493" s="4"/>
      <c r="X1493" s="4"/>
      <c r="Y1493" s="7">
        <v>4</v>
      </c>
      <c r="Z1493" s="8">
        <v>296949</v>
      </c>
      <c r="AA1493" s="7" t="s">
        <v>92</v>
      </c>
      <c r="AB1493" s="7"/>
      <c r="AC1493" s="9">
        <v>4</v>
      </c>
      <c r="AD1493" s="10">
        <v>296902</v>
      </c>
      <c r="AE1493" s="9" t="s">
        <v>92</v>
      </c>
      <c r="AF1493" s="9"/>
      <c r="AG1493" s="11">
        <v>3</v>
      </c>
      <c r="AH1493" s="11" t="s">
        <v>93</v>
      </c>
      <c r="AI1493" s="11" t="s">
        <v>393</v>
      </c>
      <c r="AJ1493" s="11"/>
      <c r="AK1493" s="11"/>
      <c r="AL1493" s="12">
        <v>3</v>
      </c>
      <c r="AM1493" s="12" t="s">
        <v>93</v>
      </c>
      <c r="AN1493" s="12" t="s">
        <v>394</v>
      </c>
      <c r="AO1493" s="12"/>
      <c r="AP1493" s="12"/>
      <c r="AQ1493" s="4">
        <v>4</v>
      </c>
      <c r="AR1493" s="4" t="s">
        <v>441</v>
      </c>
      <c r="AS1493" s="4" t="s">
        <v>999</v>
      </c>
      <c r="AT1493" s="13"/>
      <c r="AU1493" s="13"/>
      <c r="AV1493" s="13"/>
      <c r="AW1493" s="13"/>
      <c r="AX1493" s="4"/>
      <c r="AY1493" s="13"/>
      <c r="AZ1493" s="13"/>
      <c r="BA1493" s="13"/>
      <c r="BB1493" s="13"/>
      <c r="BC1493" s="4"/>
      <c r="BD1493" s="4"/>
      <c r="BE1493" s="4"/>
      <c r="BF1493" s="13"/>
      <c r="BG1493" s="4"/>
      <c r="BH1493" s="13"/>
      <c r="BI1493" s="13"/>
      <c r="BJ1493" s="4"/>
      <c r="BK1493" s="14">
        <v>14</v>
      </c>
      <c r="BL1493" s="14">
        <v>14</v>
      </c>
      <c r="BM1493" s="14">
        <v>14</v>
      </c>
      <c r="BN1493" s="3" t="s">
        <v>86</v>
      </c>
      <c r="BP1493" s="15"/>
      <c r="BQ1493" s="15"/>
      <c r="BR1493" s="2" t="s">
        <v>108</v>
      </c>
      <c r="BS1493" s="2" t="s">
        <v>108</v>
      </c>
      <c r="BT1493" s="7" t="s">
        <v>109</v>
      </c>
      <c r="BU1493" s="7"/>
      <c r="BV1493" s="9" t="s">
        <v>109</v>
      </c>
      <c r="BW1493" s="9"/>
    </row>
    <row r="1494" spans="1:75" ht="14.25" customHeight="1" x14ac:dyDescent="0.25">
      <c r="A1494" s="1">
        <v>1539</v>
      </c>
      <c r="B1494" s="1" t="s">
        <v>5895</v>
      </c>
      <c r="C1494" s="1" t="s">
        <v>5896</v>
      </c>
      <c r="D1494" s="1" t="s">
        <v>77</v>
      </c>
      <c r="E1494" s="1" t="s">
        <v>2396</v>
      </c>
      <c r="F1494" s="1" t="s">
        <v>3873</v>
      </c>
      <c r="G1494" s="1"/>
      <c r="H1494" s="2">
        <v>0</v>
      </c>
      <c r="I1494" s="2">
        <v>0</v>
      </c>
      <c r="J1494" s="2">
        <v>0</v>
      </c>
      <c r="K1494" s="2">
        <v>1</v>
      </c>
      <c r="L1494" s="3" t="s">
        <v>80</v>
      </c>
      <c r="O1494" s="4">
        <v>3</v>
      </c>
      <c r="P1494" s="4" t="s">
        <v>81</v>
      </c>
      <c r="Q1494" s="4"/>
      <c r="R1494" s="5"/>
      <c r="S1494" s="6"/>
      <c r="T1494" s="17"/>
      <c r="U1494" s="6"/>
      <c r="V1494" s="4"/>
      <c r="W1494" s="4"/>
      <c r="X1494" s="4"/>
      <c r="Y1494" s="7">
        <v>4</v>
      </c>
      <c r="Z1494" s="8">
        <v>241649</v>
      </c>
      <c r="AA1494" s="7" t="s">
        <v>82</v>
      </c>
      <c r="AB1494" s="7"/>
      <c r="AC1494" s="9">
        <v>4</v>
      </c>
      <c r="AD1494" s="10">
        <v>241649</v>
      </c>
      <c r="AE1494" s="9" t="s">
        <v>82</v>
      </c>
      <c r="AF1494" s="9"/>
      <c r="AG1494" s="11">
        <v>3</v>
      </c>
      <c r="AH1494" s="11" t="s">
        <v>83</v>
      </c>
      <c r="AI1494" s="11"/>
      <c r="AJ1494" s="11"/>
      <c r="AK1494" s="11"/>
      <c r="AL1494" s="12">
        <v>3</v>
      </c>
      <c r="AM1494" s="12" t="s">
        <v>83</v>
      </c>
      <c r="AN1494" s="12"/>
      <c r="AO1494" s="12"/>
      <c r="AP1494" s="12"/>
      <c r="AQ1494" s="4">
        <v>4</v>
      </c>
      <c r="AR1494" s="4" t="s">
        <v>83</v>
      </c>
      <c r="AS1494" s="4"/>
      <c r="AT1494" s="13"/>
      <c r="AU1494" s="13"/>
      <c r="AV1494" s="13"/>
      <c r="AW1494" s="13"/>
      <c r="AX1494" s="4"/>
      <c r="AY1494" s="13"/>
      <c r="AZ1494" s="13"/>
      <c r="BA1494" s="13"/>
      <c r="BB1494" s="13"/>
      <c r="BC1494" s="4"/>
      <c r="BD1494" s="4"/>
      <c r="BE1494" s="4"/>
      <c r="BF1494" s="13"/>
      <c r="BG1494" s="4"/>
      <c r="BH1494" s="13"/>
      <c r="BI1494" s="13"/>
      <c r="BJ1494" s="4"/>
      <c r="BK1494" s="14">
        <v>14</v>
      </c>
      <c r="BL1494" s="14">
        <v>14</v>
      </c>
      <c r="BM1494" s="14">
        <v>14</v>
      </c>
      <c r="BN1494" s="3" t="s">
        <v>86</v>
      </c>
      <c r="BP1494" s="15"/>
      <c r="BQ1494" s="15"/>
      <c r="BR1494" s="2" t="s">
        <v>121</v>
      </c>
      <c r="BS1494" s="2" t="s">
        <v>121</v>
      </c>
      <c r="BT1494" s="7" t="s">
        <v>98</v>
      </c>
      <c r="BU1494" s="7"/>
      <c r="BV1494" s="9" t="s">
        <v>98</v>
      </c>
      <c r="BW1494" s="9"/>
    </row>
    <row r="1495" spans="1:75" ht="14.25" customHeight="1" x14ac:dyDescent="0.25">
      <c r="A1495" s="1">
        <v>1540</v>
      </c>
      <c r="B1495" s="1" t="s">
        <v>5897</v>
      </c>
      <c r="C1495" s="1" t="s">
        <v>5898</v>
      </c>
      <c r="D1495" s="1" t="s">
        <v>77</v>
      </c>
      <c r="E1495" s="1" t="s">
        <v>2396</v>
      </c>
      <c r="F1495" s="1" t="s">
        <v>3873</v>
      </c>
      <c r="G1495" s="1"/>
      <c r="H1495" s="2">
        <v>0</v>
      </c>
      <c r="I1495" s="2">
        <v>0</v>
      </c>
      <c r="J1495" s="2">
        <v>0</v>
      </c>
      <c r="K1495" s="2">
        <v>1</v>
      </c>
      <c r="L1495" s="3" t="s">
        <v>80</v>
      </c>
      <c r="O1495" s="4">
        <v>4</v>
      </c>
      <c r="P1495" s="4" t="s">
        <v>81</v>
      </c>
      <c r="Q1495" s="4"/>
      <c r="R1495" s="5"/>
      <c r="S1495" s="6"/>
      <c r="T1495" s="17"/>
      <c r="U1495" s="6"/>
      <c r="V1495" s="4"/>
      <c r="W1495" s="4"/>
      <c r="X1495" s="4"/>
      <c r="Y1495" s="7">
        <v>4</v>
      </c>
      <c r="Z1495" s="8">
        <v>139799</v>
      </c>
      <c r="AA1495" s="7" t="s">
        <v>82</v>
      </c>
      <c r="AB1495" s="7"/>
      <c r="AC1495" s="9">
        <v>4</v>
      </c>
      <c r="AD1495" s="10">
        <v>139799</v>
      </c>
      <c r="AE1495" s="9" t="s">
        <v>82</v>
      </c>
      <c r="AF1495" s="9"/>
      <c r="AG1495" s="11">
        <v>4</v>
      </c>
      <c r="AH1495" s="11" t="s">
        <v>83</v>
      </c>
      <c r="AI1495" s="11"/>
      <c r="AJ1495" s="11"/>
      <c r="AK1495" s="11"/>
      <c r="AL1495" s="12">
        <v>4</v>
      </c>
      <c r="AM1495" s="12" t="s">
        <v>83</v>
      </c>
      <c r="AN1495" s="12"/>
      <c r="AO1495" s="12"/>
      <c r="AP1495" s="12"/>
      <c r="AQ1495" s="4">
        <v>4</v>
      </c>
      <c r="AR1495" s="4" t="s">
        <v>83</v>
      </c>
      <c r="AS1495" s="4"/>
      <c r="AT1495" s="13"/>
      <c r="AU1495" s="13"/>
      <c r="AV1495" s="13"/>
      <c r="AW1495" s="13"/>
      <c r="AX1495" s="4"/>
      <c r="AY1495" s="13"/>
      <c r="AZ1495" s="13"/>
      <c r="BA1495" s="13"/>
      <c r="BB1495" s="13"/>
      <c r="BC1495" s="4"/>
      <c r="BD1495" s="4"/>
      <c r="BE1495" s="4"/>
      <c r="BF1495" s="13"/>
      <c r="BG1495" s="4"/>
      <c r="BH1495" s="13"/>
      <c r="BI1495" s="13"/>
      <c r="BJ1495" s="4"/>
      <c r="BK1495" s="14">
        <v>16</v>
      </c>
      <c r="BL1495" s="14">
        <v>16</v>
      </c>
      <c r="BM1495" s="14">
        <v>16</v>
      </c>
      <c r="BN1495" s="3" t="s">
        <v>86</v>
      </c>
      <c r="BP1495" s="15"/>
      <c r="BQ1495" s="15"/>
      <c r="BR1495" s="2" t="s">
        <v>121</v>
      </c>
      <c r="BS1495" s="2" t="s">
        <v>121</v>
      </c>
      <c r="BT1495" s="7" t="s">
        <v>98</v>
      </c>
      <c r="BU1495" s="7"/>
      <c r="BV1495" s="9" t="s">
        <v>98</v>
      </c>
      <c r="BW1495" s="9"/>
    </row>
    <row r="1496" spans="1:75" ht="14.25" customHeight="1" x14ac:dyDescent="0.25">
      <c r="A1496" s="1">
        <v>1541</v>
      </c>
      <c r="B1496" s="1" t="s">
        <v>5899</v>
      </c>
      <c r="C1496" s="1" t="s">
        <v>5900</v>
      </c>
      <c r="D1496" s="1" t="s">
        <v>77</v>
      </c>
      <c r="E1496" s="1" t="s">
        <v>2396</v>
      </c>
      <c r="F1496" s="1" t="s">
        <v>3873</v>
      </c>
      <c r="G1496" s="1" t="s">
        <v>118</v>
      </c>
      <c r="H1496" s="2">
        <v>0</v>
      </c>
      <c r="I1496" s="2">
        <v>0</v>
      </c>
      <c r="J1496" s="2">
        <v>0</v>
      </c>
      <c r="K1496" s="2">
        <v>1</v>
      </c>
      <c r="L1496" s="3" t="s">
        <v>80</v>
      </c>
      <c r="O1496" s="4">
        <v>4</v>
      </c>
      <c r="P1496" s="4" t="s">
        <v>81</v>
      </c>
      <c r="Q1496" s="4"/>
      <c r="R1496" s="5"/>
      <c r="S1496" s="6"/>
      <c r="T1496" s="17"/>
      <c r="U1496" s="6"/>
      <c r="V1496" s="4"/>
      <c r="W1496" s="4"/>
      <c r="X1496" s="4"/>
      <c r="Y1496" s="7">
        <v>5</v>
      </c>
      <c r="Z1496" s="8">
        <v>74361</v>
      </c>
      <c r="AA1496" s="7" t="s">
        <v>82</v>
      </c>
      <c r="AB1496" s="7"/>
      <c r="AC1496" s="9">
        <v>5</v>
      </c>
      <c r="AD1496" s="10">
        <v>74361</v>
      </c>
      <c r="AE1496" s="9" t="s">
        <v>82</v>
      </c>
      <c r="AF1496" s="9"/>
      <c r="AG1496" s="11">
        <v>4</v>
      </c>
      <c r="AH1496" s="11" t="s">
        <v>83</v>
      </c>
      <c r="AI1496" s="11"/>
      <c r="AJ1496" s="11"/>
      <c r="AK1496" s="11"/>
      <c r="AL1496" s="12">
        <v>4</v>
      </c>
      <c r="AM1496" s="12" t="s">
        <v>83</v>
      </c>
      <c r="AN1496" s="12"/>
      <c r="AO1496" s="12"/>
      <c r="AP1496" s="12"/>
      <c r="AQ1496" s="4">
        <v>5</v>
      </c>
      <c r="AR1496" s="4" t="s">
        <v>83</v>
      </c>
      <c r="AS1496" s="4"/>
      <c r="AT1496" s="13"/>
      <c r="AU1496" s="13"/>
      <c r="AV1496" s="13"/>
      <c r="AW1496" s="13"/>
      <c r="AX1496" s="4"/>
      <c r="AY1496" s="13"/>
      <c r="AZ1496" s="13"/>
      <c r="BA1496" s="13"/>
      <c r="BB1496" s="13"/>
      <c r="BC1496" s="4"/>
      <c r="BD1496" s="4"/>
      <c r="BE1496" s="4"/>
      <c r="BF1496" s="13"/>
      <c r="BG1496" s="4"/>
      <c r="BH1496" s="13"/>
      <c r="BI1496" s="13"/>
      <c r="BJ1496" s="4"/>
      <c r="BK1496" s="14">
        <v>18</v>
      </c>
      <c r="BL1496" s="14">
        <v>18</v>
      </c>
      <c r="BM1496" s="14">
        <v>18</v>
      </c>
      <c r="BN1496" s="3" t="s">
        <v>312</v>
      </c>
      <c r="BP1496" s="15"/>
      <c r="BQ1496" s="15"/>
      <c r="BR1496" s="2" t="s">
        <v>115</v>
      </c>
      <c r="BS1496" s="2" t="s">
        <v>115</v>
      </c>
      <c r="BT1496" s="7" t="s">
        <v>98</v>
      </c>
      <c r="BU1496" s="7"/>
      <c r="BV1496" s="9" t="s">
        <v>98</v>
      </c>
      <c r="BW1496" s="9"/>
    </row>
    <row r="1497" spans="1:75" ht="14.25" customHeight="1" x14ac:dyDescent="0.25">
      <c r="A1497" s="1">
        <v>1542</v>
      </c>
      <c r="B1497" s="1" t="s">
        <v>5901</v>
      </c>
      <c r="C1497" s="1" t="s">
        <v>5902</v>
      </c>
      <c r="D1497" s="1" t="s">
        <v>77</v>
      </c>
      <c r="E1497" s="1" t="s">
        <v>2396</v>
      </c>
      <c r="F1497" s="1" t="s">
        <v>3873</v>
      </c>
      <c r="G1497" s="1" t="s">
        <v>5903</v>
      </c>
      <c r="H1497" s="2">
        <v>0</v>
      </c>
      <c r="I1497" s="2">
        <v>0</v>
      </c>
      <c r="J1497" s="2">
        <v>1</v>
      </c>
      <c r="K1497" s="2">
        <v>1</v>
      </c>
      <c r="L1497" s="3" t="s">
        <v>80</v>
      </c>
      <c r="O1497" s="4">
        <v>3</v>
      </c>
      <c r="P1497" s="4" t="s">
        <v>5904</v>
      </c>
      <c r="Q1497" s="4" t="s">
        <v>872</v>
      </c>
      <c r="R1497" s="5"/>
      <c r="S1497" s="6"/>
      <c r="T1497" s="17"/>
      <c r="U1497" s="6"/>
      <c r="V1497" s="4"/>
      <c r="W1497" s="4"/>
      <c r="X1497" s="4"/>
      <c r="Y1497" s="7">
        <v>4</v>
      </c>
      <c r="Z1497" s="8">
        <v>222716</v>
      </c>
      <c r="AA1497" s="7" t="s">
        <v>873</v>
      </c>
      <c r="AB1497" s="7"/>
      <c r="AC1497" s="9">
        <v>4</v>
      </c>
      <c r="AD1497" s="10">
        <v>222716</v>
      </c>
      <c r="AE1497" s="9" t="s">
        <v>873</v>
      </c>
      <c r="AF1497" s="9"/>
      <c r="AG1497" s="11">
        <v>2</v>
      </c>
      <c r="AH1497" s="11" t="s">
        <v>874</v>
      </c>
      <c r="AI1497" s="11" t="s">
        <v>875</v>
      </c>
      <c r="AJ1497" s="11"/>
      <c r="AK1497" s="11"/>
      <c r="AL1497" s="12">
        <v>2</v>
      </c>
      <c r="AM1497" s="12" t="s">
        <v>876</v>
      </c>
      <c r="AN1497" s="12" t="s">
        <v>5905</v>
      </c>
      <c r="AO1497" s="12"/>
      <c r="AP1497" s="12"/>
      <c r="AQ1497" s="4">
        <v>2</v>
      </c>
      <c r="AR1497" s="4" t="s">
        <v>874</v>
      </c>
      <c r="AS1497" s="4" t="s">
        <v>875</v>
      </c>
      <c r="AT1497" s="13"/>
      <c r="AU1497" s="13"/>
      <c r="AV1497" s="13"/>
      <c r="AW1497" s="13"/>
      <c r="AX1497" s="4"/>
      <c r="AY1497" s="13"/>
      <c r="AZ1497" s="13"/>
      <c r="BA1497" s="13"/>
      <c r="BB1497" s="13"/>
      <c r="BC1497" s="4"/>
      <c r="BD1497" s="4"/>
      <c r="BE1497" s="4"/>
      <c r="BF1497" s="13"/>
      <c r="BG1497" s="4"/>
      <c r="BH1497" s="13"/>
      <c r="BI1497" s="13"/>
      <c r="BJ1497" s="4"/>
      <c r="BK1497" s="14">
        <v>11</v>
      </c>
      <c r="BL1497" s="14">
        <v>11</v>
      </c>
      <c r="BM1497" s="14">
        <v>11</v>
      </c>
      <c r="BP1497" s="15"/>
      <c r="BQ1497" s="15"/>
      <c r="BR1497" s="2" t="s">
        <v>108</v>
      </c>
      <c r="BS1497" s="2" t="s">
        <v>108</v>
      </c>
      <c r="BT1497" s="7" t="s">
        <v>458</v>
      </c>
      <c r="BU1497" s="7"/>
      <c r="BV1497" s="9" t="s">
        <v>458</v>
      </c>
      <c r="BW1497" s="9"/>
    </row>
    <row r="1498" spans="1:75" ht="14.25" customHeight="1" x14ac:dyDescent="0.25">
      <c r="A1498" s="1">
        <v>1543</v>
      </c>
      <c r="B1498" s="1" t="s">
        <v>5906</v>
      </c>
      <c r="C1498" s="1" t="s">
        <v>5907</v>
      </c>
      <c r="D1498" s="1" t="s">
        <v>77</v>
      </c>
      <c r="E1498" s="1" t="s">
        <v>2396</v>
      </c>
      <c r="F1498" s="1" t="s">
        <v>3873</v>
      </c>
      <c r="G1498" s="1" t="s">
        <v>5908</v>
      </c>
      <c r="H1498" s="2">
        <v>0</v>
      </c>
      <c r="I1498" s="2">
        <v>0</v>
      </c>
      <c r="J1498" s="2">
        <v>0</v>
      </c>
      <c r="K1498" s="2">
        <v>1</v>
      </c>
      <c r="L1498" s="3" t="s">
        <v>80</v>
      </c>
      <c r="O1498" s="4">
        <v>4</v>
      </c>
      <c r="P1498" s="4" t="s">
        <v>871</v>
      </c>
      <c r="Q1498" s="4" t="s">
        <v>872</v>
      </c>
      <c r="R1498" s="5"/>
      <c r="S1498" s="6"/>
      <c r="T1498" s="17"/>
      <c r="U1498" s="6"/>
      <c r="V1498" s="4"/>
      <c r="W1498" s="4"/>
      <c r="X1498" s="4"/>
      <c r="Y1498" s="7">
        <v>5</v>
      </c>
      <c r="Z1498" s="8">
        <v>29950</v>
      </c>
      <c r="AA1498" s="7" t="s">
        <v>5666</v>
      </c>
      <c r="AB1498" s="7"/>
      <c r="AC1498" s="9">
        <v>5</v>
      </c>
      <c r="AD1498" s="10">
        <v>29950</v>
      </c>
      <c r="AE1498" s="9" t="s">
        <v>5666</v>
      </c>
      <c r="AF1498" s="9"/>
      <c r="AG1498" s="11">
        <v>3</v>
      </c>
      <c r="AH1498" s="11" t="s">
        <v>876</v>
      </c>
      <c r="AI1498" s="11" t="s">
        <v>875</v>
      </c>
      <c r="AJ1498" s="11"/>
      <c r="AK1498" s="11"/>
      <c r="AL1498" s="12">
        <v>2</v>
      </c>
      <c r="AM1498" s="12" t="s">
        <v>876</v>
      </c>
      <c r="AN1498" s="12" t="s">
        <v>5909</v>
      </c>
      <c r="AO1498" s="12"/>
      <c r="AP1498" s="12"/>
      <c r="AQ1498" s="4">
        <v>2</v>
      </c>
      <c r="AR1498" s="4" t="s">
        <v>876</v>
      </c>
      <c r="AS1498" s="4" t="s">
        <v>875</v>
      </c>
      <c r="AT1498" s="13"/>
      <c r="AU1498" s="13"/>
      <c r="AV1498" s="13"/>
      <c r="AW1498" s="13"/>
      <c r="AX1498" s="4"/>
      <c r="AY1498" s="13"/>
      <c r="AZ1498" s="13"/>
      <c r="BA1498" s="13"/>
      <c r="BB1498" s="13"/>
      <c r="BC1498" s="4"/>
      <c r="BD1498" s="4"/>
      <c r="BE1498" s="4"/>
      <c r="BF1498" s="13"/>
      <c r="BG1498" s="4"/>
      <c r="BH1498" s="13"/>
      <c r="BI1498" s="13"/>
      <c r="BJ1498" s="4"/>
      <c r="BK1498" s="14">
        <v>14</v>
      </c>
      <c r="BL1498" s="14">
        <v>13</v>
      </c>
      <c r="BM1498" s="14">
        <v>14</v>
      </c>
      <c r="BN1498" s="3" t="s">
        <v>86</v>
      </c>
      <c r="BP1498" s="15"/>
      <c r="BQ1498" s="15"/>
      <c r="BR1498" s="2" t="s">
        <v>115</v>
      </c>
      <c r="BS1498" s="2" t="s">
        <v>115</v>
      </c>
      <c r="BT1498" s="7" t="s">
        <v>458</v>
      </c>
      <c r="BU1498" s="7"/>
      <c r="BV1498" s="9" t="s">
        <v>458</v>
      </c>
      <c r="BW1498" s="9"/>
    </row>
    <row r="1499" spans="1:75" ht="14.25" customHeight="1" x14ac:dyDescent="0.25">
      <c r="A1499" s="1">
        <v>1544</v>
      </c>
      <c r="B1499" s="1" t="s">
        <v>5910</v>
      </c>
      <c r="C1499" s="1" t="s">
        <v>5911</v>
      </c>
      <c r="D1499" s="1" t="s">
        <v>77</v>
      </c>
      <c r="E1499" s="1" t="s">
        <v>2396</v>
      </c>
      <c r="F1499" s="1" t="s">
        <v>3873</v>
      </c>
      <c r="G1499" s="1" t="s">
        <v>5912</v>
      </c>
      <c r="H1499" s="2">
        <v>0</v>
      </c>
      <c r="I1499" s="2">
        <v>0</v>
      </c>
      <c r="J1499" s="2">
        <v>0</v>
      </c>
      <c r="K1499" s="2">
        <v>1</v>
      </c>
      <c r="L1499" s="3" t="s">
        <v>80</v>
      </c>
      <c r="O1499" s="4">
        <v>4</v>
      </c>
      <c r="P1499" s="4" t="s">
        <v>871</v>
      </c>
      <c r="Q1499" s="4" t="s">
        <v>872</v>
      </c>
      <c r="R1499" s="5"/>
      <c r="S1499" s="6"/>
      <c r="T1499" s="17"/>
      <c r="U1499" s="6"/>
      <c r="V1499" s="4"/>
      <c r="W1499" s="4"/>
      <c r="X1499" s="4"/>
      <c r="Y1499" s="7">
        <v>5</v>
      </c>
      <c r="Z1499" s="8">
        <v>40558</v>
      </c>
      <c r="AA1499" s="7" t="s">
        <v>873</v>
      </c>
      <c r="AB1499" s="7"/>
      <c r="AC1499" s="9">
        <v>5</v>
      </c>
      <c r="AD1499" s="10">
        <v>40558</v>
      </c>
      <c r="AE1499" s="9" t="s">
        <v>873</v>
      </c>
      <c r="AF1499" s="9"/>
      <c r="AG1499" s="11">
        <v>2</v>
      </c>
      <c r="AH1499" s="11" t="s">
        <v>876</v>
      </c>
      <c r="AI1499" s="11" t="s">
        <v>5913</v>
      </c>
      <c r="AJ1499" s="11"/>
      <c r="AK1499" s="11"/>
      <c r="AL1499" s="12">
        <v>2</v>
      </c>
      <c r="AM1499" s="12" t="s">
        <v>876</v>
      </c>
      <c r="AN1499" s="12" t="s">
        <v>881</v>
      </c>
      <c r="AO1499" s="12"/>
      <c r="AP1499" s="12"/>
      <c r="AQ1499" s="4">
        <v>2</v>
      </c>
      <c r="AR1499" s="4" t="s">
        <v>876</v>
      </c>
      <c r="AS1499" s="4" t="s">
        <v>3543</v>
      </c>
      <c r="AT1499" s="13"/>
      <c r="AU1499" s="13"/>
      <c r="AV1499" s="13"/>
      <c r="AW1499" s="13"/>
      <c r="AX1499" s="4"/>
      <c r="AY1499" s="13"/>
      <c r="AZ1499" s="13"/>
      <c r="BA1499" s="13"/>
      <c r="BB1499" s="13"/>
      <c r="BC1499" s="4"/>
      <c r="BD1499" s="4"/>
      <c r="BE1499" s="4"/>
      <c r="BF1499" s="13"/>
      <c r="BG1499" s="4"/>
      <c r="BH1499" s="13"/>
      <c r="BI1499" s="13"/>
      <c r="BJ1499" s="4"/>
      <c r="BK1499" s="14">
        <v>13</v>
      </c>
      <c r="BL1499" s="14">
        <v>13</v>
      </c>
      <c r="BM1499" s="14">
        <v>13</v>
      </c>
      <c r="BP1499" s="15"/>
      <c r="BQ1499" s="15"/>
      <c r="BR1499" s="2" t="s">
        <v>108</v>
      </c>
      <c r="BS1499" s="2" t="s">
        <v>108</v>
      </c>
      <c r="BT1499" s="7" t="s">
        <v>458</v>
      </c>
      <c r="BU1499" s="7"/>
      <c r="BV1499" s="9" t="s">
        <v>458</v>
      </c>
      <c r="BW1499" s="9"/>
    </row>
    <row r="1500" spans="1:75" ht="14.25" customHeight="1" x14ac:dyDescent="0.25">
      <c r="A1500" s="1">
        <v>1545</v>
      </c>
      <c r="B1500" s="1" t="s">
        <v>5914</v>
      </c>
      <c r="C1500" s="1" t="s">
        <v>5915</v>
      </c>
      <c r="D1500" s="1" t="s">
        <v>77</v>
      </c>
      <c r="E1500" s="1" t="s">
        <v>2396</v>
      </c>
      <c r="F1500" s="1" t="s">
        <v>3873</v>
      </c>
      <c r="G1500" s="1"/>
      <c r="H1500" s="2">
        <v>0</v>
      </c>
      <c r="I1500" s="2">
        <v>0</v>
      </c>
      <c r="J1500" s="2">
        <v>0</v>
      </c>
      <c r="K1500" s="2">
        <v>1</v>
      </c>
      <c r="L1500" s="3" t="s">
        <v>80</v>
      </c>
      <c r="O1500" s="4">
        <v>3</v>
      </c>
      <c r="P1500" s="4" t="s">
        <v>81</v>
      </c>
      <c r="Q1500" s="4"/>
      <c r="R1500" s="5"/>
      <c r="S1500" s="6"/>
      <c r="T1500" s="17"/>
      <c r="U1500" s="6"/>
      <c r="V1500" s="4"/>
      <c r="W1500" s="4"/>
      <c r="X1500" s="4"/>
      <c r="Y1500" s="7">
        <v>3</v>
      </c>
      <c r="Z1500" s="8">
        <v>300669</v>
      </c>
      <c r="AA1500" s="7" t="s">
        <v>82</v>
      </c>
      <c r="AB1500" s="7"/>
      <c r="AC1500" s="9">
        <v>3</v>
      </c>
      <c r="AD1500" s="10">
        <v>300669</v>
      </c>
      <c r="AE1500" s="9" t="s">
        <v>82</v>
      </c>
      <c r="AF1500" s="9"/>
      <c r="AG1500" s="11">
        <v>3</v>
      </c>
      <c r="AH1500" s="11" t="s">
        <v>83</v>
      </c>
      <c r="AI1500" s="11"/>
      <c r="AJ1500" s="11"/>
      <c r="AK1500" s="11"/>
      <c r="AL1500" s="12">
        <v>3</v>
      </c>
      <c r="AM1500" s="12" t="s">
        <v>83</v>
      </c>
      <c r="AN1500" s="12"/>
      <c r="AO1500" s="12"/>
      <c r="AP1500" s="12"/>
      <c r="AQ1500" s="4">
        <v>3</v>
      </c>
      <c r="AR1500" s="4" t="s">
        <v>83</v>
      </c>
      <c r="AS1500" s="4"/>
      <c r="AT1500" s="13"/>
      <c r="AU1500" s="13"/>
      <c r="AV1500" s="13"/>
      <c r="AW1500" s="13"/>
      <c r="AX1500" s="4"/>
      <c r="AY1500" s="13"/>
      <c r="AZ1500" s="13"/>
      <c r="BA1500" s="13"/>
      <c r="BB1500" s="13"/>
      <c r="BC1500" s="4"/>
      <c r="BD1500" s="4"/>
      <c r="BE1500" s="4"/>
      <c r="BF1500" s="13"/>
      <c r="BG1500" s="4"/>
      <c r="BH1500" s="13"/>
      <c r="BI1500" s="13"/>
      <c r="BJ1500" s="4"/>
      <c r="BK1500" s="14">
        <v>12</v>
      </c>
      <c r="BL1500" s="14">
        <v>12</v>
      </c>
      <c r="BM1500" s="14">
        <v>12</v>
      </c>
      <c r="BP1500" s="15"/>
      <c r="BQ1500" s="15"/>
      <c r="BR1500" s="2" t="s">
        <v>115</v>
      </c>
      <c r="BS1500" s="2" t="s">
        <v>115</v>
      </c>
      <c r="BT1500" s="7" t="s">
        <v>98</v>
      </c>
      <c r="BU1500" s="7"/>
      <c r="BV1500" s="9" t="s">
        <v>98</v>
      </c>
      <c r="BW1500" s="9"/>
    </row>
    <row r="1501" spans="1:75" ht="14.25" customHeight="1" x14ac:dyDescent="0.25">
      <c r="A1501" s="1">
        <v>1546</v>
      </c>
      <c r="B1501" s="1" t="s">
        <v>5916</v>
      </c>
      <c r="C1501" s="1" t="s">
        <v>5917</v>
      </c>
      <c r="D1501" s="1" t="s">
        <v>77</v>
      </c>
      <c r="E1501" s="1" t="s">
        <v>2396</v>
      </c>
      <c r="F1501" s="1" t="s">
        <v>3873</v>
      </c>
      <c r="G1501" s="1" t="s">
        <v>118</v>
      </c>
      <c r="H1501" s="2">
        <v>0</v>
      </c>
      <c r="I1501" s="2">
        <v>0</v>
      </c>
      <c r="J1501" s="2">
        <v>0</v>
      </c>
      <c r="K1501" s="2">
        <v>1</v>
      </c>
      <c r="L1501" s="3" t="s">
        <v>80</v>
      </c>
      <c r="O1501" s="4">
        <v>5</v>
      </c>
      <c r="P1501" s="4" t="s">
        <v>81</v>
      </c>
      <c r="Q1501" s="4"/>
      <c r="R1501" s="5"/>
      <c r="S1501" s="6"/>
      <c r="T1501" s="17"/>
      <c r="U1501" s="6"/>
      <c r="V1501" s="4"/>
      <c r="W1501" s="4"/>
      <c r="X1501" s="4"/>
      <c r="Y1501" s="7">
        <v>5</v>
      </c>
      <c r="Z1501" s="8">
        <v>12905</v>
      </c>
      <c r="AA1501" s="7" t="s">
        <v>82</v>
      </c>
      <c r="AB1501" s="7"/>
      <c r="AC1501" s="9">
        <v>5</v>
      </c>
      <c r="AD1501" s="10">
        <v>12905</v>
      </c>
      <c r="AE1501" s="9" t="s">
        <v>82</v>
      </c>
      <c r="AF1501" s="9"/>
      <c r="AG1501" s="11">
        <v>3</v>
      </c>
      <c r="AH1501" s="11" t="s">
        <v>83</v>
      </c>
      <c r="AI1501" s="11"/>
      <c r="AJ1501" s="11"/>
      <c r="AK1501" s="11"/>
      <c r="AL1501" s="12">
        <v>3</v>
      </c>
      <c r="AM1501" s="12" t="s">
        <v>83</v>
      </c>
      <c r="AN1501" s="12"/>
      <c r="AO1501" s="12"/>
      <c r="AP1501" s="12"/>
      <c r="AQ1501" s="4">
        <v>4</v>
      </c>
      <c r="AR1501" s="4" t="s">
        <v>83</v>
      </c>
      <c r="AS1501" s="4"/>
      <c r="AT1501" s="13"/>
      <c r="AU1501" s="13"/>
      <c r="AV1501" s="13"/>
      <c r="AW1501" s="13"/>
      <c r="AX1501" s="4"/>
      <c r="AY1501" s="13"/>
      <c r="AZ1501" s="13"/>
      <c r="BA1501" s="13"/>
      <c r="BB1501" s="13"/>
      <c r="BC1501" s="4"/>
      <c r="BD1501" s="4"/>
      <c r="BE1501" s="4"/>
      <c r="BF1501" s="13"/>
      <c r="BG1501" s="4"/>
      <c r="BH1501" s="13"/>
      <c r="BI1501" s="13"/>
      <c r="BJ1501" s="4"/>
      <c r="BK1501" s="14">
        <v>17</v>
      </c>
      <c r="BL1501" s="14">
        <v>17</v>
      </c>
      <c r="BM1501" s="14">
        <v>17</v>
      </c>
      <c r="BN1501" s="3" t="s">
        <v>312</v>
      </c>
      <c r="BP1501" s="15"/>
      <c r="BQ1501" s="15"/>
      <c r="BR1501" s="2" t="s">
        <v>108</v>
      </c>
      <c r="BS1501" s="2" t="s">
        <v>108</v>
      </c>
      <c r="BT1501" s="7" t="s">
        <v>98</v>
      </c>
      <c r="BU1501" s="7"/>
      <c r="BV1501" s="9" t="s">
        <v>98</v>
      </c>
      <c r="BW1501" s="9"/>
    </row>
    <row r="1502" spans="1:75" ht="14.25" customHeight="1" x14ac:dyDescent="0.25">
      <c r="A1502" s="1">
        <v>1547</v>
      </c>
      <c r="B1502" s="1" t="s">
        <v>5918</v>
      </c>
      <c r="C1502" s="1" t="s">
        <v>5919</v>
      </c>
      <c r="D1502" s="1" t="s">
        <v>77</v>
      </c>
      <c r="E1502" s="1" t="s">
        <v>2396</v>
      </c>
      <c r="F1502" s="1" t="s">
        <v>3873</v>
      </c>
      <c r="G1502" s="1"/>
      <c r="H1502" s="2">
        <v>0</v>
      </c>
      <c r="I1502" s="2">
        <v>0</v>
      </c>
      <c r="J1502" s="2">
        <v>0</v>
      </c>
      <c r="K1502" s="2">
        <v>1</v>
      </c>
      <c r="L1502" s="3" t="s">
        <v>80</v>
      </c>
      <c r="O1502" s="4">
        <v>1</v>
      </c>
      <c r="P1502" s="4" t="s">
        <v>81</v>
      </c>
      <c r="Q1502" s="4"/>
      <c r="R1502" s="5"/>
      <c r="S1502" s="6"/>
      <c r="T1502" s="17"/>
      <c r="U1502" s="6"/>
      <c r="V1502" s="4"/>
      <c r="W1502" s="4"/>
      <c r="X1502" s="4"/>
      <c r="Y1502" s="7">
        <v>1</v>
      </c>
      <c r="Z1502" s="8">
        <v>8557243</v>
      </c>
      <c r="AA1502" s="7" t="s">
        <v>82</v>
      </c>
      <c r="AB1502" s="7"/>
      <c r="AC1502" s="9">
        <v>1</v>
      </c>
      <c r="AD1502" s="10">
        <v>8557243</v>
      </c>
      <c r="AE1502" s="9" t="s">
        <v>82</v>
      </c>
      <c r="AF1502" s="9"/>
      <c r="AG1502" s="11">
        <v>4</v>
      </c>
      <c r="AH1502" s="11" t="s">
        <v>83</v>
      </c>
      <c r="AI1502" s="11"/>
      <c r="AJ1502" s="11"/>
      <c r="AK1502" s="11"/>
      <c r="AL1502" s="12">
        <v>4</v>
      </c>
      <c r="AM1502" s="12" t="s">
        <v>83</v>
      </c>
      <c r="AN1502" s="12"/>
      <c r="AO1502" s="12"/>
      <c r="AP1502" s="12"/>
      <c r="AQ1502" s="4">
        <v>5</v>
      </c>
      <c r="AR1502" s="4" t="s">
        <v>83</v>
      </c>
      <c r="AS1502" s="4"/>
      <c r="AT1502" s="13"/>
      <c r="AU1502" s="13"/>
      <c r="AV1502" s="13"/>
      <c r="AW1502" s="13"/>
      <c r="AX1502" s="4"/>
      <c r="AY1502" s="13"/>
      <c r="AZ1502" s="13"/>
      <c r="BA1502" s="13"/>
      <c r="BB1502" s="13"/>
      <c r="BC1502" s="4"/>
      <c r="BD1502" s="4"/>
      <c r="BE1502" s="4"/>
      <c r="BF1502" s="13"/>
      <c r="BG1502" s="4"/>
      <c r="BH1502" s="13"/>
      <c r="BI1502" s="13"/>
      <c r="BJ1502" s="4"/>
      <c r="BK1502" s="14">
        <v>11</v>
      </c>
      <c r="BL1502" s="14">
        <v>11</v>
      </c>
      <c r="BM1502" s="14">
        <v>11</v>
      </c>
      <c r="BN1502" s="3" t="s">
        <v>302</v>
      </c>
      <c r="BP1502" s="15"/>
      <c r="BQ1502" s="15"/>
      <c r="BR1502" s="2" t="s">
        <v>740</v>
      </c>
      <c r="BS1502" s="2" t="s">
        <v>740</v>
      </c>
      <c r="BT1502" s="7" t="s">
        <v>98</v>
      </c>
      <c r="BU1502" s="7"/>
      <c r="BV1502" s="9" t="s">
        <v>98</v>
      </c>
      <c r="BW1502" s="9"/>
    </row>
    <row r="1503" spans="1:75" ht="14.25" customHeight="1" x14ac:dyDescent="0.25">
      <c r="A1503" s="1">
        <v>1553</v>
      </c>
      <c r="B1503" s="1" t="s">
        <v>5920</v>
      </c>
      <c r="C1503" s="1" t="s">
        <v>5921</v>
      </c>
      <c r="D1503" s="1" t="s">
        <v>77</v>
      </c>
      <c r="E1503" s="1" t="s">
        <v>2396</v>
      </c>
      <c r="F1503" s="1" t="s">
        <v>3873</v>
      </c>
      <c r="G1503" s="1"/>
      <c r="H1503" s="2">
        <v>0</v>
      </c>
      <c r="I1503" s="2">
        <v>0</v>
      </c>
      <c r="J1503" s="2">
        <v>1</v>
      </c>
      <c r="K1503" s="2">
        <v>0</v>
      </c>
      <c r="L1503" s="3" t="s">
        <v>80</v>
      </c>
      <c r="O1503" s="4">
        <v>3</v>
      </c>
      <c r="P1503" s="4" t="s">
        <v>112</v>
      </c>
      <c r="Q1503" s="4"/>
      <c r="R1503" s="5"/>
      <c r="S1503" s="6"/>
      <c r="T1503" s="17"/>
      <c r="U1503" s="6"/>
      <c r="V1503" s="4"/>
      <c r="W1503" s="4"/>
      <c r="X1503" s="4"/>
      <c r="Y1503" s="7">
        <v>3</v>
      </c>
      <c r="Z1503" s="8">
        <v>305711</v>
      </c>
      <c r="AA1503" s="7" t="s">
        <v>92</v>
      </c>
      <c r="AB1503" s="7"/>
      <c r="AC1503" s="9">
        <v>3</v>
      </c>
      <c r="AD1503" s="10">
        <v>305711</v>
      </c>
      <c r="AE1503" s="9" t="s">
        <v>92</v>
      </c>
      <c r="AF1503" s="9"/>
      <c r="AG1503" s="11">
        <v>3</v>
      </c>
      <c r="AH1503" s="11" t="s">
        <v>93</v>
      </c>
      <c r="AI1503" s="11"/>
      <c r="AJ1503" s="11"/>
      <c r="AK1503" s="11"/>
      <c r="AL1503" s="12">
        <v>3</v>
      </c>
      <c r="AM1503" s="12" t="s">
        <v>93</v>
      </c>
      <c r="AN1503" s="12" t="s">
        <v>698</v>
      </c>
      <c r="AO1503" s="12"/>
      <c r="AP1503" s="12"/>
      <c r="AQ1503" s="4">
        <v>4</v>
      </c>
      <c r="AR1503" s="4" t="s">
        <v>441</v>
      </c>
      <c r="AS1503" s="4" t="s">
        <v>999</v>
      </c>
      <c r="AT1503" s="13"/>
      <c r="AU1503" s="13"/>
      <c r="AV1503" s="13"/>
      <c r="AW1503" s="13"/>
      <c r="AX1503" s="4"/>
      <c r="AY1503" s="13"/>
      <c r="AZ1503" s="13"/>
      <c r="BA1503" s="13"/>
      <c r="BB1503" s="13"/>
      <c r="BC1503" s="4"/>
      <c r="BD1503" s="4"/>
      <c r="BE1503" s="4"/>
      <c r="BF1503" s="13"/>
      <c r="BG1503" s="4"/>
      <c r="BH1503" s="13"/>
      <c r="BI1503" s="13"/>
      <c r="BJ1503" s="4"/>
      <c r="BK1503" s="14">
        <v>13</v>
      </c>
      <c r="BL1503" s="14">
        <v>13</v>
      </c>
      <c r="BM1503" s="14">
        <v>13</v>
      </c>
      <c r="BP1503" s="15"/>
      <c r="BQ1503" s="15"/>
      <c r="BR1503" s="2" t="s">
        <v>108</v>
      </c>
      <c r="BS1503" s="2" t="s">
        <v>108</v>
      </c>
      <c r="BT1503" s="7" t="s">
        <v>109</v>
      </c>
      <c r="BU1503" s="7"/>
      <c r="BV1503" s="9" t="s">
        <v>109</v>
      </c>
      <c r="BW1503" s="9"/>
    </row>
    <row r="1504" spans="1:75" ht="14.25" customHeight="1" x14ac:dyDescent="0.25">
      <c r="A1504" s="1">
        <v>1554</v>
      </c>
      <c r="B1504" s="1" t="s">
        <v>5922</v>
      </c>
      <c r="C1504" s="1" t="s">
        <v>5923</v>
      </c>
      <c r="D1504" s="1" t="s">
        <v>77</v>
      </c>
      <c r="E1504" s="1" t="s">
        <v>2396</v>
      </c>
      <c r="F1504" s="1" t="s">
        <v>3873</v>
      </c>
      <c r="G1504" s="1"/>
      <c r="H1504" s="2">
        <v>0</v>
      </c>
      <c r="I1504" s="2">
        <v>0</v>
      </c>
      <c r="J1504" s="2">
        <v>1</v>
      </c>
      <c r="K1504" s="2">
        <v>1</v>
      </c>
      <c r="L1504" s="3" t="s">
        <v>80</v>
      </c>
      <c r="O1504" s="4">
        <v>4</v>
      </c>
      <c r="P1504" s="4" t="s">
        <v>101</v>
      </c>
      <c r="Q1504" s="4" t="s">
        <v>5924</v>
      </c>
      <c r="R1504" s="5"/>
      <c r="S1504" s="6"/>
      <c r="T1504" s="17"/>
      <c r="U1504" s="6"/>
      <c r="V1504" s="4"/>
      <c r="W1504" s="4"/>
      <c r="X1504" s="4"/>
      <c r="Y1504" s="7">
        <v>4</v>
      </c>
      <c r="Z1504" s="8">
        <v>186085</v>
      </c>
      <c r="AA1504" s="7" t="s">
        <v>92</v>
      </c>
      <c r="AB1504" s="7"/>
      <c r="AC1504" s="9">
        <v>4</v>
      </c>
      <c r="AD1504" s="10">
        <v>186085</v>
      </c>
      <c r="AE1504" s="9" t="s">
        <v>92</v>
      </c>
      <c r="AF1504" s="9"/>
      <c r="AG1504" s="11">
        <v>3</v>
      </c>
      <c r="AH1504" s="11" t="s">
        <v>93</v>
      </c>
      <c r="AI1504" s="11"/>
      <c r="AJ1504" s="11"/>
      <c r="AK1504" s="11"/>
      <c r="AL1504" s="12">
        <v>3</v>
      </c>
      <c r="AM1504" s="12" t="s">
        <v>93</v>
      </c>
      <c r="AN1504" s="12" t="s">
        <v>698</v>
      </c>
      <c r="AO1504" s="12"/>
      <c r="AP1504" s="12"/>
      <c r="AQ1504" s="4">
        <v>4</v>
      </c>
      <c r="AR1504" s="4" t="s">
        <v>83</v>
      </c>
      <c r="AS1504" s="4" t="s">
        <v>5925</v>
      </c>
      <c r="AT1504" s="13"/>
      <c r="AU1504" s="13"/>
      <c r="AV1504" s="13"/>
      <c r="AW1504" s="13"/>
      <c r="AX1504" s="4"/>
      <c r="AY1504" s="13"/>
      <c r="AZ1504" s="13"/>
      <c r="BA1504" s="13"/>
      <c r="BB1504" s="13"/>
      <c r="BC1504" s="4"/>
      <c r="BD1504" s="4"/>
      <c r="BE1504" s="4"/>
      <c r="BF1504" s="13"/>
      <c r="BG1504" s="4"/>
      <c r="BH1504" s="13"/>
      <c r="BI1504" s="13"/>
      <c r="BJ1504" s="4"/>
      <c r="BK1504" s="14">
        <v>15</v>
      </c>
      <c r="BL1504" s="14">
        <v>15</v>
      </c>
      <c r="BM1504" s="14">
        <v>15</v>
      </c>
      <c r="BN1504" s="3" t="s">
        <v>86</v>
      </c>
      <c r="BP1504" s="15"/>
      <c r="BQ1504" s="15"/>
      <c r="BR1504" s="2" t="s">
        <v>108</v>
      </c>
      <c r="BS1504" s="2" t="s">
        <v>108</v>
      </c>
      <c r="BT1504" s="7" t="s">
        <v>109</v>
      </c>
      <c r="BU1504" s="7"/>
      <c r="BV1504" s="9" t="s">
        <v>109</v>
      </c>
      <c r="BW1504" s="9"/>
    </row>
    <row r="1505" spans="1:75" ht="14.25" customHeight="1" x14ac:dyDescent="0.25">
      <c r="A1505" s="1">
        <v>1555</v>
      </c>
      <c r="B1505" s="1" t="s">
        <v>5926</v>
      </c>
      <c r="C1505" s="1" t="s">
        <v>5927</v>
      </c>
      <c r="D1505" s="1" t="s">
        <v>77</v>
      </c>
      <c r="E1505" s="1" t="s">
        <v>2396</v>
      </c>
      <c r="F1505" s="1" t="s">
        <v>3873</v>
      </c>
      <c r="G1505" s="1"/>
      <c r="H1505" s="2">
        <v>0</v>
      </c>
      <c r="I1505" s="2">
        <v>0</v>
      </c>
      <c r="J1505" s="2">
        <v>0</v>
      </c>
      <c r="K1505" s="2">
        <v>1</v>
      </c>
      <c r="L1505" s="3" t="s">
        <v>80</v>
      </c>
      <c r="O1505" s="4">
        <v>4</v>
      </c>
      <c r="P1505" s="4" t="s">
        <v>81</v>
      </c>
      <c r="Q1505" s="4"/>
      <c r="R1505" s="5"/>
      <c r="S1505" s="6"/>
      <c r="T1505" s="17"/>
      <c r="U1505" s="6"/>
      <c r="V1505" s="4"/>
      <c r="W1505" s="4"/>
      <c r="X1505" s="4"/>
      <c r="Y1505" s="7">
        <v>4</v>
      </c>
      <c r="Z1505" s="8">
        <v>96067</v>
      </c>
      <c r="AA1505" s="7" t="s">
        <v>82</v>
      </c>
      <c r="AB1505" s="7"/>
      <c r="AC1505" s="9">
        <v>4</v>
      </c>
      <c r="AD1505" s="10">
        <v>96067</v>
      </c>
      <c r="AE1505" s="9" t="s">
        <v>82</v>
      </c>
      <c r="AF1505" s="9"/>
      <c r="AG1505" s="11">
        <v>4</v>
      </c>
      <c r="AH1505" s="11" t="s">
        <v>83</v>
      </c>
      <c r="AI1505" s="11"/>
      <c r="AJ1505" s="11"/>
      <c r="AK1505" s="11"/>
      <c r="AL1505" s="12">
        <v>4</v>
      </c>
      <c r="AM1505" s="12" t="s">
        <v>83</v>
      </c>
      <c r="AN1505" s="12"/>
      <c r="AO1505" s="12"/>
      <c r="AP1505" s="12"/>
      <c r="AQ1505" s="4">
        <v>4</v>
      </c>
      <c r="AR1505" s="4" t="s">
        <v>83</v>
      </c>
      <c r="AS1505" s="4"/>
      <c r="AT1505" s="13"/>
      <c r="AU1505" s="13"/>
      <c r="AV1505" s="13"/>
      <c r="AW1505" s="13"/>
      <c r="AX1505" s="4"/>
      <c r="AY1505" s="13"/>
      <c r="AZ1505" s="13"/>
      <c r="BA1505" s="13"/>
      <c r="BB1505" s="13"/>
      <c r="BC1505" s="4"/>
      <c r="BD1505" s="4"/>
      <c r="BE1505" s="4"/>
      <c r="BF1505" s="13"/>
      <c r="BG1505" s="4"/>
      <c r="BH1505" s="13"/>
      <c r="BI1505" s="13"/>
      <c r="BJ1505" s="4"/>
      <c r="BK1505" s="14">
        <v>16</v>
      </c>
      <c r="BL1505" s="14">
        <v>16</v>
      </c>
      <c r="BM1505" s="14">
        <v>16</v>
      </c>
      <c r="BN1505" s="3" t="s">
        <v>86</v>
      </c>
      <c r="BP1505" s="15"/>
      <c r="BQ1505" s="15"/>
      <c r="BR1505" s="2" t="s">
        <v>121</v>
      </c>
      <c r="BS1505" s="2" t="s">
        <v>121</v>
      </c>
      <c r="BT1505" s="7" t="s">
        <v>98</v>
      </c>
      <c r="BU1505" s="7"/>
      <c r="BV1505" s="9" t="s">
        <v>98</v>
      </c>
      <c r="BW1505" s="9"/>
    </row>
    <row r="1506" spans="1:75" ht="14.25" customHeight="1" x14ac:dyDescent="0.25">
      <c r="A1506" s="1">
        <v>1556</v>
      </c>
      <c r="B1506" s="1" t="s">
        <v>5928</v>
      </c>
      <c r="C1506" s="1" t="s">
        <v>5929</v>
      </c>
      <c r="D1506" s="1" t="s">
        <v>77</v>
      </c>
      <c r="E1506" s="1" t="s">
        <v>2396</v>
      </c>
      <c r="F1506" s="1" t="s">
        <v>3873</v>
      </c>
      <c r="G1506" s="1"/>
      <c r="H1506" s="2">
        <v>0</v>
      </c>
      <c r="I1506" s="2">
        <v>0</v>
      </c>
      <c r="J1506" s="2">
        <v>1</v>
      </c>
      <c r="K1506" s="2">
        <v>1</v>
      </c>
      <c r="L1506" s="3" t="s">
        <v>80</v>
      </c>
      <c r="O1506" s="4">
        <v>3</v>
      </c>
      <c r="P1506" s="4" t="s">
        <v>112</v>
      </c>
      <c r="Q1506" s="4"/>
      <c r="R1506" s="5"/>
      <c r="S1506" s="6"/>
      <c r="T1506" s="17"/>
      <c r="U1506" s="6"/>
      <c r="V1506" s="4"/>
      <c r="W1506" s="4"/>
      <c r="X1506" s="4"/>
      <c r="Y1506" s="7">
        <v>3</v>
      </c>
      <c r="Z1506" s="8">
        <v>553342</v>
      </c>
      <c r="AA1506" s="7" t="s">
        <v>92</v>
      </c>
      <c r="AB1506" s="7"/>
      <c r="AC1506" s="9">
        <v>3</v>
      </c>
      <c r="AD1506" s="10">
        <v>553342</v>
      </c>
      <c r="AE1506" s="9" t="s">
        <v>92</v>
      </c>
      <c r="AF1506" s="9"/>
      <c r="AG1506" s="11">
        <v>2</v>
      </c>
      <c r="AH1506" s="11" t="s">
        <v>93</v>
      </c>
      <c r="AI1506" s="11"/>
      <c r="AJ1506" s="11"/>
      <c r="AK1506" s="11"/>
      <c r="AL1506" s="12">
        <v>2</v>
      </c>
      <c r="AM1506" s="12" t="s">
        <v>93</v>
      </c>
      <c r="AN1506" s="12" t="s">
        <v>5930</v>
      </c>
      <c r="AO1506" s="12"/>
      <c r="AP1506" s="12"/>
      <c r="AQ1506" s="4">
        <v>3</v>
      </c>
      <c r="AR1506" s="4" t="s">
        <v>83</v>
      </c>
      <c r="AS1506" s="4"/>
      <c r="AT1506" s="13"/>
      <c r="AU1506" s="13"/>
      <c r="AV1506" s="13"/>
      <c r="AW1506" s="13"/>
      <c r="AX1506" s="4"/>
      <c r="AY1506" s="13"/>
      <c r="AZ1506" s="13"/>
      <c r="BA1506" s="13"/>
      <c r="BB1506" s="13"/>
      <c r="BC1506" s="4"/>
      <c r="BD1506" s="4"/>
      <c r="BE1506" s="4"/>
      <c r="BF1506" s="13"/>
      <c r="BG1506" s="4"/>
      <c r="BH1506" s="13"/>
      <c r="BI1506" s="13"/>
      <c r="BJ1506" s="4"/>
      <c r="BK1506" s="14">
        <v>11</v>
      </c>
      <c r="BL1506" s="14">
        <v>11</v>
      </c>
      <c r="BM1506" s="14">
        <v>11</v>
      </c>
      <c r="BP1506" s="15"/>
      <c r="BQ1506" s="15"/>
      <c r="BR1506" s="2" t="s">
        <v>115</v>
      </c>
      <c r="BS1506" s="2" t="s">
        <v>115</v>
      </c>
      <c r="BT1506" s="7" t="s">
        <v>98</v>
      </c>
      <c r="BU1506" s="7" t="s">
        <v>438</v>
      </c>
      <c r="BV1506" s="9" t="s">
        <v>98</v>
      </c>
      <c r="BW1506" s="9" t="s">
        <v>438</v>
      </c>
    </row>
    <row r="1507" spans="1:75" ht="14.25" customHeight="1" x14ac:dyDescent="0.25">
      <c r="A1507" s="1">
        <v>1557</v>
      </c>
      <c r="B1507" s="1" t="s">
        <v>5931</v>
      </c>
      <c r="C1507" s="1" t="s">
        <v>5932</v>
      </c>
      <c r="D1507" s="1" t="s">
        <v>77</v>
      </c>
      <c r="E1507" s="1" t="s">
        <v>2396</v>
      </c>
      <c r="F1507" s="1" t="s">
        <v>3873</v>
      </c>
      <c r="G1507" s="1"/>
      <c r="H1507" s="2">
        <v>0</v>
      </c>
      <c r="I1507" s="2">
        <v>0</v>
      </c>
      <c r="J1507" s="2">
        <v>1</v>
      </c>
      <c r="K1507" s="2">
        <v>0</v>
      </c>
      <c r="L1507" s="3" t="s">
        <v>80</v>
      </c>
      <c r="O1507" s="4">
        <v>4</v>
      </c>
      <c r="P1507" s="4" t="s">
        <v>112</v>
      </c>
      <c r="Q1507" s="4"/>
      <c r="R1507" s="5"/>
      <c r="S1507" s="6"/>
      <c r="T1507" s="17"/>
      <c r="U1507" s="6"/>
      <c r="V1507" s="4"/>
      <c r="W1507" s="4"/>
      <c r="X1507" s="4"/>
      <c r="Y1507" s="7">
        <v>5</v>
      </c>
      <c r="Z1507" s="8">
        <v>77907</v>
      </c>
      <c r="AA1507" s="7" t="s">
        <v>92</v>
      </c>
      <c r="AB1507" s="7"/>
      <c r="AC1507" s="9">
        <v>5</v>
      </c>
      <c r="AD1507" s="10">
        <v>77907</v>
      </c>
      <c r="AE1507" s="9" t="s">
        <v>92</v>
      </c>
      <c r="AF1507" s="9"/>
      <c r="AG1507" s="11">
        <v>3</v>
      </c>
      <c r="AH1507" s="11" t="s">
        <v>93</v>
      </c>
      <c r="AI1507" s="11"/>
      <c r="AJ1507" s="11"/>
      <c r="AK1507" s="11"/>
      <c r="AL1507" s="12">
        <v>3</v>
      </c>
      <c r="AM1507" s="12" t="s">
        <v>93</v>
      </c>
      <c r="AN1507" s="12" t="s">
        <v>805</v>
      </c>
      <c r="AO1507" s="12"/>
      <c r="AP1507" s="12"/>
      <c r="AQ1507" s="4">
        <v>4</v>
      </c>
      <c r="AR1507" s="4" t="s">
        <v>93</v>
      </c>
      <c r="AS1507" s="4"/>
      <c r="AT1507" s="13"/>
      <c r="AU1507" s="13"/>
      <c r="AV1507" s="13"/>
      <c r="AW1507" s="13"/>
      <c r="AX1507" s="4"/>
      <c r="AY1507" s="13"/>
      <c r="AZ1507" s="13"/>
      <c r="BA1507" s="13"/>
      <c r="BB1507" s="13"/>
      <c r="BC1507" s="4"/>
      <c r="BD1507" s="4"/>
      <c r="BE1507" s="4"/>
      <c r="BF1507" s="13"/>
      <c r="BG1507" s="4"/>
      <c r="BH1507" s="13"/>
      <c r="BI1507" s="13"/>
      <c r="BJ1507" s="4"/>
      <c r="BK1507" s="14">
        <v>16</v>
      </c>
      <c r="BL1507" s="14">
        <v>16</v>
      </c>
      <c r="BM1507" s="14">
        <v>16</v>
      </c>
      <c r="BN1507" s="3" t="s">
        <v>86</v>
      </c>
      <c r="BP1507" s="15"/>
      <c r="BQ1507" s="15"/>
      <c r="BR1507" s="2" t="s">
        <v>409</v>
      </c>
      <c r="BS1507" s="2" t="s">
        <v>409</v>
      </c>
      <c r="BT1507" s="7" t="s">
        <v>437</v>
      </c>
      <c r="BU1507" s="7" t="s">
        <v>438</v>
      </c>
      <c r="BV1507" s="9" t="s">
        <v>437</v>
      </c>
      <c r="BW1507" s="9" t="s">
        <v>438</v>
      </c>
    </row>
    <row r="1508" spans="1:75" ht="14.25" customHeight="1" x14ac:dyDescent="0.25">
      <c r="A1508" s="1">
        <v>1558</v>
      </c>
      <c r="B1508" s="1" t="s">
        <v>5933</v>
      </c>
      <c r="C1508" s="1" t="s">
        <v>5934</v>
      </c>
      <c r="D1508" s="1" t="s">
        <v>77</v>
      </c>
      <c r="E1508" s="1" t="s">
        <v>2396</v>
      </c>
      <c r="F1508" s="1" t="s">
        <v>3873</v>
      </c>
      <c r="G1508" s="1" t="s">
        <v>118</v>
      </c>
      <c r="H1508" s="2">
        <v>0</v>
      </c>
      <c r="I1508" s="2">
        <v>0</v>
      </c>
      <c r="J1508" s="2">
        <v>1</v>
      </c>
      <c r="K1508" s="2">
        <v>0</v>
      </c>
      <c r="L1508" s="3" t="s">
        <v>80</v>
      </c>
      <c r="O1508" s="4">
        <v>5</v>
      </c>
      <c r="P1508" s="4" t="s">
        <v>112</v>
      </c>
      <c r="Q1508" s="4"/>
      <c r="R1508" s="5"/>
      <c r="S1508" s="6"/>
      <c r="T1508" s="17"/>
      <c r="U1508" s="6"/>
      <c r="V1508" s="4"/>
      <c r="W1508" s="4"/>
      <c r="X1508" s="4"/>
      <c r="Y1508" s="7">
        <v>5</v>
      </c>
      <c r="Z1508" s="8">
        <v>6167</v>
      </c>
      <c r="AA1508" s="7" t="s">
        <v>92</v>
      </c>
      <c r="AB1508" s="7"/>
      <c r="AC1508" s="9">
        <v>5</v>
      </c>
      <c r="AD1508" s="10">
        <v>6167</v>
      </c>
      <c r="AE1508" s="9" t="s">
        <v>92</v>
      </c>
      <c r="AF1508" s="9"/>
      <c r="AG1508" s="11">
        <v>2</v>
      </c>
      <c r="AH1508" s="11" t="s">
        <v>93</v>
      </c>
      <c r="AI1508" s="11"/>
      <c r="AJ1508" s="11"/>
      <c r="AK1508" s="11"/>
      <c r="AL1508" s="12">
        <v>2</v>
      </c>
      <c r="AM1508" s="12" t="s">
        <v>93</v>
      </c>
      <c r="AN1508" s="12" t="s">
        <v>394</v>
      </c>
      <c r="AO1508" s="12"/>
      <c r="AP1508" s="12"/>
      <c r="AQ1508" s="4">
        <v>1</v>
      </c>
      <c r="AR1508" s="4" t="s">
        <v>441</v>
      </c>
      <c r="AS1508" s="4" t="s">
        <v>5935</v>
      </c>
      <c r="AT1508" s="13"/>
      <c r="AU1508" s="13"/>
      <c r="AV1508" s="13"/>
      <c r="AW1508" s="13"/>
      <c r="AX1508" s="4"/>
      <c r="AY1508" s="13"/>
      <c r="AZ1508" s="13"/>
      <c r="BA1508" s="13"/>
      <c r="BB1508" s="13"/>
      <c r="BC1508" s="4"/>
      <c r="BD1508" s="4"/>
      <c r="BE1508" s="4"/>
      <c r="BF1508" s="13"/>
      <c r="BG1508" s="4"/>
      <c r="BH1508" s="13"/>
      <c r="BI1508" s="13"/>
      <c r="BJ1508" s="4"/>
      <c r="BK1508" s="14">
        <v>13</v>
      </c>
      <c r="BL1508" s="14">
        <v>13</v>
      </c>
      <c r="BM1508" s="14">
        <v>13</v>
      </c>
      <c r="BP1508" s="15"/>
      <c r="BQ1508" s="15"/>
      <c r="BR1508" s="2" t="s">
        <v>108</v>
      </c>
      <c r="BS1508" s="2" t="s">
        <v>108</v>
      </c>
      <c r="BT1508" s="7" t="s">
        <v>109</v>
      </c>
      <c r="BU1508" s="7"/>
      <c r="BV1508" s="9" t="s">
        <v>109</v>
      </c>
      <c r="BW1508" s="9"/>
    </row>
    <row r="1509" spans="1:75" ht="14.25" customHeight="1" x14ac:dyDescent="0.25">
      <c r="A1509" s="1">
        <v>1560</v>
      </c>
      <c r="B1509" s="1" t="s">
        <v>5936</v>
      </c>
      <c r="C1509" s="1" t="s">
        <v>5937</v>
      </c>
      <c r="D1509" s="1" t="s">
        <v>77</v>
      </c>
      <c r="E1509" s="1" t="s">
        <v>2396</v>
      </c>
      <c r="F1509" s="1" t="s">
        <v>3873</v>
      </c>
      <c r="G1509" s="1"/>
      <c r="H1509" s="2">
        <v>0</v>
      </c>
      <c r="I1509" s="2">
        <v>0</v>
      </c>
      <c r="J1509" s="2">
        <v>1</v>
      </c>
      <c r="K1509" s="2">
        <v>1</v>
      </c>
      <c r="L1509" s="3" t="s">
        <v>80</v>
      </c>
      <c r="O1509" s="4">
        <v>3</v>
      </c>
      <c r="P1509" s="4" t="s">
        <v>81</v>
      </c>
      <c r="Q1509" s="4" t="s">
        <v>1789</v>
      </c>
      <c r="R1509" s="5"/>
      <c r="S1509" s="6"/>
      <c r="T1509" s="17"/>
      <c r="U1509" s="6"/>
      <c r="V1509" s="4"/>
      <c r="W1509" s="4"/>
      <c r="X1509" s="4"/>
      <c r="Y1509" s="7">
        <v>4</v>
      </c>
      <c r="Z1509" s="8">
        <v>219898</v>
      </c>
      <c r="AA1509" s="7" t="s">
        <v>92</v>
      </c>
      <c r="AB1509" s="7"/>
      <c r="AC1509" s="9">
        <v>4</v>
      </c>
      <c r="AD1509" s="10">
        <v>219898</v>
      </c>
      <c r="AE1509" s="9" t="s">
        <v>92</v>
      </c>
      <c r="AF1509" s="9"/>
      <c r="AG1509" s="11">
        <v>2</v>
      </c>
      <c r="AH1509" s="11" t="s">
        <v>93</v>
      </c>
      <c r="AI1509" s="11"/>
      <c r="AJ1509" s="11"/>
      <c r="AK1509" s="11"/>
      <c r="AL1509" s="12">
        <v>2</v>
      </c>
      <c r="AM1509" s="12" t="s">
        <v>93</v>
      </c>
      <c r="AN1509" s="12" t="s">
        <v>5938</v>
      </c>
      <c r="AO1509" s="12"/>
      <c r="AP1509" s="12"/>
      <c r="AQ1509" s="4">
        <v>3</v>
      </c>
      <c r="AR1509" s="4" t="s">
        <v>83</v>
      </c>
      <c r="AS1509" s="4"/>
      <c r="AT1509" s="13"/>
      <c r="AU1509" s="13"/>
      <c r="AV1509" s="13"/>
      <c r="AW1509" s="13"/>
      <c r="AX1509" s="4"/>
      <c r="AY1509" s="13"/>
      <c r="AZ1509" s="13"/>
      <c r="BA1509" s="13"/>
      <c r="BB1509" s="13"/>
      <c r="BC1509" s="4"/>
      <c r="BD1509" s="4"/>
      <c r="BE1509" s="4"/>
      <c r="BF1509" s="13"/>
      <c r="BG1509" s="4"/>
      <c r="BH1509" s="13"/>
      <c r="BI1509" s="13"/>
      <c r="BJ1509" s="4"/>
      <c r="BK1509" s="14">
        <v>12</v>
      </c>
      <c r="BL1509" s="14">
        <v>12</v>
      </c>
      <c r="BM1509" s="14">
        <v>12</v>
      </c>
      <c r="BP1509" s="15"/>
      <c r="BQ1509" s="15"/>
      <c r="BR1509" s="2" t="s">
        <v>108</v>
      </c>
      <c r="BS1509" s="2" t="s">
        <v>108</v>
      </c>
      <c r="BT1509" s="7" t="s">
        <v>109</v>
      </c>
      <c r="BU1509" s="7"/>
      <c r="BV1509" s="9" t="s">
        <v>109</v>
      </c>
      <c r="BW1509" s="9"/>
    </row>
    <row r="1510" spans="1:75" ht="14.25" customHeight="1" x14ac:dyDescent="0.25">
      <c r="A1510" s="1">
        <v>1561</v>
      </c>
      <c r="B1510" s="1" t="s">
        <v>5939</v>
      </c>
      <c r="C1510" s="1" t="s">
        <v>5940</v>
      </c>
      <c r="D1510" s="1" t="s">
        <v>77</v>
      </c>
      <c r="E1510" s="1" t="s">
        <v>2396</v>
      </c>
      <c r="F1510" s="1" t="s">
        <v>3873</v>
      </c>
      <c r="G1510" s="1" t="s">
        <v>118</v>
      </c>
      <c r="H1510" s="2">
        <v>0</v>
      </c>
      <c r="I1510" s="2">
        <v>0</v>
      </c>
      <c r="J1510" s="2">
        <v>1</v>
      </c>
      <c r="K1510" s="2">
        <v>0</v>
      </c>
      <c r="L1510" s="3" t="s">
        <v>80</v>
      </c>
      <c r="O1510" s="4">
        <v>4</v>
      </c>
      <c r="P1510" s="4" t="s">
        <v>112</v>
      </c>
      <c r="Q1510" s="4"/>
      <c r="R1510" s="5"/>
      <c r="S1510" s="6"/>
      <c r="T1510" s="17"/>
      <c r="U1510" s="6"/>
      <c r="V1510" s="4"/>
      <c r="W1510" s="4"/>
      <c r="X1510" s="4"/>
      <c r="Y1510" s="7">
        <v>4</v>
      </c>
      <c r="Z1510" s="8">
        <v>235638</v>
      </c>
      <c r="AA1510" s="7" t="s">
        <v>92</v>
      </c>
      <c r="AB1510" s="7"/>
      <c r="AC1510" s="9">
        <v>4</v>
      </c>
      <c r="AD1510" s="10">
        <v>235638</v>
      </c>
      <c r="AE1510" s="9" t="s">
        <v>92</v>
      </c>
      <c r="AF1510" s="9"/>
      <c r="AG1510" s="11">
        <v>3</v>
      </c>
      <c r="AH1510" s="11" t="s">
        <v>93</v>
      </c>
      <c r="AI1510" s="11" t="s">
        <v>393</v>
      </c>
      <c r="AJ1510" s="11"/>
      <c r="AK1510" s="11"/>
      <c r="AL1510" s="12">
        <v>3</v>
      </c>
      <c r="AM1510" s="12" t="s">
        <v>93</v>
      </c>
      <c r="AN1510" s="12" t="s">
        <v>394</v>
      </c>
      <c r="AO1510" s="12"/>
      <c r="AP1510" s="12"/>
      <c r="AQ1510" s="4">
        <v>3</v>
      </c>
      <c r="AR1510" s="4" t="s">
        <v>93</v>
      </c>
      <c r="AS1510" s="4"/>
      <c r="AT1510" s="13"/>
      <c r="AU1510" s="13"/>
      <c r="AV1510" s="13"/>
      <c r="AW1510" s="13"/>
      <c r="AX1510" s="4"/>
      <c r="AY1510" s="13"/>
      <c r="AZ1510" s="13"/>
      <c r="BA1510" s="13"/>
      <c r="BB1510" s="13"/>
      <c r="BC1510" s="4"/>
      <c r="BD1510" s="4"/>
      <c r="BE1510" s="4"/>
      <c r="BF1510" s="13"/>
      <c r="BG1510" s="4"/>
      <c r="BH1510" s="13"/>
      <c r="BI1510" s="13"/>
      <c r="BJ1510" s="4"/>
      <c r="BK1510" s="14">
        <v>14</v>
      </c>
      <c r="BL1510" s="14">
        <v>14</v>
      </c>
      <c r="BM1510" s="14">
        <v>14</v>
      </c>
      <c r="BN1510" s="3" t="s">
        <v>86</v>
      </c>
      <c r="BP1510" s="15"/>
      <c r="BQ1510" s="15"/>
      <c r="BR1510" s="2" t="s">
        <v>409</v>
      </c>
      <c r="BS1510" s="2" t="s">
        <v>409</v>
      </c>
      <c r="BT1510" s="7" t="s">
        <v>438</v>
      </c>
      <c r="BU1510" s="7"/>
      <c r="BV1510" s="9" t="s">
        <v>438</v>
      </c>
      <c r="BW1510" s="9"/>
    </row>
    <row r="1511" spans="1:75" ht="14.25" customHeight="1" x14ac:dyDescent="0.25">
      <c r="A1511" s="1">
        <v>1562</v>
      </c>
      <c r="B1511" s="1" t="s">
        <v>5941</v>
      </c>
      <c r="C1511" s="1" t="s">
        <v>5942</v>
      </c>
      <c r="D1511" s="1" t="s">
        <v>77</v>
      </c>
      <c r="E1511" s="1" t="s">
        <v>2396</v>
      </c>
      <c r="F1511" s="1" t="s">
        <v>3873</v>
      </c>
      <c r="G1511" s="1" t="s">
        <v>118</v>
      </c>
      <c r="H1511" s="2">
        <v>0</v>
      </c>
      <c r="I1511" s="2">
        <v>0</v>
      </c>
      <c r="J1511" s="2">
        <v>1</v>
      </c>
      <c r="K1511" s="2">
        <v>0</v>
      </c>
      <c r="L1511" s="3" t="s">
        <v>80</v>
      </c>
      <c r="O1511" s="4">
        <v>5</v>
      </c>
      <c r="P1511" s="4" t="s">
        <v>112</v>
      </c>
      <c r="Q1511" s="4"/>
      <c r="R1511" s="5"/>
      <c r="S1511" s="6"/>
      <c r="T1511" s="17"/>
      <c r="U1511" s="6"/>
      <c r="V1511" s="4"/>
      <c r="W1511" s="4"/>
      <c r="X1511" s="4"/>
      <c r="Y1511" s="7">
        <v>5</v>
      </c>
      <c r="Z1511" s="8">
        <v>72849</v>
      </c>
      <c r="AA1511" s="7" t="s">
        <v>92</v>
      </c>
      <c r="AB1511" s="7"/>
      <c r="AC1511" s="9">
        <v>5</v>
      </c>
      <c r="AD1511" s="10">
        <v>72849</v>
      </c>
      <c r="AE1511" s="9" t="s">
        <v>92</v>
      </c>
      <c r="AF1511" s="9"/>
      <c r="AG1511" s="11">
        <v>3</v>
      </c>
      <c r="AH1511" s="11" t="s">
        <v>93</v>
      </c>
      <c r="AI1511" s="11"/>
      <c r="AJ1511" s="11"/>
      <c r="AK1511" s="11"/>
      <c r="AL1511" s="12">
        <v>3</v>
      </c>
      <c r="AM1511" s="12" t="s">
        <v>93</v>
      </c>
      <c r="AN1511" s="12" t="s">
        <v>698</v>
      </c>
      <c r="AO1511" s="12"/>
      <c r="AP1511" s="12"/>
      <c r="AQ1511" s="4">
        <v>3</v>
      </c>
      <c r="AR1511" s="4" t="s">
        <v>93</v>
      </c>
      <c r="AS1511" s="4"/>
      <c r="AT1511" s="13"/>
      <c r="AU1511" s="13"/>
      <c r="AV1511" s="13"/>
      <c r="AW1511" s="13"/>
      <c r="AX1511" s="4"/>
      <c r="AY1511" s="13"/>
      <c r="AZ1511" s="13"/>
      <c r="BA1511" s="13"/>
      <c r="BB1511" s="13"/>
      <c r="BC1511" s="4"/>
      <c r="BD1511" s="4"/>
      <c r="BE1511" s="4"/>
      <c r="BF1511" s="13"/>
      <c r="BG1511" s="4"/>
      <c r="BH1511" s="13"/>
      <c r="BI1511" s="13"/>
      <c r="BJ1511" s="4"/>
      <c r="BK1511" s="14">
        <v>16</v>
      </c>
      <c r="BL1511" s="14">
        <v>16</v>
      </c>
      <c r="BM1511" s="14">
        <v>16</v>
      </c>
      <c r="BN1511" s="3" t="s">
        <v>86</v>
      </c>
      <c r="BP1511" s="15"/>
      <c r="BQ1511" s="15"/>
      <c r="BR1511" s="2" t="s">
        <v>409</v>
      </c>
      <c r="BS1511" s="2" t="s">
        <v>409</v>
      </c>
      <c r="BT1511" s="7" t="s">
        <v>109</v>
      </c>
      <c r="BU1511" s="7" t="s">
        <v>438</v>
      </c>
      <c r="BV1511" s="9" t="s">
        <v>109</v>
      </c>
      <c r="BW1511" s="9" t="s">
        <v>438</v>
      </c>
    </row>
    <row r="1512" spans="1:75" ht="14.25" customHeight="1" x14ac:dyDescent="0.25">
      <c r="A1512" s="1">
        <v>1563</v>
      </c>
      <c r="B1512" s="1" t="s">
        <v>5943</v>
      </c>
      <c r="C1512" s="1" t="s">
        <v>5944</v>
      </c>
      <c r="D1512" s="1" t="s">
        <v>77</v>
      </c>
      <c r="E1512" s="1" t="s">
        <v>2396</v>
      </c>
      <c r="F1512" s="1" t="s">
        <v>3873</v>
      </c>
      <c r="G1512" s="1" t="s">
        <v>118</v>
      </c>
      <c r="H1512" s="2">
        <v>0</v>
      </c>
      <c r="I1512" s="2">
        <v>0</v>
      </c>
      <c r="J1512" s="2">
        <v>1</v>
      </c>
      <c r="K1512" s="2">
        <v>0</v>
      </c>
      <c r="L1512" s="3" t="s">
        <v>80</v>
      </c>
      <c r="O1512" s="4">
        <v>5</v>
      </c>
      <c r="P1512" s="4" t="s">
        <v>112</v>
      </c>
      <c r="Q1512" s="4"/>
      <c r="R1512" s="5"/>
      <c r="S1512" s="6"/>
      <c r="T1512" s="17"/>
      <c r="U1512" s="6"/>
      <c r="V1512" s="4"/>
      <c r="W1512" s="4"/>
      <c r="X1512" s="4"/>
      <c r="Y1512" s="7">
        <v>5</v>
      </c>
      <c r="Z1512" s="8">
        <v>9737</v>
      </c>
      <c r="AA1512" s="7" t="s">
        <v>92</v>
      </c>
      <c r="AB1512" s="7"/>
      <c r="AC1512" s="9">
        <v>5</v>
      </c>
      <c r="AD1512" s="10">
        <v>9737</v>
      </c>
      <c r="AE1512" s="9" t="s">
        <v>92</v>
      </c>
      <c r="AF1512" s="9"/>
      <c r="AG1512" s="11">
        <v>3</v>
      </c>
      <c r="AH1512" s="11" t="s">
        <v>93</v>
      </c>
      <c r="AI1512" s="11" t="s">
        <v>393</v>
      </c>
      <c r="AJ1512" s="11"/>
      <c r="AK1512" s="11"/>
      <c r="AL1512" s="12">
        <v>3</v>
      </c>
      <c r="AM1512" s="12" t="s">
        <v>93</v>
      </c>
      <c r="AN1512" s="12" t="s">
        <v>394</v>
      </c>
      <c r="AO1512" s="12"/>
      <c r="AP1512" s="12"/>
      <c r="AQ1512" s="4">
        <v>4</v>
      </c>
      <c r="AR1512" s="4" t="s">
        <v>441</v>
      </c>
      <c r="AS1512" s="4" t="s">
        <v>5945</v>
      </c>
      <c r="AT1512" s="13"/>
      <c r="AU1512" s="13"/>
      <c r="AV1512" s="13"/>
      <c r="AW1512" s="13"/>
      <c r="AX1512" s="4"/>
      <c r="AY1512" s="13"/>
      <c r="AZ1512" s="13"/>
      <c r="BA1512" s="13"/>
      <c r="BB1512" s="13"/>
      <c r="BC1512" s="4"/>
      <c r="BD1512" s="4"/>
      <c r="BE1512" s="4"/>
      <c r="BF1512" s="13"/>
      <c r="BG1512" s="4"/>
      <c r="BH1512" s="13"/>
      <c r="BI1512" s="13"/>
      <c r="BJ1512" s="4"/>
      <c r="BK1512" s="14">
        <v>17</v>
      </c>
      <c r="BL1512" s="14">
        <v>17</v>
      </c>
      <c r="BM1512" s="14">
        <v>17</v>
      </c>
      <c r="BN1512" s="3" t="s">
        <v>312</v>
      </c>
      <c r="BO1512" s="3" t="s">
        <v>120</v>
      </c>
      <c r="BP1512" s="15"/>
      <c r="BQ1512" s="15"/>
      <c r="BR1512" s="2" t="s">
        <v>115</v>
      </c>
      <c r="BS1512" s="2" t="s">
        <v>115</v>
      </c>
      <c r="BT1512" s="7" t="s">
        <v>109</v>
      </c>
      <c r="BU1512" s="7"/>
      <c r="BV1512" s="9" t="s">
        <v>109</v>
      </c>
      <c r="BW1512" s="9"/>
    </row>
    <row r="1513" spans="1:75" ht="14.25" customHeight="1" x14ac:dyDescent="0.25">
      <c r="A1513" s="1">
        <v>1594</v>
      </c>
      <c r="B1513" s="1" t="s">
        <v>5946</v>
      </c>
      <c r="C1513" s="1" t="s">
        <v>5947</v>
      </c>
      <c r="D1513" s="1" t="s">
        <v>77</v>
      </c>
      <c r="E1513" s="1" t="s">
        <v>2396</v>
      </c>
      <c r="F1513" s="1" t="s">
        <v>3957</v>
      </c>
      <c r="G1513" s="1"/>
      <c r="H1513" s="2">
        <v>0</v>
      </c>
      <c r="I1513" s="2">
        <v>0</v>
      </c>
      <c r="J1513" s="2">
        <v>1</v>
      </c>
      <c r="K1513" s="2">
        <v>0</v>
      </c>
      <c r="L1513" s="3" t="s">
        <v>80</v>
      </c>
      <c r="O1513" s="4">
        <v>5</v>
      </c>
      <c r="P1513" s="4" t="s">
        <v>112</v>
      </c>
      <c r="Q1513" s="4"/>
      <c r="R1513" s="5"/>
      <c r="S1513" s="6"/>
      <c r="T1513" s="17"/>
      <c r="U1513" s="6"/>
      <c r="V1513" s="4"/>
      <c r="W1513" s="4"/>
      <c r="X1513" s="4"/>
      <c r="Y1513" s="7">
        <v>4</v>
      </c>
      <c r="Z1513" s="8">
        <v>99438</v>
      </c>
      <c r="AA1513" s="7" t="s">
        <v>92</v>
      </c>
      <c r="AB1513" s="7"/>
      <c r="AC1513" s="9">
        <v>4</v>
      </c>
      <c r="AD1513" s="10">
        <v>99438</v>
      </c>
      <c r="AE1513" s="9" t="s">
        <v>92</v>
      </c>
      <c r="AF1513" s="9"/>
      <c r="AG1513" s="11">
        <v>3</v>
      </c>
      <c r="AH1513" s="11" t="s">
        <v>93</v>
      </c>
      <c r="AI1513" s="11" t="s">
        <v>393</v>
      </c>
      <c r="AJ1513" s="11"/>
      <c r="AK1513" s="11"/>
      <c r="AL1513" s="12">
        <v>3</v>
      </c>
      <c r="AM1513" s="12" t="s">
        <v>93</v>
      </c>
      <c r="AN1513" s="12" t="s">
        <v>478</v>
      </c>
      <c r="AO1513" s="12"/>
      <c r="AP1513" s="12"/>
      <c r="AQ1513" s="4">
        <v>2</v>
      </c>
      <c r="AR1513" s="4" t="s">
        <v>93</v>
      </c>
      <c r="AS1513" s="4"/>
      <c r="AT1513" s="13"/>
      <c r="AU1513" s="13"/>
      <c r="AV1513" s="13"/>
      <c r="AW1513" s="13"/>
      <c r="AX1513" s="4"/>
      <c r="AY1513" s="13"/>
      <c r="AZ1513" s="13"/>
      <c r="BA1513" s="13"/>
      <c r="BB1513" s="13"/>
      <c r="BC1513" s="4"/>
      <c r="BD1513" s="4"/>
      <c r="BE1513" s="4"/>
      <c r="BF1513" s="13"/>
      <c r="BG1513" s="4"/>
      <c r="BH1513" s="13"/>
      <c r="BI1513" s="13"/>
      <c r="BJ1513" s="4"/>
      <c r="BK1513" s="14">
        <v>14</v>
      </c>
      <c r="BL1513" s="14">
        <v>14</v>
      </c>
      <c r="BM1513" s="14">
        <v>14</v>
      </c>
      <c r="BN1513" s="3" t="s">
        <v>86</v>
      </c>
      <c r="BP1513" s="15"/>
      <c r="BQ1513" s="15"/>
      <c r="BR1513" s="2" t="s">
        <v>297</v>
      </c>
      <c r="BS1513" s="2" t="s">
        <v>297</v>
      </c>
      <c r="BT1513" s="7" t="s">
        <v>475</v>
      </c>
      <c r="BU1513" s="7"/>
      <c r="BV1513" s="9" t="s">
        <v>475</v>
      </c>
      <c r="BW1513" s="9"/>
    </row>
    <row r="1514" spans="1:75" ht="14.25" customHeight="1" x14ac:dyDescent="0.25">
      <c r="A1514" s="1">
        <v>1595</v>
      </c>
      <c r="B1514" s="1" t="s">
        <v>5948</v>
      </c>
      <c r="C1514" s="1" t="s">
        <v>5949</v>
      </c>
      <c r="D1514" s="1" t="s">
        <v>77</v>
      </c>
      <c r="E1514" s="1" t="s">
        <v>2396</v>
      </c>
      <c r="F1514" s="1" t="s">
        <v>3957</v>
      </c>
      <c r="G1514" s="1"/>
      <c r="H1514" s="2">
        <v>0</v>
      </c>
      <c r="I1514" s="2">
        <v>1</v>
      </c>
      <c r="J1514" s="2">
        <v>1</v>
      </c>
      <c r="K1514" s="2">
        <v>0</v>
      </c>
      <c r="L1514" s="3" t="s">
        <v>80</v>
      </c>
      <c r="O1514" s="4">
        <v>4</v>
      </c>
      <c r="P1514" s="4" t="s">
        <v>424</v>
      </c>
      <c r="Q1514" s="4"/>
      <c r="R1514" s="16">
        <v>240000</v>
      </c>
      <c r="S1514" s="6">
        <v>240000</v>
      </c>
      <c r="T1514" s="16">
        <v>160000</v>
      </c>
      <c r="U1514" s="6">
        <v>160000</v>
      </c>
      <c r="V1514" s="4">
        <v>2010.5</v>
      </c>
      <c r="W1514" s="4" t="s">
        <v>425</v>
      </c>
      <c r="X1514" s="4"/>
      <c r="Y1514" s="7">
        <v>4</v>
      </c>
      <c r="Z1514" s="8">
        <v>167251</v>
      </c>
      <c r="AA1514" s="7" t="s">
        <v>92</v>
      </c>
      <c r="AB1514" s="7"/>
      <c r="AC1514" s="9">
        <v>4</v>
      </c>
      <c r="AD1514" s="10">
        <v>167251</v>
      </c>
      <c r="AE1514" s="9" t="s">
        <v>92</v>
      </c>
      <c r="AF1514" s="9"/>
      <c r="AG1514" s="11">
        <v>4</v>
      </c>
      <c r="AH1514" s="11" t="s">
        <v>131</v>
      </c>
      <c r="AI1514" s="11"/>
      <c r="AJ1514" s="11">
        <v>4</v>
      </c>
      <c r="AK1514" s="11" t="s">
        <v>143</v>
      </c>
      <c r="AL1514" s="12">
        <v>3</v>
      </c>
      <c r="AM1514" s="12" t="s">
        <v>131</v>
      </c>
      <c r="AN1514" s="12"/>
      <c r="AO1514" s="12">
        <v>3</v>
      </c>
      <c r="AP1514" s="12" t="s">
        <v>143</v>
      </c>
      <c r="AQ1514" s="4">
        <v>3</v>
      </c>
      <c r="AR1514" s="4" t="s">
        <v>133</v>
      </c>
      <c r="AS1514" s="4"/>
      <c r="AT1514" s="13">
        <v>-46.818832397460902</v>
      </c>
      <c r="AU1514" s="13">
        <v>-1.2289229631423999</v>
      </c>
      <c r="AV1514" s="13">
        <v>-1.8064980506896999</v>
      </c>
      <c r="AW1514" s="13">
        <v>-0.63499999046325695</v>
      </c>
      <c r="AX1514" s="4">
        <v>1</v>
      </c>
      <c r="AY1514" s="13">
        <v>9.9708089828491193</v>
      </c>
      <c r="AZ1514" s="13">
        <v>0.95519685745239302</v>
      </c>
      <c r="BA1514" s="13">
        <v>-1.5</v>
      </c>
      <c r="BB1514" s="13">
        <v>3.5063030719757098</v>
      </c>
      <c r="BC1514" s="4"/>
      <c r="BD1514" s="4">
        <v>10</v>
      </c>
      <c r="BE1514" s="4" t="s">
        <v>134</v>
      </c>
      <c r="BF1514" s="13">
        <v>1.17149794101715</v>
      </c>
      <c r="BG1514" s="4">
        <v>105.5</v>
      </c>
      <c r="BH1514" s="13">
        <v>1.4850000143051101</v>
      </c>
      <c r="BI1514" s="13">
        <v>156.59500122070301</v>
      </c>
      <c r="BJ1514" s="4"/>
      <c r="BK1514" s="14">
        <v>15</v>
      </c>
      <c r="BL1514" s="14">
        <v>14</v>
      </c>
      <c r="BM1514" s="14">
        <v>15</v>
      </c>
      <c r="BN1514" s="3" t="s">
        <v>86</v>
      </c>
      <c r="BP1514" s="15" t="s">
        <v>135</v>
      </c>
      <c r="BQ1514" s="15"/>
      <c r="BR1514" s="2" t="s">
        <v>162</v>
      </c>
      <c r="BS1514" s="2" t="s">
        <v>162</v>
      </c>
      <c r="BT1514" s="7" t="s">
        <v>429</v>
      </c>
      <c r="BU1514" s="7"/>
      <c r="BV1514" s="9" t="s">
        <v>429</v>
      </c>
      <c r="BW1514" s="9"/>
    </row>
    <row r="1515" spans="1:75" ht="14.25" customHeight="1" x14ac:dyDescent="0.25">
      <c r="A1515" s="1">
        <v>1596</v>
      </c>
      <c r="B1515" s="1" t="s">
        <v>5950</v>
      </c>
      <c r="C1515" s="1" t="s">
        <v>5951</v>
      </c>
      <c r="D1515" s="1" t="s">
        <v>77</v>
      </c>
      <c r="E1515" s="1" t="s">
        <v>2396</v>
      </c>
      <c r="F1515" s="1" t="s">
        <v>3957</v>
      </c>
      <c r="G1515" s="1" t="s">
        <v>5952</v>
      </c>
      <c r="H1515" s="2">
        <v>0</v>
      </c>
      <c r="I1515" s="2">
        <v>1</v>
      </c>
      <c r="J1515" s="2">
        <v>1</v>
      </c>
      <c r="K1515" s="2">
        <v>0</v>
      </c>
      <c r="L1515" s="3" t="s">
        <v>80</v>
      </c>
      <c r="O1515" s="4">
        <v>4</v>
      </c>
      <c r="P1515" s="4" t="s">
        <v>424</v>
      </c>
      <c r="Q1515" s="4"/>
      <c r="R1515" s="16">
        <v>71000</v>
      </c>
      <c r="S1515" s="6">
        <v>71000</v>
      </c>
      <c r="T1515" s="16">
        <v>46000</v>
      </c>
      <c r="U1515" s="6">
        <v>46000</v>
      </c>
      <c r="V1515" s="4">
        <v>2010.5</v>
      </c>
      <c r="W1515" s="4" t="s">
        <v>425</v>
      </c>
      <c r="X1515" s="4"/>
      <c r="Y1515" s="7">
        <v>4</v>
      </c>
      <c r="Z1515" s="8">
        <v>250893</v>
      </c>
      <c r="AA1515" s="7" t="s">
        <v>92</v>
      </c>
      <c r="AB1515" s="7"/>
      <c r="AC1515" s="9">
        <v>4</v>
      </c>
      <c r="AD1515" s="10">
        <v>250893</v>
      </c>
      <c r="AE1515" s="9" t="s">
        <v>92</v>
      </c>
      <c r="AF1515" s="9"/>
      <c r="AG1515" s="11">
        <v>4</v>
      </c>
      <c r="AH1515" s="11" t="s">
        <v>800</v>
      </c>
      <c r="AI1515" s="11" t="s">
        <v>5953</v>
      </c>
      <c r="AJ1515" s="11">
        <v>4</v>
      </c>
      <c r="AK1515" s="11" t="s">
        <v>143</v>
      </c>
      <c r="AL1515" s="12">
        <v>4</v>
      </c>
      <c r="AM1515" s="12" t="s">
        <v>800</v>
      </c>
      <c r="AN1515" s="12" t="s">
        <v>5954</v>
      </c>
      <c r="AO1515" s="12">
        <v>4</v>
      </c>
      <c r="AP1515" s="12" t="s">
        <v>143</v>
      </c>
      <c r="AQ1515" s="4">
        <v>5</v>
      </c>
      <c r="AR1515" s="4" t="s">
        <v>133</v>
      </c>
      <c r="AS1515" s="4"/>
      <c r="AT1515" s="13">
        <v>-62.239536285400398</v>
      </c>
      <c r="AU1515" s="13">
        <v>-1.89139676094055</v>
      </c>
      <c r="AV1515" s="13">
        <v>-2.98389792442322</v>
      </c>
      <c r="AW1515" s="13">
        <v>-0.52799999713897705</v>
      </c>
      <c r="AX1515" s="4">
        <v>1</v>
      </c>
      <c r="AY1515" s="13">
        <v>-6.4742326736450204</v>
      </c>
      <c r="AZ1515" s="13">
        <v>-0.667167067527771</v>
      </c>
      <c r="BA1515" s="13">
        <v>-4.3120031356811497</v>
      </c>
      <c r="BB1515" s="13">
        <v>4.5799999237060502</v>
      </c>
      <c r="BC1515" s="4"/>
      <c r="BD1515" s="4">
        <v>10</v>
      </c>
      <c r="BE1515" s="4" t="s">
        <v>134</v>
      </c>
      <c r="BF1515" s="13">
        <v>2.4558980464935298</v>
      </c>
      <c r="BG1515" s="4">
        <v>57</v>
      </c>
      <c r="BH1515" s="13">
        <v>0.582499980926514</v>
      </c>
      <c r="BI1515" s="13">
        <v>33.202499389648402</v>
      </c>
      <c r="BJ1515" s="4"/>
      <c r="BK1515" s="14">
        <v>17</v>
      </c>
      <c r="BL1515" s="14">
        <v>17</v>
      </c>
      <c r="BM1515" s="14">
        <v>17</v>
      </c>
      <c r="BN1515" s="3" t="s">
        <v>312</v>
      </c>
      <c r="BP1515" s="15"/>
      <c r="BQ1515" s="15"/>
      <c r="BR1515" s="2" t="s">
        <v>297</v>
      </c>
      <c r="BS1515" s="2" t="s">
        <v>297</v>
      </c>
      <c r="BT1515" s="7" t="s">
        <v>475</v>
      </c>
      <c r="BU1515" s="7"/>
      <c r="BV1515" s="9" t="s">
        <v>475</v>
      </c>
      <c r="BW1515" s="9"/>
    </row>
    <row r="1516" spans="1:75" ht="14.25" customHeight="1" x14ac:dyDescent="0.25">
      <c r="A1516" s="1">
        <v>1597</v>
      </c>
      <c r="B1516" s="1" t="s">
        <v>5955</v>
      </c>
      <c r="C1516" s="1" t="s">
        <v>5956</v>
      </c>
      <c r="D1516" s="1" t="s">
        <v>77</v>
      </c>
      <c r="E1516" s="1" t="s">
        <v>2396</v>
      </c>
      <c r="F1516" s="1" t="s">
        <v>3957</v>
      </c>
      <c r="G1516" s="1"/>
      <c r="H1516" s="2">
        <v>0</v>
      </c>
      <c r="I1516" s="2">
        <v>1</v>
      </c>
      <c r="J1516" s="2">
        <v>1</v>
      </c>
      <c r="K1516" s="2">
        <v>0</v>
      </c>
      <c r="L1516" s="3" t="s">
        <v>80</v>
      </c>
      <c r="O1516" s="4">
        <v>4</v>
      </c>
      <c r="P1516" s="4" t="s">
        <v>424</v>
      </c>
      <c r="Q1516" s="4"/>
      <c r="R1516" s="16">
        <v>110000</v>
      </c>
      <c r="S1516" s="6">
        <v>110000</v>
      </c>
      <c r="T1516" s="16">
        <v>82000</v>
      </c>
      <c r="U1516" s="6">
        <v>82000</v>
      </c>
      <c r="V1516" s="4">
        <v>2010.5</v>
      </c>
      <c r="W1516" s="4" t="s">
        <v>425</v>
      </c>
      <c r="X1516" s="4"/>
      <c r="Y1516" s="7">
        <v>2</v>
      </c>
      <c r="Z1516" s="8">
        <v>1011812</v>
      </c>
      <c r="AA1516" s="7" t="s">
        <v>92</v>
      </c>
      <c r="AB1516" s="7"/>
      <c r="AC1516" s="9">
        <v>2</v>
      </c>
      <c r="AD1516" s="10">
        <v>1011812</v>
      </c>
      <c r="AE1516" s="9" t="s">
        <v>92</v>
      </c>
      <c r="AF1516" s="9"/>
      <c r="AG1516" s="11">
        <v>3</v>
      </c>
      <c r="AH1516" s="11" t="s">
        <v>471</v>
      </c>
      <c r="AI1516" s="11"/>
      <c r="AJ1516" s="11">
        <v>2</v>
      </c>
      <c r="AK1516" s="11" t="s">
        <v>143</v>
      </c>
      <c r="AL1516" s="12">
        <v>3</v>
      </c>
      <c r="AM1516" s="12" t="s">
        <v>471</v>
      </c>
      <c r="AN1516" s="12" t="s">
        <v>394</v>
      </c>
      <c r="AO1516" s="12">
        <v>2</v>
      </c>
      <c r="AP1516" s="12" t="s">
        <v>143</v>
      </c>
      <c r="AQ1516" s="4">
        <v>3</v>
      </c>
      <c r="AR1516" s="4" t="s">
        <v>133</v>
      </c>
      <c r="AS1516" s="4"/>
      <c r="AT1516" s="13">
        <v>-9.1668128967285192</v>
      </c>
      <c r="AU1516" s="13">
        <v>-0.188204661011696</v>
      </c>
      <c r="AV1516" s="13">
        <v>-1.5900000333786</v>
      </c>
      <c r="AW1516" s="13">
        <v>0.91799998283386197</v>
      </c>
      <c r="AX1516" s="4"/>
      <c r="AY1516" s="13">
        <v>-17.9795227050781</v>
      </c>
      <c r="AZ1516" s="13">
        <v>-1.96473348140717</v>
      </c>
      <c r="BA1516" s="13">
        <v>-5.9200000762939498</v>
      </c>
      <c r="BB1516" s="13">
        <v>0.59809702634811401</v>
      </c>
      <c r="BC1516" s="4"/>
      <c r="BD1516" s="4">
        <v>10</v>
      </c>
      <c r="BE1516" s="4" t="s">
        <v>134</v>
      </c>
      <c r="BF1516" s="13">
        <v>2.5079998970031698</v>
      </c>
      <c r="BG1516" s="4">
        <v>92</v>
      </c>
      <c r="BH1516" s="13">
        <v>0.28749999403953602</v>
      </c>
      <c r="BI1516" s="13">
        <v>26.450000762939499</v>
      </c>
      <c r="BJ1516" s="4"/>
      <c r="BK1516" s="14">
        <v>12</v>
      </c>
      <c r="BL1516" s="14">
        <v>12</v>
      </c>
      <c r="BM1516" s="14">
        <v>12</v>
      </c>
      <c r="BP1516" s="15"/>
      <c r="BQ1516" s="15"/>
      <c r="BR1516" s="2" t="s">
        <v>297</v>
      </c>
      <c r="BS1516" s="2" t="s">
        <v>297</v>
      </c>
      <c r="BT1516" s="7" t="s">
        <v>475</v>
      </c>
      <c r="BU1516" s="7" t="s">
        <v>487</v>
      </c>
      <c r="BV1516" s="9" t="s">
        <v>475</v>
      </c>
      <c r="BW1516" s="9" t="s">
        <v>487</v>
      </c>
    </row>
    <row r="1517" spans="1:75" ht="14.25" customHeight="1" x14ac:dyDescent="0.25">
      <c r="A1517" s="1">
        <v>1598</v>
      </c>
      <c r="B1517" s="1" t="s">
        <v>5957</v>
      </c>
      <c r="C1517" s="1" t="s">
        <v>5958</v>
      </c>
      <c r="D1517" s="1" t="s">
        <v>77</v>
      </c>
      <c r="E1517" s="1" t="s">
        <v>2396</v>
      </c>
      <c r="F1517" s="1" t="s">
        <v>3957</v>
      </c>
      <c r="G1517" s="1" t="s">
        <v>118</v>
      </c>
      <c r="H1517" s="2">
        <v>1</v>
      </c>
      <c r="I1517" s="2">
        <v>1</v>
      </c>
      <c r="J1517" s="2">
        <v>1</v>
      </c>
      <c r="K1517" s="2">
        <v>0</v>
      </c>
      <c r="L1517" s="3" t="s">
        <v>127</v>
      </c>
      <c r="O1517" s="4">
        <v>2</v>
      </c>
      <c r="P1517" s="4" t="s">
        <v>425</v>
      </c>
      <c r="Q1517" s="4"/>
      <c r="R1517" s="16">
        <v>6400000</v>
      </c>
      <c r="S1517" s="6">
        <v>6400000</v>
      </c>
      <c r="T1517" s="16">
        <v>6400000</v>
      </c>
      <c r="U1517" s="6">
        <v>6400000</v>
      </c>
      <c r="V1517" s="4">
        <v>2010.5</v>
      </c>
      <c r="W1517" s="4" t="s">
        <v>425</v>
      </c>
      <c r="X1517" s="4"/>
      <c r="Y1517" s="7">
        <v>2</v>
      </c>
      <c r="Z1517" s="8">
        <v>1752289</v>
      </c>
      <c r="AA1517" s="7" t="s">
        <v>92</v>
      </c>
      <c r="AB1517" s="7"/>
      <c r="AC1517" s="9">
        <v>2</v>
      </c>
      <c r="AD1517" s="10">
        <v>1628169</v>
      </c>
      <c r="AE1517" s="9" t="s">
        <v>92</v>
      </c>
      <c r="AF1517" s="9"/>
      <c r="AG1517" s="11">
        <v>3</v>
      </c>
      <c r="AH1517" s="11" t="s">
        <v>131</v>
      </c>
      <c r="AI1517" s="11" t="s">
        <v>5959</v>
      </c>
      <c r="AJ1517" s="11">
        <v>4</v>
      </c>
      <c r="AK1517" s="11" t="s">
        <v>332</v>
      </c>
      <c r="AL1517" s="12">
        <v>3</v>
      </c>
      <c r="AM1517" s="12" t="s">
        <v>131</v>
      </c>
      <c r="AN1517" s="12" t="s">
        <v>5960</v>
      </c>
      <c r="AO1517" s="12">
        <v>2</v>
      </c>
      <c r="AP1517" s="12" t="s">
        <v>143</v>
      </c>
      <c r="AQ1517" s="4">
        <v>4</v>
      </c>
      <c r="AR1517" s="4" t="s">
        <v>133</v>
      </c>
      <c r="AS1517" s="4"/>
      <c r="AT1517" s="13">
        <v>-28.694320678710898</v>
      </c>
      <c r="AU1517" s="13">
        <v>-0.66137742996215798</v>
      </c>
      <c r="AV1517" s="13">
        <v>-1.2820010185241699</v>
      </c>
      <c r="AW1517" s="13">
        <v>-1.1900000274181401E-2</v>
      </c>
      <c r="AX1517" s="4">
        <v>1</v>
      </c>
      <c r="AY1517" s="13">
        <v>-18.0279731750488</v>
      </c>
      <c r="AZ1517" s="13">
        <v>-1.9727028608322099</v>
      </c>
      <c r="BA1517" s="13">
        <v>-4.0599999427795401</v>
      </c>
      <c r="BB1517" s="13">
        <v>-9.4998002052307101E-2</v>
      </c>
      <c r="BC1517" s="4">
        <v>1</v>
      </c>
      <c r="BD1517" s="4">
        <v>10</v>
      </c>
      <c r="BE1517" s="4" t="s">
        <v>134</v>
      </c>
      <c r="BF1517" s="13">
        <v>1.2701009511947601</v>
      </c>
      <c r="BG1517" s="4">
        <v>481.5</v>
      </c>
      <c r="BH1517" s="13">
        <v>14.9750003814697</v>
      </c>
      <c r="BI1517" s="13">
        <v>7206.77490234375</v>
      </c>
      <c r="BJ1517" s="4"/>
      <c r="BK1517" s="14">
        <v>11</v>
      </c>
      <c r="BL1517" s="14">
        <v>11</v>
      </c>
      <c r="BM1517" s="14">
        <v>11</v>
      </c>
      <c r="BP1517" s="15"/>
      <c r="BQ1517" s="15"/>
      <c r="BR1517" s="2" t="s">
        <v>555</v>
      </c>
      <c r="BS1517" s="2" t="s">
        <v>297</v>
      </c>
      <c r="BT1517" s="7" t="s">
        <v>556</v>
      </c>
      <c r="BU1517" s="7"/>
      <c r="BV1517" s="9" t="s">
        <v>475</v>
      </c>
      <c r="BW1517" s="9" t="s">
        <v>487</v>
      </c>
    </row>
    <row r="1518" spans="1:75" ht="14.25" customHeight="1" x14ac:dyDescent="0.25">
      <c r="A1518" s="1">
        <v>1600</v>
      </c>
      <c r="B1518" s="1" t="s">
        <v>5961</v>
      </c>
      <c r="C1518" s="1" t="s">
        <v>5962</v>
      </c>
      <c r="D1518" s="1" t="s">
        <v>77</v>
      </c>
      <c r="E1518" s="1" t="s">
        <v>2396</v>
      </c>
      <c r="F1518" s="1" t="s">
        <v>3957</v>
      </c>
      <c r="G1518" s="1" t="s">
        <v>118</v>
      </c>
      <c r="H1518" s="2">
        <v>0</v>
      </c>
      <c r="I1518" s="2">
        <v>0</v>
      </c>
      <c r="J1518" s="2">
        <v>1</v>
      </c>
      <c r="K1518" s="2">
        <v>0</v>
      </c>
      <c r="L1518" s="3" t="s">
        <v>80</v>
      </c>
      <c r="O1518" s="4">
        <v>5</v>
      </c>
      <c r="P1518" s="4" t="s">
        <v>112</v>
      </c>
      <c r="Q1518" s="4"/>
      <c r="R1518" s="5"/>
      <c r="S1518" s="6"/>
      <c r="T1518" s="17"/>
      <c r="U1518" s="6"/>
      <c r="V1518" s="4"/>
      <c r="W1518" s="4"/>
      <c r="X1518" s="4"/>
      <c r="Y1518" s="7">
        <v>5</v>
      </c>
      <c r="Z1518" s="8">
        <v>135</v>
      </c>
      <c r="AA1518" s="7" t="s">
        <v>92</v>
      </c>
      <c r="AB1518" s="7"/>
      <c r="AC1518" s="9">
        <v>5</v>
      </c>
      <c r="AD1518" s="10">
        <v>135</v>
      </c>
      <c r="AE1518" s="9" t="s">
        <v>92</v>
      </c>
      <c r="AF1518" s="9"/>
      <c r="AG1518" s="11">
        <v>5</v>
      </c>
      <c r="AH1518" s="11" t="s">
        <v>93</v>
      </c>
      <c r="AI1518" s="11"/>
      <c r="AJ1518" s="11"/>
      <c r="AK1518" s="11"/>
      <c r="AL1518" s="12">
        <v>5</v>
      </c>
      <c r="AM1518" s="12" t="s">
        <v>93</v>
      </c>
      <c r="AN1518" s="12" t="s">
        <v>5963</v>
      </c>
      <c r="AO1518" s="12"/>
      <c r="AP1518" s="12"/>
      <c r="AQ1518" s="4">
        <v>5</v>
      </c>
      <c r="AR1518" s="4" t="s">
        <v>93</v>
      </c>
      <c r="AS1518" s="4"/>
      <c r="AT1518" s="13"/>
      <c r="AU1518" s="13"/>
      <c r="AV1518" s="13"/>
      <c r="AW1518" s="13"/>
      <c r="AX1518" s="4"/>
      <c r="AY1518" s="13"/>
      <c r="AZ1518" s="13"/>
      <c r="BA1518" s="13"/>
      <c r="BB1518" s="13"/>
      <c r="BC1518" s="4"/>
      <c r="BD1518" s="4"/>
      <c r="BE1518" s="4"/>
      <c r="BF1518" s="13"/>
      <c r="BG1518" s="4"/>
      <c r="BH1518" s="13"/>
      <c r="BI1518" s="13"/>
      <c r="BJ1518" s="4"/>
      <c r="BK1518" s="14">
        <v>20</v>
      </c>
      <c r="BL1518" s="14">
        <v>20</v>
      </c>
      <c r="BM1518" s="14">
        <v>20</v>
      </c>
      <c r="BN1518" s="3" t="s">
        <v>312</v>
      </c>
      <c r="BO1518" s="3" t="s">
        <v>899</v>
      </c>
      <c r="BP1518" s="15"/>
      <c r="BQ1518" s="15"/>
      <c r="BR1518" s="2" t="s">
        <v>108</v>
      </c>
      <c r="BS1518" s="2" t="s">
        <v>108</v>
      </c>
      <c r="BT1518" s="7" t="s">
        <v>760</v>
      </c>
      <c r="BU1518" s="7"/>
      <c r="BV1518" s="9" t="s">
        <v>760</v>
      </c>
      <c r="BW1518" s="9"/>
    </row>
    <row r="1519" spans="1:75" ht="14.25" customHeight="1" x14ac:dyDescent="0.25">
      <c r="A1519" s="1">
        <v>1601</v>
      </c>
      <c r="B1519" s="1" t="s">
        <v>5964</v>
      </c>
      <c r="C1519" s="1" t="s">
        <v>5965</v>
      </c>
      <c r="D1519" s="1" t="s">
        <v>77</v>
      </c>
      <c r="E1519" s="1" t="s">
        <v>2396</v>
      </c>
      <c r="F1519" s="1" t="s">
        <v>3957</v>
      </c>
      <c r="G1519" s="1"/>
      <c r="H1519" s="2">
        <v>0</v>
      </c>
      <c r="I1519" s="2">
        <v>0</v>
      </c>
      <c r="J1519" s="2">
        <v>1</v>
      </c>
      <c r="K1519" s="2">
        <v>1</v>
      </c>
      <c r="L1519" s="3" t="s">
        <v>80</v>
      </c>
      <c r="O1519" s="4">
        <v>3</v>
      </c>
      <c r="P1519" s="4" t="s">
        <v>112</v>
      </c>
      <c r="Q1519" s="4"/>
      <c r="R1519" s="5"/>
      <c r="S1519" s="6"/>
      <c r="T1519" s="17"/>
      <c r="U1519" s="6"/>
      <c r="V1519" s="4"/>
      <c r="W1519" s="4"/>
      <c r="X1519" s="4"/>
      <c r="Y1519" s="7">
        <v>2</v>
      </c>
      <c r="Z1519" s="8">
        <v>2171584</v>
      </c>
      <c r="AA1519" s="7" t="s">
        <v>92</v>
      </c>
      <c r="AB1519" s="7"/>
      <c r="AC1519" s="9">
        <v>2</v>
      </c>
      <c r="AD1519" s="10">
        <v>2171584</v>
      </c>
      <c r="AE1519" s="9" t="s">
        <v>92</v>
      </c>
      <c r="AF1519" s="9"/>
      <c r="AG1519" s="11">
        <v>2</v>
      </c>
      <c r="AH1519" s="11" t="s">
        <v>743</v>
      </c>
      <c r="AI1519" s="11" t="s">
        <v>5966</v>
      </c>
      <c r="AJ1519" s="11"/>
      <c r="AK1519" s="11"/>
      <c r="AL1519" s="12">
        <v>1</v>
      </c>
      <c r="AM1519" s="12" t="s">
        <v>93</v>
      </c>
      <c r="AN1519" s="12" t="s">
        <v>3983</v>
      </c>
      <c r="AO1519" s="12"/>
      <c r="AP1519" s="12"/>
      <c r="AQ1519" s="4">
        <v>1</v>
      </c>
      <c r="AR1519" s="4" t="s">
        <v>83</v>
      </c>
      <c r="AS1519" s="4" t="s">
        <v>5967</v>
      </c>
      <c r="AT1519" s="13"/>
      <c r="AU1519" s="13"/>
      <c r="AV1519" s="13"/>
      <c r="AW1519" s="13"/>
      <c r="AX1519" s="4"/>
      <c r="AY1519" s="13"/>
      <c r="AZ1519" s="13"/>
      <c r="BA1519" s="13"/>
      <c r="BB1519" s="13"/>
      <c r="BC1519" s="4"/>
      <c r="BD1519" s="4"/>
      <c r="BE1519" s="4"/>
      <c r="BF1519" s="13"/>
      <c r="BG1519" s="4"/>
      <c r="BH1519" s="13"/>
      <c r="BI1519" s="13"/>
      <c r="BJ1519" s="4"/>
      <c r="BK1519" s="14">
        <v>8</v>
      </c>
      <c r="BL1519" s="14">
        <v>7</v>
      </c>
      <c r="BM1519" s="14">
        <v>8</v>
      </c>
      <c r="BP1519" s="15" t="s">
        <v>135</v>
      </c>
      <c r="BQ1519" s="15" t="s">
        <v>136</v>
      </c>
      <c r="BR1519" s="2" t="s">
        <v>97</v>
      </c>
      <c r="BS1519" s="2" t="s">
        <v>97</v>
      </c>
      <c r="BT1519" s="7" t="s">
        <v>458</v>
      </c>
      <c r="BU1519" s="7" t="s">
        <v>603</v>
      </c>
      <c r="BV1519" s="9" t="s">
        <v>458</v>
      </c>
      <c r="BW1519" s="9" t="s">
        <v>603</v>
      </c>
    </row>
    <row r="1520" spans="1:75" ht="14.25" customHeight="1" x14ac:dyDescent="0.25">
      <c r="A1520" s="1">
        <v>1602</v>
      </c>
      <c r="B1520" s="1" t="s">
        <v>5968</v>
      </c>
      <c r="C1520" s="1" t="s">
        <v>5969</v>
      </c>
      <c r="D1520" s="1" t="s">
        <v>77</v>
      </c>
      <c r="E1520" s="1" t="s">
        <v>2396</v>
      </c>
      <c r="F1520" s="1" t="s">
        <v>3957</v>
      </c>
      <c r="G1520" s="1"/>
      <c r="H1520" s="2">
        <v>1</v>
      </c>
      <c r="I1520" s="2">
        <v>1</v>
      </c>
      <c r="J1520" s="2">
        <v>1</v>
      </c>
      <c r="K1520" s="2">
        <v>0</v>
      </c>
      <c r="L1520" s="3" t="s">
        <v>127</v>
      </c>
      <c r="O1520" s="4">
        <v>2</v>
      </c>
      <c r="P1520" s="4" t="s">
        <v>424</v>
      </c>
      <c r="Q1520" s="4"/>
      <c r="R1520" s="16">
        <v>43000000</v>
      </c>
      <c r="S1520" s="6">
        <v>43000000</v>
      </c>
      <c r="T1520" s="16">
        <v>34000000</v>
      </c>
      <c r="U1520" s="6">
        <v>34000000</v>
      </c>
      <c r="V1520" s="4">
        <v>2010.5</v>
      </c>
      <c r="W1520" s="4" t="s">
        <v>425</v>
      </c>
      <c r="X1520" s="4"/>
      <c r="Y1520" s="7">
        <v>1</v>
      </c>
      <c r="Z1520" s="8">
        <v>10130441</v>
      </c>
      <c r="AA1520" s="7" t="s">
        <v>92</v>
      </c>
      <c r="AB1520" s="7"/>
      <c r="AC1520" s="9">
        <v>1</v>
      </c>
      <c r="AD1520" s="10">
        <v>10298548</v>
      </c>
      <c r="AE1520" s="9" t="s">
        <v>92</v>
      </c>
      <c r="AF1520" s="9"/>
      <c r="AG1520" s="11">
        <v>2</v>
      </c>
      <c r="AH1520" s="11" t="s">
        <v>131</v>
      </c>
      <c r="AI1520" s="11"/>
      <c r="AJ1520" s="11">
        <v>2</v>
      </c>
      <c r="AK1520" s="11" t="s">
        <v>132</v>
      </c>
      <c r="AL1520" s="12">
        <v>2</v>
      </c>
      <c r="AM1520" s="12" t="s">
        <v>131</v>
      </c>
      <c r="AN1520" s="12"/>
      <c r="AO1520" s="12">
        <v>2</v>
      </c>
      <c r="AP1520" s="12" t="s">
        <v>132</v>
      </c>
      <c r="AQ1520" s="4">
        <v>4</v>
      </c>
      <c r="AR1520" s="4" t="s">
        <v>133</v>
      </c>
      <c r="AS1520" s="4"/>
      <c r="AT1520" s="13">
        <v>-29.297937393188501</v>
      </c>
      <c r="AU1520" s="13">
        <v>-0.677204370498657</v>
      </c>
      <c r="AV1520" s="13">
        <v>-1.0099999904632599</v>
      </c>
      <c r="AW1520" s="13">
        <v>-0.35330098867416398</v>
      </c>
      <c r="AX1520" s="4">
        <v>1</v>
      </c>
      <c r="AY1520" s="13">
        <v>-20.074192047119102</v>
      </c>
      <c r="AZ1520" s="13">
        <v>-2.0175759792327899</v>
      </c>
      <c r="BA1520" s="13">
        <v>-2.5699999332428001</v>
      </c>
      <c r="BB1520" s="13">
        <v>-1.5541019439697299</v>
      </c>
      <c r="BC1520" s="4">
        <v>1</v>
      </c>
      <c r="BD1520" s="4">
        <v>11</v>
      </c>
      <c r="BE1520" s="4" t="s">
        <v>134</v>
      </c>
      <c r="BF1520" s="13">
        <v>0.65669900178909302</v>
      </c>
      <c r="BG1520" s="4">
        <v>2789</v>
      </c>
      <c r="BH1520" s="13">
        <v>16.125</v>
      </c>
      <c r="BI1520" s="13">
        <v>44969.375</v>
      </c>
      <c r="BJ1520" s="4"/>
      <c r="BK1520" s="14">
        <v>9</v>
      </c>
      <c r="BL1520" s="14">
        <v>9</v>
      </c>
      <c r="BM1520" s="14">
        <v>9</v>
      </c>
      <c r="BP1520" s="15" t="s">
        <v>135</v>
      </c>
      <c r="BQ1520" s="15"/>
      <c r="BR1520" s="2" t="s">
        <v>247</v>
      </c>
      <c r="BS1520" s="2" t="s">
        <v>247</v>
      </c>
      <c r="BT1520" s="7" t="s">
        <v>458</v>
      </c>
      <c r="BU1520" s="7"/>
      <c r="BV1520" s="9" t="s">
        <v>458</v>
      </c>
      <c r="BW1520" s="9"/>
    </row>
    <row r="1521" spans="1:75" ht="14.25" customHeight="1" x14ac:dyDescent="0.25">
      <c r="A1521" s="1">
        <v>1603</v>
      </c>
      <c r="B1521" s="1" t="s">
        <v>5970</v>
      </c>
      <c r="C1521" s="1" t="s">
        <v>5971</v>
      </c>
      <c r="D1521" s="1" t="s">
        <v>77</v>
      </c>
      <c r="E1521" s="1" t="s">
        <v>2396</v>
      </c>
      <c r="F1521" s="1" t="s">
        <v>5972</v>
      </c>
      <c r="G1521" s="1"/>
      <c r="H1521" s="2">
        <v>1</v>
      </c>
      <c r="I1521" s="2">
        <v>1</v>
      </c>
      <c r="J1521" s="2">
        <v>1</v>
      </c>
      <c r="K1521" s="2">
        <v>0</v>
      </c>
      <c r="L1521" s="3" t="s">
        <v>127</v>
      </c>
      <c r="M1521" s="3">
        <v>1</v>
      </c>
      <c r="O1521" s="4">
        <v>1</v>
      </c>
      <c r="P1521" s="4" t="s">
        <v>5973</v>
      </c>
      <c r="Q1521" s="4"/>
      <c r="R1521" s="16">
        <v>250000000</v>
      </c>
      <c r="S1521" s="6">
        <v>250000000</v>
      </c>
      <c r="T1521" s="16">
        <v>93000000</v>
      </c>
      <c r="U1521" s="6">
        <v>93000000</v>
      </c>
      <c r="V1521" s="4">
        <v>2010.5</v>
      </c>
      <c r="W1521" s="4" t="s">
        <v>579</v>
      </c>
      <c r="X1521" s="4"/>
      <c r="Y1521" s="7">
        <v>1</v>
      </c>
      <c r="Z1521" s="8">
        <v>36834255</v>
      </c>
      <c r="AA1521" s="7" t="s">
        <v>92</v>
      </c>
      <c r="AB1521" s="7"/>
      <c r="AC1521" s="9">
        <v>1</v>
      </c>
      <c r="AD1521" s="10">
        <v>36834255</v>
      </c>
      <c r="AE1521" s="9" t="s">
        <v>92</v>
      </c>
      <c r="AF1521" s="9"/>
      <c r="AG1521" s="11">
        <v>2</v>
      </c>
      <c r="AH1521" s="11" t="s">
        <v>131</v>
      </c>
      <c r="AI1521" s="11"/>
      <c r="AJ1521" s="11">
        <v>2</v>
      </c>
      <c r="AK1521" s="11" t="s">
        <v>132</v>
      </c>
      <c r="AL1521" s="12">
        <v>2</v>
      </c>
      <c r="AM1521" s="12" t="s">
        <v>131</v>
      </c>
      <c r="AN1521" s="12"/>
      <c r="AO1521" s="12">
        <v>2</v>
      </c>
      <c r="AP1521" s="12" t="s">
        <v>143</v>
      </c>
      <c r="AQ1521" s="4">
        <v>5</v>
      </c>
      <c r="AR1521" s="4" t="s">
        <v>133</v>
      </c>
      <c r="AS1521" s="4"/>
      <c r="AT1521" s="13">
        <v>-49.374160766601598</v>
      </c>
      <c r="AU1521" s="13">
        <v>-1.32624924182892</v>
      </c>
      <c r="AV1521" s="13">
        <v>-1.5</v>
      </c>
      <c r="AW1521" s="13">
        <v>-1.1399999856948899</v>
      </c>
      <c r="AX1521" s="4">
        <v>1</v>
      </c>
      <c r="AY1521" s="13">
        <v>-29.6558132171631</v>
      </c>
      <c r="AZ1521" s="13">
        <v>-2.0479485988616899</v>
      </c>
      <c r="BA1521" s="13">
        <v>-2.38969898223877</v>
      </c>
      <c r="BB1521" s="13">
        <v>-1.5900000333786</v>
      </c>
      <c r="BC1521" s="4">
        <v>1</v>
      </c>
      <c r="BD1521" s="4">
        <v>17</v>
      </c>
      <c r="BE1521" s="4" t="s">
        <v>134</v>
      </c>
      <c r="BF1521" s="13">
        <v>0.36000001430511502</v>
      </c>
      <c r="BG1521" s="4">
        <v>4432.5</v>
      </c>
      <c r="BH1521" s="13">
        <v>33.764999389648402</v>
      </c>
      <c r="BI1521" s="13">
        <v>149604.4375</v>
      </c>
      <c r="BJ1521" s="4"/>
      <c r="BK1521" s="14">
        <v>9</v>
      </c>
      <c r="BL1521" s="14">
        <v>9</v>
      </c>
      <c r="BM1521" s="14">
        <v>9</v>
      </c>
      <c r="BP1521" s="15" t="s">
        <v>135</v>
      </c>
      <c r="BQ1521" s="15"/>
      <c r="BR1521" s="2" t="s">
        <v>12</v>
      </c>
      <c r="BS1521" s="2" t="s">
        <v>12</v>
      </c>
      <c r="BT1521" s="7" t="s">
        <v>603</v>
      </c>
      <c r="BU1521" s="7"/>
      <c r="BV1521" s="9" t="s">
        <v>603</v>
      </c>
      <c r="BW1521" s="9"/>
    </row>
    <row r="1522" spans="1:75" ht="14.25" customHeight="1" x14ac:dyDescent="0.25">
      <c r="A1522" s="1">
        <v>1604</v>
      </c>
      <c r="B1522" s="1" t="s">
        <v>5974</v>
      </c>
      <c r="C1522" s="1" t="s">
        <v>5975</v>
      </c>
      <c r="D1522" s="1" t="s">
        <v>77</v>
      </c>
      <c r="E1522" s="1" t="s">
        <v>2396</v>
      </c>
      <c r="F1522" s="1" t="s">
        <v>5972</v>
      </c>
      <c r="G1522" s="1"/>
      <c r="H1522" s="2">
        <v>0</v>
      </c>
      <c r="I1522" s="2">
        <v>1</v>
      </c>
      <c r="J1522" s="2">
        <v>0</v>
      </c>
      <c r="K1522" s="2">
        <v>0</v>
      </c>
      <c r="L1522" s="3" t="s">
        <v>80</v>
      </c>
      <c r="M1522" s="3">
        <v>1</v>
      </c>
      <c r="O1522" s="4">
        <v>1</v>
      </c>
      <c r="P1522" s="4" t="s">
        <v>2271</v>
      </c>
      <c r="Q1522" s="4"/>
      <c r="R1522" s="16">
        <v>200000000</v>
      </c>
      <c r="S1522" s="6">
        <v>200000000</v>
      </c>
      <c r="T1522" s="17"/>
      <c r="U1522" s="6"/>
      <c r="V1522" s="4"/>
      <c r="W1522" s="4"/>
      <c r="X1522" s="4"/>
      <c r="Y1522" s="7">
        <v>1</v>
      </c>
      <c r="Z1522" s="8">
        <v>6363400</v>
      </c>
      <c r="AA1522" s="7" t="s">
        <v>92</v>
      </c>
      <c r="AB1522" s="7"/>
      <c r="AC1522" s="9">
        <v>1</v>
      </c>
      <c r="AD1522" s="10">
        <v>6363400</v>
      </c>
      <c r="AE1522" s="9" t="s">
        <v>92</v>
      </c>
      <c r="AF1522" s="9"/>
      <c r="AG1522" s="11">
        <v>2</v>
      </c>
      <c r="AH1522" s="11" t="s">
        <v>131</v>
      </c>
      <c r="AI1522" s="11"/>
      <c r="AJ1522" s="11">
        <v>2</v>
      </c>
      <c r="AK1522" s="11" t="s">
        <v>132</v>
      </c>
      <c r="AL1522" s="12">
        <v>1</v>
      </c>
      <c r="AM1522" s="12" t="s">
        <v>131</v>
      </c>
      <c r="AN1522" s="12"/>
      <c r="AO1522" s="12">
        <v>1</v>
      </c>
      <c r="AP1522" s="12" t="s">
        <v>132</v>
      </c>
      <c r="AQ1522" s="4">
        <v>2</v>
      </c>
      <c r="AR1522" s="4" t="s">
        <v>665</v>
      </c>
      <c r="AS1522" s="4"/>
      <c r="AT1522" s="13"/>
      <c r="AU1522" s="13"/>
      <c r="AV1522" s="13"/>
      <c r="AW1522" s="13"/>
      <c r="AX1522" s="4"/>
      <c r="AY1522" s="13"/>
      <c r="AZ1522" s="13"/>
      <c r="BA1522" s="13"/>
      <c r="BB1522" s="13"/>
      <c r="BC1522" s="4"/>
      <c r="BD1522" s="4"/>
      <c r="BE1522" s="4"/>
      <c r="BF1522" s="13"/>
      <c r="BG1522" s="4"/>
      <c r="BH1522" s="13"/>
      <c r="BI1522" s="13"/>
      <c r="BJ1522" s="4"/>
      <c r="BK1522" s="14">
        <v>6</v>
      </c>
      <c r="BL1522" s="14">
        <v>5</v>
      </c>
      <c r="BM1522" s="14">
        <v>6</v>
      </c>
      <c r="BP1522" s="15" t="s">
        <v>135</v>
      </c>
      <c r="BQ1522" s="15"/>
      <c r="BR1522" s="2" t="s">
        <v>12</v>
      </c>
      <c r="BS1522" s="2" t="s">
        <v>12</v>
      </c>
      <c r="BT1522" s="7" t="s">
        <v>603</v>
      </c>
      <c r="BU1522" s="7"/>
      <c r="BV1522" s="9" t="s">
        <v>603</v>
      </c>
      <c r="BW1522" s="9"/>
    </row>
    <row r="1523" spans="1:75" ht="14.25" customHeight="1" x14ac:dyDescent="0.25">
      <c r="A1523" s="1">
        <v>1605</v>
      </c>
      <c r="B1523" s="1" t="s">
        <v>5976</v>
      </c>
      <c r="C1523" s="1" t="s">
        <v>5977</v>
      </c>
      <c r="D1523" s="1" t="s">
        <v>77</v>
      </c>
      <c r="E1523" s="1" t="s">
        <v>2396</v>
      </c>
      <c r="F1523" s="1" t="s">
        <v>5978</v>
      </c>
      <c r="G1523" s="1"/>
      <c r="H1523" s="2">
        <v>1</v>
      </c>
      <c r="I1523" s="2">
        <v>1</v>
      </c>
      <c r="J1523" s="2">
        <v>1</v>
      </c>
      <c r="K1523" s="2">
        <v>1</v>
      </c>
      <c r="L1523" s="3" t="s">
        <v>80</v>
      </c>
      <c r="O1523" s="4">
        <v>4</v>
      </c>
      <c r="P1523" s="4" t="s">
        <v>424</v>
      </c>
      <c r="Q1523" s="4"/>
      <c r="R1523" s="16">
        <v>160000</v>
      </c>
      <c r="S1523" s="6">
        <v>160000</v>
      </c>
      <c r="T1523" s="16">
        <v>150000</v>
      </c>
      <c r="U1523" s="6">
        <v>150000</v>
      </c>
      <c r="V1523" s="4">
        <v>2010.5</v>
      </c>
      <c r="W1523" s="4" t="s">
        <v>425</v>
      </c>
      <c r="X1523" s="4"/>
      <c r="Y1523" s="7">
        <v>1</v>
      </c>
      <c r="Z1523" s="8">
        <v>4803567</v>
      </c>
      <c r="AA1523" s="7" t="s">
        <v>92</v>
      </c>
      <c r="AB1523" s="7"/>
      <c r="AC1523" s="9">
        <v>1</v>
      </c>
      <c r="AD1523" s="10">
        <v>4803567</v>
      </c>
      <c r="AE1523" s="9" t="s">
        <v>92</v>
      </c>
      <c r="AF1523" s="9"/>
      <c r="AG1523" s="11">
        <v>3</v>
      </c>
      <c r="AH1523" s="11" t="s">
        <v>131</v>
      </c>
      <c r="AI1523" s="11"/>
      <c r="AJ1523" s="11">
        <v>3</v>
      </c>
      <c r="AK1523" s="11" t="s">
        <v>132</v>
      </c>
      <c r="AL1523" s="12">
        <v>4</v>
      </c>
      <c r="AM1523" s="12" t="s">
        <v>131</v>
      </c>
      <c r="AN1523" s="12"/>
      <c r="AO1523" s="12">
        <v>4</v>
      </c>
      <c r="AP1523" s="12" t="s">
        <v>132</v>
      </c>
      <c r="AQ1523" s="4">
        <v>3</v>
      </c>
      <c r="AR1523" s="4" t="s">
        <v>133</v>
      </c>
      <c r="AS1523" s="4"/>
      <c r="AT1523" s="13">
        <v>-22.180728912353501</v>
      </c>
      <c r="AU1523" s="13">
        <v>-0.48994782567024198</v>
      </c>
      <c r="AV1523" s="13">
        <v>-1.71000003814697</v>
      </c>
      <c r="AW1523" s="13">
        <v>0.17730000615119901</v>
      </c>
      <c r="AX1523" s="4"/>
      <c r="AY1523" s="13">
        <v>-6.59580421447754</v>
      </c>
      <c r="AZ1523" s="13">
        <v>-0.67946040630340598</v>
      </c>
      <c r="BA1523" s="13">
        <v>-3.03999996185303</v>
      </c>
      <c r="BB1523" s="13">
        <v>0.64800000190734897</v>
      </c>
      <c r="BC1523" s="4"/>
      <c r="BD1523" s="4">
        <v>10</v>
      </c>
      <c r="BE1523" s="4" t="s">
        <v>134</v>
      </c>
      <c r="BF1523" s="13">
        <v>1.8873000144958501</v>
      </c>
      <c r="BG1523" s="4">
        <v>253.5</v>
      </c>
      <c r="BH1523" s="13">
        <v>6.0849998146295499E-2</v>
      </c>
      <c r="BI1523" s="13">
        <v>15.430049896240201</v>
      </c>
      <c r="BJ1523" s="4"/>
      <c r="BK1523" s="14">
        <v>11</v>
      </c>
      <c r="BL1523" s="14">
        <v>12</v>
      </c>
      <c r="BM1523" s="14">
        <v>12</v>
      </c>
      <c r="BP1523" s="15"/>
      <c r="BQ1523" s="15"/>
      <c r="BR1523" s="2" t="s">
        <v>256</v>
      </c>
      <c r="BS1523" s="2" t="s">
        <v>256</v>
      </c>
      <c r="BT1523" s="7" t="s">
        <v>212</v>
      </c>
      <c r="BU1523" s="7"/>
      <c r="BV1523" s="9" t="s">
        <v>212</v>
      </c>
      <c r="BW1523" s="9"/>
    </row>
    <row r="1524" spans="1:75" ht="14.25" customHeight="1" x14ac:dyDescent="0.25">
      <c r="A1524" s="1">
        <v>1606</v>
      </c>
      <c r="B1524" s="1" t="s">
        <v>5979</v>
      </c>
      <c r="C1524" s="1" t="s">
        <v>5980</v>
      </c>
      <c r="D1524" s="1" t="s">
        <v>77</v>
      </c>
      <c r="E1524" s="1" t="s">
        <v>2396</v>
      </c>
      <c r="F1524" s="1" t="s">
        <v>3994</v>
      </c>
      <c r="G1524" s="1"/>
      <c r="H1524" s="2">
        <v>1</v>
      </c>
      <c r="I1524" s="2">
        <v>1</v>
      </c>
      <c r="J1524" s="2">
        <v>1</v>
      </c>
      <c r="K1524" s="2">
        <v>1</v>
      </c>
      <c r="L1524" s="3" t="s">
        <v>127</v>
      </c>
      <c r="O1524" s="4">
        <v>2</v>
      </c>
      <c r="P1524" s="4" t="s">
        <v>424</v>
      </c>
      <c r="Q1524" s="4"/>
      <c r="R1524" s="16">
        <v>23000000</v>
      </c>
      <c r="S1524" s="6">
        <v>23000000</v>
      </c>
      <c r="T1524" s="16">
        <v>21000000</v>
      </c>
      <c r="U1524" s="6">
        <v>21000000</v>
      </c>
      <c r="V1524" s="4">
        <v>2010.5</v>
      </c>
      <c r="W1524" s="4" t="s">
        <v>425</v>
      </c>
      <c r="X1524" s="4"/>
      <c r="Y1524" s="7">
        <v>1</v>
      </c>
      <c r="Z1524" s="8">
        <v>5455886</v>
      </c>
      <c r="AA1524" s="7" t="s">
        <v>92</v>
      </c>
      <c r="AB1524" s="7"/>
      <c r="AC1524" s="9">
        <v>2</v>
      </c>
      <c r="AD1524" s="10">
        <v>3328846</v>
      </c>
      <c r="AE1524" s="9" t="s">
        <v>92</v>
      </c>
      <c r="AF1524" s="9"/>
      <c r="AG1524" s="11">
        <v>2</v>
      </c>
      <c r="AH1524" s="11" t="s">
        <v>131</v>
      </c>
      <c r="AI1524" s="11" t="s">
        <v>5981</v>
      </c>
      <c r="AJ1524" s="11">
        <v>2</v>
      </c>
      <c r="AK1524" s="11" t="s">
        <v>143</v>
      </c>
      <c r="AL1524" s="12">
        <v>2</v>
      </c>
      <c r="AM1524" s="12" t="s">
        <v>131</v>
      </c>
      <c r="AN1524" s="12" t="s">
        <v>5981</v>
      </c>
      <c r="AO1524" s="12">
        <v>2</v>
      </c>
      <c r="AP1524" s="12" t="s">
        <v>143</v>
      </c>
      <c r="AQ1524" s="4">
        <v>1</v>
      </c>
      <c r="AR1524" s="4" t="s">
        <v>133</v>
      </c>
      <c r="AS1524" s="4"/>
      <c r="AT1524" s="13">
        <v>101.32928466796901</v>
      </c>
      <c r="AU1524" s="13">
        <v>1.3816618919372601</v>
      </c>
      <c r="AV1524" s="13">
        <v>0.70399999618530296</v>
      </c>
      <c r="AW1524" s="13">
        <v>1.9909980297088601</v>
      </c>
      <c r="AX1524" s="4">
        <v>1</v>
      </c>
      <c r="AY1524" s="13">
        <v>-29.257030487060501</v>
      </c>
      <c r="AZ1524" s="13">
        <v>-3.40378069877625</v>
      </c>
      <c r="BA1524" s="13">
        <v>-4</v>
      </c>
      <c r="BB1524" s="13">
        <v>-2.9900000095367401</v>
      </c>
      <c r="BC1524" s="4">
        <v>1</v>
      </c>
      <c r="BD1524" s="4">
        <v>10</v>
      </c>
      <c r="BE1524" s="4" t="s">
        <v>134</v>
      </c>
      <c r="BF1524" s="13">
        <v>1.28699803352356</v>
      </c>
      <c r="BG1524" s="4">
        <v>2682</v>
      </c>
      <c r="BH1524" s="13">
        <v>3.4300000667571999</v>
      </c>
      <c r="BI1524" s="13">
        <v>9197.41015625</v>
      </c>
      <c r="BJ1524" s="4"/>
      <c r="BK1524" s="14">
        <v>6</v>
      </c>
      <c r="BL1524" s="14">
        <v>7</v>
      </c>
      <c r="BM1524" s="14">
        <v>7</v>
      </c>
      <c r="BP1524" s="15"/>
      <c r="BQ1524" s="15"/>
      <c r="BR1524" s="2" t="s">
        <v>239</v>
      </c>
      <c r="BS1524" s="2" t="s">
        <v>239</v>
      </c>
      <c r="BT1524" s="7" t="s">
        <v>241</v>
      </c>
      <c r="BU1524" s="7" t="s">
        <v>438</v>
      </c>
      <c r="BV1524" s="9" t="s">
        <v>241</v>
      </c>
      <c r="BW1524" s="9" t="s">
        <v>438</v>
      </c>
    </row>
    <row r="1525" spans="1:75" ht="14.25" customHeight="1" x14ac:dyDescent="0.25">
      <c r="A1525" s="1">
        <v>1607</v>
      </c>
      <c r="B1525" s="1" t="s">
        <v>5982</v>
      </c>
      <c r="C1525" s="1" t="s">
        <v>5983</v>
      </c>
      <c r="D1525" s="1" t="s">
        <v>77</v>
      </c>
      <c r="E1525" s="1" t="s">
        <v>2396</v>
      </c>
      <c r="F1525" s="1" t="s">
        <v>3994</v>
      </c>
      <c r="G1525" s="1"/>
      <c r="H1525" s="2">
        <v>1</v>
      </c>
      <c r="I1525" s="2">
        <v>1</v>
      </c>
      <c r="J1525" s="2">
        <v>1</v>
      </c>
      <c r="K1525" s="2">
        <v>0</v>
      </c>
      <c r="L1525" s="3" t="s">
        <v>127</v>
      </c>
      <c r="O1525" s="4">
        <v>2</v>
      </c>
      <c r="P1525" s="4" t="s">
        <v>424</v>
      </c>
      <c r="Q1525" s="4"/>
      <c r="R1525" s="16">
        <v>7100000</v>
      </c>
      <c r="S1525" s="6">
        <v>7100000</v>
      </c>
      <c r="T1525" s="16">
        <v>5700000</v>
      </c>
      <c r="U1525" s="6">
        <v>5700000</v>
      </c>
      <c r="V1525" s="4">
        <v>2010.5</v>
      </c>
      <c r="W1525" s="4" t="s">
        <v>425</v>
      </c>
      <c r="X1525" s="4"/>
      <c r="Y1525" s="7">
        <v>2</v>
      </c>
      <c r="Z1525" s="8">
        <v>1780111</v>
      </c>
      <c r="AA1525" s="7" t="s">
        <v>92</v>
      </c>
      <c r="AB1525" s="7"/>
      <c r="AC1525" s="9">
        <v>2</v>
      </c>
      <c r="AD1525" s="10">
        <v>1909707</v>
      </c>
      <c r="AE1525" s="9" t="s">
        <v>92</v>
      </c>
      <c r="AF1525" s="9"/>
      <c r="AG1525" s="11">
        <v>3</v>
      </c>
      <c r="AH1525" s="11" t="s">
        <v>131</v>
      </c>
      <c r="AI1525" s="11" t="s">
        <v>5984</v>
      </c>
      <c r="AJ1525" s="11">
        <v>3</v>
      </c>
      <c r="AK1525" s="11" t="s">
        <v>132</v>
      </c>
      <c r="AL1525" s="12">
        <v>4</v>
      </c>
      <c r="AM1525" s="12" t="s">
        <v>131</v>
      </c>
      <c r="AN1525" s="12" t="s">
        <v>5985</v>
      </c>
      <c r="AO1525" s="12">
        <v>4</v>
      </c>
      <c r="AP1525" s="12" t="s">
        <v>132</v>
      </c>
      <c r="AQ1525" s="4">
        <v>2</v>
      </c>
      <c r="AR1525" s="4" t="s">
        <v>133</v>
      </c>
      <c r="AS1525" s="4"/>
      <c r="AT1525" s="13">
        <v>21.197532653808601</v>
      </c>
      <c r="AU1525" s="13">
        <v>0.37815201282501198</v>
      </c>
      <c r="AV1525" s="13">
        <v>-0.15999999642372101</v>
      </c>
      <c r="AW1525" s="13">
        <v>0.90499997138977095</v>
      </c>
      <c r="AX1525" s="4"/>
      <c r="AY1525" s="13">
        <v>0.91784691810607899</v>
      </c>
      <c r="AZ1525" s="13">
        <v>9.1522000730037703E-2</v>
      </c>
      <c r="BA1525" s="13">
        <v>-1.3090009689331099</v>
      </c>
      <c r="BB1525" s="13">
        <v>1.6100000143051101</v>
      </c>
      <c r="BC1525" s="4"/>
      <c r="BD1525" s="4">
        <v>10</v>
      </c>
      <c r="BE1525" s="4" t="s">
        <v>134</v>
      </c>
      <c r="BF1525" s="13">
        <v>1.0650000572204601</v>
      </c>
      <c r="BG1525" s="4">
        <v>504.5</v>
      </c>
      <c r="BH1525" s="13">
        <v>1.1499999761581401</v>
      </c>
      <c r="BI1525" s="13">
        <v>580.280029296875</v>
      </c>
      <c r="BJ1525" s="4"/>
      <c r="BK1525" s="14">
        <v>9</v>
      </c>
      <c r="BL1525" s="14">
        <v>10</v>
      </c>
      <c r="BM1525" s="14">
        <v>10</v>
      </c>
      <c r="BP1525" s="15"/>
      <c r="BQ1525" s="15"/>
      <c r="BR1525" s="2" t="s">
        <v>256</v>
      </c>
      <c r="BS1525" s="2" t="s">
        <v>256</v>
      </c>
      <c r="BT1525" s="7" t="s">
        <v>428</v>
      </c>
      <c r="BU1525" s="7" t="s">
        <v>438</v>
      </c>
      <c r="BV1525" s="9" t="s">
        <v>428</v>
      </c>
      <c r="BW1525" s="9" t="s">
        <v>475</v>
      </c>
    </row>
    <row r="1526" spans="1:75" ht="14.25" customHeight="1" x14ac:dyDescent="0.25">
      <c r="A1526" s="1">
        <v>1608</v>
      </c>
      <c r="B1526" s="1" t="s">
        <v>5986</v>
      </c>
      <c r="C1526" s="1" t="s">
        <v>5987</v>
      </c>
      <c r="D1526" s="1" t="s">
        <v>77</v>
      </c>
      <c r="E1526" s="1" t="s">
        <v>2396</v>
      </c>
      <c r="F1526" s="1" t="s">
        <v>3994</v>
      </c>
      <c r="G1526" s="1" t="s">
        <v>118</v>
      </c>
      <c r="H1526" s="2">
        <v>1</v>
      </c>
      <c r="I1526" s="2">
        <v>1</v>
      </c>
      <c r="J1526" s="2">
        <v>1</v>
      </c>
      <c r="K1526" s="2">
        <v>0</v>
      </c>
      <c r="L1526" s="3" t="s">
        <v>127</v>
      </c>
      <c r="O1526" s="4">
        <v>2</v>
      </c>
      <c r="P1526" s="4" t="s">
        <v>1906</v>
      </c>
      <c r="Q1526" s="4"/>
      <c r="R1526" s="16">
        <v>5600000</v>
      </c>
      <c r="S1526" s="6">
        <v>5600000</v>
      </c>
      <c r="T1526" s="16">
        <v>5600000</v>
      </c>
      <c r="U1526" s="6">
        <v>5600000</v>
      </c>
      <c r="V1526" s="4">
        <v>2010.5</v>
      </c>
      <c r="W1526" s="4" t="s">
        <v>1906</v>
      </c>
      <c r="X1526" s="4"/>
      <c r="Y1526" s="7">
        <v>1</v>
      </c>
      <c r="Z1526" s="8">
        <v>4363418</v>
      </c>
      <c r="AA1526" s="7" t="s">
        <v>92</v>
      </c>
      <c r="AB1526" s="7"/>
      <c r="AC1526" s="9">
        <v>2</v>
      </c>
      <c r="AD1526" s="10">
        <v>2759900</v>
      </c>
      <c r="AE1526" s="9" t="s">
        <v>92</v>
      </c>
      <c r="AF1526" s="9"/>
      <c r="AG1526" s="11">
        <v>4</v>
      </c>
      <c r="AH1526" s="11" t="s">
        <v>800</v>
      </c>
      <c r="AI1526" s="11" t="s">
        <v>5988</v>
      </c>
      <c r="AJ1526" s="11">
        <v>4</v>
      </c>
      <c r="AK1526" s="11" t="s">
        <v>132</v>
      </c>
      <c r="AL1526" s="12">
        <v>3</v>
      </c>
      <c r="AM1526" s="12" t="s">
        <v>131</v>
      </c>
      <c r="AN1526" s="12" t="s">
        <v>5985</v>
      </c>
      <c r="AO1526" s="12">
        <v>2</v>
      </c>
      <c r="AP1526" s="12" t="s">
        <v>143</v>
      </c>
      <c r="AQ1526" s="4">
        <v>4</v>
      </c>
      <c r="AR1526" s="4" t="s">
        <v>133</v>
      </c>
      <c r="AS1526" s="4"/>
      <c r="AT1526" s="13">
        <v>-29.4902458190918</v>
      </c>
      <c r="AU1526" s="13">
        <v>-0.68318390846252397</v>
      </c>
      <c r="AV1526" s="13">
        <v>-1.33000004291534</v>
      </c>
      <c r="AW1526" s="13">
        <v>-0.16810299456119501</v>
      </c>
      <c r="AX1526" s="4">
        <v>1</v>
      </c>
      <c r="AY1526" s="13">
        <v>-26.865308761596701</v>
      </c>
      <c r="AZ1526" s="13">
        <v>-3.0789270401000999</v>
      </c>
      <c r="BA1526" s="13">
        <v>-4.3600001335143999</v>
      </c>
      <c r="BB1526" s="13">
        <v>-2.1175980567932098</v>
      </c>
      <c r="BC1526" s="4">
        <v>1</v>
      </c>
      <c r="BD1526" s="4">
        <v>10</v>
      </c>
      <c r="BE1526" s="4" t="s">
        <v>134</v>
      </c>
      <c r="BF1526" s="13">
        <v>1.1618969440460201</v>
      </c>
      <c r="BG1526" s="4">
        <v>914</v>
      </c>
      <c r="BH1526" s="13">
        <v>2.1449999809265101</v>
      </c>
      <c r="BI1526" s="13">
        <v>1959.99499511719</v>
      </c>
      <c r="BJ1526" s="4"/>
      <c r="BK1526" s="14">
        <v>11</v>
      </c>
      <c r="BL1526" s="14">
        <v>11</v>
      </c>
      <c r="BM1526" s="14">
        <v>11</v>
      </c>
      <c r="BP1526" s="15"/>
      <c r="BQ1526" s="15" t="s">
        <v>136</v>
      </c>
      <c r="BR1526" s="2" t="s">
        <v>555</v>
      </c>
      <c r="BS1526" s="2" t="s">
        <v>297</v>
      </c>
      <c r="BT1526" s="7" t="s">
        <v>458</v>
      </c>
      <c r="BU1526" s="7" t="s">
        <v>539</v>
      </c>
      <c r="BV1526" s="9" t="s">
        <v>428</v>
      </c>
      <c r="BW1526" s="9" t="s">
        <v>603</v>
      </c>
    </row>
    <row r="1527" spans="1:75" ht="14.25" customHeight="1" x14ac:dyDescent="0.25">
      <c r="A1527" s="1">
        <v>1609</v>
      </c>
      <c r="B1527" s="1" t="s">
        <v>5989</v>
      </c>
      <c r="C1527" s="1" t="s">
        <v>5990</v>
      </c>
      <c r="D1527" s="1" t="s">
        <v>77</v>
      </c>
      <c r="E1527" s="1" t="s">
        <v>2396</v>
      </c>
      <c r="F1527" s="1" t="s">
        <v>3994</v>
      </c>
      <c r="G1527" s="1"/>
      <c r="H1527" s="2">
        <v>1</v>
      </c>
      <c r="I1527" s="2">
        <v>1</v>
      </c>
      <c r="J1527" s="2">
        <v>1</v>
      </c>
      <c r="K1527" s="2">
        <v>0</v>
      </c>
      <c r="L1527" s="3" t="s">
        <v>127</v>
      </c>
      <c r="O1527" s="4">
        <v>3</v>
      </c>
      <c r="P1527" s="4" t="s">
        <v>424</v>
      </c>
      <c r="Q1527" s="4"/>
      <c r="R1527" s="16">
        <v>1100000</v>
      </c>
      <c r="S1527" s="6">
        <v>1100000</v>
      </c>
      <c r="T1527" s="16">
        <v>1100000</v>
      </c>
      <c r="U1527" s="6">
        <v>1100000</v>
      </c>
      <c r="V1527" s="4">
        <v>2010.5</v>
      </c>
      <c r="W1527" s="4" t="s">
        <v>425</v>
      </c>
      <c r="X1527" s="4"/>
      <c r="Y1527" s="7">
        <v>2</v>
      </c>
      <c r="Z1527" s="8">
        <v>3566954</v>
      </c>
      <c r="AA1527" s="7" t="s">
        <v>92</v>
      </c>
      <c r="AB1527" s="7"/>
      <c r="AC1527" s="9">
        <v>2</v>
      </c>
      <c r="AD1527" s="10">
        <v>3847836</v>
      </c>
      <c r="AE1527" s="9" t="s">
        <v>92</v>
      </c>
      <c r="AF1527" s="9"/>
      <c r="AG1527" s="11">
        <v>4</v>
      </c>
      <c r="AH1527" s="11" t="s">
        <v>131</v>
      </c>
      <c r="AI1527" s="11"/>
      <c r="AJ1527" s="11">
        <v>5</v>
      </c>
      <c r="AK1527" s="11" t="s">
        <v>143</v>
      </c>
      <c r="AL1527" s="12">
        <v>3</v>
      </c>
      <c r="AM1527" s="12" t="s">
        <v>131</v>
      </c>
      <c r="AN1527" s="12" t="s">
        <v>5991</v>
      </c>
      <c r="AO1527" s="12">
        <v>4</v>
      </c>
      <c r="AP1527" s="12" t="s">
        <v>332</v>
      </c>
      <c r="AQ1527" s="4">
        <v>2</v>
      </c>
      <c r="AR1527" s="4" t="s">
        <v>133</v>
      </c>
      <c r="AS1527" s="4"/>
      <c r="AT1527" s="13">
        <v>21.2919006347656</v>
      </c>
      <c r="AU1527" s="13">
        <v>0.37902867794036899</v>
      </c>
      <c r="AV1527" s="13">
        <v>-0.112999998033047</v>
      </c>
      <c r="AW1527" s="13">
        <v>0.99400001764297496</v>
      </c>
      <c r="AX1527" s="4"/>
      <c r="AY1527" s="13">
        <v>-14.4307775497437</v>
      </c>
      <c r="AZ1527" s="13">
        <v>-1.54462313652039</v>
      </c>
      <c r="BA1527" s="13">
        <v>-3.75</v>
      </c>
      <c r="BB1527" s="13">
        <v>0.25780200958251998</v>
      </c>
      <c r="BC1527" s="4"/>
      <c r="BD1527" s="4">
        <v>10</v>
      </c>
      <c r="BE1527" s="4" t="s">
        <v>134</v>
      </c>
      <c r="BF1527" s="13">
        <v>1.10699999332428</v>
      </c>
      <c r="BG1527" s="4">
        <v>589</v>
      </c>
      <c r="BH1527" s="13">
        <v>0.40650001168250999</v>
      </c>
      <c r="BI1527" s="13">
        <v>239.34150695800801</v>
      </c>
      <c r="BJ1527" s="4"/>
      <c r="BK1527" s="14">
        <v>11</v>
      </c>
      <c r="BL1527" s="14">
        <v>10</v>
      </c>
      <c r="BM1527" s="14">
        <v>11</v>
      </c>
      <c r="BP1527" s="15"/>
      <c r="BQ1527" s="15"/>
      <c r="BR1527" s="2" t="s">
        <v>256</v>
      </c>
      <c r="BS1527" s="2" t="s">
        <v>256</v>
      </c>
      <c r="BT1527" s="7" t="s">
        <v>428</v>
      </c>
      <c r="BU1527" s="7"/>
      <c r="BV1527" s="9" t="s">
        <v>428</v>
      </c>
      <c r="BW1527" s="9" t="s">
        <v>438</v>
      </c>
    </row>
    <row r="1528" spans="1:75" ht="14.25" customHeight="1" x14ac:dyDescent="0.25">
      <c r="A1528" s="1">
        <v>1610</v>
      </c>
      <c r="B1528" s="1" t="s">
        <v>5992</v>
      </c>
      <c r="C1528" s="1" t="s">
        <v>5993</v>
      </c>
      <c r="D1528" s="1" t="s">
        <v>77</v>
      </c>
      <c r="E1528" s="1" t="s">
        <v>2396</v>
      </c>
      <c r="F1528" s="1" t="s">
        <v>3994</v>
      </c>
      <c r="G1528" s="1"/>
      <c r="H1528" s="2">
        <v>0</v>
      </c>
      <c r="I1528" s="2">
        <v>0</v>
      </c>
      <c r="J1528" s="2">
        <v>1</v>
      </c>
      <c r="K1528" s="2">
        <v>1</v>
      </c>
      <c r="L1528" s="3" t="s">
        <v>80</v>
      </c>
      <c r="O1528" s="4">
        <v>3</v>
      </c>
      <c r="P1528" s="4" t="s">
        <v>112</v>
      </c>
      <c r="Q1528" s="4" t="s">
        <v>5994</v>
      </c>
      <c r="R1528" s="5"/>
      <c r="S1528" s="6"/>
      <c r="T1528" s="17"/>
      <c r="U1528" s="6"/>
      <c r="V1528" s="4"/>
      <c r="W1528" s="4"/>
      <c r="X1528" s="4"/>
      <c r="Y1528" s="7">
        <v>3</v>
      </c>
      <c r="Z1528" s="8">
        <v>530181</v>
      </c>
      <c r="AA1528" s="7" t="s">
        <v>92</v>
      </c>
      <c r="AB1528" s="7"/>
      <c r="AC1528" s="9">
        <v>3</v>
      </c>
      <c r="AD1528" s="10">
        <v>530181</v>
      </c>
      <c r="AE1528" s="9" t="s">
        <v>92</v>
      </c>
      <c r="AF1528" s="9" t="s">
        <v>3958</v>
      </c>
      <c r="AG1528" s="11">
        <v>3</v>
      </c>
      <c r="AH1528" s="11" t="s">
        <v>93</v>
      </c>
      <c r="AI1528" s="11" t="s">
        <v>2591</v>
      </c>
      <c r="AJ1528" s="11"/>
      <c r="AK1528" s="11"/>
      <c r="AL1528" s="12">
        <v>3</v>
      </c>
      <c r="AM1528" s="12" t="s">
        <v>93</v>
      </c>
      <c r="AN1528" s="12" t="s">
        <v>805</v>
      </c>
      <c r="AO1528" s="12"/>
      <c r="AP1528" s="12"/>
      <c r="AQ1528" s="4">
        <v>4</v>
      </c>
      <c r="AR1528" s="4" t="s">
        <v>83</v>
      </c>
      <c r="AS1528" s="4"/>
      <c r="AT1528" s="13"/>
      <c r="AU1528" s="13"/>
      <c r="AV1528" s="13"/>
      <c r="AW1528" s="13"/>
      <c r="AX1528" s="4"/>
      <c r="AY1528" s="13"/>
      <c r="AZ1528" s="13"/>
      <c r="BA1528" s="13"/>
      <c r="BB1528" s="13"/>
      <c r="BC1528" s="4"/>
      <c r="BD1528" s="4"/>
      <c r="BE1528" s="4"/>
      <c r="BF1528" s="13"/>
      <c r="BG1528" s="4"/>
      <c r="BH1528" s="13"/>
      <c r="BI1528" s="13"/>
      <c r="BJ1528" s="4"/>
      <c r="BK1528" s="14">
        <v>13</v>
      </c>
      <c r="BL1528" s="14">
        <v>13</v>
      </c>
      <c r="BM1528" s="14">
        <v>13</v>
      </c>
      <c r="BP1528" s="15"/>
      <c r="BQ1528" s="15"/>
      <c r="BR1528" s="2" t="s">
        <v>409</v>
      </c>
      <c r="BS1528" s="2" t="s">
        <v>409</v>
      </c>
      <c r="BT1528" s="7" t="s">
        <v>437</v>
      </c>
      <c r="BU1528" s="7" t="s">
        <v>438</v>
      </c>
      <c r="BV1528" s="9" t="s">
        <v>437</v>
      </c>
      <c r="BW1528" s="9" t="s">
        <v>438</v>
      </c>
    </row>
    <row r="1529" spans="1:75" ht="14.25" customHeight="1" x14ac:dyDescent="0.25">
      <c r="A1529" s="1">
        <v>1613</v>
      </c>
      <c r="B1529" s="1" t="s">
        <v>5995</v>
      </c>
      <c r="C1529" s="1" t="s">
        <v>5996</v>
      </c>
      <c r="D1529" s="1" t="s">
        <v>77</v>
      </c>
      <c r="E1529" s="1" t="s">
        <v>2396</v>
      </c>
      <c r="F1529" s="1" t="s">
        <v>3994</v>
      </c>
      <c r="G1529" s="1" t="s">
        <v>118</v>
      </c>
      <c r="H1529" s="2">
        <v>0</v>
      </c>
      <c r="I1529" s="2">
        <v>0</v>
      </c>
      <c r="J1529" s="2">
        <v>0</v>
      </c>
      <c r="K1529" s="2">
        <v>1</v>
      </c>
      <c r="L1529" s="3" t="s">
        <v>80</v>
      </c>
      <c r="O1529" s="4">
        <v>4</v>
      </c>
      <c r="P1529" s="4" t="s">
        <v>81</v>
      </c>
      <c r="Q1529" s="4"/>
      <c r="R1529" s="5"/>
      <c r="S1529" s="6"/>
      <c r="T1529" s="17"/>
      <c r="U1529" s="6"/>
      <c r="V1529" s="4"/>
      <c r="W1529" s="4"/>
      <c r="X1529" s="4"/>
      <c r="Y1529" s="7">
        <v>5</v>
      </c>
      <c r="Z1529" s="8">
        <v>32047</v>
      </c>
      <c r="AA1529" s="7" t="s">
        <v>82</v>
      </c>
      <c r="AB1529" s="7"/>
      <c r="AC1529" s="9">
        <v>5</v>
      </c>
      <c r="AD1529" s="10">
        <v>32047</v>
      </c>
      <c r="AE1529" s="9" t="s">
        <v>82</v>
      </c>
      <c r="AF1529" s="9"/>
      <c r="AG1529" s="11">
        <v>4</v>
      </c>
      <c r="AH1529" s="11" t="s">
        <v>83</v>
      </c>
      <c r="AI1529" s="11" t="s">
        <v>5997</v>
      </c>
      <c r="AJ1529" s="11"/>
      <c r="AK1529" s="11"/>
      <c r="AL1529" s="12">
        <v>4</v>
      </c>
      <c r="AM1529" s="12" t="s">
        <v>83</v>
      </c>
      <c r="AN1529" s="12" t="s">
        <v>5998</v>
      </c>
      <c r="AO1529" s="12"/>
      <c r="AP1529" s="12"/>
      <c r="AQ1529" s="4">
        <v>4</v>
      </c>
      <c r="AR1529" s="4" t="s">
        <v>83</v>
      </c>
      <c r="AS1529" s="4"/>
      <c r="AT1529" s="13"/>
      <c r="AU1529" s="13"/>
      <c r="AV1529" s="13"/>
      <c r="AW1529" s="13"/>
      <c r="AX1529" s="4"/>
      <c r="AY1529" s="13"/>
      <c r="AZ1529" s="13"/>
      <c r="BA1529" s="13"/>
      <c r="BB1529" s="13"/>
      <c r="BC1529" s="4"/>
      <c r="BD1529" s="4"/>
      <c r="BE1529" s="4"/>
      <c r="BF1529" s="13"/>
      <c r="BG1529" s="4"/>
      <c r="BH1529" s="13"/>
      <c r="BI1529" s="13"/>
      <c r="BJ1529" s="4"/>
      <c r="BK1529" s="14">
        <v>17</v>
      </c>
      <c r="BL1529" s="14">
        <v>17</v>
      </c>
      <c r="BM1529" s="14">
        <v>17</v>
      </c>
      <c r="BN1529" s="3" t="s">
        <v>312</v>
      </c>
      <c r="BP1529" s="15"/>
      <c r="BQ1529" s="15"/>
      <c r="BR1529" s="2" t="s">
        <v>87</v>
      </c>
      <c r="BS1529" s="2" t="s">
        <v>87</v>
      </c>
      <c r="BT1529" s="7" t="s">
        <v>88</v>
      </c>
      <c r="BU1529" s="7"/>
      <c r="BV1529" s="9" t="s">
        <v>88</v>
      </c>
      <c r="BW1529" s="9"/>
    </row>
    <row r="1530" spans="1:75" ht="14.25" customHeight="1" x14ac:dyDescent="0.25">
      <c r="A1530" s="1">
        <v>1614</v>
      </c>
      <c r="B1530" s="1" t="s">
        <v>5999</v>
      </c>
      <c r="C1530" s="1" t="s">
        <v>6000</v>
      </c>
      <c r="D1530" s="1" t="s">
        <v>77</v>
      </c>
      <c r="E1530" s="1" t="s">
        <v>2396</v>
      </c>
      <c r="F1530" s="1" t="s">
        <v>3994</v>
      </c>
      <c r="G1530" s="1" t="s">
        <v>118</v>
      </c>
      <c r="H1530" s="2">
        <v>0</v>
      </c>
      <c r="I1530" s="2">
        <v>0</v>
      </c>
      <c r="J1530" s="2">
        <v>0</v>
      </c>
      <c r="K1530" s="2">
        <v>1</v>
      </c>
      <c r="L1530" s="3" t="s">
        <v>80</v>
      </c>
      <c r="O1530" s="4">
        <v>5</v>
      </c>
      <c r="P1530" s="4" t="s">
        <v>81</v>
      </c>
      <c r="Q1530" s="4"/>
      <c r="R1530" s="5"/>
      <c r="S1530" s="6"/>
      <c r="T1530" s="17"/>
      <c r="U1530" s="6"/>
      <c r="V1530" s="4"/>
      <c r="W1530" s="4"/>
      <c r="X1530" s="4"/>
      <c r="Y1530" s="7">
        <v>5</v>
      </c>
      <c r="Z1530" s="8">
        <v>465</v>
      </c>
      <c r="AA1530" s="7" t="s">
        <v>82</v>
      </c>
      <c r="AB1530" s="7"/>
      <c r="AC1530" s="9">
        <v>5</v>
      </c>
      <c r="AD1530" s="10">
        <v>465</v>
      </c>
      <c r="AE1530" s="9" t="s">
        <v>82</v>
      </c>
      <c r="AF1530" s="9"/>
      <c r="AG1530" s="11">
        <v>5</v>
      </c>
      <c r="AH1530" s="11" t="s">
        <v>83</v>
      </c>
      <c r="AI1530" s="11"/>
      <c r="AJ1530" s="11"/>
      <c r="AK1530" s="11"/>
      <c r="AL1530" s="12">
        <v>4</v>
      </c>
      <c r="AM1530" s="12" t="s">
        <v>83</v>
      </c>
      <c r="AN1530" s="12"/>
      <c r="AO1530" s="12"/>
      <c r="AP1530" s="12"/>
      <c r="AQ1530" s="4">
        <v>5</v>
      </c>
      <c r="AR1530" s="4" t="s">
        <v>83</v>
      </c>
      <c r="AS1530" s="4"/>
      <c r="AT1530" s="13"/>
      <c r="AU1530" s="13"/>
      <c r="AV1530" s="13"/>
      <c r="AW1530" s="13"/>
      <c r="AX1530" s="4"/>
      <c r="AY1530" s="13"/>
      <c r="AZ1530" s="13"/>
      <c r="BA1530" s="13"/>
      <c r="BB1530" s="13"/>
      <c r="BC1530" s="4"/>
      <c r="BD1530" s="4"/>
      <c r="BE1530" s="4"/>
      <c r="BF1530" s="13"/>
      <c r="BG1530" s="4"/>
      <c r="BH1530" s="13"/>
      <c r="BI1530" s="13"/>
      <c r="BJ1530" s="4"/>
      <c r="BK1530" s="14">
        <v>20</v>
      </c>
      <c r="BL1530" s="14">
        <v>19</v>
      </c>
      <c r="BM1530" s="14">
        <v>20</v>
      </c>
      <c r="BN1530" s="3" t="s">
        <v>312</v>
      </c>
      <c r="BO1530" s="3" t="s">
        <v>120</v>
      </c>
      <c r="BP1530" s="15"/>
      <c r="BQ1530" s="15"/>
      <c r="BR1530" s="2" t="s">
        <v>87</v>
      </c>
      <c r="BS1530" s="2" t="s">
        <v>87</v>
      </c>
      <c r="BT1530" s="7" t="s">
        <v>88</v>
      </c>
      <c r="BU1530" s="7"/>
      <c r="BV1530" s="9" t="s">
        <v>88</v>
      </c>
      <c r="BW1530" s="9"/>
    </row>
    <row r="1531" spans="1:75" ht="14.25" customHeight="1" x14ac:dyDescent="0.25">
      <c r="A1531" s="1">
        <v>1615</v>
      </c>
      <c r="B1531" s="1" t="s">
        <v>6001</v>
      </c>
      <c r="C1531" s="1" t="s">
        <v>6002</v>
      </c>
      <c r="D1531" s="1" t="s">
        <v>77</v>
      </c>
      <c r="E1531" s="1" t="s">
        <v>2396</v>
      </c>
      <c r="F1531" s="1" t="s">
        <v>3994</v>
      </c>
      <c r="G1531" s="1"/>
      <c r="H1531" s="2">
        <v>0</v>
      </c>
      <c r="I1531" s="2">
        <v>0</v>
      </c>
      <c r="J1531" s="2">
        <v>1</v>
      </c>
      <c r="K1531" s="2">
        <v>1</v>
      </c>
      <c r="L1531" s="3" t="s">
        <v>80</v>
      </c>
      <c r="O1531" s="4">
        <v>5</v>
      </c>
      <c r="P1531" s="4" t="s">
        <v>112</v>
      </c>
      <c r="Q1531" s="4"/>
      <c r="R1531" s="5"/>
      <c r="S1531" s="6"/>
      <c r="T1531" s="17"/>
      <c r="U1531" s="6"/>
      <c r="V1531" s="4"/>
      <c r="W1531" s="4"/>
      <c r="X1531" s="4"/>
      <c r="Y1531" s="7">
        <v>4</v>
      </c>
      <c r="Z1531" s="8">
        <v>140833</v>
      </c>
      <c r="AA1531" s="7" t="s">
        <v>92</v>
      </c>
      <c r="AB1531" s="7"/>
      <c r="AC1531" s="9">
        <v>4</v>
      </c>
      <c r="AD1531" s="10">
        <v>140833</v>
      </c>
      <c r="AE1531" s="9" t="s">
        <v>92</v>
      </c>
      <c r="AF1531" s="9"/>
      <c r="AG1531" s="11">
        <v>4</v>
      </c>
      <c r="AH1531" s="11" t="s">
        <v>93</v>
      </c>
      <c r="AI1531" s="11"/>
      <c r="AJ1531" s="11"/>
      <c r="AK1531" s="11"/>
      <c r="AL1531" s="12">
        <v>4</v>
      </c>
      <c r="AM1531" s="12" t="s">
        <v>93</v>
      </c>
      <c r="AN1531" s="12" t="s">
        <v>805</v>
      </c>
      <c r="AO1531" s="12"/>
      <c r="AP1531" s="12"/>
      <c r="AQ1531" s="4">
        <v>4</v>
      </c>
      <c r="AR1531" s="4" t="s">
        <v>83</v>
      </c>
      <c r="AS1531" s="4" t="s">
        <v>6003</v>
      </c>
      <c r="AT1531" s="13"/>
      <c r="AU1531" s="13"/>
      <c r="AV1531" s="13"/>
      <c r="AW1531" s="13"/>
      <c r="AX1531" s="4"/>
      <c r="AY1531" s="13"/>
      <c r="AZ1531" s="13"/>
      <c r="BA1531" s="13"/>
      <c r="BB1531" s="13"/>
      <c r="BC1531" s="4"/>
      <c r="BD1531" s="4"/>
      <c r="BE1531" s="4"/>
      <c r="BF1531" s="13"/>
      <c r="BG1531" s="4"/>
      <c r="BH1531" s="13"/>
      <c r="BI1531" s="13"/>
      <c r="BJ1531" s="4"/>
      <c r="BK1531" s="14">
        <v>17</v>
      </c>
      <c r="BL1531" s="14">
        <v>17</v>
      </c>
      <c r="BM1531" s="14">
        <v>17</v>
      </c>
      <c r="BN1531" s="3" t="s">
        <v>312</v>
      </c>
      <c r="BP1531" s="15"/>
      <c r="BQ1531" s="15"/>
      <c r="BR1531" s="2" t="s">
        <v>409</v>
      </c>
      <c r="BS1531" s="2" t="s">
        <v>409</v>
      </c>
      <c r="BT1531" s="7" t="s">
        <v>88</v>
      </c>
      <c r="BU1531" s="7" t="s">
        <v>437</v>
      </c>
      <c r="BV1531" s="9" t="s">
        <v>88</v>
      </c>
      <c r="BW1531" s="9" t="s">
        <v>437</v>
      </c>
    </row>
    <row r="1532" spans="1:75" ht="14.25" customHeight="1" x14ac:dyDescent="0.25">
      <c r="A1532" s="1">
        <v>1622</v>
      </c>
      <c r="B1532" s="1" t="s">
        <v>6004</v>
      </c>
      <c r="C1532" s="1" t="s">
        <v>6005</v>
      </c>
      <c r="D1532" s="1" t="s">
        <v>77</v>
      </c>
      <c r="E1532" s="1" t="s">
        <v>2396</v>
      </c>
      <c r="F1532" s="1" t="s">
        <v>3994</v>
      </c>
      <c r="G1532" s="1"/>
      <c r="H1532" s="2">
        <v>0</v>
      </c>
      <c r="I1532" s="2">
        <v>0</v>
      </c>
      <c r="J1532" s="2">
        <v>0</v>
      </c>
      <c r="K1532" s="2">
        <v>1</v>
      </c>
      <c r="L1532" s="3" t="s">
        <v>80</v>
      </c>
      <c r="O1532" s="4">
        <v>5</v>
      </c>
      <c r="P1532" s="4" t="s">
        <v>81</v>
      </c>
      <c r="Q1532" s="4"/>
      <c r="R1532" s="5"/>
      <c r="S1532" s="6"/>
      <c r="T1532" s="17"/>
      <c r="U1532" s="6"/>
      <c r="V1532" s="4"/>
      <c r="W1532" s="4"/>
      <c r="X1532" s="4"/>
      <c r="Y1532" s="7">
        <v>5</v>
      </c>
      <c r="Z1532" s="8">
        <v>3837</v>
      </c>
      <c r="AA1532" s="7" t="s">
        <v>82</v>
      </c>
      <c r="AB1532" s="7"/>
      <c r="AC1532" s="9">
        <v>5</v>
      </c>
      <c r="AD1532" s="10">
        <v>3837</v>
      </c>
      <c r="AE1532" s="9" t="s">
        <v>82</v>
      </c>
      <c r="AF1532" s="9"/>
      <c r="AG1532" s="11">
        <v>4</v>
      </c>
      <c r="AH1532" s="11" t="s">
        <v>83</v>
      </c>
      <c r="AI1532" s="11"/>
      <c r="AJ1532" s="11"/>
      <c r="AK1532" s="11"/>
      <c r="AL1532" s="12">
        <v>4</v>
      </c>
      <c r="AM1532" s="12" t="s">
        <v>83</v>
      </c>
      <c r="AN1532" s="12"/>
      <c r="AO1532" s="12"/>
      <c r="AP1532" s="12"/>
      <c r="AQ1532" s="4">
        <v>3</v>
      </c>
      <c r="AR1532" s="4" t="s">
        <v>83</v>
      </c>
      <c r="AS1532" s="4"/>
      <c r="AT1532" s="13"/>
      <c r="AU1532" s="13"/>
      <c r="AV1532" s="13"/>
      <c r="AW1532" s="13"/>
      <c r="AX1532" s="4"/>
      <c r="AY1532" s="13"/>
      <c r="AZ1532" s="13"/>
      <c r="BA1532" s="13"/>
      <c r="BB1532" s="13"/>
      <c r="BC1532" s="4"/>
      <c r="BD1532" s="4"/>
      <c r="BE1532" s="4"/>
      <c r="BF1532" s="13"/>
      <c r="BG1532" s="4"/>
      <c r="BH1532" s="13"/>
      <c r="BI1532" s="13"/>
      <c r="BJ1532" s="4"/>
      <c r="BK1532" s="14">
        <v>17</v>
      </c>
      <c r="BL1532" s="14">
        <v>17</v>
      </c>
      <c r="BM1532" s="14">
        <v>17</v>
      </c>
      <c r="BN1532" s="3" t="s">
        <v>312</v>
      </c>
      <c r="BP1532" s="15"/>
      <c r="BQ1532" s="15"/>
      <c r="BR1532" s="2" t="s">
        <v>87</v>
      </c>
      <c r="BS1532" s="2" t="s">
        <v>87</v>
      </c>
      <c r="BT1532" s="7" t="s">
        <v>88</v>
      </c>
      <c r="BU1532" s="7"/>
      <c r="BV1532" s="9" t="s">
        <v>88</v>
      </c>
      <c r="BW1532" s="9"/>
    </row>
    <row r="1533" spans="1:75" ht="14.25" customHeight="1" x14ac:dyDescent="0.25">
      <c r="A1533" s="1">
        <v>1623</v>
      </c>
      <c r="B1533" s="1" t="s">
        <v>6006</v>
      </c>
      <c r="C1533" s="1" t="s">
        <v>6007</v>
      </c>
      <c r="D1533" s="1" t="s">
        <v>77</v>
      </c>
      <c r="E1533" s="1" t="s">
        <v>2396</v>
      </c>
      <c r="F1533" s="1" t="s">
        <v>3994</v>
      </c>
      <c r="G1533" s="1"/>
      <c r="H1533" s="2">
        <v>0</v>
      </c>
      <c r="I1533" s="2">
        <v>0</v>
      </c>
      <c r="J1533" s="2">
        <v>1</v>
      </c>
      <c r="K1533" s="2">
        <v>1</v>
      </c>
      <c r="L1533" s="3" t="s">
        <v>80</v>
      </c>
      <c r="O1533" s="4">
        <v>3</v>
      </c>
      <c r="P1533" s="4" t="s">
        <v>112</v>
      </c>
      <c r="Q1533" s="4"/>
      <c r="R1533" s="5"/>
      <c r="S1533" s="6"/>
      <c r="T1533" s="17"/>
      <c r="U1533" s="6"/>
      <c r="V1533" s="4"/>
      <c r="W1533" s="4"/>
      <c r="X1533" s="4"/>
      <c r="Y1533" s="7">
        <v>3</v>
      </c>
      <c r="Z1533" s="8">
        <v>646935</v>
      </c>
      <c r="AA1533" s="7" t="s">
        <v>92</v>
      </c>
      <c r="AB1533" s="7"/>
      <c r="AC1533" s="9">
        <v>3</v>
      </c>
      <c r="AD1533" s="10">
        <v>793420</v>
      </c>
      <c r="AE1533" s="9" t="s">
        <v>92</v>
      </c>
      <c r="AF1533" s="9"/>
      <c r="AG1533" s="11">
        <v>3</v>
      </c>
      <c r="AH1533" s="11" t="s">
        <v>93</v>
      </c>
      <c r="AI1533" s="11"/>
      <c r="AJ1533" s="11"/>
      <c r="AK1533" s="11"/>
      <c r="AL1533" s="12">
        <v>2</v>
      </c>
      <c r="AM1533" s="12" t="s">
        <v>93</v>
      </c>
      <c r="AN1533" s="12" t="s">
        <v>6008</v>
      </c>
      <c r="AO1533" s="12"/>
      <c r="AP1533" s="12"/>
      <c r="AQ1533" s="4">
        <v>3</v>
      </c>
      <c r="AR1533" s="4" t="s">
        <v>83</v>
      </c>
      <c r="AS1533" s="4"/>
      <c r="AT1533" s="13"/>
      <c r="AU1533" s="13"/>
      <c r="AV1533" s="13"/>
      <c r="AW1533" s="13"/>
      <c r="AX1533" s="4"/>
      <c r="AY1533" s="13"/>
      <c r="AZ1533" s="13"/>
      <c r="BA1533" s="13"/>
      <c r="BB1533" s="13"/>
      <c r="BC1533" s="4"/>
      <c r="BD1533" s="4"/>
      <c r="BE1533" s="4"/>
      <c r="BF1533" s="13"/>
      <c r="BG1533" s="4"/>
      <c r="BH1533" s="13"/>
      <c r="BI1533" s="13"/>
      <c r="BJ1533" s="4"/>
      <c r="BK1533" s="14">
        <v>12</v>
      </c>
      <c r="BL1533" s="14">
        <v>11</v>
      </c>
      <c r="BM1533" s="14">
        <v>12</v>
      </c>
      <c r="BP1533" s="15"/>
      <c r="BQ1533" s="15"/>
      <c r="BR1533" s="2" t="s">
        <v>97</v>
      </c>
      <c r="BS1533" s="2" t="s">
        <v>97</v>
      </c>
      <c r="BT1533" s="7" t="s">
        <v>797</v>
      </c>
      <c r="BU1533" s="7"/>
      <c r="BV1533" s="9" t="s">
        <v>797</v>
      </c>
      <c r="BW1533" s="9"/>
    </row>
    <row r="1534" spans="1:75" ht="14.25" customHeight="1" x14ac:dyDescent="0.25">
      <c r="A1534" s="1">
        <v>1624</v>
      </c>
      <c r="B1534" s="1" t="s">
        <v>6009</v>
      </c>
      <c r="C1534" s="1" t="s">
        <v>6010</v>
      </c>
      <c r="D1534" s="1" t="s">
        <v>77</v>
      </c>
      <c r="E1534" s="1" t="s">
        <v>2396</v>
      </c>
      <c r="F1534" s="1" t="s">
        <v>3994</v>
      </c>
      <c r="G1534" s="1"/>
      <c r="H1534" s="2">
        <v>0</v>
      </c>
      <c r="I1534" s="2">
        <v>0</v>
      </c>
      <c r="J1534" s="2">
        <v>0</v>
      </c>
      <c r="K1534" s="2">
        <v>1</v>
      </c>
      <c r="L1534" s="3" t="s">
        <v>80</v>
      </c>
      <c r="O1534" s="4">
        <v>3</v>
      </c>
      <c r="P1534" s="4" t="s">
        <v>81</v>
      </c>
      <c r="Q1534" s="4"/>
      <c r="R1534" s="5"/>
      <c r="S1534" s="6"/>
      <c r="T1534" s="17"/>
      <c r="U1534" s="6"/>
      <c r="V1534" s="4"/>
      <c r="W1534" s="4"/>
      <c r="X1534" s="4"/>
      <c r="Y1534" s="7">
        <v>4</v>
      </c>
      <c r="Z1534" s="8">
        <v>261273</v>
      </c>
      <c r="AA1534" s="7" t="s">
        <v>82</v>
      </c>
      <c r="AB1534" s="7"/>
      <c r="AC1534" s="9">
        <v>4</v>
      </c>
      <c r="AD1534" s="10">
        <v>261273</v>
      </c>
      <c r="AE1534" s="9" t="s">
        <v>82</v>
      </c>
      <c r="AF1534" s="9"/>
      <c r="AG1534" s="11">
        <v>3</v>
      </c>
      <c r="AH1534" s="11" t="s">
        <v>83</v>
      </c>
      <c r="AI1534" s="11"/>
      <c r="AJ1534" s="11"/>
      <c r="AK1534" s="11"/>
      <c r="AL1534" s="12">
        <v>3</v>
      </c>
      <c r="AM1534" s="12" t="s">
        <v>83</v>
      </c>
      <c r="AN1534" s="12"/>
      <c r="AO1534" s="12"/>
      <c r="AP1534" s="12"/>
      <c r="AQ1534" s="4">
        <v>3</v>
      </c>
      <c r="AR1534" s="4" t="s">
        <v>83</v>
      </c>
      <c r="AS1534" s="4"/>
      <c r="AT1534" s="13"/>
      <c r="AU1534" s="13"/>
      <c r="AV1534" s="13"/>
      <c r="AW1534" s="13"/>
      <c r="AX1534" s="4"/>
      <c r="AY1534" s="13"/>
      <c r="AZ1534" s="13"/>
      <c r="BA1534" s="13"/>
      <c r="BB1534" s="13"/>
      <c r="BC1534" s="4"/>
      <c r="BD1534" s="4"/>
      <c r="BE1534" s="4"/>
      <c r="BF1534" s="13"/>
      <c r="BG1534" s="4"/>
      <c r="BH1534" s="13"/>
      <c r="BI1534" s="13"/>
      <c r="BJ1534" s="4"/>
      <c r="BK1534" s="14">
        <v>13</v>
      </c>
      <c r="BL1534" s="14">
        <v>13</v>
      </c>
      <c r="BM1534" s="14">
        <v>13</v>
      </c>
      <c r="BP1534" s="15"/>
      <c r="BQ1534" s="15"/>
      <c r="BR1534" s="2" t="s">
        <v>87</v>
      </c>
      <c r="BS1534" s="2" t="s">
        <v>87</v>
      </c>
      <c r="BT1534" s="7" t="s">
        <v>88</v>
      </c>
      <c r="BU1534" s="7"/>
      <c r="BV1534" s="9" t="s">
        <v>88</v>
      </c>
      <c r="BW1534" s="9"/>
    </row>
    <row r="1535" spans="1:75" ht="14.25" customHeight="1" x14ac:dyDescent="0.25">
      <c r="A1535" s="1">
        <v>1625</v>
      </c>
      <c r="B1535" s="1" t="s">
        <v>6011</v>
      </c>
      <c r="C1535" s="1" t="s">
        <v>6012</v>
      </c>
      <c r="D1535" s="1" t="s">
        <v>77</v>
      </c>
      <c r="E1535" s="1" t="s">
        <v>2396</v>
      </c>
      <c r="F1535" s="1" t="s">
        <v>3994</v>
      </c>
      <c r="G1535" s="1"/>
      <c r="H1535" s="2">
        <v>0</v>
      </c>
      <c r="I1535" s="2">
        <v>0</v>
      </c>
      <c r="J1535" s="2">
        <v>1</v>
      </c>
      <c r="K1535" s="2">
        <v>0</v>
      </c>
      <c r="L1535" s="3" t="s">
        <v>80</v>
      </c>
      <c r="O1535" s="4">
        <v>4</v>
      </c>
      <c r="P1535" s="4" t="s">
        <v>112</v>
      </c>
      <c r="Q1535" s="4"/>
      <c r="R1535" s="5"/>
      <c r="S1535" s="6"/>
      <c r="T1535" s="17"/>
      <c r="U1535" s="6"/>
      <c r="V1535" s="4"/>
      <c r="W1535" s="4"/>
      <c r="X1535" s="4"/>
      <c r="Y1535" s="7">
        <v>3</v>
      </c>
      <c r="Z1535" s="8">
        <v>414603</v>
      </c>
      <c r="AA1535" s="7" t="s">
        <v>92</v>
      </c>
      <c r="AB1535" s="7"/>
      <c r="AC1535" s="9">
        <v>3</v>
      </c>
      <c r="AD1535" s="10">
        <v>414603</v>
      </c>
      <c r="AE1535" s="9" t="s">
        <v>92</v>
      </c>
      <c r="AF1535" s="9"/>
      <c r="AG1535" s="11">
        <v>3</v>
      </c>
      <c r="AH1535" s="11" t="s">
        <v>93</v>
      </c>
      <c r="AI1535" s="11"/>
      <c r="AJ1535" s="11"/>
      <c r="AK1535" s="11"/>
      <c r="AL1535" s="12">
        <v>3</v>
      </c>
      <c r="AM1535" s="12" t="s">
        <v>93</v>
      </c>
      <c r="AN1535" s="12" t="s">
        <v>698</v>
      </c>
      <c r="AO1535" s="12"/>
      <c r="AP1535" s="12"/>
      <c r="AQ1535" s="4">
        <v>4</v>
      </c>
      <c r="AR1535" s="4" t="s">
        <v>441</v>
      </c>
      <c r="AS1535" s="4" t="s">
        <v>999</v>
      </c>
      <c r="AT1535" s="13"/>
      <c r="AU1535" s="13"/>
      <c r="AV1535" s="13"/>
      <c r="AW1535" s="13"/>
      <c r="AX1535" s="4"/>
      <c r="AY1535" s="13"/>
      <c r="AZ1535" s="13"/>
      <c r="BA1535" s="13"/>
      <c r="BB1535" s="13"/>
      <c r="BC1535" s="4"/>
      <c r="BD1535" s="4"/>
      <c r="BE1535" s="4"/>
      <c r="BF1535" s="13"/>
      <c r="BG1535" s="4"/>
      <c r="BH1535" s="13"/>
      <c r="BI1535" s="13"/>
      <c r="BJ1535" s="4"/>
      <c r="BK1535" s="14">
        <v>14</v>
      </c>
      <c r="BL1535" s="14">
        <v>14</v>
      </c>
      <c r="BM1535" s="14">
        <v>14</v>
      </c>
      <c r="BN1535" s="3" t="s">
        <v>86</v>
      </c>
      <c r="BP1535" s="15"/>
      <c r="BQ1535" s="15"/>
      <c r="BR1535" s="2" t="s">
        <v>409</v>
      </c>
      <c r="BS1535" s="2" t="s">
        <v>409</v>
      </c>
      <c r="BT1535" s="7" t="s">
        <v>438</v>
      </c>
      <c r="BU1535" s="7"/>
      <c r="BV1535" s="9" t="s">
        <v>438</v>
      </c>
      <c r="BW1535" s="9"/>
    </row>
    <row r="1536" spans="1:75" ht="14.25" customHeight="1" x14ac:dyDescent="0.25">
      <c r="A1536" s="1">
        <v>1626</v>
      </c>
      <c r="B1536" s="1" t="s">
        <v>6013</v>
      </c>
      <c r="C1536" s="1" t="s">
        <v>6014</v>
      </c>
      <c r="D1536" s="1" t="s">
        <v>77</v>
      </c>
      <c r="E1536" s="1" t="s">
        <v>2396</v>
      </c>
      <c r="F1536" s="1" t="s">
        <v>3994</v>
      </c>
      <c r="G1536" s="1"/>
      <c r="H1536" s="2">
        <v>0</v>
      </c>
      <c r="I1536" s="2">
        <v>0</v>
      </c>
      <c r="J1536" s="2">
        <v>1</v>
      </c>
      <c r="K1536" s="2">
        <v>1</v>
      </c>
      <c r="L1536" s="3" t="s">
        <v>80</v>
      </c>
      <c r="O1536" s="4">
        <v>4</v>
      </c>
      <c r="P1536" s="4" t="s">
        <v>112</v>
      </c>
      <c r="Q1536" s="4"/>
      <c r="R1536" s="5"/>
      <c r="S1536" s="6"/>
      <c r="T1536" s="17"/>
      <c r="U1536" s="6"/>
      <c r="V1536" s="4"/>
      <c r="W1536" s="4"/>
      <c r="X1536" s="4"/>
      <c r="Y1536" s="7">
        <v>4</v>
      </c>
      <c r="Z1536" s="8">
        <v>245698</v>
      </c>
      <c r="AA1536" s="7" t="s">
        <v>92</v>
      </c>
      <c r="AB1536" s="7"/>
      <c r="AC1536" s="9">
        <v>4</v>
      </c>
      <c r="AD1536" s="10">
        <v>245698</v>
      </c>
      <c r="AE1536" s="9" t="s">
        <v>92</v>
      </c>
      <c r="AF1536" s="9"/>
      <c r="AG1536" s="11">
        <v>4</v>
      </c>
      <c r="AH1536" s="11" t="s">
        <v>93</v>
      </c>
      <c r="AI1536" s="11"/>
      <c r="AJ1536" s="11"/>
      <c r="AK1536" s="11"/>
      <c r="AL1536" s="12">
        <v>4</v>
      </c>
      <c r="AM1536" s="12" t="s">
        <v>93</v>
      </c>
      <c r="AN1536" s="12" t="s">
        <v>5361</v>
      </c>
      <c r="AO1536" s="12"/>
      <c r="AP1536" s="12"/>
      <c r="AQ1536" s="4">
        <v>4</v>
      </c>
      <c r="AR1536" s="4" t="s">
        <v>83</v>
      </c>
      <c r="AS1536" s="4"/>
      <c r="AT1536" s="13"/>
      <c r="AU1536" s="13"/>
      <c r="AV1536" s="13"/>
      <c r="AW1536" s="13"/>
      <c r="AX1536" s="4"/>
      <c r="AY1536" s="13"/>
      <c r="AZ1536" s="13"/>
      <c r="BA1536" s="13"/>
      <c r="BB1536" s="13"/>
      <c r="BC1536" s="4"/>
      <c r="BD1536" s="4"/>
      <c r="BE1536" s="4"/>
      <c r="BF1536" s="13"/>
      <c r="BG1536" s="4"/>
      <c r="BH1536" s="13"/>
      <c r="BI1536" s="13"/>
      <c r="BJ1536" s="4"/>
      <c r="BK1536" s="14">
        <v>16</v>
      </c>
      <c r="BL1536" s="14">
        <v>16</v>
      </c>
      <c r="BM1536" s="14">
        <v>16</v>
      </c>
      <c r="BN1536" s="3" t="s">
        <v>86</v>
      </c>
      <c r="BP1536" s="15"/>
      <c r="BQ1536" s="15"/>
      <c r="BR1536" s="2" t="s">
        <v>409</v>
      </c>
      <c r="BS1536" s="2" t="s">
        <v>409</v>
      </c>
      <c r="BT1536" s="7" t="s">
        <v>88</v>
      </c>
      <c r="BU1536" s="7" t="s">
        <v>437</v>
      </c>
      <c r="BV1536" s="9" t="s">
        <v>88</v>
      </c>
      <c r="BW1536" s="9" t="s">
        <v>437</v>
      </c>
    </row>
    <row r="1537" spans="1:75" ht="14.25" customHeight="1" x14ac:dyDescent="0.25">
      <c r="A1537" s="1">
        <v>1627</v>
      </c>
      <c r="B1537" s="1" t="s">
        <v>6015</v>
      </c>
      <c r="C1537" s="1" t="s">
        <v>6016</v>
      </c>
      <c r="D1537" s="1" t="s">
        <v>77</v>
      </c>
      <c r="E1537" s="1" t="s">
        <v>2396</v>
      </c>
      <c r="F1537" s="1" t="s">
        <v>3994</v>
      </c>
      <c r="G1537" s="1"/>
      <c r="H1537" s="2">
        <v>0</v>
      </c>
      <c r="I1537" s="2">
        <v>0</v>
      </c>
      <c r="J1537" s="2">
        <v>1</v>
      </c>
      <c r="K1537" s="2">
        <v>1</v>
      </c>
      <c r="L1537" s="3" t="s">
        <v>80</v>
      </c>
      <c r="O1537" s="4">
        <v>4</v>
      </c>
      <c r="P1537" s="4" t="s">
        <v>112</v>
      </c>
      <c r="Q1537" s="4"/>
      <c r="R1537" s="5"/>
      <c r="S1537" s="6"/>
      <c r="T1537" s="17"/>
      <c r="U1537" s="6"/>
      <c r="V1537" s="4"/>
      <c r="W1537" s="4"/>
      <c r="X1537" s="4"/>
      <c r="Y1537" s="7">
        <v>4</v>
      </c>
      <c r="Z1537" s="8">
        <v>125742</v>
      </c>
      <c r="AA1537" s="7" t="s">
        <v>92</v>
      </c>
      <c r="AB1537" s="7"/>
      <c r="AC1537" s="9">
        <v>4</v>
      </c>
      <c r="AD1537" s="10">
        <v>125742</v>
      </c>
      <c r="AE1537" s="9" t="s">
        <v>92</v>
      </c>
      <c r="AF1537" s="9"/>
      <c r="AG1537" s="11">
        <v>4</v>
      </c>
      <c r="AH1537" s="11" t="s">
        <v>93</v>
      </c>
      <c r="AI1537" s="11"/>
      <c r="AJ1537" s="11"/>
      <c r="AK1537" s="11"/>
      <c r="AL1537" s="12">
        <v>4</v>
      </c>
      <c r="AM1537" s="12" t="s">
        <v>93</v>
      </c>
      <c r="AN1537" s="12" t="s">
        <v>5361</v>
      </c>
      <c r="AO1537" s="12"/>
      <c r="AP1537" s="12"/>
      <c r="AQ1537" s="4">
        <v>5</v>
      </c>
      <c r="AR1537" s="4" t="s">
        <v>83</v>
      </c>
      <c r="AS1537" s="4" t="s">
        <v>6017</v>
      </c>
      <c r="AT1537" s="13"/>
      <c r="AU1537" s="13"/>
      <c r="AV1537" s="13"/>
      <c r="AW1537" s="13"/>
      <c r="AX1537" s="4"/>
      <c r="AY1537" s="13"/>
      <c r="AZ1537" s="13"/>
      <c r="BA1537" s="13"/>
      <c r="BB1537" s="13"/>
      <c r="BC1537" s="4"/>
      <c r="BD1537" s="4"/>
      <c r="BE1537" s="4"/>
      <c r="BF1537" s="13"/>
      <c r="BG1537" s="4"/>
      <c r="BH1537" s="13"/>
      <c r="BI1537" s="13"/>
      <c r="BJ1537" s="4"/>
      <c r="BK1537" s="14">
        <v>17</v>
      </c>
      <c r="BL1537" s="14">
        <v>17</v>
      </c>
      <c r="BM1537" s="14">
        <v>17</v>
      </c>
      <c r="BN1537" s="3" t="s">
        <v>312</v>
      </c>
      <c r="BP1537" s="15"/>
      <c r="BQ1537" s="15"/>
      <c r="BR1537" s="2" t="s">
        <v>87</v>
      </c>
      <c r="BS1537" s="2" t="s">
        <v>87</v>
      </c>
      <c r="BT1537" s="7" t="s">
        <v>88</v>
      </c>
      <c r="BU1537" s="7"/>
      <c r="BV1537" s="9" t="s">
        <v>88</v>
      </c>
      <c r="BW1537" s="9"/>
    </row>
    <row r="1538" spans="1:75" ht="14.25" customHeight="1" x14ac:dyDescent="0.25">
      <c r="A1538" s="1">
        <v>1628</v>
      </c>
      <c r="B1538" s="1" t="s">
        <v>6018</v>
      </c>
      <c r="C1538" s="1" t="s">
        <v>6019</v>
      </c>
      <c r="D1538" s="1" t="s">
        <v>77</v>
      </c>
      <c r="E1538" s="1" t="s">
        <v>2396</v>
      </c>
      <c r="F1538" s="1" t="s">
        <v>3994</v>
      </c>
      <c r="G1538" s="1" t="s">
        <v>6020</v>
      </c>
      <c r="H1538" s="2">
        <v>0</v>
      </c>
      <c r="I1538" s="2">
        <v>0</v>
      </c>
      <c r="J1538" s="2">
        <v>1</v>
      </c>
      <c r="K1538" s="2">
        <v>1</v>
      </c>
      <c r="L1538" s="3" t="s">
        <v>80</v>
      </c>
      <c r="O1538" s="4">
        <v>5</v>
      </c>
      <c r="P1538" s="4" t="s">
        <v>3028</v>
      </c>
      <c r="Q1538" s="4" t="s">
        <v>6021</v>
      </c>
      <c r="R1538" s="5"/>
      <c r="S1538" s="6"/>
      <c r="T1538" s="17"/>
      <c r="U1538" s="6"/>
      <c r="V1538" s="4"/>
      <c r="W1538" s="4"/>
      <c r="X1538" s="4"/>
      <c r="Y1538" s="7">
        <v>4</v>
      </c>
      <c r="Z1538" s="8">
        <v>88085</v>
      </c>
      <c r="AA1538" s="7" t="s">
        <v>283</v>
      </c>
      <c r="AB1538" s="7"/>
      <c r="AC1538" s="9">
        <v>4</v>
      </c>
      <c r="AD1538" s="10">
        <v>88085</v>
      </c>
      <c r="AE1538" s="9" t="s">
        <v>283</v>
      </c>
      <c r="AF1538" s="9" t="s">
        <v>3958</v>
      </c>
      <c r="AG1538" s="11">
        <v>4</v>
      </c>
      <c r="AH1538" s="11" t="s">
        <v>93</v>
      </c>
      <c r="AI1538" s="11" t="s">
        <v>393</v>
      </c>
      <c r="AJ1538" s="11"/>
      <c r="AK1538" s="11"/>
      <c r="AL1538" s="12">
        <v>4</v>
      </c>
      <c r="AM1538" s="12" t="s">
        <v>93</v>
      </c>
      <c r="AN1538" s="12" t="s">
        <v>805</v>
      </c>
      <c r="AO1538" s="12"/>
      <c r="AP1538" s="12"/>
      <c r="AQ1538" s="4">
        <v>4</v>
      </c>
      <c r="AR1538" s="4" t="s">
        <v>83</v>
      </c>
      <c r="AS1538" s="4" t="s">
        <v>6022</v>
      </c>
      <c r="AT1538" s="13"/>
      <c r="AU1538" s="13"/>
      <c r="AV1538" s="13"/>
      <c r="AW1538" s="13"/>
      <c r="AX1538" s="4"/>
      <c r="AY1538" s="13"/>
      <c r="AZ1538" s="13"/>
      <c r="BA1538" s="13"/>
      <c r="BB1538" s="13"/>
      <c r="BC1538" s="4"/>
      <c r="BD1538" s="4"/>
      <c r="BE1538" s="4"/>
      <c r="BF1538" s="13"/>
      <c r="BG1538" s="4"/>
      <c r="BH1538" s="13"/>
      <c r="BI1538" s="13"/>
      <c r="BJ1538" s="4"/>
      <c r="BK1538" s="14">
        <v>17</v>
      </c>
      <c r="BL1538" s="14">
        <v>17</v>
      </c>
      <c r="BM1538" s="14">
        <v>17</v>
      </c>
      <c r="BN1538" s="3" t="s">
        <v>312</v>
      </c>
      <c r="BP1538" s="15"/>
      <c r="BQ1538" s="15"/>
      <c r="BR1538" s="2" t="s">
        <v>409</v>
      </c>
      <c r="BS1538" s="2" t="s">
        <v>409</v>
      </c>
      <c r="BT1538" s="7" t="s">
        <v>88</v>
      </c>
      <c r="BU1538" s="7"/>
      <c r="BV1538" s="9" t="s">
        <v>88</v>
      </c>
      <c r="BW1538" s="9"/>
    </row>
    <row r="1539" spans="1:75" ht="14.25" customHeight="1" x14ac:dyDescent="0.25">
      <c r="A1539" s="1">
        <v>1629</v>
      </c>
      <c r="B1539" s="1" t="s">
        <v>6023</v>
      </c>
      <c r="C1539" s="1" t="s">
        <v>6024</v>
      </c>
      <c r="D1539" s="1" t="s">
        <v>77</v>
      </c>
      <c r="E1539" s="1" t="s">
        <v>2396</v>
      </c>
      <c r="F1539" s="1" t="s">
        <v>3994</v>
      </c>
      <c r="G1539" s="1"/>
      <c r="H1539" s="2">
        <v>1</v>
      </c>
      <c r="I1539" s="2">
        <v>1</v>
      </c>
      <c r="J1539" s="2">
        <v>1</v>
      </c>
      <c r="K1539" s="2">
        <v>1</v>
      </c>
      <c r="L1539" s="3" t="s">
        <v>127</v>
      </c>
      <c r="O1539" s="4">
        <v>2</v>
      </c>
      <c r="P1539" s="4" t="s">
        <v>579</v>
      </c>
      <c r="Q1539" s="4"/>
      <c r="R1539" s="16">
        <v>11000000</v>
      </c>
      <c r="S1539" s="6">
        <v>11000000</v>
      </c>
      <c r="T1539" s="16">
        <v>11000000</v>
      </c>
      <c r="U1539" s="6">
        <v>11000000</v>
      </c>
      <c r="V1539" s="4">
        <v>2010.5</v>
      </c>
      <c r="W1539" s="4" t="s">
        <v>579</v>
      </c>
      <c r="X1539" s="4"/>
      <c r="Y1539" s="7">
        <v>2</v>
      </c>
      <c r="Z1539" s="8">
        <v>3670946</v>
      </c>
      <c r="AA1539" s="7" t="s">
        <v>92</v>
      </c>
      <c r="AB1539" s="7"/>
      <c r="AC1539" s="9">
        <v>2</v>
      </c>
      <c r="AD1539" s="10">
        <v>1506925</v>
      </c>
      <c r="AE1539" s="9" t="s">
        <v>582</v>
      </c>
      <c r="AF1539" s="9" t="s">
        <v>6025</v>
      </c>
      <c r="AG1539" s="11">
        <v>3</v>
      </c>
      <c r="AH1539" s="11" t="s">
        <v>800</v>
      </c>
      <c r="AI1539" s="11" t="s">
        <v>6026</v>
      </c>
      <c r="AJ1539" s="11">
        <v>3</v>
      </c>
      <c r="AK1539" s="11" t="s">
        <v>143</v>
      </c>
      <c r="AL1539" s="12">
        <v>4</v>
      </c>
      <c r="AM1539" s="12" t="s">
        <v>271</v>
      </c>
      <c r="AN1539" s="12" t="s">
        <v>6027</v>
      </c>
      <c r="AO1539" s="12"/>
      <c r="AP1539" s="12"/>
      <c r="AQ1539" s="4">
        <v>3</v>
      </c>
      <c r="AR1539" s="4" t="s">
        <v>133</v>
      </c>
      <c r="AS1539" s="4"/>
      <c r="AT1539" s="13">
        <v>-38.257068634033203</v>
      </c>
      <c r="AU1539" s="13">
        <v>-0.94022524356841997</v>
      </c>
      <c r="AV1539" s="13">
        <v>-1.2885990142822299</v>
      </c>
      <c r="AW1539" s="13">
        <v>-0.53100001811981201</v>
      </c>
      <c r="AX1539" s="4">
        <v>1</v>
      </c>
      <c r="AY1539" s="13">
        <v>1.5165714025497401</v>
      </c>
      <c r="AZ1539" s="13">
        <v>0.15044176578521701</v>
      </c>
      <c r="BA1539" s="13">
        <v>-0.83399999141693104</v>
      </c>
      <c r="BB1539" s="13">
        <v>0.92159497737884499</v>
      </c>
      <c r="BC1539" s="4"/>
      <c r="BD1539" s="4">
        <v>10</v>
      </c>
      <c r="BE1539" s="4" t="s">
        <v>134</v>
      </c>
      <c r="BF1539" s="13">
        <v>0.75759899616241499</v>
      </c>
      <c r="BG1539" s="4">
        <v>1556.5</v>
      </c>
      <c r="BH1539" s="13">
        <v>4.9450001716613796</v>
      </c>
      <c r="BI1539" s="13">
        <v>7694.080078125</v>
      </c>
      <c r="BJ1539" s="4"/>
      <c r="BK1539" s="14">
        <v>10</v>
      </c>
      <c r="BL1539" s="14">
        <v>11</v>
      </c>
      <c r="BM1539" s="14">
        <v>11</v>
      </c>
      <c r="BP1539" s="15"/>
      <c r="BQ1539" s="15"/>
      <c r="BR1539" s="2" t="s">
        <v>211</v>
      </c>
      <c r="BS1539" s="2" t="s">
        <v>740</v>
      </c>
      <c r="BT1539" s="7" t="s">
        <v>241</v>
      </c>
      <c r="BU1539" s="7" t="s">
        <v>428</v>
      </c>
      <c r="BV1539" s="9" t="s">
        <v>98</v>
      </c>
      <c r="BW1539" s="9"/>
    </row>
    <row r="1540" spans="1:75" ht="14.25" customHeight="1" x14ac:dyDescent="0.25">
      <c r="A1540" s="1">
        <v>1630</v>
      </c>
      <c r="B1540" s="1" t="s">
        <v>6028</v>
      </c>
      <c r="C1540" s="1" t="s">
        <v>6029</v>
      </c>
      <c r="D1540" s="1" t="s">
        <v>77</v>
      </c>
      <c r="E1540" s="1" t="s">
        <v>2396</v>
      </c>
      <c r="F1540" s="1" t="s">
        <v>3994</v>
      </c>
      <c r="G1540" s="1"/>
      <c r="H1540" s="2">
        <v>1</v>
      </c>
      <c r="I1540" s="2">
        <v>1</v>
      </c>
      <c r="J1540" s="2">
        <v>1</v>
      </c>
      <c r="K1540" s="2">
        <v>1</v>
      </c>
      <c r="L1540" s="3" t="s">
        <v>127</v>
      </c>
      <c r="O1540" s="4">
        <v>2</v>
      </c>
      <c r="P1540" s="4" t="s">
        <v>6030</v>
      </c>
      <c r="Q1540" s="4"/>
      <c r="R1540" s="16">
        <v>46000000</v>
      </c>
      <c r="S1540" s="6">
        <v>46000000</v>
      </c>
      <c r="T1540" s="16">
        <v>42000000</v>
      </c>
      <c r="U1540" s="6">
        <v>42000000</v>
      </c>
      <c r="V1540" s="4">
        <v>2010.5</v>
      </c>
      <c r="W1540" s="4" t="s">
        <v>1919</v>
      </c>
      <c r="X1540" s="4"/>
      <c r="Y1540" s="7">
        <v>1</v>
      </c>
      <c r="Z1540" s="8">
        <v>4585688</v>
      </c>
      <c r="AA1540" s="7" t="s">
        <v>92</v>
      </c>
      <c r="AB1540" s="7"/>
      <c r="AC1540" s="9">
        <v>1</v>
      </c>
      <c r="AD1540" s="10">
        <v>5076928</v>
      </c>
      <c r="AE1540" s="9" t="s">
        <v>92</v>
      </c>
      <c r="AF1540" s="9"/>
      <c r="AG1540" s="11">
        <v>3</v>
      </c>
      <c r="AH1540" s="11" t="s">
        <v>131</v>
      </c>
      <c r="AI1540" s="11"/>
      <c r="AJ1540" s="11">
        <v>4</v>
      </c>
      <c r="AK1540" s="11" t="s">
        <v>143</v>
      </c>
      <c r="AL1540" s="12">
        <v>3</v>
      </c>
      <c r="AM1540" s="12" t="s">
        <v>271</v>
      </c>
      <c r="AN1540" s="12" t="s">
        <v>6031</v>
      </c>
      <c r="AO1540" s="12"/>
      <c r="AP1540" s="12"/>
      <c r="AQ1540" s="4">
        <v>3</v>
      </c>
      <c r="AR1540" s="4" t="s">
        <v>208</v>
      </c>
      <c r="AS1540" s="4"/>
      <c r="AT1540" s="13">
        <v>-24.4766731262207</v>
      </c>
      <c r="AU1540" s="13">
        <v>-0.48483666777610801</v>
      </c>
      <c r="AV1540" s="13">
        <v>-2.9200000762939502</v>
      </c>
      <c r="AW1540" s="13">
        <v>1.6064050197601301</v>
      </c>
      <c r="AX1540" s="4"/>
      <c r="AY1540" s="13">
        <v>-5.80960941314697</v>
      </c>
      <c r="AZ1540" s="13">
        <v>-0.596957087516785</v>
      </c>
      <c r="BA1540" s="13">
        <v>-4.4054989814758301</v>
      </c>
      <c r="BB1540" s="13">
        <v>3.4900000095367401</v>
      </c>
      <c r="BC1540" s="4"/>
      <c r="BD1540" s="4">
        <v>10</v>
      </c>
      <c r="BE1540" s="4" t="s">
        <v>210</v>
      </c>
      <c r="BF1540" s="13">
        <v>4.5264048576354998</v>
      </c>
      <c r="BG1540" s="4">
        <v>154.5</v>
      </c>
      <c r="BH1540" s="13">
        <v>6.96000003814697</v>
      </c>
      <c r="BI1540" s="13">
        <v>1075.31994628906</v>
      </c>
      <c r="BJ1540" s="4"/>
      <c r="BK1540" s="14">
        <v>9</v>
      </c>
      <c r="BL1540" s="14">
        <v>9</v>
      </c>
      <c r="BM1540" s="14">
        <v>9</v>
      </c>
      <c r="BP1540" s="15"/>
      <c r="BQ1540" s="15"/>
      <c r="BR1540" s="2" t="s">
        <v>211</v>
      </c>
      <c r="BS1540" s="2" t="s">
        <v>740</v>
      </c>
      <c r="BT1540" s="7" t="s">
        <v>527</v>
      </c>
      <c r="BU1540" s="7"/>
      <c r="BV1540" s="9" t="s">
        <v>98</v>
      </c>
      <c r="BW1540" s="9"/>
    </row>
    <row r="1541" spans="1:75" ht="14.25" customHeight="1" x14ac:dyDescent="0.25">
      <c r="A1541" s="1">
        <v>1631</v>
      </c>
      <c r="B1541" s="1" t="s">
        <v>6032</v>
      </c>
      <c r="C1541" s="1" t="s">
        <v>6033</v>
      </c>
      <c r="D1541" s="1" t="s">
        <v>77</v>
      </c>
      <c r="E1541" s="1" t="s">
        <v>2396</v>
      </c>
      <c r="F1541" s="1" t="s">
        <v>3994</v>
      </c>
      <c r="G1541" s="1" t="s">
        <v>118</v>
      </c>
      <c r="H1541" s="2">
        <v>1</v>
      </c>
      <c r="I1541" s="2">
        <v>1</v>
      </c>
      <c r="J1541" s="2">
        <v>0</v>
      </c>
      <c r="K1541" s="2">
        <v>0</v>
      </c>
      <c r="L1541" s="3" t="s">
        <v>127</v>
      </c>
      <c r="O1541" s="4">
        <v>4</v>
      </c>
      <c r="P1541" s="4" t="s">
        <v>6034</v>
      </c>
      <c r="Q1541" s="4" t="s">
        <v>6035</v>
      </c>
      <c r="R1541" s="16">
        <v>110000</v>
      </c>
      <c r="S1541" s="6">
        <v>110000</v>
      </c>
      <c r="T1541" s="16">
        <v>110000</v>
      </c>
      <c r="U1541" s="6">
        <v>110000</v>
      </c>
      <c r="V1541" s="4"/>
      <c r="W1541" s="4" t="s">
        <v>6034</v>
      </c>
      <c r="X1541" s="4" t="s">
        <v>6036</v>
      </c>
      <c r="Y1541" s="7">
        <v>4</v>
      </c>
      <c r="Z1541" s="8">
        <v>133496</v>
      </c>
      <c r="AA1541" s="7" t="s">
        <v>92</v>
      </c>
      <c r="AB1541" s="7"/>
      <c r="AC1541" s="9">
        <v>4</v>
      </c>
      <c r="AD1541" s="10">
        <v>102051</v>
      </c>
      <c r="AE1541" s="9" t="s">
        <v>92</v>
      </c>
      <c r="AF1541" s="9"/>
      <c r="AG1541" s="11">
        <v>5</v>
      </c>
      <c r="AH1541" s="11" t="s">
        <v>518</v>
      </c>
      <c r="AI1541" s="11" t="s">
        <v>519</v>
      </c>
      <c r="AJ1541" s="11">
        <v>5</v>
      </c>
      <c r="AK1541" s="11" t="s">
        <v>132</v>
      </c>
      <c r="AL1541" s="12">
        <v>5</v>
      </c>
      <c r="AM1541" s="12" t="s">
        <v>271</v>
      </c>
      <c r="AN1541" s="12" t="s">
        <v>6037</v>
      </c>
      <c r="AO1541" s="12"/>
      <c r="AP1541" s="12"/>
      <c r="AQ1541" s="4">
        <v>4</v>
      </c>
      <c r="AR1541" s="4" t="s">
        <v>537</v>
      </c>
      <c r="AS1541" s="4" t="s">
        <v>6038</v>
      </c>
      <c r="AT1541" s="13"/>
      <c r="AU1541" s="13"/>
      <c r="AV1541" s="13"/>
      <c r="AW1541" s="13"/>
      <c r="AX1541" s="4"/>
      <c r="AY1541" s="13"/>
      <c r="AZ1541" s="13"/>
      <c r="BA1541" s="13"/>
      <c r="BB1541" s="13"/>
      <c r="BC1541" s="4"/>
      <c r="BD1541" s="4"/>
      <c r="BE1541" s="4"/>
      <c r="BF1541" s="13"/>
      <c r="BG1541" s="4"/>
      <c r="BH1541" s="13"/>
      <c r="BI1541" s="13"/>
      <c r="BJ1541" s="4"/>
      <c r="BK1541" s="14">
        <v>17</v>
      </c>
      <c r="BL1541" s="14">
        <v>17</v>
      </c>
      <c r="BM1541" s="14">
        <v>17</v>
      </c>
      <c r="BN1541" s="3" t="s">
        <v>312</v>
      </c>
      <c r="BO1541" s="3" t="s">
        <v>114</v>
      </c>
      <c r="BP1541" s="15"/>
      <c r="BQ1541" s="15"/>
      <c r="BR1541" s="2" t="s">
        <v>211</v>
      </c>
      <c r="BS1541" s="2" t="s">
        <v>791</v>
      </c>
      <c r="BT1541" s="7" t="s">
        <v>527</v>
      </c>
      <c r="BU1541" s="7"/>
      <c r="BV1541" s="9" t="s">
        <v>88</v>
      </c>
      <c r="BW1541" s="9"/>
    </row>
    <row r="1542" spans="1:75" ht="14.25" customHeight="1" x14ac:dyDescent="0.25">
      <c r="A1542" s="1">
        <v>1632</v>
      </c>
      <c r="B1542" s="1" t="s">
        <v>6039</v>
      </c>
      <c r="C1542" s="1" t="s">
        <v>6040</v>
      </c>
      <c r="D1542" s="1" t="s">
        <v>77</v>
      </c>
      <c r="E1542" s="1" t="s">
        <v>2396</v>
      </c>
      <c r="F1542" s="1" t="s">
        <v>3994</v>
      </c>
      <c r="G1542" s="1"/>
      <c r="H1542" s="2">
        <v>1</v>
      </c>
      <c r="I1542" s="2">
        <v>1</v>
      </c>
      <c r="J1542" s="2">
        <v>1</v>
      </c>
      <c r="K1542" s="2">
        <v>1</v>
      </c>
      <c r="L1542" s="3" t="s">
        <v>127</v>
      </c>
      <c r="O1542" s="4">
        <v>1</v>
      </c>
      <c r="P1542" s="4" t="s">
        <v>2683</v>
      </c>
      <c r="Q1542" s="4"/>
      <c r="R1542" s="16">
        <v>120000000</v>
      </c>
      <c r="S1542" s="6">
        <v>120000000</v>
      </c>
      <c r="T1542" s="16">
        <v>120000000</v>
      </c>
      <c r="U1542" s="6">
        <v>120000000</v>
      </c>
      <c r="V1542" s="4">
        <v>2010.5</v>
      </c>
      <c r="W1542" s="4" t="s">
        <v>1919</v>
      </c>
      <c r="X1542" s="4"/>
      <c r="Y1542" s="7">
        <v>1</v>
      </c>
      <c r="Z1542" s="8">
        <v>7525849</v>
      </c>
      <c r="AA1542" s="7" t="s">
        <v>92</v>
      </c>
      <c r="AB1542" s="7"/>
      <c r="AC1542" s="9">
        <v>2</v>
      </c>
      <c r="AD1542" s="10">
        <v>2788297</v>
      </c>
      <c r="AE1542" s="9" t="s">
        <v>92</v>
      </c>
      <c r="AF1542" s="9"/>
      <c r="AG1542" s="11">
        <v>4</v>
      </c>
      <c r="AH1542" s="11" t="s">
        <v>131</v>
      </c>
      <c r="AI1542" s="11" t="s">
        <v>6041</v>
      </c>
      <c r="AJ1542" s="11">
        <v>4</v>
      </c>
      <c r="AK1542" s="11" t="s">
        <v>143</v>
      </c>
      <c r="AL1542" s="12">
        <v>4</v>
      </c>
      <c r="AM1542" s="12" t="s">
        <v>131</v>
      </c>
      <c r="AN1542" s="12"/>
      <c r="AO1542" s="12">
        <v>4</v>
      </c>
      <c r="AP1542" s="12" t="s">
        <v>132</v>
      </c>
      <c r="AQ1542" s="4">
        <v>2</v>
      </c>
      <c r="AR1542" s="4" t="s">
        <v>133</v>
      </c>
      <c r="AS1542" s="4"/>
      <c r="AT1542" s="13">
        <v>-10.4996528625488</v>
      </c>
      <c r="AU1542" s="13">
        <v>-0.21702836453914601</v>
      </c>
      <c r="AV1542" s="13">
        <v>-0.74610102176666304</v>
      </c>
      <c r="AW1542" s="13">
        <v>0.48899999260902399</v>
      </c>
      <c r="AX1542" s="4"/>
      <c r="AY1542" s="13">
        <v>3.3692085742950399</v>
      </c>
      <c r="AZ1542" s="13">
        <v>0.332053452730179</v>
      </c>
      <c r="BA1542" s="13">
        <v>-0.41919898986816401</v>
      </c>
      <c r="BB1542" s="13">
        <v>1.6799999475479099</v>
      </c>
      <c r="BC1542" s="4"/>
      <c r="BD1542" s="4">
        <v>10</v>
      </c>
      <c r="BE1542" s="4" t="s">
        <v>134</v>
      </c>
      <c r="BF1542" s="13">
        <v>1.23510098457336</v>
      </c>
      <c r="BG1542" s="4">
        <v>1626</v>
      </c>
      <c r="BH1542" s="13">
        <v>25.969999313354499</v>
      </c>
      <c r="BI1542" s="13">
        <v>42174.23046875</v>
      </c>
      <c r="BJ1542" s="4"/>
      <c r="BK1542" s="14">
        <v>8</v>
      </c>
      <c r="BL1542" s="14">
        <v>9</v>
      </c>
      <c r="BM1542" s="14">
        <v>9</v>
      </c>
      <c r="BP1542" s="15"/>
      <c r="BQ1542" s="15"/>
      <c r="BR1542" s="2" t="s">
        <v>172</v>
      </c>
      <c r="BS1542" s="2" t="s">
        <v>87</v>
      </c>
      <c r="BT1542" s="7" t="s">
        <v>527</v>
      </c>
      <c r="BU1542" s="7" t="s">
        <v>428</v>
      </c>
      <c r="BV1542" s="9" t="s">
        <v>88</v>
      </c>
      <c r="BW1542" s="9" t="s">
        <v>98</v>
      </c>
    </row>
    <row r="1543" spans="1:75" ht="14.25" customHeight="1" x14ac:dyDescent="0.25">
      <c r="A1543" s="1">
        <v>1633</v>
      </c>
      <c r="B1543" s="1" t="s">
        <v>6042</v>
      </c>
      <c r="C1543" s="1" t="s">
        <v>6043</v>
      </c>
      <c r="D1543" s="1" t="s">
        <v>77</v>
      </c>
      <c r="E1543" s="1" t="s">
        <v>2396</v>
      </c>
      <c r="F1543" s="1" t="s">
        <v>3994</v>
      </c>
      <c r="G1543" s="1"/>
      <c r="H1543" s="2">
        <v>1</v>
      </c>
      <c r="I1543" s="2">
        <v>1</v>
      </c>
      <c r="J1543" s="2">
        <v>1</v>
      </c>
      <c r="K1543" s="2">
        <v>1</v>
      </c>
      <c r="L1543" s="3" t="s">
        <v>127</v>
      </c>
      <c r="O1543" s="4">
        <v>1</v>
      </c>
      <c r="P1543" s="4" t="s">
        <v>2693</v>
      </c>
      <c r="Q1543" s="4"/>
      <c r="R1543" s="16">
        <v>72000000</v>
      </c>
      <c r="S1543" s="6">
        <v>72000000</v>
      </c>
      <c r="T1543" s="16">
        <v>72000000</v>
      </c>
      <c r="U1543" s="6">
        <v>72000000</v>
      </c>
      <c r="V1543" s="4">
        <v>2010.5</v>
      </c>
      <c r="W1543" s="4" t="s">
        <v>579</v>
      </c>
      <c r="X1543" s="4"/>
      <c r="Y1543" s="7">
        <v>1</v>
      </c>
      <c r="Z1543" s="8">
        <v>8350943</v>
      </c>
      <c r="AA1543" s="7" t="s">
        <v>92</v>
      </c>
      <c r="AB1543" s="7"/>
      <c r="AC1543" s="9">
        <v>1</v>
      </c>
      <c r="AD1543" s="10">
        <v>4694594</v>
      </c>
      <c r="AE1543" s="9" t="s">
        <v>92</v>
      </c>
      <c r="AF1543" s="9"/>
      <c r="AG1543" s="11">
        <v>3</v>
      </c>
      <c r="AH1543" s="11" t="s">
        <v>131</v>
      </c>
      <c r="AI1543" s="11" t="s">
        <v>6044</v>
      </c>
      <c r="AJ1543" s="11">
        <v>4</v>
      </c>
      <c r="AK1543" s="11" t="s">
        <v>143</v>
      </c>
      <c r="AL1543" s="12">
        <v>2</v>
      </c>
      <c r="AM1543" s="12" t="s">
        <v>131</v>
      </c>
      <c r="AN1543" s="12" t="s">
        <v>6045</v>
      </c>
      <c r="AO1543" s="12">
        <v>2</v>
      </c>
      <c r="AP1543" s="12" t="s">
        <v>132</v>
      </c>
      <c r="AQ1543" s="4">
        <v>4</v>
      </c>
      <c r="AR1543" s="4" t="s">
        <v>133</v>
      </c>
      <c r="AS1543" s="4"/>
      <c r="AT1543" s="13">
        <v>-10.440126419067401</v>
      </c>
      <c r="AU1543" s="13">
        <v>-0.215716972947121</v>
      </c>
      <c r="AV1543" s="13">
        <v>-1.96000003814697</v>
      </c>
      <c r="AW1543" s="13">
        <v>0.76199799776077304</v>
      </c>
      <c r="AX1543" s="4"/>
      <c r="AY1543" s="13">
        <v>-32.215599060058601</v>
      </c>
      <c r="AZ1543" s="13">
        <v>-3.8148529529571502</v>
      </c>
      <c r="BA1543" s="13">
        <v>-5.3617000579834002</v>
      </c>
      <c r="BB1543" s="13">
        <v>-1.5099999904632599</v>
      </c>
      <c r="BC1543" s="4">
        <v>1</v>
      </c>
      <c r="BD1543" s="4">
        <v>10</v>
      </c>
      <c r="BE1543" s="4" t="s">
        <v>134</v>
      </c>
      <c r="BF1543" s="13">
        <v>2.7219979763031001</v>
      </c>
      <c r="BG1543" s="4">
        <v>1952.5</v>
      </c>
      <c r="BH1543" s="13">
        <v>9.7349996566772496</v>
      </c>
      <c r="BI1543" s="13">
        <v>19014.650390625</v>
      </c>
      <c r="BJ1543" s="4"/>
      <c r="BK1543" s="14">
        <v>9</v>
      </c>
      <c r="BL1543" s="14">
        <v>8</v>
      </c>
      <c r="BM1543" s="14">
        <v>9</v>
      </c>
      <c r="BP1543" s="15"/>
      <c r="BQ1543" s="15"/>
      <c r="BR1543" s="2" t="s">
        <v>172</v>
      </c>
      <c r="BS1543" s="2" t="s">
        <v>172</v>
      </c>
      <c r="BT1543" s="7" t="s">
        <v>509</v>
      </c>
      <c r="BU1543" s="7"/>
      <c r="BV1543" s="9" t="s">
        <v>509</v>
      </c>
      <c r="BW1543" s="9"/>
    </row>
    <row r="1544" spans="1:75" ht="14.25" customHeight="1" x14ac:dyDescent="0.25">
      <c r="A1544" s="1">
        <v>1634</v>
      </c>
      <c r="B1544" s="1" t="s">
        <v>6046</v>
      </c>
      <c r="C1544" s="1" t="s">
        <v>6047</v>
      </c>
      <c r="D1544" s="1" t="s">
        <v>77</v>
      </c>
      <c r="E1544" s="1" t="s">
        <v>2396</v>
      </c>
      <c r="F1544" s="1" t="s">
        <v>3994</v>
      </c>
      <c r="G1544" s="1" t="s">
        <v>118</v>
      </c>
      <c r="H1544" s="2">
        <v>1</v>
      </c>
      <c r="I1544" s="2">
        <v>1</v>
      </c>
      <c r="J1544" s="2">
        <v>1</v>
      </c>
      <c r="K1544" s="2">
        <v>1</v>
      </c>
      <c r="L1544" s="3" t="s">
        <v>127</v>
      </c>
      <c r="O1544" s="4">
        <v>2</v>
      </c>
      <c r="P1544" s="4" t="s">
        <v>425</v>
      </c>
      <c r="Q1544" s="4"/>
      <c r="R1544" s="16">
        <v>12000000</v>
      </c>
      <c r="S1544" s="6">
        <v>12000000</v>
      </c>
      <c r="T1544" s="16">
        <v>12000000</v>
      </c>
      <c r="U1544" s="6">
        <v>12000000</v>
      </c>
      <c r="V1544" s="4">
        <v>2010.5</v>
      </c>
      <c r="W1544" s="4" t="s">
        <v>425</v>
      </c>
      <c r="X1544" s="4"/>
      <c r="Y1544" s="7">
        <v>2</v>
      </c>
      <c r="Z1544" s="8">
        <v>3489351</v>
      </c>
      <c r="AA1544" s="7" t="s">
        <v>92</v>
      </c>
      <c r="AB1544" s="7"/>
      <c r="AC1544" s="9">
        <v>3</v>
      </c>
      <c r="AD1544" s="10">
        <v>646795</v>
      </c>
      <c r="AE1544" s="9" t="s">
        <v>92</v>
      </c>
      <c r="AF1544" s="9"/>
      <c r="AG1544" s="11">
        <v>3</v>
      </c>
      <c r="AH1544" s="11" t="s">
        <v>131</v>
      </c>
      <c r="AI1544" s="11" t="s">
        <v>6048</v>
      </c>
      <c r="AJ1544" s="11">
        <v>3</v>
      </c>
      <c r="AK1544" s="11" t="s">
        <v>143</v>
      </c>
      <c r="AL1544" s="12">
        <v>5</v>
      </c>
      <c r="AM1544" s="12" t="s">
        <v>131</v>
      </c>
      <c r="AN1544" s="12" t="s">
        <v>6049</v>
      </c>
      <c r="AO1544" s="12">
        <v>5</v>
      </c>
      <c r="AP1544" s="12" t="s">
        <v>132</v>
      </c>
      <c r="AQ1544" s="4">
        <v>4</v>
      </c>
      <c r="AR1544" s="4" t="s">
        <v>133</v>
      </c>
      <c r="AS1544" s="4"/>
      <c r="AT1544" s="13">
        <v>-54.609859466552699</v>
      </c>
      <c r="AU1544" s="13">
        <v>-1.53841912746429</v>
      </c>
      <c r="AV1544" s="13">
        <v>-1.81660103797913</v>
      </c>
      <c r="AW1544" s="13">
        <v>-1.2200000286102299</v>
      </c>
      <c r="AX1544" s="4">
        <v>1</v>
      </c>
      <c r="AY1544" s="13">
        <v>19.5449924468994</v>
      </c>
      <c r="AZ1544" s="13">
        <v>1.8024371862411499</v>
      </c>
      <c r="BA1544" s="13">
        <v>1.1100000143051101</v>
      </c>
      <c r="BB1544" s="13">
        <v>2.36469507217407</v>
      </c>
      <c r="BC1544" s="4">
        <v>1</v>
      </c>
      <c r="BD1544" s="4">
        <v>10</v>
      </c>
      <c r="BE1544" s="4" t="s">
        <v>134</v>
      </c>
      <c r="BF1544" s="13">
        <v>0.59660100936889604</v>
      </c>
      <c r="BG1544" s="4">
        <v>2205.5</v>
      </c>
      <c r="BH1544" s="13">
        <v>4.2800002098083496</v>
      </c>
      <c r="BI1544" s="13">
        <v>9438.9404296875</v>
      </c>
      <c r="BJ1544" s="4"/>
      <c r="BK1544" s="14">
        <v>11</v>
      </c>
      <c r="BL1544" s="14">
        <v>14</v>
      </c>
      <c r="BM1544" s="14">
        <v>14</v>
      </c>
      <c r="BN1544" s="3" t="s">
        <v>113</v>
      </c>
      <c r="BP1544" s="15"/>
      <c r="BQ1544" s="15"/>
      <c r="BR1544" s="2" t="s">
        <v>239</v>
      </c>
      <c r="BS1544" s="2" t="s">
        <v>115</v>
      </c>
      <c r="BT1544" s="7" t="s">
        <v>241</v>
      </c>
      <c r="BU1544" s="7"/>
      <c r="BV1544" s="9" t="s">
        <v>98</v>
      </c>
      <c r="BW1544" s="9" t="s">
        <v>88</v>
      </c>
    </row>
    <row r="1545" spans="1:75" ht="14.25" customHeight="1" x14ac:dyDescent="0.25">
      <c r="A1545" s="1">
        <v>1643</v>
      </c>
      <c r="B1545" s="1" t="s">
        <v>6050</v>
      </c>
      <c r="C1545" s="1" t="s">
        <v>6051</v>
      </c>
      <c r="D1545" s="1" t="s">
        <v>77</v>
      </c>
      <c r="E1545" s="1" t="s">
        <v>2396</v>
      </c>
      <c r="F1545" s="1" t="s">
        <v>3994</v>
      </c>
      <c r="G1545" s="1" t="s">
        <v>118</v>
      </c>
      <c r="H1545" s="2">
        <v>0</v>
      </c>
      <c r="I1545" s="2">
        <v>0</v>
      </c>
      <c r="J1545" s="2">
        <v>0</v>
      </c>
      <c r="K1545" s="2">
        <v>1</v>
      </c>
      <c r="L1545" s="3" t="s">
        <v>80</v>
      </c>
      <c r="O1545" s="4">
        <v>5</v>
      </c>
      <c r="P1545" s="4" t="s">
        <v>81</v>
      </c>
      <c r="Q1545" s="4"/>
      <c r="R1545" s="5"/>
      <c r="S1545" s="6"/>
      <c r="T1545" s="17"/>
      <c r="U1545" s="6"/>
      <c r="V1545" s="4"/>
      <c r="W1545" s="4"/>
      <c r="X1545" s="4"/>
      <c r="Y1545" s="7">
        <v>5</v>
      </c>
      <c r="Z1545" s="8">
        <v>2082</v>
      </c>
      <c r="AA1545" s="7" t="s">
        <v>82</v>
      </c>
      <c r="AB1545" s="7"/>
      <c r="AC1545" s="9">
        <v>5</v>
      </c>
      <c r="AD1545" s="10">
        <v>2082</v>
      </c>
      <c r="AE1545" s="9" t="s">
        <v>82</v>
      </c>
      <c r="AF1545" s="9"/>
      <c r="AG1545" s="11">
        <v>4</v>
      </c>
      <c r="AH1545" s="11" t="s">
        <v>83</v>
      </c>
      <c r="AI1545" s="11"/>
      <c r="AJ1545" s="11"/>
      <c r="AK1545" s="11"/>
      <c r="AL1545" s="12">
        <v>4</v>
      </c>
      <c r="AM1545" s="12" t="s">
        <v>83</v>
      </c>
      <c r="AN1545" s="12"/>
      <c r="AO1545" s="12"/>
      <c r="AP1545" s="12"/>
      <c r="AQ1545" s="4">
        <v>3</v>
      </c>
      <c r="AR1545" s="4" t="s">
        <v>83</v>
      </c>
      <c r="AS1545" s="4"/>
      <c r="AT1545" s="13"/>
      <c r="AU1545" s="13"/>
      <c r="AV1545" s="13"/>
      <c r="AW1545" s="13"/>
      <c r="AX1545" s="4"/>
      <c r="AY1545" s="13"/>
      <c r="AZ1545" s="13"/>
      <c r="BA1545" s="13"/>
      <c r="BB1545" s="13"/>
      <c r="BC1545" s="4"/>
      <c r="BD1545" s="4"/>
      <c r="BE1545" s="4"/>
      <c r="BF1545" s="13"/>
      <c r="BG1545" s="4"/>
      <c r="BH1545" s="13"/>
      <c r="BI1545" s="13"/>
      <c r="BJ1545" s="4"/>
      <c r="BK1545" s="14">
        <v>17</v>
      </c>
      <c r="BL1545" s="14">
        <v>17</v>
      </c>
      <c r="BM1545" s="14">
        <v>17</v>
      </c>
      <c r="BN1545" s="3" t="s">
        <v>312</v>
      </c>
      <c r="BP1545" s="15"/>
      <c r="BQ1545" s="15"/>
      <c r="BR1545" s="2" t="s">
        <v>87</v>
      </c>
      <c r="BS1545" s="2" t="s">
        <v>87</v>
      </c>
      <c r="BT1545" s="7" t="s">
        <v>88</v>
      </c>
      <c r="BU1545" s="7"/>
      <c r="BV1545" s="9" t="s">
        <v>88</v>
      </c>
      <c r="BW1545" s="9"/>
    </row>
    <row r="1546" spans="1:75" ht="14.25" customHeight="1" x14ac:dyDescent="0.25">
      <c r="A1546" s="1">
        <v>1644</v>
      </c>
      <c r="B1546" s="1" t="s">
        <v>6052</v>
      </c>
      <c r="C1546" s="1" t="s">
        <v>6053</v>
      </c>
      <c r="D1546" s="1" t="s">
        <v>77</v>
      </c>
      <c r="E1546" s="1" t="s">
        <v>2396</v>
      </c>
      <c r="F1546" s="1" t="s">
        <v>3994</v>
      </c>
      <c r="G1546" s="1" t="s">
        <v>118</v>
      </c>
      <c r="H1546" s="2">
        <v>0</v>
      </c>
      <c r="I1546" s="2">
        <v>0</v>
      </c>
      <c r="J1546" s="2">
        <v>1</v>
      </c>
      <c r="K1546" s="2">
        <v>1</v>
      </c>
      <c r="L1546" s="3" t="s">
        <v>80</v>
      </c>
      <c r="O1546" s="4">
        <v>5</v>
      </c>
      <c r="P1546" s="4" t="s">
        <v>112</v>
      </c>
      <c r="Q1546" s="4" t="s">
        <v>6054</v>
      </c>
      <c r="R1546" s="5"/>
      <c r="S1546" s="6"/>
      <c r="T1546" s="17"/>
      <c r="U1546" s="6"/>
      <c r="V1546" s="4"/>
      <c r="W1546" s="4"/>
      <c r="X1546" s="4"/>
      <c r="Y1546" s="7">
        <v>4</v>
      </c>
      <c r="Z1546" s="8">
        <v>171146</v>
      </c>
      <c r="AA1546" s="7" t="s">
        <v>92</v>
      </c>
      <c r="AB1546" s="7"/>
      <c r="AC1546" s="9">
        <v>4</v>
      </c>
      <c r="AD1546" s="10">
        <v>171146</v>
      </c>
      <c r="AE1546" s="9" t="s">
        <v>92</v>
      </c>
      <c r="AF1546" s="9"/>
      <c r="AG1546" s="11">
        <v>4</v>
      </c>
      <c r="AH1546" s="11" t="s">
        <v>93</v>
      </c>
      <c r="AI1546" s="11" t="s">
        <v>6055</v>
      </c>
      <c r="AJ1546" s="11"/>
      <c r="AK1546" s="11"/>
      <c r="AL1546" s="12">
        <v>4</v>
      </c>
      <c r="AM1546" s="12" t="s">
        <v>93</v>
      </c>
      <c r="AN1546" s="12" t="s">
        <v>6056</v>
      </c>
      <c r="AO1546" s="12"/>
      <c r="AP1546" s="12"/>
      <c r="AQ1546" s="4">
        <v>4</v>
      </c>
      <c r="AR1546" s="4" t="s">
        <v>83</v>
      </c>
      <c r="AS1546" s="4"/>
      <c r="AT1546" s="13"/>
      <c r="AU1546" s="13"/>
      <c r="AV1546" s="13"/>
      <c r="AW1546" s="13"/>
      <c r="AX1546" s="4"/>
      <c r="AY1546" s="13"/>
      <c r="AZ1546" s="13"/>
      <c r="BA1546" s="13"/>
      <c r="BB1546" s="13"/>
      <c r="BC1546" s="4"/>
      <c r="BD1546" s="4"/>
      <c r="BE1546" s="4"/>
      <c r="BF1546" s="13"/>
      <c r="BG1546" s="4"/>
      <c r="BH1546" s="13"/>
      <c r="BI1546" s="13"/>
      <c r="BJ1546" s="4"/>
      <c r="BK1546" s="14">
        <v>17</v>
      </c>
      <c r="BL1546" s="14">
        <v>17</v>
      </c>
      <c r="BM1546" s="14">
        <v>17</v>
      </c>
      <c r="BN1546" s="3" t="s">
        <v>312</v>
      </c>
      <c r="BP1546" s="15"/>
      <c r="BQ1546" s="15"/>
      <c r="BR1546" s="2" t="s">
        <v>409</v>
      </c>
      <c r="BS1546" s="2" t="s">
        <v>409</v>
      </c>
      <c r="BT1546" s="7" t="s">
        <v>88</v>
      </c>
      <c r="BU1546" s="7"/>
      <c r="BV1546" s="9" t="s">
        <v>88</v>
      </c>
      <c r="BW1546" s="9"/>
    </row>
    <row r="1547" spans="1:75" ht="14.25" customHeight="1" x14ac:dyDescent="0.25">
      <c r="A1547" s="1">
        <v>1725</v>
      </c>
      <c r="B1547" s="1" t="s">
        <v>6057</v>
      </c>
      <c r="C1547" s="1" t="s">
        <v>6058</v>
      </c>
      <c r="D1547" s="1" t="s">
        <v>77</v>
      </c>
      <c r="E1547" s="1" t="s">
        <v>2396</v>
      </c>
      <c r="F1547" s="1" t="s">
        <v>4073</v>
      </c>
      <c r="G1547" s="1"/>
      <c r="H1547" s="2">
        <v>0</v>
      </c>
      <c r="I1547" s="2">
        <v>0</v>
      </c>
      <c r="J1547" s="2">
        <v>0</v>
      </c>
      <c r="K1547" s="2">
        <v>1</v>
      </c>
      <c r="L1547" s="3" t="s">
        <v>80</v>
      </c>
      <c r="O1547" s="4">
        <v>2</v>
      </c>
      <c r="P1547" s="4" t="s">
        <v>81</v>
      </c>
      <c r="Q1547" s="4"/>
      <c r="R1547" s="5"/>
      <c r="S1547" s="6"/>
      <c r="T1547" s="17"/>
      <c r="U1547" s="6"/>
      <c r="V1547" s="4"/>
      <c r="W1547" s="4"/>
      <c r="X1547" s="4"/>
      <c r="Y1547" s="7">
        <v>1</v>
      </c>
      <c r="Z1547" s="8">
        <v>4086641</v>
      </c>
      <c r="AA1547" s="7" t="s">
        <v>82</v>
      </c>
      <c r="AB1547" s="7"/>
      <c r="AC1547" s="9">
        <v>1</v>
      </c>
      <c r="AD1547" s="10">
        <v>4086641</v>
      </c>
      <c r="AE1547" s="9" t="s">
        <v>82</v>
      </c>
      <c r="AF1547" s="9"/>
      <c r="AG1547" s="11">
        <v>2</v>
      </c>
      <c r="AH1547" s="11" t="s">
        <v>83</v>
      </c>
      <c r="AI1547" s="11"/>
      <c r="AJ1547" s="11"/>
      <c r="AK1547" s="11"/>
      <c r="AL1547" s="12">
        <v>2</v>
      </c>
      <c r="AM1547" s="12" t="s">
        <v>83</v>
      </c>
      <c r="AN1547" s="12"/>
      <c r="AO1547" s="12"/>
      <c r="AP1547" s="12"/>
      <c r="AQ1547" s="4">
        <v>2</v>
      </c>
      <c r="AR1547" s="4" t="s">
        <v>83</v>
      </c>
      <c r="AS1547" s="4"/>
      <c r="AT1547" s="13"/>
      <c r="AU1547" s="13"/>
      <c r="AV1547" s="13"/>
      <c r="AW1547" s="13"/>
      <c r="AX1547" s="4"/>
      <c r="AY1547" s="13"/>
      <c r="AZ1547" s="13"/>
      <c r="BA1547" s="13"/>
      <c r="BB1547" s="13"/>
      <c r="BC1547" s="4"/>
      <c r="BD1547" s="4"/>
      <c r="BE1547" s="4"/>
      <c r="BF1547" s="13"/>
      <c r="BG1547" s="4"/>
      <c r="BH1547" s="13"/>
      <c r="BI1547" s="13"/>
      <c r="BJ1547" s="4"/>
      <c r="BK1547" s="14">
        <v>7</v>
      </c>
      <c r="BL1547" s="14">
        <v>7</v>
      </c>
      <c r="BM1547" s="14">
        <v>7</v>
      </c>
      <c r="BP1547" s="15"/>
      <c r="BQ1547" s="15"/>
      <c r="BR1547" s="2" t="s">
        <v>97</v>
      </c>
      <c r="BS1547" s="2" t="s">
        <v>97</v>
      </c>
      <c r="BT1547" s="7" t="s">
        <v>98</v>
      </c>
      <c r="BU1547" s="7"/>
      <c r="BV1547" s="9" t="s">
        <v>98</v>
      </c>
      <c r="BW1547" s="9"/>
    </row>
    <row r="1548" spans="1:75" ht="14.25" customHeight="1" x14ac:dyDescent="0.25">
      <c r="A1548" s="1">
        <v>1726</v>
      </c>
      <c r="B1548" s="1" t="s">
        <v>6059</v>
      </c>
      <c r="C1548" s="1" t="s">
        <v>6060</v>
      </c>
      <c r="D1548" s="1" t="s">
        <v>77</v>
      </c>
      <c r="E1548" s="1" t="s">
        <v>2396</v>
      </c>
      <c r="F1548" s="1" t="s">
        <v>4073</v>
      </c>
      <c r="G1548" s="1" t="s">
        <v>118</v>
      </c>
      <c r="H1548" s="2">
        <v>0</v>
      </c>
      <c r="I1548" s="2">
        <v>0</v>
      </c>
      <c r="J1548" s="2">
        <v>0</v>
      </c>
      <c r="K1548" s="2">
        <v>1</v>
      </c>
      <c r="L1548" s="3" t="s">
        <v>80</v>
      </c>
      <c r="O1548" s="4">
        <v>4</v>
      </c>
      <c r="P1548" s="4" t="s">
        <v>81</v>
      </c>
      <c r="Q1548" s="4"/>
      <c r="R1548" s="5"/>
      <c r="S1548" s="6"/>
      <c r="T1548" s="17"/>
      <c r="U1548" s="6"/>
      <c r="V1548" s="4"/>
      <c r="W1548" s="4"/>
      <c r="X1548" s="4"/>
      <c r="Y1548" s="7">
        <v>5</v>
      </c>
      <c r="Z1548" s="8">
        <v>14924</v>
      </c>
      <c r="AA1548" s="7" t="s">
        <v>82</v>
      </c>
      <c r="AB1548" s="7"/>
      <c r="AC1548" s="9">
        <v>5</v>
      </c>
      <c r="AD1548" s="10">
        <v>14924</v>
      </c>
      <c r="AE1548" s="9" t="s">
        <v>82</v>
      </c>
      <c r="AF1548" s="9"/>
      <c r="AG1548" s="11">
        <v>3</v>
      </c>
      <c r="AH1548" s="11" t="s">
        <v>83</v>
      </c>
      <c r="AI1548" s="11"/>
      <c r="AJ1548" s="11"/>
      <c r="AK1548" s="11"/>
      <c r="AL1548" s="12">
        <v>3</v>
      </c>
      <c r="AM1548" s="12" t="s">
        <v>83</v>
      </c>
      <c r="AN1548" s="12"/>
      <c r="AO1548" s="12"/>
      <c r="AP1548" s="12"/>
      <c r="AQ1548" s="4">
        <v>4</v>
      </c>
      <c r="AR1548" s="4" t="s">
        <v>83</v>
      </c>
      <c r="AS1548" s="4"/>
      <c r="AT1548" s="13"/>
      <c r="AU1548" s="13"/>
      <c r="AV1548" s="13"/>
      <c r="AW1548" s="13"/>
      <c r="AX1548" s="4"/>
      <c r="AY1548" s="13"/>
      <c r="AZ1548" s="13"/>
      <c r="BA1548" s="13"/>
      <c r="BB1548" s="13"/>
      <c r="BC1548" s="4"/>
      <c r="BD1548" s="4"/>
      <c r="BE1548" s="4"/>
      <c r="BF1548" s="13"/>
      <c r="BG1548" s="4"/>
      <c r="BH1548" s="13"/>
      <c r="BI1548" s="13"/>
      <c r="BJ1548" s="4"/>
      <c r="BK1548" s="14">
        <v>16</v>
      </c>
      <c r="BL1548" s="14">
        <v>16</v>
      </c>
      <c r="BM1548" s="14">
        <v>16</v>
      </c>
      <c r="BN1548" s="3" t="s">
        <v>86</v>
      </c>
      <c r="BP1548" s="15"/>
      <c r="BQ1548" s="15"/>
      <c r="BR1548" s="2" t="s">
        <v>108</v>
      </c>
      <c r="BS1548" s="2" t="s">
        <v>108</v>
      </c>
      <c r="BT1548" s="7" t="s">
        <v>98</v>
      </c>
      <c r="BU1548" s="7"/>
      <c r="BV1548" s="9" t="s">
        <v>98</v>
      </c>
      <c r="BW1548" s="9"/>
    </row>
    <row r="1549" spans="1:75" ht="14.25" customHeight="1" x14ac:dyDescent="0.25">
      <c r="A1549" s="1">
        <v>1727</v>
      </c>
      <c r="B1549" s="1" t="s">
        <v>6061</v>
      </c>
      <c r="C1549" s="1" t="s">
        <v>6062</v>
      </c>
      <c r="D1549" s="1" t="s">
        <v>77</v>
      </c>
      <c r="E1549" s="1" t="s">
        <v>2396</v>
      </c>
      <c r="F1549" s="1" t="s">
        <v>4073</v>
      </c>
      <c r="G1549" s="1"/>
      <c r="H1549" s="2">
        <v>0</v>
      </c>
      <c r="I1549" s="2">
        <v>0</v>
      </c>
      <c r="J1549" s="2">
        <v>1</v>
      </c>
      <c r="K1549" s="2">
        <v>1</v>
      </c>
      <c r="L1549" s="3" t="s">
        <v>80</v>
      </c>
      <c r="O1549" s="4">
        <v>4</v>
      </c>
      <c r="P1549" s="4" t="s">
        <v>112</v>
      </c>
      <c r="Q1549" s="4"/>
      <c r="R1549" s="5"/>
      <c r="S1549" s="6"/>
      <c r="T1549" s="17"/>
      <c r="U1549" s="6"/>
      <c r="V1549" s="4"/>
      <c r="W1549" s="4"/>
      <c r="X1549" s="4"/>
      <c r="Y1549" s="7">
        <v>3</v>
      </c>
      <c r="Z1549" s="8">
        <v>327696</v>
      </c>
      <c r="AA1549" s="7" t="s">
        <v>92</v>
      </c>
      <c r="AB1549" s="7"/>
      <c r="AC1549" s="9">
        <v>3</v>
      </c>
      <c r="AD1549" s="10">
        <v>327696</v>
      </c>
      <c r="AE1549" s="9" t="s">
        <v>92</v>
      </c>
      <c r="AF1549" s="9"/>
      <c r="AG1549" s="11">
        <v>4</v>
      </c>
      <c r="AH1549" s="11" t="s">
        <v>93</v>
      </c>
      <c r="AI1549" s="11"/>
      <c r="AJ1549" s="11"/>
      <c r="AK1549" s="11"/>
      <c r="AL1549" s="12">
        <v>4</v>
      </c>
      <c r="AM1549" s="12" t="s">
        <v>93</v>
      </c>
      <c r="AN1549" s="12" t="s">
        <v>3052</v>
      </c>
      <c r="AO1549" s="12"/>
      <c r="AP1549" s="12"/>
      <c r="AQ1549" s="4">
        <v>4</v>
      </c>
      <c r="AR1549" s="4" t="s">
        <v>83</v>
      </c>
      <c r="AS1549" s="4"/>
      <c r="AT1549" s="13"/>
      <c r="AU1549" s="13"/>
      <c r="AV1549" s="13"/>
      <c r="AW1549" s="13"/>
      <c r="AX1549" s="4"/>
      <c r="AY1549" s="13"/>
      <c r="AZ1549" s="13"/>
      <c r="BA1549" s="13"/>
      <c r="BB1549" s="13"/>
      <c r="BC1549" s="4"/>
      <c r="BD1549" s="4"/>
      <c r="BE1549" s="4"/>
      <c r="BF1549" s="13"/>
      <c r="BG1549" s="4"/>
      <c r="BH1549" s="13"/>
      <c r="BI1549" s="13"/>
      <c r="BJ1549" s="4"/>
      <c r="BK1549" s="14">
        <v>15</v>
      </c>
      <c r="BL1549" s="14">
        <v>15</v>
      </c>
      <c r="BM1549" s="14">
        <v>15</v>
      </c>
      <c r="BN1549" s="3" t="s">
        <v>86</v>
      </c>
      <c r="BP1549" s="15"/>
      <c r="BQ1549" s="15"/>
      <c r="BR1549" s="2" t="s">
        <v>115</v>
      </c>
      <c r="BS1549" s="2" t="s">
        <v>115</v>
      </c>
      <c r="BT1549" s="7" t="s">
        <v>98</v>
      </c>
      <c r="BU1549" s="7"/>
      <c r="BV1549" s="9" t="s">
        <v>98</v>
      </c>
      <c r="BW1549" s="9"/>
    </row>
    <row r="1550" spans="1:75" ht="14.25" customHeight="1" x14ac:dyDescent="0.25">
      <c r="A1550" s="1">
        <v>1728</v>
      </c>
      <c r="B1550" s="1" t="s">
        <v>6063</v>
      </c>
      <c r="C1550" s="1" t="s">
        <v>6064</v>
      </c>
      <c r="D1550" s="1" t="s">
        <v>77</v>
      </c>
      <c r="E1550" s="1" t="s">
        <v>2396</v>
      </c>
      <c r="F1550" s="1" t="s">
        <v>4073</v>
      </c>
      <c r="G1550" s="1"/>
      <c r="H1550" s="2">
        <v>0</v>
      </c>
      <c r="I1550" s="2">
        <v>0</v>
      </c>
      <c r="J1550" s="2">
        <v>0</v>
      </c>
      <c r="K1550" s="2">
        <v>1</v>
      </c>
      <c r="L1550" s="3" t="s">
        <v>80</v>
      </c>
      <c r="O1550" s="4">
        <v>3</v>
      </c>
      <c r="P1550" s="4" t="s">
        <v>81</v>
      </c>
      <c r="Q1550" s="4"/>
      <c r="R1550" s="5"/>
      <c r="S1550" s="6"/>
      <c r="T1550" s="17"/>
      <c r="U1550" s="6"/>
      <c r="V1550" s="4"/>
      <c r="W1550" s="4"/>
      <c r="X1550" s="4"/>
      <c r="Y1550" s="7">
        <v>4</v>
      </c>
      <c r="Z1550" s="8">
        <v>197986</v>
      </c>
      <c r="AA1550" s="7" t="s">
        <v>82</v>
      </c>
      <c r="AB1550" s="7"/>
      <c r="AC1550" s="9">
        <v>4</v>
      </c>
      <c r="AD1550" s="10">
        <v>197986</v>
      </c>
      <c r="AE1550" s="9" t="s">
        <v>82</v>
      </c>
      <c r="AF1550" s="9"/>
      <c r="AG1550" s="11">
        <v>3</v>
      </c>
      <c r="AH1550" s="11" t="s">
        <v>83</v>
      </c>
      <c r="AI1550" s="11"/>
      <c r="AJ1550" s="11"/>
      <c r="AK1550" s="11"/>
      <c r="AL1550" s="12">
        <v>3</v>
      </c>
      <c r="AM1550" s="12" t="s">
        <v>83</v>
      </c>
      <c r="AN1550" s="12"/>
      <c r="AO1550" s="12"/>
      <c r="AP1550" s="12"/>
      <c r="AQ1550" s="4">
        <v>3</v>
      </c>
      <c r="AR1550" s="4" t="s">
        <v>83</v>
      </c>
      <c r="AS1550" s="4"/>
      <c r="AT1550" s="13"/>
      <c r="AU1550" s="13"/>
      <c r="AV1550" s="13"/>
      <c r="AW1550" s="13"/>
      <c r="AX1550" s="4"/>
      <c r="AY1550" s="13"/>
      <c r="AZ1550" s="13"/>
      <c r="BA1550" s="13"/>
      <c r="BB1550" s="13"/>
      <c r="BC1550" s="4"/>
      <c r="BD1550" s="4"/>
      <c r="BE1550" s="4"/>
      <c r="BF1550" s="13"/>
      <c r="BG1550" s="4"/>
      <c r="BH1550" s="13"/>
      <c r="BI1550" s="13"/>
      <c r="BJ1550" s="4"/>
      <c r="BK1550" s="14">
        <v>13</v>
      </c>
      <c r="BL1550" s="14">
        <v>13</v>
      </c>
      <c r="BM1550" s="14">
        <v>13</v>
      </c>
      <c r="BP1550" s="15"/>
      <c r="BQ1550" s="15"/>
      <c r="BR1550" s="2" t="s">
        <v>121</v>
      </c>
      <c r="BS1550" s="2" t="s">
        <v>121</v>
      </c>
      <c r="BT1550" s="7" t="s">
        <v>98</v>
      </c>
      <c r="BU1550" s="7"/>
      <c r="BV1550" s="9" t="s">
        <v>98</v>
      </c>
      <c r="BW1550" s="9"/>
    </row>
    <row r="1551" spans="1:75" ht="14.25" customHeight="1" x14ac:dyDescent="0.25">
      <c r="A1551" s="1">
        <v>1729</v>
      </c>
      <c r="B1551" s="1" t="s">
        <v>6065</v>
      </c>
      <c r="C1551" s="1" t="s">
        <v>6066</v>
      </c>
      <c r="D1551" s="1" t="s">
        <v>77</v>
      </c>
      <c r="E1551" s="1" t="s">
        <v>2396</v>
      </c>
      <c r="F1551" s="1" t="s">
        <v>4073</v>
      </c>
      <c r="G1551" s="1"/>
      <c r="H1551" s="2">
        <v>0</v>
      </c>
      <c r="I1551" s="2">
        <v>0</v>
      </c>
      <c r="J1551" s="2">
        <v>0</v>
      </c>
      <c r="K1551" s="2">
        <v>1</v>
      </c>
      <c r="L1551" s="3" t="s">
        <v>80</v>
      </c>
      <c r="O1551" s="4">
        <v>4</v>
      </c>
      <c r="P1551" s="4" t="s">
        <v>81</v>
      </c>
      <c r="Q1551" s="4"/>
      <c r="R1551" s="5"/>
      <c r="S1551" s="6"/>
      <c r="T1551" s="17"/>
      <c r="U1551" s="6"/>
      <c r="V1551" s="4"/>
      <c r="W1551" s="4"/>
      <c r="X1551" s="4"/>
      <c r="Y1551" s="7">
        <v>5</v>
      </c>
      <c r="Z1551" s="8">
        <v>20237</v>
      </c>
      <c r="AA1551" s="7" t="s">
        <v>82</v>
      </c>
      <c r="AB1551" s="7"/>
      <c r="AC1551" s="9">
        <v>5</v>
      </c>
      <c r="AD1551" s="10">
        <v>20237</v>
      </c>
      <c r="AE1551" s="9" t="s">
        <v>82</v>
      </c>
      <c r="AF1551" s="9"/>
      <c r="AG1551" s="11">
        <v>3</v>
      </c>
      <c r="AH1551" s="11" t="s">
        <v>83</v>
      </c>
      <c r="AI1551" s="11"/>
      <c r="AJ1551" s="11"/>
      <c r="AK1551" s="11"/>
      <c r="AL1551" s="12">
        <v>3</v>
      </c>
      <c r="AM1551" s="12" t="s">
        <v>83</v>
      </c>
      <c r="AN1551" s="12"/>
      <c r="AO1551" s="12"/>
      <c r="AP1551" s="12"/>
      <c r="AQ1551" s="4">
        <v>3</v>
      </c>
      <c r="AR1551" s="4" t="s">
        <v>83</v>
      </c>
      <c r="AS1551" s="4"/>
      <c r="AT1551" s="13"/>
      <c r="AU1551" s="13"/>
      <c r="AV1551" s="13"/>
      <c r="AW1551" s="13"/>
      <c r="AX1551" s="4"/>
      <c r="AY1551" s="13"/>
      <c r="AZ1551" s="13"/>
      <c r="BA1551" s="13"/>
      <c r="BB1551" s="13"/>
      <c r="BC1551" s="4"/>
      <c r="BD1551" s="4"/>
      <c r="BE1551" s="4"/>
      <c r="BF1551" s="13"/>
      <c r="BG1551" s="4"/>
      <c r="BH1551" s="13"/>
      <c r="BI1551" s="13"/>
      <c r="BJ1551" s="4"/>
      <c r="BK1551" s="14">
        <v>15</v>
      </c>
      <c r="BL1551" s="14">
        <v>15</v>
      </c>
      <c r="BM1551" s="14">
        <v>15</v>
      </c>
      <c r="BN1551" s="3" t="s">
        <v>86</v>
      </c>
      <c r="BP1551" s="15"/>
      <c r="BQ1551" s="15"/>
      <c r="BR1551" s="2" t="s">
        <v>87</v>
      </c>
      <c r="BS1551" s="2" t="s">
        <v>87</v>
      </c>
      <c r="BT1551" s="7" t="s">
        <v>98</v>
      </c>
      <c r="BU1551" s="7"/>
      <c r="BV1551" s="9" t="s">
        <v>98</v>
      </c>
      <c r="BW1551" s="9"/>
    </row>
    <row r="1552" spans="1:75" ht="14.25" customHeight="1" x14ac:dyDescent="0.25">
      <c r="A1552" s="1">
        <v>1730</v>
      </c>
      <c r="B1552" s="1" t="s">
        <v>6067</v>
      </c>
      <c r="C1552" s="1" t="s">
        <v>6068</v>
      </c>
      <c r="D1552" s="1" t="s">
        <v>77</v>
      </c>
      <c r="E1552" s="1" t="s">
        <v>2396</v>
      </c>
      <c r="F1552" s="1" t="s">
        <v>4073</v>
      </c>
      <c r="G1552" s="1"/>
      <c r="H1552" s="2">
        <v>0</v>
      </c>
      <c r="I1552" s="2">
        <v>0</v>
      </c>
      <c r="J1552" s="2">
        <v>0</v>
      </c>
      <c r="K1552" s="2">
        <v>1</v>
      </c>
      <c r="L1552" s="3" t="s">
        <v>80</v>
      </c>
      <c r="O1552" s="4">
        <v>2</v>
      </c>
      <c r="P1552" s="4" t="s">
        <v>81</v>
      </c>
      <c r="Q1552" s="4"/>
      <c r="R1552" s="5"/>
      <c r="S1552" s="6"/>
      <c r="T1552" s="17"/>
      <c r="U1552" s="6"/>
      <c r="V1552" s="4"/>
      <c r="W1552" s="4"/>
      <c r="X1552" s="4"/>
      <c r="Y1552" s="7">
        <v>2</v>
      </c>
      <c r="Z1552" s="8">
        <v>3729657</v>
      </c>
      <c r="AA1552" s="7" t="s">
        <v>82</v>
      </c>
      <c r="AB1552" s="7"/>
      <c r="AC1552" s="9">
        <v>2</v>
      </c>
      <c r="AD1552" s="10">
        <v>3729657</v>
      </c>
      <c r="AE1552" s="9" t="s">
        <v>82</v>
      </c>
      <c r="AF1552" s="9"/>
      <c r="AG1552" s="11">
        <v>3</v>
      </c>
      <c r="AH1552" s="11" t="s">
        <v>83</v>
      </c>
      <c r="AI1552" s="11"/>
      <c r="AJ1552" s="11"/>
      <c r="AK1552" s="11"/>
      <c r="AL1552" s="12">
        <v>3</v>
      </c>
      <c r="AM1552" s="12" t="s">
        <v>83</v>
      </c>
      <c r="AN1552" s="12"/>
      <c r="AO1552" s="12"/>
      <c r="AP1552" s="12"/>
      <c r="AQ1552" s="4">
        <v>3</v>
      </c>
      <c r="AR1552" s="4" t="s">
        <v>83</v>
      </c>
      <c r="AS1552" s="4"/>
      <c r="AT1552" s="13"/>
      <c r="AU1552" s="13"/>
      <c r="AV1552" s="13"/>
      <c r="AW1552" s="13"/>
      <c r="AX1552" s="4"/>
      <c r="AY1552" s="13"/>
      <c r="AZ1552" s="13"/>
      <c r="BA1552" s="13"/>
      <c r="BB1552" s="13"/>
      <c r="BC1552" s="4"/>
      <c r="BD1552" s="4"/>
      <c r="BE1552" s="4"/>
      <c r="BF1552" s="13"/>
      <c r="BG1552" s="4"/>
      <c r="BH1552" s="13"/>
      <c r="BI1552" s="13"/>
      <c r="BJ1552" s="4"/>
      <c r="BK1552" s="14">
        <v>10</v>
      </c>
      <c r="BL1552" s="14">
        <v>10</v>
      </c>
      <c r="BM1552" s="14">
        <v>10</v>
      </c>
      <c r="BP1552" s="15"/>
      <c r="BQ1552" s="15"/>
      <c r="BR1552" s="2" t="s">
        <v>740</v>
      </c>
      <c r="BS1552" s="2" t="s">
        <v>740</v>
      </c>
      <c r="BT1552" s="7" t="s">
        <v>88</v>
      </c>
      <c r="BU1552" s="7"/>
      <c r="BV1552" s="9" t="s">
        <v>88</v>
      </c>
      <c r="BW1552" s="9"/>
    </row>
    <row r="1553" spans="1:75" ht="14.25" customHeight="1" x14ac:dyDescent="0.25">
      <c r="A1553" s="1">
        <v>1731</v>
      </c>
      <c r="B1553" s="1" t="s">
        <v>6069</v>
      </c>
      <c r="C1553" s="1" t="s">
        <v>6070</v>
      </c>
      <c r="D1553" s="1" t="s">
        <v>77</v>
      </c>
      <c r="E1553" s="1" t="s">
        <v>2396</v>
      </c>
      <c r="F1553" s="1" t="s">
        <v>4073</v>
      </c>
      <c r="G1553" s="1"/>
      <c r="H1553" s="2">
        <v>0</v>
      </c>
      <c r="I1553" s="2">
        <v>0</v>
      </c>
      <c r="J1553" s="2">
        <v>1</v>
      </c>
      <c r="K1553" s="2">
        <v>1</v>
      </c>
      <c r="L1553" s="3" t="s">
        <v>80</v>
      </c>
      <c r="O1553" s="4">
        <v>5</v>
      </c>
      <c r="P1553" s="4" t="s">
        <v>112</v>
      </c>
      <c r="Q1553" s="4"/>
      <c r="R1553" s="5"/>
      <c r="S1553" s="6"/>
      <c r="T1553" s="17"/>
      <c r="U1553" s="6"/>
      <c r="V1553" s="4"/>
      <c r="W1553" s="4"/>
      <c r="X1553" s="4"/>
      <c r="Y1553" s="7">
        <v>4</v>
      </c>
      <c r="Z1553" s="8">
        <v>251937</v>
      </c>
      <c r="AA1553" s="7" t="s">
        <v>92</v>
      </c>
      <c r="AB1553" s="7"/>
      <c r="AC1553" s="9">
        <v>4</v>
      </c>
      <c r="AD1553" s="10">
        <v>251937</v>
      </c>
      <c r="AE1553" s="9" t="s">
        <v>92</v>
      </c>
      <c r="AF1553" s="9"/>
      <c r="AG1553" s="11">
        <v>4</v>
      </c>
      <c r="AH1553" s="11" t="s">
        <v>93</v>
      </c>
      <c r="AI1553" s="11"/>
      <c r="AJ1553" s="11"/>
      <c r="AK1553" s="11"/>
      <c r="AL1553" s="12">
        <v>4</v>
      </c>
      <c r="AM1553" s="12" t="s">
        <v>93</v>
      </c>
      <c r="AN1553" s="12" t="s">
        <v>5361</v>
      </c>
      <c r="AO1553" s="12"/>
      <c r="AP1553" s="12"/>
      <c r="AQ1553" s="4">
        <v>4</v>
      </c>
      <c r="AR1553" s="4" t="s">
        <v>83</v>
      </c>
      <c r="AS1553" s="4"/>
      <c r="AT1553" s="13"/>
      <c r="AU1553" s="13"/>
      <c r="AV1553" s="13"/>
      <c r="AW1553" s="13"/>
      <c r="AX1553" s="4"/>
      <c r="AY1553" s="13"/>
      <c r="AZ1553" s="13"/>
      <c r="BA1553" s="13"/>
      <c r="BB1553" s="13"/>
      <c r="BC1553" s="4"/>
      <c r="BD1553" s="4"/>
      <c r="BE1553" s="4"/>
      <c r="BF1553" s="13"/>
      <c r="BG1553" s="4"/>
      <c r="BH1553" s="13"/>
      <c r="BI1553" s="13"/>
      <c r="BJ1553" s="4"/>
      <c r="BK1553" s="14">
        <v>17</v>
      </c>
      <c r="BL1553" s="14">
        <v>17</v>
      </c>
      <c r="BM1553" s="14">
        <v>17</v>
      </c>
      <c r="BN1553" s="3" t="s">
        <v>312</v>
      </c>
      <c r="BP1553" s="15"/>
      <c r="BQ1553" s="15"/>
      <c r="BR1553" s="2" t="s">
        <v>409</v>
      </c>
      <c r="BS1553" s="2" t="s">
        <v>409</v>
      </c>
      <c r="BT1553" s="7" t="s">
        <v>88</v>
      </c>
      <c r="BU1553" s="7" t="s">
        <v>437</v>
      </c>
      <c r="BV1553" s="9" t="s">
        <v>88</v>
      </c>
      <c r="BW1553" s="9" t="s">
        <v>437</v>
      </c>
    </row>
    <row r="1554" spans="1:75" ht="14.25" customHeight="1" x14ac:dyDescent="0.25">
      <c r="A1554" s="1">
        <v>1732</v>
      </c>
      <c r="B1554" s="1" t="s">
        <v>6071</v>
      </c>
      <c r="C1554" s="1" t="s">
        <v>6072</v>
      </c>
      <c r="D1554" s="1" t="s">
        <v>77</v>
      </c>
      <c r="E1554" s="1" t="s">
        <v>2396</v>
      </c>
      <c r="F1554" s="1" t="s">
        <v>4073</v>
      </c>
      <c r="G1554" s="1"/>
      <c r="H1554" s="2">
        <v>1</v>
      </c>
      <c r="I1554" s="2">
        <v>1</v>
      </c>
      <c r="J1554" s="2">
        <v>1</v>
      </c>
      <c r="K1554" s="2">
        <v>0</v>
      </c>
      <c r="L1554" s="3" t="s">
        <v>127</v>
      </c>
      <c r="O1554" s="4">
        <v>3</v>
      </c>
      <c r="P1554" s="4" t="s">
        <v>1840</v>
      </c>
      <c r="Q1554" s="4"/>
      <c r="R1554" s="16">
        <v>3800000</v>
      </c>
      <c r="S1554" s="6">
        <v>3800000</v>
      </c>
      <c r="T1554" s="16">
        <v>3800000</v>
      </c>
      <c r="U1554" s="6">
        <v>3800000</v>
      </c>
      <c r="V1554" s="4">
        <v>2010.5</v>
      </c>
      <c r="W1554" s="4" t="s">
        <v>579</v>
      </c>
      <c r="X1554" s="4"/>
      <c r="Y1554" s="7">
        <v>2</v>
      </c>
      <c r="Z1554" s="8">
        <v>3930887</v>
      </c>
      <c r="AA1554" s="7" t="s">
        <v>92</v>
      </c>
      <c r="AB1554" s="7"/>
      <c r="AC1554" s="9">
        <v>1</v>
      </c>
      <c r="AD1554" s="10">
        <v>9630990</v>
      </c>
      <c r="AE1554" s="9" t="s">
        <v>92</v>
      </c>
      <c r="AF1554" s="9"/>
      <c r="AG1554" s="11">
        <v>4</v>
      </c>
      <c r="AH1554" s="11" t="s">
        <v>800</v>
      </c>
      <c r="AI1554" s="11" t="s">
        <v>6073</v>
      </c>
      <c r="AJ1554" s="11">
        <v>4</v>
      </c>
      <c r="AK1554" s="11" t="s">
        <v>143</v>
      </c>
      <c r="AL1554" s="12">
        <v>3</v>
      </c>
      <c r="AM1554" s="12" t="s">
        <v>131</v>
      </c>
      <c r="AN1554" s="12"/>
      <c r="AO1554" s="12">
        <v>3</v>
      </c>
      <c r="AP1554" s="12" t="s">
        <v>132</v>
      </c>
      <c r="AQ1554" s="4">
        <v>5</v>
      </c>
      <c r="AR1554" s="4" t="s">
        <v>133</v>
      </c>
      <c r="AS1554" s="4"/>
      <c r="AT1554" s="13">
        <v>-88.131896972656307</v>
      </c>
      <c r="AU1554" s="13">
        <v>-4.0970892906189</v>
      </c>
      <c r="AV1554" s="13">
        <v>-5.3896012306213397</v>
      </c>
      <c r="AW1554" s="13">
        <v>-2.5899999141693102</v>
      </c>
      <c r="AX1554" s="4">
        <v>1</v>
      </c>
      <c r="AY1554" s="13">
        <v>-16.857738494873001</v>
      </c>
      <c r="AZ1554" s="13">
        <v>-1.83080017566681</v>
      </c>
      <c r="BA1554" s="13">
        <v>-6.6100001335143999</v>
      </c>
      <c r="BB1554" s="13">
        <v>3.8015010356903098</v>
      </c>
      <c r="BC1554" s="4"/>
      <c r="BD1554" s="4">
        <v>10</v>
      </c>
      <c r="BE1554" s="4" t="s">
        <v>134</v>
      </c>
      <c r="BF1554" s="13">
        <v>2.7996010780334499</v>
      </c>
      <c r="BG1554" s="4">
        <v>1093</v>
      </c>
      <c r="BH1554" s="13">
        <v>3.0750000476837198</v>
      </c>
      <c r="BI1554" s="13">
        <v>3360.15991210938</v>
      </c>
      <c r="BJ1554" s="4"/>
      <c r="BK1554" s="14">
        <v>14</v>
      </c>
      <c r="BL1554" s="14">
        <v>12</v>
      </c>
      <c r="BM1554" s="14">
        <v>14</v>
      </c>
      <c r="BN1554" s="3" t="s">
        <v>375</v>
      </c>
      <c r="BO1554" s="3" t="s">
        <v>114</v>
      </c>
      <c r="BP1554" s="15"/>
      <c r="BQ1554" s="15"/>
      <c r="BR1554" s="2" t="s">
        <v>211</v>
      </c>
      <c r="BS1554" s="2" t="s">
        <v>172</v>
      </c>
      <c r="BT1554" s="7" t="s">
        <v>527</v>
      </c>
      <c r="BU1554" s="7" t="s">
        <v>428</v>
      </c>
      <c r="BV1554" s="9" t="s">
        <v>509</v>
      </c>
      <c r="BW1554" s="9"/>
    </row>
    <row r="1555" spans="1:75" ht="14.25" customHeight="1" x14ac:dyDescent="0.25">
      <c r="A1555" s="1">
        <v>1775</v>
      </c>
      <c r="B1555" s="1" t="s">
        <v>6074</v>
      </c>
      <c r="C1555" s="1" t="s">
        <v>6075</v>
      </c>
      <c r="D1555" s="1" t="s">
        <v>77</v>
      </c>
      <c r="E1555" s="1" t="s">
        <v>2396</v>
      </c>
      <c r="F1555" s="1" t="s">
        <v>4073</v>
      </c>
      <c r="G1555" s="1"/>
      <c r="H1555" s="2">
        <v>1</v>
      </c>
      <c r="I1555" s="2">
        <v>1</v>
      </c>
      <c r="J1555" s="2">
        <v>0</v>
      </c>
      <c r="K1555" s="2">
        <v>0</v>
      </c>
      <c r="L1555" s="3" t="s">
        <v>127</v>
      </c>
      <c r="O1555" s="4">
        <v>2</v>
      </c>
      <c r="P1555" s="4" t="s">
        <v>1918</v>
      </c>
      <c r="Q1555" s="4"/>
      <c r="R1555" s="16">
        <v>11000000</v>
      </c>
      <c r="S1555" s="6">
        <v>11000000</v>
      </c>
      <c r="T1555" s="16">
        <v>5500000</v>
      </c>
      <c r="U1555" s="6">
        <v>5500000</v>
      </c>
      <c r="V1555" s="4">
        <v>2010.5</v>
      </c>
      <c r="W1555" s="4" t="s">
        <v>1919</v>
      </c>
      <c r="X1555" s="4"/>
      <c r="Y1555" s="7">
        <v>1</v>
      </c>
      <c r="Z1555" s="8">
        <v>13997546</v>
      </c>
      <c r="AA1555" s="7" t="s">
        <v>92</v>
      </c>
      <c r="AB1555" s="7"/>
      <c r="AC1555" s="9">
        <v>1</v>
      </c>
      <c r="AD1555" s="10">
        <v>20809400</v>
      </c>
      <c r="AE1555" s="9" t="s">
        <v>92</v>
      </c>
      <c r="AF1555" s="9"/>
      <c r="AG1555" s="11">
        <v>4</v>
      </c>
      <c r="AH1555" s="11" t="s">
        <v>800</v>
      </c>
      <c r="AI1555" s="11" t="s">
        <v>6076</v>
      </c>
      <c r="AJ1555" s="11">
        <v>4</v>
      </c>
      <c r="AK1555" s="11" t="s">
        <v>143</v>
      </c>
      <c r="AL1555" s="12">
        <v>3</v>
      </c>
      <c r="AM1555" s="12" t="s">
        <v>131</v>
      </c>
      <c r="AN1555" s="12"/>
      <c r="AO1555" s="12">
        <v>3</v>
      </c>
      <c r="AP1555" s="12" t="s">
        <v>143</v>
      </c>
      <c r="AQ1555" s="4">
        <v>5</v>
      </c>
      <c r="AR1555" s="4" t="s">
        <v>133</v>
      </c>
      <c r="AS1555" s="4"/>
      <c r="AT1555" s="13">
        <v>-57.251506805419901</v>
      </c>
      <c r="AU1555" s="13">
        <v>-1.6507643461227399</v>
      </c>
      <c r="AV1555" s="13">
        <v>-3.8399999141693102</v>
      </c>
      <c r="AW1555" s="13">
        <v>-8.0900996923446697E-2</v>
      </c>
      <c r="AX1555" s="4">
        <v>1</v>
      </c>
      <c r="AY1555" s="13">
        <v>-14.049017906189</v>
      </c>
      <c r="AZ1555" s="13">
        <v>-1.5026937723159799</v>
      </c>
      <c r="BA1555" s="13">
        <v>-5.4386968612670898</v>
      </c>
      <c r="BB1555" s="13">
        <v>5.6300001144409197</v>
      </c>
      <c r="BC1555" s="4"/>
      <c r="BD1555" s="4">
        <v>10</v>
      </c>
      <c r="BE1555" s="4" t="s">
        <v>134</v>
      </c>
      <c r="BF1555" s="13">
        <v>3.7590990066528298</v>
      </c>
      <c r="BG1555" s="4">
        <v>421.5</v>
      </c>
      <c r="BH1555" s="13">
        <v>0.63499999046325695</v>
      </c>
      <c r="BI1555" s="13">
        <v>270.86999511718801</v>
      </c>
      <c r="BJ1555" s="4"/>
      <c r="BK1555" s="14">
        <v>12</v>
      </c>
      <c r="BL1555" s="14">
        <v>11</v>
      </c>
      <c r="BM1555" s="14">
        <v>12</v>
      </c>
      <c r="BN1555" s="3" t="s">
        <v>302</v>
      </c>
      <c r="BP1555" s="15"/>
      <c r="BQ1555" s="15"/>
      <c r="BR1555" s="2" t="s">
        <v>211</v>
      </c>
      <c r="BS1555" s="2" t="s">
        <v>172</v>
      </c>
      <c r="BT1555" s="7" t="s">
        <v>527</v>
      </c>
      <c r="BU1555" s="7"/>
      <c r="BV1555" s="9" t="s">
        <v>527</v>
      </c>
      <c r="BW1555" s="9"/>
    </row>
    <row r="1556" spans="1:75" ht="14.25" customHeight="1" x14ac:dyDescent="0.25">
      <c r="A1556" s="1">
        <v>1778</v>
      </c>
      <c r="B1556" s="1" t="s">
        <v>6077</v>
      </c>
      <c r="C1556" s="1" t="s">
        <v>6078</v>
      </c>
      <c r="D1556" s="1" t="s">
        <v>77</v>
      </c>
      <c r="E1556" s="1" t="s">
        <v>2396</v>
      </c>
      <c r="F1556" s="1" t="s">
        <v>4073</v>
      </c>
      <c r="G1556" s="1"/>
      <c r="H1556" s="2">
        <v>1</v>
      </c>
      <c r="I1556" s="2">
        <v>1</v>
      </c>
      <c r="J1556" s="2">
        <v>0</v>
      </c>
      <c r="K1556" s="2">
        <v>0</v>
      </c>
      <c r="L1556" s="3" t="s">
        <v>127</v>
      </c>
      <c r="O1556" s="4">
        <v>4</v>
      </c>
      <c r="P1556" s="4" t="s">
        <v>542</v>
      </c>
      <c r="Q1556" s="4" t="s">
        <v>6079</v>
      </c>
      <c r="R1556" s="16">
        <v>200000</v>
      </c>
      <c r="S1556" s="6">
        <v>200000</v>
      </c>
      <c r="T1556" s="16">
        <v>200000</v>
      </c>
      <c r="U1556" s="6">
        <v>200000</v>
      </c>
      <c r="V1556" s="4"/>
      <c r="W1556" s="4" t="s">
        <v>2365</v>
      </c>
      <c r="X1556" s="4"/>
      <c r="Y1556" s="7">
        <v>2</v>
      </c>
      <c r="Z1556" s="8">
        <v>2246756</v>
      </c>
      <c r="AA1556" s="7" t="s">
        <v>92</v>
      </c>
      <c r="AB1556" s="7"/>
      <c r="AC1556" s="9">
        <v>2</v>
      </c>
      <c r="AD1556" s="10">
        <v>2133700</v>
      </c>
      <c r="AE1556" s="9" t="s">
        <v>92</v>
      </c>
      <c r="AF1556" s="9"/>
      <c r="AG1556" s="11">
        <v>3</v>
      </c>
      <c r="AH1556" s="11" t="s">
        <v>800</v>
      </c>
      <c r="AI1556" s="11" t="s">
        <v>6080</v>
      </c>
      <c r="AJ1556" s="11">
        <v>4</v>
      </c>
      <c r="AK1556" s="11" t="s">
        <v>332</v>
      </c>
      <c r="AL1556" s="12">
        <v>4</v>
      </c>
      <c r="AM1556" s="12" t="s">
        <v>131</v>
      </c>
      <c r="AN1556" s="12"/>
      <c r="AO1556" s="12">
        <v>5</v>
      </c>
      <c r="AP1556" s="12" t="s">
        <v>143</v>
      </c>
      <c r="AQ1556" s="4">
        <v>5</v>
      </c>
      <c r="AR1556" s="4" t="s">
        <v>187</v>
      </c>
      <c r="AS1556" s="4"/>
      <c r="AT1556" s="13">
        <v>-90.737609863281307</v>
      </c>
      <c r="AU1556" s="13">
        <v>-4.7395305633544904</v>
      </c>
      <c r="AV1556" s="13">
        <v>-9.9398498535156303</v>
      </c>
      <c r="AW1556" s="13">
        <v>0.96673113107681297</v>
      </c>
      <c r="AX1556" s="4"/>
      <c r="AY1556" s="13">
        <v>-0.84879261255264304</v>
      </c>
      <c r="AZ1556" s="13">
        <v>-8.52052196860313E-2</v>
      </c>
      <c r="BA1556" s="13">
        <v>-7.48685598373413</v>
      </c>
      <c r="BB1556" s="13">
        <v>7.2318272590637198</v>
      </c>
      <c r="BC1556" s="4"/>
      <c r="BD1556" s="4">
        <v>10</v>
      </c>
      <c r="BE1556" s="4"/>
      <c r="BF1556" s="13">
        <v>10.9065809249878</v>
      </c>
      <c r="BG1556" s="4"/>
      <c r="BH1556" s="13"/>
      <c r="BI1556" s="13"/>
      <c r="BJ1556" s="4"/>
      <c r="BK1556" s="14">
        <v>14</v>
      </c>
      <c r="BL1556" s="14">
        <v>15</v>
      </c>
      <c r="BM1556" s="14">
        <v>15</v>
      </c>
      <c r="BN1556" s="3" t="s">
        <v>375</v>
      </c>
      <c r="BP1556" s="15"/>
      <c r="BQ1556" s="15"/>
      <c r="BR1556" s="2" t="s">
        <v>555</v>
      </c>
      <c r="BS1556" s="2" t="s">
        <v>555</v>
      </c>
      <c r="BT1556" s="7" t="s">
        <v>539</v>
      </c>
      <c r="BU1556" s="7"/>
      <c r="BV1556" s="9" t="s">
        <v>458</v>
      </c>
      <c r="BW1556" s="9" t="s">
        <v>539</v>
      </c>
    </row>
    <row r="1557" spans="1:75" ht="14.25" customHeight="1" x14ac:dyDescent="0.25">
      <c r="A1557" s="1">
        <v>1779</v>
      </c>
      <c r="B1557" s="1" t="s">
        <v>6081</v>
      </c>
      <c r="C1557" s="1" t="s">
        <v>6082</v>
      </c>
      <c r="D1557" s="1" t="s">
        <v>77</v>
      </c>
      <c r="E1557" s="1" t="s">
        <v>2396</v>
      </c>
      <c r="F1557" s="1" t="s">
        <v>4073</v>
      </c>
      <c r="G1557" s="1" t="s">
        <v>118</v>
      </c>
      <c r="H1557" s="2">
        <v>0</v>
      </c>
      <c r="I1557" s="2">
        <v>1</v>
      </c>
      <c r="J1557" s="2">
        <v>0</v>
      </c>
      <c r="K1557" s="2">
        <v>0</v>
      </c>
      <c r="L1557" s="3" t="s">
        <v>127</v>
      </c>
      <c r="O1557" s="4">
        <v>4</v>
      </c>
      <c r="P1557" s="4" t="s">
        <v>1717</v>
      </c>
      <c r="Q1557" s="4" t="s">
        <v>6083</v>
      </c>
      <c r="R1557" s="16">
        <v>120000</v>
      </c>
      <c r="S1557" s="6">
        <v>120000</v>
      </c>
      <c r="T1557" s="16">
        <v>120000</v>
      </c>
      <c r="U1557" s="6">
        <v>120000</v>
      </c>
      <c r="V1557" s="4"/>
      <c r="W1557" s="4" t="s">
        <v>4115</v>
      </c>
      <c r="X1557" s="4"/>
      <c r="Y1557" s="7">
        <v>4</v>
      </c>
      <c r="Z1557" s="8">
        <v>136521</v>
      </c>
      <c r="AA1557" s="7" t="s">
        <v>92</v>
      </c>
      <c r="AB1557" s="7"/>
      <c r="AC1557" s="9">
        <v>3</v>
      </c>
      <c r="AD1557" s="10">
        <v>964345</v>
      </c>
      <c r="AE1557" s="9" t="s">
        <v>92</v>
      </c>
      <c r="AF1557" s="9"/>
      <c r="AG1557" s="11">
        <v>5</v>
      </c>
      <c r="AH1557" s="11" t="s">
        <v>800</v>
      </c>
      <c r="AI1557" s="11" t="s">
        <v>6084</v>
      </c>
      <c r="AJ1557" s="11">
        <v>5</v>
      </c>
      <c r="AK1557" s="11" t="s">
        <v>132</v>
      </c>
      <c r="AL1557" s="12">
        <v>4</v>
      </c>
      <c r="AM1557" s="12" t="s">
        <v>131</v>
      </c>
      <c r="AN1557" s="12" t="s">
        <v>6085</v>
      </c>
      <c r="AO1557" s="12">
        <v>5</v>
      </c>
      <c r="AP1557" s="12" t="s">
        <v>143</v>
      </c>
      <c r="AQ1557" s="4">
        <v>3</v>
      </c>
      <c r="AR1557" s="4" t="s">
        <v>665</v>
      </c>
      <c r="AS1557" s="4"/>
      <c r="AT1557" s="13"/>
      <c r="AU1557" s="13"/>
      <c r="AV1557" s="13"/>
      <c r="AW1557" s="13"/>
      <c r="AX1557" s="4"/>
      <c r="AY1557" s="13"/>
      <c r="AZ1557" s="13"/>
      <c r="BA1557" s="13"/>
      <c r="BB1557" s="13"/>
      <c r="BC1557" s="4"/>
      <c r="BD1557" s="4"/>
      <c r="BE1557" s="4"/>
      <c r="BF1557" s="13"/>
      <c r="BG1557" s="4"/>
      <c r="BH1557" s="13"/>
      <c r="BI1557" s="13"/>
      <c r="BJ1557" s="4"/>
      <c r="BK1557" s="14">
        <v>16</v>
      </c>
      <c r="BL1557" s="14">
        <v>14</v>
      </c>
      <c r="BM1557" s="14">
        <v>16</v>
      </c>
      <c r="BN1557" s="3" t="s">
        <v>113</v>
      </c>
      <c r="BO1557" s="3" t="s">
        <v>414</v>
      </c>
      <c r="BP1557" s="15"/>
      <c r="BQ1557" s="15"/>
      <c r="BR1557" s="2" t="s">
        <v>555</v>
      </c>
      <c r="BS1557" s="2" t="s">
        <v>555</v>
      </c>
      <c r="BT1557" s="7" t="s">
        <v>539</v>
      </c>
      <c r="BU1557" s="7"/>
      <c r="BV1557" s="9" t="s">
        <v>539</v>
      </c>
      <c r="BW1557" s="9" t="s">
        <v>556</v>
      </c>
    </row>
    <row r="1558" spans="1:75" ht="14.25" customHeight="1" x14ac:dyDescent="0.25">
      <c r="A1558" s="1">
        <v>1796</v>
      </c>
      <c r="B1558" s="1" t="s">
        <v>6086</v>
      </c>
      <c r="C1558" s="1" t="s">
        <v>6087</v>
      </c>
      <c r="D1558" s="1" t="s">
        <v>77</v>
      </c>
      <c r="E1558" s="1" t="s">
        <v>2396</v>
      </c>
      <c r="F1558" s="1" t="s">
        <v>4073</v>
      </c>
      <c r="G1558" s="1" t="s">
        <v>118</v>
      </c>
      <c r="H1558" s="2">
        <v>0</v>
      </c>
      <c r="I1558" s="2">
        <v>0</v>
      </c>
      <c r="J1558" s="2">
        <v>1</v>
      </c>
      <c r="K1558" s="2">
        <v>1</v>
      </c>
      <c r="L1558" s="3" t="s">
        <v>80</v>
      </c>
      <c r="O1558" s="4">
        <v>5</v>
      </c>
      <c r="P1558" s="4" t="s">
        <v>112</v>
      </c>
      <c r="Q1558" s="4"/>
      <c r="R1558" s="5"/>
      <c r="S1558" s="6"/>
      <c r="T1558" s="17"/>
      <c r="U1558" s="6"/>
      <c r="V1558" s="4"/>
      <c r="W1558" s="4"/>
      <c r="X1558" s="4"/>
      <c r="Y1558" s="7">
        <v>5</v>
      </c>
      <c r="Z1558" s="8">
        <v>50226</v>
      </c>
      <c r="AA1558" s="7" t="s">
        <v>92</v>
      </c>
      <c r="AB1558" s="7"/>
      <c r="AC1558" s="9">
        <v>5</v>
      </c>
      <c r="AD1558" s="10">
        <v>50226</v>
      </c>
      <c r="AE1558" s="9" t="s">
        <v>92</v>
      </c>
      <c r="AF1558" s="9"/>
      <c r="AG1558" s="11">
        <v>3</v>
      </c>
      <c r="AH1558" s="11" t="s">
        <v>93</v>
      </c>
      <c r="AI1558" s="11" t="s">
        <v>445</v>
      </c>
      <c r="AJ1558" s="11"/>
      <c r="AK1558" s="11"/>
      <c r="AL1558" s="12">
        <v>3</v>
      </c>
      <c r="AM1558" s="12" t="s">
        <v>93</v>
      </c>
      <c r="AN1558" s="12" t="s">
        <v>6088</v>
      </c>
      <c r="AO1558" s="12"/>
      <c r="AP1558" s="12"/>
      <c r="AQ1558" s="4">
        <v>4</v>
      </c>
      <c r="AR1558" s="4" t="s">
        <v>83</v>
      </c>
      <c r="AS1558" s="4"/>
      <c r="AT1558" s="13"/>
      <c r="AU1558" s="13"/>
      <c r="AV1558" s="13"/>
      <c r="AW1558" s="13"/>
      <c r="AX1558" s="4"/>
      <c r="AY1558" s="13"/>
      <c r="AZ1558" s="13"/>
      <c r="BA1558" s="13"/>
      <c r="BB1558" s="13"/>
      <c r="BC1558" s="4"/>
      <c r="BD1558" s="4"/>
      <c r="BE1558" s="4"/>
      <c r="BF1558" s="13"/>
      <c r="BG1558" s="4"/>
      <c r="BH1558" s="13"/>
      <c r="BI1558" s="13"/>
      <c r="BJ1558" s="4"/>
      <c r="BK1558" s="14">
        <v>17</v>
      </c>
      <c r="BL1558" s="14">
        <v>17</v>
      </c>
      <c r="BM1558" s="14">
        <v>17</v>
      </c>
      <c r="BN1558" s="3" t="s">
        <v>312</v>
      </c>
      <c r="BP1558" s="15"/>
      <c r="BQ1558" s="15"/>
      <c r="BR1558" s="2" t="s">
        <v>409</v>
      </c>
      <c r="BS1558" s="2" t="s">
        <v>409</v>
      </c>
      <c r="BT1558" s="7" t="s">
        <v>438</v>
      </c>
      <c r="BU1558" s="7"/>
      <c r="BV1558" s="9" t="s">
        <v>438</v>
      </c>
      <c r="BW1558" s="9"/>
    </row>
    <row r="1559" spans="1:75" ht="14.25" customHeight="1" x14ac:dyDescent="0.25">
      <c r="A1559" s="1">
        <v>1797</v>
      </c>
      <c r="B1559" s="1" t="s">
        <v>6089</v>
      </c>
      <c r="C1559" s="1" t="s">
        <v>6090</v>
      </c>
      <c r="D1559" s="1" t="s">
        <v>77</v>
      </c>
      <c r="E1559" s="1" t="s">
        <v>2396</v>
      </c>
      <c r="F1559" s="1" t="s">
        <v>4073</v>
      </c>
      <c r="G1559" s="1"/>
      <c r="H1559" s="2">
        <v>0</v>
      </c>
      <c r="I1559" s="2">
        <v>0</v>
      </c>
      <c r="J1559" s="2">
        <v>1</v>
      </c>
      <c r="K1559" s="2">
        <v>1</v>
      </c>
      <c r="L1559" s="3" t="s">
        <v>80</v>
      </c>
      <c r="O1559" s="4">
        <v>4</v>
      </c>
      <c r="P1559" s="4" t="s">
        <v>112</v>
      </c>
      <c r="Q1559" s="4"/>
      <c r="R1559" s="5"/>
      <c r="S1559" s="6"/>
      <c r="T1559" s="17"/>
      <c r="U1559" s="6"/>
      <c r="V1559" s="4"/>
      <c r="W1559" s="4"/>
      <c r="X1559" s="4"/>
      <c r="Y1559" s="7">
        <v>3</v>
      </c>
      <c r="Z1559" s="8">
        <v>486560</v>
      </c>
      <c r="AA1559" s="7" t="s">
        <v>92</v>
      </c>
      <c r="AB1559" s="7"/>
      <c r="AC1559" s="9">
        <v>3</v>
      </c>
      <c r="AD1559" s="10">
        <v>486560</v>
      </c>
      <c r="AE1559" s="9" t="s">
        <v>92</v>
      </c>
      <c r="AF1559" s="9"/>
      <c r="AG1559" s="11">
        <v>3</v>
      </c>
      <c r="AH1559" s="11" t="s">
        <v>93</v>
      </c>
      <c r="AI1559" s="11"/>
      <c r="AJ1559" s="11"/>
      <c r="AK1559" s="11"/>
      <c r="AL1559" s="12">
        <v>3</v>
      </c>
      <c r="AM1559" s="12" t="s">
        <v>93</v>
      </c>
      <c r="AN1559" s="12" t="s">
        <v>5527</v>
      </c>
      <c r="AO1559" s="12"/>
      <c r="AP1559" s="12"/>
      <c r="AQ1559" s="4">
        <v>4</v>
      </c>
      <c r="AR1559" s="4" t="s">
        <v>83</v>
      </c>
      <c r="AS1559" s="4"/>
      <c r="AT1559" s="13"/>
      <c r="AU1559" s="13"/>
      <c r="AV1559" s="13"/>
      <c r="AW1559" s="13"/>
      <c r="AX1559" s="4"/>
      <c r="AY1559" s="13"/>
      <c r="AZ1559" s="13"/>
      <c r="BA1559" s="13"/>
      <c r="BB1559" s="13"/>
      <c r="BC1559" s="4"/>
      <c r="BD1559" s="4"/>
      <c r="BE1559" s="4"/>
      <c r="BF1559" s="13"/>
      <c r="BG1559" s="4"/>
      <c r="BH1559" s="13"/>
      <c r="BI1559" s="13"/>
      <c r="BJ1559" s="4"/>
      <c r="BK1559" s="14">
        <v>14</v>
      </c>
      <c r="BL1559" s="14">
        <v>14</v>
      </c>
      <c r="BM1559" s="14">
        <v>14</v>
      </c>
      <c r="BN1559" s="3" t="s">
        <v>86</v>
      </c>
      <c r="BP1559" s="15"/>
      <c r="BQ1559" s="15"/>
      <c r="BR1559" s="2" t="s">
        <v>409</v>
      </c>
      <c r="BS1559" s="2" t="s">
        <v>409</v>
      </c>
      <c r="BT1559" s="7" t="s">
        <v>438</v>
      </c>
      <c r="BU1559" s="7" t="s">
        <v>88</v>
      </c>
      <c r="BV1559" s="9" t="s">
        <v>438</v>
      </c>
      <c r="BW1559" s="9" t="s">
        <v>88</v>
      </c>
    </row>
    <row r="1560" spans="1:75" ht="14.25" customHeight="1" x14ac:dyDescent="0.25">
      <c r="A1560" s="1">
        <v>1798</v>
      </c>
      <c r="B1560" s="1" t="s">
        <v>6091</v>
      </c>
      <c r="C1560" s="1" t="s">
        <v>6092</v>
      </c>
      <c r="D1560" s="1" t="s">
        <v>77</v>
      </c>
      <c r="E1560" s="1" t="s">
        <v>2396</v>
      </c>
      <c r="F1560" s="1" t="s">
        <v>4073</v>
      </c>
      <c r="G1560" s="1"/>
      <c r="H1560" s="2">
        <v>0</v>
      </c>
      <c r="I1560" s="2">
        <v>0</v>
      </c>
      <c r="J1560" s="2">
        <v>0</v>
      </c>
      <c r="K1560" s="2">
        <v>1</v>
      </c>
      <c r="L1560" s="3" t="s">
        <v>80</v>
      </c>
      <c r="O1560" s="4">
        <v>3</v>
      </c>
      <c r="P1560" s="4" t="s">
        <v>81</v>
      </c>
      <c r="Q1560" s="4"/>
      <c r="R1560" s="5"/>
      <c r="S1560" s="6"/>
      <c r="T1560" s="17"/>
      <c r="U1560" s="6"/>
      <c r="V1560" s="4"/>
      <c r="W1560" s="4"/>
      <c r="X1560" s="4"/>
      <c r="Y1560" s="7">
        <v>4</v>
      </c>
      <c r="Z1560" s="8">
        <v>153484</v>
      </c>
      <c r="AA1560" s="7" t="s">
        <v>82</v>
      </c>
      <c r="AB1560" s="7"/>
      <c r="AC1560" s="9">
        <v>4</v>
      </c>
      <c r="AD1560" s="10">
        <v>153484</v>
      </c>
      <c r="AE1560" s="9" t="s">
        <v>82</v>
      </c>
      <c r="AF1560" s="9"/>
      <c r="AG1560" s="11">
        <v>3</v>
      </c>
      <c r="AH1560" s="11" t="s">
        <v>83</v>
      </c>
      <c r="AI1560" s="11" t="s">
        <v>6093</v>
      </c>
      <c r="AJ1560" s="11"/>
      <c r="AK1560" s="11"/>
      <c r="AL1560" s="12">
        <v>3</v>
      </c>
      <c r="AM1560" s="12" t="s">
        <v>83</v>
      </c>
      <c r="AN1560" s="12"/>
      <c r="AO1560" s="12"/>
      <c r="AP1560" s="12"/>
      <c r="AQ1560" s="4">
        <v>3</v>
      </c>
      <c r="AR1560" s="4" t="s">
        <v>83</v>
      </c>
      <c r="AS1560" s="4"/>
      <c r="AT1560" s="13"/>
      <c r="AU1560" s="13"/>
      <c r="AV1560" s="13"/>
      <c r="AW1560" s="13"/>
      <c r="AX1560" s="4"/>
      <c r="AY1560" s="13"/>
      <c r="AZ1560" s="13"/>
      <c r="BA1560" s="13"/>
      <c r="BB1560" s="13"/>
      <c r="BC1560" s="4"/>
      <c r="BD1560" s="4"/>
      <c r="BE1560" s="4"/>
      <c r="BF1560" s="13"/>
      <c r="BG1560" s="4"/>
      <c r="BH1560" s="13"/>
      <c r="BI1560" s="13"/>
      <c r="BJ1560" s="4"/>
      <c r="BK1560" s="14">
        <v>13</v>
      </c>
      <c r="BL1560" s="14">
        <v>13</v>
      </c>
      <c r="BM1560" s="14">
        <v>13</v>
      </c>
      <c r="BP1560" s="15"/>
      <c r="BQ1560" s="15"/>
      <c r="BR1560" s="2" t="s">
        <v>87</v>
      </c>
      <c r="BS1560" s="2" t="s">
        <v>87</v>
      </c>
      <c r="BT1560" s="7" t="s">
        <v>88</v>
      </c>
      <c r="BU1560" s="7"/>
      <c r="BV1560" s="9" t="s">
        <v>88</v>
      </c>
      <c r="BW1560" s="9"/>
    </row>
    <row r="1561" spans="1:75" ht="14.25" customHeight="1" x14ac:dyDescent="0.25">
      <c r="A1561" s="1">
        <v>1801</v>
      </c>
      <c r="B1561" s="1" t="s">
        <v>6094</v>
      </c>
      <c r="C1561" s="1" t="s">
        <v>6095</v>
      </c>
      <c r="D1561" s="1" t="s">
        <v>77</v>
      </c>
      <c r="E1561" s="1" t="s">
        <v>2396</v>
      </c>
      <c r="F1561" s="1" t="s">
        <v>4073</v>
      </c>
      <c r="G1561" s="1"/>
      <c r="H1561" s="2">
        <v>0</v>
      </c>
      <c r="I1561" s="2">
        <v>1</v>
      </c>
      <c r="J1561" s="2">
        <v>1</v>
      </c>
      <c r="K1561" s="2">
        <v>1</v>
      </c>
      <c r="L1561" s="3" t="s">
        <v>127</v>
      </c>
      <c r="O1561" s="4">
        <v>2</v>
      </c>
      <c r="P1561" s="4" t="s">
        <v>470</v>
      </c>
      <c r="Q1561" s="4"/>
      <c r="R1561" s="16">
        <v>15000000</v>
      </c>
      <c r="S1561" s="6">
        <v>15000000</v>
      </c>
      <c r="T1561" s="16">
        <v>5700000</v>
      </c>
      <c r="U1561" s="6">
        <v>5700000</v>
      </c>
      <c r="V1561" s="4">
        <v>2010.5</v>
      </c>
      <c r="W1561" s="4" t="s">
        <v>425</v>
      </c>
      <c r="X1561" s="4"/>
      <c r="Y1561" s="7">
        <v>2</v>
      </c>
      <c r="Z1561" s="8">
        <v>3938634</v>
      </c>
      <c r="AA1561" s="7" t="s">
        <v>92</v>
      </c>
      <c r="AB1561" s="7"/>
      <c r="AC1561" s="9">
        <v>2</v>
      </c>
      <c r="AD1561" s="10">
        <v>2903855</v>
      </c>
      <c r="AE1561" s="9" t="s">
        <v>92</v>
      </c>
      <c r="AF1561" s="9"/>
      <c r="AG1561" s="11">
        <v>2</v>
      </c>
      <c r="AH1561" s="11" t="s">
        <v>131</v>
      </c>
      <c r="AI1561" s="11" t="s">
        <v>6096</v>
      </c>
      <c r="AJ1561" s="11">
        <v>2</v>
      </c>
      <c r="AK1561" s="11" t="s">
        <v>132</v>
      </c>
      <c r="AL1561" s="12">
        <v>2</v>
      </c>
      <c r="AM1561" s="12" t="s">
        <v>131</v>
      </c>
      <c r="AN1561" s="12" t="s">
        <v>6097</v>
      </c>
      <c r="AO1561" s="12">
        <v>2</v>
      </c>
      <c r="AP1561" s="12" t="s">
        <v>132</v>
      </c>
      <c r="AQ1561" s="4">
        <v>2</v>
      </c>
      <c r="AR1561" s="4" t="s">
        <v>133</v>
      </c>
      <c r="AS1561" s="4"/>
      <c r="AT1561" s="13">
        <v>32.133480072021499</v>
      </c>
      <c r="AU1561" s="13">
        <v>0.54825156927108798</v>
      </c>
      <c r="AV1561" s="13">
        <v>0.149000003933907</v>
      </c>
      <c r="AW1561" s="13">
        <v>1.1499999761581401</v>
      </c>
      <c r="AX1561" s="4">
        <v>1</v>
      </c>
      <c r="AY1561" s="13">
        <v>-7.4324922561645499</v>
      </c>
      <c r="AZ1561" s="13">
        <v>-0.769342541694641</v>
      </c>
      <c r="BA1561" s="13">
        <v>-2.7845981121063201</v>
      </c>
      <c r="BB1561" s="13">
        <v>1.7599999904632599</v>
      </c>
      <c r="BC1561" s="4"/>
      <c r="BD1561" s="4">
        <v>10</v>
      </c>
      <c r="BE1561" s="4" t="s">
        <v>134</v>
      </c>
      <c r="BF1561" s="13">
        <v>1.0010000467300399</v>
      </c>
      <c r="BG1561" s="4">
        <v>618.5</v>
      </c>
      <c r="BH1561" s="13">
        <v>1.8600000143051101</v>
      </c>
      <c r="BI1561" s="13">
        <v>1150.53503417969</v>
      </c>
      <c r="BJ1561" s="4"/>
      <c r="BK1561" s="14">
        <v>8</v>
      </c>
      <c r="BL1561" s="14">
        <v>8</v>
      </c>
      <c r="BM1561" s="14">
        <v>8</v>
      </c>
      <c r="BP1561" s="15" t="s">
        <v>135</v>
      </c>
      <c r="BQ1561" s="15"/>
      <c r="BR1561" s="2" t="s">
        <v>256</v>
      </c>
      <c r="BS1561" s="2" t="s">
        <v>256</v>
      </c>
      <c r="BT1561" s="7" t="s">
        <v>428</v>
      </c>
      <c r="BU1561" s="7" t="s">
        <v>438</v>
      </c>
      <c r="BV1561" s="9" t="s">
        <v>458</v>
      </c>
      <c r="BW1561" s="9"/>
    </row>
    <row r="1562" spans="1:75" ht="14.25" customHeight="1" x14ac:dyDescent="0.25">
      <c r="A1562" s="1">
        <v>1802</v>
      </c>
      <c r="B1562" s="1" t="s">
        <v>6098</v>
      </c>
      <c r="C1562" s="1" t="s">
        <v>6099</v>
      </c>
      <c r="D1562" s="1" t="s">
        <v>77</v>
      </c>
      <c r="E1562" s="1" t="s">
        <v>2396</v>
      </c>
      <c r="F1562" s="1" t="s">
        <v>4073</v>
      </c>
      <c r="G1562" s="1" t="s">
        <v>118</v>
      </c>
      <c r="H1562" s="2">
        <v>0</v>
      </c>
      <c r="I1562" s="2">
        <v>1</v>
      </c>
      <c r="J1562" s="2">
        <v>1</v>
      </c>
      <c r="K1562" s="2">
        <v>0</v>
      </c>
      <c r="L1562" s="3" t="s">
        <v>127</v>
      </c>
      <c r="O1562" s="4">
        <v>4</v>
      </c>
      <c r="P1562" s="4" t="s">
        <v>424</v>
      </c>
      <c r="Q1562" s="4"/>
      <c r="R1562" s="16">
        <v>380000</v>
      </c>
      <c r="S1562" s="6">
        <v>380000</v>
      </c>
      <c r="T1562" s="16">
        <v>350000</v>
      </c>
      <c r="U1562" s="6">
        <v>350000</v>
      </c>
      <c r="V1562" s="4">
        <v>2010.5</v>
      </c>
      <c r="W1562" s="4" t="s">
        <v>425</v>
      </c>
      <c r="X1562" s="4"/>
      <c r="Y1562" s="7">
        <v>4</v>
      </c>
      <c r="Z1562" s="8">
        <v>139332</v>
      </c>
      <c r="AA1562" s="7" t="s">
        <v>92</v>
      </c>
      <c r="AB1562" s="7"/>
      <c r="AC1562" s="9">
        <v>3</v>
      </c>
      <c r="AD1562" s="10">
        <v>335841</v>
      </c>
      <c r="AE1562" s="9" t="s">
        <v>92</v>
      </c>
      <c r="AF1562" s="9"/>
      <c r="AG1562" s="11">
        <v>3</v>
      </c>
      <c r="AH1562" s="11" t="s">
        <v>131</v>
      </c>
      <c r="AI1562" s="11" t="s">
        <v>6100</v>
      </c>
      <c r="AJ1562" s="11">
        <v>3</v>
      </c>
      <c r="AK1562" s="11" t="s">
        <v>132</v>
      </c>
      <c r="AL1562" s="12">
        <v>2</v>
      </c>
      <c r="AM1562" s="12" t="s">
        <v>131</v>
      </c>
      <c r="AN1562" s="12" t="s">
        <v>6101</v>
      </c>
      <c r="AO1562" s="12">
        <v>2</v>
      </c>
      <c r="AP1562" s="12" t="s">
        <v>132</v>
      </c>
      <c r="AQ1562" s="4">
        <v>3</v>
      </c>
      <c r="AR1562" s="4" t="s">
        <v>133</v>
      </c>
      <c r="AS1562" s="4"/>
      <c r="AT1562" s="13">
        <v>-21.367944717407202</v>
      </c>
      <c r="AU1562" s="13">
        <v>-0.47029498219490101</v>
      </c>
      <c r="AV1562" s="13">
        <v>-1.66599798202515</v>
      </c>
      <c r="AW1562" s="13">
        <v>0.691999971866608</v>
      </c>
      <c r="AX1562" s="4"/>
      <c r="AY1562" s="13">
        <v>-7.83377981185913</v>
      </c>
      <c r="AZ1562" s="13">
        <v>-0.81224125623703003</v>
      </c>
      <c r="BA1562" s="13">
        <v>-3.89739894866943</v>
      </c>
      <c r="BB1562" s="13">
        <v>1.8200000524520901</v>
      </c>
      <c r="BC1562" s="4"/>
      <c r="BD1562" s="4">
        <v>10</v>
      </c>
      <c r="BE1562" s="4" t="s">
        <v>134</v>
      </c>
      <c r="BF1562" s="13">
        <v>2.3579978942871098</v>
      </c>
      <c r="BG1562" s="4">
        <v>95.5</v>
      </c>
      <c r="BH1562" s="13">
        <v>1.29949998855591</v>
      </c>
      <c r="BI1562" s="13">
        <v>123.88200378418</v>
      </c>
      <c r="BJ1562" s="4"/>
      <c r="BK1562" s="14">
        <v>14</v>
      </c>
      <c r="BL1562" s="14">
        <v>12</v>
      </c>
      <c r="BM1562" s="14">
        <v>14</v>
      </c>
      <c r="BN1562" s="3" t="s">
        <v>86</v>
      </c>
      <c r="BP1562" s="15"/>
      <c r="BQ1562" s="15"/>
      <c r="BR1562" s="2" t="s">
        <v>162</v>
      </c>
      <c r="BS1562" s="2" t="s">
        <v>297</v>
      </c>
      <c r="BT1562" s="7" t="s">
        <v>429</v>
      </c>
      <c r="BU1562" s="7" t="s">
        <v>487</v>
      </c>
      <c r="BV1562" s="9" t="s">
        <v>475</v>
      </c>
      <c r="BW1562" s="9" t="s">
        <v>429</v>
      </c>
    </row>
    <row r="1563" spans="1:75" ht="14.25" customHeight="1" x14ac:dyDescent="0.25">
      <c r="A1563" s="1">
        <v>1878</v>
      </c>
      <c r="B1563" s="1" t="s">
        <v>6102</v>
      </c>
      <c r="C1563" s="1" t="s">
        <v>6103</v>
      </c>
      <c r="D1563" s="1" t="s">
        <v>77</v>
      </c>
      <c r="E1563" s="1" t="s">
        <v>2396</v>
      </c>
      <c r="F1563" s="1" t="s">
        <v>4190</v>
      </c>
      <c r="G1563" s="1" t="s">
        <v>118</v>
      </c>
      <c r="H1563" s="2">
        <v>0</v>
      </c>
      <c r="I1563" s="2">
        <v>0</v>
      </c>
      <c r="J1563" s="2">
        <v>1</v>
      </c>
      <c r="K1563" s="2">
        <v>0</v>
      </c>
      <c r="L1563" s="3" t="s">
        <v>80</v>
      </c>
      <c r="O1563" s="4">
        <v>5</v>
      </c>
      <c r="P1563" s="4" t="s">
        <v>112</v>
      </c>
      <c r="Q1563" s="4"/>
      <c r="R1563" s="5"/>
      <c r="S1563" s="6"/>
      <c r="T1563" s="17"/>
      <c r="U1563" s="6"/>
      <c r="V1563" s="4"/>
      <c r="W1563" s="4"/>
      <c r="X1563" s="4"/>
      <c r="Y1563" s="7">
        <v>5</v>
      </c>
      <c r="Z1563" s="8">
        <v>63771</v>
      </c>
      <c r="AA1563" s="7" t="s">
        <v>92</v>
      </c>
      <c r="AB1563" s="7"/>
      <c r="AC1563" s="9">
        <v>5</v>
      </c>
      <c r="AD1563" s="10">
        <v>63771</v>
      </c>
      <c r="AE1563" s="9" t="s">
        <v>92</v>
      </c>
      <c r="AF1563" s="9"/>
      <c r="AG1563" s="11">
        <v>5</v>
      </c>
      <c r="AH1563" s="11" t="s">
        <v>93</v>
      </c>
      <c r="AI1563" s="11"/>
      <c r="AJ1563" s="11"/>
      <c r="AK1563" s="11"/>
      <c r="AL1563" s="12">
        <v>5</v>
      </c>
      <c r="AM1563" s="12" t="s">
        <v>93</v>
      </c>
      <c r="AN1563" s="12" t="s">
        <v>4667</v>
      </c>
      <c r="AO1563" s="12"/>
      <c r="AP1563" s="12"/>
      <c r="AQ1563" s="4">
        <v>5</v>
      </c>
      <c r="AR1563" s="4" t="s">
        <v>93</v>
      </c>
      <c r="AS1563" s="4"/>
      <c r="AT1563" s="13"/>
      <c r="AU1563" s="13"/>
      <c r="AV1563" s="13"/>
      <c r="AW1563" s="13"/>
      <c r="AX1563" s="4"/>
      <c r="AY1563" s="13"/>
      <c r="AZ1563" s="13"/>
      <c r="BA1563" s="13"/>
      <c r="BB1563" s="13"/>
      <c r="BC1563" s="4"/>
      <c r="BD1563" s="4"/>
      <c r="BE1563" s="4"/>
      <c r="BF1563" s="13"/>
      <c r="BG1563" s="4"/>
      <c r="BH1563" s="13"/>
      <c r="BI1563" s="13"/>
      <c r="BJ1563" s="4"/>
      <c r="BK1563" s="14">
        <v>20</v>
      </c>
      <c r="BL1563" s="14">
        <v>20</v>
      </c>
      <c r="BM1563" s="14">
        <v>20</v>
      </c>
      <c r="BN1563" s="3" t="s">
        <v>312</v>
      </c>
      <c r="BO1563" s="3" t="s">
        <v>414</v>
      </c>
      <c r="BP1563" s="15"/>
      <c r="BQ1563" s="15"/>
      <c r="BR1563" s="2" t="s">
        <v>409</v>
      </c>
      <c r="BS1563" s="2" t="s">
        <v>409</v>
      </c>
      <c r="BT1563" s="7" t="s">
        <v>463</v>
      </c>
      <c r="BU1563" s="7"/>
      <c r="BV1563" s="9" t="s">
        <v>463</v>
      </c>
      <c r="BW1563" s="9"/>
    </row>
    <row r="1564" spans="1:75" ht="14.25" customHeight="1" x14ac:dyDescent="0.25">
      <c r="A1564" s="1">
        <v>1879</v>
      </c>
      <c r="B1564" s="1" t="s">
        <v>6104</v>
      </c>
      <c r="C1564" s="1" t="s">
        <v>6105</v>
      </c>
      <c r="D1564" s="1" t="s">
        <v>77</v>
      </c>
      <c r="E1564" s="1" t="s">
        <v>2396</v>
      </c>
      <c r="F1564" s="1" t="s">
        <v>4190</v>
      </c>
      <c r="G1564" s="1"/>
      <c r="H1564" s="2">
        <v>1</v>
      </c>
      <c r="I1564" s="2">
        <v>1</v>
      </c>
      <c r="J1564" s="2">
        <v>1</v>
      </c>
      <c r="K1564" s="2">
        <v>0</v>
      </c>
      <c r="L1564" s="3" t="s">
        <v>127</v>
      </c>
      <c r="O1564" s="4">
        <v>1</v>
      </c>
      <c r="P1564" s="4" t="s">
        <v>4698</v>
      </c>
      <c r="Q1564" s="4"/>
      <c r="R1564" s="16">
        <v>130000000</v>
      </c>
      <c r="S1564" s="6">
        <v>130000000</v>
      </c>
      <c r="T1564" s="16">
        <v>130000000</v>
      </c>
      <c r="U1564" s="6">
        <v>130000000</v>
      </c>
      <c r="V1564" s="4">
        <v>2010.5</v>
      </c>
      <c r="W1564" s="4" t="s">
        <v>1919</v>
      </c>
      <c r="X1564" s="4"/>
      <c r="Y1564" s="7">
        <v>1</v>
      </c>
      <c r="Z1564" s="8">
        <v>10280291</v>
      </c>
      <c r="AA1564" s="7" t="s">
        <v>92</v>
      </c>
      <c r="AB1564" s="7"/>
      <c r="AC1564" s="9">
        <v>1</v>
      </c>
      <c r="AD1564" s="10">
        <v>7770692</v>
      </c>
      <c r="AE1564" s="9" t="s">
        <v>92</v>
      </c>
      <c r="AF1564" s="9"/>
      <c r="AG1564" s="11">
        <v>3</v>
      </c>
      <c r="AH1564" s="11" t="s">
        <v>131</v>
      </c>
      <c r="AI1564" s="11" t="s">
        <v>6106</v>
      </c>
      <c r="AJ1564" s="11">
        <v>3</v>
      </c>
      <c r="AK1564" s="11" t="s">
        <v>143</v>
      </c>
      <c r="AL1564" s="12">
        <v>2</v>
      </c>
      <c r="AM1564" s="12" t="s">
        <v>131</v>
      </c>
      <c r="AN1564" s="12"/>
      <c r="AO1564" s="12">
        <v>2</v>
      </c>
      <c r="AP1564" s="12" t="s">
        <v>132</v>
      </c>
      <c r="AQ1564" s="4">
        <v>4</v>
      </c>
      <c r="AR1564" s="4" t="s">
        <v>133</v>
      </c>
      <c r="AS1564" s="4"/>
      <c r="AT1564" s="13">
        <v>-29.9258422851563</v>
      </c>
      <c r="AU1564" s="13">
        <v>-0.695173859596252</v>
      </c>
      <c r="AV1564" s="13">
        <v>-0.92699998617172197</v>
      </c>
      <c r="AW1564" s="13">
        <v>-0.52580201625823997</v>
      </c>
      <c r="AX1564" s="4">
        <v>1</v>
      </c>
      <c r="AY1564" s="13">
        <v>-4.74365329742432</v>
      </c>
      <c r="AZ1564" s="13">
        <v>-0.48473274707794201</v>
      </c>
      <c r="BA1564" s="13">
        <v>-0.96700000762939498</v>
      </c>
      <c r="BB1564" s="13">
        <v>-0.121301002800465</v>
      </c>
      <c r="BC1564" s="4">
        <v>1</v>
      </c>
      <c r="BD1564" s="4">
        <v>10</v>
      </c>
      <c r="BE1564" s="4" t="s">
        <v>134</v>
      </c>
      <c r="BF1564" s="13">
        <v>0.401197999715805</v>
      </c>
      <c r="BG1564" s="4">
        <v>3610</v>
      </c>
      <c r="BH1564" s="13">
        <v>11.2700004577637</v>
      </c>
      <c r="BI1564" s="13">
        <v>40661.53125</v>
      </c>
      <c r="BJ1564" s="4"/>
      <c r="BK1564" s="14">
        <v>9</v>
      </c>
      <c r="BL1564" s="14">
        <v>8</v>
      </c>
      <c r="BM1564" s="14">
        <v>9</v>
      </c>
      <c r="BP1564" s="15" t="s">
        <v>135</v>
      </c>
      <c r="BQ1564" s="15"/>
      <c r="BR1564" s="2" t="s">
        <v>172</v>
      </c>
      <c r="BS1564" s="2" t="s">
        <v>172</v>
      </c>
      <c r="BT1564" s="7" t="s">
        <v>458</v>
      </c>
      <c r="BU1564" s="7"/>
      <c r="BV1564" s="9" t="s">
        <v>458</v>
      </c>
      <c r="BW1564" s="9"/>
    </row>
    <row r="1565" spans="1:75" ht="14.25" customHeight="1" x14ac:dyDescent="0.25">
      <c r="A1565" s="1">
        <v>1880</v>
      </c>
      <c r="B1565" s="1" t="s">
        <v>6107</v>
      </c>
      <c r="C1565" s="1" t="s">
        <v>6108</v>
      </c>
      <c r="D1565" s="1" t="s">
        <v>77</v>
      </c>
      <c r="E1565" s="1" t="s">
        <v>2396</v>
      </c>
      <c r="F1565" s="1" t="s">
        <v>4190</v>
      </c>
      <c r="G1565" s="1"/>
      <c r="H1565" s="2">
        <v>1</v>
      </c>
      <c r="I1565" s="2">
        <v>1</v>
      </c>
      <c r="J1565" s="2">
        <v>1</v>
      </c>
      <c r="K1565" s="2">
        <v>1</v>
      </c>
      <c r="L1565" s="3" t="s">
        <v>127</v>
      </c>
      <c r="O1565" s="4">
        <v>1</v>
      </c>
      <c r="P1565" s="4" t="s">
        <v>1919</v>
      </c>
      <c r="Q1565" s="4"/>
      <c r="R1565" s="16">
        <v>88000000</v>
      </c>
      <c r="S1565" s="6">
        <v>88000000</v>
      </c>
      <c r="T1565" s="16">
        <v>88000000</v>
      </c>
      <c r="U1565" s="6">
        <v>88000000</v>
      </c>
      <c r="V1565" s="4">
        <v>2010.5</v>
      </c>
      <c r="W1565" s="4" t="s">
        <v>1919</v>
      </c>
      <c r="X1565" s="4"/>
      <c r="Y1565" s="7">
        <v>1</v>
      </c>
      <c r="Z1565" s="8">
        <v>7530002</v>
      </c>
      <c r="AA1565" s="7" t="s">
        <v>92</v>
      </c>
      <c r="AB1565" s="7"/>
      <c r="AC1565" s="9">
        <v>2</v>
      </c>
      <c r="AD1565" s="10">
        <v>3537822</v>
      </c>
      <c r="AE1565" s="9" t="s">
        <v>92</v>
      </c>
      <c r="AF1565" s="9"/>
      <c r="AG1565" s="11">
        <v>3</v>
      </c>
      <c r="AH1565" s="11" t="s">
        <v>518</v>
      </c>
      <c r="AI1565" s="11" t="s">
        <v>519</v>
      </c>
      <c r="AJ1565" s="11">
        <v>4</v>
      </c>
      <c r="AK1565" s="11" t="s">
        <v>332</v>
      </c>
      <c r="AL1565" s="12">
        <v>2</v>
      </c>
      <c r="AM1565" s="12" t="s">
        <v>131</v>
      </c>
      <c r="AN1565" s="12"/>
      <c r="AO1565" s="12">
        <v>2</v>
      </c>
      <c r="AP1565" s="12" t="s">
        <v>132</v>
      </c>
      <c r="AQ1565" s="4">
        <v>2</v>
      </c>
      <c r="AR1565" s="4" t="s">
        <v>133</v>
      </c>
      <c r="AS1565" s="4"/>
      <c r="AT1565" s="13">
        <v>15.3099098205566</v>
      </c>
      <c r="AU1565" s="13">
        <v>0.28084585070610002</v>
      </c>
      <c r="AV1565" s="13">
        <v>-0.96280002593994096</v>
      </c>
      <c r="AW1565" s="13">
        <v>1.70000004768372</v>
      </c>
      <c r="AX1565" s="4"/>
      <c r="AY1565" s="13">
        <v>-5.4704971313476598</v>
      </c>
      <c r="AZ1565" s="13">
        <v>-0.56149870157241799</v>
      </c>
      <c r="BA1565" s="13">
        <v>-2.5699999332428001</v>
      </c>
      <c r="BB1565" s="13">
        <v>1.34420394897461</v>
      </c>
      <c r="BC1565" s="4"/>
      <c r="BD1565" s="4">
        <v>10</v>
      </c>
      <c r="BE1565" s="4" t="s">
        <v>134</v>
      </c>
      <c r="BF1565" s="13">
        <v>2.6628000736236599</v>
      </c>
      <c r="BG1565" s="4">
        <v>1184</v>
      </c>
      <c r="BH1565" s="13">
        <v>7.5100002288818404</v>
      </c>
      <c r="BI1565" s="13">
        <v>8886.169921875</v>
      </c>
      <c r="BJ1565" s="4"/>
      <c r="BK1565" s="14">
        <v>7</v>
      </c>
      <c r="BL1565" s="14">
        <v>7</v>
      </c>
      <c r="BM1565" s="14">
        <v>7</v>
      </c>
      <c r="BP1565" s="15"/>
      <c r="BQ1565" s="15"/>
      <c r="BR1565" s="2" t="s">
        <v>211</v>
      </c>
      <c r="BS1565" s="2" t="s">
        <v>172</v>
      </c>
      <c r="BT1565" s="7" t="s">
        <v>303</v>
      </c>
      <c r="BU1565" s="7" t="s">
        <v>428</v>
      </c>
      <c r="BV1565" s="9" t="s">
        <v>1827</v>
      </c>
      <c r="BW1565" s="9"/>
    </row>
    <row r="1566" spans="1:75" ht="14.25" customHeight="1" x14ac:dyDescent="0.25">
      <c r="A1566" s="1">
        <v>1881</v>
      </c>
      <c r="B1566" s="1" t="s">
        <v>6109</v>
      </c>
      <c r="C1566" s="1" t="s">
        <v>6110</v>
      </c>
      <c r="D1566" s="1" t="s">
        <v>77</v>
      </c>
      <c r="E1566" s="1" t="s">
        <v>2396</v>
      </c>
      <c r="F1566" s="1" t="s">
        <v>4190</v>
      </c>
      <c r="G1566" s="1"/>
      <c r="H1566" s="2">
        <v>1</v>
      </c>
      <c r="I1566" s="2">
        <v>1</v>
      </c>
      <c r="J1566" s="2">
        <v>1</v>
      </c>
      <c r="K1566" s="2">
        <v>0</v>
      </c>
      <c r="L1566" s="3" t="s">
        <v>127</v>
      </c>
      <c r="O1566" s="4">
        <v>2</v>
      </c>
      <c r="P1566" s="4" t="s">
        <v>579</v>
      </c>
      <c r="Q1566" s="4"/>
      <c r="R1566" s="16">
        <v>23000000</v>
      </c>
      <c r="S1566" s="6">
        <v>23000000</v>
      </c>
      <c r="T1566" s="16">
        <v>23000000</v>
      </c>
      <c r="U1566" s="6">
        <v>23000000</v>
      </c>
      <c r="V1566" s="4">
        <v>2010.5</v>
      </c>
      <c r="W1566" s="4" t="s">
        <v>579</v>
      </c>
      <c r="X1566" s="4"/>
      <c r="Y1566" s="7">
        <v>1</v>
      </c>
      <c r="Z1566" s="8">
        <v>6008464</v>
      </c>
      <c r="AA1566" s="7" t="s">
        <v>92</v>
      </c>
      <c r="AB1566" s="7"/>
      <c r="AC1566" s="9">
        <v>1</v>
      </c>
      <c r="AD1566" s="10">
        <v>4068808</v>
      </c>
      <c r="AE1566" s="9" t="s">
        <v>92</v>
      </c>
      <c r="AF1566" s="9" t="s">
        <v>6111</v>
      </c>
      <c r="AG1566" s="11">
        <v>3</v>
      </c>
      <c r="AH1566" s="11" t="s">
        <v>131</v>
      </c>
      <c r="AI1566" s="11"/>
      <c r="AJ1566" s="11">
        <v>3</v>
      </c>
      <c r="AK1566" s="11" t="s">
        <v>143</v>
      </c>
      <c r="AL1566" s="12">
        <v>2</v>
      </c>
      <c r="AM1566" s="12" t="s">
        <v>131</v>
      </c>
      <c r="AN1566" s="12"/>
      <c r="AO1566" s="12">
        <v>2</v>
      </c>
      <c r="AP1566" s="12" t="s">
        <v>132</v>
      </c>
      <c r="AQ1566" s="4">
        <v>1</v>
      </c>
      <c r="AR1566" s="4" t="s">
        <v>133</v>
      </c>
      <c r="AS1566" s="4"/>
      <c r="AT1566" s="13">
        <v>75.669776916503906</v>
      </c>
      <c r="AU1566" s="13">
        <v>1.11000299453735</v>
      </c>
      <c r="AV1566" s="13">
        <v>0.33000001311302202</v>
      </c>
      <c r="AW1566" s="13">
        <v>1.75</v>
      </c>
      <c r="AX1566" s="4">
        <v>1</v>
      </c>
      <c r="AY1566" s="13">
        <v>-2.8626880645752002</v>
      </c>
      <c r="AZ1566" s="13">
        <v>-0.289804697036743</v>
      </c>
      <c r="BA1566" s="13">
        <v>-1.9900000095367401</v>
      </c>
      <c r="BB1566" s="13">
        <v>1.0299999713897701</v>
      </c>
      <c r="BC1566" s="4"/>
      <c r="BD1566" s="4">
        <v>10</v>
      </c>
      <c r="BE1566" s="4" t="s">
        <v>134</v>
      </c>
      <c r="BF1566" s="13">
        <v>1.41999995708466</v>
      </c>
      <c r="BG1566" s="4">
        <v>1405</v>
      </c>
      <c r="BH1566" s="13">
        <v>1.7150000333786</v>
      </c>
      <c r="BI1566" s="13">
        <v>2410.15991210938</v>
      </c>
      <c r="BJ1566" s="4"/>
      <c r="BK1566" s="14">
        <v>7</v>
      </c>
      <c r="BL1566" s="14">
        <v>6</v>
      </c>
      <c r="BM1566" s="14">
        <v>7</v>
      </c>
      <c r="BP1566" s="15"/>
      <c r="BQ1566" s="15"/>
      <c r="BR1566" s="2" t="s">
        <v>211</v>
      </c>
      <c r="BS1566" s="2" t="s">
        <v>239</v>
      </c>
      <c r="BT1566" s="7" t="s">
        <v>303</v>
      </c>
      <c r="BU1566" s="7" t="s">
        <v>147</v>
      </c>
      <c r="BV1566" s="9" t="s">
        <v>137</v>
      </c>
      <c r="BW1566" s="9" t="s">
        <v>148</v>
      </c>
    </row>
    <row r="1567" spans="1:75" ht="14.25" customHeight="1" x14ac:dyDescent="0.25">
      <c r="A1567" s="1">
        <v>1882</v>
      </c>
      <c r="B1567" s="1" t="s">
        <v>6112</v>
      </c>
      <c r="C1567" s="1" t="s">
        <v>6113</v>
      </c>
      <c r="D1567" s="1" t="s">
        <v>77</v>
      </c>
      <c r="E1567" s="1" t="s">
        <v>2396</v>
      </c>
      <c r="F1567" s="1" t="s">
        <v>4190</v>
      </c>
      <c r="G1567" s="1" t="s">
        <v>118</v>
      </c>
      <c r="H1567" s="2">
        <v>0</v>
      </c>
      <c r="I1567" s="2">
        <v>0</v>
      </c>
      <c r="J1567" s="2">
        <v>0</v>
      </c>
      <c r="K1567" s="2">
        <v>1</v>
      </c>
      <c r="L1567" s="3" t="s">
        <v>80</v>
      </c>
      <c r="O1567" s="4">
        <v>5</v>
      </c>
      <c r="P1567" s="4" t="s">
        <v>81</v>
      </c>
      <c r="Q1567" s="4"/>
      <c r="R1567" s="5"/>
      <c r="S1567" s="6"/>
      <c r="T1567" s="17"/>
      <c r="U1567" s="6"/>
      <c r="V1567" s="4"/>
      <c r="W1567" s="4"/>
      <c r="X1567" s="4"/>
      <c r="Y1567" s="7">
        <v>5</v>
      </c>
      <c r="Z1567" s="8">
        <v>3408</v>
      </c>
      <c r="AA1567" s="7" t="s">
        <v>82</v>
      </c>
      <c r="AB1567" s="7"/>
      <c r="AC1567" s="9">
        <v>5</v>
      </c>
      <c r="AD1567" s="10">
        <v>3408</v>
      </c>
      <c r="AE1567" s="9" t="s">
        <v>82</v>
      </c>
      <c r="AF1567" s="9"/>
      <c r="AG1567" s="11">
        <v>4</v>
      </c>
      <c r="AH1567" s="11" t="s">
        <v>83</v>
      </c>
      <c r="AI1567" s="11"/>
      <c r="AJ1567" s="11"/>
      <c r="AK1567" s="11"/>
      <c r="AL1567" s="12">
        <v>4</v>
      </c>
      <c r="AM1567" s="12" t="s">
        <v>83</v>
      </c>
      <c r="AN1567" s="12"/>
      <c r="AO1567" s="12"/>
      <c r="AP1567" s="12"/>
      <c r="AQ1567" s="4">
        <v>3</v>
      </c>
      <c r="AR1567" s="4" t="s">
        <v>83</v>
      </c>
      <c r="AS1567" s="4"/>
      <c r="AT1567" s="13"/>
      <c r="AU1567" s="13"/>
      <c r="AV1567" s="13"/>
      <c r="AW1567" s="13"/>
      <c r="AX1567" s="4"/>
      <c r="AY1567" s="13"/>
      <c r="AZ1567" s="13"/>
      <c r="BA1567" s="13"/>
      <c r="BB1567" s="13"/>
      <c r="BC1567" s="4"/>
      <c r="BD1567" s="4"/>
      <c r="BE1567" s="4"/>
      <c r="BF1567" s="13"/>
      <c r="BG1567" s="4"/>
      <c r="BH1567" s="13"/>
      <c r="BI1567" s="13"/>
      <c r="BJ1567" s="4"/>
      <c r="BK1567" s="14">
        <v>17</v>
      </c>
      <c r="BL1567" s="14">
        <v>17</v>
      </c>
      <c r="BM1567" s="14">
        <v>17</v>
      </c>
      <c r="BN1567" s="3" t="s">
        <v>312</v>
      </c>
      <c r="BP1567" s="15"/>
      <c r="BQ1567" s="15"/>
      <c r="BR1567" s="2" t="s">
        <v>87</v>
      </c>
      <c r="BS1567" s="2" t="s">
        <v>87</v>
      </c>
      <c r="BT1567" s="7" t="s">
        <v>88</v>
      </c>
      <c r="BU1567" s="7"/>
      <c r="BV1567" s="9" t="s">
        <v>88</v>
      </c>
      <c r="BW1567" s="9"/>
    </row>
    <row r="1568" spans="1:75" ht="14.25" customHeight="1" x14ac:dyDescent="0.25">
      <c r="A1568" s="1">
        <v>1884</v>
      </c>
      <c r="B1568" s="1" t="s">
        <v>6114</v>
      </c>
      <c r="C1568" s="1" t="s">
        <v>6115</v>
      </c>
      <c r="D1568" s="1" t="s">
        <v>77</v>
      </c>
      <c r="E1568" s="1" t="s">
        <v>2396</v>
      </c>
      <c r="F1568" s="1" t="s">
        <v>4190</v>
      </c>
      <c r="G1568" s="1"/>
      <c r="H1568" s="2">
        <v>0</v>
      </c>
      <c r="I1568" s="2">
        <v>0</v>
      </c>
      <c r="J1568" s="2">
        <v>1</v>
      </c>
      <c r="K1568" s="2">
        <v>0</v>
      </c>
      <c r="L1568" s="3" t="s">
        <v>80</v>
      </c>
      <c r="O1568" s="4">
        <v>4</v>
      </c>
      <c r="P1568" s="4" t="s">
        <v>112</v>
      </c>
      <c r="Q1568" s="4"/>
      <c r="R1568" s="5"/>
      <c r="S1568" s="6"/>
      <c r="T1568" s="17"/>
      <c r="U1568" s="6"/>
      <c r="V1568" s="4"/>
      <c r="W1568" s="4"/>
      <c r="X1568" s="4"/>
      <c r="Y1568" s="7">
        <v>3</v>
      </c>
      <c r="Z1568" s="8">
        <v>331161</v>
      </c>
      <c r="AA1568" s="7" t="s">
        <v>92</v>
      </c>
      <c r="AB1568" s="7"/>
      <c r="AC1568" s="9">
        <v>3</v>
      </c>
      <c r="AD1568" s="10">
        <v>331161</v>
      </c>
      <c r="AE1568" s="9" t="s">
        <v>92</v>
      </c>
      <c r="AF1568" s="9"/>
      <c r="AG1568" s="11">
        <v>3</v>
      </c>
      <c r="AH1568" s="11" t="s">
        <v>93</v>
      </c>
      <c r="AI1568" s="11" t="s">
        <v>393</v>
      </c>
      <c r="AJ1568" s="11"/>
      <c r="AK1568" s="11"/>
      <c r="AL1568" s="12">
        <v>3</v>
      </c>
      <c r="AM1568" s="12" t="s">
        <v>93</v>
      </c>
      <c r="AN1568" s="12" t="s">
        <v>394</v>
      </c>
      <c r="AO1568" s="12"/>
      <c r="AP1568" s="12"/>
      <c r="AQ1568" s="4">
        <v>3</v>
      </c>
      <c r="AR1568" s="4" t="s">
        <v>93</v>
      </c>
      <c r="AS1568" s="4"/>
      <c r="AT1568" s="13"/>
      <c r="AU1568" s="13"/>
      <c r="AV1568" s="13"/>
      <c r="AW1568" s="13"/>
      <c r="AX1568" s="4"/>
      <c r="AY1568" s="13"/>
      <c r="AZ1568" s="13"/>
      <c r="BA1568" s="13"/>
      <c r="BB1568" s="13"/>
      <c r="BC1568" s="4"/>
      <c r="BD1568" s="4"/>
      <c r="BE1568" s="4"/>
      <c r="BF1568" s="13"/>
      <c r="BG1568" s="4"/>
      <c r="BH1568" s="13"/>
      <c r="BI1568" s="13"/>
      <c r="BJ1568" s="4"/>
      <c r="BK1568" s="14">
        <v>13</v>
      </c>
      <c r="BL1568" s="14">
        <v>13</v>
      </c>
      <c r="BM1568" s="14">
        <v>13</v>
      </c>
      <c r="BP1568" s="15"/>
      <c r="BQ1568" s="15"/>
      <c r="BR1568" s="2" t="s">
        <v>108</v>
      </c>
      <c r="BS1568" s="2" t="s">
        <v>108</v>
      </c>
      <c r="BT1568" s="7" t="s">
        <v>109</v>
      </c>
      <c r="BU1568" s="7"/>
      <c r="BV1568" s="9" t="s">
        <v>109</v>
      </c>
      <c r="BW1568" s="9"/>
    </row>
    <row r="1569" spans="1:75" ht="14.25" customHeight="1" x14ac:dyDescent="0.25">
      <c r="A1569" s="1">
        <v>1885</v>
      </c>
      <c r="B1569" s="1" t="s">
        <v>6116</v>
      </c>
      <c r="C1569" s="1" t="s">
        <v>6117</v>
      </c>
      <c r="D1569" s="1" t="s">
        <v>77</v>
      </c>
      <c r="E1569" s="1" t="s">
        <v>2396</v>
      </c>
      <c r="F1569" s="1" t="s">
        <v>4190</v>
      </c>
      <c r="G1569" s="1"/>
      <c r="H1569" s="2">
        <v>0</v>
      </c>
      <c r="I1569" s="2">
        <v>1</v>
      </c>
      <c r="J1569" s="2">
        <v>1</v>
      </c>
      <c r="K1569" s="2">
        <v>0</v>
      </c>
      <c r="L1569" s="3" t="s">
        <v>80</v>
      </c>
      <c r="O1569" s="4">
        <v>2</v>
      </c>
      <c r="P1569" s="4" t="s">
        <v>470</v>
      </c>
      <c r="Q1569" s="4"/>
      <c r="R1569" s="16">
        <v>9100000</v>
      </c>
      <c r="S1569" s="6">
        <v>9100000</v>
      </c>
      <c r="T1569" s="16">
        <v>2800000</v>
      </c>
      <c r="U1569" s="6">
        <v>2800000</v>
      </c>
      <c r="V1569" s="4">
        <v>2010.5</v>
      </c>
      <c r="W1569" s="4" t="s">
        <v>425</v>
      </c>
      <c r="X1569" s="4"/>
      <c r="Y1569" s="7">
        <v>2</v>
      </c>
      <c r="Z1569" s="8">
        <v>1640501</v>
      </c>
      <c r="AA1569" s="7" t="s">
        <v>92</v>
      </c>
      <c r="AB1569" s="7"/>
      <c r="AC1569" s="9">
        <v>2</v>
      </c>
      <c r="AD1569" s="10">
        <v>1640501</v>
      </c>
      <c r="AE1569" s="9" t="s">
        <v>92</v>
      </c>
      <c r="AF1569" s="9"/>
      <c r="AG1569" s="11">
        <v>2</v>
      </c>
      <c r="AH1569" s="11" t="s">
        <v>471</v>
      </c>
      <c r="AI1569" s="11"/>
      <c r="AJ1569" s="11">
        <v>2</v>
      </c>
      <c r="AK1569" s="11" t="s">
        <v>143</v>
      </c>
      <c r="AL1569" s="12">
        <v>3</v>
      </c>
      <c r="AM1569" s="12" t="s">
        <v>471</v>
      </c>
      <c r="AN1569" s="12" t="s">
        <v>2464</v>
      </c>
      <c r="AO1569" s="12">
        <v>3</v>
      </c>
      <c r="AP1569" s="12" t="s">
        <v>143</v>
      </c>
      <c r="AQ1569" s="4">
        <v>3</v>
      </c>
      <c r="AR1569" s="4" t="s">
        <v>673</v>
      </c>
      <c r="AS1569" s="4" t="s">
        <v>6118</v>
      </c>
      <c r="AT1569" s="13"/>
      <c r="AU1569" s="13"/>
      <c r="AV1569" s="13"/>
      <c r="AW1569" s="13"/>
      <c r="AX1569" s="4"/>
      <c r="AY1569" s="13"/>
      <c r="AZ1569" s="13"/>
      <c r="BA1569" s="13"/>
      <c r="BB1569" s="13"/>
      <c r="BC1569" s="4"/>
      <c r="BD1569" s="4"/>
      <c r="BE1569" s="4"/>
      <c r="BF1569" s="13"/>
      <c r="BG1569" s="4"/>
      <c r="BH1569" s="13"/>
      <c r="BI1569" s="13"/>
      <c r="BJ1569" s="4"/>
      <c r="BK1569" s="14">
        <v>9</v>
      </c>
      <c r="BL1569" s="14">
        <v>10</v>
      </c>
      <c r="BM1569" s="14">
        <v>10</v>
      </c>
      <c r="BP1569" s="15"/>
      <c r="BQ1569" s="15"/>
      <c r="BR1569" s="2" t="s">
        <v>297</v>
      </c>
      <c r="BS1569" s="2" t="s">
        <v>297</v>
      </c>
      <c r="BT1569" s="7" t="s">
        <v>475</v>
      </c>
      <c r="BU1569" s="7"/>
      <c r="BV1569" s="9" t="s">
        <v>475</v>
      </c>
      <c r="BW1569" s="9"/>
    </row>
    <row r="1570" spans="1:75" ht="14.25" customHeight="1" x14ac:dyDescent="0.25">
      <c r="A1570" s="1">
        <v>1886</v>
      </c>
      <c r="B1570" s="1" t="s">
        <v>6119</v>
      </c>
      <c r="C1570" s="1" t="s">
        <v>6120</v>
      </c>
      <c r="D1570" s="1" t="s">
        <v>77</v>
      </c>
      <c r="E1570" s="1" t="s">
        <v>2396</v>
      </c>
      <c r="F1570" s="1" t="s">
        <v>4190</v>
      </c>
      <c r="G1570" s="1"/>
      <c r="H1570" s="2">
        <v>0</v>
      </c>
      <c r="I1570" s="2">
        <v>0</v>
      </c>
      <c r="J1570" s="2">
        <v>1</v>
      </c>
      <c r="K1570" s="2">
        <v>0</v>
      </c>
      <c r="L1570" s="3" t="s">
        <v>80</v>
      </c>
      <c r="O1570" s="4">
        <v>4</v>
      </c>
      <c r="P1570" s="4" t="s">
        <v>112</v>
      </c>
      <c r="Q1570" s="4"/>
      <c r="R1570" s="5"/>
      <c r="S1570" s="6"/>
      <c r="T1570" s="17"/>
      <c r="U1570" s="6"/>
      <c r="V1570" s="4"/>
      <c r="W1570" s="4"/>
      <c r="X1570" s="4"/>
      <c r="Y1570" s="7">
        <v>5</v>
      </c>
      <c r="Z1570" s="8">
        <v>64892</v>
      </c>
      <c r="AA1570" s="7" t="s">
        <v>92</v>
      </c>
      <c r="AB1570" s="7"/>
      <c r="AC1570" s="9">
        <v>5</v>
      </c>
      <c r="AD1570" s="10">
        <v>64892</v>
      </c>
      <c r="AE1570" s="9" t="s">
        <v>92</v>
      </c>
      <c r="AF1570" s="9"/>
      <c r="AG1570" s="11">
        <v>2</v>
      </c>
      <c r="AH1570" s="11" t="s">
        <v>93</v>
      </c>
      <c r="AI1570" s="11" t="s">
        <v>393</v>
      </c>
      <c r="AJ1570" s="11"/>
      <c r="AK1570" s="11"/>
      <c r="AL1570" s="12">
        <v>2</v>
      </c>
      <c r="AM1570" s="12" t="s">
        <v>93</v>
      </c>
      <c r="AN1570" s="12" t="s">
        <v>6121</v>
      </c>
      <c r="AO1570" s="12"/>
      <c r="AP1570" s="12"/>
      <c r="AQ1570" s="4">
        <v>2</v>
      </c>
      <c r="AR1570" s="4" t="s">
        <v>93</v>
      </c>
      <c r="AS1570" s="4"/>
      <c r="AT1570" s="13"/>
      <c r="AU1570" s="13"/>
      <c r="AV1570" s="13"/>
      <c r="AW1570" s="13"/>
      <c r="AX1570" s="4"/>
      <c r="AY1570" s="13"/>
      <c r="AZ1570" s="13"/>
      <c r="BA1570" s="13"/>
      <c r="BB1570" s="13"/>
      <c r="BC1570" s="4"/>
      <c r="BD1570" s="4"/>
      <c r="BE1570" s="4"/>
      <c r="BF1570" s="13"/>
      <c r="BG1570" s="4"/>
      <c r="BH1570" s="13"/>
      <c r="BI1570" s="13"/>
      <c r="BJ1570" s="4"/>
      <c r="BK1570" s="14">
        <v>13</v>
      </c>
      <c r="BL1570" s="14">
        <v>13</v>
      </c>
      <c r="BM1570" s="14">
        <v>13</v>
      </c>
      <c r="BP1570" s="15"/>
      <c r="BQ1570" s="15"/>
      <c r="BR1570" s="2" t="s">
        <v>297</v>
      </c>
      <c r="BS1570" s="2" t="s">
        <v>297</v>
      </c>
      <c r="BT1570" s="7" t="s">
        <v>475</v>
      </c>
      <c r="BU1570" s="7"/>
      <c r="BV1570" s="9" t="s">
        <v>475</v>
      </c>
      <c r="BW1570" s="9"/>
    </row>
    <row r="1571" spans="1:75" ht="14.25" customHeight="1" x14ac:dyDescent="0.25">
      <c r="A1571" s="1">
        <v>1887</v>
      </c>
      <c r="B1571" s="1" t="s">
        <v>6122</v>
      </c>
      <c r="C1571" s="1" t="s">
        <v>6123</v>
      </c>
      <c r="D1571" s="1" t="s">
        <v>77</v>
      </c>
      <c r="E1571" s="1" t="s">
        <v>2396</v>
      </c>
      <c r="F1571" s="1" t="s">
        <v>4190</v>
      </c>
      <c r="G1571" s="1"/>
      <c r="H1571" s="2">
        <v>0</v>
      </c>
      <c r="I1571" s="2">
        <v>1</v>
      </c>
      <c r="J1571" s="2">
        <v>1</v>
      </c>
      <c r="K1571" s="2">
        <v>0</v>
      </c>
      <c r="L1571" s="3" t="s">
        <v>80</v>
      </c>
      <c r="O1571" s="4">
        <v>3</v>
      </c>
      <c r="P1571" s="4" t="s">
        <v>424</v>
      </c>
      <c r="Q1571" s="4"/>
      <c r="R1571" s="16">
        <v>950000</v>
      </c>
      <c r="S1571" s="6">
        <v>950000</v>
      </c>
      <c r="T1571" s="16">
        <v>890000</v>
      </c>
      <c r="U1571" s="6">
        <v>890000</v>
      </c>
      <c r="V1571" s="4">
        <v>2010.5</v>
      </c>
      <c r="W1571" s="4" t="s">
        <v>425</v>
      </c>
      <c r="X1571" s="4"/>
      <c r="Y1571" s="7">
        <v>4</v>
      </c>
      <c r="Z1571" s="8">
        <v>170290</v>
      </c>
      <c r="AA1571" s="7" t="s">
        <v>92</v>
      </c>
      <c r="AB1571" s="7"/>
      <c r="AC1571" s="9">
        <v>4</v>
      </c>
      <c r="AD1571" s="10">
        <v>170290</v>
      </c>
      <c r="AE1571" s="9" t="s">
        <v>92</v>
      </c>
      <c r="AF1571" s="9"/>
      <c r="AG1571" s="11">
        <v>3</v>
      </c>
      <c r="AH1571" s="11" t="s">
        <v>131</v>
      </c>
      <c r="AI1571" s="11"/>
      <c r="AJ1571" s="11">
        <v>2</v>
      </c>
      <c r="AK1571" s="11" t="s">
        <v>143</v>
      </c>
      <c r="AL1571" s="12">
        <v>3</v>
      </c>
      <c r="AM1571" s="12" t="s">
        <v>131</v>
      </c>
      <c r="AN1571" s="12" t="s">
        <v>6124</v>
      </c>
      <c r="AO1571" s="12">
        <v>3</v>
      </c>
      <c r="AP1571" s="12" t="s">
        <v>143</v>
      </c>
      <c r="AQ1571" s="4">
        <v>2</v>
      </c>
      <c r="AR1571" s="4" t="s">
        <v>133</v>
      </c>
      <c r="AS1571" s="4"/>
      <c r="AT1571" s="13">
        <v>15.0631160736084</v>
      </c>
      <c r="AU1571" s="13">
        <v>0.27580749988555903</v>
      </c>
      <c r="AV1571" s="13">
        <v>-0.48199999332428001</v>
      </c>
      <c r="AW1571" s="13">
        <v>1.7200000286102299</v>
      </c>
      <c r="AX1571" s="4"/>
      <c r="AY1571" s="13">
        <v>-5.0937771797180202</v>
      </c>
      <c r="AZ1571" s="13">
        <v>-0.52284991741180398</v>
      </c>
      <c r="BA1571" s="13">
        <v>-3.6800000667571999</v>
      </c>
      <c r="BB1571" s="13">
        <v>1.0199999809265099</v>
      </c>
      <c r="BC1571" s="4"/>
      <c r="BD1571" s="4">
        <v>10</v>
      </c>
      <c r="BE1571" s="4" t="s">
        <v>134</v>
      </c>
      <c r="BF1571" s="13">
        <v>2.2019999027252202</v>
      </c>
      <c r="BG1571" s="4">
        <v>38</v>
      </c>
      <c r="BH1571" s="13">
        <v>0.88950002193450906</v>
      </c>
      <c r="BI1571" s="13">
        <v>33.800998687744098</v>
      </c>
      <c r="BJ1571" s="4"/>
      <c r="BK1571" s="14">
        <v>12</v>
      </c>
      <c r="BL1571" s="14">
        <v>12</v>
      </c>
      <c r="BM1571" s="14">
        <v>12</v>
      </c>
      <c r="BP1571" s="15" t="s">
        <v>135</v>
      </c>
      <c r="BQ1571" s="15"/>
      <c r="BR1571" s="2" t="s">
        <v>297</v>
      </c>
      <c r="BS1571" s="2" t="s">
        <v>297</v>
      </c>
      <c r="BT1571" s="7" t="s">
        <v>487</v>
      </c>
      <c r="BU1571" s="7" t="s">
        <v>475</v>
      </c>
      <c r="BV1571" s="9" t="s">
        <v>487</v>
      </c>
      <c r="BW1571" s="9" t="s">
        <v>475</v>
      </c>
    </row>
    <row r="1572" spans="1:75" ht="14.25" customHeight="1" x14ac:dyDescent="0.25">
      <c r="A1572" s="1">
        <v>1888</v>
      </c>
      <c r="B1572" s="1" t="s">
        <v>6125</v>
      </c>
      <c r="C1572" s="1" t="s">
        <v>6126</v>
      </c>
      <c r="D1572" s="1" t="s">
        <v>77</v>
      </c>
      <c r="E1572" s="1" t="s">
        <v>2396</v>
      </c>
      <c r="F1572" s="1" t="s">
        <v>4190</v>
      </c>
      <c r="G1572" s="1"/>
      <c r="H1572" s="2">
        <v>0</v>
      </c>
      <c r="I1572" s="2">
        <v>1</v>
      </c>
      <c r="J1572" s="2">
        <v>1</v>
      </c>
      <c r="K1572" s="2">
        <v>0</v>
      </c>
      <c r="L1572" s="3" t="s">
        <v>80</v>
      </c>
      <c r="O1572" s="4">
        <v>2</v>
      </c>
      <c r="P1572" s="4" t="s">
        <v>424</v>
      </c>
      <c r="Q1572" s="4"/>
      <c r="R1572" s="16">
        <v>7500000</v>
      </c>
      <c r="S1572" s="6">
        <v>7500000</v>
      </c>
      <c r="T1572" s="16">
        <v>5200000</v>
      </c>
      <c r="U1572" s="6">
        <v>5200000</v>
      </c>
      <c r="V1572" s="4">
        <v>2010.5</v>
      </c>
      <c r="W1572" s="4" t="s">
        <v>425</v>
      </c>
      <c r="X1572" s="4"/>
      <c r="Y1572" s="7">
        <v>3</v>
      </c>
      <c r="Z1572" s="8">
        <v>333295</v>
      </c>
      <c r="AA1572" s="7" t="s">
        <v>92</v>
      </c>
      <c r="AB1572" s="7"/>
      <c r="AC1572" s="9">
        <v>3</v>
      </c>
      <c r="AD1572" s="10">
        <v>333295</v>
      </c>
      <c r="AE1572" s="9" t="s">
        <v>92</v>
      </c>
      <c r="AF1572" s="9"/>
      <c r="AG1572" s="11">
        <v>2</v>
      </c>
      <c r="AH1572" s="11" t="s">
        <v>131</v>
      </c>
      <c r="AI1572" s="11"/>
      <c r="AJ1572" s="11">
        <v>2</v>
      </c>
      <c r="AK1572" s="11" t="s">
        <v>143</v>
      </c>
      <c r="AL1572" s="12">
        <v>3</v>
      </c>
      <c r="AM1572" s="12" t="s">
        <v>131</v>
      </c>
      <c r="AN1572" s="12"/>
      <c r="AO1572" s="12">
        <v>4</v>
      </c>
      <c r="AP1572" s="12" t="s">
        <v>143</v>
      </c>
      <c r="AQ1572" s="4">
        <v>3</v>
      </c>
      <c r="AR1572" s="4" t="s">
        <v>133</v>
      </c>
      <c r="AS1572" s="4"/>
      <c r="AT1572" s="13">
        <v>-21.036664962768601</v>
      </c>
      <c r="AU1572" s="13">
        <v>-0.46156087517738298</v>
      </c>
      <c r="AV1572" s="13">
        <v>-0.84090197086334195</v>
      </c>
      <c r="AW1572" s="13">
        <v>-2.8999999165535001E-2</v>
      </c>
      <c r="AX1572" s="4">
        <v>1</v>
      </c>
      <c r="AY1572" s="13">
        <v>-17.663343429565401</v>
      </c>
      <c r="AZ1572" s="13">
        <v>-1.9262514114379901</v>
      </c>
      <c r="BA1572" s="13">
        <v>-3.30160307884216</v>
      </c>
      <c r="BB1572" s="13">
        <v>-0.61699998378753695</v>
      </c>
      <c r="BC1572" s="4">
        <v>1</v>
      </c>
      <c r="BD1572" s="4">
        <v>10</v>
      </c>
      <c r="BE1572" s="4" t="s">
        <v>134</v>
      </c>
      <c r="BF1572" s="13">
        <v>0.81190198659896895</v>
      </c>
      <c r="BG1572" s="4">
        <v>157</v>
      </c>
      <c r="BH1572" s="13">
        <v>8.1149997711181605</v>
      </c>
      <c r="BI1572" s="13">
        <v>1274.05505371094</v>
      </c>
      <c r="BJ1572" s="4"/>
      <c r="BK1572" s="14">
        <v>10</v>
      </c>
      <c r="BL1572" s="14">
        <v>11</v>
      </c>
      <c r="BM1572" s="14">
        <v>11</v>
      </c>
      <c r="BP1572" s="15" t="s">
        <v>135</v>
      </c>
      <c r="BQ1572" s="15"/>
      <c r="BR1572" s="2" t="s">
        <v>162</v>
      </c>
      <c r="BS1572" s="2" t="s">
        <v>162</v>
      </c>
      <c r="BT1572" s="7" t="s">
        <v>429</v>
      </c>
      <c r="BU1572" s="7"/>
      <c r="BV1572" s="9" t="s">
        <v>429</v>
      </c>
      <c r="BW1572" s="9"/>
    </row>
    <row r="1573" spans="1:75" ht="14.25" customHeight="1" x14ac:dyDescent="0.25">
      <c r="A1573" s="1">
        <v>1889</v>
      </c>
      <c r="B1573" s="1" t="s">
        <v>6127</v>
      </c>
      <c r="C1573" s="1" t="s">
        <v>6128</v>
      </c>
      <c r="D1573" s="1" t="s">
        <v>77</v>
      </c>
      <c r="E1573" s="1" t="s">
        <v>2396</v>
      </c>
      <c r="F1573" s="1" t="s">
        <v>4190</v>
      </c>
      <c r="G1573" s="1"/>
      <c r="H1573" s="2">
        <v>0</v>
      </c>
      <c r="I1573" s="2">
        <v>0</v>
      </c>
      <c r="J1573" s="2">
        <v>1</v>
      </c>
      <c r="K1573" s="2">
        <v>1</v>
      </c>
      <c r="L1573" s="3" t="s">
        <v>80</v>
      </c>
      <c r="O1573" s="4">
        <v>5</v>
      </c>
      <c r="P1573" s="4" t="s">
        <v>112</v>
      </c>
      <c r="Q1573" s="4"/>
      <c r="R1573" s="5"/>
      <c r="S1573" s="6"/>
      <c r="T1573" s="17"/>
      <c r="U1573" s="6"/>
      <c r="V1573" s="4"/>
      <c r="W1573" s="4"/>
      <c r="X1573" s="4"/>
      <c r="Y1573" s="7">
        <v>5</v>
      </c>
      <c r="Z1573" s="8">
        <v>24833</v>
      </c>
      <c r="AA1573" s="7" t="s">
        <v>92</v>
      </c>
      <c r="AB1573" s="7"/>
      <c r="AC1573" s="9">
        <v>5</v>
      </c>
      <c r="AD1573" s="10">
        <v>24833</v>
      </c>
      <c r="AE1573" s="9" t="s">
        <v>92</v>
      </c>
      <c r="AF1573" s="9"/>
      <c r="AG1573" s="11">
        <v>3</v>
      </c>
      <c r="AH1573" s="11" t="s">
        <v>93</v>
      </c>
      <c r="AI1573" s="11"/>
      <c r="AJ1573" s="11"/>
      <c r="AK1573" s="11"/>
      <c r="AL1573" s="12">
        <v>3</v>
      </c>
      <c r="AM1573" s="12" t="s">
        <v>93</v>
      </c>
      <c r="AN1573" s="12" t="s">
        <v>698</v>
      </c>
      <c r="AO1573" s="12"/>
      <c r="AP1573" s="12"/>
      <c r="AQ1573" s="4">
        <v>4</v>
      </c>
      <c r="AR1573" s="4" t="s">
        <v>83</v>
      </c>
      <c r="AS1573" s="4"/>
      <c r="AT1573" s="13"/>
      <c r="AU1573" s="13"/>
      <c r="AV1573" s="13"/>
      <c r="AW1573" s="13"/>
      <c r="AX1573" s="4"/>
      <c r="AY1573" s="13"/>
      <c r="AZ1573" s="13"/>
      <c r="BA1573" s="13"/>
      <c r="BB1573" s="13"/>
      <c r="BC1573" s="4"/>
      <c r="BD1573" s="4"/>
      <c r="BE1573" s="4"/>
      <c r="BF1573" s="13"/>
      <c r="BG1573" s="4"/>
      <c r="BH1573" s="13"/>
      <c r="BI1573" s="13"/>
      <c r="BJ1573" s="4"/>
      <c r="BK1573" s="14">
        <v>17</v>
      </c>
      <c r="BL1573" s="14">
        <v>17</v>
      </c>
      <c r="BM1573" s="14">
        <v>17</v>
      </c>
      <c r="BN1573" s="3" t="s">
        <v>312</v>
      </c>
      <c r="BP1573" s="15"/>
      <c r="BQ1573" s="15"/>
      <c r="BR1573" s="2" t="s">
        <v>409</v>
      </c>
      <c r="BS1573" s="2" t="s">
        <v>409</v>
      </c>
      <c r="BT1573" s="7" t="s">
        <v>88</v>
      </c>
      <c r="BU1573" s="7"/>
      <c r="BV1573" s="9" t="s">
        <v>88</v>
      </c>
      <c r="BW1573" s="9"/>
    </row>
    <row r="1574" spans="1:75" ht="14.25" customHeight="1" x14ac:dyDescent="0.25">
      <c r="A1574" s="1">
        <v>1890</v>
      </c>
      <c r="B1574" s="1" t="s">
        <v>6129</v>
      </c>
      <c r="C1574" s="1" t="s">
        <v>6130</v>
      </c>
      <c r="D1574" s="1" t="s">
        <v>77</v>
      </c>
      <c r="E1574" s="1" t="s">
        <v>2396</v>
      </c>
      <c r="F1574" s="1" t="s">
        <v>4190</v>
      </c>
      <c r="G1574" s="1" t="s">
        <v>6131</v>
      </c>
      <c r="H1574" s="2">
        <v>0</v>
      </c>
      <c r="I1574" s="2">
        <v>0</v>
      </c>
      <c r="J1574" s="2">
        <v>1</v>
      </c>
      <c r="K1574" s="2">
        <v>1</v>
      </c>
      <c r="L1574" s="3" t="s">
        <v>80</v>
      </c>
      <c r="O1574" s="4">
        <v>4</v>
      </c>
      <c r="P1574" s="4" t="s">
        <v>2129</v>
      </c>
      <c r="Q1574" s="4" t="s">
        <v>6132</v>
      </c>
      <c r="R1574" s="5"/>
      <c r="S1574" s="6"/>
      <c r="T1574" s="17"/>
      <c r="U1574" s="6"/>
      <c r="V1574" s="4"/>
      <c r="W1574" s="4"/>
      <c r="X1574" s="4"/>
      <c r="Y1574" s="7">
        <v>4</v>
      </c>
      <c r="Z1574" s="8">
        <v>85902</v>
      </c>
      <c r="AA1574" s="7" t="s">
        <v>1300</v>
      </c>
      <c r="AB1574" s="7"/>
      <c r="AC1574" s="9">
        <v>4</v>
      </c>
      <c r="AD1574" s="10">
        <v>85902</v>
      </c>
      <c r="AE1574" s="9" t="s">
        <v>1300</v>
      </c>
      <c r="AF1574" s="9"/>
      <c r="AG1574" s="11">
        <v>2</v>
      </c>
      <c r="AH1574" s="11" t="s">
        <v>83</v>
      </c>
      <c r="AI1574" s="11" t="s">
        <v>6133</v>
      </c>
      <c r="AJ1574" s="11"/>
      <c r="AK1574" s="11"/>
      <c r="AL1574" s="12">
        <v>3</v>
      </c>
      <c r="AM1574" s="12" t="s">
        <v>6134</v>
      </c>
      <c r="AN1574" s="12" t="s">
        <v>698</v>
      </c>
      <c r="AO1574" s="12"/>
      <c r="AP1574" s="12"/>
      <c r="AQ1574" s="4">
        <v>3</v>
      </c>
      <c r="AR1574" s="4" t="s">
        <v>83</v>
      </c>
      <c r="AS1574" s="4"/>
      <c r="AT1574" s="13"/>
      <c r="AU1574" s="13"/>
      <c r="AV1574" s="13"/>
      <c r="AW1574" s="13"/>
      <c r="AX1574" s="4"/>
      <c r="AY1574" s="13"/>
      <c r="AZ1574" s="13"/>
      <c r="BA1574" s="13"/>
      <c r="BB1574" s="13"/>
      <c r="BC1574" s="4"/>
      <c r="BD1574" s="4"/>
      <c r="BE1574" s="4"/>
      <c r="BF1574" s="13"/>
      <c r="BG1574" s="4"/>
      <c r="BH1574" s="13"/>
      <c r="BI1574" s="13"/>
      <c r="BJ1574" s="4"/>
      <c r="BK1574" s="14">
        <v>13</v>
      </c>
      <c r="BL1574" s="14">
        <v>14</v>
      </c>
      <c r="BM1574" s="14">
        <v>14</v>
      </c>
      <c r="BN1574" s="3" t="s">
        <v>86</v>
      </c>
      <c r="BP1574" s="15"/>
      <c r="BQ1574" s="15"/>
      <c r="BR1574" s="2" t="s">
        <v>108</v>
      </c>
      <c r="BS1574" s="2" t="s">
        <v>108</v>
      </c>
      <c r="BT1574" s="7" t="s">
        <v>458</v>
      </c>
      <c r="BU1574" s="7"/>
      <c r="BV1574" s="9" t="s">
        <v>458</v>
      </c>
      <c r="BW1574" s="9"/>
    </row>
    <row r="1575" spans="1:75" ht="14.25" customHeight="1" x14ac:dyDescent="0.25">
      <c r="A1575" s="1">
        <v>1891</v>
      </c>
      <c r="B1575" s="1" t="s">
        <v>6135</v>
      </c>
      <c r="C1575" s="1" t="s">
        <v>6136</v>
      </c>
      <c r="D1575" s="1" t="s">
        <v>77</v>
      </c>
      <c r="E1575" s="1" t="s">
        <v>2396</v>
      </c>
      <c r="F1575" s="1" t="s">
        <v>4190</v>
      </c>
      <c r="G1575" s="1" t="s">
        <v>6137</v>
      </c>
      <c r="H1575" s="2">
        <v>0</v>
      </c>
      <c r="I1575" s="2">
        <v>0</v>
      </c>
      <c r="J1575" s="2">
        <v>0</v>
      </c>
      <c r="K1575" s="2">
        <v>1</v>
      </c>
      <c r="L1575" s="3" t="s">
        <v>80</v>
      </c>
      <c r="O1575" s="4">
        <v>5</v>
      </c>
      <c r="P1575" s="4" t="s">
        <v>2129</v>
      </c>
      <c r="Q1575" s="4" t="s">
        <v>6132</v>
      </c>
      <c r="R1575" s="5"/>
      <c r="S1575" s="6"/>
      <c r="T1575" s="17"/>
      <c r="U1575" s="6"/>
      <c r="V1575" s="4"/>
      <c r="W1575" s="4"/>
      <c r="X1575" s="4"/>
      <c r="Y1575" s="7">
        <v>5</v>
      </c>
      <c r="Z1575" s="8">
        <v>1256</v>
      </c>
      <c r="AA1575" s="7" t="s">
        <v>1300</v>
      </c>
      <c r="AB1575" s="7"/>
      <c r="AC1575" s="9">
        <v>5</v>
      </c>
      <c r="AD1575" s="10">
        <v>1256</v>
      </c>
      <c r="AE1575" s="9" t="s">
        <v>1300</v>
      </c>
      <c r="AF1575" s="9"/>
      <c r="AG1575" s="11">
        <v>4</v>
      </c>
      <c r="AH1575" s="11" t="s">
        <v>83</v>
      </c>
      <c r="AI1575" s="11"/>
      <c r="AJ1575" s="11"/>
      <c r="AK1575" s="11"/>
      <c r="AL1575" s="12">
        <v>4</v>
      </c>
      <c r="AM1575" s="12" t="s">
        <v>83</v>
      </c>
      <c r="AN1575" s="12" t="s">
        <v>6138</v>
      </c>
      <c r="AO1575" s="12"/>
      <c r="AP1575" s="12"/>
      <c r="AQ1575" s="4">
        <v>4</v>
      </c>
      <c r="AR1575" s="4" t="s">
        <v>83</v>
      </c>
      <c r="AS1575" s="4"/>
      <c r="AT1575" s="13"/>
      <c r="AU1575" s="13"/>
      <c r="AV1575" s="13"/>
      <c r="AW1575" s="13"/>
      <c r="AX1575" s="4"/>
      <c r="AY1575" s="13"/>
      <c r="AZ1575" s="13"/>
      <c r="BA1575" s="13"/>
      <c r="BB1575" s="13"/>
      <c r="BC1575" s="4"/>
      <c r="BD1575" s="4"/>
      <c r="BE1575" s="4"/>
      <c r="BF1575" s="13"/>
      <c r="BG1575" s="4"/>
      <c r="BH1575" s="13"/>
      <c r="BI1575" s="13"/>
      <c r="BJ1575" s="4"/>
      <c r="BK1575" s="14">
        <v>18</v>
      </c>
      <c r="BL1575" s="14">
        <v>18</v>
      </c>
      <c r="BM1575" s="14">
        <v>18</v>
      </c>
      <c r="BN1575" s="3" t="s">
        <v>312</v>
      </c>
      <c r="BP1575" s="15"/>
      <c r="BQ1575" s="15"/>
      <c r="BR1575" s="2" t="s">
        <v>87</v>
      </c>
      <c r="BS1575" s="2" t="s">
        <v>87</v>
      </c>
      <c r="BT1575" s="7" t="s">
        <v>458</v>
      </c>
      <c r="BU1575" s="7"/>
      <c r="BV1575" s="9" t="s">
        <v>458</v>
      </c>
      <c r="BW1575" s="9"/>
    </row>
    <row r="1576" spans="1:75" ht="14.25" customHeight="1" x14ac:dyDescent="0.25">
      <c r="A1576" s="1">
        <v>1892</v>
      </c>
      <c r="B1576" s="1" t="s">
        <v>6139</v>
      </c>
      <c r="C1576" s="1" t="s">
        <v>6140</v>
      </c>
      <c r="D1576" s="1" t="s">
        <v>77</v>
      </c>
      <c r="E1576" s="1" t="s">
        <v>2396</v>
      </c>
      <c r="F1576" s="1" t="s">
        <v>4190</v>
      </c>
      <c r="G1576" s="1"/>
      <c r="H1576" s="2">
        <v>0</v>
      </c>
      <c r="I1576" s="2">
        <v>0</v>
      </c>
      <c r="J1576" s="2">
        <v>1</v>
      </c>
      <c r="K1576" s="2">
        <v>1</v>
      </c>
      <c r="L1576" s="3" t="s">
        <v>80</v>
      </c>
      <c r="O1576" s="4">
        <v>3</v>
      </c>
      <c r="P1576" s="4" t="s">
        <v>112</v>
      </c>
      <c r="Q1576" s="4"/>
      <c r="R1576" s="5"/>
      <c r="S1576" s="6"/>
      <c r="T1576" s="17"/>
      <c r="U1576" s="6"/>
      <c r="V1576" s="4"/>
      <c r="W1576" s="4"/>
      <c r="X1576" s="4"/>
      <c r="Y1576" s="7">
        <v>3</v>
      </c>
      <c r="Z1576" s="8">
        <v>618455</v>
      </c>
      <c r="AA1576" s="7" t="s">
        <v>92</v>
      </c>
      <c r="AB1576" s="7"/>
      <c r="AC1576" s="9">
        <v>3</v>
      </c>
      <c r="AD1576" s="10">
        <v>618455</v>
      </c>
      <c r="AE1576" s="9" t="s">
        <v>92</v>
      </c>
      <c r="AF1576" s="9"/>
      <c r="AG1576" s="11">
        <v>2</v>
      </c>
      <c r="AH1576" s="11" t="s">
        <v>93</v>
      </c>
      <c r="AI1576" s="11"/>
      <c r="AJ1576" s="11"/>
      <c r="AK1576" s="11"/>
      <c r="AL1576" s="12">
        <v>2</v>
      </c>
      <c r="AM1576" s="12" t="s">
        <v>93</v>
      </c>
      <c r="AN1576" s="12" t="s">
        <v>394</v>
      </c>
      <c r="AO1576" s="12"/>
      <c r="AP1576" s="12"/>
      <c r="AQ1576" s="4">
        <v>2</v>
      </c>
      <c r="AR1576" s="4" t="s">
        <v>83</v>
      </c>
      <c r="AS1576" s="4" t="s">
        <v>6141</v>
      </c>
      <c r="AT1576" s="13"/>
      <c r="AU1576" s="13"/>
      <c r="AV1576" s="13"/>
      <c r="AW1576" s="13"/>
      <c r="AX1576" s="4"/>
      <c r="AY1576" s="13"/>
      <c r="AZ1576" s="13"/>
      <c r="BA1576" s="13"/>
      <c r="BB1576" s="13"/>
      <c r="BC1576" s="4"/>
      <c r="BD1576" s="4"/>
      <c r="BE1576" s="4"/>
      <c r="BF1576" s="13"/>
      <c r="BG1576" s="4"/>
      <c r="BH1576" s="13"/>
      <c r="BI1576" s="13"/>
      <c r="BJ1576" s="4"/>
      <c r="BK1576" s="14">
        <v>10</v>
      </c>
      <c r="BL1576" s="14">
        <v>10</v>
      </c>
      <c r="BM1576" s="14">
        <v>10</v>
      </c>
      <c r="BP1576" s="15"/>
      <c r="BQ1576" s="15"/>
      <c r="BR1576" s="2" t="s">
        <v>409</v>
      </c>
      <c r="BS1576" s="2" t="s">
        <v>409</v>
      </c>
      <c r="BT1576" s="7" t="s">
        <v>438</v>
      </c>
      <c r="BU1576" s="7" t="s">
        <v>437</v>
      </c>
      <c r="BV1576" s="9" t="s">
        <v>438</v>
      </c>
      <c r="BW1576" s="9" t="s">
        <v>437</v>
      </c>
    </row>
    <row r="1577" spans="1:75" ht="14.25" customHeight="1" x14ac:dyDescent="0.25">
      <c r="A1577" s="1">
        <v>1893</v>
      </c>
      <c r="B1577" s="1" t="s">
        <v>6142</v>
      </c>
      <c r="C1577" s="1" t="s">
        <v>6143</v>
      </c>
      <c r="D1577" s="1" t="s">
        <v>77</v>
      </c>
      <c r="E1577" s="1" t="s">
        <v>2396</v>
      </c>
      <c r="F1577" s="1" t="s">
        <v>4190</v>
      </c>
      <c r="G1577" s="1"/>
      <c r="H1577" s="2">
        <v>0</v>
      </c>
      <c r="I1577" s="2">
        <v>1</v>
      </c>
      <c r="J1577" s="2">
        <v>1</v>
      </c>
      <c r="K1577" s="2">
        <v>0</v>
      </c>
      <c r="L1577" s="3" t="s">
        <v>80</v>
      </c>
      <c r="O1577" s="4">
        <v>3</v>
      </c>
      <c r="P1577" s="4" t="s">
        <v>470</v>
      </c>
      <c r="Q1577" s="4" t="s">
        <v>6144</v>
      </c>
      <c r="R1577" s="16">
        <v>1200000</v>
      </c>
      <c r="S1577" s="6">
        <v>1200000</v>
      </c>
      <c r="T1577" s="16">
        <v>600000</v>
      </c>
      <c r="U1577" s="6">
        <v>600000</v>
      </c>
      <c r="V1577" s="4">
        <v>2010.5</v>
      </c>
      <c r="W1577" s="4" t="s">
        <v>425</v>
      </c>
      <c r="X1577" s="4"/>
      <c r="Y1577" s="7">
        <v>2</v>
      </c>
      <c r="Z1577" s="8">
        <v>1186035</v>
      </c>
      <c r="AA1577" s="7" t="s">
        <v>92</v>
      </c>
      <c r="AB1577" s="7"/>
      <c r="AC1577" s="9">
        <v>2</v>
      </c>
      <c r="AD1577" s="10">
        <v>1186035</v>
      </c>
      <c r="AE1577" s="9" t="s">
        <v>92</v>
      </c>
      <c r="AF1577" s="9"/>
      <c r="AG1577" s="11">
        <v>3</v>
      </c>
      <c r="AH1577" s="11" t="s">
        <v>131</v>
      </c>
      <c r="AI1577" s="11" t="s">
        <v>6145</v>
      </c>
      <c r="AJ1577" s="11">
        <v>3</v>
      </c>
      <c r="AK1577" s="11" t="s">
        <v>132</v>
      </c>
      <c r="AL1577" s="12">
        <v>3</v>
      </c>
      <c r="AM1577" s="12" t="s">
        <v>131</v>
      </c>
      <c r="AN1577" s="12" t="s">
        <v>6146</v>
      </c>
      <c r="AO1577" s="12">
        <v>3</v>
      </c>
      <c r="AP1577" s="12" t="s">
        <v>143</v>
      </c>
      <c r="AQ1577" s="4">
        <v>2</v>
      </c>
      <c r="AR1577" s="4" t="s">
        <v>133</v>
      </c>
      <c r="AS1577" s="4"/>
      <c r="AT1577" s="13">
        <v>-23.875013351440401</v>
      </c>
      <c r="AU1577" s="13">
        <v>-0.53332334756851196</v>
      </c>
      <c r="AV1577" s="13">
        <v>-1.3139009475707999</v>
      </c>
      <c r="AW1577" s="13">
        <v>0.32100000977516202</v>
      </c>
      <c r="AX1577" s="4"/>
      <c r="AY1577" s="13">
        <v>1.2917965650558501</v>
      </c>
      <c r="AZ1577" s="13">
        <v>0.12844653427600899</v>
      </c>
      <c r="BA1577" s="13">
        <v>-1.6900000572204601</v>
      </c>
      <c r="BB1577" s="13">
        <v>2.06819796562195</v>
      </c>
      <c r="BC1577" s="4"/>
      <c r="BD1577" s="4">
        <v>10</v>
      </c>
      <c r="BE1577" s="4" t="s">
        <v>134</v>
      </c>
      <c r="BF1577" s="13">
        <v>1.6349010467529299</v>
      </c>
      <c r="BG1577" s="4">
        <v>204</v>
      </c>
      <c r="BH1577" s="13">
        <v>1.0779999494552599</v>
      </c>
      <c r="BI1577" s="13">
        <v>219.91200256347699</v>
      </c>
      <c r="BJ1577" s="4"/>
      <c r="BK1577" s="14">
        <v>10</v>
      </c>
      <c r="BL1577" s="14">
        <v>10</v>
      </c>
      <c r="BM1577" s="14">
        <v>10</v>
      </c>
      <c r="BP1577" s="15"/>
      <c r="BQ1577" s="15"/>
      <c r="BR1577" s="2" t="s">
        <v>297</v>
      </c>
      <c r="BS1577" s="2" t="s">
        <v>297</v>
      </c>
      <c r="BT1577" s="7" t="s">
        <v>475</v>
      </c>
      <c r="BU1577" s="7"/>
      <c r="BV1577" s="9" t="s">
        <v>475</v>
      </c>
      <c r="BW1577" s="9"/>
    </row>
    <row r="1578" spans="1:75" ht="14.25" customHeight="1" x14ac:dyDescent="0.25">
      <c r="A1578" s="1">
        <v>1894</v>
      </c>
      <c r="B1578" s="1" t="s">
        <v>6147</v>
      </c>
      <c r="C1578" s="1" t="s">
        <v>6148</v>
      </c>
      <c r="D1578" s="1" t="s">
        <v>77</v>
      </c>
      <c r="E1578" s="1" t="s">
        <v>2396</v>
      </c>
      <c r="F1578" s="1" t="s">
        <v>4190</v>
      </c>
      <c r="G1578" s="1" t="s">
        <v>118</v>
      </c>
      <c r="H1578" s="2">
        <v>0</v>
      </c>
      <c r="I1578" s="2">
        <v>0</v>
      </c>
      <c r="J1578" s="2">
        <v>1</v>
      </c>
      <c r="K1578" s="2">
        <v>0</v>
      </c>
      <c r="L1578" s="3" t="s">
        <v>80</v>
      </c>
      <c r="O1578" s="4">
        <v>5</v>
      </c>
      <c r="P1578" s="4" t="s">
        <v>112</v>
      </c>
      <c r="Q1578" s="4"/>
      <c r="R1578" s="5"/>
      <c r="S1578" s="6"/>
      <c r="T1578" s="17"/>
      <c r="U1578" s="6"/>
      <c r="V1578" s="4"/>
      <c r="W1578" s="4"/>
      <c r="X1578" s="4"/>
      <c r="Y1578" s="7">
        <v>5</v>
      </c>
      <c r="Z1578" s="8">
        <v>39407</v>
      </c>
      <c r="AA1578" s="7" t="s">
        <v>92</v>
      </c>
      <c r="AB1578" s="7"/>
      <c r="AC1578" s="9">
        <v>5</v>
      </c>
      <c r="AD1578" s="10">
        <v>39407</v>
      </c>
      <c r="AE1578" s="9" t="s">
        <v>92</v>
      </c>
      <c r="AF1578" s="9"/>
      <c r="AG1578" s="11">
        <v>3</v>
      </c>
      <c r="AH1578" s="11" t="s">
        <v>93</v>
      </c>
      <c r="AI1578" s="11"/>
      <c r="AJ1578" s="11"/>
      <c r="AK1578" s="11"/>
      <c r="AL1578" s="12">
        <v>3</v>
      </c>
      <c r="AM1578" s="12" t="s">
        <v>93</v>
      </c>
      <c r="AN1578" s="12" t="s">
        <v>805</v>
      </c>
      <c r="AO1578" s="12"/>
      <c r="AP1578" s="12"/>
      <c r="AQ1578" s="4">
        <v>4</v>
      </c>
      <c r="AR1578" s="4" t="s">
        <v>441</v>
      </c>
      <c r="AS1578" s="4" t="s">
        <v>2379</v>
      </c>
      <c r="AT1578" s="13"/>
      <c r="AU1578" s="13"/>
      <c r="AV1578" s="13"/>
      <c r="AW1578" s="13"/>
      <c r="AX1578" s="4"/>
      <c r="AY1578" s="13"/>
      <c r="AZ1578" s="13"/>
      <c r="BA1578" s="13"/>
      <c r="BB1578" s="13"/>
      <c r="BC1578" s="4"/>
      <c r="BD1578" s="4"/>
      <c r="BE1578" s="4"/>
      <c r="BF1578" s="13"/>
      <c r="BG1578" s="4"/>
      <c r="BH1578" s="13"/>
      <c r="BI1578" s="13"/>
      <c r="BJ1578" s="4"/>
      <c r="BK1578" s="14">
        <v>17</v>
      </c>
      <c r="BL1578" s="14">
        <v>17</v>
      </c>
      <c r="BM1578" s="14">
        <v>17</v>
      </c>
      <c r="BN1578" s="3" t="s">
        <v>312</v>
      </c>
      <c r="BP1578" s="15"/>
      <c r="BQ1578" s="15"/>
      <c r="BR1578" s="2" t="s">
        <v>108</v>
      </c>
      <c r="BS1578" s="2" t="s">
        <v>108</v>
      </c>
      <c r="BT1578" s="7" t="s">
        <v>109</v>
      </c>
      <c r="BU1578" s="7"/>
      <c r="BV1578" s="9" t="s">
        <v>109</v>
      </c>
      <c r="BW1578" s="9"/>
    </row>
    <row r="1579" spans="1:75" ht="14.25" customHeight="1" x14ac:dyDescent="0.25">
      <c r="A1579" s="1">
        <v>1895</v>
      </c>
      <c r="B1579" s="1" t="s">
        <v>6149</v>
      </c>
      <c r="C1579" s="1" t="s">
        <v>6150</v>
      </c>
      <c r="D1579" s="1" t="s">
        <v>77</v>
      </c>
      <c r="E1579" s="1" t="s">
        <v>2396</v>
      </c>
      <c r="F1579" s="1" t="s">
        <v>4190</v>
      </c>
      <c r="G1579" s="1" t="s">
        <v>118</v>
      </c>
      <c r="H1579" s="2">
        <v>0</v>
      </c>
      <c r="I1579" s="2">
        <v>1</v>
      </c>
      <c r="J1579" s="2">
        <v>1</v>
      </c>
      <c r="K1579" s="2">
        <v>0</v>
      </c>
      <c r="L1579" s="3" t="s">
        <v>127</v>
      </c>
      <c r="O1579" s="4">
        <v>3</v>
      </c>
      <c r="P1579" s="4" t="s">
        <v>424</v>
      </c>
      <c r="Q1579" s="4"/>
      <c r="R1579" s="16">
        <v>4800000</v>
      </c>
      <c r="S1579" s="6">
        <v>4800000</v>
      </c>
      <c r="T1579" s="16">
        <v>4800000</v>
      </c>
      <c r="U1579" s="6">
        <v>4800000</v>
      </c>
      <c r="V1579" s="4">
        <v>2010.5</v>
      </c>
      <c r="W1579" s="4" t="s">
        <v>425</v>
      </c>
      <c r="X1579" s="4"/>
      <c r="Y1579" s="7">
        <v>2</v>
      </c>
      <c r="Z1579" s="8">
        <v>1735151</v>
      </c>
      <c r="AA1579" s="7" t="s">
        <v>92</v>
      </c>
      <c r="AB1579" s="7"/>
      <c r="AC1579" s="9">
        <v>2</v>
      </c>
      <c r="AD1579" s="10">
        <v>1755819</v>
      </c>
      <c r="AE1579" s="9" t="s">
        <v>92</v>
      </c>
      <c r="AF1579" s="9" t="s">
        <v>6151</v>
      </c>
      <c r="AG1579" s="11">
        <v>4</v>
      </c>
      <c r="AH1579" s="11" t="s">
        <v>131</v>
      </c>
      <c r="AI1579" s="11"/>
      <c r="AJ1579" s="11">
        <v>5</v>
      </c>
      <c r="AK1579" s="11" t="s">
        <v>143</v>
      </c>
      <c r="AL1579" s="12">
        <v>2</v>
      </c>
      <c r="AM1579" s="12" t="s">
        <v>131</v>
      </c>
      <c r="AN1579" s="12"/>
      <c r="AO1579" s="12">
        <v>2</v>
      </c>
      <c r="AP1579" s="12" t="s">
        <v>132</v>
      </c>
      <c r="AQ1579" s="4">
        <v>3</v>
      </c>
      <c r="AR1579" s="4" t="s">
        <v>133</v>
      </c>
      <c r="AS1579" s="4"/>
      <c r="AT1579" s="13">
        <v>-2.63847732543945</v>
      </c>
      <c r="AU1579" s="13">
        <v>-5.2405662834644297E-2</v>
      </c>
      <c r="AV1579" s="13">
        <v>-0.409298986196518</v>
      </c>
      <c r="AW1579" s="13">
        <v>0.44600000977516202</v>
      </c>
      <c r="AX1579" s="4"/>
      <c r="AY1579" s="13">
        <v>-4.6805295944213903</v>
      </c>
      <c r="AZ1579" s="13">
        <v>-0.478368520736694</v>
      </c>
      <c r="BA1579" s="13">
        <v>-1.1900000572204601</v>
      </c>
      <c r="BB1579" s="13">
        <v>0.47699999809265098</v>
      </c>
      <c r="BC1579" s="4"/>
      <c r="BD1579" s="4">
        <v>10</v>
      </c>
      <c r="BE1579" s="4" t="s">
        <v>134</v>
      </c>
      <c r="BF1579" s="13">
        <v>0.85529899597168002</v>
      </c>
      <c r="BG1579" s="4">
        <v>466.5</v>
      </c>
      <c r="BH1579" s="13">
        <v>3.9749999046325701</v>
      </c>
      <c r="BI1579" s="13">
        <v>1852.41003417969</v>
      </c>
      <c r="BJ1579" s="4"/>
      <c r="BK1579" s="14">
        <v>12</v>
      </c>
      <c r="BL1579" s="14">
        <v>10</v>
      </c>
      <c r="BM1579" s="14">
        <v>12</v>
      </c>
      <c r="BP1579" s="15"/>
      <c r="BQ1579" s="15"/>
      <c r="BR1579" s="2" t="s">
        <v>555</v>
      </c>
      <c r="BS1579" s="2" t="s">
        <v>297</v>
      </c>
      <c r="BT1579" s="7" t="s">
        <v>556</v>
      </c>
      <c r="BU1579" s="7"/>
      <c r="BV1579" s="9" t="s">
        <v>475</v>
      </c>
      <c r="BW1579" s="9" t="s">
        <v>487</v>
      </c>
    </row>
    <row r="1580" spans="1:75" ht="14.25" customHeight="1" x14ac:dyDescent="0.25">
      <c r="A1580" s="1">
        <v>1896</v>
      </c>
      <c r="B1580" s="1" t="s">
        <v>6152</v>
      </c>
      <c r="C1580" s="1" t="s">
        <v>6153</v>
      </c>
      <c r="D1580" s="1" t="s">
        <v>77</v>
      </c>
      <c r="E1580" s="1" t="s">
        <v>2396</v>
      </c>
      <c r="F1580" s="1" t="s">
        <v>4190</v>
      </c>
      <c r="G1580" s="1"/>
      <c r="H1580" s="2">
        <v>1</v>
      </c>
      <c r="I1580" s="2">
        <v>1</v>
      </c>
      <c r="J1580" s="2">
        <v>1</v>
      </c>
      <c r="K1580" s="2">
        <v>1</v>
      </c>
      <c r="L1580" s="3" t="s">
        <v>127</v>
      </c>
      <c r="O1580" s="4">
        <v>2</v>
      </c>
      <c r="P1580" s="4" t="s">
        <v>424</v>
      </c>
      <c r="Q1580" s="4"/>
      <c r="R1580" s="16">
        <v>40000000</v>
      </c>
      <c r="S1580" s="6">
        <v>40000000</v>
      </c>
      <c r="T1580" s="16">
        <v>35000000</v>
      </c>
      <c r="U1580" s="6">
        <v>35000000</v>
      </c>
      <c r="V1580" s="4">
        <v>2010.5</v>
      </c>
      <c r="W1580" s="4" t="s">
        <v>425</v>
      </c>
      <c r="X1580" s="4"/>
      <c r="Y1580" s="7">
        <v>2</v>
      </c>
      <c r="Z1580" s="8">
        <v>3536447</v>
      </c>
      <c r="AA1580" s="7" t="s">
        <v>92</v>
      </c>
      <c r="AB1580" s="7"/>
      <c r="AC1580" s="9">
        <v>2</v>
      </c>
      <c r="AD1580" s="10">
        <v>3304255</v>
      </c>
      <c r="AE1580" s="9" t="s">
        <v>92</v>
      </c>
      <c r="AF1580" s="9"/>
      <c r="AG1580" s="11">
        <v>3</v>
      </c>
      <c r="AH1580" s="11" t="s">
        <v>131</v>
      </c>
      <c r="AI1580" s="11" t="s">
        <v>6154</v>
      </c>
      <c r="AJ1580" s="11">
        <v>3</v>
      </c>
      <c r="AK1580" s="11" t="s">
        <v>143</v>
      </c>
      <c r="AL1580" s="12">
        <v>2</v>
      </c>
      <c r="AM1580" s="12" t="s">
        <v>131</v>
      </c>
      <c r="AN1580" s="12"/>
      <c r="AO1580" s="12">
        <v>2</v>
      </c>
      <c r="AP1580" s="12" t="s">
        <v>132</v>
      </c>
      <c r="AQ1580" s="4">
        <v>2</v>
      </c>
      <c r="AR1580" s="4" t="s">
        <v>133</v>
      </c>
      <c r="AS1580" s="4"/>
      <c r="AT1580" s="13">
        <v>12.2891626358032</v>
      </c>
      <c r="AU1580" s="13">
        <v>0.22759264707565299</v>
      </c>
      <c r="AV1580" s="13">
        <v>-0.25259900093078602</v>
      </c>
      <c r="AW1580" s="13">
        <v>0.78399997949600198</v>
      </c>
      <c r="AX1580" s="4"/>
      <c r="AY1580" s="13">
        <v>-3.7167313098907502</v>
      </c>
      <c r="AZ1580" s="13">
        <v>-0.37779855728149397</v>
      </c>
      <c r="BA1580" s="13">
        <v>-1.0299999713897701</v>
      </c>
      <c r="BB1580" s="13">
        <v>0.36899998784065202</v>
      </c>
      <c r="BC1580" s="4"/>
      <c r="BD1580" s="4">
        <v>10</v>
      </c>
      <c r="BE1580" s="4" t="s">
        <v>134</v>
      </c>
      <c r="BF1580" s="13">
        <v>1.03659904003143</v>
      </c>
      <c r="BG1580" s="4">
        <v>1082</v>
      </c>
      <c r="BH1580" s="13">
        <v>6.4650001525878897</v>
      </c>
      <c r="BI1580" s="13">
        <v>6997.71484375</v>
      </c>
      <c r="BJ1580" s="4"/>
      <c r="BK1580" s="14">
        <v>9</v>
      </c>
      <c r="BL1580" s="14">
        <v>8</v>
      </c>
      <c r="BM1580" s="14">
        <v>9</v>
      </c>
      <c r="BP1580" s="15" t="s">
        <v>135</v>
      </c>
      <c r="BQ1580" s="15"/>
      <c r="BR1580" s="2" t="s">
        <v>256</v>
      </c>
      <c r="BS1580" s="2" t="s">
        <v>256</v>
      </c>
      <c r="BT1580" s="7" t="s">
        <v>428</v>
      </c>
      <c r="BU1580" s="7" t="s">
        <v>438</v>
      </c>
      <c r="BV1580" s="9" t="s">
        <v>509</v>
      </c>
      <c r="BW1580" s="9"/>
    </row>
    <row r="1581" spans="1:75" ht="14.25" customHeight="1" x14ac:dyDescent="0.25">
      <c r="A1581" s="1">
        <v>1897</v>
      </c>
      <c r="B1581" s="1" t="s">
        <v>6155</v>
      </c>
      <c r="C1581" s="1" t="s">
        <v>6156</v>
      </c>
      <c r="D1581" s="1" t="s">
        <v>77</v>
      </c>
      <c r="E1581" s="1" t="s">
        <v>2396</v>
      </c>
      <c r="F1581" s="1" t="s">
        <v>4190</v>
      </c>
      <c r="G1581" s="1"/>
      <c r="H1581" s="2">
        <v>1</v>
      </c>
      <c r="I1581" s="2">
        <v>1</v>
      </c>
      <c r="J1581" s="2">
        <v>1</v>
      </c>
      <c r="K1581" s="2">
        <v>0</v>
      </c>
      <c r="L1581" s="3" t="s">
        <v>127</v>
      </c>
      <c r="O1581" s="4">
        <v>2</v>
      </c>
      <c r="P1581" s="4" t="s">
        <v>425</v>
      </c>
      <c r="Q1581" s="4"/>
      <c r="R1581" s="16">
        <v>29000000</v>
      </c>
      <c r="S1581" s="6">
        <v>29000000</v>
      </c>
      <c r="T1581" s="16">
        <v>29000000</v>
      </c>
      <c r="U1581" s="6">
        <v>29000000</v>
      </c>
      <c r="V1581" s="4">
        <v>2010.5</v>
      </c>
      <c r="W1581" s="4" t="s">
        <v>425</v>
      </c>
      <c r="X1581" s="4"/>
      <c r="Y1581" s="7">
        <v>2</v>
      </c>
      <c r="Z1581" s="8">
        <v>3152315</v>
      </c>
      <c r="AA1581" s="7" t="s">
        <v>92</v>
      </c>
      <c r="AB1581" s="7"/>
      <c r="AC1581" s="9">
        <v>2</v>
      </c>
      <c r="AD1581" s="10">
        <v>1821610</v>
      </c>
      <c r="AE1581" s="9" t="s">
        <v>92</v>
      </c>
      <c r="AF1581" s="9" t="s">
        <v>6157</v>
      </c>
      <c r="AG1581" s="11">
        <v>4</v>
      </c>
      <c r="AH1581" s="11" t="s">
        <v>131</v>
      </c>
      <c r="AI1581" s="11" t="s">
        <v>6158</v>
      </c>
      <c r="AJ1581" s="11">
        <v>4</v>
      </c>
      <c r="AK1581" s="11" t="s">
        <v>143</v>
      </c>
      <c r="AL1581" s="12">
        <v>2</v>
      </c>
      <c r="AM1581" s="12" t="s">
        <v>131</v>
      </c>
      <c r="AN1581" s="12" t="s">
        <v>6159</v>
      </c>
      <c r="AO1581" s="12">
        <v>2</v>
      </c>
      <c r="AP1581" s="12" t="s">
        <v>143</v>
      </c>
      <c r="AQ1581" s="4">
        <v>5</v>
      </c>
      <c r="AR1581" s="4" t="s">
        <v>133</v>
      </c>
      <c r="AS1581" s="4"/>
      <c r="AT1581" s="13">
        <v>-52.886157989502003</v>
      </c>
      <c r="AU1581" s="13">
        <v>-1.4650045633316</v>
      </c>
      <c r="AV1581" s="13">
        <v>-1.8999999761581401</v>
      </c>
      <c r="AW1581" s="13">
        <v>-1.06120097637177</v>
      </c>
      <c r="AX1581" s="4">
        <v>1</v>
      </c>
      <c r="AY1581" s="13">
        <v>-21.083524703979499</v>
      </c>
      <c r="AZ1581" s="13">
        <v>-2.3391633033752401</v>
      </c>
      <c r="BA1581" s="13">
        <v>-2.7000000476837198</v>
      </c>
      <c r="BB1581" s="13">
        <v>-2.05109691619873</v>
      </c>
      <c r="BC1581" s="4">
        <v>1</v>
      </c>
      <c r="BD1581" s="4">
        <v>10</v>
      </c>
      <c r="BE1581" s="4" t="s">
        <v>134</v>
      </c>
      <c r="BF1581" s="13">
        <v>0.83879899978637695</v>
      </c>
      <c r="BG1581" s="4">
        <v>2132</v>
      </c>
      <c r="BH1581" s="13">
        <v>6.7849998474121103</v>
      </c>
      <c r="BI1581" s="13">
        <v>14464.0751953125</v>
      </c>
      <c r="BJ1581" s="4">
        <v>29</v>
      </c>
      <c r="BK1581" s="14">
        <v>13</v>
      </c>
      <c r="BL1581" s="14">
        <v>11</v>
      </c>
      <c r="BM1581" s="14">
        <v>13</v>
      </c>
      <c r="BN1581" s="3" t="s">
        <v>375</v>
      </c>
      <c r="BP1581" s="15"/>
      <c r="BQ1581" s="15"/>
      <c r="BR1581" s="2" t="s">
        <v>239</v>
      </c>
      <c r="BS1581" s="2" t="s">
        <v>239</v>
      </c>
      <c r="BT1581" s="7" t="s">
        <v>241</v>
      </c>
      <c r="BU1581" s="7"/>
      <c r="BV1581" s="9" t="s">
        <v>241</v>
      </c>
      <c r="BW1581" s="9"/>
    </row>
    <row r="1582" spans="1:75" ht="14.25" customHeight="1" x14ac:dyDescent="0.25">
      <c r="A1582" s="1">
        <v>1898</v>
      </c>
      <c r="B1582" s="1" t="s">
        <v>6160</v>
      </c>
      <c r="C1582" s="1" t="s">
        <v>6161</v>
      </c>
      <c r="D1582" s="1" t="s">
        <v>77</v>
      </c>
      <c r="E1582" s="1" t="s">
        <v>2396</v>
      </c>
      <c r="F1582" s="1" t="s">
        <v>4190</v>
      </c>
      <c r="G1582" s="1"/>
      <c r="H1582" s="2">
        <v>0</v>
      </c>
      <c r="I1582" s="2">
        <v>0</v>
      </c>
      <c r="J1582" s="2">
        <v>1</v>
      </c>
      <c r="K1582" s="2">
        <v>0</v>
      </c>
      <c r="L1582" s="3" t="s">
        <v>80</v>
      </c>
      <c r="O1582" s="4">
        <v>4</v>
      </c>
      <c r="P1582" s="4" t="s">
        <v>112</v>
      </c>
      <c r="Q1582" s="4"/>
      <c r="R1582" s="5"/>
      <c r="S1582" s="6"/>
      <c r="T1582" s="17"/>
      <c r="U1582" s="6"/>
      <c r="V1582" s="4"/>
      <c r="W1582" s="4"/>
      <c r="X1582" s="4"/>
      <c r="Y1582" s="7">
        <v>4</v>
      </c>
      <c r="Z1582" s="8">
        <v>114410</v>
      </c>
      <c r="AA1582" s="7" t="s">
        <v>92</v>
      </c>
      <c r="AB1582" s="7"/>
      <c r="AC1582" s="9">
        <v>4</v>
      </c>
      <c r="AD1582" s="10">
        <v>114410</v>
      </c>
      <c r="AE1582" s="9" t="s">
        <v>92</v>
      </c>
      <c r="AF1582" s="9"/>
      <c r="AG1582" s="11">
        <v>3</v>
      </c>
      <c r="AH1582" s="11" t="s">
        <v>93</v>
      </c>
      <c r="AI1582" s="11"/>
      <c r="AJ1582" s="11"/>
      <c r="AK1582" s="11"/>
      <c r="AL1582" s="12">
        <v>3</v>
      </c>
      <c r="AM1582" s="12" t="s">
        <v>93</v>
      </c>
      <c r="AN1582" s="12" t="s">
        <v>698</v>
      </c>
      <c r="AO1582" s="12"/>
      <c r="AP1582" s="12"/>
      <c r="AQ1582" s="4">
        <v>3</v>
      </c>
      <c r="AR1582" s="4" t="s">
        <v>93</v>
      </c>
      <c r="AS1582" s="4"/>
      <c r="AT1582" s="13"/>
      <c r="AU1582" s="13"/>
      <c r="AV1582" s="13"/>
      <c r="AW1582" s="13"/>
      <c r="AX1582" s="4"/>
      <c r="AY1582" s="13"/>
      <c r="AZ1582" s="13"/>
      <c r="BA1582" s="13"/>
      <c r="BB1582" s="13"/>
      <c r="BC1582" s="4"/>
      <c r="BD1582" s="4"/>
      <c r="BE1582" s="4"/>
      <c r="BF1582" s="13"/>
      <c r="BG1582" s="4"/>
      <c r="BH1582" s="13"/>
      <c r="BI1582" s="13"/>
      <c r="BJ1582" s="4"/>
      <c r="BK1582" s="14">
        <v>14</v>
      </c>
      <c r="BL1582" s="14">
        <v>14</v>
      </c>
      <c r="BM1582" s="14">
        <v>14</v>
      </c>
      <c r="BN1582" s="3" t="s">
        <v>86</v>
      </c>
      <c r="BP1582" s="15"/>
      <c r="BQ1582" s="15"/>
      <c r="BR1582" s="2" t="s">
        <v>409</v>
      </c>
      <c r="BS1582" s="2" t="s">
        <v>409</v>
      </c>
      <c r="BT1582" s="7" t="s">
        <v>438</v>
      </c>
      <c r="BU1582" s="7" t="s">
        <v>437</v>
      </c>
      <c r="BV1582" s="9" t="s">
        <v>438</v>
      </c>
      <c r="BW1582" s="9" t="s">
        <v>437</v>
      </c>
    </row>
    <row r="1583" spans="1:75" ht="14.25" customHeight="1" x14ac:dyDescent="0.25">
      <c r="A1583" s="1">
        <v>1954</v>
      </c>
      <c r="B1583" s="1" t="s">
        <v>6162</v>
      </c>
      <c r="C1583" s="1" t="s">
        <v>6163</v>
      </c>
      <c r="D1583" s="1" t="s">
        <v>77</v>
      </c>
      <c r="E1583" s="1" t="s">
        <v>2396</v>
      </c>
      <c r="F1583" s="1" t="s">
        <v>4440</v>
      </c>
      <c r="G1583" s="1"/>
      <c r="H1583" s="2">
        <v>0</v>
      </c>
      <c r="I1583" s="2">
        <v>1</v>
      </c>
      <c r="J1583" s="2">
        <v>1</v>
      </c>
      <c r="K1583" s="2">
        <v>0</v>
      </c>
      <c r="L1583" s="3" t="s">
        <v>80</v>
      </c>
      <c r="O1583" s="4">
        <v>3</v>
      </c>
      <c r="P1583" s="4" t="s">
        <v>470</v>
      </c>
      <c r="Q1583" s="4"/>
      <c r="R1583" s="16">
        <v>3500000</v>
      </c>
      <c r="S1583" s="6">
        <v>3500000</v>
      </c>
      <c r="T1583" s="17" t="s">
        <v>6164</v>
      </c>
      <c r="U1583" s="6">
        <v>170000</v>
      </c>
      <c r="V1583" s="4">
        <v>2010.5</v>
      </c>
      <c r="W1583" s="4" t="s">
        <v>425</v>
      </c>
      <c r="X1583" s="4"/>
      <c r="Y1583" s="7">
        <v>4</v>
      </c>
      <c r="Z1583" s="8">
        <v>266193</v>
      </c>
      <c r="AA1583" s="7" t="s">
        <v>92</v>
      </c>
      <c r="AB1583" s="7"/>
      <c r="AC1583" s="9">
        <v>4</v>
      </c>
      <c r="AD1583" s="10">
        <v>266193</v>
      </c>
      <c r="AE1583" s="9" t="s">
        <v>92</v>
      </c>
      <c r="AF1583" s="9"/>
      <c r="AG1583" s="11">
        <v>3</v>
      </c>
      <c r="AH1583" s="11" t="s">
        <v>471</v>
      </c>
      <c r="AI1583" s="11" t="s">
        <v>6165</v>
      </c>
      <c r="AJ1583" s="11">
        <v>3</v>
      </c>
      <c r="AK1583" s="11" t="s">
        <v>143</v>
      </c>
      <c r="AL1583" s="12">
        <v>4</v>
      </c>
      <c r="AM1583" s="12" t="s">
        <v>471</v>
      </c>
      <c r="AN1583" s="12" t="s">
        <v>6166</v>
      </c>
      <c r="AO1583" s="12">
        <v>4</v>
      </c>
      <c r="AP1583" s="12" t="s">
        <v>143</v>
      </c>
      <c r="AQ1583" s="4">
        <v>3</v>
      </c>
      <c r="AR1583" s="4" t="s">
        <v>673</v>
      </c>
      <c r="AS1583" s="4"/>
      <c r="AT1583" s="13"/>
      <c r="AU1583" s="13"/>
      <c r="AV1583" s="13"/>
      <c r="AW1583" s="13"/>
      <c r="AX1583" s="4"/>
      <c r="AY1583" s="13"/>
      <c r="AZ1583" s="13"/>
      <c r="BA1583" s="13"/>
      <c r="BB1583" s="13"/>
      <c r="BC1583" s="4"/>
      <c r="BD1583" s="4"/>
      <c r="BE1583" s="4"/>
      <c r="BF1583" s="13"/>
      <c r="BG1583" s="4"/>
      <c r="BH1583" s="13"/>
      <c r="BI1583" s="13"/>
      <c r="BJ1583" s="4"/>
      <c r="BK1583" s="14">
        <v>13</v>
      </c>
      <c r="BL1583" s="14">
        <v>14</v>
      </c>
      <c r="BM1583" s="14">
        <v>14</v>
      </c>
      <c r="BN1583" s="3" t="s">
        <v>86</v>
      </c>
      <c r="BP1583" s="15"/>
      <c r="BQ1583" s="15"/>
      <c r="BR1583" s="2" t="s">
        <v>115</v>
      </c>
      <c r="BS1583" s="2" t="s">
        <v>115</v>
      </c>
      <c r="BT1583" s="7" t="s">
        <v>109</v>
      </c>
      <c r="BU1583" s="7" t="s">
        <v>438</v>
      </c>
      <c r="BV1583" s="9" t="s">
        <v>109</v>
      </c>
      <c r="BW1583" s="9" t="s">
        <v>438</v>
      </c>
    </row>
    <row r="1584" spans="1:75" ht="14.25" customHeight="1" x14ac:dyDescent="0.25">
      <c r="A1584" s="1">
        <v>1955</v>
      </c>
      <c r="B1584" s="1" t="s">
        <v>6167</v>
      </c>
      <c r="C1584" s="1" t="s">
        <v>6168</v>
      </c>
      <c r="D1584" s="1" t="s">
        <v>77</v>
      </c>
      <c r="E1584" s="1" t="s">
        <v>2396</v>
      </c>
      <c r="F1584" s="1" t="s">
        <v>4440</v>
      </c>
      <c r="G1584" s="1" t="s">
        <v>118</v>
      </c>
      <c r="H1584" s="2">
        <v>1</v>
      </c>
      <c r="I1584" s="2">
        <v>1</v>
      </c>
      <c r="J1584" s="2">
        <v>1</v>
      </c>
      <c r="K1584" s="2">
        <v>1</v>
      </c>
      <c r="L1584" s="3" t="s">
        <v>127</v>
      </c>
      <c r="O1584" s="4">
        <v>2</v>
      </c>
      <c r="P1584" s="4" t="s">
        <v>425</v>
      </c>
      <c r="Q1584" s="4"/>
      <c r="R1584" s="16">
        <v>12000000</v>
      </c>
      <c r="S1584" s="6">
        <v>12000000</v>
      </c>
      <c r="T1584" s="16">
        <v>12000000</v>
      </c>
      <c r="U1584" s="6">
        <v>12000000</v>
      </c>
      <c r="V1584" s="4">
        <v>2010.5</v>
      </c>
      <c r="W1584" s="4" t="s">
        <v>425</v>
      </c>
      <c r="X1584" s="4"/>
      <c r="Y1584" s="7">
        <v>1</v>
      </c>
      <c r="Z1584" s="8">
        <v>4701864</v>
      </c>
      <c r="AA1584" s="7" t="s">
        <v>92</v>
      </c>
      <c r="AB1584" s="7"/>
      <c r="AC1584" s="9">
        <v>2</v>
      </c>
      <c r="AD1584" s="10">
        <v>2202185</v>
      </c>
      <c r="AE1584" s="9" t="s">
        <v>92</v>
      </c>
      <c r="AF1584" s="9"/>
      <c r="AG1584" s="11">
        <v>2</v>
      </c>
      <c r="AH1584" s="11" t="s">
        <v>131</v>
      </c>
      <c r="AI1584" s="11" t="s">
        <v>6169</v>
      </c>
      <c r="AJ1584" s="11">
        <v>2</v>
      </c>
      <c r="AK1584" s="11" t="s">
        <v>143</v>
      </c>
      <c r="AL1584" s="12">
        <v>3</v>
      </c>
      <c r="AM1584" s="12" t="s">
        <v>131</v>
      </c>
      <c r="AN1584" s="12" t="s">
        <v>6170</v>
      </c>
      <c r="AO1584" s="12">
        <v>4</v>
      </c>
      <c r="AP1584" s="12" t="s">
        <v>143</v>
      </c>
      <c r="AQ1584" s="4">
        <v>4</v>
      </c>
      <c r="AR1584" s="4" t="s">
        <v>133</v>
      </c>
      <c r="AS1584" s="4"/>
      <c r="AT1584" s="13">
        <v>-42.406261444091797</v>
      </c>
      <c r="AU1584" s="13">
        <v>-1.0757853984832799</v>
      </c>
      <c r="AV1584" s="13">
        <v>-1.3054009675979601</v>
      </c>
      <c r="AW1584" s="13">
        <v>-0.77999997138977095</v>
      </c>
      <c r="AX1584" s="4">
        <v>1</v>
      </c>
      <c r="AY1584" s="13">
        <v>-4.4378366470336896</v>
      </c>
      <c r="AZ1584" s="13">
        <v>-0.45288565754890397</v>
      </c>
      <c r="BA1584" s="13">
        <v>-0.90510201454162598</v>
      </c>
      <c r="BB1584" s="13">
        <v>0.210999995470047</v>
      </c>
      <c r="BC1584" s="4"/>
      <c r="BD1584" s="4">
        <v>10</v>
      </c>
      <c r="BE1584" s="4" t="s">
        <v>134</v>
      </c>
      <c r="BF1584" s="13">
        <v>0.52540099620819103</v>
      </c>
      <c r="BG1584" s="4">
        <v>2348</v>
      </c>
      <c r="BH1584" s="13">
        <v>2.7300000190734899</v>
      </c>
      <c r="BI1584" s="13">
        <v>6409.39990234375</v>
      </c>
      <c r="BJ1584" s="4"/>
      <c r="BK1584" s="14">
        <v>9</v>
      </c>
      <c r="BL1584" s="14">
        <v>11</v>
      </c>
      <c r="BM1584" s="14">
        <v>11</v>
      </c>
      <c r="BP1584" s="15" t="s">
        <v>135</v>
      </c>
      <c r="BQ1584" s="15"/>
      <c r="BR1584" s="2" t="s">
        <v>239</v>
      </c>
      <c r="BS1584" s="2" t="s">
        <v>97</v>
      </c>
      <c r="BT1584" s="7" t="s">
        <v>241</v>
      </c>
      <c r="BU1584" s="7"/>
      <c r="BV1584" s="9" t="s">
        <v>797</v>
      </c>
      <c r="BW1584" s="9"/>
    </row>
    <row r="1585" spans="1:75" ht="14.25" customHeight="1" x14ac:dyDescent="0.25">
      <c r="A1585" s="1">
        <v>1956</v>
      </c>
      <c r="B1585" s="1" t="s">
        <v>6171</v>
      </c>
      <c r="C1585" s="1" t="s">
        <v>6172</v>
      </c>
      <c r="D1585" s="1" t="s">
        <v>77</v>
      </c>
      <c r="E1585" s="1" t="s">
        <v>2396</v>
      </c>
      <c r="F1585" s="1" t="s">
        <v>4440</v>
      </c>
      <c r="G1585" s="1" t="s">
        <v>118</v>
      </c>
      <c r="H1585" s="2">
        <v>0</v>
      </c>
      <c r="I1585" s="2">
        <v>0</v>
      </c>
      <c r="J1585" s="2">
        <v>1</v>
      </c>
      <c r="K1585" s="2">
        <v>0</v>
      </c>
      <c r="L1585" s="3" t="s">
        <v>80</v>
      </c>
      <c r="O1585" s="4">
        <v>4</v>
      </c>
      <c r="P1585" s="4" t="s">
        <v>112</v>
      </c>
      <c r="Q1585" s="4"/>
      <c r="R1585" s="5"/>
      <c r="S1585" s="6"/>
      <c r="T1585" s="17"/>
      <c r="U1585" s="6"/>
      <c r="V1585" s="4"/>
      <c r="W1585" s="4"/>
      <c r="X1585" s="4"/>
      <c r="Y1585" s="7">
        <v>3</v>
      </c>
      <c r="Z1585" s="8">
        <v>341182</v>
      </c>
      <c r="AA1585" s="7" t="s">
        <v>92</v>
      </c>
      <c r="AB1585" s="7"/>
      <c r="AC1585" s="9">
        <v>4</v>
      </c>
      <c r="AD1585" s="10">
        <v>169439</v>
      </c>
      <c r="AE1585" s="9" t="s">
        <v>92</v>
      </c>
      <c r="AF1585" s="9"/>
      <c r="AG1585" s="11">
        <v>3</v>
      </c>
      <c r="AH1585" s="11" t="s">
        <v>93</v>
      </c>
      <c r="AI1585" s="11"/>
      <c r="AJ1585" s="11"/>
      <c r="AK1585" s="11"/>
      <c r="AL1585" s="12">
        <v>3</v>
      </c>
      <c r="AM1585" s="12" t="s">
        <v>93</v>
      </c>
      <c r="AN1585" s="12" t="s">
        <v>6173</v>
      </c>
      <c r="AO1585" s="12"/>
      <c r="AP1585" s="12"/>
      <c r="AQ1585" s="4">
        <v>3</v>
      </c>
      <c r="AR1585" s="4" t="s">
        <v>93</v>
      </c>
      <c r="AS1585" s="4"/>
      <c r="AT1585" s="13"/>
      <c r="AU1585" s="13"/>
      <c r="AV1585" s="13"/>
      <c r="AW1585" s="13"/>
      <c r="AX1585" s="4"/>
      <c r="AY1585" s="13"/>
      <c r="AZ1585" s="13"/>
      <c r="BA1585" s="13"/>
      <c r="BB1585" s="13"/>
      <c r="BC1585" s="4"/>
      <c r="BD1585" s="4"/>
      <c r="BE1585" s="4"/>
      <c r="BF1585" s="13"/>
      <c r="BG1585" s="4"/>
      <c r="BH1585" s="13"/>
      <c r="BI1585" s="13"/>
      <c r="BJ1585" s="4"/>
      <c r="BK1585" s="14">
        <v>13</v>
      </c>
      <c r="BL1585" s="14">
        <v>14</v>
      </c>
      <c r="BM1585" s="14">
        <v>14</v>
      </c>
      <c r="BN1585" s="3" t="s">
        <v>86</v>
      </c>
      <c r="BP1585" s="15"/>
      <c r="BQ1585" s="15"/>
      <c r="BR1585" s="2" t="s">
        <v>409</v>
      </c>
      <c r="BS1585" s="2" t="s">
        <v>409</v>
      </c>
      <c r="BT1585" s="7" t="s">
        <v>437</v>
      </c>
      <c r="BU1585" s="7"/>
      <c r="BV1585" s="9" t="s">
        <v>437</v>
      </c>
      <c r="BW1585" s="9"/>
    </row>
    <row r="1586" spans="1:75" ht="14.25" customHeight="1" x14ac:dyDescent="0.25">
      <c r="A1586" s="1">
        <v>1957</v>
      </c>
      <c r="B1586" s="1" t="s">
        <v>6174</v>
      </c>
      <c r="C1586" s="1" t="s">
        <v>6175</v>
      </c>
      <c r="D1586" s="1" t="s">
        <v>77</v>
      </c>
      <c r="E1586" s="1" t="s">
        <v>2396</v>
      </c>
      <c r="F1586" s="1" t="s">
        <v>4440</v>
      </c>
      <c r="G1586" s="1" t="s">
        <v>118</v>
      </c>
      <c r="H1586" s="2">
        <v>0</v>
      </c>
      <c r="I1586" s="2">
        <v>1</v>
      </c>
      <c r="J1586" s="2">
        <v>1</v>
      </c>
      <c r="K1586" s="2">
        <v>0</v>
      </c>
      <c r="L1586" s="3" t="s">
        <v>127</v>
      </c>
      <c r="O1586" s="4">
        <v>3</v>
      </c>
      <c r="P1586" s="4" t="s">
        <v>470</v>
      </c>
      <c r="Q1586" s="4"/>
      <c r="R1586" s="16">
        <v>4900000</v>
      </c>
      <c r="S1586" s="6">
        <v>4900000</v>
      </c>
      <c r="T1586" s="16">
        <v>1700000</v>
      </c>
      <c r="U1586" s="6">
        <v>1700000</v>
      </c>
      <c r="V1586" s="4">
        <v>2010.5</v>
      </c>
      <c r="W1586" s="4" t="s">
        <v>425</v>
      </c>
      <c r="X1586" s="4"/>
      <c r="Y1586" s="7">
        <v>2</v>
      </c>
      <c r="Z1586" s="8">
        <v>1743568</v>
      </c>
      <c r="AA1586" s="7" t="s">
        <v>92</v>
      </c>
      <c r="AB1586" s="7"/>
      <c r="AC1586" s="9">
        <v>3</v>
      </c>
      <c r="AD1586" s="10">
        <v>660664</v>
      </c>
      <c r="AE1586" s="9" t="s">
        <v>92</v>
      </c>
      <c r="AF1586" s="9"/>
      <c r="AG1586" s="11">
        <v>3</v>
      </c>
      <c r="AH1586" s="11" t="s">
        <v>131</v>
      </c>
      <c r="AI1586" s="11" t="s">
        <v>6176</v>
      </c>
      <c r="AJ1586" s="11">
        <v>2</v>
      </c>
      <c r="AK1586" s="11" t="s">
        <v>132</v>
      </c>
      <c r="AL1586" s="12">
        <v>3</v>
      </c>
      <c r="AM1586" s="12" t="s">
        <v>131</v>
      </c>
      <c r="AN1586" s="12" t="s">
        <v>6177</v>
      </c>
      <c r="AO1586" s="12">
        <v>3</v>
      </c>
      <c r="AP1586" s="12" t="s">
        <v>143</v>
      </c>
      <c r="AQ1586" s="4">
        <v>3</v>
      </c>
      <c r="AR1586" s="4" t="s">
        <v>133</v>
      </c>
      <c r="AS1586" s="4"/>
      <c r="AT1586" s="13">
        <v>-31.027976989746101</v>
      </c>
      <c r="AU1586" s="13">
        <v>-0.72556084394455</v>
      </c>
      <c r="AV1586" s="13">
        <v>-1.33820199966431</v>
      </c>
      <c r="AW1586" s="13">
        <v>0.104000002145767</v>
      </c>
      <c r="AX1586" s="4"/>
      <c r="AY1586" s="13">
        <v>-14.269600868225099</v>
      </c>
      <c r="AZ1586" s="13">
        <v>-1.5303152799606301</v>
      </c>
      <c r="BA1586" s="13">
        <v>-2.8399999141693102</v>
      </c>
      <c r="BB1586" s="13">
        <v>-0.22720099985599501</v>
      </c>
      <c r="BC1586" s="4">
        <v>1</v>
      </c>
      <c r="BD1586" s="4">
        <v>10</v>
      </c>
      <c r="BE1586" s="4" t="s">
        <v>134</v>
      </c>
      <c r="BF1586" s="13">
        <v>1.4422019720077499</v>
      </c>
      <c r="BG1586" s="4">
        <v>236</v>
      </c>
      <c r="BH1586" s="13">
        <v>1.5950000286102299</v>
      </c>
      <c r="BI1586" s="13">
        <v>376.42001342773398</v>
      </c>
      <c r="BJ1586" s="4"/>
      <c r="BK1586" s="14">
        <v>11</v>
      </c>
      <c r="BL1586" s="14">
        <v>12</v>
      </c>
      <c r="BM1586" s="14">
        <v>12</v>
      </c>
      <c r="BP1586" s="15"/>
      <c r="BQ1586" s="15"/>
      <c r="BR1586" s="2" t="s">
        <v>409</v>
      </c>
      <c r="BS1586" s="2" t="s">
        <v>409</v>
      </c>
      <c r="BT1586" s="7" t="s">
        <v>438</v>
      </c>
      <c r="BU1586" s="7" t="s">
        <v>475</v>
      </c>
      <c r="BV1586" s="9" t="s">
        <v>438</v>
      </c>
      <c r="BW1586" s="9" t="s">
        <v>109</v>
      </c>
    </row>
    <row r="1587" spans="1:75" ht="14.25" customHeight="1" x14ac:dyDescent="0.25">
      <c r="A1587" s="1">
        <v>1959</v>
      </c>
      <c r="B1587" s="1" t="s">
        <v>6178</v>
      </c>
      <c r="C1587" s="1" t="s">
        <v>6179</v>
      </c>
      <c r="D1587" s="1" t="s">
        <v>77</v>
      </c>
      <c r="E1587" s="1" t="s">
        <v>2396</v>
      </c>
      <c r="F1587" s="1" t="s">
        <v>4440</v>
      </c>
      <c r="G1587" s="1"/>
      <c r="H1587" s="2">
        <v>1</v>
      </c>
      <c r="I1587" s="2">
        <v>1</v>
      </c>
      <c r="J1587" s="2">
        <v>1</v>
      </c>
      <c r="K1587" s="2">
        <v>1</v>
      </c>
      <c r="L1587" s="3" t="s">
        <v>127</v>
      </c>
      <c r="O1587" s="4">
        <v>1</v>
      </c>
      <c r="P1587" s="4" t="s">
        <v>1840</v>
      </c>
      <c r="Q1587" s="4"/>
      <c r="R1587" s="16">
        <v>180000000</v>
      </c>
      <c r="S1587" s="6">
        <v>180000000</v>
      </c>
      <c r="T1587" s="16">
        <v>170000000</v>
      </c>
      <c r="U1587" s="6">
        <v>170000000</v>
      </c>
      <c r="V1587" s="4">
        <v>2010.5</v>
      </c>
      <c r="W1587" s="4" t="s">
        <v>579</v>
      </c>
      <c r="X1587" s="4"/>
      <c r="Y1587" s="7">
        <v>1</v>
      </c>
      <c r="Z1587" s="8">
        <v>13613892</v>
      </c>
      <c r="AA1587" s="7" t="s">
        <v>92</v>
      </c>
      <c r="AB1587" s="7"/>
      <c r="AC1587" s="9">
        <v>1</v>
      </c>
      <c r="AD1587" s="10">
        <v>8692934</v>
      </c>
      <c r="AE1587" s="9" t="s">
        <v>92</v>
      </c>
      <c r="AF1587" s="9"/>
      <c r="AG1587" s="11">
        <v>2</v>
      </c>
      <c r="AH1587" s="11" t="s">
        <v>131</v>
      </c>
      <c r="AI1587" s="11" t="s">
        <v>6180</v>
      </c>
      <c r="AJ1587" s="11">
        <v>2</v>
      </c>
      <c r="AK1587" s="11" t="s">
        <v>132</v>
      </c>
      <c r="AL1587" s="12">
        <v>2</v>
      </c>
      <c r="AM1587" s="12" t="s">
        <v>131</v>
      </c>
      <c r="AN1587" s="12"/>
      <c r="AO1587" s="12">
        <v>2</v>
      </c>
      <c r="AP1587" s="12" t="s">
        <v>143</v>
      </c>
      <c r="AQ1587" s="4">
        <v>4</v>
      </c>
      <c r="AR1587" s="4" t="s">
        <v>133</v>
      </c>
      <c r="AS1587" s="4"/>
      <c r="AT1587" s="13">
        <v>-33.357433319091797</v>
      </c>
      <c r="AU1587" s="13">
        <v>-0.793437600135803</v>
      </c>
      <c r="AV1587" s="13">
        <v>-0.93190097808837902</v>
      </c>
      <c r="AW1587" s="13">
        <v>-0.62900000810623202</v>
      </c>
      <c r="AX1587" s="4">
        <v>1</v>
      </c>
      <c r="AY1587" s="13">
        <v>-2.26890969276428</v>
      </c>
      <c r="AZ1587" s="13">
        <v>-0.176570475101471</v>
      </c>
      <c r="BA1587" s="13">
        <v>-0.38199999928474399</v>
      </c>
      <c r="BB1587" s="13">
        <v>9.4400003552436801E-2</v>
      </c>
      <c r="BC1587" s="4"/>
      <c r="BD1587" s="4">
        <v>13</v>
      </c>
      <c r="BE1587" s="4" t="s">
        <v>134</v>
      </c>
      <c r="BF1587" s="13">
        <v>0.30290099978446999</v>
      </c>
      <c r="BG1587" s="4">
        <v>4638</v>
      </c>
      <c r="BH1587" s="13">
        <v>49.935001373291001</v>
      </c>
      <c r="BI1587" s="13">
        <v>231462.1875</v>
      </c>
      <c r="BJ1587" s="4"/>
      <c r="BK1587" s="14">
        <v>8</v>
      </c>
      <c r="BL1587" s="14">
        <v>8</v>
      </c>
      <c r="BM1587" s="14">
        <v>8</v>
      </c>
      <c r="BP1587" s="15" t="s">
        <v>135</v>
      </c>
      <c r="BQ1587" s="15" t="s">
        <v>146</v>
      </c>
      <c r="BR1587" s="2" t="s">
        <v>172</v>
      </c>
      <c r="BS1587" s="2" t="s">
        <v>172</v>
      </c>
      <c r="BT1587" s="7" t="s">
        <v>458</v>
      </c>
      <c r="BU1587" s="7" t="s">
        <v>147</v>
      </c>
      <c r="BV1587" s="9" t="s">
        <v>458</v>
      </c>
      <c r="BW1587" s="9" t="s">
        <v>147</v>
      </c>
    </row>
    <row r="1588" spans="1:75" ht="14.25" customHeight="1" x14ac:dyDescent="0.25">
      <c r="A1588" s="1">
        <v>2017</v>
      </c>
      <c r="B1588" s="1" t="s">
        <v>6181</v>
      </c>
      <c r="C1588" s="1" t="s">
        <v>6182</v>
      </c>
      <c r="D1588" s="1" t="s">
        <v>77</v>
      </c>
      <c r="E1588" s="1" t="s">
        <v>2396</v>
      </c>
      <c r="F1588" s="1" t="s">
        <v>4591</v>
      </c>
      <c r="G1588" s="1" t="s">
        <v>118</v>
      </c>
      <c r="H1588" s="2">
        <v>1</v>
      </c>
      <c r="I1588" s="2">
        <v>1</v>
      </c>
      <c r="J1588" s="2">
        <v>0</v>
      </c>
      <c r="K1588" s="2">
        <v>0</v>
      </c>
      <c r="L1588" s="3" t="s">
        <v>127</v>
      </c>
      <c r="O1588" s="4">
        <v>5</v>
      </c>
      <c r="P1588" s="4" t="s">
        <v>6183</v>
      </c>
      <c r="Q1588" s="4" t="s">
        <v>6184</v>
      </c>
      <c r="R1588" s="16">
        <v>4800</v>
      </c>
      <c r="S1588" s="6">
        <v>4800</v>
      </c>
      <c r="T1588" s="16">
        <v>4800</v>
      </c>
      <c r="U1588" s="6">
        <v>4800</v>
      </c>
      <c r="V1588" s="4"/>
      <c r="W1588" s="4" t="s">
        <v>6183</v>
      </c>
      <c r="X1588" s="4"/>
      <c r="Y1588" s="7">
        <v>5</v>
      </c>
      <c r="Z1588" s="8">
        <v>10719</v>
      </c>
      <c r="AA1588" s="7" t="s">
        <v>92</v>
      </c>
      <c r="AB1588" s="7"/>
      <c r="AC1588" s="9">
        <v>5</v>
      </c>
      <c r="AD1588" s="10">
        <v>13438</v>
      </c>
      <c r="AE1588" s="9" t="s">
        <v>92</v>
      </c>
      <c r="AF1588" s="9"/>
      <c r="AG1588" s="11">
        <v>4</v>
      </c>
      <c r="AH1588" s="11" t="s">
        <v>1089</v>
      </c>
      <c r="AI1588" s="11" t="s">
        <v>6185</v>
      </c>
      <c r="AJ1588" s="11"/>
      <c r="AK1588" s="11"/>
      <c r="AL1588" s="12">
        <v>5</v>
      </c>
      <c r="AM1588" s="12" t="s">
        <v>271</v>
      </c>
      <c r="AN1588" s="12" t="s">
        <v>6186</v>
      </c>
      <c r="AO1588" s="12"/>
      <c r="AP1588" s="12"/>
      <c r="AQ1588" s="4">
        <v>1</v>
      </c>
      <c r="AR1588" s="4" t="s">
        <v>6187</v>
      </c>
      <c r="AS1588" s="4"/>
      <c r="AT1588" s="13"/>
      <c r="AU1588" s="13"/>
      <c r="AV1588" s="13"/>
      <c r="AW1588" s="13"/>
      <c r="AX1588" s="4"/>
      <c r="AY1588" s="13"/>
      <c r="AZ1588" s="13"/>
      <c r="BA1588" s="13"/>
      <c r="BB1588" s="13"/>
      <c r="BC1588" s="4"/>
      <c r="BD1588" s="4"/>
      <c r="BE1588" s="4"/>
      <c r="BF1588" s="13"/>
      <c r="BG1588" s="4"/>
      <c r="BH1588" s="13"/>
      <c r="BI1588" s="13"/>
      <c r="BJ1588" s="4"/>
      <c r="BK1588" s="14">
        <v>15</v>
      </c>
      <c r="BL1588" s="14">
        <v>16</v>
      </c>
      <c r="BM1588" s="14">
        <v>16</v>
      </c>
      <c r="BN1588" s="3" t="s">
        <v>375</v>
      </c>
      <c r="BO1588" s="3" t="s">
        <v>120</v>
      </c>
      <c r="BP1588" s="15"/>
      <c r="BQ1588" s="15"/>
      <c r="BR1588" s="2" t="s">
        <v>211</v>
      </c>
      <c r="BS1588" s="2" t="s">
        <v>791</v>
      </c>
      <c r="BT1588" s="7" t="s">
        <v>241</v>
      </c>
      <c r="BU1588" s="7"/>
      <c r="BV1588" s="9" t="s">
        <v>109</v>
      </c>
      <c r="BW1588" s="9"/>
    </row>
    <row r="1589" spans="1:75" ht="14.25" customHeight="1" x14ac:dyDescent="0.25">
      <c r="A1589" s="1">
        <v>2018</v>
      </c>
      <c r="B1589" s="1" t="s">
        <v>6188</v>
      </c>
      <c r="C1589" s="1" t="s">
        <v>6189</v>
      </c>
      <c r="D1589" s="1" t="s">
        <v>77</v>
      </c>
      <c r="E1589" s="1" t="s">
        <v>2396</v>
      </c>
      <c r="F1589" s="1" t="s">
        <v>4591</v>
      </c>
      <c r="G1589" s="1" t="s">
        <v>118</v>
      </c>
      <c r="H1589" s="2">
        <v>1</v>
      </c>
      <c r="I1589" s="2">
        <v>1</v>
      </c>
      <c r="J1589" s="2">
        <v>1</v>
      </c>
      <c r="K1589" s="2">
        <v>1</v>
      </c>
      <c r="L1589" s="3" t="s">
        <v>127</v>
      </c>
      <c r="O1589" s="4">
        <v>2</v>
      </c>
      <c r="P1589" s="4" t="s">
        <v>579</v>
      </c>
      <c r="Q1589" s="4"/>
      <c r="R1589" s="16">
        <v>7000000</v>
      </c>
      <c r="S1589" s="6">
        <v>7000000</v>
      </c>
      <c r="T1589" s="16">
        <v>7000000</v>
      </c>
      <c r="U1589" s="6">
        <v>7000000</v>
      </c>
      <c r="V1589" s="4">
        <v>2010.5</v>
      </c>
      <c r="W1589" s="4" t="s">
        <v>579</v>
      </c>
      <c r="X1589" s="4"/>
      <c r="Y1589" s="7">
        <v>2</v>
      </c>
      <c r="Z1589" s="8">
        <v>2563513</v>
      </c>
      <c r="AA1589" s="7" t="s">
        <v>92</v>
      </c>
      <c r="AB1589" s="7"/>
      <c r="AC1589" s="9">
        <v>3</v>
      </c>
      <c r="AD1589" s="10">
        <v>610359</v>
      </c>
      <c r="AE1589" s="9" t="s">
        <v>92</v>
      </c>
      <c r="AF1589" s="9"/>
      <c r="AG1589" s="11">
        <v>4</v>
      </c>
      <c r="AH1589" s="11" t="s">
        <v>518</v>
      </c>
      <c r="AI1589" s="11" t="s">
        <v>6190</v>
      </c>
      <c r="AJ1589" s="11">
        <v>5</v>
      </c>
      <c r="AK1589" s="11" t="s">
        <v>143</v>
      </c>
      <c r="AL1589" s="12">
        <v>4</v>
      </c>
      <c r="AM1589" s="12" t="s">
        <v>131</v>
      </c>
      <c r="AN1589" s="12" t="s">
        <v>6191</v>
      </c>
      <c r="AO1589" s="12">
        <v>5</v>
      </c>
      <c r="AP1589" s="12" t="s">
        <v>132</v>
      </c>
      <c r="AQ1589" s="4">
        <v>2</v>
      </c>
      <c r="AR1589" s="4" t="s">
        <v>133</v>
      </c>
      <c r="AS1589" s="4"/>
      <c r="AT1589" s="13">
        <v>14.8388061523438</v>
      </c>
      <c r="AU1589" s="13">
        <v>0.272338837385178</v>
      </c>
      <c r="AV1589" s="13">
        <v>-1.5941020250320399</v>
      </c>
      <c r="AW1589" s="13">
        <v>2.6600000858306898</v>
      </c>
      <c r="AX1589" s="4"/>
      <c r="AY1589" s="13">
        <v>89.235626220703097</v>
      </c>
      <c r="AZ1589" s="13">
        <v>6.5858831405639604</v>
      </c>
      <c r="BA1589" s="13">
        <v>0.83600002527236905</v>
      </c>
      <c r="BB1589" s="13">
        <v>13.713097572326699</v>
      </c>
      <c r="BC1589" s="4">
        <v>1</v>
      </c>
      <c r="BD1589" s="4">
        <v>10</v>
      </c>
      <c r="BE1589" s="4" t="s">
        <v>134</v>
      </c>
      <c r="BF1589" s="13">
        <v>4.2541022300720197</v>
      </c>
      <c r="BG1589" s="4">
        <v>558.5</v>
      </c>
      <c r="BH1589" s="13">
        <v>0.92799997329711903</v>
      </c>
      <c r="BI1589" s="13">
        <v>517.37097167968795</v>
      </c>
      <c r="BJ1589" s="4"/>
      <c r="BK1589" s="14">
        <v>10</v>
      </c>
      <c r="BL1589" s="14">
        <v>11</v>
      </c>
      <c r="BM1589" s="14">
        <v>11</v>
      </c>
      <c r="BP1589" s="15"/>
      <c r="BQ1589" s="15"/>
      <c r="BR1589" s="2" t="s">
        <v>211</v>
      </c>
      <c r="BS1589" s="2" t="s">
        <v>791</v>
      </c>
      <c r="BT1589" s="7" t="s">
        <v>527</v>
      </c>
      <c r="BU1589" s="7"/>
      <c r="BV1589" s="9" t="s">
        <v>760</v>
      </c>
      <c r="BW1589" s="9"/>
    </row>
    <row r="1590" spans="1:75" ht="14.25" customHeight="1" x14ac:dyDescent="0.25">
      <c r="A1590" s="1">
        <v>2019</v>
      </c>
      <c r="B1590" s="1" t="s">
        <v>6192</v>
      </c>
      <c r="C1590" s="1" t="s">
        <v>6193</v>
      </c>
      <c r="D1590" s="1" t="s">
        <v>77</v>
      </c>
      <c r="E1590" s="1" t="s">
        <v>2396</v>
      </c>
      <c r="F1590" s="1" t="s">
        <v>4591</v>
      </c>
      <c r="G1590" s="1" t="s">
        <v>118</v>
      </c>
      <c r="H1590" s="2">
        <v>1</v>
      </c>
      <c r="I1590" s="2">
        <v>1</v>
      </c>
      <c r="J1590" s="2">
        <v>1</v>
      </c>
      <c r="K1590" s="2">
        <v>1</v>
      </c>
      <c r="L1590" s="3" t="s">
        <v>127</v>
      </c>
      <c r="O1590" s="4">
        <v>3</v>
      </c>
      <c r="P1590" s="4" t="s">
        <v>425</v>
      </c>
      <c r="Q1590" s="4"/>
      <c r="R1590" s="16">
        <v>530000</v>
      </c>
      <c r="S1590" s="6">
        <v>530000</v>
      </c>
      <c r="T1590" s="16">
        <v>530000</v>
      </c>
      <c r="U1590" s="6">
        <v>530000</v>
      </c>
      <c r="V1590" s="4">
        <v>2010.5</v>
      </c>
      <c r="W1590" s="4" t="s">
        <v>425</v>
      </c>
      <c r="X1590" s="4"/>
      <c r="Y1590" s="7">
        <v>2</v>
      </c>
      <c r="Z1590" s="8">
        <v>1234266</v>
      </c>
      <c r="AA1590" s="7" t="s">
        <v>92</v>
      </c>
      <c r="AB1590" s="7"/>
      <c r="AC1590" s="9">
        <v>3</v>
      </c>
      <c r="AD1590" s="10">
        <v>971392</v>
      </c>
      <c r="AE1590" s="9" t="s">
        <v>92</v>
      </c>
      <c r="AF1590" s="9" t="s">
        <v>6194</v>
      </c>
      <c r="AG1590" s="11">
        <v>4</v>
      </c>
      <c r="AH1590" s="11" t="s">
        <v>131</v>
      </c>
      <c r="AI1590" s="11" t="s">
        <v>6195</v>
      </c>
      <c r="AJ1590" s="11">
        <v>4</v>
      </c>
      <c r="AK1590" s="11" t="s">
        <v>143</v>
      </c>
      <c r="AL1590" s="12">
        <v>4</v>
      </c>
      <c r="AM1590" s="12" t="s">
        <v>271</v>
      </c>
      <c r="AN1590" s="12"/>
      <c r="AO1590" s="12"/>
      <c r="AP1590" s="12"/>
      <c r="AQ1590" s="4">
        <v>4</v>
      </c>
      <c r="AR1590" s="4" t="s">
        <v>133</v>
      </c>
      <c r="AS1590" s="4"/>
      <c r="AT1590" s="13">
        <v>-70.332572937011705</v>
      </c>
      <c r="AU1590" s="13">
        <v>-2.35543656349182</v>
      </c>
      <c r="AV1590" s="13">
        <v>-2.9100000858306898</v>
      </c>
      <c r="AW1590" s="13">
        <v>-1.9150969982147199</v>
      </c>
      <c r="AX1590" s="4">
        <v>1</v>
      </c>
      <c r="AY1590" s="13">
        <v>1.21470022201538</v>
      </c>
      <c r="AZ1590" s="13">
        <v>0.120581164956093</v>
      </c>
      <c r="BA1590" s="13">
        <v>-1.96000003814697</v>
      </c>
      <c r="BB1590" s="13">
        <v>1.9016029834747299</v>
      </c>
      <c r="BC1590" s="4"/>
      <c r="BD1590" s="4">
        <v>10</v>
      </c>
      <c r="BE1590" s="4" t="s">
        <v>134</v>
      </c>
      <c r="BF1590" s="13">
        <v>0.99490302801132202</v>
      </c>
      <c r="BG1590" s="4">
        <v>415</v>
      </c>
      <c r="BH1590" s="13">
        <v>0.26249998807907099</v>
      </c>
      <c r="BI1590" s="13">
        <v>108.84999847412099</v>
      </c>
      <c r="BJ1590" s="4"/>
      <c r="BK1590" s="14">
        <v>13</v>
      </c>
      <c r="BL1590" s="14">
        <v>14</v>
      </c>
      <c r="BM1590" s="14">
        <v>14</v>
      </c>
      <c r="BN1590" s="3" t="s">
        <v>113</v>
      </c>
      <c r="BO1590" s="3" t="s">
        <v>120</v>
      </c>
      <c r="BP1590" s="15"/>
      <c r="BQ1590" s="15"/>
      <c r="BR1590" s="2" t="s">
        <v>239</v>
      </c>
      <c r="BS1590" s="2" t="s">
        <v>87</v>
      </c>
      <c r="BT1590" s="7" t="s">
        <v>241</v>
      </c>
      <c r="BU1590" s="7"/>
      <c r="BV1590" s="9" t="s">
        <v>88</v>
      </c>
      <c r="BW1590" s="9"/>
    </row>
    <row r="1591" spans="1:75" ht="14.25" customHeight="1" x14ac:dyDescent="0.25">
      <c r="A1591" s="1">
        <v>2020</v>
      </c>
      <c r="B1591" s="1" t="s">
        <v>6196</v>
      </c>
      <c r="C1591" s="1" t="s">
        <v>6197</v>
      </c>
      <c r="D1591" s="1" t="s">
        <v>77</v>
      </c>
      <c r="E1591" s="1" t="s">
        <v>2396</v>
      </c>
      <c r="F1591" s="1" t="s">
        <v>4591</v>
      </c>
      <c r="G1591" s="1" t="s">
        <v>118</v>
      </c>
      <c r="H1591" s="2">
        <v>1</v>
      </c>
      <c r="I1591" s="2">
        <v>1</v>
      </c>
      <c r="J1591" s="2">
        <v>1</v>
      </c>
      <c r="K1591" s="2">
        <v>1</v>
      </c>
      <c r="L1591" s="3" t="s">
        <v>127</v>
      </c>
      <c r="O1591" s="4">
        <v>2</v>
      </c>
      <c r="P1591" s="4" t="s">
        <v>579</v>
      </c>
      <c r="Q1591" s="4"/>
      <c r="R1591" s="16">
        <v>18000000</v>
      </c>
      <c r="S1591" s="6">
        <v>18000000</v>
      </c>
      <c r="T1591" s="16">
        <v>18000000</v>
      </c>
      <c r="U1591" s="6">
        <v>18000000</v>
      </c>
      <c r="V1591" s="4">
        <v>2010.5</v>
      </c>
      <c r="W1591" s="4" t="s">
        <v>579</v>
      </c>
      <c r="X1591" s="4"/>
      <c r="Y1591" s="7">
        <v>2</v>
      </c>
      <c r="Z1591" s="8">
        <v>3351228</v>
      </c>
      <c r="AA1591" s="7" t="s">
        <v>92</v>
      </c>
      <c r="AB1591" s="7"/>
      <c r="AC1591" s="9">
        <v>3</v>
      </c>
      <c r="AD1591" s="10">
        <v>605058</v>
      </c>
      <c r="AE1591" s="9" t="s">
        <v>92</v>
      </c>
      <c r="AF1591" s="9"/>
      <c r="AG1591" s="11">
        <v>3</v>
      </c>
      <c r="AH1591" s="11" t="s">
        <v>454</v>
      </c>
      <c r="AI1591" s="11" t="s">
        <v>6198</v>
      </c>
      <c r="AJ1591" s="11">
        <v>4</v>
      </c>
      <c r="AK1591" s="11" t="s">
        <v>132</v>
      </c>
      <c r="AL1591" s="12">
        <v>3</v>
      </c>
      <c r="AM1591" s="12" t="s">
        <v>131</v>
      </c>
      <c r="AN1591" s="12"/>
      <c r="AO1591" s="12">
        <v>4</v>
      </c>
      <c r="AP1591" s="12" t="s">
        <v>143</v>
      </c>
      <c r="AQ1591" s="4">
        <v>1</v>
      </c>
      <c r="AR1591" s="4" t="s">
        <v>133</v>
      </c>
      <c r="AS1591" s="4"/>
      <c r="AT1591" s="13">
        <v>95.366950988769503</v>
      </c>
      <c r="AU1591" s="13">
        <v>1.32282114028931</v>
      </c>
      <c r="AV1591" s="13">
        <v>1.1042000055313099</v>
      </c>
      <c r="AW1591" s="13">
        <v>1.6100000143051101</v>
      </c>
      <c r="AX1591" s="4">
        <v>1</v>
      </c>
      <c r="AY1591" s="13">
        <v>20.179124832153299</v>
      </c>
      <c r="AZ1591" s="13">
        <v>1.8541575670242301</v>
      </c>
      <c r="BA1591" s="13">
        <v>1.05030500888824</v>
      </c>
      <c r="BB1591" s="13">
        <v>2.9100000858306898</v>
      </c>
      <c r="BC1591" s="4">
        <v>1</v>
      </c>
      <c r="BD1591" s="4">
        <v>10</v>
      </c>
      <c r="BE1591" s="4" t="s">
        <v>134</v>
      </c>
      <c r="BF1591" s="13">
        <v>0.50580000877380404</v>
      </c>
      <c r="BG1591" s="4">
        <v>1884.5</v>
      </c>
      <c r="BH1591" s="13">
        <v>1.74500000476837</v>
      </c>
      <c r="BI1591" s="13">
        <v>3287.59008789063</v>
      </c>
      <c r="BJ1591" s="4"/>
      <c r="BK1591" s="14">
        <v>8</v>
      </c>
      <c r="BL1591" s="14">
        <v>9</v>
      </c>
      <c r="BM1591" s="14">
        <v>9</v>
      </c>
      <c r="BP1591" s="15"/>
      <c r="BQ1591" s="15"/>
      <c r="BR1591" s="2" t="s">
        <v>239</v>
      </c>
      <c r="BS1591" s="2" t="s">
        <v>791</v>
      </c>
      <c r="BT1591" s="7" t="s">
        <v>241</v>
      </c>
      <c r="BU1591" s="7" t="s">
        <v>527</v>
      </c>
      <c r="BV1591" s="9" t="s">
        <v>797</v>
      </c>
      <c r="BW1591" s="9"/>
    </row>
    <row r="1592" spans="1:75" ht="14.25" customHeight="1" x14ac:dyDescent="0.25">
      <c r="A1592" s="1">
        <v>2021</v>
      </c>
      <c r="B1592" s="1" t="s">
        <v>6199</v>
      </c>
      <c r="C1592" s="1" t="s">
        <v>6200</v>
      </c>
      <c r="D1592" s="1" t="s">
        <v>77</v>
      </c>
      <c r="E1592" s="1" t="s">
        <v>2396</v>
      </c>
      <c r="F1592" s="1" t="s">
        <v>4591</v>
      </c>
      <c r="G1592" s="1"/>
      <c r="H1592" s="2">
        <v>0</v>
      </c>
      <c r="I1592" s="2">
        <v>1</v>
      </c>
      <c r="J1592" s="2">
        <v>1</v>
      </c>
      <c r="K1592" s="2">
        <v>1</v>
      </c>
      <c r="L1592" s="3" t="s">
        <v>127</v>
      </c>
      <c r="O1592" s="4">
        <v>2</v>
      </c>
      <c r="P1592" s="4" t="s">
        <v>1813</v>
      </c>
      <c r="Q1592" s="4" t="s">
        <v>6201</v>
      </c>
      <c r="R1592" s="16">
        <v>20000000</v>
      </c>
      <c r="S1592" s="6">
        <v>20000000</v>
      </c>
      <c r="T1592" s="17" t="s">
        <v>795</v>
      </c>
      <c r="U1592" s="6">
        <v>5000</v>
      </c>
      <c r="V1592" s="4"/>
      <c r="W1592" s="4" t="s">
        <v>543</v>
      </c>
      <c r="X1592" s="4" t="s">
        <v>787</v>
      </c>
      <c r="Y1592" s="7">
        <v>1</v>
      </c>
      <c r="Z1592" s="8">
        <v>8382828</v>
      </c>
      <c r="AA1592" s="7" t="s">
        <v>92</v>
      </c>
      <c r="AB1592" s="7"/>
      <c r="AC1592" s="9">
        <v>1</v>
      </c>
      <c r="AD1592" s="10">
        <v>8257761</v>
      </c>
      <c r="AE1592" s="9" t="s">
        <v>92</v>
      </c>
      <c r="AF1592" s="9"/>
      <c r="AG1592" s="11">
        <v>3</v>
      </c>
      <c r="AH1592" s="11" t="s">
        <v>131</v>
      </c>
      <c r="AI1592" s="11"/>
      <c r="AJ1592" s="11">
        <v>2</v>
      </c>
      <c r="AK1592" s="11" t="s">
        <v>143</v>
      </c>
      <c r="AL1592" s="12">
        <v>3</v>
      </c>
      <c r="AM1592" s="12" t="s">
        <v>131</v>
      </c>
      <c r="AN1592" s="12" t="s">
        <v>698</v>
      </c>
      <c r="AO1592" s="12">
        <v>3</v>
      </c>
      <c r="AP1592" s="12" t="s">
        <v>143</v>
      </c>
      <c r="AQ1592" s="4">
        <v>4</v>
      </c>
      <c r="AR1592" s="4" t="s">
        <v>673</v>
      </c>
      <c r="AS1592" s="4"/>
      <c r="AT1592" s="13"/>
      <c r="AU1592" s="13"/>
      <c r="AV1592" s="13"/>
      <c r="AW1592" s="13"/>
      <c r="AX1592" s="4"/>
      <c r="AY1592" s="13"/>
      <c r="AZ1592" s="13"/>
      <c r="BA1592" s="13"/>
      <c r="BB1592" s="13"/>
      <c r="BC1592" s="4"/>
      <c r="BD1592" s="4"/>
      <c r="BE1592" s="4"/>
      <c r="BF1592" s="13"/>
      <c r="BG1592" s="4"/>
      <c r="BH1592" s="13"/>
      <c r="BI1592" s="13"/>
      <c r="BJ1592" s="4"/>
      <c r="BK1592" s="14">
        <v>10</v>
      </c>
      <c r="BL1592" s="14">
        <v>10</v>
      </c>
      <c r="BM1592" s="14">
        <v>10</v>
      </c>
      <c r="BP1592" s="15"/>
      <c r="BQ1592" s="15"/>
      <c r="BR1592" s="2" t="s">
        <v>97</v>
      </c>
      <c r="BS1592" s="2" t="s">
        <v>97</v>
      </c>
      <c r="BT1592" s="7" t="s">
        <v>797</v>
      </c>
      <c r="BU1592" s="7"/>
      <c r="BV1592" s="9" t="s">
        <v>797</v>
      </c>
      <c r="BW1592" s="9"/>
    </row>
    <row r="1593" spans="1:75" ht="14.25" customHeight="1" x14ac:dyDescent="0.25">
      <c r="A1593" s="1">
        <v>2142</v>
      </c>
      <c r="B1593" s="1" t="s">
        <v>6202</v>
      </c>
      <c r="C1593" s="1" t="s">
        <v>6203</v>
      </c>
      <c r="D1593" s="1" t="s">
        <v>77</v>
      </c>
      <c r="E1593" s="1" t="s">
        <v>2396</v>
      </c>
      <c r="F1593" s="1" t="s">
        <v>4956</v>
      </c>
      <c r="G1593" s="1"/>
      <c r="H1593" s="2">
        <v>0</v>
      </c>
      <c r="I1593" s="2">
        <v>0</v>
      </c>
      <c r="J1593" s="2">
        <v>1</v>
      </c>
      <c r="K1593" s="2">
        <v>1</v>
      </c>
      <c r="L1593" s="3" t="s">
        <v>80</v>
      </c>
      <c r="O1593" s="4">
        <v>4</v>
      </c>
      <c r="P1593" s="4" t="s">
        <v>112</v>
      </c>
      <c r="Q1593" s="4"/>
      <c r="R1593" s="5"/>
      <c r="S1593" s="6"/>
      <c r="T1593" s="17"/>
      <c r="U1593" s="6"/>
      <c r="V1593" s="4"/>
      <c r="W1593" s="4"/>
      <c r="X1593" s="4"/>
      <c r="Y1593" s="7">
        <v>4</v>
      </c>
      <c r="Z1593" s="8">
        <v>235088</v>
      </c>
      <c r="AA1593" s="7" t="s">
        <v>92</v>
      </c>
      <c r="AB1593" s="7"/>
      <c r="AC1593" s="9">
        <v>4</v>
      </c>
      <c r="AD1593" s="10">
        <v>235088</v>
      </c>
      <c r="AE1593" s="9" t="s">
        <v>92</v>
      </c>
      <c r="AF1593" s="9"/>
      <c r="AG1593" s="11">
        <v>4</v>
      </c>
      <c r="AH1593" s="11" t="s">
        <v>93</v>
      </c>
      <c r="AI1593" s="11" t="s">
        <v>6204</v>
      </c>
      <c r="AJ1593" s="11"/>
      <c r="AK1593" s="11"/>
      <c r="AL1593" s="12">
        <v>4</v>
      </c>
      <c r="AM1593" s="12" t="s">
        <v>93</v>
      </c>
      <c r="AN1593" s="12" t="s">
        <v>698</v>
      </c>
      <c r="AO1593" s="12"/>
      <c r="AP1593" s="12"/>
      <c r="AQ1593" s="4">
        <v>5</v>
      </c>
      <c r="AR1593" s="4" t="s">
        <v>83</v>
      </c>
      <c r="AS1593" s="4" t="s">
        <v>5551</v>
      </c>
      <c r="AT1593" s="13"/>
      <c r="AU1593" s="13"/>
      <c r="AV1593" s="13"/>
      <c r="AW1593" s="13"/>
      <c r="AX1593" s="4"/>
      <c r="AY1593" s="13"/>
      <c r="AZ1593" s="13"/>
      <c r="BA1593" s="13"/>
      <c r="BB1593" s="13"/>
      <c r="BC1593" s="4"/>
      <c r="BD1593" s="4"/>
      <c r="BE1593" s="4"/>
      <c r="BF1593" s="13"/>
      <c r="BG1593" s="4"/>
      <c r="BH1593" s="13"/>
      <c r="BI1593" s="13"/>
      <c r="BJ1593" s="4"/>
      <c r="BK1593" s="14">
        <v>17</v>
      </c>
      <c r="BL1593" s="14">
        <v>17</v>
      </c>
      <c r="BM1593" s="14">
        <v>17</v>
      </c>
      <c r="BN1593" s="3" t="s">
        <v>312</v>
      </c>
      <c r="BP1593" s="15"/>
      <c r="BQ1593" s="15"/>
      <c r="BR1593" s="2" t="s">
        <v>115</v>
      </c>
      <c r="BS1593" s="2" t="s">
        <v>115</v>
      </c>
      <c r="BT1593" s="7" t="s">
        <v>98</v>
      </c>
      <c r="BU1593" s="7"/>
      <c r="BV1593" s="9" t="s">
        <v>98</v>
      </c>
      <c r="BW1593" s="9"/>
    </row>
    <row r="1594" spans="1:75" ht="14.25" customHeight="1" x14ac:dyDescent="0.25">
      <c r="A1594" s="1">
        <v>2143</v>
      </c>
      <c r="B1594" s="1" t="s">
        <v>6205</v>
      </c>
      <c r="C1594" s="1" t="s">
        <v>6206</v>
      </c>
      <c r="D1594" s="1" t="s">
        <v>77</v>
      </c>
      <c r="E1594" s="1" t="s">
        <v>2396</v>
      </c>
      <c r="F1594" s="1" t="s">
        <v>4956</v>
      </c>
      <c r="G1594" s="1"/>
      <c r="H1594" s="2">
        <v>0</v>
      </c>
      <c r="I1594" s="2">
        <v>0</v>
      </c>
      <c r="J1594" s="2">
        <v>0</v>
      </c>
      <c r="K1594" s="2">
        <v>1</v>
      </c>
      <c r="L1594" s="3" t="s">
        <v>80</v>
      </c>
      <c r="O1594" s="4">
        <v>2</v>
      </c>
      <c r="P1594" s="4" t="s">
        <v>81</v>
      </c>
      <c r="Q1594" s="4"/>
      <c r="R1594" s="5"/>
      <c r="S1594" s="6"/>
      <c r="T1594" s="17"/>
      <c r="U1594" s="6"/>
      <c r="V1594" s="4"/>
      <c r="W1594" s="4"/>
      <c r="X1594" s="4"/>
      <c r="Y1594" s="7">
        <v>1</v>
      </c>
      <c r="Z1594" s="8">
        <v>6695501</v>
      </c>
      <c r="AA1594" s="7" t="s">
        <v>82</v>
      </c>
      <c r="AB1594" s="7"/>
      <c r="AC1594" s="9">
        <v>1</v>
      </c>
      <c r="AD1594" s="10">
        <v>6695501</v>
      </c>
      <c r="AE1594" s="9" t="s">
        <v>82</v>
      </c>
      <c r="AF1594" s="9"/>
      <c r="AG1594" s="11">
        <v>3</v>
      </c>
      <c r="AH1594" s="11" t="s">
        <v>83</v>
      </c>
      <c r="AI1594" s="11"/>
      <c r="AJ1594" s="11"/>
      <c r="AK1594" s="11"/>
      <c r="AL1594" s="12">
        <v>3</v>
      </c>
      <c r="AM1594" s="12" t="s">
        <v>83</v>
      </c>
      <c r="AN1594" s="12"/>
      <c r="AO1594" s="12"/>
      <c r="AP1594" s="12"/>
      <c r="AQ1594" s="4">
        <v>3</v>
      </c>
      <c r="AR1594" s="4" t="s">
        <v>83</v>
      </c>
      <c r="AS1594" s="4"/>
      <c r="AT1594" s="13"/>
      <c r="AU1594" s="13"/>
      <c r="AV1594" s="13"/>
      <c r="AW1594" s="13"/>
      <c r="AX1594" s="4"/>
      <c r="AY1594" s="13"/>
      <c r="AZ1594" s="13"/>
      <c r="BA1594" s="13"/>
      <c r="BB1594" s="13"/>
      <c r="BC1594" s="4"/>
      <c r="BD1594" s="4"/>
      <c r="BE1594" s="4"/>
      <c r="BF1594" s="13"/>
      <c r="BG1594" s="4"/>
      <c r="BH1594" s="13"/>
      <c r="BI1594" s="13"/>
      <c r="BJ1594" s="4"/>
      <c r="BK1594" s="14">
        <v>9</v>
      </c>
      <c r="BL1594" s="14">
        <v>9</v>
      </c>
      <c r="BM1594" s="14">
        <v>9</v>
      </c>
      <c r="BP1594" s="15"/>
      <c r="BQ1594" s="15"/>
      <c r="BR1594" s="2" t="s">
        <v>740</v>
      </c>
      <c r="BS1594" s="2" t="s">
        <v>740</v>
      </c>
      <c r="BT1594" s="7" t="s">
        <v>98</v>
      </c>
      <c r="BU1594" s="7"/>
      <c r="BV1594" s="9" t="s">
        <v>98</v>
      </c>
      <c r="BW1594" s="9"/>
    </row>
    <row r="1595" spans="1:75" ht="14.25" customHeight="1" x14ac:dyDescent="0.25">
      <c r="A1595" s="1">
        <v>2144</v>
      </c>
      <c r="B1595" s="1" t="s">
        <v>6207</v>
      </c>
      <c r="C1595" s="1" t="s">
        <v>6208</v>
      </c>
      <c r="D1595" s="1" t="s">
        <v>77</v>
      </c>
      <c r="E1595" s="1" t="s">
        <v>2396</v>
      </c>
      <c r="F1595" s="1" t="s">
        <v>4956</v>
      </c>
      <c r="G1595" s="1"/>
      <c r="H1595" s="2">
        <v>0</v>
      </c>
      <c r="I1595" s="2">
        <v>0</v>
      </c>
      <c r="J1595" s="2">
        <v>1</v>
      </c>
      <c r="K1595" s="2">
        <v>1</v>
      </c>
      <c r="L1595" s="3" t="s">
        <v>80</v>
      </c>
      <c r="O1595" s="4">
        <v>2</v>
      </c>
      <c r="P1595" s="4" t="s">
        <v>112</v>
      </c>
      <c r="Q1595" s="4"/>
      <c r="R1595" s="5"/>
      <c r="S1595" s="6"/>
      <c r="T1595" s="17"/>
      <c r="U1595" s="6"/>
      <c r="V1595" s="4"/>
      <c r="W1595" s="4"/>
      <c r="X1595" s="4"/>
      <c r="Y1595" s="7">
        <v>1</v>
      </c>
      <c r="Z1595" s="8">
        <v>8211286</v>
      </c>
      <c r="AA1595" s="7" t="s">
        <v>92</v>
      </c>
      <c r="AB1595" s="7"/>
      <c r="AC1595" s="9">
        <v>1</v>
      </c>
      <c r="AD1595" s="10">
        <v>8034289</v>
      </c>
      <c r="AE1595" s="9" t="s">
        <v>92</v>
      </c>
      <c r="AF1595" s="9"/>
      <c r="AG1595" s="11">
        <v>3</v>
      </c>
      <c r="AH1595" s="11" t="s">
        <v>93</v>
      </c>
      <c r="AI1595" s="11"/>
      <c r="AJ1595" s="11"/>
      <c r="AK1595" s="11"/>
      <c r="AL1595" s="12">
        <v>2</v>
      </c>
      <c r="AM1595" s="12" t="s">
        <v>93</v>
      </c>
      <c r="AN1595" s="12" t="s">
        <v>6209</v>
      </c>
      <c r="AO1595" s="12"/>
      <c r="AP1595" s="12"/>
      <c r="AQ1595" s="4">
        <v>4</v>
      </c>
      <c r="AR1595" s="4" t="s">
        <v>83</v>
      </c>
      <c r="AS1595" s="4"/>
      <c r="AT1595" s="13"/>
      <c r="AU1595" s="13"/>
      <c r="AV1595" s="13"/>
      <c r="AW1595" s="13"/>
      <c r="AX1595" s="4"/>
      <c r="AY1595" s="13"/>
      <c r="AZ1595" s="13"/>
      <c r="BA1595" s="13"/>
      <c r="BB1595" s="13"/>
      <c r="BC1595" s="4"/>
      <c r="BD1595" s="4"/>
      <c r="BE1595" s="4"/>
      <c r="BF1595" s="13"/>
      <c r="BG1595" s="4"/>
      <c r="BH1595" s="13"/>
      <c r="BI1595" s="13"/>
      <c r="BJ1595" s="4"/>
      <c r="BK1595" s="14">
        <v>10</v>
      </c>
      <c r="BL1595" s="14">
        <v>9</v>
      </c>
      <c r="BM1595" s="14">
        <v>10</v>
      </c>
      <c r="BP1595" s="15" t="s">
        <v>135</v>
      </c>
      <c r="BQ1595" s="15"/>
      <c r="BR1595" s="2" t="s">
        <v>97</v>
      </c>
      <c r="BS1595" s="2" t="s">
        <v>97</v>
      </c>
      <c r="BT1595" s="7" t="s">
        <v>98</v>
      </c>
      <c r="BU1595" s="7"/>
      <c r="BV1595" s="9" t="s">
        <v>98</v>
      </c>
      <c r="BW1595" s="9"/>
    </row>
    <row r="1596" spans="1:75" ht="14.25" customHeight="1" x14ac:dyDescent="0.25">
      <c r="A1596" s="1">
        <v>2145</v>
      </c>
      <c r="B1596" s="1" t="s">
        <v>6210</v>
      </c>
      <c r="C1596" s="1" t="s">
        <v>6211</v>
      </c>
      <c r="D1596" s="1" t="s">
        <v>77</v>
      </c>
      <c r="E1596" s="1" t="s">
        <v>2396</v>
      </c>
      <c r="F1596" s="1" t="s">
        <v>4956</v>
      </c>
      <c r="G1596" s="1"/>
      <c r="H1596" s="2">
        <v>0</v>
      </c>
      <c r="I1596" s="2">
        <v>0</v>
      </c>
      <c r="J1596" s="2">
        <v>0</v>
      </c>
      <c r="K1596" s="2">
        <v>1</v>
      </c>
      <c r="L1596" s="3" t="s">
        <v>80</v>
      </c>
      <c r="O1596" s="4">
        <v>3</v>
      </c>
      <c r="P1596" s="4" t="s">
        <v>81</v>
      </c>
      <c r="Q1596" s="4"/>
      <c r="R1596" s="5"/>
      <c r="S1596" s="6"/>
      <c r="T1596" s="17"/>
      <c r="U1596" s="6"/>
      <c r="V1596" s="4"/>
      <c r="W1596" s="4"/>
      <c r="X1596" s="4"/>
      <c r="Y1596" s="7">
        <v>4</v>
      </c>
      <c r="Z1596" s="8">
        <v>200158</v>
      </c>
      <c r="AA1596" s="7" t="s">
        <v>82</v>
      </c>
      <c r="AB1596" s="7"/>
      <c r="AC1596" s="9">
        <v>4</v>
      </c>
      <c r="AD1596" s="10">
        <v>200158</v>
      </c>
      <c r="AE1596" s="9" t="s">
        <v>82</v>
      </c>
      <c r="AF1596" s="9"/>
      <c r="AG1596" s="11">
        <v>3</v>
      </c>
      <c r="AH1596" s="11" t="s">
        <v>83</v>
      </c>
      <c r="AI1596" s="11"/>
      <c r="AJ1596" s="11"/>
      <c r="AK1596" s="11"/>
      <c r="AL1596" s="12">
        <v>3</v>
      </c>
      <c r="AM1596" s="12" t="s">
        <v>83</v>
      </c>
      <c r="AN1596" s="12"/>
      <c r="AO1596" s="12"/>
      <c r="AP1596" s="12"/>
      <c r="AQ1596" s="4">
        <v>4</v>
      </c>
      <c r="AR1596" s="4" t="s">
        <v>83</v>
      </c>
      <c r="AS1596" s="4"/>
      <c r="AT1596" s="13"/>
      <c r="AU1596" s="13"/>
      <c r="AV1596" s="13"/>
      <c r="AW1596" s="13"/>
      <c r="AX1596" s="4"/>
      <c r="AY1596" s="13"/>
      <c r="AZ1596" s="13"/>
      <c r="BA1596" s="13"/>
      <c r="BB1596" s="13"/>
      <c r="BC1596" s="4"/>
      <c r="BD1596" s="4"/>
      <c r="BE1596" s="4"/>
      <c r="BF1596" s="13"/>
      <c r="BG1596" s="4"/>
      <c r="BH1596" s="13"/>
      <c r="BI1596" s="13"/>
      <c r="BJ1596" s="4"/>
      <c r="BK1596" s="14">
        <v>14</v>
      </c>
      <c r="BL1596" s="14">
        <v>14</v>
      </c>
      <c r="BM1596" s="14">
        <v>14</v>
      </c>
      <c r="BN1596" s="3" t="s">
        <v>86</v>
      </c>
      <c r="BP1596" s="15"/>
      <c r="BQ1596" s="15"/>
      <c r="BR1596" s="2" t="s">
        <v>87</v>
      </c>
      <c r="BS1596" s="2" t="s">
        <v>87</v>
      </c>
      <c r="BT1596" s="7" t="s">
        <v>88</v>
      </c>
      <c r="BU1596" s="7"/>
      <c r="BV1596" s="9" t="s">
        <v>88</v>
      </c>
      <c r="BW1596" s="9"/>
    </row>
    <row r="1597" spans="1:75" ht="14.25" customHeight="1" x14ac:dyDescent="0.25">
      <c r="A1597" s="1">
        <v>2146</v>
      </c>
      <c r="B1597" s="1" t="s">
        <v>6212</v>
      </c>
      <c r="C1597" s="1" t="s">
        <v>6213</v>
      </c>
      <c r="D1597" s="1" t="s">
        <v>77</v>
      </c>
      <c r="E1597" s="1" t="s">
        <v>2396</v>
      </c>
      <c r="F1597" s="1" t="s">
        <v>4956</v>
      </c>
      <c r="G1597" s="1"/>
      <c r="H1597" s="2">
        <v>0</v>
      </c>
      <c r="I1597" s="2">
        <v>0</v>
      </c>
      <c r="J1597" s="2">
        <v>0</v>
      </c>
      <c r="K1597" s="2">
        <v>1</v>
      </c>
      <c r="L1597" s="3" t="s">
        <v>80</v>
      </c>
      <c r="O1597" s="4">
        <v>1</v>
      </c>
      <c r="P1597" s="4" t="s">
        <v>81</v>
      </c>
      <c r="Q1597" s="4"/>
      <c r="R1597" s="5"/>
      <c r="S1597" s="6"/>
      <c r="T1597" s="17"/>
      <c r="U1597" s="6"/>
      <c r="V1597" s="4"/>
      <c r="W1597" s="4"/>
      <c r="X1597" s="4"/>
      <c r="Y1597" s="7">
        <v>1</v>
      </c>
      <c r="Z1597" s="8">
        <v>12094950</v>
      </c>
      <c r="AA1597" s="7" t="s">
        <v>82</v>
      </c>
      <c r="AB1597" s="7"/>
      <c r="AC1597" s="9">
        <v>1</v>
      </c>
      <c r="AD1597" s="10">
        <v>12094950</v>
      </c>
      <c r="AE1597" s="9" t="s">
        <v>82</v>
      </c>
      <c r="AF1597" s="9"/>
      <c r="AG1597" s="11">
        <v>4</v>
      </c>
      <c r="AH1597" s="11" t="s">
        <v>83</v>
      </c>
      <c r="AI1597" s="11" t="s">
        <v>6214</v>
      </c>
      <c r="AJ1597" s="11"/>
      <c r="AK1597" s="11"/>
      <c r="AL1597" s="12">
        <v>4</v>
      </c>
      <c r="AM1597" s="12" t="s">
        <v>83</v>
      </c>
      <c r="AN1597" s="12"/>
      <c r="AO1597" s="12"/>
      <c r="AP1597" s="12"/>
      <c r="AQ1597" s="4">
        <v>4</v>
      </c>
      <c r="AR1597" s="4" t="s">
        <v>83</v>
      </c>
      <c r="AS1597" s="4"/>
      <c r="AT1597" s="13"/>
      <c r="AU1597" s="13"/>
      <c r="AV1597" s="13"/>
      <c r="AW1597" s="13"/>
      <c r="AX1597" s="4"/>
      <c r="AY1597" s="13"/>
      <c r="AZ1597" s="13"/>
      <c r="BA1597" s="13"/>
      <c r="BB1597" s="13"/>
      <c r="BC1597" s="4"/>
      <c r="BD1597" s="4"/>
      <c r="BE1597" s="4"/>
      <c r="BF1597" s="13"/>
      <c r="BG1597" s="4"/>
      <c r="BH1597" s="13"/>
      <c r="BI1597" s="13"/>
      <c r="BJ1597" s="4"/>
      <c r="BK1597" s="14">
        <v>10</v>
      </c>
      <c r="BL1597" s="14">
        <v>10</v>
      </c>
      <c r="BM1597" s="14">
        <v>10</v>
      </c>
      <c r="BP1597" s="15"/>
      <c r="BQ1597" s="15"/>
      <c r="BR1597" s="2" t="s">
        <v>97</v>
      </c>
      <c r="BS1597" s="2" t="s">
        <v>97</v>
      </c>
      <c r="BT1597" s="7" t="s">
        <v>98</v>
      </c>
      <c r="BU1597" s="7"/>
      <c r="BV1597" s="9" t="s">
        <v>98</v>
      </c>
      <c r="BW1597" s="9"/>
    </row>
    <row r="1598" spans="1:75" ht="14.25" customHeight="1" x14ac:dyDescent="0.25">
      <c r="A1598" s="1">
        <v>2147</v>
      </c>
      <c r="B1598" s="1" t="s">
        <v>6215</v>
      </c>
      <c r="C1598" s="1" t="s">
        <v>6216</v>
      </c>
      <c r="D1598" s="1" t="s">
        <v>77</v>
      </c>
      <c r="E1598" s="1" t="s">
        <v>2396</v>
      </c>
      <c r="F1598" s="1" t="s">
        <v>4956</v>
      </c>
      <c r="G1598" s="1" t="s">
        <v>118</v>
      </c>
      <c r="H1598" s="2">
        <v>0</v>
      </c>
      <c r="I1598" s="2">
        <v>0</v>
      </c>
      <c r="J1598" s="2">
        <v>0</v>
      </c>
      <c r="K1598" s="2">
        <v>1</v>
      </c>
      <c r="L1598" s="3" t="s">
        <v>80</v>
      </c>
      <c r="O1598" s="4">
        <v>5</v>
      </c>
      <c r="P1598" s="4" t="s">
        <v>81</v>
      </c>
      <c r="Q1598" s="4"/>
      <c r="R1598" s="5"/>
      <c r="S1598" s="6"/>
      <c r="T1598" s="17"/>
      <c r="U1598" s="6"/>
      <c r="V1598" s="4"/>
      <c r="W1598" s="4"/>
      <c r="X1598" s="4"/>
      <c r="Y1598" s="7">
        <v>5</v>
      </c>
      <c r="Z1598" s="8">
        <v>56405</v>
      </c>
      <c r="AA1598" s="7" t="s">
        <v>82</v>
      </c>
      <c r="AB1598" s="7"/>
      <c r="AC1598" s="9">
        <v>5</v>
      </c>
      <c r="AD1598" s="10">
        <v>56405</v>
      </c>
      <c r="AE1598" s="9" t="s">
        <v>82</v>
      </c>
      <c r="AF1598" s="9"/>
      <c r="AG1598" s="11">
        <v>3</v>
      </c>
      <c r="AH1598" s="11" t="s">
        <v>83</v>
      </c>
      <c r="AI1598" s="11"/>
      <c r="AJ1598" s="11"/>
      <c r="AK1598" s="11"/>
      <c r="AL1598" s="12">
        <v>3</v>
      </c>
      <c r="AM1598" s="12" t="s">
        <v>83</v>
      </c>
      <c r="AN1598" s="12"/>
      <c r="AO1598" s="12"/>
      <c r="AP1598" s="12"/>
      <c r="AQ1598" s="4">
        <v>3</v>
      </c>
      <c r="AR1598" s="4" t="s">
        <v>83</v>
      </c>
      <c r="AS1598" s="4"/>
      <c r="AT1598" s="13"/>
      <c r="AU1598" s="13"/>
      <c r="AV1598" s="13"/>
      <c r="AW1598" s="13"/>
      <c r="AX1598" s="4"/>
      <c r="AY1598" s="13"/>
      <c r="AZ1598" s="13"/>
      <c r="BA1598" s="13"/>
      <c r="BB1598" s="13"/>
      <c r="BC1598" s="4"/>
      <c r="BD1598" s="4"/>
      <c r="BE1598" s="4"/>
      <c r="BF1598" s="13"/>
      <c r="BG1598" s="4"/>
      <c r="BH1598" s="13"/>
      <c r="BI1598" s="13"/>
      <c r="BJ1598" s="4"/>
      <c r="BK1598" s="14">
        <v>16</v>
      </c>
      <c r="BL1598" s="14">
        <v>16</v>
      </c>
      <c r="BM1598" s="14">
        <v>16</v>
      </c>
      <c r="BN1598" s="3" t="s">
        <v>86</v>
      </c>
      <c r="BP1598" s="15"/>
      <c r="BQ1598" s="15"/>
      <c r="BR1598" s="2" t="s">
        <v>121</v>
      </c>
      <c r="BS1598" s="2" t="s">
        <v>121</v>
      </c>
      <c r="BT1598" s="7" t="s">
        <v>98</v>
      </c>
      <c r="BU1598" s="7"/>
      <c r="BV1598" s="9" t="s">
        <v>98</v>
      </c>
      <c r="BW1598" s="9"/>
    </row>
    <row r="1599" spans="1:75" ht="14.25" customHeight="1" x14ac:dyDescent="0.25">
      <c r="A1599" s="1">
        <v>2148</v>
      </c>
      <c r="B1599" s="1" t="s">
        <v>6217</v>
      </c>
      <c r="C1599" s="1" t="s">
        <v>6218</v>
      </c>
      <c r="D1599" s="1" t="s">
        <v>77</v>
      </c>
      <c r="E1599" s="1" t="s">
        <v>2396</v>
      </c>
      <c r="F1599" s="1" t="s">
        <v>4956</v>
      </c>
      <c r="G1599" s="1"/>
      <c r="H1599" s="2">
        <v>0</v>
      </c>
      <c r="I1599" s="2">
        <v>0</v>
      </c>
      <c r="J1599" s="2">
        <v>1</v>
      </c>
      <c r="K1599" s="2">
        <v>1</v>
      </c>
      <c r="L1599" s="3" t="s">
        <v>80</v>
      </c>
      <c r="O1599" s="4">
        <v>2</v>
      </c>
      <c r="P1599" s="4" t="s">
        <v>112</v>
      </c>
      <c r="Q1599" s="4"/>
      <c r="R1599" s="5"/>
      <c r="S1599" s="6"/>
      <c r="T1599" s="17"/>
      <c r="U1599" s="6"/>
      <c r="V1599" s="4"/>
      <c r="W1599" s="4"/>
      <c r="X1599" s="4"/>
      <c r="Y1599" s="7">
        <v>1</v>
      </c>
      <c r="Z1599" s="8">
        <v>10832997</v>
      </c>
      <c r="AA1599" s="7" t="s">
        <v>92</v>
      </c>
      <c r="AB1599" s="7"/>
      <c r="AC1599" s="9">
        <v>1</v>
      </c>
      <c r="AD1599" s="10">
        <v>10832997</v>
      </c>
      <c r="AE1599" s="9" t="s">
        <v>92</v>
      </c>
      <c r="AF1599" s="9"/>
      <c r="AG1599" s="11">
        <v>2</v>
      </c>
      <c r="AH1599" s="11" t="s">
        <v>93</v>
      </c>
      <c r="AI1599" s="11" t="s">
        <v>6219</v>
      </c>
      <c r="AJ1599" s="11"/>
      <c r="AK1599" s="11"/>
      <c r="AL1599" s="12">
        <v>2</v>
      </c>
      <c r="AM1599" s="12" t="s">
        <v>93</v>
      </c>
      <c r="AN1599" s="12" t="s">
        <v>6220</v>
      </c>
      <c r="AO1599" s="12"/>
      <c r="AP1599" s="12"/>
      <c r="AQ1599" s="4">
        <v>3</v>
      </c>
      <c r="AR1599" s="4" t="s">
        <v>83</v>
      </c>
      <c r="AS1599" s="4"/>
      <c r="AT1599" s="13"/>
      <c r="AU1599" s="13"/>
      <c r="AV1599" s="13"/>
      <c r="AW1599" s="13"/>
      <c r="AX1599" s="4"/>
      <c r="AY1599" s="13"/>
      <c r="AZ1599" s="13"/>
      <c r="BA1599" s="13"/>
      <c r="BB1599" s="13"/>
      <c r="BC1599" s="4"/>
      <c r="BD1599" s="4"/>
      <c r="BE1599" s="4"/>
      <c r="BF1599" s="13"/>
      <c r="BG1599" s="4"/>
      <c r="BH1599" s="13"/>
      <c r="BI1599" s="13"/>
      <c r="BJ1599" s="4"/>
      <c r="BK1599" s="14">
        <v>8</v>
      </c>
      <c r="BL1599" s="14">
        <v>8</v>
      </c>
      <c r="BM1599" s="14">
        <v>8</v>
      </c>
      <c r="BP1599" s="15" t="s">
        <v>135</v>
      </c>
      <c r="BQ1599" s="15"/>
      <c r="BR1599" s="2" t="s">
        <v>97</v>
      </c>
      <c r="BS1599" s="2" t="s">
        <v>97</v>
      </c>
      <c r="BT1599" s="7" t="s">
        <v>98</v>
      </c>
      <c r="BU1599" s="7" t="s">
        <v>88</v>
      </c>
      <c r="BV1599" s="9" t="s">
        <v>98</v>
      </c>
      <c r="BW1599" s="9" t="s">
        <v>88</v>
      </c>
    </row>
    <row r="1600" spans="1:75" ht="14.25" customHeight="1" x14ac:dyDescent="0.25">
      <c r="A1600" s="1">
        <v>2149</v>
      </c>
      <c r="B1600" s="1" t="s">
        <v>6221</v>
      </c>
      <c r="C1600" s="1" t="s">
        <v>6222</v>
      </c>
      <c r="D1600" s="1" t="s">
        <v>77</v>
      </c>
      <c r="E1600" s="1" t="s">
        <v>2396</v>
      </c>
      <c r="F1600" s="1" t="s">
        <v>4956</v>
      </c>
      <c r="G1600" s="1"/>
      <c r="H1600" s="2">
        <v>0</v>
      </c>
      <c r="I1600" s="2">
        <v>0</v>
      </c>
      <c r="J1600" s="2">
        <v>1</v>
      </c>
      <c r="K1600" s="2">
        <v>1</v>
      </c>
      <c r="L1600" s="3" t="s">
        <v>80</v>
      </c>
      <c r="O1600" s="4">
        <v>2</v>
      </c>
      <c r="P1600" s="4" t="s">
        <v>81</v>
      </c>
      <c r="Q1600" s="4" t="s">
        <v>91</v>
      </c>
      <c r="R1600" s="5"/>
      <c r="S1600" s="6"/>
      <c r="T1600" s="17"/>
      <c r="U1600" s="6"/>
      <c r="V1600" s="4"/>
      <c r="W1600" s="4"/>
      <c r="X1600" s="4"/>
      <c r="Y1600" s="7">
        <v>3</v>
      </c>
      <c r="Z1600" s="8">
        <v>937120</v>
      </c>
      <c r="AA1600" s="7" t="s">
        <v>92</v>
      </c>
      <c r="AB1600" s="7"/>
      <c r="AC1600" s="9">
        <v>3</v>
      </c>
      <c r="AD1600" s="10">
        <v>937120</v>
      </c>
      <c r="AE1600" s="9" t="s">
        <v>92</v>
      </c>
      <c r="AF1600" s="9"/>
      <c r="AG1600" s="11">
        <v>2</v>
      </c>
      <c r="AH1600" s="11" t="s">
        <v>93</v>
      </c>
      <c r="AI1600" s="11"/>
      <c r="AJ1600" s="11"/>
      <c r="AK1600" s="11"/>
      <c r="AL1600" s="12">
        <v>2</v>
      </c>
      <c r="AM1600" s="12" t="s">
        <v>93</v>
      </c>
      <c r="AN1600" s="12" t="s">
        <v>3959</v>
      </c>
      <c r="AO1600" s="12"/>
      <c r="AP1600" s="12"/>
      <c r="AQ1600" s="4">
        <v>1</v>
      </c>
      <c r="AR1600" s="4" t="s">
        <v>83</v>
      </c>
      <c r="AS1600" s="4" t="s">
        <v>4337</v>
      </c>
      <c r="AT1600" s="13"/>
      <c r="AU1600" s="13"/>
      <c r="AV1600" s="13"/>
      <c r="AW1600" s="13"/>
      <c r="AX1600" s="4"/>
      <c r="AY1600" s="13"/>
      <c r="AZ1600" s="13"/>
      <c r="BA1600" s="13"/>
      <c r="BB1600" s="13"/>
      <c r="BC1600" s="4"/>
      <c r="BD1600" s="4"/>
      <c r="BE1600" s="4"/>
      <c r="BF1600" s="13"/>
      <c r="BG1600" s="4"/>
      <c r="BH1600" s="13"/>
      <c r="BI1600" s="13"/>
      <c r="BJ1600" s="4"/>
      <c r="BK1600" s="14">
        <v>8</v>
      </c>
      <c r="BL1600" s="14">
        <v>8</v>
      </c>
      <c r="BM1600" s="14">
        <v>8</v>
      </c>
      <c r="BP1600" s="15" t="s">
        <v>135</v>
      </c>
      <c r="BQ1600" s="15" t="s">
        <v>146</v>
      </c>
      <c r="BR1600" s="2" t="s">
        <v>97</v>
      </c>
      <c r="BS1600" s="2" t="s">
        <v>97</v>
      </c>
      <c r="BT1600" s="7" t="s">
        <v>458</v>
      </c>
      <c r="BU1600" s="7"/>
      <c r="BV1600" s="9" t="s">
        <v>458</v>
      </c>
      <c r="BW1600" s="9"/>
    </row>
    <row r="1601" spans="1:75" ht="14.25" customHeight="1" x14ac:dyDescent="0.25">
      <c r="A1601" s="1">
        <v>2161</v>
      </c>
      <c r="B1601" s="1" t="s">
        <v>6223</v>
      </c>
      <c r="C1601" s="1" t="s">
        <v>6224</v>
      </c>
      <c r="D1601" s="1" t="s">
        <v>77</v>
      </c>
      <c r="E1601" s="1" t="s">
        <v>2396</v>
      </c>
      <c r="F1601" s="1" t="s">
        <v>4956</v>
      </c>
      <c r="G1601" s="1" t="s">
        <v>118</v>
      </c>
      <c r="H1601" s="2">
        <v>0</v>
      </c>
      <c r="I1601" s="2">
        <v>0</v>
      </c>
      <c r="J1601" s="2">
        <v>0</v>
      </c>
      <c r="K1601" s="2">
        <v>1</v>
      </c>
      <c r="L1601" s="3" t="s">
        <v>80</v>
      </c>
      <c r="O1601" s="4">
        <v>5</v>
      </c>
      <c r="P1601" s="4" t="s">
        <v>81</v>
      </c>
      <c r="Q1601" s="4"/>
      <c r="R1601" s="5"/>
      <c r="S1601" s="6"/>
      <c r="T1601" s="17"/>
      <c r="U1601" s="6"/>
      <c r="V1601" s="4"/>
      <c r="W1601" s="4"/>
      <c r="X1601" s="4"/>
      <c r="Y1601" s="7">
        <v>5</v>
      </c>
      <c r="Z1601" s="8">
        <v>24</v>
      </c>
      <c r="AA1601" s="7" t="s">
        <v>82</v>
      </c>
      <c r="AB1601" s="7"/>
      <c r="AC1601" s="9">
        <v>5</v>
      </c>
      <c r="AD1601" s="10">
        <v>24</v>
      </c>
      <c r="AE1601" s="9" t="s">
        <v>82</v>
      </c>
      <c r="AF1601" s="9"/>
      <c r="AG1601" s="11">
        <v>3</v>
      </c>
      <c r="AH1601" s="11" t="s">
        <v>83</v>
      </c>
      <c r="AI1601" s="11" t="s">
        <v>6225</v>
      </c>
      <c r="AJ1601" s="11"/>
      <c r="AK1601" s="11"/>
      <c r="AL1601" s="12">
        <v>3</v>
      </c>
      <c r="AM1601" s="12" t="s">
        <v>83</v>
      </c>
      <c r="AN1601" s="12"/>
      <c r="AO1601" s="12"/>
      <c r="AP1601" s="12"/>
      <c r="AQ1601" s="4">
        <v>2</v>
      </c>
      <c r="AR1601" s="4" t="s">
        <v>83</v>
      </c>
      <c r="AS1601" s="4"/>
      <c r="AT1601" s="13"/>
      <c r="AU1601" s="13"/>
      <c r="AV1601" s="13"/>
      <c r="AW1601" s="13"/>
      <c r="AX1601" s="4"/>
      <c r="AY1601" s="13"/>
      <c r="AZ1601" s="13"/>
      <c r="BA1601" s="13"/>
      <c r="BB1601" s="13"/>
      <c r="BC1601" s="4"/>
      <c r="BD1601" s="4"/>
      <c r="BE1601" s="4"/>
      <c r="BF1601" s="13"/>
      <c r="BG1601" s="4"/>
      <c r="BH1601" s="13"/>
      <c r="BI1601" s="13"/>
      <c r="BJ1601" s="4"/>
      <c r="BK1601" s="14">
        <v>15</v>
      </c>
      <c r="BL1601" s="14">
        <v>15</v>
      </c>
      <c r="BM1601" s="14">
        <v>15</v>
      </c>
      <c r="BN1601" s="3" t="s">
        <v>86</v>
      </c>
      <c r="BP1601" s="15"/>
      <c r="BQ1601" s="15"/>
      <c r="BR1601" s="2" t="s">
        <v>108</v>
      </c>
      <c r="BS1601" s="2" t="s">
        <v>108</v>
      </c>
      <c r="BT1601" s="7" t="s">
        <v>760</v>
      </c>
      <c r="BU1601" s="7"/>
      <c r="BV1601" s="9" t="s">
        <v>760</v>
      </c>
      <c r="BW1601" s="9"/>
    </row>
    <row r="1602" spans="1:75" ht="14.25" customHeight="1" x14ac:dyDescent="0.25">
      <c r="A1602" s="1">
        <v>2163</v>
      </c>
      <c r="B1602" s="1" t="s">
        <v>6226</v>
      </c>
      <c r="C1602" s="1" t="s">
        <v>6227</v>
      </c>
      <c r="D1602" s="1" t="s">
        <v>77</v>
      </c>
      <c r="E1602" s="1" t="s">
        <v>2396</v>
      </c>
      <c r="F1602" s="1" t="s">
        <v>4956</v>
      </c>
      <c r="G1602" s="1" t="s">
        <v>6228</v>
      </c>
      <c r="H1602" s="2">
        <v>0</v>
      </c>
      <c r="I1602" s="2">
        <v>0</v>
      </c>
      <c r="J1602" s="2">
        <v>1</v>
      </c>
      <c r="K1602" s="2">
        <v>1</v>
      </c>
      <c r="L1602" s="3" t="s">
        <v>80</v>
      </c>
      <c r="O1602" s="4">
        <v>3</v>
      </c>
      <c r="P1602" s="4" t="s">
        <v>112</v>
      </c>
      <c r="Q1602" s="4"/>
      <c r="R1602" s="5"/>
      <c r="S1602" s="6"/>
      <c r="T1602" s="17"/>
      <c r="U1602" s="6"/>
      <c r="V1602" s="4"/>
      <c r="W1602" s="4"/>
      <c r="X1602" s="4"/>
      <c r="Y1602" s="7">
        <v>3</v>
      </c>
      <c r="Z1602" s="8">
        <v>479060</v>
      </c>
      <c r="AA1602" s="7" t="s">
        <v>92</v>
      </c>
      <c r="AB1602" s="7"/>
      <c r="AC1602" s="9">
        <v>3</v>
      </c>
      <c r="AD1602" s="10">
        <v>479060</v>
      </c>
      <c r="AE1602" s="9" t="s">
        <v>92</v>
      </c>
      <c r="AF1602" s="9"/>
      <c r="AG1602" s="11">
        <v>3</v>
      </c>
      <c r="AH1602" s="11" t="s">
        <v>93</v>
      </c>
      <c r="AI1602" s="11"/>
      <c r="AJ1602" s="11"/>
      <c r="AK1602" s="11"/>
      <c r="AL1602" s="12">
        <v>3</v>
      </c>
      <c r="AM1602" s="12" t="s">
        <v>93</v>
      </c>
      <c r="AN1602" s="12" t="s">
        <v>6229</v>
      </c>
      <c r="AO1602" s="12"/>
      <c r="AP1602" s="12"/>
      <c r="AQ1602" s="4">
        <v>3</v>
      </c>
      <c r="AR1602" s="4" t="s">
        <v>83</v>
      </c>
      <c r="AS1602" s="4"/>
      <c r="AT1602" s="13"/>
      <c r="AU1602" s="13"/>
      <c r="AV1602" s="13"/>
      <c r="AW1602" s="13"/>
      <c r="AX1602" s="4"/>
      <c r="AY1602" s="13"/>
      <c r="AZ1602" s="13"/>
      <c r="BA1602" s="13"/>
      <c r="BB1602" s="13"/>
      <c r="BC1602" s="4"/>
      <c r="BD1602" s="4"/>
      <c r="BE1602" s="4"/>
      <c r="BF1602" s="13"/>
      <c r="BG1602" s="4"/>
      <c r="BH1602" s="13"/>
      <c r="BI1602" s="13"/>
      <c r="BJ1602" s="4"/>
      <c r="BK1602" s="14">
        <v>12</v>
      </c>
      <c r="BL1602" s="14">
        <v>12</v>
      </c>
      <c r="BM1602" s="14">
        <v>12</v>
      </c>
      <c r="BP1602" s="15"/>
      <c r="BQ1602" s="15"/>
      <c r="BR1602" s="2" t="s">
        <v>115</v>
      </c>
      <c r="BS1602" s="2" t="s">
        <v>115</v>
      </c>
      <c r="BT1602" s="7" t="s">
        <v>98</v>
      </c>
      <c r="BU1602" s="7"/>
      <c r="BV1602" s="9" t="s">
        <v>98</v>
      </c>
      <c r="BW1602" s="9"/>
    </row>
    <row r="1603" spans="1:75" ht="14.25" customHeight="1" x14ac:dyDescent="0.25">
      <c r="A1603" s="1">
        <v>2164</v>
      </c>
      <c r="B1603" s="1" t="s">
        <v>6230</v>
      </c>
      <c r="C1603" s="1" t="s">
        <v>6231</v>
      </c>
      <c r="D1603" s="1" t="s">
        <v>77</v>
      </c>
      <c r="E1603" s="1" t="s">
        <v>2396</v>
      </c>
      <c r="F1603" s="1" t="s">
        <v>4956</v>
      </c>
      <c r="G1603" s="1" t="s">
        <v>6228</v>
      </c>
      <c r="H1603" s="2">
        <v>0</v>
      </c>
      <c r="I1603" s="2">
        <v>0</v>
      </c>
      <c r="J1603" s="2">
        <v>0</v>
      </c>
      <c r="K1603" s="2">
        <v>1</v>
      </c>
      <c r="L1603" s="3" t="s">
        <v>80</v>
      </c>
      <c r="O1603" s="4">
        <v>4</v>
      </c>
      <c r="P1603" s="4" t="s">
        <v>81</v>
      </c>
      <c r="Q1603" s="4"/>
      <c r="R1603" s="5"/>
      <c r="S1603" s="6"/>
      <c r="T1603" s="17"/>
      <c r="U1603" s="6"/>
      <c r="V1603" s="4"/>
      <c r="W1603" s="4"/>
      <c r="X1603" s="4"/>
      <c r="Y1603" s="7">
        <v>2</v>
      </c>
      <c r="Z1603" s="8">
        <v>2530000</v>
      </c>
      <c r="AA1603" s="7" t="s">
        <v>812</v>
      </c>
      <c r="AB1603" s="7"/>
      <c r="AC1603" s="9">
        <v>2</v>
      </c>
      <c r="AD1603" s="10">
        <v>2530000</v>
      </c>
      <c r="AE1603" s="9" t="s">
        <v>812</v>
      </c>
      <c r="AF1603" s="9"/>
      <c r="AG1603" s="11">
        <v>1</v>
      </c>
      <c r="AH1603" s="11" t="s">
        <v>83</v>
      </c>
      <c r="AI1603" s="11"/>
      <c r="AJ1603" s="11"/>
      <c r="AK1603" s="11"/>
      <c r="AL1603" s="12">
        <v>1</v>
      </c>
      <c r="AM1603" s="12" t="s">
        <v>83</v>
      </c>
      <c r="AN1603" s="12"/>
      <c r="AO1603" s="12"/>
      <c r="AP1603" s="12"/>
      <c r="AQ1603" s="4">
        <v>1</v>
      </c>
      <c r="AR1603" s="4" t="s">
        <v>83</v>
      </c>
      <c r="AS1603" s="4"/>
      <c r="AT1603" s="13"/>
      <c r="AU1603" s="13"/>
      <c r="AV1603" s="13"/>
      <c r="AW1603" s="13"/>
      <c r="AX1603" s="4"/>
      <c r="AY1603" s="13"/>
      <c r="AZ1603" s="13"/>
      <c r="BA1603" s="13"/>
      <c r="BB1603" s="13"/>
      <c r="BC1603" s="4"/>
      <c r="BD1603" s="4"/>
      <c r="BE1603" s="4"/>
      <c r="BF1603" s="13"/>
      <c r="BG1603" s="4"/>
      <c r="BH1603" s="13"/>
      <c r="BI1603" s="13"/>
      <c r="BJ1603" s="4"/>
      <c r="BK1603" s="14">
        <v>8</v>
      </c>
      <c r="BL1603" s="14">
        <v>8</v>
      </c>
      <c r="BM1603" s="14">
        <v>8</v>
      </c>
      <c r="BP1603" s="15"/>
      <c r="BQ1603" s="15"/>
      <c r="BR1603" s="2" t="s">
        <v>740</v>
      </c>
      <c r="BS1603" s="2" t="s">
        <v>740</v>
      </c>
      <c r="BT1603" s="7" t="s">
        <v>98</v>
      </c>
      <c r="BU1603" s="7"/>
      <c r="BV1603" s="9" t="s">
        <v>98</v>
      </c>
      <c r="BW1603" s="9"/>
    </row>
    <row r="1604" spans="1:75" ht="14.25" customHeight="1" x14ac:dyDescent="0.25">
      <c r="A1604" s="1">
        <v>2165</v>
      </c>
      <c r="B1604" s="1" t="s">
        <v>6232</v>
      </c>
      <c r="C1604" s="1" t="s">
        <v>6233</v>
      </c>
      <c r="D1604" s="1" t="s">
        <v>77</v>
      </c>
      <c r="E1604" s="1" t="s">
        <v>2396</v>
      </c>
      <c r="F1604" s="1" t="s">
        <v>4956</v>
      </c>
      <c r="G1604" s="1" t="s">
        <v>6234</v>
      </c>
      <c r="H1604" s="2">
        <v>0</v>
      </c>
      <c r="I1604" s="2">
        <v>0</v>
      </c>
      <c r="J1604" s="2">
        <v>0</v>
      </c>
      <c r="K1604" s="2">
        <v>1</v>
      </c>
      <c r="L1604" s="3" t="s">
        <v>80</v>
      </c>
      <c r="O1604" s="4">
        <v>4</v>
      </c>
      <c r="P1604" s="4" t="s">
        <v>81</v>
      </c>
      <c r="Q1604" s="4"/>
      <c r="R1604" s="5"/>
      <c r="S1604" s="6"/>
      <c r="T1604" s="17"/>
      <c r="U1604" s="6"/>
      <c r="V1604" s="4"/>
      <c r="W1604" s="4"/>
      <c r="X1604" s="4"/>
      <c r="Y1604" s="7">
        <v>5</v>
      </c>
      <c r="Z1604" s="8">
        <v>52986</v>
      </c>
      <c r="AA1604" s="7" t="s">
        <v>82</v>
      </c>
      <c r="AB1604" s="7"/>
      <c r="AC1604" s="9">
        <v>5</v>
      </c>
      <c r="AD1604" s="10">
        <v>52986</v>
      </c>
      <c r="AE1604" s="9" t="s">
        <v>82</v>
      </c>
      <c r="AF1604" s="9"/>
      <c r="AG1604" s="11">
        <v>4</v>
      </c>
      <c r="AH1604" s="11" t="s">
        <v>83</v>
      </c>
      <c r="AI1604" s="11"/>
      <c r="AJ1604" s="11"/>
      <c r="AK1604" s="11"/>
      <c r="AL1604" s="12">
        <v>4</v>
      </c>
      <c r="AM1604" s="12" t="s">
        <v>83</v>
      </c>
      <c r="AN1604" s="12"/>
      <c r="AO1604" s="12"/>
      <c r="AP1604" s="12"/>
      <c r="AQ1604" s="4">
        <v>5</v>
      </c>
      <c r="AR1604" s="4" t="s">
        <v>83</v>
      </c>
      <c r="AS1604" s="4" t="s">
        <v>6235</v>
      </c>
      <c r="AT1604" s="13"/>
      <c r="AU1604" s="13"/>
      <c r="AV1604" s="13"/>
      <c r="AW1604" s="13"/>
      <c r="AX1604" s="4"/>
      <c r="AY1604" s="13"/>
      <c r="AZ1604" s="13"/>
      <c r="BA1604" s="13"/>
      <c r="BB1604" s="13"/>
      <c r="BC1604" s="4"/>
      <c r="BD1604" s="4"/>
      <c r="BE1604" s="4"/>
      <c r="BF1604" s="13"/>
      <c r="BG1604" s="4"/>
      <c r="BH1604" s="13"/>
      <c r="BI1604" s="13"/>
      <c r="BJ1604" s="4"/>
      <c r="BK1604" s="14">
        <v>18</v>
      </c>
      <c r="BL1604" s="14">
        <v>18</v>
      </c>
      <c r="BM1604" s="14">
        <v>18</v>
      </c>
      <c r="BN1604" s="3" t="s">
        <v>312</v>
      </c>
      <c r="BP1604" s="15"/>
      <c r="BQ1604" s="15"/>
      <c r="BR1604" s="2" t="s">
        <v>115</v>
      </c>
      <c r="BS1604" s="2" t="s">
        <v>115</v>
      </c>
      <c r="BT1604" s="7" t="s">
        <v>98</v>
      </c>
      <c r="BU1604" s="7"/>
      <c r="BV1604" s="9" t="s">
        <v>98</v>
      </c>
      <c r="BW1604" s="9"/>
    </row>
    <row r="1605" spans="1:75" ht="14.25" customHeight="1" x14ac:dyDescent="0.25">
      <c r="A1605" s="1">
        <v>2166</v>
      </c>
      <c r="B1605" s="1" t="s">
        <v>6236</v>
      </c>
      <c r="C1605" s="1" t="s">
        <v>6237</v>
      </c>
      <c r="D1605" s="1" t="s">
        <v>77</v>
      </c>
      <c r="E1605" s="1" t="s">
        <v>2396</v>
      </c>
      <c r="F1605" s="1" t="s">
        <v>4956</v>
      </c>
      <c r="G1605" s="1" t="s">
        <v>6238</v>
      </c>
      <c r="H1605" s="2">
        <v>0</v>
      </c>
      <c r="I1605" s="2">
        <v>0</v>
      </c>
      <c r="J1605" s="2">
        <v>1</v>
      </c>
      <c r="K1605" s="2">
        <v>1</v>
      </c>
      <c r="L1605" s="3" t="s">
        <v>80</v>
      </c>
      <c r="O1605" s="4">
        <v>3</v>
      </c>
      <c r="P1605" s="4" t="s">
        <v>112</v>
      </c>
      <c r="Q1605" s="4"/>
      <c r="R1605" s="5"/>
      <c r="S1605" s="6"/>
      <c r="T1605" s="17"/>
      <c r="U1605" s="6"/>
      <c r="V1605" s="4"/>
      <c r="W1605" s="4"/>
      <c r="X1605" s="4"/>
      <c r="Y1605" s="7">
        <v>3</v>
      </c>
      <c r="Z1605" s="8">
        <v>481488</v>
      </c>
      <c r="AA1605" s="7" t="s">
        <v>92</v>
      </c>
      <c r="AB1605" s="7"/>
      <c r="AC1605" s="9">
        <v>3</v>
      </c>
      <c r="AD1605" s="10">
        <v>481488</v>
      </c>
      <c r="AE1605" s="9" t="s">
        <v>92</v>
      </c>
      <c r="AF1605" s="9" t="s">
        <v>6239</v>
      </c>
      <c r="AG1605" s="11">
        <v>2</v>
      </c>
      <c r="AH1605" s="11" t="s">
        <v>93</v>
      </c>
      <c r="AI1605" s="11"/>
      <c r="AJ1605" s="11"/>
      <c r="AK1605" s="11"/>
      <c r="AL1605" s="12">
        <v>2</v>
      </c>
      <c r="AM1605" s="12" t="s">
        <v>93</v>
      </c>
      <c r="AN1605" s="12" t="s">
        <v>6240</v>
      </c>
      <c r="AO1605" s="12"/>
      <c r="AP1605" s="12"/>
      <c r="AQ1605" s="4">
        <v>2</v>
      </c>
      <c r="AR1605" s="4" t="s">
        <v>83</v>
      </c>
      <c r="AS1605" s="4"/>
      <c r="AT1605" s="13"/>
      <c r="AU1605" s="13"/>
      <c r="AV1605" s="13"/>
      <c r="AW1605" s="13"/>
      <c r="AX1605" s="4"/>
      <c r="AY1605" s="13"/>
      <c r="AZ1605" s="13"/>
      <c r="BA1605" s="13"/>
      <c r="BB1605" s="13"/>
      <c r="BC1605" s="4"/>
      <c r="BD1605" s="4"/>
      <c r="BE1605" s="4"/>
      <c r="BF1605" s="13"/>
      <c r="BG1605" s="4"/>
      <c r="BH1605" s="13"/>
      <c r="BI1605" s="13"/>
      <c r="BJ1605" s="4"/>
      <c r="BK1605" s="14">
        <v>10</v>
      </c>
      <c r="BL1605" s="14">
        <v>10</v>
      </c>
      <c r="BM1605" s="14">
        <v>10</v>
      </c>
      <c r="BP1605" s="15" t="s">
        <v>135</v>
      </c>
      <c r="BQ1605" s="15" t="s">
        <v>146</v>
      </c>
      <c r="BR1605" s="2" t="s">
        <v>400</v>
      </c>
      <c r="BS1605" s="2" t="s">
        <v>400</v>
      </c>
      <c r="BT1605" s="7" t="s">
        <v>458</v>
      </c>
      <c r="BU1605" s="7"/>
      <c r="BV1605" s="9" t="s">
        <v>458</v>
      </c>
      <c r="BW1605" s="9"/>
    </row>
    <row r="1606" spans="1:75" ht="14.25" customHeight="1" x14ac:dyDescent="0.25">
      <c r="A1606" s="1">
        <v>2167</v>
      </c>
      <c r="B1606" s="1" t="s">
        <v>6241</v>
      </c>
      <c r="C1606" s="1" t="s">
        <v>6242</v>
      </c>
      <c r="D1606" s="1" t="s">
        <v>77</v>
      </c>
      <c r="E1606" s="1" t="s">
        <v>2396</v>
      </c>
      <c r="F1606" s="1" t="s">
        <v>4956</v>
      </c>
      <c r="G1606" s="1"/>
      <c r="H1606" s="2">
        <v>0</v>
      </c>
      <c r="I1606" s="2">
        <v>0</v>
      </c>
      <c r="J1606" s="2">
        <v>0</v>
      </c>
      <c r="K1606" s="2">
        <v>1</v>
      </c>
      <c r="L1606" s="3" t="s">
        <v>80</v>
      </c>
      <c r="O1606" s="4">
        <v>4</v>
      </c>
      <c r="P1606" s="4" t="s">
        <v>81</v>
      </c>
      <c r="Q1606" s="4" t="s">
        <v>609</v>
      </c>
      <c r="R1606" s="5"/>
      <c r="S1606" s="6"/>
      <c r="T1606" s="17"/>
      <c r="U1606" s="6"/>
      <c r="V1606" s="4"/>
      <c r="W1606" s="4"/>
      <c r="X1606" s="4"/>
      <c r="Y1606" s="7">
        <v>2</v>
      </c>
      <c r="Z1606" s="8">
        <v>1540276</v>
      </c>
      <c r="AA1606" s="7" t="s">
        <v>92</v>
      </c>
      <c r="AB1606" s="7"/>
      <c r="AC1606" s="9">
        <v>2</v>
      </c>
      <c r="AD1606" s="10">
        <v>1540276</v>
      </c>
      <c r="AE1606" s="9" t="s">
        <v>82</v>
      </c>
      <c r="AF1606" s="9"/>
      <c r="AG1606" s="11">
        <v>4</v>
      </c>
      <c r="AH1606" s="11" t="s">
        <v>83</v>
      </c>
      <c r="AI1606" s="11" t="s">
        <v>6243</v>
      </c>
      <c r="AJ1606" s="11"/>
      <c r="AK1606" s="11"/>
      <c r="AL1606" s="12">
        <v>4</v>
      </c>
      <c r="AM1606" s="12" t="s">
        <v>83</v>
      </c>
      <c r="AN1606" s="12"/>
      <c r="AO1606" s="12"/>
      <c r="AP1606" s="12"/>
      <c r="AQ1606" s="4">
        <v>5</v>
      </c>
      <c r="AR1606" s="4" t="s">
        <v>83</v>
      </c>
      <c r="AS1606" s="4" t="s">
        <v>6244</v>
      </c>
      <c r="AT1606" s="13"/>
      <c r="AU1606" s="13"/>
      <c r="AV1606" s="13"/>
      <c r="AW1606" s="13"/>
      <c r="AX1606" s="4"/>
      <c r="AY1606" s="13"/>
      <c r="AZ1606" s="13"/>
      <c r="BA1606" s="13"/>
      <c r="BB1606" s="13"/>
      <c r="BC1606" s="4"/>
      <c r="BD1606" s="4"/>
      <c r="BE1606" s="4"/>
      <c r="BF1606" s="13"/>
      <c r="BG1606" s="4"/>
      <c r="BH1606" s="13"/>
      <c r="BI1606" s="13"/>
      <c r="BJ1606" s="4"/>
      <c r="BK1606" s="14">
        <v>15</v>
      </c>
      <c r="BL1606" s="14">
        <v>15</v>
      </c>
      <c r="BM1606" s="14">
        <v>15</v>
      </c>
      <c r="BN1606" s="3" t="s">
        <v>113</v>
      </c>
      <c r="BP1606" s="15"/>
      <c r="BQ1606" s="15"/>
      <c r="BR1606" s="2" t="s">
        <v>97</v>
      </c>
      <c r="BS1606" s="2" t="s">
        <v>97</v>
      </c>
      <c r="BT1606" s="7" t="s">
        <v>98</v>
      </c>
      <c r="BU1606" s="7"/>
      <c r="BV1606" s="9" t="s">
        <v>98</v>
      </c>
      <c r="BW1606" s="9"/>
    </row>
    <row r="1607" spans="1:75" ht="14.25" customHeight="1" x14ac:dyDescent="0.25">
      <c r="A1607" s="1">
        <v>2168</v>
      </c>
      <c r="B1607" s="1" t="s">
        <v>6245</v>
      </c>
      <c r="C1607" s="1" t="s">
        <v>6246</v>
      </c>
      <c r="D1607" s="1" t="s">
        <v>77</v>
      </c>
      <c r="E1607" s="1" t="s">
        <v>2396</v>
      </c>
      <c r="F1607" s="1" t="s">
        <v>4956</v>
      </c>
      <c r="G1607" s="1"/>
      <c r="H1607" s="2">
        <v>0</v>
      </c>
      <c r="I1607" s="2">
        <v>0</v>
      </c>
      <c r="J1607" s="2">
        <v>1</v>
      </c>
      <c r="K1607" s="2">
        <v>0</v>
      </c>
      <c r="L1607" s="3" t="s">
        <v>80</v>
      </c>
      <c r="O1607" s="4">
        <v>2</v>
      </c>
      <c r="P1607" s="4" t="s">
        <v>6247</v>
      </c>
      <c r="Q1607" s="4" t="s">
        <v>6248</v>
      </c>
      <c r="R1607" s="16">
        <v>5800000</v>
      </c>
      <c r="S1607" s="6">
        <v>5800000</v>
      </c>
      <c r="T1607" s="5">
        <v>0</v>
      </c>
      <c r="U1607" s="6">
        <v>0</v>
      </c>
      <c r="V1607" s="4"/>
      <c r="W1607" s="4" t="s">
        <v>1300</v>
      </c>
      <c r="X1607" s="4"/>
      <c r="Y1607" s="7">
        <v>3</v>
      </c>
      <c r="Z1607" s="8">
        <v>346711</v>
      </c>
      <c r="AA1607" s="7" t="s">
        <v>1300</v>
      </c>
      <c r="AB1607" s="7"/>
      <c r="AC1607" s="9">
        <v>3</v>
      </c>
      <c r="AD1607" s="10">
        <v>346711</v>
      </c>
      <c r="AE1607" s="9" t="s">
        <v>1300</v>
      </c>
      <c r="AF1607" s="9"/>
      <c r="AG1607" s="11">
        <v>1</v>
      </c>
      <c r="AH1607" s="11" t="s">
        <v>271</v>
      </c>
      <c r="AI1607" s="11"/>
      <c r="AJ1607" s="11"/>
      <c r="AK1607" s="11"/>
      <c r="AL1607" s="12">
        <v>1</v>
      </c>
      <c r="AM1607" s="12" t="s">
        <v>537</v>
      </c>
      <c r="AN1607" s="12" t="s">
        <v>6240</v>
      </c>
      <c r="AO1607" s="12"/>
      <c r="AP1607" s="12"/>
      <c r="AQ1607" s="4">
        <v>1</v>
      </c>
      <c r="AR1607" s="4" t="s">
        <v>673</v>
      </c>
      <c r="AS1607" s="4" t="s">
        <v>4337</v>
      </c>
      <c r="AT1607" s="13"/>
      <c r="AU1607" s="13"/>
      <c r="AV1607" s="13"/>
      <c r="AW1607" s="13"/>
      <c r="AX1607" s="4"/>
      <c r="AY1607" s="13"/>
      <c r="AZ1607" s="13"/>
      <c r="BA1607" s="13"/>
      <c r="BB1607" s="13"/>
      <c r="BC1607" s="4"/>
      <c r="BD1607" s="4"/>
      <c r="BE1607" s="4"/>
      <c r="BF1607" s="13"/>
      <c r="BG1607" s="4"/>
      <c r="BH1607" s="13"/>
      <c r="BI1607" s="13"/>
      <c r="BJ1607" s="4"/>
      <c r="BK1607" s="14">
        <v>7</v>
      </c>
      <c r="BL1607" s="14">
        <v>7</v>
      </c>
      <c r="BM1607" s="14">
        <v>7</v>
      </c>
      <c r="BP1607" s="15"/>
      <c r="BQ1607" s="15" t="s">
        <v>146</v>
      </c>
      <c r="BR1607" s="2" t="s">
        <v>108</v>
      </c>
      <c r="BS1607" s="2" t="s">
        <v>108</v>
      </c>
      <c r="BT1607" s="7" t="s">
        <v>603</v>
      </c>
      <c r="BU1607" s="7"/>
      <c r="BV1607" s="9" t="s">
        <v>603</v>
      </c>
      <c r="BW1607" s="9"/>
    </row>
    <row r="1608" spans="1:75" ht="14.25" customHeight="1" x14ac:dyDescent="0.25">
      <c r="A1608" s="1">
        <v>2169</v>
      </c>
      <c r="B1608" s="1" t="s">
        <v>6249</v>
      </c>
      <c r="C1608" s="1" t="s">
        <v>6250</v>
      </c>
      <c r="D1608" s="1" t="s">
        <v>77</v>
      </c>
      <c r="E1608" s="1" t="s">
        <v>2396</v>
      </c>
      <c r="F1608" s="1" t="s">
        <v>4956</v>
      </c>
      <c r="G1608" s="1" t="s">
        <v>6251</v>
      </c>
      <c r="H1608" s="2">
        <v>0</v>
      </c>
      <c r="I1608" s="2">
        <v>1</v>
      </c>
      <c r="J1608" s="2">
        <v>1</v>
      </c>
      <c r="K1608" s="2">
        <v>1</v>
      </c>
      <c r="L1608" s="3" t="s">
        <v>80</v>
      </c>
      <c r="O1608" s="4">
        <v>2</v>
      </c>
      <c r="P1608" s="4" t="s">
        <v>6247</v>
      </c>
      <c r="Q1608" s="4" t="s">
        <v>6252</v>
      </c>
      <c r="R1608" s="16">
        <v>14000000</v>
      </c>
      <c r="S1608" s="6">
        <v>14000000</v>
      </c>
      <c r="T1608" s="16">
        <v>500000</v>
      </c>
      <c r="U1608" s="6">
        <v>500000</v>
      </c>
      <c r="V1608" s="4"/>
      <c r="W1608" s="4" t="s">
        <v>6253</v>
      </c>
      <c r="X1608" s="4" t="s">
        <v>6254</v>
      </c>
      <c r="Y1608" s="7">
        <v>3</v>
      </c>
      <c r="Z1608" s="8">
        <v>854795</v>
      </c>
      <c r="AA1608" s="7" t="s">
        <v>1300</v>
      </c>
      <c r="AB1608" s="7"/>
      <c r="AC1608" s="9">
        <v>3</v>
      </c>
      <c r="AD1608" s="10">
        <v>854795</v>
      </c>
      <c r="AE1608" s="9" t="s">
        <v>1300</v>
      </c>
      <c r="AF1608" s="9"/>
      <c r="AG1608" s="11">
        <v>1</v>
      </c>
      <c r="AH1608" s="11" t="s">
        <v>271</v>
      </c>
      <c r="AI1608" s="11"/>
      <c r="AJ1608" s="11"/>
      <c r="AK1608" s="11"/>
      <c r="AL1608" s="12">
        <v>1</v>
      </c>
      <c r="AM1608" s="12" t="s">
        <v>537</v>
      </c>
      <c r="AN1608" s="12" t="s">
        <v>6240</v>
      </c>
      <c r="AO1608" s="12"/>
      <c r="AP1608" s="12"/>
      <c r="AQ1608" s="4">
        <v>1</v>
      </c>
      <c r="AR1608" s="4" t="s">
        <v>673</v>
      </c>
      <c r="AS1608" s="4" t="s">
        <v>4337</v>
      </c>
      <c r="AT1608" s="13"/>
      <c r="AU1608" s="13"/>
      <c r="AV1608" s="13"/>
      <c r="AW1608" s="13"/>
      <c r="AX1608" s="4"/>
      <c r="AY1608" s="13"/>
      <c r="AZ1608" s="13"/>
      <c r="BA1608" s="13"/>
      <c r="BB1608" s="13"/>
      <c r="BC1608" s="4"/>
      <c r="BD1608" s="4"/>
      <c r="BE1608" s="4"/>
      <c r="BF1608" s="13"/>
      <c r="BG1608" s="4"/>
      <c r="BH1608" s="13"/>
      <c r="BI1608" s="13"/>
      <c r="BJ1608" s="4"/>
      <c r="BK1608" s="14">
        <v>7</v>
      </c>
      <c r="BL1608" s="14">
        <v>7</v>
      </c>
      <c r="BM1608" s="14">
        <v>7</v>
      </c>
      <c r="BP1608" s="15"/>
      <c r="BQ1608" s="15" t="s">
        <v>146</v>
      </c>
      <c r="BR1608" s="2" t="s">
        <v>115</v>
      </c>
      <c r="BS1608" s="2" t="s">
        <v>115</v>
      </c>
      <c r="BT1608" s="7" t="s">
        <v>603</v>
      </c>
      <c r="BU1608" s="7"/>
      <c r="BV1608" s="9" t="s">
        <v>603</v>
      </c>
      <c r="BW1608" s="9"/>
    </row>
    <row r="1609" spans="1:75" ht="14.25" customHeight="1" x14ac:dyDescent="0.25">
      <c r="A1609" s="1">
        <v>2170</v>
      </c>
      <c r="B1609" s="1" t="s">
        <v>6255</v>
      </c>
      <c r="C1609" s="1" t="s">
        <v>6256</v>
      </c>
      <c r="D1609" s="1" t="s">
        <v>77</v>
      </c>
      <c r="E1609" s="1" t="s">
        <v>2396</v>
      </c>
      <c r="F1609" s="1" t="s">
        <v>4956</v>
      </c>
      <c r="G1609" s="1"/>
      <c r="H1609" s="2">
        <v>0</v>
      </c>
      <c r="I1609" s="2">
        <v>0</v>
      </c>
      <c r="J1609" s="2">
        <v>0</v>
      </c>
      <c r="K1609" s="2">
        <v>1</v>
      </c>
      <c r="L1609" s="3" t="s">
        <v>80</v>
      </c>
      <c r="O1609" s="4">
        <v>2</v>
      </c>
      <c r="P1609" s="4" t="s">
        <v>81</v>
      </c>
      <c r="Q1609" s="4"/>
      <c r="R1609" s="5"/>
      <c r="S1609" s="6"/>
      <c r="T1609" s="6"/>
      <c r="U1609" s="6"/>
      <c r="V1609" s="4"/>
      <c r="W1609" s="4"/>
      <c r="X1609" s="4"/>
      <c r="Y1609" s="7">
        <v>1</v>
      </c>
      <c r="Z1609" s="8">
        <v>7214316</v>
      </c>
      <c r="AA1609" s="7" t="s">
        <v>82</v>
      </c>
      <c r="AB1609" s="7"/>
      <c r="AC1609" s="9">
        <v>1</v>
      </c>
      <c r="AD1609" s="10">
        <v>7213962</v>
      </c>
      <c r="AE1609" s="9" t="s">
        <v>82</v>
      </c>
      <c r="AF1609" s="9"/>
      <c r="AG1609" s="11">
        <v>2</v>
      </c>
      <c r="AH1609" s="11" t="s">
        <v>83</v>
      </c>
      <c r="AI1609" s="11"/>
      <c r="AJ1609" s="11"/>
      <c r="AK1609" s="11"/>
      <c r="AL1609" s="12">
        <v>2</v>
      </c>
      <c r="AM1609" s="12" t="s">
        <v>83</v>
      </c>
      <c r="AN1609" s="12"/>
      <c r="AO1609" s="12"/>
      <c r="AP1609" s="12"/>
      <c r="AQ1609" s="4">
        <v>2</v>
      </c>
      <c r="AR1609" s="4" t="s">
        <v>83</v>
      </c>
      <c r="AS1609" s="4"/>
      <c r="AT1609" s="13"/>
      <c r="AU1609" s="13"/>
      <c r="AV1609" s="13"/>
      <c r="AW1609" s="13"/>
      <c r="AX1609" s="4"/>
      <c r="AY1609" s="13"/>
      <c r="AZ1609" s="13"/>
      <c r="BA1609" s="13"/>
      <c r="BB1609" s="13"/>
      <c r="BC1609" s="4"/>
      <c r="BD1609" s="4"/>
      <c r="BE1609" s="4"/>
      <c r="BF1609" s="13"/>
      <c r="BG1609" s="4"/>
      <c r="BH1609" s="13"/>
      <c r="BI1609" s="13"/>
      <c r="BJ1609" s="4"/>
      <c r="BK1609" s="14">
        <v>7</v>
      </c>
      <c r="BL1609" s="14">
        <v>7</v>
      </c>
      <c r="BM1609" s="14">
        <v>7</v>
      </c>
      <c r="BP1609" s="15"/>
      <c r="BQ1609" s="15" t="s">
        <v>146</v>
      </c>
      <c r="BR1609" s="2" t="s">
        <v>97</v>
      </c>
      <c r="BS1609" s="2" t="s">
        <v>97</v>
      </c>
      <c r="BT1609" s="7" t="s">
        <v>603</v>
      </c>
      <c r="BU1609" s="7"/>
      <c r="BV1609" s="9" t="s">
        <v>603</v>
      </c>
      <c r="BW1609" s="9"/>
    </row>
    <row r="1610" spans="1:75" ht="14.25" customHeight="1" x14ac:dyDescent="0.25">
      <c r="A1610" s="1">
        <v>2171</v>
      </c>
      <c r="B1610" s="1" t="s">
        <v>6257</v>
      </c>
      <c r="C1610" s="1" t="s">
        <v>6258</v>
      </c>
      <c r="D1610" s="1" t="s">
        <v>77</v>
      </c>
      <c r="E1610" s="1" t="s">
        <v>2396</v>
      </c>
      <c r="F1610" s="1" t="s">
        <v>4956</v>
      </c>
      <c r="G1610" s="1"/>
      <c r="H1610" s="2">
        <v>0</v>
      </c>
      <c r="I1610" s="2">
        <v>0</v>
      </c>
      <c r="J1610" s="2">
        <v>1</v>
      </c>
      <c r="K1610" s="2">
        <v>1</v>
      </c>
      <c r="L1610" s="3" t="s">
        <v>80</v>
      </c>
      <c r="O1610" s="4">
        <v>3</v>
      </c>
      <c r="P1610" s="4" t="s">
        <v>112</v>
      </c>
      <c r="Q1610" s="4"/>
      <c r="R1610" s="5"/>
      <c r="S1610" s="6"/>
      <c r="T1610" s="6"/>
      <c r="U1610" s="6"/>
      <c r="V1610" s="4"/>
      <c r="W1610" s="4"/>
      <c r="X1610" s="4"/>
      <c r="Y1610" s="7">
        <v>2</v>
      </c>
      <c r="Z1610" s="8">
        <v>2247933</v>
      </c>
      <c r="AA1610" s="7" t="s">
        <v>92</v>
      </c>
      <c r="AB1610" s="7"/>
      <c r="AC1610" s="9">
        <v>2</v>
      </c>
      <c r="AD1610" s="10">
        <v>2247933</v>
      </c>
      <c r="AE1610" s="9" t="s">
        <v>92</v>
      </c>
      <c r="AF1610" s="9"/>
      <c r="AG1610" s="11">
        <v>2</v>
      </c>
      <c r="AH1610" s="11" t="s">
        <v>93</v>
      </c>
      <c r="AI1610" s="11"/>
      <c r="AJ1610" s="11"/>
      <c r="AK1610" s="11"/>
      <c r="AL1610" s="12">
        <v>2</v>
      </c>
      <c r="AM1610" s="12" t="s">
        <v>93</v>
      </c>
      <c r="AN1610" s="12" t="s">
        <v>6240</v>
      </c>
      <c r="AO1610" s="12"/>
      <c r="AP1610" s="12"/>
      <c r="AQ1610" s="4">
        <v>3</v>
      </c>
      <c r="AR1610" s="4" t="s">
        <v>83</v>
      </c>
      <c r="AS1610" s="4"/>
      <c r="AT1610" s="13"/>
      <c r="AU1610" s="13"/>
      <c r="AV1610" s="13"/>
      <c r="AW1610" s="13"/>
      <c r="AX1610" s="4"/>
      <c r="AY1610" s="13"/>
      <c r="AZ1610" s="13"/>
      <c r="BA1610" s="13"/>
      <c r="BB1610" s="13"/>
      <c r="BC1610" s="4"/>
      <c r="BD1610" s="4"/>
      <c r="BE1610" s="4"/>
      <c r="BF1610" s="13"/>
      <c r="BG1610" s="4"/>
      <c r="BH1610" s="13"/>
      <c r="BI1610" s="13"/>
      <c r="BJ1610" s="4"/>
      <c r="BK1610" s="14">
        <v>10</v>
      </c>
      <c r="BL1610" s="14">
        <v>10</v>
      </c>
      <c r="BM1610" s="14">
        <v>10</v>
      </c>
      <c r="BP1610" s="15"/>
      <c r="BQ1610" s="15"/>
      <c r="BR1610" s="2" t="s">
        <v>97</v>
      </c>
      <c r="BS1610" s="2" t="s">
        <v>97</v>
      </c>
      <c r="BT1610" s="7" t="s">
        <v>458</v>
      </c>
      <c r="BU1610" s="7" t="s">
        <v>463</v>
      </c>
      <c r="BV1610" s="9" t="s">
        <v>458</v>
      </c>
      <c r="BW1610" s="9" t="s">
        <v>463</v>
      </c>
    </row>
    <row r="1611" spans="1:75" ht="14.25" customHeight="1" x14ac:dyDescent="0.25">
      <c r="A1611" s="1">
        <v>2172</v>
      </c>
      <c r="B1611" s="1" t="s">
        <v>6259</v>
      </c>
      <c r="C1611" s="1" t="s">
        <v>6260</v>
      </c>
      <c r="D1611" s="1" t="s">
        <v>77</v>
      </c>
      <c r="E1611" s="1" t="s">
        <v>2396</v>
      </c>
      <c r="F1611" s="1" t="s">
        <v>4956</v>
      </c>
      <c r="G1611" s="1"/>
      <c r="H1611" s="2">
        <v>0</v>
      </c>
      <c r="I1611" s="2">
        <v>0</v>
      </c>
      <c r="J1611" s="2">
        <v>0</v>
      </c>
      <c r="K1611" s="2">
        <v>1</v>
      </c>
      <c r="L1611" s="3" t="s">
        <v>80</v>
      </c>
      <c r="O1611" s="4">
        <v>3</v>
      </c>
      <c r="P1611" s="4" t="s">
        <v>81</v>
      </c>
      <c r="Q1611" s="4" t="s">
        <v>6261</v>
      </c>
      <c r="R1611" s="5"/>
      <c r="S1611" s="6"/>
      <c r="T1611" s="6"/>
      <c r="U1611" s="6"/>
      <c r="V1611" s="4"/>
      <c r="W1611" s="4"/>
      <c r="X1611" s="4"/>
      <c r="Y1611" s="7">
        <v>1</v>
      </c>
      <c r="Z1611" s="8">
        <v>5064366</v>
      </c>
      <c r="AA1611" s="7" t="s">
        <v>82</v>
      </c>
      <c r="AB1611" s="7"/>
      <c r="AC1611" s="9">
        <v>1</v>
      </c>
      <c r="AD1611" s="10">
        <v>5064366</v>
      </c>
      <c r="AE1611" s="9" t="s">
        <v>82</v>
      </c>
      <c r="AF1611" s="9"/>
      <c r="AG1611" s="11">
        <v>4</v>
      </c>
      <c r="AH1611" s="11" t="s">
        <v>83</v>
      </c>
      <c r="AI1611" s="11" t="s">
        <v>6262</v>
      </c>
      <c r="AJ1611" s="11"/>
      <c r="AK1611" s="11"/>
      <c r="AL1611" s="12">
        <v>4</v>
      </c>
      <c r="AM1611" s="12" t="s">
        <v>83</v>
      </c>
      <c r="AN1611" s="12"/>
      <c r="AO1611" s="12"/>
      <c r="AP1611" s="12"/>
      <c r="AQ1611" s="4">
        <v>4</v>
      </c>
      <c r="AR1611" s="4" t="s">
        <v>83</v>
      </c>
      <c r="AS1611" s="4"/>
      <c r="AT1611" s="13"/>
      <c r="AU1611" s="13"/>
      <c r="AV1611" s="13"/>
      <c r="AW1611" s="13"/>
      <c r="AX1611" s="4"/>
      <c r="AY1611" s="13"/>
      <c r="AZ1611" s="13"/>
      <c r="BA1611" s="13"/>
      <c r="BB1611" s="13"/>
      <c r="BC1611" s="4"/>
      <c r="BD1611" s="4"/>
      <c r="BE1611" s="4"/>
      <c r="BF1611" s="13"/>
      <c r="BG1611" s="4"/>
      <c r="BH1611" s="13"/>
      <c r="BI1611" s="13"/>
      <c r="BJ1611" s="4"/>
      <c r="BK1611" s="14">
        <v>12</v>
      </c>
      <c r="BL1611" s="14">
        <v>12</v>
      </c>
      <c r="BM1611" s="14">
        <v>12</v>
      </c>
      <c r="BP1611" s="15"/>
      <c r="BQ1611" s="15"/>
      <c r="BR1611" s="2" t="s">
        <v>740</v>
      </c>
      <c r="BS1611" s="2" t="s">
        <v>740</v>
      </c>
      <c r="BT1611" s="7" t="s">
        <v>463</v>
      </c>
      <c r="BU1611" s="7"/>
      <c r="BV1611" s="9" t="s">
        <v>463</v>
      </c>
      <c r="BW1611" s="9"/>
    </row>
    <row r="1612" spans="1:75" ht="14.25" customHeight="1" x14ac:dyDescent="0.25">
      <c r="A1612" s="1">
        <v>2173</v>
      </c>
      <c r="B1612" s="1" t="s">
        <v>6263</v>
      </c>
      <c r="C1612" s="1" t="s">
        <v>6264</v>
      </c>
      <c r="D1612" s="1" t="s">
        <v>77</v>
      </c>
      <c r="E1612" s="1" t="s">
        <v>2396</v>
      </c>
      <c r="F1612" s="1" t="s">
        <v>4956</v>
      </c>
      <c r="G1612" s="1"/>
      <c r="H1612" s="2">
        <v>0</v>
      </c>
      <c r="I1612" s="2">
        <v>0</v>
      </c>
      <c r="J1612" s="2">
        <v>1</v>
      </c>
      <c r="K1612" s="2">
        <v>1</v>
      </c>
      <c r="L1612" s="3" t="s">
        <v>80</v>
      </c>
      <c r="O1612" s="4">
        <v>3</v>
      </c>
      <c r="P1612" s="4" t="s">
        <v>112</v>
      </c>
      <c r="Q1612" s="4"/>
      <c r="R1612" s="5"/>
      <c r="S1612" s="6"/>
      <c r="T1612" s="6"/>
      <c r="U1612" s="6"/>
      <c r="V1612" s="4"/>
      <c r="W1612" s="4"/>
      <c r="X1612" s="4"/>
      <c r="Y1612" s="7">
        <v>3</v>
      </c>
      <c r="Z1612" s="8">
        <v>713235</v>
      </c>
      <c r="AA1612" s="7" t="s">
        <v>92</v>
      </c>
      <c r="AB1612" s="7"/>
      <c r="AC1612" s="9">
        <v>3</v>
      </c>
      <c r="AD1612" s="10">
        <v>713235</v>
      </c>
      <c r="AE1612" s="9" t="s">
        <v>92</v>
      </c>
      <c r="AF1612" s="9"/>
      <c r="AG1612" s="11">
        <v>2</v>
      </c>
      <c r="AH1612" s="11" t="s">
        <v>93</v>
      </c>
      <c r="AI1612" s="11"/>
      <c r="AJ1612" s="11"/>
      <c r="AK1612" s="11"/>
      <c r="AL1612" s="12">
        <v>2</v>
      </c>
      <c r="AM1612" s="12" t="s">
        <v>93</v>
      </c>
      <c r="AN1612" s="12" t="s">
        <v>394</v>
      </c>
      <c r="AO1612" s="12"/>
      <c r="AP1612" s="12"/>
      <c r="AQ1612" s="4">
        <v>3</v>
      </c>
      <c r="AR1612" s="4" t="s">
        <v>83</v>
      </c>
      <c r="AS1612" s="4"/>
      <c r="AT1612" s="13"/>
      <c r="AU1612" s="13"/>
      <c r="AV1612" s="13"/>
      <c r="AW1612" s="13"/>
      <c r="AX1612" s="4"/>
      <c r="AY1612" s="13"/>
      <c r="AZ1612" s="13"/>
      <c r="BA1612" s="13"/>
      <c r="BB1612" s="13"/>
      <c r="BC1612" s="4"/>
      <c r="BD1612" s="4"/>
      <c r="BE1612" s="4"/>
      <c r="BF1612" s="13"/>
      <c r="BG1612" s="4"/>
      <c r="BH1612" s="13"/>
      <c r="BI1612" s="13"/>
      <c r="BJ1612" s="4"/>
      <c r="BK1612" s="14">
        <v>11</v>
      </c>
      <c r="BL1612" s="14">
        <v>11</v>
      </c>
      <c r="BM1612" s="14">
        <v>11</v>
      </c>
      <c r="BP1612" s="15"/>
      <c r="BQ1612" s="15"/>
      <c r="BR1612" s="2" t="s">
        <v>115</v>
      </c>
      <c r="BS1612" s="2" t="s">
        <v>115</v>
      </c>
      <c r="BT1612" s="7" t="s">
        <v>98</v>
      </c>
      <c r="BU1612" s="7"/>
      <c r="BV1612" s="9" t="s">
        <v>98</v>
      </c>
      <c r="BW1612" s="9"/>
    </row>
    <row r="1613" spans="1:75" ht="14.25" customHeight="1" x14ac:dyDescent="0.25">
      <c r="A1613" s="1">
        <v>2174</v>
      </c>
      <c r="B1613" s="1" t="s">
        <v>6265</v>
      </c>
      <c r="C1613" s="1" t="s">
        <v>6266</v>
      </c>
      <c r="D1613" s="1" t="s">
        <v>77</v>
      </c>
      <c r="E1613" s="1" t="s">
        <v>2396</v>
      </c>
      <c r="F1613" s="1" t="s">
        <v>4956</v>
      </c>
      <c r="G1613" s="1"/>
      <c r="H1613" s="2">
        <v>0</v>
      </c>
      <c r="I1613" s="2">
        <v>0</v>
      </c>
      <c r="J1613" s="2">
        <v>1</v>
      </c>
      <c r="K1613" s="2">
        <v>1</v>
      </c>
      <c r="L1613" s="3" t="s">
        <v>80</v>
      </c>
      <c r="O1613" s="4">
        <v>2</v>
      </c>
      <c r="P1613" s="4" t="s">
        <v>112</v>
      </c>
      <c r="Q1613" s="4"/>
      <c r="R1613" s="5"/>
      <c r="S1613" s="6"/>
      <c r="T1613" s="6"/>
      <c r="U1613" s="6"/>
      <c r="V1613" s="4"/>
      <c r="W1613" s="4"/>
      <c r="X1613" s="4"/>
      <c r="Y1613" s="7">
        <v>1</v>
      </c>
      <c r="Z1613" s="8">
        <v>9575419</v>
      </c>
      <c r="AA1613" s="7" t="s">
        <v>92</v>
      </c>
      <c r="AB1613" s="7"/>
      <c r="AC1613" s="9">
        <v>1</v>
      </c>
      <c r="AD1613" s="10">
        <v>9575419</v>
      </c>
      <c r="AE1613" s="9" t="s">
        <v>92</v>
      </c>
      <c r="AF1613" s="9"/>
      <c r="AG1613" s="11">
        <v>3</v>
      </c>
      <c r="AH1613" s="11" t="s">
        <v>93</v>
      </c>
      <c r="AI1613" s="11"/>
      <c r="AJ1613" s="11"/>
      <c r="AK1613" s="11"/>
      <c r="AL1613" s="12">
        <v>3</v>
      </c>
      <c r="AM1613" s="12" t="s">
        <v>93</v>
      </c>
      <c r="AN1613" s="12" t="s">
        <v>5053</v>
      </c>
      <c r="AO1613" s="12"/>
      <c r="AP1613" s="12"/>
      <c r="AQ1613" s="4">
        <v>3</v>
      </c>
      <c r="AR1613" s="4" t="s">
        <v>83</v>
      </c>
      <c r="AS1613" s="4" t="s">
        <v>6267</v>
      </c>
      <c r="AT1613" s="13"/>
      <c r="AU1613" s="13"/>
      <c r="AV1613" s="13"/>
      <c r="AW1613" s="13"/>
      <c r="AX1613" s="4"/>
      <c r="AY1613" s="13"/>
      <c r="AZ1613" s="13"/>
      <c r="BA1613" s="13"/>
      <c r="BB1613" s="13"/>
      <c r="BC1613" s="4"/>
      <c r="BD1613" s="4"/>
      <c r="BE1613" s="4"/>
      <c r="BF1613" s="13"/>
      <c r="BG1613" s="4"/>
      <c r="BH1613" s="13"/>
      <c r="BI1613" s="13"/>
      <c r="BJ1613" s="4"/>
      <c r="BK1613" s="14">
        <v>9</v>
      </c>
      <c r="BL1613" s="14">
        <v>9</v>
      </c>
      <c r="BM1613" s="14">
        <v>9</v>
      </c>
      <c r="BP1613" s="15"/>
      <c r="BQ1613" s="15"/>
      <c r="BR1613" s="2" t="s">
        <v>97</v>
      </c>
      <c r="BS1613" s="2" t="s">
        <v>97</v>
      </c>
      <c r="BT1613" s="7" t="s">
        <v>98</v>
      </c>
      <c r="BU1613" s="7"/>
      <c r="BV1613" s="9" t="s">
        <v>98</v>
      </c>
      <c r="BW1613" s="9"/>
    </row>
    <row r="1614" spans="1:75" ht="14.25" customHeight="1" x14ac:dyDescent="0.25">
      <c r="A1614" s="1">
        <v>2175</v>
      </c>
      <c r="B1614" s="1" t="s">
        <v>6268</v>
      </c>
      <c r="C1614" s="1" t="s">
        <v>6269</v>
      </c>
      <c r="D1614" s="1" t="s">
        <v>77</v>
      </c>
      <c r="E1614" s="1" t="s">
        <v>2396</v>
      </c>
      <c r="F1614" s="1" t="s">
        <v>4956</v>
      </c>
      <c r="G1614" s="1"/>
      <c r="H1614" s="2">
        <v>0</v>
      </c>
      <c r="I1614" s="2">
        <v>0</v>
      </c>
      <c r="J1614" s="2">
        <v>0</v>
      </c>
      <c r="K1614" s="2">
        <v>1</v>
      </c>
      <c r="L1614" s="3" t="s">
        <v>80</v>
      </c>
      <c r="O1614" s="4">
        <v>2</v>
      </c>
      <c r="P1614" s="4" t="s">
        <v>81</v>
      </c>
      <c r="Q1614" s="4"/>
      <c r="R1614" s="5"/>
      <c r="S1614" s="6"/>
      <c r="T1614" s="6"/>
      <c r="U1614" s="6"/>
      <c r="V1614" s="4"/>
      <c r="W1614" s="4"/>
      <c r="X1614" s="4"/>
      <c r="Y1614" s="7">
        <v>1</v>
      </c>
      <c r="Z1614" s="8">
        <v>6264103</v>
      </c>
      <c r="AA1614" s="7" t="s">
        <v>82</v>
      </c>
      <c r="AB1614" s="7"/>
      <c r="AC1614" s="9">
        <v>1</v>
      </c>
      <c r="AD1614" s="10">
        <v>6264103</v>
      </c>
      <c r="AE1614" s="9" t="s">
        <v>82</v>
      </c>
      <c r="AF1614" s="9"/>
      <c r="AG1614" s="11">
        <v>4</v>
      </c>
      <c r="AH1614" s="11" t="s">
        <v>83</v>
      </c>
      <c r="AI1614" s="11"/>
      <c r="AJ1614" s="11"/>
      <c r="AK1614" s="11"/>
      <c r="AL1614" s="12">
        <v>4</v>
      </c>
      <c r="AM1614" s="12" t="s">
        <v>83</v>
      </c>
      <c r="AN1614" s="12"/>
      <c r="AO1614" s="12"/>
      <c r="AP1614" s="12"/>
      <c r="AQ1614" s="4">
        <v>5</v>
      </c>
      <c r="AR1614" s="4" t="s">
        <v>83</v>
      </c>
      <c r="AS1614" s="4"/>
      <c r="AT1614" s="13"/>
      <c r="AU1614" s="13"/>
      <c r="AV1614" s="13"/>
      <c r="AW1614" s="13"/>
      <c r="AX1614" s="4"/>
      <c r="AY1614" s="13"/>
      <c r="AZ1614" s="13"/>
      <c r="BA1614" s="13"/>
      <c r="BB1614" s="13"/>
      <c r="BC1614" s="4"/>
      <c r="BD1614" s="4"/>
      <c r="BE1614" s="4"/>
      <c r="BF1614" s="13"/>
      <c r="BG1614" s="4"/>
      <c r="BH1614" s="13"/>
      <c r="BI1614" s="13"/>
      <c r="BJ1614" s="4"/>
      <c r="BK1614" s="14">
        <v>12</v>
      </c>
      <c r="BL1614" s="14">
        <v>12</v>
      </c>
      <c r="BM1614" s="14">
        <v>12</v>
      </c>
      <c r="BN1614" s="3" t="s">
        <v>302</v>
      </c>
      <c r="BP1614" s="15"/>
      <c r="BQ1614" s="15"/>
      <c r="BR1614" s="2" t="s">
        <v>97</v>
      </c>
      <c r="BS1614" s="2" t="s">
        <v>97</v>
      </c>
      <c r="BT1614" s="7" t="s">
        <v>98</v>
      </c>
      <c r="BU1614" s="7"/>
      <c r="BV1614" s="9" t="s">
        <v>98</v>
      </c>
      <c r="BW1614" s="9"/>
    </row>
  </sheetData>
  <autoFilter ref="A1:BW1614" xr:uid="{00000000-0009-0000-0000-000000000000}"/>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6385"/>
  <sheetViews>
    <sheetView workbookViewId="0"/>
  </sheetViews>
  <sheetFormatPr defaultColWidth="14.42578125" defaultRowHeight="15" customHeight="1" x14ac:dyDescent="0.25"/>
  <cols>
    <col min="1" max="1" width="29" customWidth="1"/>
    <col min="2" max="2" width="255.7109375" customWidth="1"/>
    <col min="3" max="6" width="8.7109375" customWidth="1"/>
  </cols>
  <sheetData>
    <row r="1" spans="1:6" ht="14.25" customHeight="1" x14ac:dyDescent="0.25">
      <c r="A1" s="18" t="s">
        <v>6270</v>
      </c>
      <c r="B1" s="18" t="s">
        <v>6271</v>
      </c>
      <c r="C1" s="18"/>
      <c r="D1" s="18"/>
      <c r="E1" s="18"/>
      <c r="F1" s="18"/>
    </row>
    <row r="2" spans="1:6" ht="14.25" customHeight="1" x14ac:dyDescent="0.25">
      <c r="A2" s="3" t="s">
        <v>6272</v>
      </c>
      <c r="B2" s="3" t="s">
        <v>6273</v>
      </c>
    </row>
    <row r="3" spans="1:6" ht="14.25" customHeight="1" x14ac:dyDescent="0.25">
      <c r="A3" s="3" t="s">
        <v>1</v>
      </c>
      <c r="B3" s="3" t="s">
        <v>6274</v>
      </c>
    </row>
    <row r="4" spans="1:6" ht="14.25" customHeight="1" x14ac:dyDescent="0.25">
      <c r="A4" s="3" t="s">
        <v>2</v>
      </c>
      <c r="B4" s="3" t="s">
        <v>6275</v>
      </c>
    </row>
    <row r="5" spans="1:6" ht="14.25" customHeight="1" x14ac:dyDescent="0.25">
      <c r="A5" s="3" t="s">
        <v>6276</v>
      </c>
      <c r="B5" s="3" t="s">
        <v>6277</v>
      </c>
    </row>
    <row r="6" spans="1:6" ht="14.25" customHeight="1" x14ac:dyDescent="0.25">
      <c r="A6" s="3" t="s">
        <v>4</v>
      </c>
      <c r="B6" s="3" t="s">
        <v>6278</v>
      </c>
    </row>
    <row r="7" spans="1:6" ht="14.25" customHeight="1" x14ac:dyDescent="0.25">
      <c r="A7" s="3" t="s">
        <v>5</v>
      </c>
      <c r="B7" s="3" t="s">
        <v>6279</v>
      </c>
    </row>
    <row r="8" spans="1:6" ht="14.25" customHeight="1" x14ac:dyDescent="0.25">
      <c r="A8" s="3" t="s">
        <v>6</v>
      </c>
      <c r="B8" s="3" t="s">
        <v>6280</v>
      </c>
    </row>
    <row r="9" spans="1:6" ht="14.25" customHeight="1" x14ac:dyDescent="0.25">
      <c r="A9" s="3" t="s">
        <v>7</v>
      </c>
      <c r="B9" s="3" t="s">
        <v>6281</v>
      </c>
    </row>
    <row r="10" spans="1:6" ht="14.25" customHeight="1" x14ac:dyDescent="0.25">
      <c r="A10" s="3" t="s">
        <v>8</v>
      </c>
      <c r="B10" s="3" t="s">
        <v>6282</v>
      </c>
    </row>
    <row r="11" spans="1:6" ht="14.25" customHeight="1" x14ac:dyDescent="0.25">
      <c r="A11" s="3" t="s">
        <v>9</v>
      </c>
      <c r="B11" s="3" t="s">
        <v>6283</v>
      </c>
    </row>
    <row r="12" spans="1:6" ht="14.25" customHeight="1" x14ac:dyDescent="0.25">
      <c r="A12" s="3" t="s">
        <v>10</v>
      </c>
      <c r="B12" s="3" t="s">
        <v>6284</v>
      </c>
    </row>
    <row r="13" spans="1:6" ht="14.25" customHeight="1" x14ac:dyDescent="0.25">
      <c r="A13" s="3" t="s">
        <v>11</v>
      </c>
      <c r="B13" s="3" t="s">
        <v>6285</v>
      </c>
    </row>
    <row r="14" spans="1:6" ht="14.25" customHeight="1" x14ac:dyDescent="0.25">
      <c r="A14" s="3" t="s">
        <v>12</v>
      </c>
      <c r="B14" s="3" t="s">
        <v>6286</v>
      </c>
    </row>
    <row r="15" spans="1:6" ht="14.25" customHeight="1" x14ac:dyDescent="0.25">
      <c r="A15" s="3" t="s">
        <v>13</v>
      </c>
      <c r="B15" s="3" t="s">
        <v>6287</v>
      </c>
    </row>
    <row r="16" spans="1:6" ht="14.25" customHeight="1" x14ac:dyDescent="0.25">
      <c r="A16" s="3" t="s">
        <v>14</v>
      </c>
      <c r="B16" s="3" t="s">
        <v>6288</v>
      </c>
    </row>
    <row r="17" spans="1:2" ht="14.25" customHeight="1" x14ac:dyDescent="0.25">
      <c r="A17" s="3" t="s">
        <v>15</v>
      </c>
      <c r="B17" s="3" t="s">
        <v>6289</v>
      </c>
    </row>
    <row r="18" spans="1:2" ht="14.25" customHeight="1" x14ac:dyDescent="0.25">
      <c r="A18" s="3" t="s">
        <v>16</v>
      </c>
      <c r="B18" s="3" t="s">
        <v>6290</v>
      </c>
    </row>
    <row r="19" spans="1:2" ht="14.25" customHeight="1" x14ac:dyDescent="0.25">
      <c r="A19" s="3" t="s">
        <v>17</v>
      </c>
      <c r="B19" s="3" t="s">
        <v>6291</v>
      </c>
    </row>
    <row r="20" spans="1:2" ht="14.25" customHeight="1" x14ac:dyDescent="0.25">
      <c r="A20" s="3" t="s">
        <v>18</v>
      </c>
      <c r="B20" s="3" t="s">
        <v>6292</v>
      </c>
    </row>
    <row r="21" spans="1:2" ht="14.25" customHeight="1" x14ac:dyDescent="0.25">
      <c r="A21" s="3" t="s">
        <v>19</v>
      </c>
      <c r="B21" s="3" t="s">
        <v>6293</v>
      </c>
    </row>
    <row r="22" spans="1:2" ht="14.25" customHeight="1" x14ac:dyDescent="0.25">
      <c r="A22" s="3" t="s">
        <v>20</v>
      </c>
      <c r="B22" s="3" t="s">
        <v>6294</v>
      </c>
    </row>
    <row r="23" spans="1:2" ht="14.25" customHeight="1" x14ac:dyDescent="0.25">
      <c r="A23" s="3" t="s">
        <v>21</v>
      </c>
      <c r="B23" s="3" t="s">
        <v>6295</v>
      </c>
    </row>
    <row r="24" spans="1:2" ht="14.25" customHeight="1" x14ac:dyDescent="0.25">
      <c r="A24" s="3" t="s">
        <v>22</v>
      </c>
      <c r="B24" s="3" t="s">
        <v>6296</v>
      </c>
    </row>
    <row r="25" spans="1:2" ht="14.25" customHeight="1" x14ac:dyDescent="0.25">
      <c r="A25" s="3" t="s">
        <v>23</v>
      </c>
      <c r="B25" s="3" t="s">
        <v>6297</v>
      </c>
    </row>
    <row r="26" spans="1:2" ht="14.25" customHeight="1" x14ac:dyDescent="0.25">
      <c r="A26" s="3" t="s">
        <v>24</v>
      </c>
      <c r="B26" s="3" t="s">
        <v>6298</v>
      </c>
    </row>
    <row r="27" spans="1:2" ht="14.25" customHeight="1" x14ac:dyDescent="0.25">
      <c r="A27" s="3" t="s">
        <v>25</v>
      </c>
      <c r="B27" s="3" t="s">
        <v>6299</v>
      </c>
    </row>
    <row r="28" spans="1:2" ht="14.25" customHeight="1" x14ac:dyDescent="0.25">
      <c r="A28" s="3" t="s">
        <v>26</v>
      </c>
      <c r="B28" s="3" t="s">
        <v>6300</v>
      </c>
    </row>
    <row r="29" spans="1:2" ht="14.25" customHeight="1" x14ac:dyDescent="0.25">
      <c r="A29" s="3" t="s">
        <v>27</v>
      </c>
      <c r="B29" s="3" t="s">
        <v>6301</v>
      </c>
    </row>
    <row r="30" spans="1:2" ht="14.25" customHeight="1" x14ac:dyDescent="0.25">
      <c r="A30" s="3" t="s">
        <v>28</v>
      </c>
      <c r="B30" s="3" t="s">
        <v>6302</v>
      </c>
    </row>
    <row r="31" spans="1:2" ht="14.25" customHeight="1" x14ac:dyDescent="0.25">
      <c r="A31" s="3" t="s">
        <v>29</v>
      </c>
      <c r="B31" s="3" t="s">
        <v>6303</v>
      </c>
    </row>
    <row r="32" spans="1:2" ht="14.25" customHeight="1" x14ac:dyDescent="0.25">
      <c r="A32" s="3" t="s">
        <v>30</v>
      </c>
      <c r="B32" s="3" t="s">
        <v>6304</v>
      </c>
    </row>
    <row r="33" spans="1:2" ht="14.25" customHeight="1" x14ac:dyDescent="0.25">
      <c r="A33" s="3" t="s">
        <v>31</v>
      </c>
      <c r="B33" s="3" t="s">
        <v>6305</v>
      </c>
    </row>
    <row r="34" spans="1:2" ht="14.25" customHeight="1" x14ac:dyDescent="0.25">
      <c r="A34" s="3" t="s">
        <v>32</v>
      </c>
      <c r="B34" s="3" t="s">
        <v>6306</v>
      </c>
    </row>
    <row r="35" spans="1:2" ht="14.25" customHeight="1" x14ac:dyDescent="0.25">
      <c r="A35" s="3" t="s">
        <v>33</v>
      </c>
      <c r="B35" s="3" t="s">
        <v>6307</v>
      </c>
    </row>
    <row r="36" spans="1:2" ht="14.25" customHeight="1" x14ac:dyDescent="0.25">
      <c r="A36" s="3" t="s">
        <v>34</v>
      </c>
      <c r="B36" s="3" t="s">
        <v>6308</v>
      </c>
    </row>
    <row r="37" spans="1:2" ht="14.25" customHeight="1" x14ac:dyDescent="0.25">
      <c r="A37" s="3" t="s">
        <v>35</v>
      </c>
      <c r="B37" s="3" t="s">
        <v>6309</v>
      </c>
    </row>
    <row r="38" spans="1:2" ht="14.25" customHeight="1" x14ac:dyDescent="0.25">
      <c r="A38" s="3" t="s">
        <v>36</v>
      </c>
      <c r="B38" s="3" t="s">
        <v>6310</v>
      </c>
    </row>
    <row r="39" spans="1:2" ht="14.25" customHeight="1" x14ac:dyDescent="0.25">
      <c r="A39" s="3" t="s">
        <v>37</v>
      </c>
      <c r="B39" s="3" t="s">
        <v>6311</v>
      </c>
    </row>
    <row r="40" spans="1:2" ht="14.25" customHeight="1" x14ac:dyDescent="0.25">
      <c r="A40" s="3" t="s">
        <v>38</v>
      </c>
      <c r="B40" s="3" t="s">
        <v>6312</v>
      </c>
    </row>
    <row r="41" spans="1:2" ht="14.25" customHeight="1" x14ac:dyDescent="0.25">
      <c r="A41" s="3" t="s">
        <v>39</v>
      </c>
      <c r="B41" s="3" t="s">
        <v>6313</v>
      </c>
    </row>
    <row r="42" spans="1:2" ht="14.25" customHeight="1" x14ac:dyDescent="0.25">
      <c r="A42" s="3" t="s">
        <v>40</v>
      </c>
      <c r="B42" s="3" t="s">
        <v>6314</v>
      </c>
    </row>
    <row r="43" spans="1:2" ht="14.25" customHeight="1" x14ac:dyDescent="0.25">
      <c r="A43" s="3" t="s">
        <v>41</v>
      </c>
      <c r="B43" s="3" t="s">
        <v>6315</v>
      </c>
    </row>
    <row r="44" spans="1:2" ht="14.25" customHeight="1" x14ac:dyDescent="0.25">
      <c r="A44" s="3" t="s">
        <v>42</v>
      </c>
      <c r="B44" s="3" t="s">
        <v>6316</v>
      </c>
    </row>
    <row r="45" spans="1:2" ht="14.25" customHeight="1" x14ac:dyDescent="0.25">
      <c r="A45" s="3" t="s">
        <v>43</v>
      </c>
      <c r="B45" s="3" t="s">
        <v>6317</v>
      </c>
    </row>
    <row r="46" spans="1:2" ht="14.25" customHeight="1" x14ac:dyDescent="0.25">
      <c r="A46" s="3" t="s">
        <v>44</v>
      </c>
      <c r="B46" s="3" t="s">
        <v>6318</v>
      </c>
    </row>
    <row r="47" spans="1:2" ht="14.25" customHeight="1" x14ac:dyDescent="0.25">
      <c r="A47" s="3" t="s">
        <v>45</v>
      </c>
      <c r="B47" s="3" t="s">
        <v>6319</v>
      </c>
    </row>
    <row r="48" spans="1:2" ht="14.25" customHeight="1" x14ac:dyDescent="0.25">
      <c r="A48" s="3" t="s">
        <v>6320</v>
      </c>
      <c r="B48" s="3" t="s">
        <v>6321</v>
      </c>
    </row>
    <row r="49" spans="1:2" ht="14.25" customHeight="1" x14ac:dyDescent="0.25">
      <c r="A49" s="3" t="s">
        <v>47</v>
      </c>
      <c r="B49" s="3" t="s">
        <v>6322</v>
      </c>
    </row>
    <row r="50" spans="1:2" ht="14.25" customHeight="1" x14ac:dyDescent="0.25">
      <c r="A50" s="3" t="s">
        <v>48</v>
      </c>
      <c r="B50" s="3" t="s">
        <v>6323</v>
      </c>
    </row>
    <row r="51" spans="1:2" ht="14.25" customHeight="1" x14ac:dyDescent="0.25">
      <c r="A51" s="3" t="s">
        <v>49</v>
      </c>
      <c r="B51" s="3" t="s">
        <v>6324</v>
      </c>
    </row>
    <row r="52" spans="1:2" ht="14.25" customHeight="1" x14ac:dyDescent="0.25">
      <c r="A52" s="3" t="s">
        <v>50</v>
      </c>
      <c r="B52" s="3" t="s">
        <v>6325</v>
      </c>
    </row>
    <row r="53" spans="1:2" ht="14.25" customHeight="1" x14ac:dyDescent="0.25">
      <c r="A53" s="3" t="s">
        <v>6326</v>
      </c>
      <c r="B53" s="3" t="s">
        <v>6327</v>
      </c>
    </row>
    <row r="54" spans="1:2" ht="14.25" customHeight="1" x14ac:dyDescent="0.25">
      <c r="A54" s="3" t="s">
        <v>52</v>
      </c>
      <c r="B54" s="3" t="s">
        <v>6328</v>
      </c>
    </row>
    <row r="55" spans="1:2" ht="14.25" customHeight="1" x14ac:dyDescent="0.25">
      <c r="A55" s="3" t="s">
        <v>53</v>
      </c>
      <c r="B55" s="3" t="s">
        <v>6329</v>
      </c>
    </row>
    <row r="56" spans="1:2" ht="14.25" customHeight="1" x14ac:dyDescent="0.25">
      <c r="A56" s="3" t="s">
        <v>54</v>
      </c>
      <c r="B56" s="3" t="s">
        <v>6330</v>
      </c>
    </row>
    <row r="57" spans="1:2" ht="14.25" customHeight="1" x14ac:dyDescent="0.25">
      <c r="A57" s="3" t="s">
        <v>6331</v>
      </c>
      <c r="B57" s="3" t="s">
        <v>6332</v>
      </c>
    </row>
    <row r="58" spans="1:2" ht="14.25" customHeight="1" x14ac:dyDescent="0.25">
      <c r="A58" s="3" t="s">
        <v>56</v>
      </c>
      <c r="B58" s="3" t="s">
        <v>6333</v>
      </c>
    </row>
    <row r="59" spans="1:2" ht="14.25" customHeight="1" x14ac:dyDescent="0.25">
      <c r="A59" s="3" t="s">
        <v>57</v>
      </c>
      <c r="B59" s="3" t="s">
        <v>6334</v>
      </c>
    </row>
    <row r="60" spans="1:2" ht="14.25" customHeight="1" x14ac:dyDescent="0.25">
      <c r="A60" s="3" t="s">
        <v>58</v>
      </c>
      <c r="B60" s="3" t="s">
        <v>6335</v>
      </c>
    </row>
    <row r="61" spans="1:2" ht="14.25" customHeight="1" x14ac:dyDescent="0.25">
      <c r="A61" s="3" t="s">
        <v>59</v>
      </c>
      <c r="B61" s="3" t="s">
        <v>6336</v>
      </c>
    </row>
    <row r="62" spans="1:2" ht="14.25" customHeight="1" x14ac:dyDescent="0.25">
      <c r="A62" s="3" t="s">
        <v>60</v>
      </c>
      <c r="B62" s="3" t="s">
        <v>6337</v>
      </c>
    </row>
    <row r="63" spans="1:2" ht="14.25" customHeight="1" x14ac:dyDescent="0.25">
      <c r="A63" s="3" t="s">
        <v>61</v>
      </c>
      <c r="B63" s="3" t="s">
        <v>6338</v>
      </c>
    </row>
    <row r="64" spans="1:2" ht="14.25" customHeight="1" x14ac:dyDescent="0.25">
      <c r="A64" s="3" t="s">
        <v>62</v>
      </c>
      <c r="B64" s="3" t="s">
        <v>6339</v>
      </c>
    </row>
    <row r="65" spans="1:2" ht="14.25" customHeight="1" x14ac:dyDescent="0.25">
      <c r="A65" s="3" t="s">
        <v>63</v>
      </c>
      <c r="B65" s="3" t="s">
        <v>6340</v>
      </c>
    </row>
    <row r="66" spans="1:2" ht="14.25" customHeight="1" x14ac:dyDescent="0.25">
      <c r="A66" s="3" t="s">
        <v>64</v>
      </c>
      <c r="B66" s="3" t="s">
        <v>6341</v>
      </c>
    </row>
    <row r="67" spans="1:2" ht="14.25" customHeight="1" x14ac:dyDescent="0.25">
      <c r="A67" s="3" t="s">
        <v>65</v>
      </c>
      <c r="B67" s="3" t="s">
        <v>6342</v>
      </c>
    </row>
    <row r="68" spans="1:2" ht="14.25" customHeight="1" x14ac:dyDescent="0.25">
      <c r="A68" s="3" t="s">
        <v>66</v>
      </c>
      <c r="B68" s="3" t="s">
        <v>6343</v>
      </c>
    </row>
    <row r="69" spans="1:2" ht="14.25" customHeight="1" x14ac:dyDescent="0.25">
      <c r="A69" s="3" t="s">
        <v>67</v>
      </c>
      <c r="B69" s="3" t="s">
        <v>6344</v>
      </c>
    </row>
    <row r="70" spans="1:2" ht="14.25" customHeight="1" x14ac:dyDescent="0.25">
      <c r="A70" s="3" t="s">
        <v>68</v>
      </c>
      <c r="B70" s="3" t="s">
        <v>6345</v>
      </c>
    </row>
    <row r="71" spans="1:2" ht="14.25" customHeight="1" x14ac:dyDescent="0.25">
      <c r="A71" s="3" t="s">
        <v>69</v>
      </c>
      <c r="B71" s="3" t="s">
        <v>6346</v>
      </c>
    </row>
    <row r="72" spans="1:2" ht="14.25" customHeight="1" x14ac:dyDescent="0.25">
      <c r="A72" s="3" t="s">
        <v>70</v>
      </c>
      <c r="B72" s="3" t="s">
        <v>6347</v>
      </c>
    </row>
    <row r="73" spans="1:2" ht="14.25" customHeight="1" x14ac:dyDescent="0.25">
      <c r="A73" s="3" t="s">
        <v>71</v>
      </c>
      <c r="B73" s="3" t="s">
        <v>6348</v>
      </c>
    </row>
    <row r="74" spans="1:2" ht="14.25" customHeight="1" x14ac:dyDescent="0.25">
      <c r="A74" s="3" t="s">
        <v>72</v>
      </c>
      <c r="B74" s="3" t="s">
        <v>6349</v>
      </c>
    </row>
    <row r="75" spans="1:2" ht="14.25" customHeight="1" x14ac:dyDescent="0.25">
      <c r="A75" s="3" t="s">
        <v>73</v>
      </c>
      <c r="B75" s="3" t="s">
        <v>6350</v>
      </c>
    </row>
    <row r="76" spans="1:2" ht="14.25" customHeight="1" x14ac:dyDescent="0.25">
      <c r="A76" s="3" t="s">
        <v>74</v>
      </c>
      <c r="B76" s="3" t="s">
        <v>6351</v>
      </c>
    </row>
    <row r="77" spans="1:2" ht="14.25" customHeight="1" x14ac:dyDescent="0.25"/>
    <row r="78" spans="1:2" ht="14.25" customHeight="1" x14ac:dyDescent="0.25"/>
    <row r="79" spans="1:2" ht="14.25" customHeight="1" x14ac:dyDescent="0.25"/>
    <row r="80" spans="1:2"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row r="1001" ht="14.25" customHeight="1" x14ac:dyDescent="0.25"/>
    <row r="1002" ht="14.25" customHeight="1" x14ac:dyDescent="0.25"/>
    <row r="1003" ht="14.25" customHeight="1" x14ac:dyDescent="0.25"/>
    <row r="1004" ht="14.25" customHeight="1" x14ac:dyDescent="0.25"/>
    <row r="1005" ht="14.25" customHeight="1" x14ac:dyDescent="0.25"/>
    <row r="1006" ht="14.25" customHeight="1" x14ac:dyDescent="0.25"/>
    <row r="1007" ht="14.25" customHeight="1" x14ac:dyDescent="0.25"/>
    <row r="1008" ht="14.25" customHeight="1" x14ac:dyDescent="0.25"/>
    <row r="1009" ht="14.25" customHeight="1" x14ac:dyDescent="0.25"/>
    <row r="1010" ht="14.25" customHeight="1" x14ac:dyDescent="0.25"/>
    <row r="1011" ht="14.25" customHeight="1" x14ac:dyDescent="0.25"/>
    <row r="1012" ht="14.25" customHeight="1" x14ac:dyDescent="0.25"/>
    <row r="1013" ht="14.25" customHeight="1" x14ac:dyDescent="0.25"/>
    <row r="1014" ht="14.25" customHeight="1" x14ac:dyDescent="0.25"/>
    <row r="1015" ht="14.25" customHeight="1" x14ac:dyDescent="0.25"/>
    <row r="1016" ht="14.25" customHeight="1" x14ac:dyDescent="0.25"/>
    <row r="1017" ht="14.25" customHeight="1" x14ac:dyDescent="0.25"/>
    <row r="1018" ht="14.25" customHeight="1" x14ac:dyDescent="0.25"/>
    <row r="1019" ht="14.25" customHeight="1" x14ac:dyDescent="0.25"/>
    <row r="1020" ht="14.25" customHeight="1" x14ac:dyDescent="0.25"/>
    <row r="1021" ht="14.25" customHeight="1" x14ac:dyDescent="0.25"/>
    <row r="1022" ht="14.25" customHeight="1" x14ac:dyDescent="0.25"/>
    <row r="1023" ht="14.25" customHeight="1" x14ac:dyDescent="0.25"/>
    <row r="1024" ht="14.25" customHeight="1" x14ac:dyDescent="0.25"/>
    <row r="1025" ht="14.25" customHeight="1" x14ac:dyDescent="0.25"/>
    <row r="1026" ht="14.25" customHeight="1" x14ac:dyDescent="0.25"/>
    <row r="1027" ht="14.25" customHeight="1" x14ac:dyDescent="0.25"/>
    <row r="1028" ht="14.25" customHeight="1" x14ac:dyDescent="0.25"/>
    <row r="1029" ht="14.25" customHeight="1" x14ac:dyDescent="0.25"/>
    <row r="1030" ht="14.25" customHeight="1" x14ac:dyDescent="0.25"/>
    <row r="1031" ht="14.25" customHeight="1" x14ac:dyDescent="0.25"/>
    <row r="1032" ht="14.25" customHeight="1" x14ac:dyDescent="0.25"/>
    <row r="1033" ht="14.25" customHeight="1" x14ac:dyDescent="0.25"/>
    <row r="1034" ht="14.25" customHeight="1" x14ac:dyDescent="0.25"/>
    <row r="1035" ht="14.25" customHeight="1" x14ac:dyDescent="0.25"/>
    <row r="1036" ht="14.25" customHeight="1" x14ac:dyDescent="0.25"/>
    <row r="1037" ht="14.25" customHeight="1" x14ac:dyDescent="0.25"/>
    <row r="1038" ht="14.25" customHeight="1" x14ac:dyDescent="0.25"/>
    <row r="1039" ht="14.25" customHeight="1" x14ac:dyDescent="0.25"/>
    <row r="1040" ht="14.25" customHeight="1" x14ac:dyDescent="0.25"/>
    <row r="1041" ht="14.25" customHeight="1" x14ac:dyDescent="0.25"/>
    <row r="1042" ht="14.25" customHeight="1" x14ac:dyDescent="0.25"/>
    <row r="1043" ht="14.25" customHeight="1" x14ac:dyDescent="0.25"/>
    <row r="1044" ht="14.25" customHeight="1" x14ac:dyDescent="0.25"/>
    <row r="1045" ht="14.25" customHeight="1" x14ac:dyDescent="0.25"/>
    <row r="1046" ht="14.25" customHeight="1" x14ac:dyDescent="0.25"/>
    <row r="1047" ht="14.25" customHeight="1" x14ac:dyDescent="0.25"/>
    <row r="1048" ht="14.25" customHeight="1" x14ac:dyDescent="0.25"/>
    <row r="1049" ht="14.25" customHeight="1" x14ac:dyDescent="0.25"/>
    <row r="1050" ht="14.25" customHeight="1" x14ac:dyDescent="0.25"/>
    <row r="1051" ht="14.25" customHeight="1" x14ac:dyDescent="0.25"/>
    <row r="1052" ht="14.25" customHeight="1" x14ac:dyDescent="0.25"/>
    <row r="1053" ht="14.25" customHeight="1" x14ac:dyDescent="0.25"/>
    <row r="1054" ht="14.25" customHeight="1" x14ac:dyDescent="0.25"/>
    <row r="1055" ht="14.25" customHeight="1" x14ac:dyDescent="0.25"/>
    <row r="1056" ht="14.25" customHeight="1" x14ac:dyDescent="0.25"/>
    <row r="1057" ht="14.25" customHeight="1" x14ac:dyDescent="0.25"/>
    <row r="1058" ht="14.25" customHeight="1" x14ac:dyDescent="0.25"/>
    <row r="1059" ht="14.25" customHeight="1" x14ac:dyDescent="0.25"/>
    <row r="1060" ht="14.25" customHeight="1" x14ac:dyDescent="0.25"/>
    <row r="1061" ht="14.25" customHeight="1" x14ac:dyDescent="0.25"/>
    <row r="1062" ht="14.25" customHeight="1" x14ac:dyDescent="0.25"/>
    <row r="1063" ht="14.25" customHeight="1" x14ac:dyDescent="0.25"/>
    <row r="1064" ht="14.25" customHeight="1" x14ac:dyDescent="0.25"/>
    <row r="1065" ht="14.25" customHeight="1" x14ac:dyDescent="0.25"/>
    <row r="1066" ht="14.25" customHeight="1" x14ac:dyDescent="0.25"/>
    <row r="1067" ht="14.25" customHeight="1" x14ac:dyDescent="0.25"/>
    <row r="1068" ht="14.25" customHeight="1" x14ac:dyDescent="0.25"/>
    <row r="1069" ht="14.25" customHeight="1" x14ac:dyDescent="0.25"/>
    <row r="1070" ht="14.25" customHeight="1" x14ac:dyDescent="0.25"/>
    <row r="1071" ht="14.25" customHeight="1" x14ac:dyDescent="0.25"/>
    <row r="1072" ht="14.25" customHeight="1" x14ac:dyDescent="0.25"/>
    <row r="1073" ht="14.25" customHeight="1" x14ac:dyDescent="0.25"/>
    <row r="1074" ht="14.25" customHeight="1" x14ac:dyDescent="0.25"/>
    <row r="1075" ht="14.25" customHeight="1" x14ac:dyDescent="0.25"/>
    <row r="1076" ht="14.25" customHeight="1" x14ac:dyDescent="0.25"/>
    <row r="1077" ht="14.25" customHeight="1" x14ac:dyDescent="0.25"/>
    <row r="1078" ht="14.25" customHeight="1" x14ac:dyDescent="0.25"/>
    <row r="1079" ht="14.25" customHeight="1" x14ac:dyDescent="0.25"/>
    <row r="1080" ht="14.25" customHeight="1" x14ac:dyDescent="0.25"/>
    <row r="1081" ht="14.25" customHeight="1" x14ac:dyDescent="0.25"/>
    <row r="1082" ht="14.25" customHeight="1" x14ac:dyDescent="0.25"/>
    <row r="1083" ht="14.25" customHeight="1" x14ac:dyDescent="0.25"/>
    <row r="1084" ht="14.25" customHeight="1" x14ac:dyDescent="0.25"/>
    <row r="1085" ht="14.25" customHeight="1" x14ac:dyDescent="0.25"/>
    <row r="1086" ht="14.25" customHeight="1" x14ac:dyDescent="0.25"/>
    <row r="1087" ht="14.25" customHeight="1" x14ac:dyDescent="0.25"/>
    <row r="1088" ht="14.25" customHeight="1" x14ac:dyDescent="0.25"/>
    <row r="1089" ht="14.25" customHeight="1" x14ac:dyDescent="0.25"/>
    <row r="1090" ht="14.25" customHeight="1" x14ac:dyDescent="0.25"/>
    <row r="1091" ht="14.25" customHeight="1" x14ac:dyDescent="0.25"/>
    <row r="1092" ht="14.25" customHeight="1" x14ac:dyDescent="0.25"/>
    <row r="1093" ht="14.25" customHeight="1" x14ac:dyDescent="0.25"/>
    <row r="1094" ht="14.25" customHeight="1" x14ac:dyDescent="0.25"/>
    <row r="1095" ht="14.25" customHeight="1" x14ac:dyDescent="0.25"/>
    <row r="1096" ht="14.25" customHeight="1" x14ac:dyDescent="0.25"/>
    <row r="1097" ht="14.25" customHeight="1" x14ac:dyDescent="0.25"/>
    <row r="1098" ht="14.25" customHeight="1" x14ac:dyDescent="0.25"/>
    <row r="1099" ht="14.25" customHeight="1" x14ac:dyDescent="0.25"/>
    <row r="1100" ht="14.25" customHeight="1" x14ac:dyDescent="0.25"/>
    <row r="1101" ht="14.25" customHeight="1" x14ac:dyDescent="0.25"/>
    <row r="1102" ht="14.25" customHeight="1" x14ac:dyDescent="0.25"/>
    <row r="1103" ht="14.25" customHeight="1" x14ac:dyDescent="0.25"/>
    <row r="1104" ht="14.25" customHeight="1" x14ac:dyDescent="0.25"/>
    <row r="1105" ht="14.25" customHeight="1" x14ac:dyDescent="0.25"/>
    <row r="1106" ht="14.25" customHeight="1" x14ac:dyDescent="0.25"/>
    <row r="1107" ht="14.25" customHeight="1" x14ac:dyDescent="0.25"/>
    <row r="1108" ht="14.25" customHeight="1" x14ac:dyDescent="0.25"/>
    <row r="1109" ht="14.25" customHeight="1" x14ac:dyDescent="0.25"/>
    <row r="1110" ht="14.25" customHeight="1" x14ac:dyDescent="0.25"/>
    <row r="1111" ht="14.25" customHeight="1" x14ac:dyDescent="0.25"/>
    <row r="1112" ht="14.25" customHeight="1" x14ac:dyDescent="0.25"/>
    <row r="1113" ht="14.25" customHeight="1" x14ac:dyDescent="0.25"/>
    <row r="1114" ht="14.25" customHeight="1" x14ac:dyDescent="0.25"/>
    <row r="1115" ht="14.25" customHeight="1" x14ac:dyDescent="0.25"/>
    <row r="1116" ht="14.25" customHeight="1" x14ac:dyDescent="0.25"/>
    <row r="1117" ht="14.25" customHeight="1" x14ac:dyDescent="0.25"/>
    <row r="1118" ht="14.25" customHeight="1" x14ac:dyDescent="0.25"/>
    <row r="1119" ht="14.25" customHeight="1" x14ac:dyDescent="0.25"/>
    <row r="1120" ht="14.25" customHeight="1" x14ac:dyDescent="0.25"/>
    <row r="1121" ht="14.25" customHeight="1" x14ac:dyDescent="0.25"/>
    <row r="1122" ht="14.25" customHeight="1" x14ac:dyDescent="0.25"/>
    <row r="1123" ht="14.25" customHeight="1" x14ac:dyDescent="0.25"/>
    <row r="1124" ht="14.25" customHeight="1" x14ac:dyDescent="0.25"/>
    <row r="1125" ht="14.25" customHeight="1" x14ac:dyDescent="0.25"/>
    <row r="1126" ht="14.25" customHeight="1" x14ac:dyDescent="0.25"/>
    <row r="1127" ht="14.25" customHeight="1" x14ac:dyDescent="0.25"/>
    <row r="1128" ht="14.25" customHeight="1" x14ac:dyDescent="0.25"/>
    <row r="1129" ht="14.25" customHeight="1" x14ac:dyDescent="0.25"/>
    <row r="1130" ht="14.25" customHeight="1" x14ac:dyDescent="0.25"/>
    <row r="1131" ht="14.25" customHeight="1" x14ac:dyDescent="0.25"/>
    <row r="1132" ht="14.25" customHeight="1" x14ac:dyDescent="0.25"/>
    <row r="1133" ht="14.25" customHeight="1" x14ac:dyDescent="0.25"/>
    <row r="1134" ht="14.25" customHeight="1" x14ac:dyDescent="0.25"/>
    <row r="1135" ht="14.25" customHeight="1" x14ac:dyDescent="0.25"/>
    <row r="1136" ht="14.25" customHeight="1" x14ac:dyDescent="0.25"/>
    <row r="1137" ht="14.25" customHeight="1" x14ac:dyDescent="0.25"/>
    <row r="1138" ht="14.25" customHeight="1" x14ac:dyDescent="0.25"/>
    <row r="1139" ht="14.25" customHeight="1" x14ac:dyDescent="0.25"/>
    <row r="1140" ht="14.25" customHeight="1" x14ac:dyDescent="0.25"/>
    <row r="1141" ht="14.25" customHeight="1" x14ac:dyDescent="0.25"/>
    <row r="1142" ht="14.25" customHeight="1" x14ac:dyDescent="0.25"/>
    <row r="1143" ht="14.25" customHeight="1" x14ac:dyDescent="0.25"/>
    <row r="1144" ht="14.25" customHeight="1" x14ac:dyDescent="0.25"/>
    <row r="1145" ht="14.25" customHeight="1" x14ac:dyDescent="0.25"/>
    <row r="1146" ht="14.25" customHeight="1" x14ac:dyDescent="0.25"/>
    <row r="1147" ht="14.25" customHeight="1" x14ac:dyDescent="0.25"/>
    <row r="1148" ht="14.25" customHeight="1" x14ac:dyDescent="0.25"/>
    <row r="1149" ht="14.25" customHeight="1" x14ac:dyDescent="0.25"/>
    <row r="1150" ht="14.25" customHeight="1" x14ac:dyDescent="0.25"/>
    <row r="1151" ht="14.25" customHeight="1" x14ac:dyDescent="0.25"/>
    <row r="1152" ht="14.25" customHeight="1" x14ac:dyDescent="0.25"/>
    <row r="1153" ht="14.25" customHeight="1" x14ac:dyDescent="0.25"/>
    <row r="1154" ht="14.25" customHeight="1" x14ac:dyDescent="0.25"/>
    <row r="1155" ht="14.25" customHeight="1" x14ac:dyDescent="0.25"/>
    <row r="1156" ht="14.25" customHeight="1" x14ac:dyDescent="0.25"/>
    <row r="1157" ht="14.25" customHeight="1" x14ac:dyDescent="0.25"/>
    <row r="1158" ht="14.25" customHeight="1" x14ac:dyDescent="0.25"/>
    <row r="1159" ht="14.25" customHeight="1" x14ac:dyDescent="0.25"/>
    <row r="1160" ht="14.25" customHeight="1" x14ac:dyDescent="0.25"/>
    <row r="1161" ht="14.25" customHeight="1" x14ac:dyDescent="0.25"/>
    <row r="1162" ht="14.25" customHeight="1" x14ac:dyDescent="0.25"/>
    <row r="1163" ht="14.25" customHeight="1" x14ac:dyDescent="0.25"/>
    <row r="1164" ht="14.25" customHeight="1" x14ac:dyDescent="0.25"/>
    <row r="1165" ht="14.25" customHeight="1" x14ac:dyDescent="0.25"/>
    <row r="1166" ht="14.25" customHeight="1" x14ac:dyDescent="0.25"/>
    <row r="1167" ht="14.25" customHeight="1" x14ac:dyDescent="0.25"/>
    <row r="1168" ht="14.25" customHeight="1" x14ac:dyDescent="0.25"/>
    <row r="1169" ht="14.25" customHeight="1" x14ac:dyDescent="0.25"/>
    <row r="1170" ht="14.25" customHeight="1" x14ac:dyDescent="0.25"/>
    <row r="1171" ht="14.25" customHeight="1" x14ac:dyDescent="0.25"/>
    <row r="1172" ht="14.25" customHeight="1" x14ac:dyDescent="0.25"/>
    <row r="1173" ht="14.25" customHeight="1" x14ac:dyDescent="0.25"/>
    <row r="1174" ht="14.25" customHeight="1" x14ac:dyDescent="0.25"/>
    <row r="1175" ht="14.25" customHeight="1" x14ac:dyDescent="0.25"/>
    <row r="1176" ht="14.25" customHeight="1" x14ac:dyDescent="0.25"/>
    <row r="1177" ht="14.25" customHeight="1" x14ac:dyDescent="0.25"/>
    <row r="1178" ht="14.25" customHeight="1" x14ac:dyDescent="0.25"/>
    <row r="1179" ht="14.25" customHeight="1" x14ac:dyDescent="0.25"/>
    <row r="1180" ht="14.25" customHeight="1" x14ac:dyDescent="0.25"/>
    <row r="1181" ht="14.25" customHeight="1" x14ac:dyDescent="0.25"/>
    <row r="1182" ht="14.25" customHeight="1" x14ac:dyDescent="0.25"/>
    <row r="1183" ht="14.25" customHeight="1" x14ac:dyDescent="0.25"/>
    <row r="1184" ht="14.25" customHeight="1" x14ac:dyDescent="0.25"/>
    <row r="1185" ht="14.25" customHeight="1" x14ac:dyDescent="0.25"/>
    <row r="1186" ht="14.25" customHeight="1" x14ac:dyDescent="0.25"/>
    <row r="1187" ht="14.25" customHeight="1" x14ac:dyDescent="0.25"/>
    <row r="1188" ht="14.25" customHeight="1" x14ac:dyDescent="0.25"/>
    <row r="1189" ht="14.25" customHeight="1" x14ac:dyDescent="0.25"/>
    <row r="1190" ht="14.25" customHeight="1" x14ac:dyDescent="0.25"/>
    <row r="1191" ht="14.25" customHeight="1" x14ac:dyDescent="0.25"/>
    <row r="1192" ht="14.25" customHeight="1" x14ac:dyDescent="0.25"/>
    <row r="1193" ht="14.25" customHeight="1" x14ac:dyDescent="0.25"/>
    <row r="1194" ht="14.25" customHeight="1" x14ac:dyDescent="0.25"/>
    <row r="1195" ht="14.25" customHeight="1" x14ac:dyDescent="0.25"/>
    <row r="1196" ht="14.25" customHeight="1" x14ac:dyDescent="0.25"/>
    <row r="1197" ht="14.25" customHeight="1" x14ac:dyDescent="0.25"/>
    <row r="1198" ht="14.25" customHeight="1" x14ac:dyDescent="0.25"/>
    <row r="1199" ht="14.25" customHeight="1" x14ac:dyDescent="0.25"/>
    <row r="1200" ht="14.25" customHeight="1" x14ac:dyDescent="0.25"/>
    <row r="1201" ht="14.25" customHeight="1" x14ac:dyDescent="0.25"/>
    <row r="1202" ht="14.25" customHeight="1" x14ac:dyDescent="0.25"/>
    <row r="1203" ht="14.25" customHeight="1" x14ac:dyDescent="0.25"/>
    <row r="1204" ht="14.25" customHeight="1" x14ac:dyDescent="0.25"/>
    <row r="1205" ht="14.25" customHeight="1" x14ac:dyDescent="0.25"/>
    <row r="1206" ht="14.25" customHeight="1" x14ac:dyDescent="0.25"/>
    <row r="1207" ht="14.25" customHeight="1" x14ac:dyDescent="0.25"/>
    <row r="1208" ht="14.25" customHeight="1" x14ac:dyDescent="0.25"/>
    <row r="1209" ht="14.25" customHeight="1" x14ac:dyDescent="0.25"/>
    <row r="1210" ht="14.25" customHeight="1" x14ac:dyDescent="0.25"/>
    <row r="1211" ht="14.25" customHeight="1" x14ac:dyDescent="0.25"/>
    <row r="1212" ht="14.25" customHeight="1" x14ac:dyDescent="0.25"/>
    <row r="1213" ht="14.25" customHeight="1" x14ac:dyDescent="0.25"/>
    <row r="1214" ht="14.25" customHeight="1" x14ac:dyDescent="0.25"/>
    <row r="1215" ht="14.25" customHeight="1" x14ac:dyDescent="0.25"/>
    <row r="1216" ht="14.25" customHeight="1" x14ac:dyDescent="0.25"/>
    <row r="1217" ht="14.25" customHeight="1" x14ac:dyDescent="0.25"/>
    <row r="1218" ht="14.25" customHeight="1" x14ac:dyDescent="0.25"/>
    <row r="1219" ht="14.25" customHeight="1" x14ac:dyDescent="0.25"/>
    <row r="1220" ht="14.25" customHeight="1" x14ac:dyDescent="0.25"/>
    <row r="1221" ht="14.25" customHeight="1" x14ac:dyDescent="0.25"/>
    <row r="1222" ht="14.25" customHeight="1" x14ac:dyDescent="0.25"/>
    <row r="1223" ht="14.25" customHeight="1" x14ac:dyDescent="0.25"/>
    <row r="1224" ht="14.25" customHeight="1" x14ac:dyDescent="0.25"/>
    <row r="1225" ht="14.25" customHeight="1" x14ac:dyDescent="0.25"/>
    <row r="1226" ht="14.25" customHeight="1" x14ac:dyDescent="0.25"/>
    <row r="1227" ht="14.25" customHeight="1" x14ac:dyDescent="0.25"/>
    <row r="1228" ht="14.25" customHeight="1" x14ac:dyDescent="0.25"/>
    <row r="1229" ht="14.25" customHeight="1" x14ac:dyDescent="0.25"/>
    <row r="1230" ht="14.25" customHeight="1" x14ac:dyDescent="0.25"/>
    <row r="1231" ht="14.25" customHeight="1" x14ac:dyDescent="0.25"/>
    <row r="1232" ht="14.25" customHeight="1" x14ac:dyDescent="0.25"/>
    <row r="1233" ht="14.25" customHeight="1" x14ac:dyDescent="0.25"/>
    <row r="1234" ht="14.25" customHeight="1" x14ac:dyDescent="0.25"/>
    <row r="1235" ht="14.25" customHeight="1" x14ac:dyDescent="0.25"/>
    <row r="1236" ht="14.25" customHeight="1" x14ac:dyDescent="0.25"/>
    <row r="1237" ht="14.25" customHeight="1" x14ac:dyDescent="0.25"/>
    <row r="1238" ht="14.25" customHeight="1" x14ac:dyDescent="0.25"/>
    <row r="1239" ht="14.25" customHeight="1" x14ac:dyDescent="0.25"/>
    <row r="1240" ht="14.25" customHeight="1" x14ac:dyDescent="0.25"/>
    <row r="1241" ht="14.25" customHeight="1" x14ac:dyDescent="0.25"/>
    <row r="1242" ht="14.25" customHeight="1" x14ac:dyDescent="0.25"/>
    <row r="1243" ht="14.25" customHeight="1" x14ac:dyDescent="0.25"/>
    <row r="1244" ht="14.25" customHeight="1" x14ac:dyDescent="0.25"/>
    <row r="1245" ht="14.25" customHeight="1" x14ac:dyDescent="0.25"/>
    <row r="1246" ht="14.25" customHeight="1" x14ac:dyDescent="0.25"/>
    <row r="1247" ht="14.25" customHeight="1" x14ac:dyDescent="0.25"/>
    <row r="1248" ht="14.25" customHeight="1" x14ac:dyDescent="0.25"/>
    <row r="1249" ht="14.25" customHeight="1" x14ac:dyDescent="0.25"/>
    <row r="1250" ht="14.25" customHeight="1" x14ac:dyDescent="0.25"/>
    <row r="1251" ht="14.25" customHeight="1" x14ac:dyDescent="0.25"/>
    <row r="1252" ht="14.25" customHeight="1" x14ac:dyDescent="0.25"/>
    <row r="1253" ht="14.25" customHeight="1" x14ac:dyDescent="0.25"/>
    <row r="1254" ht="14.25" customHeight="1" x14ac:dyDescent="0.25"/>
    <row r="1255" ht="14.25" customHeight="1" x14ac:dyDescent="0.25"/>
    <row r="1256" ht="14.25" customHeight="1" x14ac:dyDescent="0.25"/>
    <row r="1257" ht="14.25" customHeight="1" x14ac:dyDescent="0.25"/>
    <row r="1258" ht="14.25" customHeight="1" x14ac:dyDescent="0.25"/>
    <row r="1259" ht="14.25" customHeight="1" x14ac:dyDescent="0.25"/>
    <row r="1260" ht="14.25" customHeight="1" x14ac:dyDescent="0.25"/>
    <row r="1261" ht="14.25" customHeight="1" x14ac:dyDescent="0.25"/>
    <row r="1262" ht="14.25" customHeight="1" x14ac:dyDescent="0.25"/>
    <row r="1263" ht="14.25" customHeight="1" x14ac:dyDescent="0.25"/>
    <row r="1264" ht="14.25" customHeight="1" x14ac:dyDescent="0.25"/>
    <row r="1265" ht="14.25" customHeight="1" x14ac:dyDescent="0.25"/>
    <row r="1266" ht="14.25" customHeight="1" x14ac:dyDescent="0.25"/>
    <row r="1267" ht="14.25" customHeight="1" x14ac:dyDescent="0.25"/>
    <row r="1268" ht="14.25" customHeight="1" x14ac:dyDescent="0.25"/>
    <row r="1269" ht="14.25" customHeight="1" x14ac:dyDescent="0.25"/>
    <row r="1270" ht="14.25" customHeight="1" x14ac:dyDescent="0.25"/>
    <row r="1271" ht="14.25" customHeight="1" x14ac:dyDescent="0.25"/>
    <row r="1272" ht="14.25" customHeight="1" x14ac:dyDescent="0.25"/>
    <row r="1273" ht="14.25" customHeight="1" x14ac:dyDescent="0.25"/>
    <row r="1274" ht="14.25" customHeight="1" x14ac:dyDescent="0.25"/>
    <row r="1275" ht="14.25" customHeight="1" x14ac:dyDescent="0.25"/>
    <row r="1276" ht="14.25" customHeight="1" x14ac:dyDescent="0.25"/>
    <row r="1277" ht="14.25" customHeight="1" x14ac:dyDescent="0.25"/>
    <row r="1278" ht="14.25" customHeight="1" x14ac:dyDescent="0.25"/>
    <row r="1279" ht="14.25" customHeight="1" x14ac:dyDescent="0.25"/>
    <row r="1280" ht="14.25" customHeight="1" x14ac:dyDescent="0.25"/>
    <row r="1281" ht="14.25" customHeight="1" x14ac:dyDescent="0.25"/>
    <row r="1282" ht="14.25" customHeight="1" x14ac:dyDescent="0.25"/>
    <row r="1283" ht="14.25" customHeight="1" x14ac:dyDescent="0.25"/>
    <row r="1284" ht="14.25" customHeight="1" x14ac:dyDescent="0.25"/>
    <row r="1285" ht="14.25" customHeight="1" x14ac:dyDescent="0.25"/>
    <row r="1286" ht="14.25" customHeight="1" x14ac:dyDescent="0.25"/>
    <row r="1287" ht="14.25" customHeight="1" x14ac:dyDescent="0.25"/>
    <row r="1288" ht="14.25" customHeight="1" x14ac:dyDescent="0.25"/>
    <row r="1289" ht="14.25" customHeight="1" x14ac:dyDescent="0.25"/>
    <row r="1290" ht="14.25" customHeight="1" x14ac:dyDescent="0.25"/>
    <row r="1291" ht="14.25" customHeight="1" x14ac:dyDescent="0.25"/>
    <row r="1292" ht="14.25" customHeight="1" x14ac:dyDescent="0.25"/>
    <row r="1293" ht="14.25" customHeight="1" x14ac:dyDescent="0.25"/>
    <row r="1294" ht="14.25" customHeight="1" x14ac:dyDescent="0.25"/>
    <row r="1295" ht="14.25" customHeight="1" x14ac:dyDescent="0.25"/>
    <row r="1296" ht="14.25" customHeight="1" x14ac:dyDescent="0.25"/>
    <row r="1297" ht="14.25" customHeight="1" x14ac:dyDescent="0.25"/>
    <row r="1298" ht="14.25" customHeight="1" x14ac:dyDescent="0.25"/>
    <row r="1299" ht="14.25" customHeight="1" x14ac:dyDescent="0.25"/>
    <row r="1300" ht="14.25" customHeight="1" x14ac:dyDescent="0.25"/>
    <row r="1301" ht="14.25" customHeight="1" x14ac:dyDescent="0.25"/>
    <row r="1302" ht="14.25" customHeight="1" x14ac:dyDescent="0.25"/>
    <row r="1303" ht="14.25" customHeight="1" x14ac:dyDescent="0.25"/>
    <row r="1304" ht="14.25" customHeight="1" x14ac:dyDescent="0.25"/>
    <row r="1305" ht="14.25" customHeight="1" x14ac:dyDescent="0.25"/>
    <row r="1306" ht="14.25" customHeight="1" x14ac:dyDescent="0.25"/>
    <row r="1307" ht="14.25" customHeight="1" x14ac:dyDescent="0.25"/>
    <row r="1308" ht="14.25" customHeight="1" x14ac:dyDescent="0.25"/>
    <row r="1309" ht="14.25" customHeight="1" x14ac:dyDescent="0.25"/>
    <row r="1310" ht="14.25" customHeight="1" x14ac:dyDescent="0.25"/>
    <row r="1311" ht="14.25" customHeight="1" x14ac:dyDescent="0.25"/>
    <row r="1312" ht="14.25" customHeight="1" x14ac:dyDescent="0.25"/>
    <row r="1313" ht="14.25" customHeight="1" x14ac:dyDescent="0.25"/>
    <row r="1314" ht="14.25" customHeight="1" x14ac:dyDescent="0.25"/>
    <row r="1315" ht="14.25" customHeight="1" x14ac:dyDescent="0.25"/>
    <row r="1316" ht="14.25" customHeight="1" x14ac:dyDescent="0.25"/>
    <row r="1317" ht="14.25" customHeight="1" x14ac:dyDescent="0.25"/>
    <row r="1318" ht="14.25" customHeight="1" x14ac:dyDescent="0.25"/>
    <row r="1319" ht="14.25" customHeight="1" x14ac:dyDescent="0.25"/>
    <row r="1320" ht="14.25" customHeight="1" x14ac:dyDescent="0.25"/>
    <row r="1321" ht="14.25" customHeight="1" x14ac:dyDescent="0.25"/>
    <row r="1322" ht="14.25" customHeight="1" x14ac:dyDescent="0.25"/>
    <row r="1323" ht="14.25" customHeight="1" x14ac:dyDescent="0.25"/>
    <row r="1324" ht="14.25" customHeight="1" x14ac:dyDescent="0.25"/>
    <row r="1325" ht="14.25" customHeight="1" x14ac:dyDescent="0.25"/>
    <row r="1326" ht="14.25" customHeight="1" x14ac:dyDescent="0.25"/>
    <row r="1327" ht="14.25" customHeight="1" x14ac:dyDescent="0.25"/>
    <row r="1328" ht="14.25" customHeight="1" x14ac:dyDescent="0.25"/>
    <row r="1329" ht="14.25" customHeight="1" x14ac:dyDescent="0.25"/>
    <row r="1330" ht="14.25" customHeight="1" x14ac:dyDescent="0.25"/>
    <row r="1331" ht="14.25" customHeight="1" x14ac:dyDescent="0.25"/>
    <row r="1332" ht="14.25" customHeight="1" x14ac:dyDescent="0.25"/>
    <row r="1333" ht="14.25" customHeight="1" x14ac:dyDescent="0.25"/>
    <row r="1334" ht="14.25" customHeight="1" x14ac:dyDescent="0.25"/>
    <row r="1335" ht="14.25" customHeight="1" x14ac:dyDescent="0.25"/>
    <row r="1336" ht="14.25" customHeight="1" x14ac:dyDescent="0.25"/>
    <row r="1337" ht="14.25" customHeight="1" x14ac:dyDescent="0.25"/>
    <row r="1338" ht="14.25" customHeight="1" x14ac:dyDescent="0.25"/>
    <row r="1339" ht="14.25" customHeight="1" x14ac:dyDescent="0.25"/>
    <row r="1340" ht="14.25" customHeight="1" x14ac:dyDescent="0.25"/>
    <row r="1341" ht="14.25" customHeight="1" x14ac:dyDescent="0.25"/>
    <row r="1342" ht="14.25" customHeight="1" x14ac:dyDescent="0.25"/>
    <row r="1343" ht="14.25" customHeight="1" x14ac:dyDescent="0.25"/>
    <row r="1344" ht="14.25" customHeight="1" x14ac:dyDescent="0.25"/>
    <row r="1345" ht="14.25" customHeight="1" x14ac:dyDescent="0.25"/>
    <row r="1346" ht="14.25" customHeight="1" x14ac:dyDescent="0.25"/>
    <row r="1347" ht="14.25" customHeight="1" x14ac:dyDescent="0.25"/>
    <row r="1348" ht="14.25" customHeight="1" x14ac:dyDescent="0.25"/>
    <row r="1349" ht="14.25" customHeight="1" x14ac:dyDescent="0.25"/>
    <row r="1350" ht="14.25" customHeight="1" x14ac:dyDescent="0.25"/>
    <row r="1351" ht="14.25" customHeight="1" x14ac:dyDescent="0.25"/>
    <row r="1352" ht="14.25" customHeight="1" x14ac:dyDescent="0.25"/>
    <row r="1353" ht="14.25" customHeight="1" x14ac:dyDescent="0.25"/>
    <row r="1354" ht="14.25" customHeight="1" x14ac:dyDescent="0.25"/>
    <row r="1355" ht="14.25" customHeight="1" x14ac:dyDescent="0.25"/>
    <row r="1356" ht="14.25" customHeight="1" x14ac:dyDescent="0.25"/>
    <row r="1357" ht="14.25" customHeight="1" x14ac:dyDescent="0.25"/>
    <row r="1358" ht="14.25" customHeight="1" x14ac:dyDescent="0.25"/>
    <row r="1359" ht="14.25" customHeight="1" x14ac:dyDescent="0.25"/>
    <row r="1360" ht="14.25" customHeight="1" x14ac:dyDescent="0.25"/>
    <row r="1361" ht="14.25" customHeight="1" x14ac:dyDescent="0.25"/>
    <row r="1362" ht="14.25" customHeight="1" x14ac:dyDescent="0.25"/>
    <row r="1363" ht="14.25" customHeight="1" x14ac:dyDescent="0.25"/>
    <row r="1364" ht="14.25" customHeight="1" x14ac:dyDescent="0.25"/>
    <row r="1365" ht="14.25" customHeight="1" x14ac:dyDescent="0.25"/>
    <row r="1366" ht="14.25" customHeight="1" x14ac:dyDescent="0.25"/>
    <row r="1367" ht="14.25" customHeight="1" x14ac:dyDescent="0.25"/>
    <row r="1368" ht="14.25" customHeight="1" x14ac:dyDescent="0.25"/>
    <row r="1369" ht="14.25" customHeight="1" x14ac:dyDescent="0.25"/>
    <row r="1370" ht="14.25" customHeight="1" x14ac:dyDescent="0.25"/>
    <row r="1371" ht="14.25" customHeight="1" x14ac:dyDescent="0.25"/>
    <row r="1372" ht="14.25" customHeight="1" x14ac:dyDescent="0.25"/>
    <row r="1373" ht="14.25" customHeight="1" x14ac:dyDescent="0.25"/>
    <row r="1374" ht="14.25" customHeight="1" x14ac:dyDescent="0.25"/>
    <row r="1375" ht="14.25" customHeight="1" x14ac:dyDescent="0.25"/>
    <row r="1376" ht="14.25" customHeight="1" x14ac:dyDescent="0.25"/>
    <row r="1377" ht="14.25" customHeight="1" x14ac:dyDescent="0.25"/>
    <row r="1378" ht="14.25" customHeight="1" x14ac:dyDescent="0.25"/>
    <row r="1379" ht="14.25" customHeight="1" x14ac:dyDescent="0.25"/>
    <row r="1380" ht="14.25" customHeight="1" x14ac:dyDescent="0.25"/>
    <row r="1381" ht="14.25" customHeight="1" x14ac:dyDescent="0.25"/>
    <row r="1382" ht="14.25" customHeight="1" x14ac:dyDescent="0.25"/>
    <row r="1383" ht="14.25" customHeight="1" x14ac:dyDescent="0.25"/>
    <row r="1384" ht="14.25" customHeight="1" x14ac:dyDescent="0.25"/>
    <row r="1385" ht="14.25" customHeight="1" x14ac:dyDescent="0.25"/>
    <row r="1386" ht="14.25" customHeight="1" x14ac:dyDescent="0.25"/>
    <row r="1387" ht="14.25" customHeight="1" x14ac:dyDescent="0.25"/>
    <row r="1388" ht="14.25" customHeight="1" x14ac:dyDescent="0.25"/>
    <row r="1389" ht="14.25" customHeight="1" x14ac:dyDescent="0.25"/>
    <row r="1390" ht="14.25" customHeight="1" x14ac:dyDescent="0.25"/>
    <row r="1391" ht="14.25" customHeight="1" x14ac:dyDescent="0.25"/>
    <row r="1392" ht="14.25" customHeight="1" x14ac:dyDescent="0.25"/>
    <row r="1393" ht="14.25" customHeight="1" x14ac:dyDescent="0.25"/>
    <row r="1394" ht="14.25" customHeight="1" x14ac:dyDescent="0.25"/>
    <row r="1395" ht="14.25" customHeight="1" x14ac:dyDescent="0.25"/>
    <row r="1396" ht="14.25" customHeight="1" x14ac:dyDescent="0.25"/>
    <row r="1397" ht="14.25" customHeight="1" x14ac:dyDescent="0.25"/>
    <row r="1398" ht="14.25" customHeight="1" x14ac:dyDescent="0.25"/>
    <row r="1399" ht="14.25" customHeight="1" x14ac:dyDescent="0.25"/>
    <row r="1400" ht="14.25" customHeight="1" x14ac:dyDescent="0.25"/>
    <row r="1401" ht="14.25" customHeight="1" x14ac:dyDescent="0.25"/>
    <row r="1402" ht="14.25" customHeight="1" x14ac:dyDescent="0.25"/>
    <row r="1403" ht="14.25" customHeight="1" x14ac:dyDescent="0.25"/>
    <row r="1404" ht="14.25" customHeight="1" x14ac:dyDescent="0.25"/>
    <row r="1405" ht="14.25" customHeight="1" x14ac:dyDescent="0.25"/>
    <row r="1406" ht="14.25" customHeight="1" x14ac:dyDescent="0.25"/>
    <row r="1407" ht="14.25" customHeight="1" x14ac:dyDescent="0.25"/>
    <row r="1408" ht="14.25" customHeight="1" x14ac:dyDescent="0.25"/>
    <row r="1409" ht="14.25" customHeight="1" x14ac:dyDescent="0.25"/>
    <row r="1410" ht="14.25" customHeight="1" x14ac:dyDescent="0.25"/>
    <row r="1411" ht="14.25" customHeight="1" x14ac:dyDescent="0.25"/>
    <row r="1412" ht="14.25" customHeight="1" x14ac:dyDescent="0.25"/>
    <row r="1413" ht="14.25" customHeight="1" x14ac:dyDescent="0.25"/>
    <row r="1414" ht="14.25" customHeight="1" x14ac:dyDescent="0.25"/>
    <row r="1415" ht="14.25" customHeight="1" x14ac:dyDescent="0.25"/>
    <row r="1416" ht="14.25" customHeight="1" x14ac:dyDescent="0.25"/>
    <row r="1417" ht="14.25" customHeight="1" x14ac:dyDescent="0.25"/>
    <row r="1418" ht="14.25" customHeight="1" x14ac:dyDescent="0.25"/>
    <row r="1419" ht="14.25" customHeight="1" x14ac:dyDescent="0.25"/>
    <row r="1420" ht="14.25" customHeight="1" x14ac:dyDescent="0.25"/>
    <row r="1421" ht="14.25" customHeight="1" x14ac:dyDescent="0.25"/>
    <row r="1422" ht="14.25" customHeight="1" x14ac:dyDescent="0.25"/>
    <row r="1423" ht="14.25" customHeight="1" x14ac:dyDescent="0.25"/>
    <row r="1424" ht="14.25" customHeight="1" x14ac:dyDescent="0.25"/>
    <row r="1425" ht="14.25" customHeight="1" x14ac:dyDescent="0.25"/>
    <row r="1426" ht="14.25" customHeight="1" x14ac:dyDescent="0.25"/>
    <row r="1427" ht="14.25" customHeight="1" x14ac:dyDescent="0.25"/>
    <row r="1428" ht="14.25" customHeight="1" x14ac:dyDescent="0.25"/>
    <row r="1429" ht="14.25" customHeight="1" x14ac:dyDescent="0.25"/>
    <row r="1430" ht="14.25" customHeight="1" x14ac:dyDescent="0.25"/>
    <row r="1431" ht="14.25" customHeight="1" x14ac:dyDescent="0.25"/>
    <row r="1432" ht="14.25" customHeight="1" x14ac:dyDescent="0.25"/>
    <row r="1433" ht="14.25" customHeight="1" x14ac:dyDescent="0.25"/>
    <row r="1434" ht="14.25" customHeight="1" x14ac:dyDescent="0.25"/>
    <row r="1435" ht="14.25" customHeight="1" x14ac:dyDescent="0.25"/>
    <row r="1436" ht="14.25" customHeight="1" x14ac:dyDescent="0.25"/>
    <row r="1437" ht="14.25" customHeight="1" x14ac:dyDescent="0.25"/>
    <row r="1438" ht="14.25" customHeight="1" x14ac:dyDescent="0.25"/>
    <row r="1439" ht="14.25" customHeight="1" x14ac:dyDescent="0.25"/>
    <row r="1440" ht="14.25" customHeight="1" x14ac:dyDescent="0.25"/>
    <row r="1441" ht="14.25" customHeight="1" x14ac:dyDescent="0.25"/>
    <row r="1442" ht="14.25" customHeight="1" x14ac:dyDescent="0.25"/>
    <row r="1443" ht="14.25" customHeight="1" x14ac:dyDescent="0.25"/>
    <row r="1444" ht="14.25" customHeight="1" x14ac:dyDescent="0.25"/>
    <row r="1445" ht="14.25" customHeight="1" x14ac:dyDescent="0.25"/>
    <row r="1446" ht="14.25" customHeight="1" x14ac:dyDescent="0.25"/>
    <row r="1447" ht="14.25" customHeight="1" x14ac:dyDescent="0.25"/>
    <row r="1448" ht="14.25" customHeight="1" x14ac:dyDescent="0.25"/>
    <row r="1449" ht="14.25" customHeight="1" x14ac:dyDescent="0.25"/>
    <row r="1450" ht="14.25" customHeight="1" x14ac:dyDescent="0.25"/>
    <row r="1451" ht="14.25" customHeight="1" x14ac:dyDescent="0.25"/>
    <row r="1452" ht="14.25" customHeight="1" x14ac:dyDescent="0.25"/>
    <row r="1453" ht="14.25" customHeight="1" x14ac:dyDescent="0.25"/>
    <row r="1454" ht="14.25" customHeight="1" x14ac:dyDescent="0.25"/>
    <row r="1455" ht="14.25" customHeight="1" x14ac:dyDescent="0.25"/>
    <row r="1456" ht="14.25" customHeight="1" x14ac:dyDescent="0.25"/>
    <row r="1457" ht="14.25" customHeight="1" x14ac:dyDescent="0.25"/>
    <row r="1458" ht="14.25" customHeight="1" x14ac:dyDescent="0.25"/>
    <row r="1459" ht="14.25" customHeight="1" x14ac:dyDescent="0.25"/>
    <row r="1460" ht="14.25" customHeight="1" x14ac:dyDescent="0.25"/>
    <row r="1461" ht="14.25" customHeight="1" x14ac:dyDescent="0.25"/>
    <row r="1462" ht="14.25" customHeight="1" x14ac:dyDescent="0.25"/>
    <row r="1463" ht="14.25" customHeight="1" x14ac:dyDescent="0.25"/>
    <row r="1464" ht="14.25" customHeight="1" x14ac:dyDescent="0.25"/>
    <row r="1465" ht="14.25" customHeight="1" x14ac:dyDescent="0.25"/>
    <row r="1466" ht="14.25" customHeight="1" x14ac:dyDescent="0.25"/>
    <row r="1467" ht="14.25" customHeight="1" x14ac:dyDescent="0.25"/>
    <row r="1468" ht="14.25" customHeight="1" x14ac:dyDescent="0.25"/>
    <row r="1469" ht="14.25" customHeight="1" x14ac:dyDescent="0.25"/>
    <row r="1470" ht="14.25" customHeight="1" x14ac:dyDescent="0.25"/>
    <row r="1471" ht="14.25" customHeight="1" x14ac:dyDescent="0.25"/>
    <row r="1472" ht="14.25" customHeight="1" x14ac:dyDescent="0.25"/>
    <row r="1473" ht="14.25" customHeight="1" x14ac:dyDescent="0.25"/>
    <row r="1474" ht="14.25" customHeight="1" x14ac:dyDescent="0.25"/>
    <row r="1475" ht="14.25" customHeight="1" x14ac:dyDescent="0.25"/>
    <row r="1476" ht="14.25" customHeight="1" x14ac:dyDescent="0.25"/>
    <row r="1477" ht="14.25" customHeight="1" x14ac:dyDescent="0.25"/>
    <row r="1478" ht="14.25" customHeight="1" x14ac:dyDescent="0.25"/>
    <row r="1479" ht="14.25" customHeight="1" x14ac:dyDescent="0.25"/>
    <row r="1480" ht="14.25" customHeight="1" x14ac:dyDescent="0.25"/>
    <row r="1481" ht="14.25" customHeight="1" x14ac:dyDescent="0.25"/>
    <row r="1482" ht="14.25" customHeight="1" x14ac:dyDescent="0.25"/>
    <row r="1483" ht="14.25" customHeight="1" x14ac:dyDescent="0.25"/>
    <row r="1484" ht="14.25" customHeight="1" x14ac:dyDescent="0.25"/>
    <row r="1485" ht="14.25" customHeight="1" x14ac:dyDescent="0.25"/>
    <row r="1486" ht="14.25" customHeight="1" x14ac:dyDescent="0.25"/>
    <row r="1487" ht="14.25" customHeight="1" x14ac:dyDescent="0.25"/>
    <row r="1488" ht="14.25" customHeight="1" x14ac:dyDescent="0.25"/>
    <row r="1489" ht="14.25" customHeight="1" x14ac:dyDescent="0.25"/>
    <row r="1490" ht="14.25" customHeight="1" x14ac:dyDescent="0.25"/>
    <row r="1491" ht="14.25" customHeight="1" x14ac:dyDescent="0.25"/>
    <row r="1492" ht="14.25" customHeight="1" x14ac:dyDescent="0.25"/>
    <row r="1493" ht="14.25" customHeight="1" x14ac:dyDescent="0.25"/>
    <row r="1494" ht="14.25" customHeight="1" x14ac:dyDescent="0.25"/>
    <row r="1495" ht="14.25" customHeight="1" x14ac:dyDescent="0.25"/>
    <row r="1496" ht="14.25" customHeight="1" x14ac:dyDescent="0.25"/>
    <row r="1497" ht="14.25" customHeight="1" x14ac:dyDescent="0.25"/>
    <row r="1498" ht="14.25" customHeight="1" x14ac:dyDescent="0.25"/>
    <row r="1499" ht="14.25" customHeight="1" x14ac:dyDescent="0.25"/>
    <row r="1500" ht="14.25" customHeight="1" x14ac:dyDescent="0.25"/>
    <row r="1501" ht="14.25" customHeight="1" x14ac:dyDescent="0.25"/>
    <row r="1502" ht="14.25" customHeight="1" x14ac:dyDescent="0.25"/>
    <row r="1503" ht="14.25" customHeight="1" x14ac:dyDescent="0.25"/>
    <row r="1504" ht="14.25" customHeight="1" x14ac:dyDescent="0.25"/>
    <row r="1505" ht="14.25" customHeight="1" x14ac:dyDescent="0.25"/>
    <row r="1506" ht="14.25" customHeight="1" x14ac:dyDescent="0.25"/>
    <row r="1507" ht="14.25" customHeight="1" x14ac:dyDescent="0.25"/>
    <row r="1508" ht="14.25" customHeight="1" x14ac:dyDescent="0.25"/>
    <row r="1509" ht="14.25" customHeight="1" x14ac:dyDescent="0.25"/>
    <row r="1510" ht="14.25" customHeight="1" x14ac:dyDescent="0.25"/>
    <row r="1511" ht="14.25" customHeight="1" x14ac:dyDescent="0.25"/>
    <row r="1512" ht="14.25" customHeight="1" x14ac:dyDescent="0.25"/>
    <row r="1513" ht="14.25" customHeight="1" x14ac:dyDescent="0.25"/>
    <row r="1514" ht="14.25" customHeight="1" x14ac:dyDescent="0.25"/>
    <row r="1515" ht="14.25" customHeight="1" x14ac:dyDescent="0.25"/>
    <row r="1516" ht="14.25" customHeight="1" x14ac:dyDescent="0.25"/>
    <row r="1517" ht="14.25" customHeight="1" x14ac:dyDescent="0.25"/>
    <row r="1518" ht="14.25" customHeight="1" x14ac:dyDescent="0.25"/>
    <row r="1519" ht="14.25" customHeight="1" x14ac:dyDescent="0.25"/>
    <row r="1520" ht="14.25" customHeight="1" x14ac:dyDescent="0.25"/>
    <row r="1521" ht="14.25" customHeight="1" x14ac:dyDescent="0.25"/>
    <row r="1522" ht="14.25" customHeight="1" x14ac:dyDescent="0.25"/>
    <row r="1523" ht="14.25" customHeight="1" x14ac:dyDescent="0.25"/>
    <row r="1524" ht="14.25" customHeight="1" x14ac:dyDescent="0.25"/>
    <row r="1525" ht="14.25" customHeight="1" x14ac:dyDescent="0.25"/>
    <row r="1526" ht="14.25" customHeight="1" x14ac:dyDescent="0.25"/>
    <row r="1527" ht="14.25" customHeight="1" x14ac:dyDescent="0.25"/>
    <row r="1528" ht="14.25" customHeight="1" x14ac:dyDescent="0.25"/>
    <row r="1529" ht="14.25" customHeight="1" x14ac:dyDescent="0.25"/>
    <row r="1530" ht="14.25" customHeight="1" x14ac:dyDescent="0.25"/>
    <row r="1531" ht="14.25" customHeight="1" x14ac:dyDescent="0.25"/>
    <row r="1532" ht="14.25" customHeight="1" x14ac:dyDescent="0.25"/>
    <row r="1533" ht="14.25" customHeight="1" x14ac:dyDescent="0.25"/>
    <row r="1534" ht="14.25" customHeight="1" x14ac:dyDescent="0.25"/>
    <row r="1535" ht="14.25" customHeight="1" x14ac:dyDescent="0.25"/>
    <row r="1536" ht="14.25" customHeight="1" x14ac:dyDescent="0.25"/>
    <row r="1537" ht="14.25" customHeight="1" x14ac:dyDescent="0.25"/>
    <row r="1538" ht="14.25" customHeight="1" x14ac:dyDescent="0.25"/>
    <row r="1539" ht="14.25" customHeight="1" x14ac:dyDescent="0.25"/>
    <row r="1540" ht="14.25" customHeight="1" x14ac:dyDescent="0.25"/>
    <row r="1541" ht="14.25" customHeight="1" x14ac:dyDescent="0.25"/>
    <row r="1542" ht="14.25" customHeight="1" x14ac:dyDescent="0.25"/>
    <row r="1543" ht="14.25" customHeight="1" x14ac:dyDescent="0.25"/>
    <row r="1544" ht="14.25" customHeight="1" x14ac:dyDescent="0.25"/>
    <row r="1545" ht="14.25" customHeight="1" x14ac:dyDescent="0.25"/>
    <row r="1546" ht="14.25" customHeight="1" x14ac:dyDescent="0.25"/>
    <row r="1547" ht="14.25" customHeight="1" x14ac:dyDescent="0.25"/>
    <row r="1548" ht="14.25" customHeight="1" x14ac:dyDescent="0.25"/>
    <row r="1549" ht="14.25" customHeight="1" x14ac:dyDescent="0.25"/>
    <row r="1550" ht="14.25" customHeight="1" x14ac:dyDescent="0.25"/>
    <row r="1551" ht="14.25" customHeight="1" x14ac:dyDescent="0.25"/>
    <row r="1552" ht="14.25" customHeight="1" x14ac:dyDescent="0.25"/>
    <row r="1553" ht="14.25" customHeight="1" x14ac:dyDescent="0.25"/>
    <row r="1554" ht="14.25" customHeight="1" x14ac:dyDescent="0.25"/>
    <row r="1555" ht="14.25" customHeight="1" x14ac:dyDescent="0.25"/>
    <row r="1556" ht="14.25" customHeight="1" x14ac:dyDescent="0.25"/>
    <row r="1557" ht="14.25" customHeight="1" x14ac:dyDescent="0.25"/>
    <row r="1558" ht="14.25" customHeight="1" x14ac:dyDescent="0.25"/>
    <row r="1559" ht="14.25" customHeight="1" x14ac:dyDescent="0.25"/>
    <row r="1560" ht="14.25" customHeight="1" x14ac:dyDescent="0.25"/>
    <row r="1561" ht="14.25" customHeight="1" x14ac:dyDescent="0.25"/>
    <row r="1562" ht="14.25" customHeight="1" x14ac:dyDescent="0.25"/>
    <row r="1563" ht="14.25" customHeight="1" x14ac:dyDescent="0.25"/>
    <row r="1564" ht="14.25" customHeight="1" x14ac:dyDescent="0.25"/>
    <row r="1565" ht="14.25" customHeight="1" x14ac:dyDescent="0.25"/>
    <row r="1566" ht="14.25" customHeight="1" x14ac:dyDescent="0.25"/>
    <row r="1567" ht="14.25" customHeight="1" x14ac:dyDescent="0.25"/>
    <row r="1568" ht="14.25" customHeight="1" x14ac:dyDescent="0.25"/>
    <row r="1569" ht="14.25" customHeight="1" x14ac:dyDescent="0.25"/>
    <row r="1570" ht="14.25" customHeight="1" x14ac:dyDescent="0.25"/>
    <row r="1571" ht="14.25" customHeight="1" x14ac:dyDescent="0.25"/>
    <row r="1572" ht="14.25" customHeight="1" x14ac:dyDescent="0.25"/>
    <row r="1573" ht="14.25" customHeight="1" x14ac:dyDescent="0.25"/>
    <row r="1574" ht="14.25" customHeight="1" x14ac:dyDescent="0.25"/>
    <row r="1575" ht="14.25" customHeight="1" x14ac:dyDescent="0.25"/>
    <row r="1576" ht="14.25" customHeight="1" x14ac:dyDescent="0.25"/>
    <row r="1577" ht="14.25" customHeight="1" x14ac:dyDescent="0.25"/>
    <row r="1578" ht="14.25" customHeight="1" x14ac:dyDescent="0.25"/>
    <row r="1579" ht="14.25" customHeight="1" x14ac:dyDescent="0.25"/>
    <row r="1580" ht="14.25" customHeight="1" x14ac:dyDescent="0.25"/>
    <row r="1581" ht="14.25" customHeight="1" x14ac:dyDescent="0.25"/>
    <row r="1582" ht="14.25" customHeight="1" x14ac:dyDescent="0.25"/>
    <row r="1583" ht="14.25" customHeight="1" x14ac:dyDescent="0.25"/>
    <row r="1584" ht="14.25" customHeight="1" x14ac:dyDescent="0.25"/>
    <row r="1585" ht="14.25" customHeight="1" x14ac:dyDescent="0.25"/>
    <row r="1586" ht="14.25" customHeight="1" x14ac:dyDescent="0.25"/>
    <row r="1587" ht="14.25" customHeight="1" x14ac:dyDescent="0.25"/>
    <row r="1588" ht="14.25" customHeight="1" x14ac:dyDescent="0.25"/>
    <row r="1589" ht="14.25" customHeight="1" x14ac:dyDescent="0.25"/>
    <row r="1590" ht="14.25" customHeight="1" x14ac:dyDescent="0.25"/>
    <row r="1591" ht="14.25" customHeight="1" x14ac:dyDescent="0.25"/>
    <row r="1592" ht="14.25" customHeight="1" x14ac:dyDescent="0.25"/>
    <row r="1593" ht="14.25" customHeight="1" x14ac:dyDescent="0.25"/>
    <row r="1594" ht="14.25" customHeight="1" x14ac:dyDescent="0.25"/>
    <row r="1595" ht="14.25" customHeight="1" x14ac:dyDescent="0.25"/>
    <row r="1596" ht="14.25" customHeight="1" x14ac:dyDescent="0.25"/>
    <row r="1597" ht="14.25" customHeight="1" x14ac:dyDescent="0.25"/>
    <row r="1598" ht="14.25" customHeight="1" x14ac:dyDescent="0.25"/>
    <row r="1599" ht="14.25" customHeight="1" x14ac:dyDescent="0.25"/>
    <row r="1600" ht="14.25" customHeight="1" x14ac:dyDescent="0.25"/>
    <row r="1601" ht="14.25" customHeight="1" x14ac:dyDescent="0.25"/>
    <row r="1602" ht="14.25" customHeight="1" x14ac:dyDescent="0.25"/>
    <row r="1603" ht="14.25" customHeight="1" x14ac:dyDescent="0.25"/>
    <row r="1604" ht="14.25" customHeight="1" x14ac:dyDescent="0.25"/>
    <row r="1605" ht="14.25" customHeight="1" x14ac:dyDescent="0.25"/>
    <row r="1606" ht="14.25" customHeight="1" x14ac:dyDescent="0.25"/>
    <row r="1607" ht="14.25" customHeight="1" x14ac:dyDescent="0.25"/>
    <row r="1608" ht="14.25" customHeight="1" x14ac:dyDescent="0.25"/>
    <row r="1609" ht="14.25" customHeight="1" x14ac:dyDescent="0.25"/>
    <row r="1610" ht="14.25" customHeight="1" x14ac:dyDescent="0.25"/>
    <row r="1611" ht="14.25" customHeight="1" x14ac:dyDescent="0.25"/>
    <row r="1612" ht="14.25" customHeight="1" x14ac:dyDescent="0.25"/>
    <row r="1613" ht="14.25" customHeight="1" x14ac:dyDescent="0.25"/>
    <row r="1614" ht="14.25" customHeight="1" x14ac:dyDescent="0.25"/>
    <row r="1615" ht="14.25" customHeight="1" x14ac:dyDescent="0.25"/>
    <row r="1616" ht="14.25" customHeight="1" x14ac:dyDescent="0.25"/>
    <row r="1617" ht="14.25" customHeight="1" x14ac:dyDescent="0.25"/>
    <row r="1618" ht="14.25" customHeight="1" x14ac:dyDescent="0.25"/>
    <row r="1619" ht="14.25" customHeight="1" x14ac:dyDescent="0.25"/>
    <row r="1620" ht="14.25" customHeight="1" x14ac:dyDescent="0.25"/>
    <row r="1621" ht="14.25" customHeight="1" x14ac:dyDescent="0.25"/>
    <row r="1622" ht="14.25" customHeight="1" x14ac:dyDescent="0.25"/>
    <row r="1623" ht="14.25" customHeight="1" x14ac:dyDescent="0.25"/>
    <row r="1624" ht="14.25" customHeight="1" x14ac:dyDescent="0.25"/>
    <row r="1625" ht="14.25" customHeight="1" x14ac:dyDescent="0.25"/>
    <row r="1626" ht="14.25" customHeight="1" x14ac:dyDescent="0.25"/>
    <row r="1627" ht="14.25" customHeight="1" x14ac:dyDescent="0.25"/>
    <row r="1628" ht="14.25" customHeight="1" x14ac:dyDescent="0.25"/>
    <row r="1629" ht="14.25" customHeight="1" x14ac:dyDescent="0.25"/>
    <row r="1630" ht="14.25" customHeight="1" x14ac:dyDescent="0.25"/>
    <row r="1631" ht="14.25" customHeight="1" x14ac:dyDescent="0.25"/>
    <row r="1632" ht="14.25" customHeight="1" x14ac:dyDescent="0.25"/>
    <row r="1633" ht="14.25" customHeight="1" x14ac:dyDescent="0.25"/>
    <row r="1634" ht="14.25" customHeight="1" x14ac:dyDescent="0.25"/>
    <row r="1635" ht="14.25" customHeight="1" x14ac:dyDescent="0.25"/>
    <row r="1636" ht="14.25" customHeight="1" x14ac:dyDescent="0.25"/>
    <row r="1637" ht="14.25" customHeight="1" x14ac:dyDescent="0.25"/>
    <row r="1638" ht="14.25" customHeight="1" x14ac:dyDescent="0.25"/>
    <row r="1639" ht="14.25" customHeight="1" x14ac:dyDescent="0.25"/>
    <row r="1640" ht="14.25" customHeight="1" x14ac:dyDescent="0.25"/>
    <row r="1641" ht="14.25" customHeight="1" x14ac:dyDescent="0.25"/>
    <row r="1642" ht="14.25" customHeight="1" x14ac:dyDescent="0.25"/>
    <row r="1643" ht="14.25" customHeight="1" x14ac:dyDescent="0.25"/>
    <row r="1644" ht="14.25" customHeight="1" x14ac:dyDescent="0.25"/>
    <row r="1645" ht="14.25" customHeight="1" x14ac:dyDescent="0.25"/>
    <row r="1646" ht="14.25" customHeight="1" x14ac:dyDescent="0.25"/>
    <row r="1647" ht="14.25" customHeight="1" x14ac:dyDescent="0.25"/>
    <row r="1648" ht="14.25" customHeight="1" x14ac:dyDescent="0.25"/>
    <row r="1649" ht="14.25" customHeight="1" x14ac:dyDescent="0.25"/>
    <row r="1650" ht="14.25" customHeight="1" x14ac:dyDescent="0.25"/>
    <row r="1651" ht="14.25" customHeight="1" x14ac:dyDescent="0.25"/>
    <row r="1652" ht="14.25" customHeight="1" x14ac:dyDescent="0.25"/>
    <row r="1653" ht="14.25" customHeight="1" x14ac:dyDescent="0.25"/>
    <row r="1654" ht="14.25" customHeight="1" x14ac:dyDescent="0.25"/>
    <row r="1655" ht="14.25" customHeight="1" x14ac:dyDescent="0.25"/>
    <row r="1656" ht="14.25" customHeight="1" x14ac:dyDescent="0.25"/>
    <row r="1657" ht="14.25" customHeight="1" x14ac:dyDescent="0.25"/>
    <row r="1658" ht="14.25" customHeight="1" x14ac:dyDescent="0.25"/>
    <row r="1659" ht="14.25" customHeight="1" x14ac:dyDescent="0.25"/>
    <row r="1660" ht="14.25" customHeight="1" x14ac:dyDescent="0.25"/>
    <row r="1661" ht="14.25" customHeight="1" x14ac:dyDescent="0.25"/>
    <row r="1662" ht="14.25" customHeight="1" x14ac:dyDescent="0.25"/>
    <row r="1663" ht="14.25" customHeight="1" x14ac:dyDescent="0.25"/>
    <row r="1664" ht="14.25" customHeight="1" x14ac:dyDescent="0.25"/>
    <row r="1665" ht="14.25" customHeight="1" x14ac:dyDescent="0.25"/>
    <row r="1666" ht="14.25" customHeight="1" x14ac:dyDescent="0.25"/>
    <row r="1667" ht="14.25" customHeight="1" x14ac:dyDescent="0.25"/>
    <row r="1668" ht="14.25" customHeight="1" x14ac:dyDescent="0.25"/>
    <row r="1669" ht="14.25" customHeight="1" x14ac:dyDescent="0.25"/>
    <row r="1670" ht="14.25" customHeight="1" x14ac:dyDescent="0.25"/>
    <row r="1671" ht="14.25" customHeight="1" x14ac:dyDescent="0.25"/>
    <row r="1672" ht="14.25" customHeight="1" x14ac:dyDescent="0.25"/>
    <row r="1673" ht="14.25" customHeight="1" x14ac:dyDescent="0.25"/>
    <row r="1674" ht="14.25" customHeight="1" x14ac:dyDescent="0.25"/>
    <row r="1675" ht="14.25" customHeight="1" x14ac:dyDescent="0.25"/>
    <row r="1676" ht="14.25" customHeight="1" x14ac:dyDescent="0.25"/>
    <row r="1677" ht="14.25" customHeight="1" x14ac:dyDescent="0.25"/>
    <row r="1678" ht="14.25" customHeight="1" x14ac:dyDescent="0.25"/>
    <row r="1679" ht="14.25" customHeight="1" x14ac:dyDescent="0.25"/>
    <row r="1680" ht="14.25" customHeight="1" x14ac:dyDescent="0.25"/>
    <row r="1681" ht="14.25" customHeight="1" x14ac:dyDescent="0.25"/>
    <row r="1682" ht="14.25" customHeight="1" x14ac:dyDescent="0.25"/>
    <row r="1683" ht="14.25" customHeight="1" x14ac:dyDescent="0.25"/>
    <row r="1684" ht="14.25" customHeight="1" x14ac:dyDescent="0.25"/>
    <row r="1685" ht="14.25" customHeight="1" x14ac:dyDescent="0.25"/>
    <row r="1686" ht="14.25" customHeight="1" x14ac:dyDescent="0.25"/>
    <row r="1687" ht="14.25" customHeight="1" x14ac:dyDescent="0.25"/>
    <row r="1688" ht="14.25" customHeight="1" x14ac:dyDescent="0.25"/>
    <row r="1689" ht="14.25" customHeight="1" x14ac:dyDescent="0.25"/>
    <row r="1690" ht="14.25" customHeight="1" x14ac:dyDescent="0.25"/>
    <row r="1691" ht="14.25" customHeight="1" x14ac:dyDescent="0.25"/>
    <row r="1692" ht="14.25" customHeight="1" x14ac:dyDescent="0.25"/>
    <row r="1693" ht="14.25" customHeight="1" x14ac:dyDescent="0.25"/>
    <row r="1694" ht="14.25" customHeight="1" x14ac:dyDescent="0.25"/>
    <row r="1695" ht="14.25" customHeight="1" x14ac:dyDescent="0.25"/>
    <row r="1696" ht="14.25" customHeight="1" x14ac:dyDescent="0.25"/>
    <row r="1697" ht="14.25" customHeight="1" x14ac:dyDescent="0.25"/>
    <row r="1698" ht="14.25" customHeight="1" x14ac:dyDescent="0.25"/>
    <row r="1699" ht="14.25" customHeight="1" x14ac:dyDescent="0.25"/>
    <row r="1700" ht="14.25" customHeight="1" x14ac:dyDescent="0.25"/>
    <row r="1701" ht="14.25" customHeight="1" x14ac:dyDescent="0.25"/>
    <row r="1702" ht="14.25" customHeight="1" x14ac:dyDescent="0.25"/>
    <row r="1703" ht="14.25" customHeight="1" x14ac:dyDescent="0.25"/>
    <row r="1704" ht="14.25" customHeight="1" x14ac:dyDescent="0.25"/>
    <row r="1705" ht="14.25" customHeight="1" x14ac:dyDescent="0.25"/>
    <row r="1706" ht="14.25" customHeight="1" x14ac:dyDescent="0.25"/>
    <row r="1707" ht="14.25" customHeight="1" x14ac:dyDescent="0.25"/>
    <row r="1708" ht="14.25" customHeight="1" x14ac:dyDescent="0.25"/>
    <row r="1709" ht="14.25" customHeight="1" x14ac:dyDescent="0.25"/>
    <row r="1710" ht="14.25" customHeight="1" x14ac:dyDescent="0.25"/>
    <row r="1711" ht="14.25" customHeight="1" x14ac:dyDescent="0.25"/>
    <row r="1712" ht="14.25" customHeight="1" x14ac:dyDescent="0.25"/>
    <row r="1713" ht="14.25" customHeight="1" x14ac:dyDescent="0.25"/>
    <row r="1714" ht="14.25" customHeight="1" x14ac:dyDescent="0.25"/>
    <row r="1715" ht="14.25" customHeight="1" x14ac:dyDescent="0.25"/>
    <row r="1716" ht="14.25" customHeight="1" x14ac:dyDescent="0.25"/>
    <row r="1717" ht="14.25" customHeight="1" x14ac:dyDescent="0.25"/>
    <row r="1718" ht="14.25" customHeight="1" x14ac:dyDescent="0.25"/>
    <row r="1719" ht="14.25" customHeight="1" x14ac:dyDescent="0.25"/>
    <row r="1720" ht="14.25" customHeight="1" x14ac:dyDescent="0.25"/>
    <row r="1721" ht="14.25" customHeight="1" x14ac:dyDescent="0.25"/>
    <row r="1722" ht="14.25" customHeight="1" x14ac:dyDescent="0.25"/>
    <row r="1723" ht="14.25" customHeight="1" x14ac:dyDescent="0.25"/>
    <row r="1724" ht="14.25" customHeight="1" x14ac:dyDescent="0.25"/>
    <row r="1725" ht="14.25" customHeight="1" x14ac:dyDescent="0.25"/>
    <row r="1726" ht="14.25" customHeight="1" x14ac:dyDescent="0.25"/>
    <row r="1727" ht="14.25" customHeight="1" x14ac:dyDescent="0.25"/>
    <row r="1728" ht="14.25" customHeight="1" x14ac:dyDescent="0.25"/>
    <row r="1729" ht="14.25" customHeight="1" x14ac:dyDescent="0.25"/>
    <row r="1730" ht="14.25" customHeight="1" x14ac:dyDescent="0.25"/>
    <row r="1731" ht="14.25" customHeight="1" x14ac:dyDescent="0.25"/>
    <row r="1732" ht="14.25" customHeight="1" x14ac:dyDescent="0.25"/>
    <row r="1733" ht="14.25" customHeight="1" x14ac:dyDescent="0.25"/>
    <row r="1734" ht="14.25" customHeight="1" x14ac:dyDescent="0.25"/>
    <row r="1735" ht="14.25" customHeight="1" x14ac:dyDescent="0.25"/>
    <row r="1736" ht="14.25" customHeight="1" x14ac:dyDescent="0.25"/>
    <row r="1737" ht="14.25" customHeight="1" x14ac:dyDescent="0.25"/>
    <row r="1738" ht="14.25" customHeight="1" x14ac:dyDescent="0.25"/>
    <row r="1739" ht="14.25" customHeight="1" x14ac:dyDescent="0.25"/>
    <row r="1740" ht="14.25" customHeight="1" x14ac:dyDescent="0.25"/>
    <row r="1741" ht="14.25" customHeight="1" x14ac:dyDescent="0.25"/>
    <row r="1742" ht="14.25" customHeight="1" x14ac:dyDescent="0.25"/>
    <row r="1743" ht="14.25" customHeight="1" x14ac:dyDescent="0.25"/>
    <row r="1744" ht="14.25" customHeight="1" x14ac:dyDescent="0.25"/>
    <row r="1745" ht="14.25" customHeight="1" x14ac:dyDescent="0.25"/>
    <row r="1746" ht="14.25" customHeight="1" x14ac:dyDescent="0.25"/>
    <row r="1747" ht="14.25" customHeight="1" x14ac:dyDescent="0.25"/>
    <row r="1748" ht="14.25" customHeight="1" x14ac:dyDescent="0.25"/>
    <row r="1749" ht="14.25" customHeight="1" x14ac:dyDescent="0.25"/>
    <row r="1750" ht="14.25" customHeight="1" x14ac:dyDescent="0.25"/>
    <row r="1751" ht="14.25" customHeight="1" x14ac:dyDescent="0.25"/>
    <row r="1752" ht="14.25" customHeight="1" x14ac:dyDescent="0.25"/>
    <row r="1753" ht="14.25" customHeight="1" x14ac:dyDescent="0.25"/>
    <row r="1754" ht="14.25" customHeight="1" x14ac:dyDescent="0.25"/>
    <row r="1755" ht="14.25" customHeight="1" x14ac:dyDescent="0.25"/>
    <row r="1756" ht="14.25" customHeight="1" x14ac:dyDescent="0.25"/>
    <row r="1757" ht="14.25" customHeight="1" x14ac:dyDescent="0.25"/>
    <row r="1758" ht="14.25" customHeight="1" x14ac:dyDescent="0.25"/>
    <row r="1759" ht="14.25" customHeight="1" x14ac:dyDescent="0.25"/>
    <row r="1760" ht="14.25" customHeight="1" x14ac:dyDescent="0.25"/>
    <row r="1761" ht="14.25" customHeight="1" x14ac:dyDescent="0.25"/>
    <row r="1762" ht="14.25" customHeight="1" x14ac:dyDescent="0.25"/>
    <row r="1763" ht="14.25" customHeight="1" x14ac:dyDescent="0.25"/>
    <row r="1764" ht="14.25" customHeight="1" x14ac:dyDescent="0.25"/>
    <row r="1765" ht="14.25" customHeight="1" x14ac:dyDescent="0.25"/>
    <row r="1766" ht="14.25" customHeight="1" x14ac:dyDescent="0.25"/>
    <row r="1767" ht="14.25" customHeight="1" x14ac:dyDescent="0.25"/>
    <row r="1768" ht="14.25" customHeight="1" x14ac:dyDescent="0.25"/>
    <row r="1769" ht="14.25" customHeight="1" x14ac:dyDescent="0.25"/>
    <row r="1770" ht="14.25" customHeight="1" x14ac:dyDescent="0.25"/>
    <row r="1771" ht="14.25" customHeight="1" x14ac:dyDescent="0.25"/>
    <row r="1772" ht="14.25" customHeight="1" x14ac:dyDescent="0.25"/>
    <row r="1773" ht="14.25" customHeight="1" x14ac:dyDescent="0.25"/>
    <row r="1774" ht="14.25" customHeight="1" x14ac:dyDescent="0.25"/>
    <row r="1775" ht="14.25" customHeight="1" x14ac:dyDescent="0.25"/>
    <row r="1776" ht="14.25" customHeight="1" x14ac:dyDescent="0.25"/>
    <row r="1777" ht="14.25" customHeight="1" x14ac:dyDescent="0.25"/>
    <row r="1778" ht="14.25" customHeight="1" x14ac:dyDescent="0.25"/>
    <row r="1779" ht="14.25" customHeight="1" x14ac:dyDescent="0.25"/>
    <row r="1780" ht="14.25" customHeight="1" x14ac:dyDescent="0.25"/>
    <row r="1781" ht="14.25" customHeight="1" x14ac:dyDescent="0.25"/>
    <row r="1782" ht="14.25" customHeight="1" x14ac:dyDescent="0.25"/>
    <row r="1783" ht="14.25" customHeight="1" x14ac:dyDescent="0.25"/>
    <row r="1784" ht="14.25" customHeight="1" x14ac:dyDescent="0.25"/>
    <row r="1785" ht="14.25" customHeight="1" x14ac:dyDescent="0.25"/>
    <row r="1786" ht="14.25" customHeight="1" x14ac:dyDescent="0.25"/>
    <row r="1787" ht="14.25" customHeight="1" x14ac:dyDescent="0.25"/>
    <row r="1788" ht="14.25" customHeight="1" x14ac:dyDescent="0.25"/>
    <row r="1789" ht="14.25" customHeight="1" x14ac:dyDescent="0.25"/>
    <row r="1790" ht="14.25" customHeight="1" x14ac:dyDescent="0.25"/>
    <row r="1791" ht="14.25" customHeight="1" x14ac:dyDescent="0.25"/>
    <row r="1792" ht="14.25" customHeight="1" x14ac:dyDescent="0.25"/>
    <row r="1793" ht="14.25" customHeight="1" x14ac:dyDescent="0.25"/>
    <row r="1794" ht="14.25" customHeight="1" x14ac:dyDescent="0.25"/>
    <row r="1795" ht="14.25" customHeight="1" x14ac:dyDescent="0.25"/>
    <row r="1796" ht="14.25" customHeight="1" x14ac:dyDescent="0.25"/>
    <row r="1797" ht="14.25" customHeight="1" x14ac:dyDescent="0.25"/>
    <row r="1798" ht="14.25" customHeight="1" x14ac:dyDescent="0.25"/>
    <row r="1799" ht="14.25" customHeight="1" x14ac:dyDescent="0.25"/>
    <row r="1800" ht="14.25" customHeight="1" x14ac:dyDescent="0.25"/>
    <row r="1801" ht="14.25" customHeight="1" x14ac:dyDescent="0.25"/>
    <row r="1802" ht="14.25" customHeight="1" x14ac:dyDescent="0.25"/>
    <row r="1803" ht="14.25" customHeight="1" x14ac:dyDescent="0.25"/>
    <row r="1804" ht="14.25" customHeight="1" x14ac:dyDescent="0.25"/>
    <row r="1805" ht="14.25" customHeight="1" x14ac:dyDescent="0.25"/>
    <row r="1806" ht="14.25" customHeight="1" x14ac:dyDescent="0.25"/>
    <row r="1807" ht="14.25" customHeight="1" x14ac:dyDescent="0.25"/>
    <row r="1808" ht="14.25" customHeight="1" x14ac:dyDescent="0.25"/>
    <row r="1809" ht="14.25" customHeight="1" x14ac:dyDescent="0.25"/>
    <row r="1810" ht="14.25" customHeight="1" x14ac:dyDescent="0.25"/>
    <row r="1811" ht="14.25" customHeight="1" x14ac:dyDescent="0.25"/>
    <row r="1812" ht="14.25" customHeight="1" x14ac:dyDescent="0.25"/>
    <row r="1813" ht="14.25" customHeight="1" x14ac:dyDescent="0.25"/>
    <row r="1814" ht="14.25" customHeight="1" x14ac:dyDescent="0.25"/>
    <row r="1815" ht="14.25" customHeight="1" x14ac:dyDescent="0.25"/>
    <row r="1816" ht="14.25" customHeight="1" x14ac:dyDescent="0.25"/>
    <row r="1817" ht="14.25" customHeight="1" x14ac:dyDescent="0.25"/>
    <row r="1818" ht="14.25" customHeight="1" x14ac:dyDescent="0.25"/>
    <row r="1819" ht="14.25" customHeight="1" x14ac:dyDescent="0.25"/>
    <row r="1820" ht="14.25" customHeight="1" x14ac:dyDescent="0.25"/>
    <row r="1821" ht="14.25" customHeight="1" x14ac:dyDescent="0.25"/>
    <row r="1822" ht="14.25" customHeight="1" x14ac:dyDescent="0.25"/>
    <row r="1823" ht="14.25" customHeight="1" x14ac:dyDescent="0.25"/>
    <row r="1824" ht="14.25" customHeight="1" x14ac:dyDescent="0.25"/>
    <row r="1825" ht="14.25" customHeight="1" x14ac:dyDescent="0.25"/>
    <row r="1826" ht="14.25" customHeight="1" x14ac:dyDescent="0.25"/>
    <row r="1827" ht="14.25" customHeight="1" x14ac:dyDescent="0.25"/>
    <row r="1828" ht="14.25" customHeight="1" x14ac:dyDescent="0.25"/>
    <row r="1829" ht="14.25" customHeight="1" x14ac:dyDescent="0.25"/>
    <row r="1830" ht="14.25" customHeight="1" x14ac:dyDescent="0.25"/>
    <row r="1831" ht="14.25" customHeight="1" x14ac:dyDescent="0.25"/>
    <row r="1832" ht="14.25" customHeight="1" x14ac:dyDescent="0.25"/>
    <row r="1833" ht="14.25" customHeight="1" x14ac:dyDescent="0.25"/>
    <row r="1834" ht="14.25" customHeight="1" x14ac:dyDescent="0.25"/>
    <row r="1835" ht="14.25" customHeight="1" x14ac:dyDescent="0.25"/>
    <row r="1836" ht="14.25" customHeight="1" x14ac:dyDescent="0.25"/>
    <row r="1837" ht="14.25" customHeight="1" x14ac:dyDescent="0.25"/>
    <row r="1838" ht="14.25" customHeight="1" x14ac:dyDescent="0.25"/>
    <row r="1839" ht="14.25" customHeight="1" x14ac:dyDescent="0.25"/>
    <row r="1840" ht="14.25" customHeight="1" x14ac:dyDescent="0.25"/>
    <row r="1841" ht="14.25" customHeight="1" x14ac:dyDescent="0.25"/>
    <row r="1842" ht="14.25" customHeight="1" x14ac:dyDescent="0.25"/>
    <row r="1843" ht="14.25" customHeight="1" x14ac:dyDescent="0.25"/>
    <row r="1844" ht="14.25" customHeight="1" x14ac:dyDescent="0.25"/>
    <row r="1845" ht="14.25" customHeight="1" x14ac:dyDescent="0.25"/>
    <row r="1846" ht="14.25" customHeight="1" x14ac:dyDescent="0.25"/>
    <row r="1847" ht="14.25" customHeight="1" x14ac:dyDescent="0.25"/>
    <row r="1848" ht="14.25" customHeight="1" x14ac:dyDescent="0.25"/>
    <row r="1849" ht="14.25" customHeight="1" x14ac:dyDescent="0.25"/>
    <row r="1850" ht="14.25" customHeight="1" x14ac:dyDescent="0.25"/>
    <row r="1851" ht="14.25" customHeight="1" x14ac:dyDescent="0.25"/>
    <row r="1852" ht="14.25" customHeight="1" x14ac:dyDescent="0.25"/>
    <row r="1853" ht="14.25" customHeight="1" x14ac:dyDescent="0.25"/>
    <row r="1854" ht="14.25" customHeight="1" x14ac:dyDescent="0.25"/>
    <row r="1855" ht="14.25" customHeight="1" x14ac:dyDescent="0.25"/>
    <row r="1856" ht="14.25" customHeight="1" x14ac:dyDescent="0.25"/>
    <row r="1857" ht="14.25" customHeight="1" x14ac:dyDescent="0.25"/>
    <row r="1858" ht="14.25" customHeight="1" x14ac:dyDescent="0.25"/>
    <row r="1859" ht="14.25" customHeight="1" x14ac:dyDescent="0.25"/>
    <row r="1860" ht="14.25" customHeight="1" x14ac:dyDescent="0.25"/>
    <row r="1861" ht="14.25" customHeight="1" x14ac:dyDescent="0.25"/>
    <row r="1862" ht="14.25" customHeight="1" x14ac:dyDescent="0.25"/>
    <row r="1863" ht="14.25" customHeight="1" x14ac:dyDescent="0.25"/>
    <row r="1864" ht="14.25" customHeight="1" x14ac:dyDescent="0.25"/>
    <row r="1865" ht="14.25" customHeight="1" x14ac:dyDescent="0.25"/>
    <row r="1866" ht="14.25" customHeight="1" x14ac:dyDescent="0.25"/>
    <row r="1867" ht="14.25" customHeight="1" x14ac:dyDescent="0.25"/>
    <row r="1868" ht="14.25" customHeight="1" x14ac:dyDescent="0.25"/>
    <row r="1869" ht="14.25" customHeight="1" x14ac:dyDescent="0.25"/>
    <row r="1870" ht="14.25" customHeight="1" x14ac:dyDescent="0.25"/>
    <row r="1871" ht="14.25" customHeight="1" x14ac:dyDescent="0.25"/>
    <row r="1872" ht="14.25" customHeight="1" x14ac:dyDescent="0.25"/>
    <row r="1873" ht="14.25" customHeight="1" x14ac:dyDescent="0.25"/>
    <row r="1874" ht="14.25" customHeight="1" x14ac:dyDescent="0.25"/>
    <row r="1875" ht="14.25" customHeight="1" x14ac:dyDescent="0.25"/>
    <row r="1876" ht="14.25" customHeight="1" x14ac:dyDescent="0.25"/>
    <row r="1877" ht="14.25" customHeight="1" x14ac:dyDescent="0.25"/>
    <row r="1878" ht="14.25" customHeight="1" x14ac:dyDescent="0.25"/>
    <row r="1879" ht="14.25" customHeight="1" x14ac:dyDescent="0.25"/>
    <row r="1880" ht="14.25" customHeight="1" x14ac:dyDescent="0.25"/>
    <row r="1881" ht="14.25" customHeight="1" x14ac:dyDescent="0.25"/>
    <row r="1882" ht="14.25" customHeight="1" x14ac:dyDescent="0.25"/>
    <row r="1883" ht="14.25" customHeight="1" x14ac:dyDescent="0.25"/>
    <row r="1884" ht="14.25" customHeight="1" x14ac:dyDescent="0.25"/>
    <row r="1885" ht="14.25" customHeight="1" x14ac:dyDescent="0.25"/>
    <row r="1886" ht="14.25" customHeight="1" x14ac:dyDescent="0.25"/>
    <row r="1887" ht="14.25" customHeight="1" x14ac:dyDescent="0.25"/>
    <row r="1888" ht="14.25" customHeight="1" x14ac:dyDescent="0.25"/>
    <row r="1889" ht="14.25" customHeight="1" x14ac:dyDescent="0.25"/>
    <row r="1890" ht="14.25" customHeight="1" x14ac:dyDescent="0.25"/>
    <row r="1891" ht="14.25" customHeight="1" x14ac:dyDescent="0.25"/>
    <row r="1892" ht="14.25" customHeight="1" x14ac:dyDescent="0.25"/>
    <row r="1893" ht="14.25" customHeight="1" x14ac:dyDescent="0.25"/>
    <row r="1894" ht="14.25" customHeight="1" x14ac:dyDescent="0.25"/>
    <row r="1895" ht="14.25" customHeight="1" x14ac:dyDescent="0.25"/>
    <row r="1896" ht="14.25" customHeight="1" x14ac:dyDescent="0.25"/>
    <row r="1897" ht="14.25" customHeight="1" x14ac:dyDescent="0.25"/>
    <row r="1898" ht="14.25" customHeight="1" x14ac:dyDescent="0.25"/>
    <row r="1899" ht="14.25" customHeight="1" x14ac:dyDescent="0.25"/>
    <row r="1900" ht="14.25" customHeight="1" x14ac:dyDescent="0.25"/>
    <row r="1901" ht="14.25" customHeight="1" x14ac:dyDescent="0.25"/>
    <row r="1902" ht="14.25" customHeight="1" x14ac:dyDescent="0.25"/>
    <row r="1903" ht="14.25" customHeight="1" x14ac:dyDescent="0.25"/>
    <row r="1904" ht="14.25" customHeight="1" x14ac:dyDescent="0.25"/>
    <row r="1905" ht="14.25" customHeight="1" x14ac:dyDescent="0.25"/>
    <row r="1906" ht="14.25" customHeight="1" x14ac:dyDescent="0.25"/>
    <row r="1907" ht="14.25" customHeight="1" x14ac:dyDescent="0.25"/>
    <row r="1908" ht="14.25" customHeight="1" x14ac:dyDescent="0.25"/>
    <row r="1909" ht="14.25" customHeight="1" x14ac:dyDescent="0.25"/>
    <row r="1910" ht="14.25" customHeight="1" x14ac:dyDescent="0.25"/>
    <row r="1911" ht="14.25" customHeight="1" x14ac:dyDescent="0.25"/>
    <row r="1912" ht="14.25" customHeight="1" x14ac:dyDescent="0.25"/>
    <row r="1913" ht="14.25" customHeight="1" x14ac:dyDescent="0.25"/>
    <row r="1914" ht="14.25" customHeight="1" x14ac:dyDescent="0.25"/>
    <row r="1915" ht="14.25" customHeight="1" x14ac:dyDescent="0.25"/>
    <row r="1916" ht="14.25" customHeight="1" x14ac:dyDescent="0.25"/>
    <row r="1917" ht="14.25" customHeight="1" x14ac:dyDescent="0.25"/>
    <row r="1918" ht="14.25" customHeight="1" x14ac:dyDescent="0.25"/>
    <row r="1919" ht="14.25" customHeight="1" x14ac:dyDescent="0.25"/>
    <row r="1920" ht="14.25" customHeight="1" x14ac:dyDescent="0.25"/>
    <row r="1921" ht="14.25" customHeight="1" x14ac:dyDescent="0.25"/>
    <row r="1922" ht="14.25" customHeight="1" x14ac:dyDescent="0.25"/>
    <row r="1923" ht="14.25" customHeight="1" x14ac:dyDescent="0.25"/>
    <row r="1924" ht="14.25" customHeight="1" x14ac:dyDescent="0.25"/>
    <row r="1925" ht="14.25" customHeight="1" x14ac:dyDescent="0.25"/>
    <row r="1926" ht="14.25" customHeight="1" x14ac:dyDescent="0.25"/>
    <row r="1927" ht="14.25" customHeight="1" x14ac:dyDescent="0.25"/>
    <row r="1928" ht="14.25" customHeight="1" x14ac:dyDescent="0.25"/>
    <row r="1929" ht="14.25" customHeight="1" x14ac:dyDescent="0.25"/>
    <row r="1930" ht="14.25" customHeight="1" x14ac:dyDescent="0.25"/>
    <row r="1931" ht="14.25" customHeight="1" x14ac:dyDescent="0.25"/>
    <row r="1932" ht="14.25" customHeight="1" x14ac:dyDescent="0.25"/>
    <row r="1933" ht="14.25" customHeight="1" x14ac:dyDescent="0.25"/>
    <row r="1934" ht="14.25" customHeight="1" x14ac:dyDescent="0.25"/>
    <row r="1935" ht="14.25" customHeight="1" x14ac:dyDescent="0.25"/>
    <row r="1936" ht="14.25" customHeight="1" x14ac:dyDescent="0.25"/>
    <row r="1937" ht="14.25" customHeight="1" x14ac:dyDescent="0.25"/>
    <row r="1938" ht="14.25" customHeight="1" x14ac:dyDescent="0.25"/>
    <row r="1939" ht="14.25" customHeight="1" x14ac:dyDescent="0.25"/>
    <row r="1940" ht="14.25" customHeight="1" x14ac:dyDescent="0.25"/>
    <row r="1941" ht="14.25" customHeight="1" x14ac:dyDescent="0.25"/>
    <row r="1942" ht="14.25" customHeight="1" x14ac:dyDescent="0.25"/>
    <row r="1943" ht="14.25" customHeight="1" x14ac:dyDescent="0.25"/>
    <row r="1944" ht="14.25" customHeight="1" x14ac:dyDescent="0.25"/>
    <row r="1945" ht="14.25" customHeight="1" x14ac:dyDescent="0.25"/>
    <row r="1946" ht="14.25" customHeight="1" x14ac:dyDescent="0.25"/>
    <row r="1947" ht="14.25" customHeight="1" x14ac:dyDescent="0.25"/>
    <row r="1948" ht="14.25" customHeight="1" x14ac:dyDescent="0.25"/>
    <row r="1949" ht="14.25" customHeight="1" x14ac:dyDescent="0.25"/>
    <row r="1950" ht="14.25" customHeight="1" x14ac:dyDescent="0.25"/>
    <row r="1951" ht="14.25" customHeight="1" x14ac:dyDescent="0.25"/>
    <row r="1952" ht="14.25" customHeight="1" x14ac:dyDescent="0.25"/>
    <row r="1953" ht="14.25" customHeight="1" x14ac:dyDescent="0.25"/>
    <row r="1954" ht="14.25" customHeight="1" x14ac:dyDescent="0.25"/>
    <row r="1955" ht="14.25" customHeight="1" x14ac:dyDescent="0.25"/>
    <row r="1956" ht="14.25" customHeight="1" x14ac:dyDescent="0.25"/>
    <row r="1957" ht="14.25" customHeight="1" x14ac:dyDescent="0.25"/>
    <row r="1958" ht="14.25" customHeight="1" x14ac:dyDescent="0.25"/>
    <row r="1959" ht="14.25" customHeight="1" x14ac:dyDescent="0.25"/>
    <row r="1960" ht="14.25" customHeight="1" x14ac:dyDescent="0.25"/>
    <row r="1961" ht="14.25" customHeight="1" x14ac:dyDescent="0.25"/>
    <row r="1962" ht="14.25" customHeight="1" x14ac:dyDescent="0.25"/>
    <row r="1963" ht="14.25" customHeight="1" x14ac:dyDescent="0.25"/>
    <row r="1964" ht="14.25" customHeight="1" x14ac:dyDescent="0.25"/>
    <row r="1965" ht="14.25" customHeight="1" x14ac:dyDescent="0.25"/>
    <row r="1966" ht="14.25" customHeight="1" x14ac:dyDescent="0.25"/>
    <row r="1967" ht="14.25" customHeight="1" x14ac:dyDescent="0.25"/>
    <row r="1968" ht="14.25" customHeight="1" x14ac:dyDescent="0.25"/>
    <row r="1969" ht="14.25" customHeight="1" x14ac:dyDescent="0.25"/>
    <row r="1970" ht="14.25" customHeight="1" x14ac:dyDescent="0.25"/>
    <row r="1971" ht="14.25" customHeight="1" x14ac:dyDescent="0.25"/>
    <row r="1972" ht="14.25" customHeight="1" x14ac:dyDescent="0.25"/>
    <row r="1973" ht="14.25" customHeight="1" x14ac:dyDescent="0.25"/>
    <row r="1974" ht="14.25" customHeight="1" x14ac:dyDescent="0.25"/>
    <row r="1975" ht="14.25" customHeight="1" x14ac:dyDescent="0.25"/>
    <row r="1976" ht="14.25" customHeight="1" x14ac:dyDescent="0.25"/>
    <row r="1977" ht="14.25" customHeight="1" x14ac:dyDescent="0.25"/>
    <row r="1978" ht="14.25" customHeight="1" x14ac:dyDescent="0.25"/>
    <row r="1979" ht="14.25" customHeight="1" x14ac:dyDescent="0.25"/>
    <row r="1980" ht="14.25" customHeight="1" x14ac:dyDescent="0.25"/>
    <row r="1981" ht="14.25" customHeight="1" x14ac:dyDescent="0.25"/>
    <row r="1982" ht="14.25" customHeight="1" x14ac:dyDescent="0.25"/>
    <row r="1983" ht="14.25" customHeight="1" x14ac:dyDescent="0.25"/>
    <row r="1984" ht="14.25" customHeight="1" x14ac:dyDescent="0.25"/>
    <row r="1985" ht="14.25" customHeight="1" x14ac:dyDescent="0.25"/>
    <row r="1986" ht="14.25" customHeight="1" x14ac:dyDescent="0.25"/>
    <row r="1987" ht="14.25" customHeight="1" x14ac:dyDescent="0.25"/>
    <row r="1988" ht="14.25" customHeight="1" x14ac:dyDescent="0.25"/>
    <row r="1989" ht="14.25" customHeight="1" x14ac:dyDescent="0.25"/>
    <row r="1990" ht="14.25" customHeight="1" x14ac:dyDescent="0.25"/>
    <row r="1991" ht="14.25" customHeight="1" x14ac:dyDescent="0.25"/>
    <row r="1992" ht="14.25" customHeight="1" x14ac:dyDescent="0.25"/>
    <row r="1993" ht="14.25" customHeight="1" x14ac:dyDescent="0.25"/>
    <row r="1994" ht="14.25" customHeight="1" x14ac:dyDescent="0.25"/>
    <row r="1995" ht="14.25" customHeight="1" x14ac:dyDescent="0.25"/>
    <row r="1996" ht="14.25" customHeight="1" x14ac:dyDescent="0.25"/>
    <row r="1997" ht="14.25" customHeight="1" x14ac:dyDescent="0.25"/>
    <row r="1998" ht="14.25" customHeight="1" x14ac:dyDescent="0.25"/>
    <row r="1999" ht="14.25" customHeight="1" x14ac:dyDescent="0.25"/>
    <row r="2000" ht="14.25" customHeight="1" x14ac:dyDescent="0.25"/>
    <row r="2001" ht="14.25" customHeight="1" x14ac:dyDescent="0.25"/>
    <row r="2002" ht="14.25" customHeight="1" x14ac:dyDescent="0.25"/>
    <row r="2003" ht="14.25" customHeight="1" x14ac:dyDescent="0.25"/>
    <row r="2004" ht="14.25" customHeight="1" x14ac:dyDescent="0.25"/>
    <row r="2005" ht="14.25" customHeight="1" x14ac:dyDescent="0.25"/>
    <row r="2006" ht="14.25" customHeight="1" x14ac:dyDescent="0.25"/>
    <row r="2007" ht="14.25" customHeight="1" x14ac:dyDescent="0.25"/>
    <row r="2008" ht="14.25" customHeight="1" x14ac:dyDescent="0.25"/>
    <row r="2009" ht="14.25" customHeight="1" x14ac:dyDescent="0.25"/>
    <row r="2010" ht="14.25" customHeight="1" x14ac:dyDescent="0.25"/>
    <row r="2011" ht="14.25" customHeight="1" x14ac:dyDescent="0.25"/>
    <row r="2012" ht="14.25" customHeight="1" x14ac:dyDescent="0.25"/>
    <row r="2013" ht="14.25" customHeight="1" x14ac:dyDescent="0.25"/>
    <row r="2014" ht="14.25" customHeight="1" x14ac:dyDescent="0.25"/>
    <row r="2015" ht="14.25" customHeight="1" x14ac:dyDescent="0.25"/>
    <row r="2016" ht="14.25" customHeight="1" x14ac:dyDescent="0.25"/>
    <row r="2017" ht="14.25" customHeight="1" x14ac:dyDescent="0.25"/>
    <row r="2018" ht="14.25" customHeight="1" x14ac:dyDescent="0.25"/>
    <row r="2019" ht="14.25" customHeight="1" x14ac:dyDescent="0.25"/>
    <row r="2020" ht="14.25" customHeight="1" x14ac:dyDescent="0.25"/>
    <row r="2021" ht="14.25" customHeight="1" x14ac:dyDescent="0.25"/>
    <row r="2022" ht="14.25" customHeight="1" x14ac:dyDescent="0.25"/>
    <row r="2023" ht="14.25" customHeight="1" x14ac:dyDescent="0.25"/>
    <row r="2024" ht="14.25" customHeight="1" x14ac:dyDescent="0.25"/>
    <row r="2025" ht="14.25" customHeight="1" x14ac:dyDescent="0.25"/>
    <row r="2026" ht="14.25" customHeight="1" x14ac:dyDescent="0.25"/>
    <row r="2027" ht="14.25" customHeight="1" x14ac:dyDescent="0.25"/>
    <row r="2028" ht="14.25" customHeight="1" x14ac:dyDescent="0.25"/>
    <row r="2029" ht="14.25" customHeight="1" x14ac:dyDescent="0.25"/>
    <row r="2030" ht="14.25" customHeight="1" x14ac:dyDescent="0.25"/>
    <row r="2031" ht="14.25" customHeight="1" x14ac:dyDescent="0.25"/>
    <row r="2032" ht="14.25" customHeight="1" x14ac:dyDescent="0.25"/>
    <row r="2033" ht="14.25" customHeight="1" x14ac:dyDescent="0.25"/>
    <row r="2034" ht="14.25" customHeight="1" x14ac:dyDescent="0.25"/>
    <row r="2035" ht="14.25" customHeight="1" x14ac:dyDescent="0.25"/>
    <row r="2036" ht="14.25" customHeight="1" x14ac:dyDescent="0.25"/>
    <row r="2037" ht="14.25" customHeight="1" x14ac:dyDescent="0.25"/>
    <row r="2038" ht="14.25" customHeight="1" x14ac:dyDescent="0.25"/>
    <row r="2039" ht="14.25" customHeight="1" x14ac:dyDescent="0.25"/>
    <row r="2040" ht="14.25" customHeight="1" x14ac:dyDescent="0.25"/>
    <row r="2041" ht="14.25" customHeight="1" x14ac:dyDescent="0.25"/>
    <row r="2042" ht="14.25" customHeight="1" x14ac:dyDescent="0.25"/>
    <row r="2043" ht="14.25" customHeight="1" x14ac:dyDescent="0.25"/>
    <row r="2044" ht="14.25" customHeight="1" x14ac:dyDescent="0.25"/>
    <row r="2045" ht="14.25" customHeight="1" x14ac:dyDescent="0.25"/>
    <row r="2046" ht="14.25" customHeight="1" x14ac:dyDescent="0.25"/>
    <row r="2047" ht="14.25" customHeight="1" x14ac:dyDescent="0.25"/>
    <row r="2048" ht="14.25" customHeight="1" x14ac:dyDescent="0.25"/>
    <row r="2049" ht="14.25" customHeight="1" x14ac:dyDescent="0.25"/>
    <row r="2050" ht="14.25" customHeight="1" x14ac:dyDescent="0.25"/>
    <row r="2051" ht="14.25" customHeight="1" x14ac:dyDescent="0.25"/>
    <row r="2052" ht="14.25" customHeight="1" x14ac:dyDescent="0.25"/>
    <row r="2053" ht="14.25" customHeight="1" x14ac:dyDescent="0.25"/>
    <row r="2054" ht="14.25" customHeight="1" x14ac:dyDescent="0.25"/>
    <row r="2055" ht="14.25" customHeight="1" x14ac:dyDescent="0.25"/>
    <row r="2056" ht="14.25" customHeight="1" x14ac:dyDescent="0.25"/>
    <row r="2057" ht="14.25" customHeight="1" x14ac:dyDescent="0.25"/>
    <row r="2058" ht="14.25" customHeight="1" x14ac:dyDescent="0.25"/>
    <row r="2059" ht="14.25" customHeight="1" x14ac:dyDescent="0.25"/>
    <row r="2060" ht="14.25" customHeight="1" x14ac:dyDescent="0.25"/>
    <row r="2061" ht="14.25" customHeight="1" x14ac:dyDescent="0.25"/>
    <row r="2062" ht="14.25" customHeight="1" x14ac:dyDescent="0.25"/>
    <row r="2063" ht="14.25" customHeight="1" x14ac:dyDescent="0.25"/>
    <row r="2064" ht="14.25" customHeight="1" x14ac:dyDescent="0.25"/>
    <row r="2065" ht="14.25" customHeight="1" x14ac:dyDescent="0.25"/>
    <row r="2066" ht="14.25" customHeight="1" x14ac:dyDescent="0.25"/>
    <row r="2067" ht="14.25" customHeight="1" x14ac:dyDescent="0.25"/>
    <row r="2068" ht="14.25" customHeight="1" x14ac:dyDescent="0.25"/>
    <row r="2069" ht="14.25" customHeight="1" x14ac:dyDescent="0.25"/>
    <row r="2070" ht="14.25" customHeight="1" x14ac:dyDescent="0.25"/>
    <row r="2071" ht="14.25" customHeight="1" x14ac:dyDescent="0.25"/>
    <row r="2072" ht="14.25" customHeight="1" x14ac:dyDescent="0.25"/>
    <row r="2073" ht="14.25" customHeight="1" x14ac:dyDescent="0.25"/>
    <row r="2074" ht="14.25" customHeight="1" x14ac:dyDescent="0.25"/>
    <row r="2075" ht="14.25" customHeight="1" x14ac:dyDescent="0.25"/>
    <row r="2076" ht="14.25" customHeight="1" x14ac:dyDescent="0.25"/>
    <row r="2077" ht="14.25" customHeight="1" x14ac:dyDescent="0.25"/>
    <row r="2078" ht="14.25" customHeight="1" x14ac:dyDescent="0.25"/>
    <row r="2079" ht="14.25" customHeight="1" x14ac:dyDescent="0.25"/>
    <row r="2080" ht="14.25" customHeight="1" x14ac:dyDescent="0.25"/>
    <row r="2081" ht="14.25" customHeight="1" x14ac:dyDescent="0.25"/>
    <row r="2082" ht="14.25" customHeight="1" x14ac:dyDescent="0.25"/>
    <row r="2083" ht="14.25" customHeight="1" x14ac:dyDescent="0.25"/>
    <row r="2084" ht="14.25" customHeight="1" x14ac:dyDescent="0.25"/>
    <row r="2085" ht="14.25" customHeight="1" x14ac:dyDescent="0.25"/>
    <row r="2086" ht="14.25" customHeight="1" x14ac:dyDescent="0.25"/>
    <row r="2087" ht="14.25" customHeight="1" x14ac:dyDescent="0.25"/>
    <row r="2088" ht="14.25" customHeight="1" x14ac:dyDescent="0.25"/>
    <row r="2089" ht="14.25" customHeight="1" x14ac:dyDescent="0.25"/>
    <row r="2090" ht="14.25" customHeight="1" x14ac:dyDescent="0.25"/>
    <row r="2091" ht="14.25" customHeight="1" x14ac:dyDescent="0.25"/>
    <row r="2092" ht="14.25" customHeight="1" x14ac:dyDescent="0.25"/>
    <row r="2093" ht="14.25" customHeight="1" x14ac:dyDescent="0.25"/>
    <row r="2094" ht="14.25" customHeight="1" x14ac:dyDescent="0.25"/>
    <row r="2095" ht="14.25" customHeight="1" x14ac:dyDescent="0.25"/>
    <row r="2096" ht="14.25" customHeight="1" x14ac:dyDescent="0.25"/>
    <row r="2097" ht="14.25" customHeight="1" x14ac:dyDescent="0.25"/>
    <row r="2098" ht="14.25" customHeight="1" x14ac:dyDescent="0.25"/>
    <row r="2099" ht="14.25" customHeight="1" x14ac:dyDescent="0.25"/>
    <row r="2100" ht="14.25" customHeight="1" x14ac:dyDescent="0.25"/>
    <row r="2101" ht="14.25" customHeight="1" x14ac:dyDescent="0.25"/>
    <row r="2102" ht="14.25" customHeight="1" x14ac:dyDescent="0.25"/>
    <row r="2103" ht="14.25" customHeight="1" x14ac:dyDescent="0.25"/>
    <row r="2104" ht="14.25" customHeight="1" x14ac:dyDescent="0.25"/>
    <row r="2105" ht="14.25" customHeight="1" x14ac:dyDescent="0.25"/>
    <row r="2106" ht="14.25" customHeight="1" x14ac:dyDescent="0.25"/>
    <row r="2107" ht="14.25" customHeight="1" x14ac:dyDescent="0.25"/>
    <row r="2108" ht="14.25" customHeight="1" x14ac:dyDescent="0.25"/>
    <row r="2109" ht="14.25" customHeight="1" x14ac:dyDescent="0.25"/>
    <row r="2110" ht="14.25" customHeight="1" x14ac:dyDescent="0.25"/>
    <row r="2111" ht="14.25" customHeight="1" x14ac:dyDescent="0.25"/>
    <row r="2112" ht="14.25" customHeight="1" x14ac:dyDescent="0.25"/>
    <row r="2113" ht="14.25" customHeight="1" x14ac:dyDescent="0.25"/>
    <row r="2114" ht="14.25" customHeight="1" x14ac:dyDescent="0.25"/>
    <row r="2115" ht="14.25" customHeight="1" x14ac:dyDescent="0.25"/>
    <row r="2116" ht="14.25" customHeight="1" x14ac:dyDescent="0.25"/>
    <row r="2117" ht="14.25" customHeight="1" x14ac:dyDescent="0.25"/>
    <row r="2118" ht="14.25" customHeight="1" x14ac:dyDescent="0.25"/>
    <row r="2119" ht="14.25" customHeight="1" x14ac:dyDescent="0.25"/>
    <row r="2120" ht="14.25" customHeight="1" x14ac:dyDescent="0.25"/>
    <row r="2121" ht="14.25" customHeight="1" x14ac:dyDescent="0.25"/>
    <row r="2122" ht="14.25" customHeight="1" x14ac:dyDescent="0.25"/>
    <row r="2123" ht="14.25" customHeight="1" x14ac:dyDescent="0.25"/>
    <row r="2124" ht="14.25" customHeight="1" x14ac:dyDescent="0.25"/>
    <row r="2125" ht="14.25" customHeight="1" x14ac:dyDescent="0.25"/>
    <row r="2126" ht="14.25" customHeight="1" x14ac:dyDescent="0.25"/>
    <row r="2127" ht="14.25" customHeight="1" x14ac:dyDescent="0.25"/>
    <row r="2128" ht="14.25" customHeight="1" x14ac:dyDescent="0.25"/>
    <row r="2129" ht="14.25" customHeight="1" x14ac:dyDescent="0.25"/>
    <row r="2130" ht="14.25" customHeight="1" x14ac:dyDescent="0.25"/>
    <row r="2131" ht="14.25" customHeight="1" x14ac:dyDescent="0.25"/>
    <row r="2132" ht="14.25" customHeight="1" x14ac:dyDescent="0.25"/>
    <row r="2133" ht="14.25" customHeight="1" x14ac:dyDescent="0.25"/>
    <row r="2134" ht="14.25" customHeight="1" x14ac:dyDescent="0.25"/>
    <row r="2135" ht="14.25" customHeight="1" x14ac:dyDescent="0.25"/>
    <row r="2136" ht="14.25" customHeight="1" x14ac:dyDescent="0.25"/>
    <row r="2137" ht="14.25" customHeight="1" x14ac:dyDescent="0.25"/>
    <row r="2138" ht="14.25" customHeight="1" x14ac:dyDescent="0.25"/>
    <row r="2139" ht="14.25" customHeight="1" x14ac:dyDescent="0.25"/>
    <row r="2140" ht="14.25" customHeight="1" x14ac:dyDescent="0.25"/>
    <row r="2141" ht="14.25" customHeight="1" x14ac:dyDescent="0.25"/>
    <row r="2142" ht="14.25" customHeight="1" x14ac:dyDescent="0.25"/>
    <row r="2143" ht="14.25" customHeight="1" x14ac:dyDescent="0.25"/>
    <row r="2144" ht="14.25" customHeight="1" x14ac:dyDescent="0.25"/>
    <row r="2145" ht="14.25" customHeight="1" x14ac:dyDescent="0.25"/>
    <row r="2146" ht="14.25" customHeight="1" x14ac:dyDescent="0.25"/>
    <row r="2147" ht="14.25" customHeight="1" x14ac:dyDescent="0.25"/>
    <row r="2148" ht="14.25" customHeight="1" x14ac:dyDescent="0.25"/>
    <row r="2149" ht="14.25" customHeight="1" x14ac:dyDescent="0.25"/>
    <row r="2150" ht="14.25" customHeight="1" x14ac:dyDescent="0.25"/>
    <row r="2151" ht="14.25" customHeight="1" x14ac:dyDescent="0.25"/>
    <row r="2152" ht="14.25" customHeight="1" x14ac:dyDescent="0.25"/>
    <row r="2153" ht="14.25" customHeight="1" x14ac:dyDescent="0.25"/>
    <row r="2154" ht="14.25" customHeight="1" x14ac:dyDescent="0.25"/>
    <row r="2155" ht="14.25" customHeight="1" x14ac:dyDescent="0.25"/>
    <row r="2156" ht="14.25" customHeight="1" x14ac:dyDescent="0.25"/>
    <row r="2157" ht="14.25" customHeight="1" x14ac:dyDescent="0.25"/>
    <row r="2158" ht="14.25" customHeight="1" x14ac:dyDescent="0.25"/>
    <row r="2159" ht="14.25" customHeight="1" x14ac:dyDescent="0.25"/>
    <row r="2160" ht="14.25" customHeight="1" x14ac:dyDescent="0.25"/>
    <row r="2161" ht="14.25" customHeight="1" x14ac:dyDescent="0.25"/>
    <row r="2162" ht="14.25" customHeight="1" x14ac:dyDescent="0.25"/>
    <row r="2163" ht="14.25" customHeight="1" x14ac:dyDescent="0.25"/>
    <row r="2164" ht="14.25" customHeight="1" x14ac:dyDescent="0.25"/>
    <row r="2165" ht="14.25" customHeight="1" x14ac:dyDescent="0.25"/>
    <row r="2166" ht="14.25" customHeight="1" x14ac:dyDescent="0.25"/>
    <row r="2167" ht="14.25" customHeight="1" x14ac:dyDescent="0.25"/>
    <row r="2168" ht="14.25" customHeight="1" x14ac:dyDescent="0.25"/>
    <row r="2169" ht="14.25" customHeight="1" x14ac:dyDescent="0.25"/>
    <row r="2170" ht="14.25" customHeight="1" x14ac:dyDescent="0.25"/>
    <row r="2171" ht="14.25" customHeight="1" x14ac:dyDescent="0.25"/>
    <row r="2172" ht="14.25" customHeight="1" x14ac:dyDescent="0.25"/>
    <row r="2173" ht="14.25" customHeight="1" x14ac:dyDescent="0.25"/>
    <row r="2174" ht="14.25" customHeight="1" x14ac:dyDescent="0.25"/>
    <row r="2175" ht="14.25" customHeight="1" x14ac:dyDescent="0.25"/>
    <row r="2176" ht="14.25" customHeight="1" x14ac:dyDescent="0.25"/>
    <row r="2177" ht="14.25" customHeight="1" x14ac:dyDescent="0.25"/>
    <row r="2178" ht="14.25" customHeight="1" x14ac:dyDescent="0.25"/>
    <row r="2179" ht="14.25" customHeight="1" x14ac:dyDescent="0.25"/>
    <row r="2180" ht="14.25" customHeight="1" x14ac:dyDescent="0.25"/>
    <row r="2181" ht="14.25" customHeight="1" x14ac:dyDescent="0.25"/>
    <row r="2182" ht="14.25" customHeight="1" x14ac:dyDescent="0.25"/>
    <row r="2183" ht="14.25" customHeight="1" x14ac:dyDescent="0.25"/>
    <row r="2184" ht="14.25" customHeight="1" x14ac:dyDescent="0.25"/>
    <row r="2185" ht="14.25" customHeight="1" x14ac:dyDescent="0.25"/>
    <row r="2186" ht="14.25" customHeight="1" x14ac:dyDescent="0.25"/>
    <row r="2187" ht="14.25" customHeight="1" x14ac:dyDescent="0.25"/>
    <row r="2188" ht="14.25" customHeight="1" x14ac:dyDescent="0.25"/>
    <row r="2189" ht="14.25" customHeight="1" x14ac:dyDescent="0.25"/>
    <row r="2190" ht="14.25" customHeight="1" x14ac:dyDescent="0.25"/>
    <row r="2191" ht="14.25" customHeight="1" x14ac:dyDescent="0.25"/>
    <row r="2192" ht="14.25" customHeight="1" x14ac:dyDescent="0.25"/>
    <row r="2193" ht="14.25" customHeight="1" x14ac:dyDescent="0.25"/>
    <row r="2194" ht="14.25" customHeight="1" x14ac:dyDescent="0.25"/>
    <row r="2195" ht="14.25" customHeight="1" x14ac:dyDescent="0.25"/>
    <row r="2196" ht="14.25" customHeight="1" x14ac:dyDescent="0.25"/>
    <row r="2197" ht="14.25" customHeight="1" x14ac:dyDescent="0.25"/>
    <row r="2198" ht="14.25" customHeight="1" x14ac:dyDescent="0.25"/>
    <row r="2199" ht="14.25" customHeight="1" x14ac:dyDescent="0.25"/>
    <row r="2200" ht="14.25" customHeight="1" x14ac:dyDescent="0.25"/>
    <row r="2201" ht="14.25" customHeight="1" x14ac:dyDescent="0.25"/>
    <row r="2202" ht="14.25" customHeight="1" x14ac:dyDescent="0.25"/>
    <row r="2203" ht="14.25" customHeight="1" x14ac:dyDescent="0.25"/>
    <row r="2204" ht="14.25" customHeight="1" x14ac:dyDescent="0.25"/>
    <row r="2205" ht="14.25" customHeight="1" x14ac:dyDescent="0.25"/>
    <row r="2206" ht="14.25" customHeight="1" x14ac:dyDescent="0.25"/>
    <row r="2207" ht="14.25" customHeight="1" x14ac:dyDescent="0.25"/>
    <row r="2208" ht="14.25" customHeight="1" x14ac:dyDescent="0.25"/>
    <row r="2209" ht="14.25" customHeight="1" x14ac:dyDescent="0.25"/>
    <row r="2210" ht="14.25" customHeight="1" x14ac:dyDescent="0.25"/>
    <row r="2211" ht="14.25" customHeight="1" x14ac:dyDescent="0.25"/>
    <row r="2212" ht="14.25" customHeight="1" x14ac:dyDescent="0.25"/>
    <row r="2213" ht="14.25" customHeight="1" x14ac:dyDescent="0.25"/>
    <row r="2214" ht="14.25" customHeight="1" x14ac:dyDescent="0.25"/>
    <row r="2215" ht="14.25" customHeight="1" x14ac:dyDescent="0.25"/>
    <row r="2216" ht="14.25" customHeight="1" x14ac:dyDescent="0.25"/>
    <row r="2217" ht="14.25" customHeight="1" x14ac:dyDescent="0.25"/>
    <row r="2218" ht="14.25" customHeight="1" x14ac:dyDescent="0.25"/>
    <row r="2219" ht="14.25" customHeight="1" x14ac:dyDescent="0.25"/>
    <row r="2220" ht="14.25" customHeight="1" x14ac:dyDescent="0.25"/>
    <row r="2221" ht="14.25" customHeight="1" x14ac:dyDescent="0.25"/>
    <row r="2222" ht="14.25" customHeight="1" x14ac:dyDescent="0.25"/>
    <row r="2223" ht="14.25" customHeight="1" x14ac:dyDescent="0.25"/>
    <row r="2224" ht="14.25" customHeight="1" x14ac:dyDescent="0.25"/>
    <row r="2225" ht="14.25" customHeight="1" x14ac:dyDescent="0.25"/>
    <row r="2226" ht="14.25" customHeight="1" x14ac:dyDescent="0.25"/>
    <row r="2227" ht="14.25" customHeight="1" x14ac:dyDescent="0.25"/>
    <row r="2228" ht="14.25" customHeight="1" x14ac:dyDescent="0.25"/>
    <row r="2229" ht="14.25" customHeight="1" x14ac:dyDescent="0.25"/>
    <row r="2230" ht="14.25" customHeight="1" x14ac:dyDescent="0.25"/>
    <row r="2231" ht="14.25" customHeight="1" x14ac:dyDescent="0.25"/>
    <row r="2232" ht="14.25" customHeight="1" x14ac:dyDescent="0.25"/>
    <row r="2233" ht="14.25" customHeight="1" x14ac:dyDescent="0.25"/>
    <row r="2234" ht="14.25" customHeight="1" x14ac:dyDescent="0.25"/>
    <row r="2235" ht="14.25" customHeight="1" x14ac:dyDescent="0.25"/>
    <row r="2236" ht="14.25" customHeight="1" x14ac:dyDescent="0.25"/>
    <row r="2237" ht="14.25" customHeight="1" x14ac:dyDescent="0.25"/>
    <row r="2238" ht="14.25" customHeight="1" x14ac:dyDescent="0.25"/>
    <row r="2239" ht="14.25" customHeight="1" x14ac:dyDescent="0.25"/>
    <row r="2240" ht="14.25" customHeight="1" x14ac:dyDescent="0.25"/>
    <row r="2241" ht="14.25" customHeight="1" x14ac:dyDescent="0.25"/>
    <row r="2242" ht="14.25" customHeight="1" x14ac:dyDescent="0.25"/>
    <row r="2243" ht="14.25" customHeight="1" x14ac:dyDescent="0.25"/>
    <row r="2244" ht="14.25" customHeight="1" x14ac:dyDescent="0.25"/>
    <row r="2245" ht="14.25" customHeight="1" x14ac:dyDescent="0.25"/>
    <row r="2246" ht="14.25" customHeight="1" x14ac:dyDescent="0.25"/>
    <row r="2247" ht="14.25" customHeight="1" x14ac:dyDescent="0.25"/>
    <row r="2248" ht="14.25" customHeight="1" x14ac:dyDescent="0.25"/>
    <row r="2249" ht="14.25" customHeight="1" x14ac:dyDescent="0.25"/>
    <row r="2250" ht="14.25" customHeight="1" x14ac:dyDescent="0.25"/>
    <row r="2251" ht="14.25" customHeight="1" x14ac:dyDescent="0.25"/>
    <row r="2252" ht="14.25" customHeight="1" x14ac:dyDescent="0.25"/>
    <row r="2253" ht="14.25" customHeight="1" x14ac:dyDescent="0.25"/>
    <row r="2254" ht="14.25" customHeight="1" x14ac:dyDescent="0.25"/>
    <row r="2255" ht="14.25" customHeight="1" x14ac:dyDescent="0.25"/>
    <row r="2256" ht="14.25" customHeight="1" x14ac:dyDescent="0.25"/>
    <row r="2257" ht="14.25" customHeight="1" x14ac:dyDescent="0.25"/>
    <row r="2258" ht="14.25" customHeight="1" x14ac:dyDescent="0.25"/>
    <row r="2259" ht="14.25" customHeight="1" x14ac:dyDescent="0.25"/>
    <row r="2260" ht="14.25" customHeight="1" x14ac:dyDescent="0.25"/>
    <row r="2261" ht="14.25" customHeight="1" x14ac:dyDescent="0.25"/>
    <row r="2262" ht="14.25" customHeight="1" x14ac:dyDescent="0.25"/>
    <row r="2263" ht="14.25" customHeight="1" x14ac:dyDescent="0.25"/>
    <row r="2264" ht="14.25" customHeight="1" x14ac:dyDescent="0.25"/>
    <row r="2265" ht="14.25" customHeight="1" x14ac:dyDescent="0.25"/>
    <row r="2266" ht="14.25" customHeight="1" x14ac:dyDescent="0.25"/>
    <row r="2267" ht="14.25" customHeight="1" x14ac:dyDescent="0.25"/>
    <row r="2268" ht="14.25" customHeight="1" x14ac:dyDescent="0.25"/>
    <row r="2269" ht="14.25" customHeight="1" x14ac:dyDescent="0.25"/>
    <row r="2270" ht="14.25" customHeight="1" x14ac:dyDescent="0.25"/>
    <row r="2271" ht="14.25" customHeight="1" x14ac:dyDescent="0.25"/>
    <row r="2272" ht="14.25" customHeight="1" x14ac:dyDescent="0.25"/>
    <row r="2273" ht="14.25" customHeight="1" x14ac:dyDescent="0.25"/>
    <row r="2274" ht="14.25" customHeight="1" x14ac:dyDescent="0.25"/>
    <row r="2275" ht="14.25" customHeight="1" x14ac:dyDescent="0.25"/>
    <row r="2276" ht="14.25" customHeight="1" x14ac:dyDescent="0.25"/>
    <row r="2277" ht="14.25" customHeight="1" x14ac:dyDescent="0.25"/>
    <row r="2278" ht="14.25" customHeight="1" x14ac:dyDescent="0.25"/>
    <row r="2279" ht="14.25" customHeight="1" x14ac:dyDescent="0.25"/>
    <row r="2280" ht="14.25" customHeight="1" x14ac:dyDescent="0.25"/>
    <row r="2281" ht="14.25" customHeight="1" x14ac:dyDescent="0.25"/>
    <row r="2282" ht="14.25" customHeight="1" x14ac:dyDescent="0.25"/>
    <row r="2283" ht="14.25" customHeight="1" x14ac:dyDescent="0.25"/>
    <row r="2284" ht="14.25" customHeight="1" x14ac:dyDescent="0.25"/>
    <row r="2285" ht="14.25" customHeight="1" x14ac:dyDescent="0.25"/>
    <row r="2286" ht="14.25" customHeight="1" x14ac:dyDescent="0.25"/>
    <row r="2287" ht="14.25" customHeight="1" x14ac:dyDescent="0.25"/>
    <row r="2288" ht="14.25" customHeight="1" x14ac:dyDescent="0.25"/>
    <row r="2289" ht="14.25" customHeight="1" x14ac:dyDescent="0.25"/>
    <row r="2290" ht="14.25" customHeight="1" x14ac:dyDescent="0.25"/>
    <row r="2291" ht="14.25" customHeight="1" x14ac:dyDescent="0.25"/>
    <row r="2292" ht="14.25" customHeight="1" x14ac:dyDescent="0.25"/>
    <row r="2293" ht="14.25" customHeight="1" x14ac:dyDescent="0.25"/>
    <row r="2294" ht="14.25" customHeight="1" x14ac:dyDescent="0.25"/>
    <row r="2295" ht="14.25" customHeight="1" x14ac:dyDescent="0.25"/>
    <row r="2296" ht="14.25" customHeight="1" x14ac:dyDescent="0.25"/>
    <row r="2297" ht="14.25" customHeight="1" x14ac:dyDescent="0.25"/>
    <row r="2298" ht="14.25" customHeight="1" x14ac:dyDescent="0.25"/>
    <row r="2299" ht="14.25" customHeight="1" x14ac:dyDescent="0.25"/>
    <row r="2300" ht="14.25" customHeight="1" x14ac:dyDescent="0.25"/>
    <row r="2301" ht="14.25" customHeight="1" x14ac:dyDescent="0.25"/>
    <row r="2302" ht="14.25" customHeight="1" x14ac:dyDescent="0.25"/>
    <row r="2303" ht="14.25" customHeight="1" x14ac:dyDescent="0.25"/>
    <row r="2304" ht="14.25" customHeight="1" x14ac:dyDescent="0.25"/>
    <row r="2305" ht="14.25" customHeight="1" x14ac:dyDescent="0.25"/>
    <row r="2306" ht="14.25" customHeight="1" x14ac:dyDescent="0.25"/>
    <row r="2307" ht="14.25" customHeight="1" x14ac:dyDescent="0.25"/>
    <row r="2308" ht="14.25" customHeight="1" x14ac:dyDescent="0.25"/>
    <row r="2309" ht="14.25" customHeight="1" x14ac:dyDescent="0.25"/>
    <row r="2310" ht="14.25" customHeight="1" x14ac:dyDescent="0.25"/>
    <row r="2311" ht="14.25" customHeight="1" x14ac:dyDescent="0.25"/>
    <row r="2312" ht="14.25" customHeight="1" x14ac:dyDescent="0.25"/>
    <row r="2313" ht="14.25" customHeight="1" x14ac:dyDescent="0.25"/>
    <row r="2314" ht="14.25" customHeight="1" x14ac:dyDescent="0.25"/>
    <row r="2315" ht="14.25" customHeight="1" x14ac:dyDescent="0.25"/>
    <row r="2316" ht="14.25" customHeight="1" x14ac:dyDescent="0.25"/>
    <row r="2317" ht="14.25" customHeight="1" x14ac:dyDescent="0.25"/>
    <row r="2318" ht="14.25" customHeight="1" x14ac:dyDescent="0.25"/>
    <row r="2319" ht="14.25" customHeight="1" x14ac:dyDescent="0.25"/>
    <row r="2320" ht="14.25" customHeight="1" x14ac:dyDescent="0.25"/>
    <row r="2321" ht="14.25" customHeight="1" x14ac:dyDescent="0.25"/>
    <row r="2322" ht="14.25" customHeight="1" x14ac:dyDescent="0.25"/>
    <row r="2323" ht="14.25" customHeight="1" x14ac:dyDescent="0.25"/>
    <row r="2324" ht="14.25" customHeight="1" x14ac:dyDescent="0.25"/>
    <row r="2325" ht="14.25" customHeight="1" x14ac:dyDescent="0.25"/>
    <row r="2326" ht="14.25" customHeight="1" x14ac:dyDescent="0.25"/>
    <row r="2327" ht="14.25" customHeight="1" x14ac:dyDescent="0.25"/>
    <row r="2328" ht="14.25" customHeight="1" x14ac:dyDescent="0.25"/>
    <row r="2329" ht="14.25" customHeight="1" x14ac:dyDescent="0.25"/>
    <row r="2330" ht="14.25" customHeight="1" x14ac:dyDescent="0.25"/>
    <row r="2331" ht="14.25" customHeight="1" x14ac:dyDescent="0.25"/>
    <row r="2332" ht="14.25" customHeight="1" x14ac:dyDescent="0.25"/>
    <row r="2333" ht="14.25" customHeight="1" x14ac:dyDescent="0.25"/>
    <row r="2334" ht="14.25" customHeight="1" x14ac:dyDescent="0.25"/>
    <row r="2335" ht="14.25" customHeight="1" x14ac:dyDescent="0.25"/>
    <row r="2336" ht="14.25" customHeight="1" x14ac:dyDescent="0.25"/>
    <row r="2337" ht="14.25" customHeight="1" x14ac:dyDescent="0.25"/>
    <row r="2338" ht="14.25" customHeight="1" x14ac:dyDescent="0.25"/>
    <row r="2339" ht="14.25" customHeight="1" x14ac:dyDescent="0.25"/>
    <row r="2340" ht="14.25" customHeight="1" x14ac:dyDescent="0.25"/>
    <row r="2341" ht="14.25" customHeight="1" x14ac:dyDescent="0.25"/>
    <row r="2342" ht="14.25" customHeight="1" x14ac:dyDescent="0.25"/>
    <row r="2343" ht="14.25" customHeight="1" x14ac:dyDescent="0.25"/>
    <row r="2344" ht="14.25" customHeight="1" x14ac:dyDescent="0.25"/>
    <row r="2345" ht="14.25" customHeight="1" x14ac:dyDescent="0.25"/>
    <row r="2346" ht="14.25" customHeight="1" x14ac:dyDescent="0.25"/>
    <row r="2347" ht="14.25" customHeight="1" x14ac:dyDescent="0.25"/>
    <row r="2348" ht="14.25" customHeight="1" x14ac:dyDescent="0.25"/>
    <row r="2349" ht="14.25" customHeight="1" x14ac:dyDescent="0.25"/>
    <row r="2350" ht="14.25" customHeight="1" x14ac:dyDescent="0.25"/>
    <row r="2351" ht="14.25" customHeight="1" x14ac:dyDescent="0.25"/>
    <row r="2352" ht="14.25" customHeight="1" x14ac:dyDescent="0.25"/>
    <row r="2353" ht="14.25" customHeight="1" x14ac:dyDescent="0.25"/>
    <row r="2354" ht="14.25" customHeight="1" x14ac:dyDescent="0.25"/>
    <row r="2355" ht="14.25" customHeight="1" x14ac:dyDescent="0.25"/>
    <row r="2356" ht="14.25" customHeight="1" x14ac:dyDescent="0.25"/>
    <row r="2357" ht="14.25" customHeight="1" x14ac:dyDescent="0.25"/>
    <row r="2358" ht="14.25" customHeight="1" x14ac:dyDescent="0.25"/>
    <row r="2359" ht="14.25" customHeight="1" x14ac:dyDescent="0.25"/>
    <row r="2360" ht="14.25" customHeight="1" x14ac:dyDescent="0.25"/>
    <row r="2361" ht="14.25" customHeight="1" x14ac:dyDescent="0.25"/>
    <row r="2362" ht="14.25" customHeight="1" x14ac:dyDescent="0.25"/>
    <row r="2363" ht="14.25" customHeight="1" x14ac:dyDescent="0.25"/>
    <row r="2364" ht="14.25" customHeight="1" x14ac:dyDescent="0.25"/>
    <row r="2365" ht="14.25" customHeight="1" x14ac:dyDescent="0.25"/>
    <row r="2366" ht="14.25" customHeight="1" x14ac:dyDescent="0.25"/>
    <row r="2367" ht="14.25" customHeight="1" x14ac:dyDescent="0.25"/>
    <row r="2368" ht="14.25" customHeight="1" x14ac:dyDescent="0.25"/>
    <row r="2369" ht="14.25" customHeight="1" x14ac:dyDescent="0.25"/>
    <row r="2370" ht="14.25" customHeight="1" x14ac:dyDescent="0.25"/>
    <row r="2371" ht="14.25" customHeight="1" x14ac:dyDescent="0.25"/>
    <row r="2372" ht="14.25" customHeight="1" x14ac:dyDescent="0.25"/>
    <row r="2373" ht="14.25" customHeight="1" x14ac:dyDescent="0.25"/>
    <row r="2374" ht="14.25" customHeight="1" x14ac:dyDescent="0.25"/>
    <row r="2375" ht="14.25" customHeight="1" x14ac:dyDescent="0.25"/>
    <row r="2376" ht="14.25" customHeight="1" x14ac:dyDescent="0.25"/>
    <row r="2377" ht="14.25" customHeight="1" x14ac:dyDescent="0.25"/>
    <row r="2378" ht="14.25" customHeight="1" x14ac:dyDescent="0.25"/>
    <row r="2379" ht="14.25" customHeight="1" x14ac:dyDescent="0.25"/>
    <row r="2380" ht="14.25" customHeight="1" x14ac:dyDescent="0.25"/>
    <row r="2381" ht="14.25" customHeight="1" x14ac:dyDescent="0.25"/>
    <row r="2382" ht="14.25" customHeight="1" x14ac:dyDescent="0.25"/>
    <row r="2383" ht="14.25" customHeight="1" x14ac:dyDescent="0.25"/>
    <row r="2384" ht="14.25" customHeight="1" x14ac:dyDescent="0.25"/>
    <row r="2385" ht="14.25" customHeight="1" x14ac:dyDescent="0.25"/>
    <row r="2386" ht="14.25" customHeight="1" x14ac:dyDescent="0.25"/>
    <row r="2387" ht="14.25" customHeight="1" x14ac:dyDescent="0.25"/>
    <row r="2388" ht="14.25" customHeight="1" x14ac:dyDescent="0.25"/>
    <row r="2389" ht="14.25" customHeight="1" x14ac:dyDescent="0.25"/>
    <row r="2390" ht="14.25" customHeight="1" x14ac:dyDescent="0.25"/>
    <row r="2391" ht="14.25" customHeight="1" x14ac:dyDescent="0.25"/>
    <row r="2392" ht="14.25" customHeight="1" x14ac:dyDescent="0.25"/>
    <row r="2393" ht="14.25" customHeight="1" x14ac:dyDescent="0.25"/>
    <row r="2394" ht="14.25" customHeight="1" x14ac:dyDescent="0.25"/>
    <row r="2395" ht="14.25" customHeight="1" x14ac:dyDescent="0.25"/>
    <row r="2396" ht="14.25" customHeight="1" x14ac:dyDescent="0.25"/>
    <row r="2397" ht="14.25" customHeight="1" x14ac:dyDescent="0.25"/>
    <row r="2398" ht="14.25" customHeight="1" x14ac:dyDescent="0.25"/>
    <row r="2399" ht="14.25" customHeight="1" x14ac:dyDescent="0.25"/>
    <row r="2400" ht="14.25" customHeight="1" x14ac:dyDescent="0.25"/>
    <row r="2401" ht="14.25" customHeight="1" x14ac:dyDescent="0.25"/>
    <row r="2402" ht="14.25" customHeight="1" x14ac:dyDescent="0.25"/>
    <row r="2403" ht="14.25" customHeight="1" x14ac:dyDescent="0.25"/>
    <row r="2404" ht="14.25" customHeight="1" x14ac:dyDescent="0.25"/>
    <row r="2405" ht="14.25" customHeight="1" x14ac:dyDescent="0.25"/>
    <row r="2406" ht="14.25" customHeight="1" x14ac:dyDescent="0.25"/>
    <row r="2407" ht="14.25" customHeight="1" x14ac:dyDescent="0.25"/>
    <row r="2408" ht="14.25" customHeight="1" x14ac:dyDescent="0.25"/>
    <row r="2409" ht="14.25" customHeight="1" x14ac:dyDescent="0.25"/>
    <row r="2410" ht="14.25" customHeight="1" x14ac:dyDescent="0.25"/>
    <row r="2411" ht="14.25" customHeight="1" x14ac:dyDescent="0.25"/>
    <row r="2412" ht="14.25" customHeight="1" x14ac:dyDescent="0.25"/>
    <row r="2413" ht="14.25" customHeight="1" x14ac:dyDescent="0.25"/>
    <row r="2414" ht="14.25" customHeight="1" x14ac:dyDescent="0.25"/>
    <row r="2415" ht="14.25" customHeight="1" x14ac:dyDescent="0.25"/>
    <row r="2416" ht="14.25" customHeight="1" x14ac:dyDescent="0.25"/>
    <row r="2417" ht="14.25" customHeight="1" x14ac:dyDescent="0.25"/>
    <row r="2418" ht="14.25" customHeight="1" x14ac:dyDescent="0.25"/>
    <row r="2419" ht="14.25" customHeight="1" x14ac:dyDescent="0.25"/>
    <row r="2420" ht="14.25" customHeight="1" x14ac:dyDescent="0.25"/>
    <row r="2421" ht="14.25" customHeight="1" x14ac:dyDescent="0.25"/>
    <row r="2422" ht="14.25" customHeight="1" x14ac:dyDescent="0.25"/>
    <row r="2423" ht="14.25" customHeight="1" x14ac:dyDescent="0.25"/>
    <row r="2424" ht="14.25" customHeight="1" x14ac:dyDescent="0.25"/>
    <row r="2425" ht="14.25" customHeight="1" x14ac:dyDescent="0.25"/>
    <row r="2426" ht="14.25" customHeight="1" x14ac:dyDescent="0.25"/>
    <row r="2427" ht="14.25" customHeight="1" x14ac:dyDescent="0.25"/>
    <row r="2428" ht="14.25" customHeight="1" x14ac:dyDescent="0.25"/>
    <row r="2429" ht="14.25" customHeight="1" x14ac:dyDescent="0.25"/>
    <row r="2430" ht="14.25" customHeight="1" x14ac:dyDescent="0.25"/>
    <row r="2431" ht="14.25" customHeight="1" x14ac:dyDescent="0.25"/>
    <row r="2432" ht="14.25" customHeight="1" x14ac:dyDescent="0.25"/>
    <row r="2433" ht="14.25" customHeight="1" x14ac:dyDescent="0.25"/>
    <row r="2434" ht="14.25" customHeight="1" x14ac:dyDescent="0.25"/>
    <row r="2435" ht="14.25" customHeight="1" x14ac:dyDescent="0.25"/>
    <row r="2436" ht="14.25" customHeight="1" x14ac:dyDescent="0.25"/>
    <row r="2437" ht="14.25" customHeight="1" x14ac:dyDescent="0.25"/>
    <row r="2438" ht="14.25" customHeight="1" x14ac:dyDescent="0.25"/>
    <row r="2439" ht="14.25" customHeight="1" x14ac:dyDescent="0.25"/>
    <row r="2440" ht="14.25" customHeight="1" x14ac:dyDescent="0.25"/>
    <row r="2441" ht="14.25" customHeight="1" x14ac:dyDescent="0.25"/>
    <row r="2442" ht="14.25" customHeight="1" x14ac:dyDescent="0.25"/>
    <row r="2443" ht="14.25" customHeight="1" x14ac:dyDescent="0.25"/>
    <row r="2444" ht="14.25" customHeight="1" x14ac:dyDescent="0.25"/>
    <row r="2445" ht="14.25" customHeight="1" x14ac:dyDescent="0.25"/>
    <row r="2446" ht="14.25" customHeight="1" x14ac:dyDescent="0.25"/>
    <row r="2447" ht="14.25" customHeight="1" x14ac:dyDescent="0.25"/>
    <row r="2448" ht="14.25" customHeight="1" x14ac:dyDescent="0.25"/>
    <row r="2449" ht="14.25" customHeight="1" x14ac:dyDescent="0.25"/>
    <row r="2450" ht="14.25" customHeight="1" x14ac:dyDescent="0.25"/>
    <row r="2451" ht="14.25" customHeight="1" x14ac:dyDescent="0.25"/>
    <row r="2452" ht="14.25" customHeight="1" x14ac:dyDescent="0.25"/>
    <row r="2453" ht="14.25" customHeight="1" x14ac:dyDescent="0.25"/>
    <row r="2454" ht="14.25" customHeight="1" x14ac:dyDescent="0.25"/>
    <row r="2455" ht="14.25" customHeight="1" x14ac:dyDescent="0.25"/>
    <row r="2456" ht="14.25" customHeight="1" x14ac:dyDescent="0.25"/>
    <row r="2457" ht="14.25" customHeight="1" x14ac:dyDescent="0.25"/>
    <row r="2458" ht="14.25" customHeight="1" x14ac:dyDescent="0.25"/>
    <row r="2459" ht="14.25" customHeight="1" x14ac:dyDescent="0.25"/>
    <row r="2460" ht="14.25" customHeight="1" x14ac:dyDescent="0.25"/>
    <row r="2461" ht="14.25" customHeight="1" x14ac:dyDescent="0.25"/>
    <row r="2462" ht="14.25" customHeight="1" x14ac:dyDescent="0.25"/>
    <row r="2463" ht="14.25" customHeight="1" x14ac:dyDescent="0.25"/>
    <row r="2464" ht="14.25" customHeight="1" x14ac:dyDescent="0.25"/>
    <row r="2465" ht="14.25" customHeight="1" x14ac:dyDescent="0.25"/>
    <row r="2466" ht="14.25" customHeight="1" x14ac:dyDescent="0.25"/>
    <row r="2467" ht="14.25" customHeight="1" x14ac:dyDescent="0.25"/>
    <row r="2468" ht="14.25" customHeight="1" x14ac:dyDescent="0.25"/>
    <row r="2469" ht="14.25" customHeight="1" x14ac:dyDescent="0.25"/>
    <row r="2470" ht="14.25" customHeight="1" x14ac:dyDescent="0.25"/>
    <row r="2471" ht="14.25" customHeight="1" x14ac:dyDescent="0.25"/>
    <row r="2472" ht="14.25" customHeight="1" x14ac:dyDescent="0.25"/>
    <row r="2473" ht="14.25" customHeight="1" x14ac:dyDescent="0.25"/>
    <row r="2474" ht="14.25" customHeight="1" x14ac:dyDescent="0.25"/>
    <row r="2475" ht="14.25" customHeight="1" x14ac:dyDescent="0.25"/>
    <row r="2476" ht="14.25" customHeight="1" x14ac:dyDescent="0.25"/>
    <row r="2477" ht="14.25" customHeight="1" x14ac:dyDescent="0.25"/>
    <row r="2478" ht="14.25" customHeight="1" x14ac:dyDescent="0.25"/>
    <row r="2479" ht="14.25" customHeight="1" x14ac:dyDescent="0.25"/>
    <row r="2480" ht="14.25" customHeight="1" x14ac:dyDescent="0.25"/>
    <row r="2481" ht="14.25" customHeight="1" x14ac:dyDescent="0.25"/>
    <row r="2482" ht="14.25" customHeight="1" x14ac:dyDescent="0.25"/>
    <row r="2483" ht="14.25" customHeight="1" x14ac:dyDescent="0.25"/>
    <row r="2484" ht="14.25" customHeight="1" x14ac:dyDescent="0.25"/>
    <row r="2485" ht="14.25" customHeight="1" x14ac:dyDescent="0.25"/>
    <row r="2486" ht="14.25" customHeight="1" x14ac:dyDescent="0.25"/>
    <row r="2487" ht="14.25" customHeight="1" x14ac:dyDescent="0.25"/>
    <row r="2488" ht="14.25" customHeight="1" x14ac:dyDescent="0.25"/>
    <row r="2489" ht="14.25" customHeight="1" x14ac:dyDescent="0.25"/>
    <row r="2490" ht="14.25" customHeight="1" x14ac:dyDescent="0.25"/>
    <row r="2491" ht="14.25" customHeight="1" x14ac:dyDescent="0.25"/>
    <row r="2492" ht="14.25" customHeight="1" x14ac:dyDescent="0.25"/>
    <row r="2493" ht="14.25" customHeight="1" x14ac:dyDescent="0.25"/>
    <row r="2494" ht="14.25" customHeight="1" x14ac:dyDescent="0.25"/>
    <row r="2495" ht="14.25" customHeight="1" x14ac:dyDescent="0.25"/>
    <row r="2496" ht="14.25" customHeight="1" x14ac:dyDescent="0.25"/>
    <row r="2497" ht="14.25" customHeight="1" x14ac:dyDescent="0.25"/>
    <row r="2498" ht="14.25" customHeight="1" x14ac:dyDescent="0.25"/>
    <row r="2499" ht="14.25" customHeight="1" x14ac:dyDescent="0.25"/>
    <row r="2500" ht="14.25" customHeight="1" x14ac:dyDescent="0.25"/>
    <row r="2501" ht="14.25" customHeight="1" x14ac:dyDescent="0.25"/>
    <row r="2502" ht="14.25" customHeight="1" x14ac:dyDescent="0.25"/>
    <row r="2503" ht="14.25" customHeight="1" x14ac:dyDescent="0.25"/>
    <row r="2504" ht="14.25" customHeight="1" x14ac:dyDescent="0.25"/>
    <row r="2505" ht="14.25" customHeight="1" x14ac:dyDescent="0.25"/>
    <row r="2506" ht="14.25" customHeight="1" x14ac:dyDescent="0.25"/>
    <row r="2507" ht="14.25" customHeight="1" x14ac:dyDescent="0.25"/>
    <row r="2508" ht="14.25" customHeight="1" x14ac:dyDescent="0.25"/>
    <row r="2509" ht="14.25" customHeight="1" x14ac:dyDescent="0.25"/>
    <row r="2510" ht="14.25" customHeight="1" x14ac:dyDescent="0.25"/>
    <row r="2511" ht="14.25" customHeight="1" x14ac:dyDescent="0.25"/>
    <row r="2512" ht="14.25" customHeight="1" x14ac:dyDescent="0.25"/>
    <row r="2513" ht="14.25" customHeight="1" x14ac:dyDescent="0.25"/>
    <row r="2514" ht="14.25" customHeight="1" x14ac:dyDescent="0.25"/>
    <row r="2515" ht="14.25" customHeight="1" x14ac:dyDescent="0.25"/>
    <row r="2516" ht="14.25" customHeight="1" x14ac:dyDescent="0.25"/>
    <row r="2517" ht="14.25" customHeight="1" x14ac:dyDescent="0.25"/>
    <row r="2518" ht="14.25" customHeight="1" x14ac:dyDescent="0.25"/>
    <row r="2519" ht="14.25" customHeight="1" x14ac:dyDescent="0.25"/>
    <row r="2520" ht="14.25" customHeight="1" x14ac:dyDescent="0.25"/>
    <row r="2521" ht="14.25" customHeight="1" x14ac:dyDescent="0.25"/>
    <row r="2522" ht="14.25" customHeight="1" x14ac:dyDescent="0.25"/>
    <row r="2523" ht="14.25" customHeight="1" x14ac:dyDescent="0.25"/>
    <row r="2524" ht="14.25" customHeight="1" x14ac:dyDescent="0.25"/>
    <row r="2525" ht="14.25" customHeight="1" x14ac:dyDescent="0.25"/>
    <row r="2526" ht="14.25" customHeight="1" x14ac:dyDescent="0.25"/>
    <row r="2527" ht="14.25" customHeight="1" x14ac:dyDescent="0.25"/>
    <row r="2528" ht="14.25" customHeight="1" x14ac:dyDescent="0.25"/>
    <row r="2529" ht="14.25" customHeight="1" x14ac:dyDescent="0.25"/>
    <row r="2530" ht="14.25" customHeight="1" x14ac:dyDescent="0.25"/>
    <row r="2531" ht="14.25" customHeight="1" x14ac:dyDescent="0.25"/>
    <row r="2532" ht="14.25" customHeight="1" x14ac:dyDescent="0.25"/>
    <row r="2533" ht="14.25" customHeight="1" x14ac:dyDescent="0.25"/>
    <row r="2534" ht="14.25" customHeight="1" x14ac:dyDescent="0.25"/>
    <row r="2535" ht="14.25" customHeight="1" x14ac:dyDescent="0.25"/>
    <row r="2536" ht="14.25" customHeight="1" x14ac:dyDescent="0.25"/>
    <row r="2537" ht="14.25" customHeight="1" x14ac:dyDescent="0.25"/>
    <row r="2538" ht="14.25" customHeight="1" x14ac:dyDescent="0.25"/>
    <row r="2539" ht="14.25" customHeight="1" x14ac:dyDescent="0.25"/>
    <row r="2540" ht="14.25" customHeight="1" x14ac:dyDescent="0.25"/>
    <row r="2541" ht="14.25" customHeight="1" x14ac:dyDescent="0.25"/>
    <row r="2542" ht="14.25" customHeight="1" x14ac:dyDescent="0.25"/>
    <row r="2543" ht="14.25" customHeight="1" x14ac:dyDescent="0.25"/>
    <row r="2544" ht="14.25" customHeight="1" x14ac:dyDescent="0.25"/>
    <row r="2545" ht="14.25" customHeight="1" x14ac:dyDescent="0.25"/>
    <row r="2546" ht="14.25" customHeight="1" x14ac:dyDescent="0.25"/>
    <row r="2547" ht="14.25" customHeight="1" x14ac:dyDescent="0.25"/>
    <row r="2548" ht="14.25" customHeight="1" x14ac:dyDescent="0.25"/>
    <row r="2549" ht="14.25" customHeight="1" x14ac:dyDescent="0.25"/>
    <row r="2550" ht="14.25" customHeight="1" x14ac:dyDescent="0.25"/>
    <row r="2551" ht="14.25" customHeight="1" x14ac:dyDescent="0.25"/>
    <row r="2552" ht="14.25" customHeight="1" x14ac:dyDescent="0.25"/>
    <row r="2553" ht="14.25" customHeight="1" x14ac:dyDescent="0.25"/>
    <row r="2554" ht="14.25" customHeight="1" x14ac:dyDescent="0.25"/>
    <row r="2555" ht="14.25" customHeight="1" x14ac:dyDescent="0.25"/>
    <row r="2556" ht="14.25" customHeight="1" x14ac:dyDescent="0.25"/>
    <row r="2557" ht="14.25" customHeight="1" x14ac:dyDescent="0.25"/>
    <row r="2558" ht="14.25" customHeight="1" x14ac:dyDescent="0.25"/>
    <row r="2559" ht="14.25" customHeight="1" x14ac:dyDescent="0.25"/>
    <row r="2560" ht="14.25" customHeight="1" x14ac:dyDescent="0.25"/>
    <row r="2561" ht="14.25" customHeight="1" x14ac:dyDescent="0.25"/>
    <row r="2562" ht="14.25" customHeight="1" x14ac:dyDescent="0.25"/>
    <row r="2563" ht="14.25" customHeight="1" x14ac:dyDescent="0.25"/>
    <row r="2564" ht="14.25" customHeight="1" x14ac:dyDescent="0.25"/>
    <row r="2565" ht="14.25" customHeight="1" x14ac:dyDescent="0.25"/>
    <row r="2566" ht="14.25" customHeight="1" x14ac:dyDescent="0.25"/>
    <row r="2567" ht="14.25" customHeight="1" x14ac:dyDescent="0.25"/>
    <row r="2568" ht="14.25" customHeight="1" x14ac:dyDescent="0.25"/>
    <row r="2569" ht="14.25" customHeight="1" x14ac:dyDescent="0.25"/>
    <row r="2570" ht="14.25" customHeight="1" x14ac:dyDescent="0.25"/>
    <row r="2571" ht="14.25" customHeight="1" x14ac:dyDescent="0.25"/>
    <row r="2572" ht="14.25" customHeight="1" x14ac:dyDescent="0.25"/>
    <row r="2573" ht="14.25" customHeight="1" x14ac:dyDescent="0.25"/>
    <row r="2574" ht="14.25" customHeight="1" x14ac:dyDescent="0.25"/>
    <row r="2575" ht="14.25" customHeight="1" x14ac:dyDescent="0.25"/>
    <row r="2576" ht="14.25" customHeight="1" x14ac:dyDescent="0.25"/>
    <row r="2577" ht="14.25" customHeight="1" x14ac:dyDescent="0.25"/>
    <row r="2578" ht="14.25" customHeight="1" x14ac:dyDescent="0.25"/>
    <row r="2579" ht="14.25" customHeight="1" x14ac:dyDescent="0.25"/>
    <row r="2580" ht="14.25" customHeight="1" x14ac:dyDescent="0.25"/>
    <row r="2581" ht="14.25" customHeight="1" x14ac:dyDescent="0.25"/>
    <row r="2582" ht="14.25" customHeight="1" x14ac:dyDescent="0.25"/>
    <row r="2583" ht="14.25" customHeight="1" x14ac:dyDescent="0.25"/>
    <row r="2584" ht="14.25" customHeight="1" x14ac:dyDescent="0.25"/>
    <row r="2585" ht="14.25" customHeight="1" x14ac:dyDescent="0.25"/>
    <row r="2586" ht="14.25" customHeight="1" x14ac:dyDescent="0.25"/>
    <row r="2587" ht="14.25" customHeight="1" x14ac:dyDescent="0.25"/>
    <row r="2588" ht="14.25" customHeight="1" x14ac:dyDescent="0.25"/>
    <row r="2589" ht="14.25" customHeight="1" x14ac:dyDescent="0.25"/>
    <row r="2590" ht="14.25" customHeight="1" x14ac:dyDescent="0.25"/>
    <row r="2591" ht="14.25" customHeight="1" x14ac:dyDescent="0.25"/>
    <row r="2592" ht="14.25" customHeight="1" x14ac:dyDescent="0.25"/>
    <row r="2593" ht="14.25" customHeight="1" x14ac:dyDescent="0.25"/>
    <row r="2594" ht="14.25" customHeight="1" x14ac:dyDescent="0.25"/>
    <row r="2595" ht="14.25" customHeight="1" x14ac:dyDescent="0.25"/>
    <row r="2596" ht="14.25" customHeight="1" x14ac:dyDescent="0.25"/>
    <row r="2597" ht="14.25" customHeight="1" x14ac:dyDescent="0.25"/>
    <row r="2598" ht="14.25" customHeight="1" x14ac:dyDescent="0.25"/>
    <row r="2599" ht="14.25" customHeight="1" x14ac:dyDescent="0.25"/>
    <row r="2600" ht="14.25" customHeight="1" x14ac:dyDescent="0.25"/>
    <row r="2601" ht="14.25" customHeight="1" x14ac:dyDescent="0.25"/>
    <row r="2602" ht="14.25" customHeight="1" x14ac:dyDescent="0.25"/>
    <row r="2603" ht="14.25" customHeight="1" x14ac:dyDescent="0.25"/>
    <row r="2604" ht="14.25" customHeight="1" x14ac:dyDescent="0.25"/>
    <row r="2605" ht="14.25" customHeight="1" x14ac:dyDescent="0.25"/>
    <row r="2606" ht="14.25" customHeight="1" x14ac:dyDescent="0.25"/>
    <row r="2607" ht="14.25" customHeight="1" x14ac:dyDescent="0.25"/>
    <row r="2608" ht="14.25" customHeight="1" x14ac:dyDescent="0.25"/>
    <row r="2609" ht="14.25" customHeight="1" x14ac:dyDescent="0.25"/>
    <row r="2610" ht="14.25" customHeight="1" x14ac:dyDescent="0.25"/>
    <row r="2611" ht="14.25" customHeight="1" x14ac:dyDescent="0.25"/>
    <row r="2612" ht="14.25" customHeight="1" x14ac:dyDescent="0.25"/>
    <row r="2613" ht="14.25" customHeight="1" x14ac:dyDescent="0.25"/>
    <row r="2614" ht="14.25" customHeight="1" x14ac:dyDescent="0.25"/>
    <row r="2615" ht="14.25" customHeight="1" x14ac:dyDescent="0.25"/>
    <row r="2616" ht="14.25" customHeight="1" x14ac:dyDescent="0.25"/>
    <row r="2617" ht="14.25" customHeight="1" x14ac:dyDescent="0.25"/>
    <row r="2618" ht="14.25" customHeight="1" x14ac:dyDescent="0.25"/>
    <row r="2619" ht="14.25" customHeight="1" x14ac:dyDescent="0.25"/>
    <row r="2620" ht="14.25" customHeight="1" x14ac:dyDescent="0.25"/>
    <row r="2621" ht="14.25" customHeight="1" x14ac:dyDescent="0.25"/>
    <row r="2622" ht="14.25" customHeight="1" x14ac:dyDescent="0.25"/>
    <row r="2623" ht="14.25" customHeight="1" x14ac:dyDescent="0.25"/>
    <row r="2624" ht="14.25" customHeight="1" x14ac:dyDescent="0.25"/>
    <row r="2625" ht="14.25" customHeight="1" x14ac:dyDescent="0.25"/>
    <row r="2626" ht="14.25" customHeight="1" x14ac:dyDescent="0.25"/>
    <row r="2627" ht="14.25" customHeight="1" x14ac:dyDescent="0.25"/>
    <row r="2628" ht="14.25" customHeight="1" x14ac:dyDescent="0.25"/>
    <row r="2629" ht="14.25" customHeight="1" x14ac:dyDescent="0.25"/>
    <row r="2630" ht="14.25" customHeight="1" x14ac:dyDescent="0.25"/>
    <row r="2631" ht="14.25" customHeight="1" x14ac:dyDescent="0.25"/>
    <row r="2632" ht="14.25" customHeight="1" x14ac:dyDescent="0.25"/>
    <row r="2633" ht="14.25" customHeight="1" x14ac:dyDescent="0.25"/>
    <row r="2634" ht="14.25" customHeight="1" x14ac:dyDescent="0.25"/>
    <row r="2635" ht="14.25" customHeight="1" x14ac:dyDescent="0.25"/>
    <row r="2636" ht="14.25" customHeight="1" x14ac:dyDescent="0.25"/>
    <row r="2637" ht="14.25" customHeight="1" x14ac:dyDescent="0.25"/>
    <row r="2638" ht="14.25" customHeight="1" x14ac:dyDescent="0.25"/>
    <row r="2639" ht="14.25" customHeight="1" x14ac:dyDescent="0.25"/>
    <row r="2640" ht="14.25" customHeight="1" x14ac:dyDescent="0.25"/>
    <row r="2641" ht="14.25" customHeight="1" x14ac:dyDescent="0.25"/>
    <row r="2642" ht="14.25" customHeight="1" x14ac:dyDescent="0.25"/>
    <row r="2643" ht="14.25" customHeight="1" x14ac:dyDescent="0.25"/>
    <row r="2644" ht="14.25" customHeight="1" x14ac:dyDescent="0.25"/>
    <row r="2645" ht="14.25" customHeight="1" x14ac:dyDescent="0.25"/>
    <row r="2646" ht="14.25" customHeight="1" x14ac:dyDescent="0.25"/>
    <row r="2647" ht="14.25" customHeight="1" x14ac:dyDescent="0.25"/>
    <row r="2648" ht="14.25" customHeight="1" x14ac:dyDescent="0.25"/>
    <row r="2649" ht="14.25" customHeight="1" x14ac:dyDescent="0.25"/>
    <row r="2650" ht="14.25" customHeight="1" x14ac:dyDescent="0.25"/>
    <row r="2651" ht="14.25" customHeight="1" x14ac:dyDescent="0.25"/>
    <row r="2652" ht="14.25" customHeight="1" x14ac:dyDescent="0.25"/>
    <row r="2653" ht="14.25" customHeight="1" x14ac:dyDescent="0.25"/>
    <row r="2654" ht="14.25" customHeight="1" x14ac:dyDescent="0.25"/>
    <row r="2655" ht="14.25" customHeight="1" x14ac:dyDescent="0.25"/>
    <row r="2656" ht="14.25" customHeight="1" x14ac:dyDescent="0.25"/>
    <row r="2657" ht="14.25" customHeight="1" x14ac:dyDescent="0.25"/>
    <row r="2658" ht="14.25" customHeight="1" x14ac:dyDescent="0.25"/>
    <row r="2659" ht="14.25" customHeight="1" x14ac:dyDescent="0.25"/>
    <row r="2660" ht="14.25" customHeight="1" x14ac:dyDescent="0.25"/>
    <row r="2661" ht="14.25" customHeight="1" x14ac:dyDescent="0.25"/>
    <row r="2662" ht="14.25" customHeight="1" x14ac:dyDescent="0.25"/>
    <row r="2663" ht="14.25" customHeight="1" x14ac:dyDescent="0.25"/>
    <row r="2664" ht="14.25" customHeight="1" x14ac:dyDescent="0.25"/>
    <row r="2665" ht="14.25" customHeight="1" x14ac:dyDescent="0.25"/>
    <row r="2666" ht="14.25" customHeight="1" x14ac:dyDescent="0.25"/>
    <row r="2667" ht="14.25" customHeight="1" x14ac:dyDescent="0.25"/>
    <row r="2668" ht="14.25" customHeight="1" x14ac:dyDescent="0.25"/>
    <row r="2669" ht="14.25" customHeight="1" x14ac:dyDescent="0.25"/>
    <row r="2670" ht="14.25" customHeight="1" x14ac:dyDescent="0.25"/>
    <row r="2671" ht="14.25" customHeight="1" x14ac:dyDescent="0.25"/>
    <row r="2672" ht="14.25" customHeight="1" x14ac:dyDescent="0.25"/>
    <row r="2673" ht="14.25" customHeight="1" x14ac:dyDescent="0.25"/>
    <row r="2674" ht="14.25" customHeight="1" x14ac:dyDescent="0.25"/>
    <row r="2675" ht="14.25" customHeight="1" x14ac:dyDescent="0.25"/>
    <row r="2676" ht="14.25" customHeight="1" x14ac:dyDescent="0.25"/>
    <row r="2677" ht="14.25" customHeight="1" x14ac:dyDescent="0.25"/>
    <row r="2678" ht="14.25" customHeight="1" x14ac:dyDescent="0.25"/>
    <row r="2679" ht="14.25" customHeight="1" x14ac:dyDescent="0.25"/>
    <row r="2680" ht="14.25" customHeight="1" x14ac:dyDescent="0.25"/>
    <row r="2681" ht="14.25" customHeight="1" x14ac:dyDescent="0.25"/>
    <row r="2682" ht="14.25" customHeight="1" x14ac:dyDescent="0.25"/>
    <row r="2683" ht="14.25" customHeight="1" x14ac:dyDescent="0.25"/>
    <row r="2684" ht="14.25" customHeight="1" x14ac:dyDescent="0.25"/>
    <row r="2685" ht="14.25" customHeight="1" x14ac:dyDescent="0.25"/>
    <row r="2686" ht="14.25" customHeight="1" x14ac:dyDescent="0.25"/>
    <row r="2687" ht="14.25" customHeight="1" x14ac:dyDescent="0.25"/>
    <row r="2688" ht="14.25" customHeight="1" x14ac:dyDescent="0.25"/>
    <row r="2689" ht="14.25" customHeight="1" x14ac:dyDescent="0.25"/>
    <row r="2690" ht="14.25" customHeight="1" x14ac:dyDescent="0.25"/>
    <row r="2691" ht="14.25" customHeight="1" x14ac:dyDescent="0.25"/>
    <row r="2692" ht="14.25" customHeight="1" x14ac:dyDescent="0.25"/>
    <row r="2693" ht="14.25" customHeight="1" x14ac:dyDescent="0.25"/>
    <row r="2694" ht="14.25" customHeight="1" x14ac:dyDescent="0.25"/>
    <row r="2695" ht="14.25" customHeight="1" x14ac:dyDescent="0.25"/>
    <row r="2696" ht="14.25" customHeight="1" x14ac:dyDescent="0.25"/>
    <row r="2697" ht="14.25" customHeight="1" x14ac:dyDescent="0.25"/>
    <row r="2698" ht="14.25" customHeight="1" x14ac:dyDescent="0.25"/>
    <row r="2699" ht="14.25" customHeight="1" x14ac:dyDescent="0.25"/>
    <row r="2700" ht="14.25" customHeight="1" x14ac:dyDescent="0.25"/>
    <row r="2701" ht="14.25" customHeight="1" x14ac:dyDescent="0.25"/>
    <row r="2702" ht="14.25" customHeight="1" x14ac:dyDescent="0.25"/>
    <row r="2703" ht="14.25" customHeight="1" x14ac:dyDescent="0.25"/>
    <row r="2704" ht="14.25" customHeight="1" x14ac:dyDescent="0.25"/>
    <row r="2705" ht="14.25" customHeight="1" x14ac:dyDescent="0.25"/>
    <row r="2706" ht="14.25" customHeight="1" x14ac:dyDescent="0.25"/>
    <row r="2707" ht="14.25" customHeight="1" x14ac:dyDescent="0.25"/>
    <row r="2708" ht="14.25" customHeight="1" x14ac:dyDescent="0.25"/>
    <row r="2709" ht="14.25" customHeight="1" x14ac:dyDescent="0.25"/>
    <row r="2710" ht="14.25" customHeight="1" x14ac:dyDescent="0.25"/>
    <row r="2711" ht="14.25" customHeight="1" x14ac:dyDescent="0.25"/>
    <row r="2712" ht="14.25" customHeight="1" x14ac:dyDescent="0.25"/>
    <row r="2713" ht="14.25" customHeight="1" x14ac:dyDescent="0.25"/>
    <row r="2714" ht="14.25" customHeight="1" x14ac:dyDescent="0.25"/>
    <row r="2715" ht="14.25" customHeight="1" x14ac:dyDescent="0.25"/>
    <row r="2716" ht="14.25" customHeight="1" x14ac:dyDescent="0.25"/>
    <row r="2717" ht="14.25" customHeight="1" x14ac:dyDescent="0.25"/>
    <row r="2718" ht="14.25" customHeight="1" x14ac:dyDescent="0.25"/>
    <row r="2719" ht="14.25" customHeight="1" x14ac:dyDescent="0.25"/>
    <row r="2720" ht="14.25" customHeight="1" x14ac:dyDescent="0.25"/>
    <row r="2721" ht="14.25" customHeight="1" x14ac:dyDescent="0.25"/>
    <row r="2722" ht="14.25" customHeight="1" x14ac:dyDescent="0.25"/>
    <row r="2723" ht="14.25" customHeight="1" x14ac:dyDescent="0.25"/>
    <row r="2724" ht="14.25" customHeight="1" x14ac:dyDescent="0.25"/>
    <row r="2725" ht="14.25" customHeight="1" x14ac:dyDescent="0.25"/>
    <row r="2726" ht="14.25" customHeight="1" x14ac:dyDescent="0.25"/>
    <row r="2727" ht="14.25" customHeight="1" x14ac:dyDescent="0.25"/>
    <row r="2728" ht="14.25" customHeight="1" x14ac:dyDescent="0.25"/>
    <row r="2729" ht="14.25" customHeight="1" x14ac:dyDescent="0.25"/>
    <row r="2730" ht="14.25" customHeight="1" x14ac:dyDescent="0.25"/>
    <row r="2731" ht="14.25" customHeight="1" x14ac:dyDescent="0.25"/>
    <row r="2732" ht="14.25" customHeight="1" x14ac:dyDescent="0.25"/>
    <row r="2733" ht="14.25" customHeight="1" x14ac:dyDescent="0.25"/>
    <row r="2734" ht="14.25" customHeight="1" x14ac:dyDescent="0.25"/>
    <row r="2735" ht="14.25" customHeight="1" x14ac:dyDescent="0.25"/>
    <row r="2736" ht="14.25" customHeight="1" x14ac:dyDescent="0.25"/>
    <row r="2737" ht="14.25" customHeight="1" x14ac:dyDescent="0.25"/>
    <row r="2738" ht="14.25" customHeight="1" x14ac:dyDescent="0.25"/>
    <row r="2739" ht="14.25" customHeight="1" x14ac:dyDescent="0.25"/>
    <row r="2740" ht="14.25" customHeight="1" x14ac:dyDescent="0.25"/>
    <row r="2741" ht="14.25" customHeight="1" x14ac:dyDescent="0.25"/>
    <row r="2742" ht="14.25" customHeight="1" x14ac:dyDescent="0.25"/>
    <row r="2743" ht="14.25" customHeight="1" x14ac:dyDescent="0.25"/>
    <row r="2744" ht="14.25" customHeight="1" x14ac:dyDescent="0.25"/>
    <row r="2745" ht="14.25" customHeight="1" x14ac:dyDescent="0.25"/>
    <row r="2746" ht="14.25" customHeight="1" x14ac:dyDescent="0.25"/>
    <row r="2747" ht="14.25" customHeight="1" x14ac:dyDescent="0.25"/>
    <row r="2748" ht="14.25" customHeight="1" x14ac:dyDescent="0.25"/>
    <row r="2749" ht="14.25" customHeight="1" x14ac:dyDescent="0.25"/>
    <row r="2750" ht="14.25" customHeight="1" x14ac:dyDescent="0.25"/>
    <row r="2751" ht="14.25" customHeight="1" x14ac:dyDescent="0.25"/>
    <row r="2752" ht="14.25" customHeight="1" x14ac:dyDescent="0.25"/>
    <row r="2753" ht="14.25" customHeight="1" x14ac:dyDescent="0.25"/>
    <row r="2754" ht="14.25" customHeight="1" x14ac:dyDescent="0.25"/>
    <row r="2755" ht="14.25" customHeight="1" x14ac:dyDescent="0.25"/>
    <row r="2756" ht="14.25" customHeight="1" x14ac:dyDescent="0.25"/>
    <row r="2757" ht="14.25" customHeight="1" x14ac:dyDescent="0.25"/>
    <row r="2758" ht="14.25" customHeight="1" x14ac:dyDescent="0.25"/>
    <row r="2759" ht="14.25" customHeight="1" x14ac:dyDescent="0.25"/>
    <row r="2760" ht="14.25" customHeight="1" x14ac:dyDescent="0.25"/>
    <row r="2761" ht="14.25" customHeight="1" x14ac:dyDescent="0.25"/>
    <row r="2762" ht="14.25" customHeight="1" x14ac:dyDescent="0.25"/>
    <row r="2763" ht="14.25" customHeight="1" x14ac:dyDescent="0.25"/>
    <row r="2764" ht="14.25" customHeight="1" x14ac:dyDescent="0.25"/>
    <row r="2765" ht="14.25" customHeight="1" x14ac:dyDescent="0.25"/>
    <row r="2766" ht="14.25" customHeight="1" x14ac:dyDescent="0.25"/>
    <row r="2767" ht="14.25" customHeight="1" x14ac:dyDescent="0.25"/>
    <row r="2768" ht="14.25" customHeight="1" x14ac:dyDescent="0.25"/>
    <row r="2769" ht="14.25" customHeight="1" x14ac:dyDescent="0.25"/>
    <row r="2770" ht="14.25" customHeight="1" x14ac:dyDescent="0.25"/>
    <row r="2771" ht="14.25" customHeight="1" x14ac:dyDescent="0.25"/>
    <row r="2772" ht="14.25" customHeight="1" x14ac:dyDescent="0.25"/>
    <row r="2773" ht="14.25" customHeight="1" x14ac:dyDescent="0.25"/>
    <row r="2774" ht="14.25" customHeight="1" x14ac:dyDescent="0.25"/>
    <row r="2775" ht="14.25" customHeight="1" x14ac:dyDescent="0.25"/>
    <row r="2776" ht="14.25" customHeight="1" x14ac:dyDescent="0.25"/>
    <row r="2777" ht="14.25" customHeight="1" x14ac:dyDescent="0.25"/>
    <row r="2778" ht="14.25" customHeight="1" x14ac:dyDescent="0.25"/>
    <row r="2779" ht="14.25" customHeight="1" x14ac:dyDescent="0.25"/>
    <row r="2780" ht="14.25" customHeight="1" x14ac:dyDescent="0.25"/>
    <row r="2781" ht="14.25" customHeight="1" x14ac:dyDescent="0.25"/>
    <row r="2782" ht="14.25" customHeight="1" x14ac:dyDescent="0.25"/>
    <row r="2783" ht="14.25" customHeight="1" x14ac:dyDescent="0.25"/>
    <row r="2784" ht="14.25" customHeight="1" x14ac:dyDescent="0.25"/>
    <row r="2785" ht="14.25" customHeight="1" x14ac:dyDescent="0.25"/>
    <row r="2786" ht="14.25" customHeight="1" x14ac:dyDescent="0.25"/>
    <row r="2787" ht="14.25" customHeight="1" x14ac:dyDescent="0.25"/>
    <row r="2788" ht="14.25" customHeight="1" x14ac:dyDescent="0.25"/>
    <row r="2789" ht="14.25" customHeight="1" x14ac:dyDescent="0.25"/>
    <row r="2790" ht="14.25" customHeight="1" x14ac:dyDescent="0.25"/>
    <row r="2791" ht="14.25" customHeight="1" x14ac:dyDescent="0.25"/>
    <row r="2792" ht="14.25" customHeight="1" x14ac:dyDescent="0.25"/>
    <row r="2793" ht="14.25" customHeight="1" x14ac:dyDescent="0.25"/>
    <row r="2794" ht="14.25" customHeight="1" x14ac:dyDescent="0.25"/>
    <row r="2795" ht="14.25" customHeight="1" x14ac:dyDescent="0.25"/>
    <row r="2796" ht="14.25" customHeight="1" x14ac:dyDescent="0.25"/>
    <row r="2797" ht="14.25" customHeight="1" x14ac:dyDescent="0.25"/>
    <row r="2798" ht="14.25" customHeight="1" x14ac:dyDescent="0.25"/>
    <row r="2799" ht="14.25" customHeight="1" x14ac:dyDescent="0.25"/>
    <row r="2800" ht="14.25" customHeight="1" x14ac:dyDescent="0.25"/>
    <row r="2801" ht="14.25" customHeight="1" x14ac:dyDescent="0.25"/>
    <row r="2802" ht="14.25" customHeight="1" x14ac:dyDescent="0.25"/>
    <row r="2803" ht="14.25" customHeight="1" x14ac:dyDescent="0.25"/>
    <row r="2804" ht="14.25" customHeight="1" x14ac:dyDescent="0.25"/>
    <row r="2805" ht="14.25" customHeight="1" x14ac:dyDescent="0.25"/>
    <row r="2806" ht="14.25" customHeight="1" x14ac:dyDescent="0.25"/>
    <row r="2807" ht="14.25" customHeight="1" x14ac:dyDescent="0.25"/>
    <row r="2808" ht="14.25" customHeight="1" x14ac:dyDescent="0.25"/>
    <row r="2809" ht="14.25" customHeight="1" x14ac:dyDescent="0.25"/>
    <row r="2810" ht="14.25" customHeight="1" x14ac:dyDescent="0.25"/>
    <row r="2811" ht="14.25" customHeight="1" x14ac:dyDescent="0.25"/>
    <row r="2812" ht="14.25" customHeight="1" x14ac:dyDescent="0.25"/>
    <row r="2813" ht="14.25" customHeight="1" x14ac:dyDescent="0.25"/>
    <row r="2814" ht="14.25" customHeight="1" x14ac:dyDescent="0.25"/>
    <row r="2815" ht="14.25" customHeight="1" x14ac:dyDescent="0.25"/>
    <row r="2816" ht="14.25" customHeight="1" x14ac:dyDescent="0.25"/>
    <row r="2817" ht="14.25" customHeight="1" x14ac:dyDescent="0.25"/>
    <row r="2818" ht="14.25" customHeight="1" x14ac:dyDescent="0.25"/>
    <row r="2819" ht="14.25" customHeight="1" x14ac:dyDescent="0.25"/>
    <row r="2820" ht="14.25" customHeight="1" x14ac:dyDescent="0.25"/>
    <row r="2821" ht="14.25" customHeight="1" x14ac:dyDescent="0.25"/>
    <row r="2822" ht="14.25" customHeight="1" x14ac:dyDescent="0.25"/>
    <row r="2823" ht="14.25" customHeight="1" x14ac:dyDescent="0.25"/>
    <row r="2824" ht="14.25" customHeight="1" x14ac:dyDescent="0.25"/>
    <row r="2825" ht="14.25" customHeight="1" x14ac:dyDescent="0.25"/>
    <row r="2826" ht="14.25" customHeight="1" x14ac:dyDescent="0.25"/>
    <row r="2827" ht="14.25" customHeight="1" x14ac:dyDescent="0.25"/>
    <row r="2828" ht="14.25" customHeight="1" x14ac:dyDescent="0.25"/>
    <row r="2829" ht="14.25" customHeight="1" x14ac:dyDescent="0.25"/>
    <row r="2830" ht="14.25" customHeight="1" x14ac:dyDescent="0.25"/>
    <row r="2831" ht="14.25" customHeight="1" x14ac:dyDescent="0.25"/>
    <row r="2832" ht="14.25" customHeight="1" x14ac:dyDescent="0.25"/>
    <row r="2833" ht="14.25" customHeight="1" x14ac:dyDescent="0.25"/>
    <row r="2834" ht="14.25" customHeight="1" x14ac:dyDescent="0.25"/>
    <row r="2835" ht="14.25" customHeight="1" x14ac:dyDescent="0.25"/>
    <row r="2836" ht="14.25" customHeight="1" x14ac:dyDescent="0.25"/>
    <row r="2837" ht="14.25" customHeight="1" x14ac:dyDescent="0.25"/>
    <row r="2838" ht="14.25" customHeight="1" x14ac:dyDescent="0.25"/>
    <row r="2839" ht="14.25" customHeight="1" x14ac:dyDescent="0.25"/>
    <row r="2840" ht="14.25" customHeight="1" x14ac:dyDescent="0.25"/>
    <row r="2841" ht="14.25" customHeight="1" x14ac:dyDescent="0.25"/>
    <row r="2842" ht="14.25" customHeight="1" x14ac:dyDescent="0.25"/>
    <row r="2843" ht="14.25" customHeight="1" x14ac:dyDescent="0.25"/>
    <row r="2844" ht="14.25" customHeight="1" x14ac:dyDescent="0.25"/>
    <row r="2845" ht="14.25" customHeight="1" x14ac:dyDescent="0.25"/>
    <row r="2846" ht="14.25" customHeight="1" x14ac:dyDescent="0.25"/>
    <row r="2847" ht="14.25" customHeight="1" x14ac:dyDescent="0.25"/>
    <row r="2848" ht="14.25" customHeight="1" x14ac:dyDescent="0.25"/>
    <row r="2849" ht="14.25" customHeight="1" x14ac:dyDescent="0.25"/>
    <row r="2850" ht="14.25" customHeight="1" x14ac:dyDescent="0.25"/>
    <row r="2851" ht="14.25" customHeight="1" x14ac:dyDescent="0.25"/>
    <row r="2852" ht="14.25" customHeight="1" x14ac:dyDescent="0.25"/>
    <row r="2853" ht="14.25" customHeight="1" x14ac:dyDescent="0.25"/>
    <row r="2854" ht="14.25" customHeight="1" x14ac:dyDescent="0.25"/>
    <row r="2855" ht="14.25" customHeight="1" x14ac:dyDescent="0.25"/>
    <row r="2856" ht="14.25" customHeight="1" x14ac:dyDescent="0.25"/>
    <row r="2857" ht="14.25" customHeight="1" x14ac:dyDescent="0.25"/>
    <row r="2858" ht="14.25" customHeight="1" x14ac:dyDescent="0.25"/>
    <row r="2859" ht="14.25" customHeight="1" x14ac:dyDescent="0.25"/>
    <row r="2860" ht="14.25" customHeight="1" x14ac:dyDescent="0.25"/>
    <row r="2861" ht="14.25" customHeight="1" x14ac:dyDescent="0.25"/>
    <row r="2862" ht="14.25" customHeight="1" x14ac:dyDescent="0.25"/>
    <row r="2863" ht="14.25" customHeight="1" x14ac:dyDescent="0.25"/>
    <row r="2864" ht="14.25" customHeight="1" x14ac:dyDescent="0.25"/>
    <row r="2865" ht="14.25" customHeight="1" x14ac:dyDescent="0.25"/>
    <row r="2866" ht="14.25" customHeight="1" x14ac:dyDescent="0.25"/>
    <row r="2867" ht="14.25" customHeight="1" x14ac:dyDescent="0.25"/>
    <row r="2868" ht="14.25" customHeight="1" x14ac:dyDescent="0.25"/>
    <row r="2869" ht="14.25" customHeight="1" x14ac:dyDescent="0.25"/>
    <row r="2870" ht="14.25" customHeight="1" x14ac:dyDescent="0.25"/>
    <row r="2871" ht="14.25" customHeight="1" x14ac:dyDescent="0.25"/>
    <row r="2872" ht="14.25" customHeight="1" x14ac:dyDescent="0.25"/>
    <row r="2873" ht="14.25" customHeight="1" x14ac:dyDescent="0.25"/>
    <row r="2874" ht="14.25" customHeight="1" x14ac:dyDescent="0.25"/>
    <row r="2875" ht="14.25" customHeight="1" x14ac:dyDescent="0.25"/>
    <row r="2876" ht="14.25" customHeight="1" x14ac:dyDescent="0.25"/>
    <row r="2877" ht="14.25" customHeight="1" x14ac:dyDescent="0.25"/>
    <row r="2878" ht="14.25" customHeight="1" x14ac:dyDescent="0.25"/>
    <row r="2879" ht="14.25" customHeight="1" x14ac:dyDescent="0.25"/>
    <row r="2880" ht="14.25" customHeight="1" x14ac:dyDescent="0.25"/>
    <row r="2881" ht="14.25" customHeight="1" x14ac:dyDescent="0.25"/>
    <row r="2882" ht="14.25" customHeight="1" x14ac:dyDescent="0.25"/>
    <row r="2883" ht="14.25" customHeight="1" x14ac:dyDescent="0.25"/>
    <row r="2884" ht="14.25" customHeight="1" x14ac:dyDescent="0.25"/>
    <row r="2885" ht="14.25" customHeight="1" x14ac:dyDescent="0.25"/>
    <row r="2886" ht="14.25" customHeight="1" x14ac:dyDescent="0.25"/>
    <row r="2887" ht="14.25" customHeight="1" x14ac:dyDescent="0.25"/>
    <row r="2888" ht="14.25" customHeight="1" x14ac:dyDescent="0.25"/>
    <row r="2889" ht="14.25" customHeight="1" x14ac:dyDescent="0.25"/>
    <row r="2890" ht="14.25" customHeight="1" x14ac:dyDescent="0.25"/>
    <row r="2891" ht="14.25" customHeight="1" x14ac:dyDescent="0.25"/>
    <row r="2892" ht="14.25" customHeight="1" x14ac:dyDescent="0.25"/>
    <row r="2893" ht="14.25" customHeight="1" x14ac:dyDescent="0.25"/>
    <row r="2894" ht="14.25" customHeight="1" x14ac:dyDescent="0.25"/>
    <row r="2895" ht="14.25" customHeight="1" x14ac:dyDescent="0.25"/>
    <row r="2896" ht="14.25" customHeight="1" x14ac:dyDescent="0.25"/>
    <row r="2897" ht="14.25" customHeight="1" x14ac:dyDescent="0.25"/>
    <row r="2898" ht="14.25" customHeight="1" x14ac:dyDescent="0.25"/>
    <row r="2899" ht="14.25" customHeight="1" x14ac:dyDescent="0.25"/>
    <row r="2900" ht="14.25" customHeight="1" x14ac:dyDescent="0.25"/>
    <row r="2901" ht="14.25" customHeight="1" x14ac:dyDescent="0.25"/>
    <row r="2902" ht="14.25" customHeight="1" x14ac:dyDescent="0.25"/>
    <row r="2903" ht="14.25" customHeight="1" x14ac:dyDescent="0.25"/>
    <row r="2904" ht="14.25" customHeight="1" x14ac:dyDescent="0.25"/>
    <row r="2905" ht="14.25" customHeight="1" x14ac:dyDescent="0.25"/>
    <row r="2906" ht="14.25" customHeight="1" x14ac:dyDescent="0.25"/>
    <row r="2907" ht="14.25" customHeight="1" x14ac:dyDescent="0.25"/>
    <row r="2908" ht="14.25" customHeight="1" x14ac:dyDescent="0.25"/>
    <row r="2909" ht="14.25" customHeight="1" x14ac:dyDescent="0.25"/>
    <row r="2910" ht="14.25" customHeight="1" x14ac:dyDescent="0.25"/>
    <row r="2911" ht="14.25" customHeight="1" x14ac:dyDescent="0.25"/>
    <row r="2912" ht="14.25" customHeight="1" x14ac:dyDescent="0.25"/>
    <row r="2913" ht="14.25" customHeight="1" x14ac:dyDescent="0.25"/>
    <row r="2914" ht="14.25" customHeight="1" x14ac:dyDescent="0.25"/>
    <row r="2915" ht="14.25" customHeight="1" x14ac:dyDescent="0.25"/>
    <row r="2916" ht="14.25" customHeight="1" x14ac:dyDescent="0.25"/>
    <row r="2917" ht="14.25" customHeight="1" x14ac:dyDescent="0.25"/>
    <row r="2918" ht="14.25" customHeight="1" x14ac:dyDescent="0.25"/>
    <row r="2919" ht="14.25" customHeight="1" x14ac:dyDescent="0.25"/>
    <row r="2920" ht="14.25" customHeight="1" x14ac:dyDescent="0.25"/>
    <row r="2921" ht="14.25" customHeight="1" x14ac:dyDescent="0.25"/>
    <row r="2922" ht="14.25" customHeight="1" x14ac:dyDescent="0.25"/>
    <row r="2923" ht="14.25" customHeight="1" x14ac:dyDescent="0.25"/>
    <row r="2924" ht="14.25" customHeight="1" x14ac:dyDescent="0.25"/>
    <row r="2925" ht="14.25" customHeight="1" x14ac:dyDescent="0.25"/>
    <row r="2926" ht="14.25" customHeight="1" x14ac:dyDescent="0.25"/>
    <row r="2927" ht="14.25" customHeight="1" x14ac:dyDescent="0.25"/>
    <row r="2928" ht="14.25" customHeight="1" x14ac:dyDescent="0.25"/>
    <row r="2929" ht="14.25" customHeight="1" x14ac:dyDescent="0.25"/>
    <row r="2930" ht="14.25" customHeight="1" x14ac:dyDescent="0.25"/>
    <row r="2931" ht="14.25" customHeight="1" x14ac:dyDescent="0.25"/>
    <row r="2932" ht="14.25" customHeight="1" x14ac:dyDescent="0.25"/>
    <row r="2933" ht="14.25" customHeight="1" x14ac:dyDescent="0.25"/>
    <row r="2934" ht="14.25" customHeight="1" x14ac:dyDescent="0.25"/>
    <row r="2935" ht="14.25" customHeight="1" x14ac:dyDescent="0.25"/>
    <row r="2936" ht="14.25" customHeight="1" x14ac:dyDescent="0.25"/>
    <row r="2937" ht="14.25" customHeight="1" x14ac:dyDescent="0.25"/>
    <row r="2938" ht="14.25" customHeight="1" x14ac:dyDescent="0.25"/>
    <row r="2939" ht="14.25" customHeight="1" x14ac:dyDescent="0.25"/>
    <row r="2940" ht="14.25" customHeight="1" x14ac:dyDescent="0.25"/>
    <row r="2941" ht="14.25" customHeight="1" x14ac:dyDescent="0.25"/>
    <row r="2942" ht="14.25" customHeight="1" x14ac:dyDescent="0.25"/>
    <row r="2943" ht="14.25" customHeight="1" x14ac:dyDescent="0.25"/>
    <row r="2944" ht="14.25" customHeight="1" x14ac:dyDescent="0.25"/>
    <row r="2945" ht="14.25" customHeight="1" x14ac:dyDescent="0.25"/>
    <row r="2946" ht="14.25" customHeight="1" x14ac:dyDescent="0.25"/>
    <row r="2947" ht="14.25" customHeight="1" x14ac:dyDescent="0.25"/>
    <row r="2948" ht="14.25" customHeight="1" x14ac:dyDescent="0.25"/>
    <row r="2949" ht="14.25" customHeight="1" x14ac:dyDescent="0.25"/>
    <row r="2950" ht="14.25" customHeight="1" x14ac:dyDescent="0.25"/>
    <row r="2951" ht="14.25" customHeight="1" x14ac:dyDescent="0.25"/>
    <row r="2952" ht="14.25" customHeight="1" x14ac:dyDescent="0.25"/>
    <row r="2953" ht="14.25" customHeight="1" x14ac:dyDescent="0.25"/>
    <row r="2954" ht="14.25" customHeight="1" x14ac:dyDescent="0.25"/>
    <row r="2955" ht="14.25" customHeight="1" x14ac:dyDescent="0.25"/>
    <row r="2956" ht="14.25" customHeight="1" x14ac:dyDescent="0.25"/>
    <row r="2957" ht="14.25" customHeight="1" x14ac:dyDescent="0.25"/>
    <row r="2958" ht="14.25" customHeight="1" x14ac:dyDescent="0.25"/>
    <row r="2959" ht="14.25" customHeight="1" x14ac:dyDescent="0.25"/>
    <row r="2960" ht="14.25" customHeight="1" x14ac:dyDescent="0.25"/>
    <row r="2961" ht="14.25" customHeight="1" x14ac:dyDescent="0.25"/>
    <row r="2962" ht="14.25" customHeight="1" x14ac:dyDescent="0.25"/>
    <row r="2963" ht="14.25" customHeight="1" x14ac:dyDescent="0.25"/>
    <row r="2964" ht="14.25" customHeight="1" x14ac:dyDescent="0.25"/>
    <row r="2965" ht="14.25" customHeight="1" x14ac:dyDescent="0.25"/>
    <row r="2966" ht="14.25" customHeight="1" x14ac:dyDescent="0.25"/>
    <row r="2967" ht="14.25" customHeight="1" x14ac:dyDescent="0.25"/>
    <row r="2968" ht="14.25" customHeight="1" x14ac:dyDescent="0.25"/>
    <row r="2969" ht="14.25" customHeight="1" x14ac:dyDescent="0.25"/>
    <row r="2970" ht="14.25" customHeight="1" x14ac:dyDescent="0.25"/>
    <row r="2971" ht="14.25" customHeight="1" x14ac:dyDescent="0.25"/>
    <row r="2972" ht="14.25" customHeight="1" x14ac:dyDescent="0.25"/>
    <row r="2973" ht="14.25" customHeight="1" x14ac:dyDescent="0.25"/>
    <row r="2974" ht="14.25" customHeight="1" x14ac:dyDescent="0.25"/>
    <row r="2975" ht="14.25" customHeight="1" x14ac:dyDescent="0.25"/>
    <row r="2976" ht="14.25" customHeight="1" x14ac:dyDescent="0.25"/>
    <row r="2977" ht="14.25" customHeight="1" x14ac:dyDescent="0.25"/>
    <row r="2978" ht="14.25" customHeight="1" x14ac:dyDescent="0.25"/>
    <row r="2979" ht="14.25" customHeight="1" x14ac:dyDescent="0.25"/>
    <row r="2980" ht="14.25" customHeight="1" x14ac:dyDescent="0.25"/>
    <row r="2981" ht="14.25" customHeight="1" x14ac:dyDescent="0.25"/>
    <row r="2982" ht="14.25" customHeight="1" x14ac:dyDescent="0.25"/>
    <row r="2983" ht="14.25" customHeight="1" x14ac:dyDescent="0.25"/>
    <row r="2984" ht="14.25" customHeight="1" x14ac:dyDescent="0.25"/>
    <row r="2985" ht="14.25" customHeight="1" x14ac:dyDescent="0.25"/>
    <row r="2986" ht="14.25" customHeight="1" x14ac:dyDescent="0.25"/>
    <row r="2987" ht="14.25" customHeight="1" x14ac:dyDescent="0.25"/>
    <row r="2988" ht="14.25" customHeight="1" x14ac:dyDescent="0.25"/>
    <row r="2989" ht="14.25" customHeight="1" x14ac:dyDescent="0.25"/>
    <row r="2990" ht="14.25" customHeight="1" x14ac:dyDescent="0.25"/>
    <row r="2991" ht="14.25" customHeight="1" x14ac:dyDescent="0.25"/>
    <row r="2992" ht="14.25" customHeight="1" x14ac:dyDescent="0.25"/>
    <row r="2993" ht="14.25" customHeight="1" x14ac:dyDescent="0.25"/>
    <row r="2994" ht="14.25" customHeight="1" x14ac:dyDescent="0.25"/>
    <row r="2995" ht="14.25" customHeight="1" x14ac:dyDescent="0.25"/>
    <row r="2996" ht="14.25" customHeight="1" x14ac:dyDescent="0.25"/>
    <row r="2997" ht="14.25" customHeight="1" x14ac:dyDescent="0.25"/>
    <row r="2998" ht="14.25" customHeight="1" x14ac:dyDescent="0.25"/>
    <row r="2999" ht="14.25" customHeight="1" x14ac:dyDescent="0.25"/>
    <row r="3000" ht="14.25" customHeight="1" x14ac:dyDescent="0.25"/>
    <row r="3001" ht="14.25" customHeight="1" x14ac:dyDescent="0.25"/>
    <row r="3002" ht="14.25" customHeight="1" x14ac:dyDescent="0.25"/>
    <row r="3003" ht="14.25" customHeight="1" x14ac:dyDescent="0.25"/>
    <row r="3004" ht="14.25" customHeight="1" x14ac:dyDescent="0.25"/>
    <row r="3005" ht="14.25" customHeight="1" x14ac:dyDescent="0.25"/>
    <row r="3006" ht="14.25" customHeight="1" x14ac:dyDescent="0.25"/>
    <row r="3007" ht="14.25" customHeight="1" x14ac:dyDescent="0.25"/>
    <row r="3008" ht="14.25" customHeight="1" x14ac:dyDescent="0.25"/>
    <row r="3009" ht="14.25" customHeight="1" x14ac:dyDescent="0.25"/>
    <row r="3010" ht="14.25" customHeight="1" x14ac:dyDescent="0.25"/>
    <row r="3011" ht="14.25" customHeight="1" x14ac:dyDescent="0.25"/>
    <row r="3012" ht="14.25" customHeight="1" x14ac:dyDescent="0.25"/>
    <row r="3013" ht="14.25" customHeight="1" x14ac:dyDescent="0.25"/>
    <row r="3014" ht="14.25" customHeight="1" x14ac:dyDescent="0.25"/>
    <row r="3015" ht="14.25" customHeight="1" x14ac:dyDescent="0.25"/>
    <row r="3016" ht="14.25" customHeight="1" x14ac:dyDescent="0.25"/>
    <row r="3017" ht="14.25" customHeight="1" x14ac:dyDescent="0.25"/>
    <row r="3018" ht="14.25" customHeight="1" x14ac:dyDescent="0.25"/>
    <row r="3019" ht="14.25" customHeight="1" x14ac:dyDescent="0.25"/>
    <row r="3020" ht="14.25" customHeight="1" x14ac:dyDescent="0.25"/>
    <row r="3021" ht="14.25" customHeight="1" x14ac:dyDescent="0.25"/>
    <row r="3022" ht="14.25" customHeight="1" x14ac:dyDescent="0.25"/>
    <row r="3023" ht="14.25" customHeight="1" x14ac:dyDescent="0.25"/>
    <row r="3024" ht="14.25" customHeight="1" x14ac:dyDescent="0.25"/>
    <row r="3025" ht="14.25" customHeight="1" x14ac:dyDescent="0.25"/>
    <row r="3026" ht="14.25" customHeight="1" x14ac:dyDescent="0.25"/>
    <row r="3027" ht="14.25" customHeight="1" x14ac:dyDescent="0.25"/>
    <row r="3028" ht="14.25" customHeight="1" x14ac:dyDescent="0.25"/>
    <row r="3029" ht="14.25" customHeight="1" x14ac:dyDescent="0.25"/>
    <row r="3030" ht="14.25" customHeight="1" x14ac:dyDescent="0.25"/>
    <row r="3031" ht="14.25" customHeight="1" x14ac:dyDescent="0.25"/>
    <row r="3032" ht="14.25" customHeight="1" x14ac:dyDescent="0.25"/>
    <row r="3033" ht="14.25" customHeight="1" x14ac:dyDescent="0.25"/>
    <row r="3034" ht="14.25" customHeight="1" x14ac:dyDescent="0.25"/>
    <row r="3035" ht="14.25" customHeight="1" x14ac:dyDescent="0.25"/>
    <row r="3036" ht="14.25" customHeight="1" x14ac:dyDescent="0.25"/>
    <row r="3037" ht="14.25" customHeight="1" x14ac:dyDescent="0.25"/>
    <row r="3038" ht="14.25" customHeight="1" x14ac:dyDescent="0.25"/>
    <row r="3039" ht="14.25" customHeight="1" x14ac:dyDescent="0.25"/>
    <row r="3040" ht="14.25" customHeight="1" x14ac:dyDescent="0.25"/>
    <row r="3041" ht="14.25" customHeight="1" x14ac:dyDescent="0.25"/>
    <row r="3042" ht="14.25" customHeight="1" x14ac:dyDescent="0.25"/>
    <row r="3043" ht="14.25" customHeight="1" x14ac:dyDescent="0.25"/>
    <row r="3044" ht="14.25" customHeight="1" x14ac:dyDescent="0.25"/>
    <row r="3045" ht="14.25" customHeight="1" x14ac:dyDescent="0.25"/>
    <row r="3046" ht="14.25" customHeight="1" x14ac:dyDescent="0.25"/>
    <row r="3047" ht="14.25" customHeight="1" x14ac:dyDescent="0.25"/>
    <row r="3048" ht="14.25" customHeight="1" x14ac:dyDescent="0.25"/>
    <row r="3049" ht="14.25" customHeight="1" x14ac:dyDescent="0.25"/>
    <row r="3050" ht="14.25" customHeight="1" x14ac:dyDescent="0.25"/>
    <row r="3051" ht="14.25" customHeight="1" x14ac:dyDescent="0.25"/>
    <row r="3052" ht="14.25" customHeight="1" x14ac:dyDescent="0.25"/>
    <row r="3053" ht="14.25" customHeight="1" x14ac:dyDescent="0.25"/>
    <row r="3054" ht="14.25" customHeight="1" x14ac:dyDescent="0.25"/>
    <row r="3055" ht="14.25" customHeight="1" x14ac:dyDescent="0.25"/>
    <row r="3056" ht="14.25" customHeight="1" x14ac:dyDescent="0.25"/>
    <row r="3057" ht="14.25" customHeight="1" x14ac:dyDescent="0.25"/>
    <row r="3058" ht="14.25" customHeight="1" x14ac:dyDescent="0.25"/>
    <row r="3059" ht="14.25" customHeight="1" x14ac:dyDescent="0.25"/>
    <row r="3060" ht="14.25" customHeight="1" x14ac:dyDescent="0.25"/>
    <row r="3061" ht="14.25" customHeight="1" x14ac:dyDescent="0.25"/>
    <row r="3062" ht="14.25" customHeight="1" x14ac:dyDescent="0.25"/>
    <row r="3063" ht="14.25" customHeight="1" x14ac:dyDescent="0.25"/>
    <row r="3064" ht="14.25" customHeight="1" x14ac:dyDescent="0.25"/>
    <row r="3065" ht="14.25" customHeight="1" x14ac:dyDescent="0.25"/>
    <row r="3066" ht="14.25" customHeight="1" x14ac:dyDescent="0.25"/>
    <row r="3067" ht="14.25" customHeight="1" x14ac:dyDescent="0.25"/>
    <row r="3068" ht="14.25" customHeight="1" x14ac:dyDescent="0.25"/>
    <row r="3069" ht="14.25" customHeight="1" x14ac:dyDescent="0.25"/>
    <row r="3070" ht="14.25" customHeight="1" x14ac:dyDescent="0.25"/>
    <row r="3071" ht="14.25" customHeight="1" x14ac:dyDescent="0.25"/>
    <row r="3072" ht="14.25" customHeight="1" x14ac:dyDescent="0.25"/>
    <row r="3073" ht="14.25" customHeight="1" x14ac:dyDescent="0.25"/>
    <row r="3074" ht="14.25" customHeight="1" x14ac:dyDescent="0.25"/>
    <row r="3075" ht="14.25" customHeight="1" x14ac:dyDescent="0.25"/>
    <row r="3076" ht="14.25" customHeight="1" x14ac:dyDescent="0.25"/>
    <row r="3077" ht="14.25" customHeight="1" x14ac:dyDescent="0.25"/>
    <row r="3078" ht="14.25" customHeight="1" x14ac:dyDescent="0.25"/>
    <row r="3079" ht="14.25" customHeight="1" x14ac:dyDescent="0.25"/>
    <row r="3080" ht="14.25" customHeight="1" x14ac:dyDescent="0.25"/>
    <row r="3081" ht="14.25" customHeight="1" x14ac:dyDescent="0.25"/>
    <row r="3082" ht="14.25" customHeight="1" x14ac:dyDescent="0.25"/>
    <row r="3083" ht="14.25" customHeight="1" x14ac:dyDescent="0.25"/>
    <row r="3084" ht="14.25" customHeight="1" x14ac:dyDescent="0.25"/>
    <row r="3085" ht="14.25" customHeight="1" x14ac:dyDescent="0.25"/>
    <row r="3086" ht="14.25" customHeight="1" x14ac:dyDescent="0.25"/>
    <row r="3087" ht="14.25" customHeight="1" x14ac:dyDescent="0.25"/>
    <row r="3088" ht="14.25" customHeight="1" x14ac:dyDescent="0.25"/>
    <row r="3089" ht="14.25" customHeight="1" x14ac:dyDescent="0.25"/>
    <row r="3090" ht="14.25" customHeight="1" x14ac:dyDescent="0.25"/>
    <row r="3091" ht="14.25" customHeight="1" x14ac:dyDescent="0.25"/>
    <row r="3092" ht="14.25" customHeight="1" x14ac:dyDescent="0.25"/>
    <row r="3093" ht="14.25" customHeight="1" x14ac:dyDescent="0.25"/>
    <row r="3094" ht="14.25" customHeight="1" x14ac:dyDescent="0.25"/>
    <row r="3095" ht="14.25" customHeight="1" x14ac:dyDescent="0.25"/>
    <row r="3096" ht="14.25" customHeight="1" x14ac:dyDescent="0.25"/>
    <row r="3097" ht="14.25" customHeight="1" x14ac:dyDescent="0.25"/>
    <row r="3098" ht="14.25" customHeight="1" x14ac:dyDescent="0.25"/>
    <row r="3099" ht="14.25" customHeight="1" x14ac:dyDescent="0.25"/>
    <row r="3100" ht="14.25" customHeight="1" x14ac:dyDescent="0.25"/>
    <row r="3101" ht="14.25" customHeight="1" x14ac:dyDescent="0.25"/>
    <row r="3102" ht="14.25" customHeight="1" x14ac:dyDescent="0.25"/>
    <row r="3103" ht="14.25" customHeight="1" x14ac:dyDescent="0.25"/>
    <row r="3104" ht="14.25" customHeight="1" x14ac:dyDescent="0.25"/>
    <row r="3105" ht="14.25" customHeight="1" x14ac:dyDescent="0.25"/>
    <row r="3106" ht="14.25" customHeight="1" x14ac:dyDescent="0.25"/>
    <row r="3107" ht="14.25" customHeight="1" x14ac:dyDescent="0.25"/>
    <row r="3108" ht="14.25" customHeight="1" x14ac:dyDescent="0.25"/>
    <row r="3109" ht="14.25" customHeight="1" x14ac:dyDescent="0.25"/>
    <row r="3110" ht="14.25" customHeight="1" x14ac:dyDescent="0.25"/>
    <row r="3111" ht="14.25" customHeight="1" x14ac:dyDescent="0.25"/>
    <row r="3112" ht="14.25" customHeight="1" x14ac:dyDescent="0.25"/>
    <row r="3113" ht="14.25" customHeight="1" x14ac:dyDescent="0.25"/>
    <row r="3114" ht="14.25" customHeight="1" x14ac:dyDescent="0.25"/>
    <row r="3115" ht="14.25" customHeight="1" x14ac:dyDescent="0.25"/>
    <row r="3116" ht="14.25" customHeight="1" x14ac:dyDescent="0.25"/>
    <row r="3117" ht="14.25" customHeight="1" x14ac:dyDescent="0.25"/>
    <row r="3118" ht="14.25" customHeight="1" x14ac:dyDescent="0.25"/>
    <row r="3119" ht="14.25" customHeight="1" x14ac:dyDescent="0.25"/>
    <row r="3120" ht="14.25" customHeight="1" x14ac:dyDescent="0.25"/>
    <row r="3121" ht="14.25" customHeight="1" x14ac:dyDescent="0.25"/>
    <row r="3122" ht="14.25" customHeight="1" x14ac:dyDescent="0.25"/>
    <row r="3123" ht="14.25" customHeight="1" x14ac:dyDescent="0.25"/>
    <row r="3124" ht="14.25" customHeight="1" x14ac:dyDescent="0.25"/>
    <row r="3125" ht="14.25" customHeight="1" x14ac:dyDescent="0.25"/>
    <row r="3126" ht="14.25" customHeight="1" x14ac:dyDescent="0.25"/>
    <row r="3127" ht="14.25" customHeight="1" x14ac:dyDescent="0.25"/>
    <row r="3128" ht="14.25" customHeight="1" x14ac:dyDescent="0.25"/>
    <row r="3129" ht="14.25" customHeight="1" x14ac:dyDescent="0.25"/>
    <row r="3130" ht="14.25" customHeight="1" x14ac:dyDescent="0.25"/>
    <row r="3131" ht="14.25" customHeight="1" x14ac:dyDescent="0.25"/>
    <row r="3132" ht="14.25" customHeight="1" x14ac:dyDescent="0.25"/>
    <row r="3133" ht="14.25" customHeight="1" x14ac:dyDescent="0.25"/>
    <row r="3134" ht="14.25" customHeight="1" x14ac:dyDescent="0.25"/>
    <row r="3135" ht="14.25" customHeight="1" x14ac:dyDescent="0.25"/>
    <row r="3136" ht="14.25" customHeight="1" x14ac:dyDescent="0.25"/>
    <row r="3137" ht="14.25" customHeight="1" x14ac:dyDescent="0.25"/>
    <row r="3138" ht="14.25" customHeight="1" x14ac:dyDescent="0.25"/>
    <row r="3139" ht="14.25" customHeight="1" x14ac:dyDescent="0.25"/>
    <row r="3140" ht="14.25" customHeight="1" x14ac:dyDescent="0.25"/>
    <row r="3141" ht="14.25" customHeight="1" x14ac:dyDescent="0.25"/>
    <row r="3142" ht="14.25" customHeight="1" x14ac:dyDescent="0.25"/>
    <row r="3143" ht="14.25" customHeight="1" x14ac:dyDescent="0.25"/>
    <row r="3144" ht="14.25" customHeight="1" x14ac:dyDescent="0.25"/>
    <row r="3145" ht="14.25" customHeight="1" x14ac:dyDescent="0.25"/>
    <row r="3146" ht="14.25" customHeight="1" x14ac:dyDescent="0.25"/>
    <row r="3147" ht="14.25" customHeight="1" x14ac:dyDescent="0.25"/>
    <row r="3148" ht="14.25" customHeight="1" x14ac:dyDescent="0.25"/>
    <row r="3149" ht="14.25" customHeight="1" x14ac:dyDescent="0.25"/>
    <row r="3150" ht="14.25" customHeight="1" x14ac:dyDescent="0.25"/>
    <row r="3151" ht="14.25" customHeight="1" x14ac:dyDescent="0.25"/>
    <row r="3152" ht="14.25" customHeight="1" x14ac:dyDescent="0.25"/>
    <row r="3153" ht="14.25" customHeight="1" x14ac:dyDescent="0.25"/>
    <row r="3154" ht="14.25" customHeight="1" x14ac:dyDescent="0.25"/>
    <row r="3155" ht="14.25" customHeight="1" x14ac:dyDescent="0.25"/>
    <row r="3156" ht="14.25" customHeight="1" x14ac:dyDescent="0.25"/>
    <row r="3157" ht="14.25" customHeight="1" x14ac:dyDescent="0.25"/>
    <row r="3158" ht="14.25" customHeight="1" x14ac:dyDescent="0.25"/>
    <row r="3159" ht="14.25" customHeight="1" x14ac:dyDescent="0.25"/>
    <row r="3160" ht="14.25" customHeight="1" x14ac:dyDescent="0.25"/>
    <row r="3161" ht="14.25" customHeight="1" x14ac:dyDescent="0.25"/>
    <row r="3162" ht="14.25" customHeight="1" x14ac:dyDescent="0.25"/>
    <row r="3163" ht="14.25" customHeight="1" x14ac:dyDescent="0.25"/>
    <row r="3164" ht="14.25" customHeight="1" x14ac:dyDescent="0.25"/>
    <row r="3165" ht="14.25" customHeight="1" x14ac:dyDescent="0.25"/>
    <row r="3166" ht="14.25" customHeight="1" x14ac:dyDescent="0.25"/>
    <row r="3167" ht="14.25" customHeight="1" x14ac:dyDescent="0.25"/>
    <row r="3168" ht="14.25" customHeight="1" x14ac:dyDescent="0.25"/>
    <row r="3169" ht="14.25" customHeight="1" x14ac:dyDescent="0.25"/>
    <row r="3170" ht="14.25" customHeight="1" x14ac:dyDescent="0.25"/>
    <row r="3171" ht="14.25" customHeight="1" x14ac:dyDescent="0.25"/>
    <row r="3172" ht="14.25" customHeight="1" x14ac:dyDescent="0.25"/>
    <row r="3173" ht="14.25" customHeight="1" x14ac:dyDescent="0.25"/>
    <row r="3174" ht="14.25" customHeight="1" x14ac:dyDescent="0.25"/>
    <row r="3175" ht="14.25" customHeight="1" x14ac:dyDescent="0.25"/>
    <row r="3176" ht="14.25" customHeight="1" x14ac:dyDescent="0.25"/>
    <row r="3177" ht="14.25" customHeight="1" x14ac:dyDescent="0.25"/>
    <row r="3178" ht="14.25" customHeight="1" x14ac:dyDescent="0.25"/>
    <row r="3179" ht="14.25" customHeight="1" x14ac:dyDescent="0.25"/>
    <row r="3180" ht="14.25" customHeight="1" x14ac:dyDescent="0.25"/>
    <row r="3181" ht="14.25" customHeight="1" x14ac:dyDescent="0.25"/>
    <row r="3182" ht="14.25" customHeight="1" x14ac:dyDescent="0.25"/>
    <row r="3183" ht="14.25" customHeight="1" x14ac:dyDescent="0.25"/>
    <row r="3184" ht="14.25" customHeight="1" x14ac:dyDescent="0.25"/>
    <row r="3185" ht="14.25" customHeight="1" x14ac:dyDescent="0.25"/>
    <row r="3186" ht="14.25" customHeight="1" x14ac:dyDescent="0.25"/>
    <row r="3187" ht="14.25" customHeight="1" x14ac:dyDescent="0.25"/>
    <row r="3188" ht="14.25" customHeight="1" x14ac:dyDescent="0.25"/>
    <row r="3189" ht="14.25" customHeight="1" x14ac:dyDescent="0.25"/>
    <row r="3190" ht="14.25" customHeight="1" x14ac:dyDescent="0.25"/>
    <row r="3191" ht="14.25" customHeight="1" x14ac:dyDescent="0.25"/>
    <row r="3192" ht="14.25" customHeight="1" x14ac:dyDescent="0.25"/>
    <row r="3193" ht="14.25" customHeight="1" x14ac:dyDescent="0.25"/>
    <row r="3194" ht="14.25" customHeight="1" x14ac:dyDescent="0.25"/>
    <row r="3195" ht="14.25" customHeight="1" x14ac:dyDescent="0.25"/>
    <row r="3196" ht="14.25" customHeight="1" x14ac:dyDescent="0.25"/>
    <row r="3197" ht="14.25" customHeight="1" x14ac:dyDescent="0.25"/>
    <row r="3198" ht="14.25" customHeight="1" x14ac:dyDescent="0.25"/>
    <row r="3199" ht="14.25" customHeight="1" x14ac:dyDescent="0.25"/>
    <row r="3200" ht="14.25" customHeight="1" x14ac:dyDescent="0.25"/>
    <row r="3201" ht="14.25" customHeight="1" x14ac:dyDescent="0.25"/>
    <row r="3202" ht="14.25" customHeight="1" x14ac:dyDescent="0.25"/>
    <row r="3203" ht="14.25" customHeight="1" x14ac:dyDescent="0.25"/>
    <row r="3204" ht="14.25" customHeight="1" x14ac:dyDescent="0.25"/>
    <row r="3205" ht="14.25" customHeight="1" x14ac:dyDescent="0.25"/>
    <row r="3206" ht="14.25" customHeight="1" x14ac:dyDescent="0.25"/>
    <row r="3207" ht="14.25" customHeight="1" x14ac:dyDescent="0.25"/>
    <row r="3208" ht="14.25" customHeight="1" x14ac:dyDescent="0.25"/>
    <row r="3209" ht="14.25" customHeight="1" x14ac:dyDescent="0.25"/>
    <row r="3210" ht="14.25" customHeight="1" x14ac:dyDescent="0.25"/>
    <row r="3211" ht="14.25" customHeight="1" x14ac:dyDescent="0.25"/>
    <row r="3212" ht="14.25" customHeight="1" x14ac:dyDescent="0.25"/>
    <row r="3213" ht="14.25" customHeight="1" x14ac:dyDescent="0.25"/>
    <row r="3214" ht="14.25" customHeight="1" x14ac:dyDescent="0.25"/>
    <row r="3215" ht="14.25" customHeight="1" x14ac:dyDescent="0.25"/>
    <row r="3216" ht="14.25" customHeight="1" x14ac:dyDescent="0.25"/>
    <row r="3217" ht="14.25" customHeight="1" x14ac:dyDescent="0.25"/>
    <row r="3218" ht="14.25" customHeight="1" x14ac:dyDescent="0.25"/>
    <row r="3219" ht="14.25" customHeight="1" x14ac:dyDescent="0.25"/>
    <row r="3220" ht="14.25" customHeight="1" x14ac:dyDescent="0.25"/>
    <row r="3221" ht="14.25" customHeight="1" x14ac:dyDescent="0.25"/>
    <row r="3222" ht="14.25" customHeight="1" x14ac:dyDescent="0.25"/>
    <row r="3223" ht="14.25" customHeight="1" x14ac:dyDescent="0.25"/>
    <row r="3224" ht="14.25" customHeight="1" x14ac:dyDescent="0.25"/>
    <row r="3225" ht="14.25" customHeight="1" x14ac:dyDescent="0.25"/>
    <row r="3226" ht="14.25" customHeight="1" x14ac:dyDescent="0.25"/>
    <row r="3227" ht="14.25" customHeight="1" x14ac:dyDescent="0.25"/>
    <row r="3228" ht="14.25" customHeight="1" x14ac:dyDescent="0.25"/>
    <row r="3229" ht="14.25" customHeight="1" x14ac:dyDescent="0.25"/>
    <row r="3230" ht="14.25" customHeight="1" x14ac:dyDescent="0.25"/>
    <row r="3231" ht="14.25" customHeight="1" x14ac:dyDescent="0.25"/>
    <row r="3232" ht="14.25" customHeight="1" x14ac:dyDescent="0.25"/>
    <row r="3233" ht="14.25" customHeight="1" x14ac:dyDescent="0.25"/>
    <row r="3234" ht="14.25" customHeight="1" x14ac:dyDescent="0.25"/>
    <row r="3235" ht="14.25" customHeight="1" x14ac:dyDescent="0.25"/>
    <row r="3236" ht="14.25" customHeight="1" x14ac:dyDescent="0.25"/>
    <row r="3237" ht="14.25" customHeight="1" x14ac:dyDescent="0.25"/>
    <row r="3238" ht="14.25" customHeight="1" x14ac:dyDescent="0.25"/>
    <row r="3239" ht="14.25" customHeight="1" x14ac:dyDescent="0.25"/>
    <row r="3240" ht="14.25" customHeight="1" x14ac:dyDescent="0.25"/>
    <row r="3241" ht="14.25" customHeight="1" x14ac:dyDescent="0.25"/>
    <row r="3242" ht="14.25" customHeight="1" x14ac:dyDescent="0.25"/>
    <row r="3243" ht="14.25" customHeight="1" x14ac:dyDescent="0.25"/>
    <row r="3244" ht="14.25" customHeight="1" x14ac:dyDescent="0.25"/>
    <row r="3245" ht="14.25" customHeight="1" x14ac:dyDescent="0.25"/>
    <row r="3246" ht="14.25" customHeight="1" x14ac:dyDescent="0.25"/>
    <row r="3247" ht="14.25" customHeight="1" x14ac:dyDescent="0.25"/>
    <row r="3248" ht="14.25" customHeight="1" x14ac:dyDescent="0.25"/>
    <row r="3249" ht="14.25" customHeight="1" x14ac:dyDescent="0.25"/>
    <row r="3250" ht="14.25" customHeight="1" x14ac:dyDescent="0.25"/>
    <row r="3251" ht="14.25" customHeight="1" x14ac:dyDescent="0.25"/>
    <row r="3252" ht="14.25" customHeight="1" x14ac:dyDescent="0.25"/>
    <row r="3253" ht="14.25" customHeight="1" x14ac:dyDescent="0.25"/>
    <row r="3254" ht="14.25" customHeight="1" x14ac:dyDescent="0.25"/>
    <row r="3255" ht="14.25" customHeight="1" x14ac:dyDescent="0.25"/>
    <row r="3256" ht="14.25" customHeight="1" x14ac:dyDescent="0.25"/>
    <row r="3257" ht="14.25" customHeight="1" x14ac:dyDescent="0.25"/>
    <row r="3258" ht="14.25" customHeight="1" x14ac:dyDescent="0.25"/>
    <row r="3259" ht="14.25" customHeight="1" x14ac:dyDescent="0.25"/>
    <row r="3260" ht="14.25" customHeight="1" x14ac:dyDescent="0.25"/>
    <row r="3261" ht="14.25" customHeight="1" x14ac:dyDescent="0.25"/>
    <row r="3262" ht="14.25" customHeight="1" x14ac:dyDescent="0.25"/>
    <row r="3263" ht="14.25" customHeight="1" x14ac:dyDescent="0.25"/>
    <row r="3264" ht="14.25" customHeight="1" x14ac:dyDescent="0.25"/>
    <row r="3265" ht="14.25" customHeight="1" x14ac:dyDescent="0.25"/>
    <row r="3266" ht="14.25" customHeight="1" x14ac:dyDescent="0.25"/>
    <row r="3267" ht="14.25" customHeight="1" x14ac:dyDescent="0.25"/>
    <row r="3268" ht="14.25" customHeight="1" x14ac:dyDescent="0.25"/>
    <row r="3269" ht="14.25" customHeight="1" x14ac:dyDescent="0.25"/>
    <row r="3270" ht="14.25" customHeight="1" x14ac:dyDescent="0.25"/>
    <row r="3271" ht="14.25" customHeight="1" x14ac:dyDescent="0.25"/>
    <row r="3272" ht="14.25" customHeight="1" x14ac:dyDescent="0.25"/>
    <row r="3273" ht="14.25" customHeight="1" x14ac:dyDescent="0.25"/>
    <row r="3274" ht="14.25" customHeight="1" x14ac:dyDescent="0.25"/>
    <row r="3275" ht="14.25" customHeight="1" x14ac:dyDescent="0.25"/>
    <row r="3276" ht="14.25" customHeight="1" x14ac:dyDescent="0.25"/>
    <row r="3277" ht="14.25" customHeight="1" x14ac:dyDescent="0.25"/>
    <row r="3278" ht="14.25" customHeight="1" x14ac:dyDescent="0.25"/>
    <row r="3279" ht="14.25" customHeight="1" x14ac:dyDescent="0.25"/>
    <row r="3280" ht="14.25" customHeight="1" x14ac:dyDescent="0.25"/>
    <row r="3281" ht="14.25" customHeight="1" x14ac:dyDescent="0.25"/>
    <row r="3282" ht="14.25" customHeight="1" x14ac:dyDescent="0.25"/>
    <row r="3283" ht="14.25" customHeight="1" x14ac:dyDescent="0.25"/>
    <row r="3284" ht="14.25" customHeight="1" x14ac:dyDescent="0.25"/>
    <row r="3285" ht="14.25" customHeight="1" x14ac:dyDescent="0.25"/>
    <row r="3286" ht="14.25" customHeight="1" x14ac:dyDescent="0.25"/>
    <row r="3287" ht="14.25" customHeight="1" x14ac:dyDescent="0.25"/>
    <row r="3288" ht="14.25" customHeight="1" x14ac:dyDescent="0.25"/>
    <row r="3289" ht="14.25" customHeight="1" x14ac:dyDescent="0.25"/>
    <row r="3290" ht="14.25" customHeight="1" x14ac:dyDescent="0.25"/>
    <row r="3291" ht="14.25" customHeight="1" x14ac:dyDescent="0.25"/>
    <row r="3292" ht="14.25" customHeight="1" x14ac:dyDescent="0.25"/>
    <row r="3293" ht="14.25" customHeight="1" x14ac:dyDescent="0.25"/>
    <row r="3294" ht="14.25" customHeight="1" x14ac:dyDescent="0.25"/>
    <row r="3295" ht="14.25" customHeight="1" x14ac:dyDescent="0.25"/>
    <row r="3296" ht="14.25" customHeight="1" x14ac:dyDescent="0.25"/>
    <row r="3297" ht="14.25" customHeight="1" x14ac:dyDescent="0.25"/>
    <row r="3298" ht="14.25" customHeight="1" x14ac:dyDescent="0.25"/>
    <row r="3299" ht="14.25" customHeight="1" x14ac:dyDescent="0.25"/>
    <row r="3300" ht="14.25" customHeight="1" x14ac:dyDescent="0.25"/>
    <row r="3301" ht="14.25" customHeight="1" x14ac:dyDescent="0.25"/>
    <row r="3302" ht="14.25" customHeight="1" x14ac:dyDescent="0.25"/>
    <row r="3303" ht="14.25" customHeight="1" x14ac:dyDescent="0.25"/>
    <row r="3304" ht="14.25" customHeight="1" x14ac:dyDescent="0.25"/>
    <row r="3305" ht="14.25" customHeight="1" x14ac:dyDescent="0.25"/>
    <row r="3306" ht="14.25" customHeight="1" x14ac:dyDescent="0.25"/>
    <row r="3307" ht="14.25" customHeight="1" x14ac:dyDescent="0.25"/>
    <row r="3308" ht="14.25" customHeight="1" x14ac:dyDescent="0.25"/>
    <row r="3309" ht="14.25" customHeight="1" x14ac:dyDescent="0.25"/>
    <row r="3310" ht="14.25" customHeight="1" x14ac:dyDescent="0.25"/>
    <row r="3311" ht="14.25" customHeight="1" x14ac:dyDescent="0.25"/>
    <row r="3312" ht="14.25" customHeight="1" x14ac:dyDescent="0.25"/>
    <row r="3313" ht="14.25" customHeight="1" x14ac:dyDescent="0.25"/>
    <row r="3314" ht="14.25" customHeight="1" x14ac:dyDescent="0.25"/>
    <row r="3315" ht="14.25" customHeight="1" x14ac:dyDescent="0.25"/>
    <row r="3316" ht="14.25" customHeight="1" x14ac:dyDescent="0.25"/>
    <row r="3317" ht="14.25" customHeight="1" x14ac:dyDescent="0.25"/>
    <row r="3318" ht="14.25" customHeight="1" x14ac:dyDescent="0.25"/>
    <row r="3319" ht="14.25" customHeight="1" x14ac:dyDescent="0.25"/>
    <row r="3320" ht="14.25" customHeight="1" x14ac:dyDescent="0.25"/>
    <row r="3321" ht="14.25" customHeight="1" x14ac:dyDescent="0.25"/>
    <row r="3322" ht="14.25" customHeight="1" x14ac:dyDescent="0.25"/>
    <row r="3323" ht="14.25" customHeight="1" x14ac:dyDescent="0.25"/>
    <row r="3324" ht="14.25" customHeight="1" x14ac:dyDescent="0.25"/>
    <row r="3325" ht="14.25" customHeight="1" x14ac:dyDescent="0.25"/>
    <row r="3326" ht="14.25" customHeight="1" x14ac:dyDescent="0.25"/>
    <row r="3327" ht="14.25" customHeight="1" x14ac:dyDescent="0.25"/>
    <row r="3328" ht="14.25" customHeight="1" x14ac:dyDescent="0.25"/>
    <row r="3329" ht="14.25" customHeight="1" x14ac:dyDescent="0.25"/>
    <row r="3330" ht="14.25" customHeight="1" x14ac:dyDescent="0.25"/>
    <row r="3331" ht="14.25" customHeight="1" x14ac:dyDescent="0.25"/>
    <row r="3332" ht="14.25" customHeight="1" x14ac:dyDescent="0.25"/>
    <row r="3333" ht="14.25" customHeight="1" x14ac:dyDescent="0.25"/>
    <row r="3334" ht="14.25" customHeight="1" x14ac:dyDescent="0.25"/>
    <row r="3335" ht="14.25" customHeight="1" x14ac:dyDescent="0.25"/>
    <row r="3336" ht="14.25" customHeight="1" x14ac:dyDescent="0.25"/>
    <row r="3337" ht="14.25" customHeight="1" x14ac:dyDescent="0.25"/>
    <row r="3338" ht="14.25" customHeight="1" x14ac:dyDescent="0.25"/>
    <row r="3339" ht="14.25" customHeight="1" x14ac:dyDescent="0.25"/>
    <row r="3340" ht="14.25" customHeight="1" x14ac:dyDescent="0.25"/>
    <row r="3341" ht="14.25" customHeight="1" x14ac:dyDescent="0.25"/>
    <row r="3342" ht="14.25" customHeight="1" x14ac:dyDescent="0.25"/>
    <row r="3343" ht="14.25" customHeight="1" x14ac:dyDescent="0.25"/>
    <row r="3344" ht="14.25" customHeight="1" x14ac:dyDescent="0.25"/>
    <row r="3345" ht="14.25" customHeight="1" x14ac:dyDescent="0.25"/>
    <row r="3346" ht="14.25" customHeight="1" x14ac:dyDescent="0.25"/>
    <row r="3347" ht="14.25" customHeight="1" x14ac:dyDescent="0.25"/>
    <row r="3348" ht="14.25" customHeight="1" x14ac:dyDescent="0.25"/>
    <row r="3349" ht="14.25" customHeight="1" x14ac:dyDescent="0.25"/>
    <row r="3350" ht="14.25" customHeight="1" x14ac:dyDescent="0.25"/>
    <row r="3351" ht="14.25" customHeight="1" x14ac:dyDescent="0.25"/>
    <row r="3352" ht="14.25" customHeight="1" x14ac:dyDescent="0.25"/>
    <row r="3353" ht="14.25" customHeight="1" x14ac:dyDescent="0.25"/>
    <row r="3354" ht="14.25" customHeight="1" x14ac:dyDescent="0.25"/>
    <row r="3355" ht="14.25" customHeight="1" x14ac:dyDescent="0.25"/>
    <row r="3356" ht="14.25" customHeight="1" x14ac:dyDescent="0.25"/>
    <row r="3357" ht="14.25" customHeight="1" x14ac:dyDescent="0.25"/>
    <row r="3358" ht="14.25" customHeight="1" x14ac:dyDescent="0.25"/>
    <row r="3359" ht="14.25" customHeight="1" x14ac:dyDescent="0.25"/>
    <row r="3360" ht="14.25" customHeight="1" x14ac:dyDescent="0.25"/>
    <row r="3361" ht="14.25" customHeight="1" x14ac:dyDescent="0.25"/>
    <row r="3362" ht="14.25" customHeight="1" x14ac:dyDescent="0.25"/>
    <row r="3363" ht="14.25" customHeight="1" x14ac:dyDescent="0.25"/>
    <row r="3364" ht="14.25" customHeight="1" x14ac:dyDescent="0.25"/>
    <row r="3365" ht="14.25" customHeight="1" x14ac:dyDescent="0.25"/>
    <row r="3366" ht="14.25" customHeight="1" x14ac:dyDescent="0.25"/>
    <row r="3367" ht="14.25" customHeight="1" x14ac:dyDescent="0.25"/>
    <row r="3368" ht="14.25" customHeight="1" x14ac:dyDescent="0.25"/>
    <row r="3369" ht="14.25" customHeight="1" x14ac:dyDescent="0.25"/>
    <row r="3370" ht="14.25" customHeight="1" x14ac:dyDescent="0.25"/>
    <row r="3371" ht="14.25" customHeight="1" x14ac:dyDescent="0.25"/>
    <row r="3372" ht="14.25" customHeight="1" x14ac:dyDescent="0.25"/>
    <row r="3373" ht="14.25" customHeight="1" x14ac:dyDescent="0.25"/>
    <row r="3374" ht="14.25" customHeight="1" x14ac:dyDescent="0.25"/>
    <row r="3375" ht="14.25" customHeight="1" x14ac:dyDescent="0.25"/>
    <row r="3376" ht="14.25" customHeight="1" x14ac:dyDescent="0.25"/>
    <row r="3377" ht="14.25" customHeight="1" x14ac:dyDescent="0.25"/>
    <row r="3378" ht="14.25" customHeight="1" x14ac:dyDescent="0.25"/>
    <row r="3379" ht="14.25" customHeight="1" x14ac:dyDescent="0.25"/>
    <row r="3380" ht="14.25" customHeight="1" x14ac:dyDescent="0.25"/>
    <row r="3381" ht="14.25" customHeight="1" x14ac:dyDescent="0.25"/>
    <row r="3382" ht="14.25" customHeight="1" x14ac:dyDescent="0.25"/>
    <row r="3383" ht="14.25" customHeight="1" x14ac:dyDescent="0.25"/>
    <row r="3384" ht="14.25" customHeight="1" x14ac:dyDescent="0.25"/>
    <row r="3385" ht="14.25" customHeight="1" x14ac:dyDescent="0.25"/>
    <row r="3386" ht="14.25" customHeight="1" x14ac:dyDescent="0.25"/>
    <row r="3387" ht="14.25" customHeight="1" x14ac:dyDescent="0.25"/>
    <row r="3388" ht="14.25" customHeight="1" x14ac:dyDescent="0.25"/>
    <row r="3389" ht="14.25" customHeight="1" x14ac:dyDescent="0.25"/>
    <row r="3390" ht="14.25" customHeight="1" x14ac:dyDescent="0.25"/>
    <row r="3391" ht="14.25" customHeight="1" x14ac:dyDescent="0.25"/>
    <row r="3392" ht="14.25" customHeight="1" x14ac:dyDescent="0.25"/>
    <row r="3393" ht="14.25" customHeight="1" x14ac:dyDescent="0.25"/>
    <row r="3394" ht="14.25" customHeight="1" x14ac:dyDescent="0.25"/>
    <row r="3395" ht="14.25" customHeight="1" x14ac:dyDescent="0.25"/>
    <row r="3396" ht="14.25" customHeight="1" x14ac:dyDescent="0.25"/>
    <row r="3397" ht="14.25" customHeight="1" x14ac:dyDescent="0.25"/>
    <row r="3398" ht="14.25" customHeight="1" x14ac:dyDescent="0.25"/>
    <row r="3399" ht="14.25" customHeight="1" x14ac:dyDescent="0.25"/>
    <row r="3400" ht="14.25" customHeight="1" x14ac:dyDescent="0.25"/>
    <row r="3401" ht="14.25" customHeight="1" x14ac:dyDescent="0.25"/>
    <row r="3402" ht="14.25" customHeight="1" x14ac:dyDescent="0.25"/>
    <row r="3403" ht="14.25" customHeight="1" x14ac:dyDescent="0.25"/>
    <row r="3404" ht="14.25" customHeight="1" x14ac:dyDescent="0.25"/>
    <row r="3405" ht="14.25" customHeight="1" x14ac:dyDescent="0.25"/>
    <row r="3406" ht="14.25" customHeight="1" x14ac:dyDescent="0.25"/>
    <row r="3407" ht="14.25" customHeight="1" x14ac:dyDescent="0.25"/>
    <row r="3408" ht="14.25" customHeight="1" x14ac:dyDescent="0.25"/>
    <row r="3409" ht="14.25" customHeight="1" x14ac:dyDescent="0.25"/>
    <row r="3410" ht="14.25" customHeight="1" x14ac:dyDescent="0.25"/>
    <row r="3411" ht="14.25" customHeight="1" x14ac:dyDescent="0.25"/>
    <row r="3412" ht="14.25" customHeight="1" x14ac:dyDescent="0.25"/>
    <row r="3413" ht="14.25" customHeight="1" x14ac:dyDescent="0.25"/>
    <row r="3414" ht="14.25" customHeight="1" x14ac:dyDescent="0.25"/>
    <row r="3415" ht="14.25" customHeight="1" x14ac:dyDescent="0.25"/>
    <row r="3416" ht="14.25" customHeight="1" x14ac:dyDescent="0.25"/>
    <row r="3417" ht="14.25" customHeight="1" x14ac:dyDescent="0.25"/>
    <row r="3418" ht="14.25" customHeight="1" x14ac:dyDescent="0.25"/>
    <row r="3419" ht="14.25" customHeight="1" x14ac:dyDescent="0.25"/>
    <row r="3420" ht="14.25" customHeight="1" x14ac:dyDescent="0.25"/>
    <row r="3421" ht="14.25" customHeight="1" x14ac:dyDescent="0.25"/>
    <row r="3422" ht="14.25" customHeight="1" x14ac:dyDescent="0.25"/>
    <row r="3423" ht="14.25" customHeight="1" x14ac:dyDescent="0.25"/>
    <row r="3424" ht="14.25" customHeight="1" x14ac:dyDescent="0.25"/>
    <row r="3425" ht="14.25" customHeight="1" x14ac:dyDescent="0.25"/>
    <row r="3426" ht="14.25" customHeight="1" x14ac:dyDescent="0.25"/>
    <row r="3427" ht="14.25" customHeight="1" x14ac:dyDescent="0.25"/>
    <row r="3428" ht="14.25" customHeight="1" x14ac:dyDescent="0.25"/>
    <row r="3429" ht="14.25" customHeight="1" x14ac:dyDescent="0.25"/>
    <row r="3430" ht="14.25" customHeight="1" x14ac:dyDescent="0.25"/>
    <row r="3431" ht="14.25" customHeight="1" x14ac:dyDescent="0.25"/>
    <row r="3432" ht="14.25" customHeight="1" x14ac:dyDescent="0.25"/>
    <row r="3433" ht="14.25" customHeight="1" x14ac:dyDescent="0.25"/>
    <row r="3434" ht="14.25" customHeight="1" x14ac:dyDescent="0.25"/>
    <row r="3435" ht="14.25" customHeight="1" x14ac:dyDescent="0.25"/>
    <row r="3436" ht="14.25" customHeight="1" x14ac:dyDescent="0.25"/>
    <row r="3437" ht="14.25" customHeight="1" x14ac:dyDescent="0.25"/>
    <row r="3438" ht="14.25" customHeight="1" x14ac:dyDescent="0.25"/>
    <row r="3439" ht="14.25" customHeight="1" x14ac:dyDescent="0.25"/>
    <row r="3440" ht="14.25" customHeight="1" x14ac:dyDescent="0.25"/>
    <row r="3441" ht="14.25" customHeight="1" x14ac:dyDescent="0.25"/>
    <row r="3442" ht="14.25" customHeight="1" x14ac:dyDescent="0.25"/>
    <row r="3443" ht="14.25" customHeight="1" x14ac:dyDescent="0.25"/>
    <row r="3444" ht="14.25" customHeight="1" x14ac:dyDescent="0.25"/>
    <row r="3445" ht="14.25" customHeight="1" x14ac:dyDescent="0.25"/>
    <row r="3446" ht="14.25" customHeight="1" x14ac:dyDescent="0.25"/>
    <row r="3447" ht="14.25" customHeight="1" x14ac:dyDescent="0.25"/>
    <row r="3448" ht="14.25" customHeight="1" x14ac:dyDescent="0.25"/>
    <row r="3449" ht="14.25" customHeight="1" x14ac:dyDescent="0.25"/>
    <row r="3450" ht="14.25" customHeight="1" x14ac:dyDescent="0.25"/>
    <row r="3451" ht="14.25" customHeight="1" x14ac:dyDescent="0.25"/>
    <row r="3452" ht="14.25" customHeight="1" x14ac:dyDescent="0.25"/>
    <row r="3453" ht="14.25" customHeight="1" x14ac:dyDescent="0.25"/>
    <row r="3454" ht="14.25" customHeight="1" x14ac:dyDescent="0.25"/>
    <row r="3455" ht="14.25" customHeight="1" x14ac:dyDescent="0.25"/>
    <row r="3456" ht="14.25" customHeight="1" x14ac:dyDescent="0.25"/>
    <row r="3457" ht="14.25" customHeight="1" x14ac:dyDescent="0.25"/>
    <row r="3458" ht="14.25" customHeight="1" x14ac:dyDescent="0.25"/>
    <row r="3459" ht="14.25" customHeight="1" x14ac:dyDescent="0.25"/>
    <row r="3460" ht="14.25" customHeight="1" x14ac:dyDescent="0.25"/>
    <row r="3461" ht="14.25" customHeight="1" x14ac:dyDescent="0.25"/>
    <row r="3462" ht="14.25" customHeight="1" x14ac:dyDescent="0.25"/>
    <row r="3463" ht="14.25" customHeight="1" x14ac:dyDescent="0.25"/>
    <row r="3464" ht="14.25" customHeight="1" x14ac:dyDescent="0.25"/>
    <row r="3465" ht="14.25" customHeight="1" x14ac:dyDescent="0.25"/>
    <row r="3466" ht="14.25" customHeight="1" x14ac:dyDescent="0.25"/>
    <row r="3467" ht="14.25" customHeight="1" x14ac:dyDescent="0.25"/>
    <row r="3468" ht="14.25" customHeight="1" x14ac:dyDescent="0.25"/>
    <row r="3469" ht="14.25" customHeight="1" x14ac:dyDescent="0.25"/>
    <row r="3470" ht="14.25" customHeight="1" x14ac:dyDescent="0.25"/>
    <row r="3471" ht="14.25" customHeight="1" x14ac:dyDescent="0.25"/>
    <row r="3472" ht="14.25" customHeight="1" x14ac:dyDescent="0.25"/>
    <row r="3473" ht="14.25" customHeight="1" x14ac:dyDescent="0.25"/>
    <row r="3474" ht="14.25" customHeight="1" x14ac:dyDescent="0.25"/>
    <row r="3475" ht="14.25" customHeight="1" x14ac:dyDescent="0.25"/>
    <row r="3476" ht="14.25" customHeight="1" x14ac:dyDescent="0.25"/>
    <row r="3477" ht="14.25" customHeight="1" x14ac:dyDescent="0.25"/>
    <row r="3478" ht="14.25" customHeight="1" x14ac:dyDescent="0.25"/>
    <row r="3479" ht="14.25" customHeight="1" x14ac:dyDescent="0.25"/>
    <row r="3480" ht="14.25" customHeight="1" x14ac:dyDescent="0.25"/>
    <row r="3481" ht="14.25" customHeight="1" x14ac:dyDescent="0.25"/>
    <row r="3482" ht="14.25" customHeight="1" x14ac:dyDescent="0.25"/>
    <row r="3483" ht="14.25" customHeight="1" x14ac:dyDescent="0.25"/>
    <row r="3484" ht="14.25" customHeight="1" x14ac:dyDescent="0.25"/>
    <row r="3485" ht="14.25" customHeight="1" x14ac:dyDescent="0.25"/>
    <row r="3486" ht="14.25" customHeight="1" x14ac:dyDescent="0.25"/>
    <row r="3487" ht="14.25" customHeight="1" x14ac:dyDescent="0.25"/>
    <row r="3488" ht="14.25" customHeight="1" x14ac:dyDescent="0.25"/>
    <row r="3489" ht="14.25" customHeight="1" x14ac:dyDescent="0.25"/>
    <row r="3490" ht="14.25" customHeight="1" x14ac:dyDescent="0.25"/>
    <row r="3491" ht="14.25" customHeight="1" x14ac:dyDescent="0.25"/>
    <row r="3492" ht="14.25" customHeight="1" x14ac:dyDescent="0.25"/>
    <row r="3493" ht="14.25" customHeight="1" x14ac:dyDescent="0.25"/>
    <row r="3494" ht="14.25" customHeight="1" x14ac:dyDescent="0.25"/>
    <row r="3495" ht="14.25" customHeight="1" x14ac:dyDescent="0.25"/>
    <row r="3496" ht="14.25" customHeight="1" x14ac:dyDescent="0.25"/>
    <row r="3497" ht="14.25" customHeight="1" x14ac:dyDescent="0.25"/>
    <row r="3498" ht="14.25" customHeight="1" x14ac:dyDescent="0.25"/>
    <row r="3499" ht="14.25" customHeight="1" x14ac:dyDescent="0.25"/>
    <row r="3500" ht="14.25" customHeight="1" x14ac:dyDescent="0.25"/>
    <row r="3501" ht="14.25" customHeight="1" x14ac:dyDescent="0.25"/>
    <row r="3502" ht="14.25" customHeight="1" x14ac:dyDescent="0.25"/>
    <row r="3503" ht="14.25" customHeight="1" x14ac:dyDescent="0.25"/>
    <row r="3504" ht="14.25" customHeight="1" x14ac:dyDescent="0.25"/>
    <row r="3505" ht="14.25" customHeight="1" x14ac:dyDescent="0.25"/>
    <row r="3506" ht="14.25" customHeight="1" x14ac:dyDescent="0.25"/>
    <row r="3507" ht="14.25" customHeight="1" x14ac:dyDescent="0.25"/>
    <row r="3508" ht="14.25" customHeight="1" x14ac:dyDescent="0.25"/>
    <row r="3509" ht="14.25" customHeight="1" x14ac:dyDescent="0.25"/>
    <row r="3510" ht="14.25" customHeight="1" x14ac:dyDescent="0.25"/>
    <row r="3511" ht="14.25" customHeight="1" x14ac:dyDescent="0.25"/>
    <row r="3512" ht="14.25" customHeight="1" x14ac:dyDescent="0.25"/>
    <row r="3513" ht="14.25" customHeight="1" x14ac:dyDescent="0.25"/>
    <row r="3514" ht="14.25" customHeight="1" x14ac:dyDescent="0.25"/>
    <row r="3515" ht="14.25" customHeight="1" x14ac:dyDescent="0.25"/>
    <row r="3516" ht="14.25" customHeight="1" x14ac:dyDescent="0.25"/>
    <row r="3517" ht="14.25" customHeight="1" x14ac:dyDescent="0.25"/>
    <row r="3518" ht="14.25" customHeight="1" x14ac:dyDescent="0.25"/>
    <row r="3519" ht="14.25" customHeight="1" x14ac:dyDescent="0.25"/>
    <row r="3520" ht="14.25" customHeight="1" x14ac:dyDescent="0.25"/>
    <row r="3521" ht="14.25" customHeight="1" x14ac:dyDescent="0.25"/>
    <row r="3522" ht="14.25" customHeight="1" x14ac:dyDescent="0.25"/>
    <row r="3523" ht="14.25" customHeight="1" x14ac:dyDescent="0.25"/>
    <row r="3524" ht="14.25" customHeight="1" x14ac:dyDescent="0.25"/>
    <row r="3525" ht="14.25" customHeight="1" x14ac:dyDescent="0.25"/>
    <row r="3526" ht="14.25" customHeight="1" x14ac:dyDescent="0.25"/>
    <row r="3527" ht="14.25" customHeight="1" x14ac:dyDescent="0.25"/>
    <row r="3528" ht="14.25" customHeight="1" x14ac:dyDescent="0.25"/>
    <row r="3529" ht="14.25" customHeight="1" x14ac:dyDescent="0.25"/>
    <row r="3530" ht="14.25" customHeight="1" x14ac:dyDescent="0.25"/>
    <row r="3531" ht="14.25" customHeight="1" x14ac:dyDescent="0.25"/>
    <row r="3532" ht="14.25" customHeight="1" x14ac:dyDescent="0.25"/>
    <row r="3533" ht="14.25" customHeight="1" x14ac:dyDescent="0.25"/>
    <row r="3534" ht="14.25" customHeight="1" x14ac:dyDescent="0.25"/>
    <row r="3535" ht="14.25" customHeight="1" x14ac:dyDescent="0.25"/>
    <row r="3536" ht="14.25" customHeight="1" x14ac:dyDescent="0.25"/>
    <row r="3537" ht="14.25" customHeight="1" x14ac:dyDescent="0.25"/>
    <row r="3538" ht="14.25" customHeight="1" x14ac:dyDescent="0.25"/>
    <row r="3539" ht="14.25" customHeight="1" x14ac:dyDescent="0.25"/>
    <row r="3540" ht="14.25" customHeight="1" x14ac:dyDescent="0.25"/>
    <row r="3541" ht="14.25" customHeight="1" x14ac:dyDescent="0.25"/>
    <row r="3542" ht="14.25" customHeight="1" x14ac:dyDescent="0.25"/>
    <row r="3543" ht="14.25" customHeight="1" x14ac:dyDescent="0.25"/>
    <row r="3544" ht="14.25" customHeight="1" x14ac:dyDescent="0.25"/>
    <row r="3545" ht="14.25" customHeight="1" x14ac:dyDescent="0.25"/>
    <row r="3546" ht="14.25" customHeight="1" x14ac:dyDescent="0.25"/>
    <row r="3547" ht="14.25" customHeight="1" x14ac:dyDescent="0.25"/>
    <row r="3548" ht="14.25" customHeight="1" x14ac:dyDescent="0.25"/>
    <row r="3549" ht="14.25" customHeight="1" x14ac:dyDescent="0.25"/>
    <row r="3550" ht="14.25" customHeight="1" x14ac:dyDescent="0.25"/>
    <row r="3551" ht="14.25" customHeight="1" x14ac:dyDescent="0.25"/>
    <row r="3552" ht="14.25" customHeight="1" x14ac:dyDescent="0.25"/>
    <row r="3553" ht="14.25" customHeight="1" x14ac:dyDescent="0.25"/>
    <row r="3554" ht="14.25" customHeight="1" x14ac:dyDescent="0.25"/>
    <row r="3555" ht="14.25" customHeight="1" x14ac:dyDescent="0.25"/>
    <row r="3556" ht="14.25" customHeight="1" x14ac:dyDescent="0.25"/>
    <row r="3557" ht="14.25" customHeight="1" x14ac:dyDescent="0.25"/>
    <row r="3558" ht="14.25" customHeight="1" x14ac:dyDescent="0.25"/>
    <row r="3559" ht="14.25" customHeight="1" x14ac:dyDescent="0.25"/>
    <row r="3560" ht="14.25" customHeight="1" x14ac:dyDescent="0.25"/>
    <row r="3561" ht="14.25" customHeight="1" x14ac:dyDescent="0.25"/>
    <row r="3562" ht="14.25" customHeight="1" x14ac:dyDescent="0.25"/>
    <row r="3563" ht="14.25" customHeight="1" x14ac:dyDescent="0.25"/>
    <row r="3564" ht="14.25" customHeight="1" x14ac:dyDescent="0.25"/>
    <row r="3565" ht="14.25" customHeight="1" x14ac:dyDescent="0.25"/>
    <row r="3566" ht="14.25" customHeight="1" x14ac:dyDescent="0.25"/>
    <row r="3567" ht="14.25" customHeight="1" x14ac:dyDescent="0.25"/>
    <row r="3568" ht="14.25" customHeight="1" x14ac:dyDescent="0.25"/>
    <row r="3569" ht="14.25" customHeight="1" x14ac:dyDescent="0.25"/>
    <row r="3570" ht="14.25" customHeight="1" x14ac:dyDescent="0.25"/>
    <row r="3571" ht="14.25" customHeight="1" x14ac:dyDescent="0.25"/>
    <row r="3572" ht="14.25" customHeight="1" x14ac:dyDescent="0.25"/>
    <row r="3573" ht="14.25" customHeight="1" x14ac:dyDescent="0.25"/>
    <row r="3574" ht="14.25" customHeight="1" x14ac:dyDescent="0.25"/>
    <row r="3575" ht="14.25" customHeight="1" x14ac:dyDescent="0.25"/>
    <row r="3576" ht="14.25" customHeight="1" x14ac:dyDescent="0.25"/>
    <row r="3577" ht="14.25" customHeight="1" x14ac:dyDescent="0.25"/>
    <row r="3578" ht="14.25" customHeight="1" x14ac:dyDescent="0.25"/>
    <row r="3579" ht="14.25" customHeight="1" x14ac:dyDescent="0.25"/>
    <row r="3580" ht="14.25" customHeight="1" x14ac:dyDescent="0.25"/>
    <row r="3581" ht="14.25" customHeight="1" x14ac:dyDescent="0.25"/>
    <row r="3582" ht="14.25" customHeight="1" x14ac:dyDescent="0.25"/>
    <row r="3583" ht="14.25" customHeight="1" x14ac:dyDescent="0.25"/>
    <row r="3584" ht="14.25" customHeight="1" x14ac:dyDescent="0.25"/>
    <row r="3585" ht="14.25" customHeight="1" x14ac:dyDescent="0.25"/>
    <row r="3586" ht="14.25" customHeight="1" x14ac:dyDescent="0.25"/>
    <row r="3587" ht="14.25" customHeight="1" x14ac:dyDescent="0.25"/>
    <row r="3588" ht="14.25" customHeight="1" x14ac:dyDescent="0.25"/>
    <row r="3589" ht="14.25" customHeight="1" x14ac:dyDescent="0.25"/>
    <row r="3590" ht="14.25" customHeight="1" x14ac:dyDescent="0.25"/>
    <row r="3591" ht="14.25" customHeight="1" x14ac:dyDescent="0.25"/>
    <row r="3592" ht="14.25" customHeight="1" x14ac:dyDescent="0.25"/>
    <row r="3593" ht="14.25" customHeight="1" x14ac:dyDescent="0.25"/>
    <row r="3594" ht="14.25" customHeight="1" x14ac:dyDescent="0.25"/>
    <row r="3595" ht="14.25" customHeight="1" x14ac:dyDescent="0.25"/>
    <row r="3596" ht="14.25" customHeight="1" x14ac:dyDescent="0.25"/>
    <row r="3597" ht="14.25" customHeight="1" x14ac:dyDescent="0.25"/>
    <row r="3598" ht="14.25" customHeight="1" x14ac:dyDescent="0.25"/>
    <row r="3599" ht="14.25" customHeight="1" x14ac:dyDescent="0.25"/>
    <row r="3600" ht="14.25" customHeight="1" x14ac:dyDescent="0.25"/>
    <row r="3601" ht="14.25" customHeight="1" x14ac:dyDescent="0.25"/>
    <row r="3602" ht="14.25" customHeight="1" x14ac:dyDescent="0.25"/>
    <row r="3603" ht="14.25" customHeight="1" x14ac:dyDescent="0.25"/>
    <row r="3604" ht="14.25" customHeight="1" x14ac:dyDescent="0.25"/>
    <row r="3605" ht="14.25" customHeight="1" x14ac:dyDescent="0.25"/>
    <row r="3606" ht="14.25" customHeight="1" x14ac:dyDescent="0.25"/>
    <row r="3607" ht="14.25" customHeight="1" x14ac:dyDescent="0.25"/>
    <row r="3608" ht="14.25" customHeight="1" x14ac:dyDescent="0.25"/>
    <row r="3609" ht="14.25" customHeight="1" x14ac:dyDescent="0.25"/>
    <row r="3610" ht="14.25" customHeight="1" x14ac:dyDescent="0.25"/>
    <row r="3611" ht="14.25" customHeight="1" x14ac:dyDescent="0.25"/>
    <row r="3612" ht="14.25" customHeight="1" x14ac:dyDescent="0.25"/>
    <row r="3613" ht="14.25" customHeight="1" x14ac:dyDescent="0.25"/>
    <row r="3614" ht="14.25" customHeight="1" x14ac:dyDescent="0.25"/>
    <row r="3615" ht="14.25" customHeight="1" x14ac:dyDescent="0.25"/>
    <row r="3616" ht="14.25" customHeight="1" x14ac:dyDescent="0.25"/>
    <row r="3617" ht="14.25" customHeight="1" x14ac:dyDescent="0.25"/>
    <row r="3618" ht="14.25" customHeight="1" x14ac:dyDescent="0.25"/>
    <row r="3619" ht="14.25" customHeight="1" x14ac:dyDescent="0.25"/>
    <row r="3620" ht="14.25" customHeight="1" x14ac:dyDescent="0.25"/>
    <row r="3621" ht="14.25" customHeight="1" x14ac:dyDescent="0.25"/>
    <row r="3622" ht="14.25" customHeight="1" x14ac:dyDescent="0.25"/>
    <row r="3623" ht="14.25" customHeight="1" x14ac:dyDescent="0.25"/>
    <row r="3624" ht="14.25" customHeight="1" x14ac:dyDescent="0.25"/>
    <row r="3625" ht="14.25" customHeight="1" x14ac:dyDescent="0.25"/>
    <row r="3626" ht="14.25" customHeight="1" x14ac:dyDescent="0.25"/>
    <row r="3627" ht="14.25" customHeight="1" x14ac:dyDescent="0.25"/>
    <row r="3628" ht="14.25" customHeight="1" x14ac:dyDescent="0.25"/>
    <row r="3629" ht="14.25" customHeight="1" x14ac:dyDescent="0.25"/>
    <row r="3630" ht="14.25" customHeight="1" x14ac:dyDescent="0.25"/>
    <row r="3631" ht="14.25" customHeight="1" x14ac:dyDescent="0.25"/>
    <row r="3632" ht="14.25" customHeight="1" x14ac:dyDescent="0.25"/>
    <row r="3633" ht="14.25" customHeight="1" x14ac:dyDescent="0.25"/>
    <row r="3634" ht="14.25" customHeight="1" x14ac:dyDescent="0.25"/>
    <row r="3635" ht="14.25" customHeight="1" x14ac:dyDescent="0.25"/>
    <row r="3636" ht="14.25" customHeight="1" x14ac:dyDescent="0.25"/>
    <row r="3637" ht="14.25" customHeight="1" x14ac:dyDescent="0.25"/>
    <row r="3638" ht="14.25" customHeight="1" x14ac:dyDescent="0.25"/>
    <row r="3639" ht="14.25" customHeight="1" x14ac:dyDescent="0.25"/>
    <row r="3640" ht="14.25" customHeight="1" x14ac:dyDescent="0.25"/>
    <row r="3641" ht="14.25" customHeight="1" x14ac:dyDescent="0.25"/>
    <row r="3642" ht="14.25" customHeight="1" x14ac:dyDescent="0.25"/>
    <row r="3643" ht="14.25" customHeight="1" x14ac:dyDescent="0.25"/>
    <row r="3644" ht="14.25" customHeight="1" x14ac:dyDescent="0.25"/>
    <row r="3645" ht="14.25" customHeight="1" x14ac:dyDescent="0.25"/>
    <row r="3646" ht="14.25" customHeight="1" x14ac:dyDescent="0.25"/>
    <row r="3647" ht="14.25" customHeight="1" x14ac:dyDescent="0.25"/>
    <row r="3648" ht="14.25" customHeight="1" x14ac:dyDescent="0.25"/>
    <row r="3649" ht="14.25" customHeight="1" x14ac:dyDescent="0.25"/>
    <row r="3650" ht="14.25" customHeight="1" x14ac:dyDescent="0.25"/>
    <row r="3651" ht="14.25" customHeight="1" x14ac:dyDescent="0.25"/>
    <row r="3652" ht="14.25" customHeight="1" x14ac:dyDescent="0.25"/>
    <row r="3653" ht="14.25" customHeight="1" x14ac:dyDescent="0.25"/>
    <row r="3654" ht="14.25" customHeight="1" x14ac:dyDescent="0.25"/>
    <row r="3655" ht="14.25" customHeight="1" x14ac:dyDescent="0.25"/>
    <row r="3656" ht="14.25" customHeight="1" x14ac:dyDescent="0.25"/>
    <row r="3657" ht="14.25" customHeight="1" x14ac:dyDescent="0.25"/>
    <row r="3658" ht="14.25" customHeight="1" x14ac:dyDescent="0.25"/>
    <row r="3659" ht="14.25" customHeight="1" x14ac:dyDescent="0.25"/>
    <row r="3660" ht="14.25" customHeight="1" x14ac:dyDescent="0.25"/>
    <row r="3661" ht="14.25" customHeight="1" x14ac:dyDescent="0.25"/>
    <row r="3662" ht="14.25" customHeight="1" x14ac:dyDescent="0.25"/>
    <row r="3663" ht="14.25" customHeight="1" x14ac:dyDescent="0.25"/>
    <row r="3664" ht="14.25" customHeight="1" x14ac:dyDescent="0.25"/>
    <row r="3665" ht="14.25" customHeight="1" x14ac:dyDescent="0.25"/>
    <row r="3666" ht="14.25" customHeight="1" x14ac:dyDescent="0.25"/>
    <row r="3667" ht="14.25" customHeight="1" x14ac:dyDescent="0.25"/>
    <row r="3668" ht="14.25" customHeight="1" x14ac:dyDescent="0.25"/>
    <row r="3669" ht="14.25" customHeight="1" x14ac:dyDescent="0.25"/>
    <row r="3670" ht="14.25" customHeight="1" x14ac:dyDescent="0.25"/>
    <row r="3671" ht="14.25" customHeight="1" x14ac:dyDescent="0.25"/>
    <row r="3672" ht="14.25" customHeight="1" x14ac:dyDescent="0.25"/>
    <row r="3673" ht="14.25" customHeight="1" x14ac:dyDescent="0.25"/>
    <row r="3674" ht="14.25" customHeight="1" x14ac:dyDescent="0.25"/>
    <row r="3675" ht="14.25" customHeight="1" x14ac:dyDescent="0.25"/>
    <row r="3676" ht="14.25" customHeight="1" x14ac:dyDescent="0.25"/>
    <row r="3677" ht="14.25" customHeight="1" x14ac:dyDescent="0.25"/>
    <row r="3678" ht="14.25" customHeight="1" x14ac:dyDescent="0.25"/>
    <row r="3679" ht="14.25" customHeight="1" x14ac:dyDescent="0.25"/>
    <row r="3680" ht="14.25" customHeight="1" x14ac:dyDescent="0.25"/>
    <row r="3681" ht="14.25" customHeight="1" x14ac:dyDescent="0.25"/>
    <row r="3682" ht="14.25" customHeight="1" x14ac:dyDescent="0.25"/>
    <row r="3683" ht="14.25" customHeight="1" x14ac:dyDescent="0.25"/>
    <row r="3684" ht="14.25" customHeight="1" x14ac:dyDescent="0.25"/>
    <row r="3685" ht="14.25" customHeight="1" x14ac:dyDescent="0.25"/>
    <row r="3686" ht="14.25" customHeight="1" x14ac:dyDescent="0.25"/>
    <row r="3687" ht="14.25" customHeight="1" x14ac:dyDescent="0.25"/>
    <row r="3688" ht="14.25" customHeight="1" x14ac:dyDescent="0.25"/>
    <row r="3689" ht="14.25" customHeight="1" x14ac:dyDescent="0.25"/>
    <row r="3690" ht="14.25" customHeight="1" x14ac:dyDescent="0.25"/>
    <row r="3691" ht="14.25" customHeight="1" x14ac:dyDescent="0.25"/>
    <row r="3692" ht="14.25" customHeight="1" x14ac:dyDescent="0.25"/>
    <row r="3693" ht="14.25" customHeight="1" x14ac:dyDescent="0.25"/>
    <row r="3694" ht="14.25" customHeight="1" x14ac:dyDescent="0.25"/>
    <row r="3695" ht="14.25" customHeight="1" x14ac:dyDescent="0.25"/>
    <row r="3696" ht="14.25" customHeight="1" x14ac:dyDescent="0.25"/>
    <row r="3697" ht="14.25" customHeight="1" x14ac:dyDescent="0.25"/>
    <row r="3698" ht="14.25" customHeight="1" x14ac:dyDescent="0.25"/>
    <row r="3699" ht="14.25" customHeight="1" x14ac:dyDescent="0.25"/>
    <row r="3700" ht="14.25" customHeight="1" x14ac:dyDescent="0.25"/>
    <row r="3701" ht="14.25" customHeight="1" x14ac:dyDescent="0.25"/>
    <row r="3702" ht="14.25" customHeight="1" x14ac:dyDescent="0.25"/>
    <row r="3703" ht="14.25" customHeight="1" x14ac:dyDescent="0.25"/>
    <row r="3704" ht="14.25" customHeight="1" x14ac:dyDescent="0.25"/>
    <row r="3705" ht="14.25" customHeight="1" x14ac:dyDescent="0.25"/>
    <row r="3706" ht="14.25" customHeight="1" x14ac:dyDescent="0.25"/>
    <row r="3707" ht="14.25" customHeight="1" x14ac:dyDescent="0.25"/>
    <row r="3708" ht="14.25" customHeight="1" x14ac:dyDescent="0.25"/>
    <row r="3709" ht="14.25" customHeight="1" x14ac:dyDescent="0.25"/>
    <row r="3710" ht="14.25" customHeight="1" x14ac:dyDescent="0.25"/>
    <row r="3711" ht="14.25" customHeight="1" x14ac:dyDescent="0.25"/>
    <row r="3712" ht="14.25" customHeight="1" x14ac:dyDescent="0.25"/>
    <row r="3713" ht="14.25" customHeight="1" x14ac:dyDescent="0.25"/>
    <row r="3714" ht="14.25" customHeight="1" x14ac:dyDescent="0.25"/>
    <row r="3715" ht="14.25" customHeight="1" x14ac:dyDescent="0.25"/>
    <row r="3716" ht="14.25" customHeight="1" x14ac:dyDescent="0.25"/>
    <row r="3717" ht="14.25" customHeight="1" x14ac:dyDescent="0.25"/>
    <row r="3718" ht="14.25" customHeight="1" x14ac:dyDescent="0.25"/>
    <row r="3719" ht="14.25" customHeight="1" x14ac:dyDescent="0.25"/>
    <row r="3720" ht="14.25" customHeight="1" x14ac:dyDescent="0.25"/>
    <row r="3721" ht="14.25" customHeight="1" x14ac:dyDescent="0.25"/>
    <row r="3722" ht="14.25" customHeight="1" x14ac:dyDescent="0.25"/>
    <row r="3723" ht="14.25" customHeight="1" x14ac:dyDescent="0.25"/>
    <row r="3724" ht="14.25" customHeight="1" x14ac:dyDescent="0.25"/>
    <row r="3725" ht="14.25" customHeight="1" x14ac:dyDescent="0.25"/>
    <row r="3726" ht="14.25" customHeight="1" x14ac:dyDescent="0.25"/>
    <row r="3727" ht="14.25" customHeight="1" x14ac:dyDescent="0.25"/>
    <row r="3728" ht="14.25" customHeight="1" x14ac:dyDescent="0.25"/>
    <row r="3729" ht="14.25" customHeight="1" x14ac:dyDescent="0.25"/>
    <row r="3730" ht="14.25" customHeight="1" x14ac:dyDescent="0.25"/>
    <row r="3731" ht="14.25" customHeight="1" x14ac:dyDescent="0.25"/>
    <row r="3732" ht="14.25" customHeight="1" x14ac:dyDescent="0.25"/>
    <row r="3733" ht="14.25" customHeight="1" x14ac:dyDescent="0.25"/>
    <row r="3734" ht="14.25" customHeight="1" x14ac:dyDescent="0.25"/>
    <row r="3735" ht="14.25" customHeight="1" x14ac:dyDescent="0.25"/>
    <row r="3736" ht="14.25" customHeight="1" x14ac:dyDescent="0.25"/>
    <row r="3737" ht="14.25" customHeight="1" x14ac:dyDescent="0.25"/>
    <row r="3738" ht="14.25" customHeight="1" x14ac:dyDescent="0.25"/>
    <row r="3739" ht="14.25" customHeight="1" x14ac:dyDescent="0.25"/>
    <row r="3740" ht="14.25" customHeight="1" x14ac:dyDescent="0.25"/>
    <row r="3741" ht="14.25" customHeight="1" x14ac:dyDescent="0.25"/>
    <row r="3742" ht="14.25" customHeight="1" x14ac:dyDescent="0.25"/>
    <row r="3743" ht="14.25" customHeight="1" x14ac:dyDescent="0.25"/>
    <row r="3744" ht="14.25" customHeight="1" x14ac:dyDescent="0.25"/>
    <row r="3745" ht="14.25" customHeight="1" x14ac:dyDescent="0.25"/>
    <row r="3746" ht="14.25" customHeight="1" x14ac:dyDescent="0.25"/>
    <row r="3747" ht="14.25" customHeight="1" x14ac:dyDescent="0.25"/>
    <row r="3748" ht="14.25" customHeight="1" x14ac:dyDescent="0.25"/>
    <row r="3749" ht="14.25" customHeight="1" x14ac:dyDescent="0.25"/>
    <row r="3750" ht="14.25" customHeight="1" x14ac:dyDescent="0.25"/>
    <row r="3751" ht="14.25" customHeight="1" x14ac:dyDescent="0.25"/>
    <row r="3752" ht="14.25" customHeight="1" x14ac:dyDescent="0.25"/>
    <row r="3753" ht="14.25" customHeight="1" x14ac:dyDescent="0.25"/>
    <row r="3754" ht="14.25" customHeight="1" x14ac:dyDescent="0.25"/>
    <row r="3755" ht="14.25" customHeight="1" x14ac:dyDescent="0.25"/>
    <row r="3756" ht="14.25" customHeight="1" x14ac:dyDescent="0.25"/>
    <row r="3757" ht="14.25" customHeight="1" x14ac:dyDescent="0.25"/>
    <row r="3758" ht="14.25" customHeight="1" x14ac:dyDescent="0.25"/>
    <row r="3759" ht="14.25" customHeight="1" x14ac:dyDescent="0.25"/>
    <row r="3760" ht="14.25" customHeight="1" x14ac:dyDescent="0.25"/>
    <row r="3761" ht="14.25" customHeight="1" x14ac:dyDescent="0.25"/>
    <row r="3762" ht="14.25" customHeight="1" x14ac:dyDescent="0.25"/>
    <row r="3763" ht="14.25" customHeight="1" x14ac:dyDescent="0.25"/>
    <row r="3764" ht="14.25" customHeight="1" x14ac:dyDescent="0.25"/>
    <row r="3765" ht="14.25" customHeight="1" x14ac:dyDescent="0.25"/>
    <row r="3766" ht="14.25" customHeight="1" x14ac:dyDescent="0.25"/>
    <row r="3767" ht="14.25" customHeight="1" x14ac:dyDescent="0.25"/>
    <row r="3768" ht="14.25" customHeight="1" x14ac:dyDescent="0.25"/>
    <row r="3769" ht="14.25" customHeight="1" x14ac:dyDescent="0.25"/>
    <row r="3770" ht="14.25" customHeight="1" x14ac:dyDescent="0.25"/>
    <row r="3771" ht="14.25" customHeight="1" x14ac:dyDescent="0.25"/>
    <row r="3772" ht="14.25" customHeight="1" x14ac:dyDescent="0.25"/>
    <row r="3773" ht="14.25" customHeight="1" x14ac:dyDescent="0.25"/>
    <row r="3774" ht="14.25" customHeight="1" x14ac:dyDescent="0.25"/>
    <row r="3775" ht="14.25" customHeight="1" x14ac:dyDescent="0.25"/>
    <row r="3776" ht="14.25" customHeight="1" x14ac:dyDescent="0.25"/>
    <row r="3777" ht="14.25" customHeight="1" x14ac:dyDescent="0.25"/>
    <row r="3778" ht="14.25" customHeight="1" x14ac:dyDescent="0.25"/>
    <row r="3779" ht="14.25" customHeight="1" x14ac:dyDescent="0.25"/>
    <row r="3780" ht="14.25" customHeight="1" x14ac:dyDescent="0.25"/>
    <row r="3781" ht="14.25" customHeight="1" x14ac:dyDescent="0.25"/>
    <row r="3782" ht="14.25" customHeight="1" x14ac:dyDescent="0.25"/>
    <row r="3783" ht="14.25" customHeight="1" x14ac:dyDescent="0.25"/>
    <row r="3784" ht="14.25" customHeight="1" x14ac:dyDescent="0.25"/>
    <row r="3785" ht="14.25" customHeight="1" x14ac:dyDescent="0.25"/>
    <row r="3786" ht="14.25" customHeight="1" x14ac:dyDescent="0.25"/>
    <row r="3787" ht="14.25" customHeight="1" x14ac:dyDescent="0.25"/>
    <row r="3788" ht="14.25" customHeight="1" x14ac:dyDescent="0.25"/>
    <row r="3789" ht="14.25" customHeight="1" x14ac:dyDescent="0.25"/>
    <row r="3790" ht="14.25" customHeight="1" x14ac:dyDescent="0.25"/>
    <row r="3791" ht="14.25" customHeight="1" x14ac:dyDescent="0.25"/>
    <row r="3792" ht="14.25" customHeight="1" x14ac:dyDescent="0.25"/>
    <row r="3793" ht="14.25" customHeight="1" x14ac:dyDescent="0.25"/>
    <row r="3794" ht="14.25" customHeight="1" x14ac:dyDescent="0.25"/>
    <row r="3795" ht="14.25" customHeight="1" x14ac:dyDescent="0.25"/>
    <row r="3796" ht="14.25" customHeight="1" x14ac:dyDescent="0.25"/>
    <row r="3797" ht="14.25" customHeight="1" x14ac:dyDescent="0.25"/>
    <row r="3798" ht="14.25" customHeight="1" x14ac:dyDescent="0.25"/>
    <row r="3799" ht="14.25" customHeight="1" x14ac:dyDescent="0.25"/>
    <row r="3800" ht="14.25" customHeight="1" x14ac:dyDescent="0.25"/>
    <row r="3801" ht="14.25" customHeight="1" x14ac:dyDescent="0.25"/>
    <row r="3802" ht="14.25" customHeight="1" x14ac:dyDescent="0.25"/>
    <row r="3803" ht="14.25" customHeight="1" x14ac:dyDescent="0.25"/>
    <row r="3804" ht="14.25" customHeight="1" x14ac:dyDescent="0.25"/>
    <row r="3805" ht="14.25" customHeight="1" x14ac:dyDescent="0.25"/>
    <row r="3806" ht="14.25" customHeight="1" x14ac:dyDescent="0.25"/>
    <row r="3807" ht="14.25" customHeight="1" x14ac:dyDescent="0.25"/>
    <row r="3808" ht="14.25" customHeight="1" x14ac:dyDescent="0.25"/>
    <row r="3809" ht="14.25" customHeight="1" x14ac:dyDescent="0.25"/>
    <row r="3810" ht="14.25" customHeight="1" x14ac:dyDescent="0.25"/>
    <row r="3811" ht="14.25" customHeight="1" x14ac:dyDescent="0.25"/>
    <row r="3812" ht="14.25" customHeight="1" x14ac:dyDescent="0.25"/>
    <row r="3813" ht="14.25" customHeight="1" x14ac:dyDescent="0.25"/>
    <row r="3814" ht="14.25" customHeight="1" x14ac:dyDescent="0.25"/>
    <row r="3815" ht="14.25" customHeight="1" x14ac:dyDescent="0.25"/>
    <row r="3816" ht="14.25" customHeight="1" x14ac:dyDescent="0.25"/>
    <row r="3817" ht="14.25" customHeight="1" x14ac:dyDescent="0.25"/>
    <row r="3818" ht="14.25" customHeight="1" x14ac:dyDescent="0.25"/>
    <row r="3819" ht="14.25" customHeight="1" x14ac:dyDescent="0.25"/>
    <row r="3820" ht="14.25" customHeight="1" x14ac:dyDescent="0.25"/>
    <row r="3821" ht="14.25" customHeight="1" x14ac:dyDescent="0.25"/>
    <row r="3822" ht="14.25" customHeight="1" x14ac:dyDescent="0.25"/>
    <row r="3823" ht="14.25" customHeight="1" x14ac:dyDescent="0.25"/>
    <row r="3824" ht="14.25" customHeight="1" x14ac:dyDescent="0.25"/>
    <row r="3825" ht="14.25" customHeight="1" x14ac:dyDescent="0.25"/>
    <row r="3826" ht="14.25" customHeight="1" x14ac:dyDescent="0.25"/>
    <row r="3827" ht="14.25" customHeight="1" x14ac:dyDescent="0.25"/>
    <row r="3828" ht="14.25" customHeight="1" x14ac:dyDescent="0.25"/>
    <row r="3829" ht="14.25" customHeight="1" x14ac:dyDescent="0.25"/>
    <row r="3830" ht="14.25" customHeight="1" x14ac:dyDescent="0.25"/>
    <row r="3831" ht="14.25" customHeight="1" x14ac:dyDescent="0.25"/>
    <row r="3832" ht="14.25" customHeight="1" x14ac:dyDescent="0.25"/>
    <row r="3833" ht="14.25" customHeight="1" x14ac:dyDescent="0.25"/>
    <row r="3834" ht="14.25" customHeight="1" x14ac:dyDescent="0.25"/>
    <row r="3835" ht="14.25" customHeight="1" x14ac:dyDescent="0.25"/>
    <row r="3836" ht="14.25" customHeight="1" x14ac:dyDescent="0.25"/>
    <row r="3837" ht="14.25" customHeight="1" x14ac:dyDescent="0.25"/>
    <row r="3838" ht="14.25" customHeight="1" x14ac:dyDescent="0.25"/>
    <row r="3839" ht="14.25" customHeight="1" x14ac:dyDescent="0.25"/>
    <row r="3840" ht="14.25" customHeight="1" x14ac:dyDescent="0.25"/>
    <row r="3841" ht="14.25" customHeight="1" x14ac:dyDescent="0.25"/>
    <row r="3842" ht="14.25" customHeight="1" x14ac:dyDescent="0.25"/>
    <row r="3843" ht="14.25" customHeight="1" x14ac:dyDescent="0.25"/>
    <row r="3844" ht="14.25" customHeight="1" x14ac:dyDescent="0.25"/>
    <row r="3845" ht="14.25" customHeight="1" x14ac:dyDescent="0.25"/>
    <row r="3846" ht="14.25" customHeight="1" x14ac:dyDescent="0.25"/>
    <row r="3847" ht="14.25" customHeight="1" x14ac:dyDescent="0.25"/>
    <row r="3848" ht="14.25" customHeight="1" x14ac:dyDescent="0.25"/>
    <row r="3849" ht="14.25" customHeight="1" x14ac:dyDescent="0.25"/>
    <row r="3850" ht="14.25" customHeight="1" x14ac:dyDescent="0.25"/>
    <row r="3851" ht="14.25" customHeight="1" x14ac:dyDescent="0.25"/>
    <row r="3852" ht="14.25" customHeight="1" x14ac:dyDescent="0.25"/>
    <row r="3853" ht="14.25" customHeight="1" x14ac:dyDescent="0.25"/>
    <row r="3854" ht="14.25" customHeight="1" x14ac:dyDescent="0.25"/>
    <row r="3855" ht="14.25" customHeight="1" x14ac:dyDescent="0.25"/>
    <row r="3856" ht="14.25" customHeight="1" x14ac:dyDescent="0.25"/>
    <row r="3857" ht="14.25" customHeight="1" x14ac:dyDescent="0.25"/>
    <row r="3858" ht="14.25" customHeight="1" x14ac:dyDescent="0.25"/>
    <row r="3859" ht="14.25" customHeight="1" x14ac:dyDescent="0.25"/>
    <row r="3860" ht="14.25" customHeight="1" x14ac:dyDescent="0.25"/>
    <row r="3861" ht="14.25" customHeight="1" x14ac:dyDescent="0.25"/>
    <row r="3862" ht="14.25" customHeight="1" x14ac:dyDescent="0.25"/>
    <row r="3863" ht="14.25" customHeight="1" x14ac:dyDescent="0.25"/>
    <row r="3864" ht="14.25" customHeight="1" x14ac:dyDescent="0.25"/>
    <row r="3865" ht="14.25" customHeight="1" x14ac:dyDescent="0.25"/>
    <row r="3866" ht="14.25" customHeight="1" x14ac:dyDescent="0.25"/>
    <row r="3867" ht="14.25" customHeight="1" x14ac:dyDescent="0.25"/>
    <row r="3868" ht="14.25" customHeight="1" x14ac:dyDescent="0.25"/>
    <row r="3869" ht="14.25" customHeight="1" x14ac:dyDescent="0.25"/>
    <row r="3870" ht="14.25" customHeight="1" x14ac:dyDescent="0.25"/>
    <row r="3871" ht="14.25" customHeight="1" x14ac:dyDescent="0.25"/>
    <row r="3872" ht="14.25" customHeight="1" x14ac:dyDescent="0.25"/>
    <row r="3873" ht="14.25" customHeight="1" x14ac:dyDescent="0.25"/>
    <row r="3874" ht="14.25" customHeight="1" x14ac:dyDescent="0.25"/>
    <row r="3875" ht="14.25" customHeight="1" x14ac:dyDescent="0.25"/>
    <row r="3876" ht="14.25" customHeight="1" x14ac:dyDescent="0.25"/>
    <row r="3877" ht="14.25" customHeight="1" x14ac:dyDescent="0.25"/>
    <row r="3878" ht="14.25" customHeight="1" x14ac:dyDescent="0.25"/>
    <row r="3879" ht="14.25" customHeight="1" x14ac:dyDescent="0.25"/>
    <row r="3880" ht="14.25" customHeight="1" x14ac:dyDescent="0.25"/>
    <row r="3881" ht="14.25" customHeight="1" x14ac:dyDescent="0.25"/>
    <row r="3882" ht="14.25" customHeight="1" x14ac:dyDescent="0.25"/>
    <row r="3883" ht="14.25" customHeight="1" x14ac:dyDescent="0.25"/>
    <row r="3884" ht="14.25" customHeight="1" x14ac:dyDescent="0.25"/>
    <row r="3885" ht="14.25" customHeight="1" x14ac:dyDescent="0.25"/>
    <row r="3886" ht="14.25" customHeight="1" x14ac:dyDescent="0.25"/>
    <row r="3887" ht="14.25" customHeight="1" x14ac:dyDescent="0.25"/>
    <row r="3888" ht="14.25" customHeight="1" x14ac:dyDescent="0.25"/>
    <row r="3889" ht="14.25" customHeight="1" x14ac:dyDescent="0.25"/>
    <row r="3890" ht="14.25" customHeight="1" x14ac:dyDescent="0.25"/>
    <row r="3891" ht="14.25" customHeight="1" x14ac:dyDescent="0.25"/>
    <row r="3892" ht="14.25" customHeight="1" x14ac:dyDescent="0.25"/>
    <row r="3893" ht="14.25" customHeight="1" x14ac:dyDescent="0.25"/>
    <row r="3894" ht="14.25" customHeight="1" x14ac:dyDescent="0.25"/>
    <row r="3895" ht="14.25" customHeight="1" x14ac:dyDescent="0.25"/>
    <row r="3896" ht="14.25" customHeight="1" x14ac:dyDescent="0.25"/>
    <row r="3897" ht="14.25" customHeight="1" x14ac:dyDescent="0.25"/>
    <row r="3898" ht="14.25" customHeight="1" x14ac:dyDescent="0.25"/>
    <row r="3899" ht="14.25" customHeight="1" x14ac:dyDescent="0.25"/>
    <row r="3900" ht="14.25" customHeight="1" x14ac:dyDescent="0.25"/>
    <row r="3901" ht="14.25" customHeight="1" x14ac:dyDescent="0.25"/>
    <row r="3902" ht="14.25" customHeight="1" x14ac:dyDescent="0.25"/>
    <row r="3903" ht="14.25" customHeight="1" x14ac:dyDescent="0.25"/>
    <row r="3904" ht="14.25" customHeight="1" x14ac:dyDescent="0.25"/>
    <row r="3905" ht="14.25" customHeight="1" x14ac:dyDescent="0.25"/>
    <row r="3906" ht="14.25" customHeight="1" x14ac:dyDescent="0.25"/>
    <row r="3907" ht="14.25" customHeight="1" x14ac:dyDescent="0.25"/>
    <row r="3908" ht="14.25" customHeight="1" x14ac:dyDescent="0.25"/>
    <row r="3909" ht="14.25" customHeight="1" x14ac:dyDescent="0.25"/>
    <row r="3910" ht="14.25" customHeight="1" x14ac:dyDescent="0.25"/>
    <row r="3911" ht="14.25" customHeight="1" x14ac:dyDescent="0.25"/>
    <row r="3912" ht="14.25" customHeight="1" x14ac:dyDescent="0.25"/>
    <row r="3913" ht="14.25" customHeight="1" x14ac:dyDescent="0.25"/>
    <row r="3914" ht="14.25" customHeight="1" x14ac:dyDescent="0.25"/>
    <row r="3915" ht="14.25" customHeight="1" x14ac:dyDescent="0.25"/>
    <row r="3916" ht="14.25" customHeight="1" x14ac:dyDescent="0.25"/>
    <row r="3917" ht="14.25" customHeight="1" x14ac:dyDescent="0.25"/>
    <row r="3918" ht="14.25" customHeight="1" x14ac:dyDescent="0.25"/>
    <row r="3919" ht="14.25" customHeight="1" x14ac:dyDescent="0.25"/>
    <row r="3920" ht="14.25" customHeight="1" x14ac:dyDescent="0.25"/>
    <row r="3921" ht="14.25" customHeight="1" x14ac:dyDescent="0.25"/>
    <row r="3922" ht="14.25" customHeight="1" x14ac:dyDescent="0.25"/>
    <row r="3923" ht="14.25" customHeight="1" x14ac:dyDescent="0.25"/>
    <row r="3924" ht="14.25" customHeight="1" x14ac:dyDescent="0.25"/>
    <row r="3925" ht="14.25" customHeight="1" x14ac:dyDescent="0.25"/>
    <row r="3926" ht="14.25" customHeight="1" x14ac:dyDescent="0.25"/>
    <row r="3927" ht="14.25" customHeight="1" x14ac:dyDescent="0.25"/>
    <row r="3928" ht="14.25" customHeight="1" x14ac:dyDescent="0.25"/>
    <row r="3929" ht="14.25" customHeight="1" x14ac:dyDescent="0.25"/>
    <row r="3930" ht="14.25" customHeight="1" x14ac:dyDescent="0.25"/>
    <row r="3931" ht="14.25" customHeight="1" x14ac:dyDescent="0.25"/>
    <row r="3932" ht="14.25" customHeight="1" x14ac:dyDescent="0.25"/>
    <row r="3933" ht="14.25" customHeight="1" x14ac:dyDescent="0.25"/>
    <row r="3934" ht="14.25" customHeight="1" x14ac:dyDescent="0.25"/>
    <row r="3935" ht="14.25" customHeight="1" x14ac:dyDescent="0.25"/>
    <row r="3936" ht="14.25" customHeight="1" x14ac:dyDescent="0.25"/>
    <row r="3937" ht="14.25" customHeight="1" x14ac:dyDescent="0.25"/>
    <row r="3938" ht="14.25" customHeight="1" x14ac:dyDescent="0.25"/>
    <row r="3939" ht="14.25" customHeight="1" x14ac:dyDescent="0.25"/>
    <row r="3940" ht="14.25" customHeight="1" x14ac:dyDescent="0.25"/>
    <row r="3941" ht="14.25" customHeight="1" x14ac:dyDescent="0.25"/>
    <row r="3942" ht="14.25" customHeight="1" x14ac:dyDescent="0.25"/>
    <row r="3943" ht="14.25" customHeight="1" x14ac:dyDescent="0.25"/>
    <row r="3944" ht="14.25" customHeight="1" x14ac:dyDescent="0.25"/>
    <row r="3945" ht="14.25" customHeight="1" x14ac:dyDescent="0.25"/>
    <row r="3946" ht="14.25" customHeight="1" x14ac:dyDescent="0.25"/>
    <row r="3947" ht="14.25" customHeight="1" x14ac:dyDescent="0.25"/>
    <row r="3948" ht="14.25" customHeight="1" x14ac:dyDescent="0.25"/>
    <row r="3949" ht="14.25" customHeight="1" x14ac:dyDescent="0.25"/>
    <row r="3950" ht="14.25" customHeight="1" x14ac:dyDescent="0.25"/>
    <row r="3951" ht="14.25" customHeight="1" x14ac:dyDescent="0.25"/>
    <row r="3952" ht="14.25" customHeight="1" x14ac:dyDescent="0.25"/>
    <row r="3953" ht="14.25" customHeight="1" x14ac:dyDescent="0.25"/>
    <row r="3954" ht="14.25" customHeight="1" x14ac:dyDescent="0.25"/>
    <row r="3955" ht="14.25" customHeight="1" x14ac:dyDescent="0.25"/>
    <row r="3956" ht="14.25" customHeight="1" x14ac:dyDescent="0.25"/>
    <row r="3957" ht="14.25" customHeight="1" x14ac:dyDescent="0.25"/>
    <row r="3958" ht="14.25" customHeight="1" x14ac:dyDescent="0.25"/>
    <row r="3959" ht="14.25" customHeight="1" x14ac:dyDescent="0.25"/>
    <row r="3960" ht="14.25" customHeight="1" x14ac:dyDescent="0.25"/>
    <row r="3961" ht="14.25" customHeight="1" x14ac:dyDescent="0.25"/>
    <row r="3962" ht="14.25" customHeight="1" x14ac:dyDescent="0.25"/>
    <row r="3963" ht="14.25" customHeight="1" x14ac:dyDescent="0.25"/>
    <row r="3964" ht="14.25" customHeight="1" x14ac:dyDescent="0.25"/>
    <row r="3965" ht="14.25" customHeight="1" x14ac:dyDescent="0.25"/>
    <row r="3966" ht="14.25" customHeight="1" x14ac:dyDescent="0.25"/>
    <row r="3967" ht="14.25" customHeight="1" x14ac:dyDescent="0.25"/>
    <row r="3968" ht="14.25" customHeight="1" x14ac:dyDescent="0.25"/>
    <row r="3969" ht="14.25" customHeight="1" x14ac:dyDescent="0.25"/>
    <row r="3970" ht="14.25" customHeight="1" x14ac:dyDescent="0.25"/>
    <row r="3971" ht="14.25" customHeight="1" x14ac:dyDescent="0.25"/>
    <row r="3972" ht="14.25" customHeight="1" x14ac:dyDescent="0.25"/>
    <row r="3973" ht="14.25" customHeight="1" x14ac:dyDescent="0.25"/>
    <row r="3974" ht="14.25" customHeight="1" x14ac:dyDescent="0.25"/>
    <row r="3975" ht="14.25" customHeight="1" x14ac:dyDescent="0.25"/>
    <row r="3976" ht="14.25" customHeight="1" x14ac:dyDescent="0.25"/>
    <row r="3977" ht="14.25" customHeight="1" x14ac:dyDescent="0.25"/>
    <row r="3978" ht="14.25" customHeight="1" x14ac:dyDescent="0.25"/>
    <row r="3979" ht="14.25" customHeight="1" x14ac:dyDescent="0.25"/>
    <row r="3980" ht="14.25" customHeight="1" x14ac:dyDescent="0.25"/>
    <row r="3981" ht="14.25" customHeight="1" x14ac:dyDescent="0.25"/>
    <row r="3982" ht="14.25" customHeight="1" x14ac:dyDescent="0.25"/>
    <row r="3983" ht="14.25" customHeight="1" x14ac:dyDescent="0.25"/>
    <row r="3984" ht="14.25" customHeight="1" x14ac:dyDescent="0.25"/>
    <row r="3985" ht="14.25" customHeight="1" x14ac:dyDescent="0.25"/>
    <row r="3986" ht="14.25" customHeight="1" x14ac:dyDescent="0.25"/>
    <row r="3987" ht="14.25" customHeight="1" x14ac:dyDescent="0.25"/>
    <row r="3988" ht="14.25" customHeight="1" x14ac:dyDescent="0.25"/>
    <row r="3989" ht="14.25" customHeight="1" x14ac:dyDescent="0.25"/>
    <row r="3990" ht="14.25" customHeight="1" x14ac:dyDescent="0.25"/>
    <row r="3991" ht="14.25" customHeight="1" x14ac:dyDescent="0.25"/>
    <row r="3992" ht="14.25" customHeight="1" x14ac:dyDescent="0.25"/>
    <row r="3993" ht="14.25" customHeight="1" x14ac:dyDescent="0.25"/>
    <row r="3994" ht="14.25" customHeight="1" x14ac:dyDescent="0.25"/>
    <row r="3995" ht="14.25" customHeight="1" x14ac:dyDescent="0.25"/>
    <row r="3996" ht="14.25" customHeight="1" x14ac:dyDescent="0.25"/>
    <row r="3997" ht="14.25" customHeight="1" x14ac:dyDescent="0.25"/>
    <row r="3998" ht="14.25" customHeight="1" x14ac:dyDescent="0.25"/>
    <row r="3999" ht="14.25" customHeight="1" x14ac:dyDescent="0.25"/>
    <row r="4000" ht="14.25" customHeight="1" x14ac:dyDescent="0.25"/>
    <row r="4001" ht="14.25" customHeight="1" x14ac:dyDescent="0.25"/>
    <row r="4002" ht="14.25" customHeight="1" x14ac:dyDescent="0.25"/>
    <row r="4003" ht="14.25" customHeight="1" x14ac:dyDescent="0.25"/>
    <row r="4004" ht="14.25" customHeight="1" x14ac:dyDescent="0.25"/>
    <row r="4005" ht="14.25" customHeight="1" x14ac:dyDescent="0.25"/>
    <row r="4006" ht="14.25" customHeight="1" x14ac:dyDescent="0.25"/>
    <row r="4007" ht="14.25" customHeight="1" x14ac:dyDescent="0.25"/>
    <row r="4008" ht="14.25" customHeight="1" x14ac:dyDescent="0.25"/>
    <row r="4009" ht="14.25" customHeight="1" x14ac:dyDescent="0.25"/>
    <row r="4010" ht="14.25" customHeight="1" x14ac:dyDescent="0.25"/>
    <row r="4011" ht="14.25" customHeight="1" x14ac:dyDescent="0.25"/>
    <row r="4012" ht="14.25" customHeight="1" x14ac:dyDescent="0.25"/>
    <row r="4013" ht="14.25" customHeight="1" x14ac:dyDescent="0.25"/>
    <row r="4014" ht="14.25" customHeight="1" x14ac:dyDescent="0.25"/>
    <row r="4015" ht="14.25" customHeight="1" x14ac:dyDescent="0.25"/>
    <row r="4016" ht="14.25" customHeight="1" x14ac:dyDescent="0.25"/>
    <row r="4017" ht="14.25" customHeight="1" x14ac:dyDescent="0.25"/>
    <row r="4018" ht="14.25" customHeight="1" x14ac:dyDescent="0.25"/>
    <row r="4019" ht="14.25" customHeight="1" x14ac:dyDescent="0.25"/>
    <row r="4020" ht="14.25" customHeight="1" x14ac:dyDescent="0.25"/>
    <row r="4021" ht="14.25" customHeight="1" x14ac:dyDescent="0.25"/>
    <row r="4022" ht="14.25" customHeight="1" x14ac:dyDescent="0.25"/>
    <row r="4023" ht="14.25" customHeight="1" x14ac:dyDescent="0.25"/>
    <row r="4024" ht="14.25" customHeight="1" x14ac:dyDescent="0.25"/>
    <row r="4025" ht="14.25" customHeight="1" x14ac:dyDescent="0.25"/>
    <row r="4026" ht="14.25" customHeight="1" x14ac:dyDescent="0.25"/>
    <row r="4027" ht="14.25" customHeight="1" x14ac:dyDescent="0.25"/>
    <row r="4028" ht="14.25" customHeight="1" x14ac:dyDescent="0.25"/>
    <row r="4029" ht="14.25" customHeight="1" x14ac:dyDescent="0.25"/>
    <row r="4030" ht="14.25" customHeight="1" x14ac:dyDescent="0.25"/>
    <row r="4031" ht="14.25" customHeight="1" x14ac:dyDescent="0.25"/>
    <row r="4032" ht="14.25" customHeight="1" x14ac:dyDescent="0.25"/>
    <row r="4033" ht="14.25" customHeight="1" x14ac:dyDescent="0.25"/>
    <row r="4034" ht="14.25" customHeight="1" x14ac:dyDescent="0.25"/>
    <row r="4035" ht="14.25" customHeight="1" x14ac:dyDescent="0.25"/>
    <row r="4036" ht="14.25" customHeight="1" x14ac:dyDescent="0.25"/>
    <row r="4037" ht="14.25" customHeight="1" x14ac:dyDescent="0.25"/>
    <row r="4038" ht="14.25" customHeight="1" x14ac:dyDescent="0.25"/>
    <row r="4039" ht="14.25" customHeight="1" x14ac:dyDescent="0.25"/>
    <row r="4040" ht="14.25" customHeight="1" x14ac:dyDescent="0.25"/>
    <row r="4041" ht="14.25" customHeight="1" x14ac:dyDescent="0.25"/>
    <row r="4042" ht="14.25" customHeight="1" x14ac:dyDescent="0.25"/>
    <row r="4043" ht="14.25" customHeight="1" x14ac:dyDescent="0.25"/>
    <row r="4044" ht="14.25" customHeight="1" x14ac:dyDescent="0.25"/>
    <row r="4045" ht="14.25" customHeight="1" x14ac:dyDescent="0.25"/>
    <row r="4046" ht="14.25" customHeight="1" x14ac:dyDescent="0.25"/>
    <row r="4047" ht="14.25" customHeight="1" x14ac:dyDescent="0.25"/>
    <row r="4048" ht="14.25" customHeight="1" x14ac:dyDescent="0.25"/>
    <row r="4049" ht="14.25" customHeight="1" x14ac:dyDescent="0.25"/>
    <row r="4050" ht="14.25" customHeight="1" x14ac:dyDescent="0.25"/>
    <row r="4051" ht="14.25" customHeight="1" x14ac:dyDescent="0.25"/>
    <row r="4052" ht="14.25" customHeight="1" x14ac:dyDescent="0.25"/>
    <row r="4053" ht="14.25" customHeight="1" x14ac:dyDescent="0.25"/>
    <row r="4054" ht="14.25" customHeight="1" x14ac:dyDescent="0.25"/>
    <row r="4055" ht="14.25" customHeight="1" x14ac:dyDescent="0.25"/>
    <row r="4056" ht="14.25" customHeight="1" x14ac:dyDescent="0.25"/>
    <row r="4057" ht="14.25" customHeight="1" x14ac:dyDescent="0.25"/>
    <row r="4058" ht="14.25" customHeight="1" x14ac:dyDescent="0.25"/>
    <row r="4059" ht="14.25" customHeight="1" x14ac:dyDescent="0.25"/>
    <row r="4060" ht="14.25" customHeight="1" x14ac:dyDescent="0.25"/>
    <row r="4061" ht="14.25" customHeight="1" x14ac:dyDescent="0.25"/>
    <row r="4062" ht="14.25" customHeight="1" x14ac:dyDescent="0.25"/>
    <row r="4063" ht="14.25" customHeight="1" x14ac:dyDescent="0.25"/>
    <row r="4064" ht="14.25" customHeight="1" x14ac:dyDescent="0.25"/>
    <row r="4065" ht="14.25" customHeight="1" x14ac:dyDescent="0.25"/>
    <row r="4066" ht="14.25" customHeight="1" x14ac:dyDescent="0.25"/>
    <row r="4067" ht="14.25" customHeight="1" x14ac:dyDescent="0.25"/>
    <row r="4068" ht="14.25" customHeight="1" x14ac:dyDescent="0.25"/>
    <row r="4069" ht="14.25" customHeight="1" x14ac:dyDescent="0.25"/>
    <row r="4070" ht="14.25" customHeight="1" x14ac:dyDescent="0.25"/>
    <row r="4071" ht="14.25" customHeight="1" x14ac:dyDescent="0.25"/>
    <row r="4072" ht="14.25" customHeight="1" x14ac:dyDescent="0.25"/>
    <row r="4073" ht="14.25" customHeight="1" x14ac:dyDescent="0.25"/>
    <row r="4074" ht="14.25" customHeight="1" x14ac:dyDescent="0.25"/>
    <row r="4075" ht="14.25" customHeight="1" x14ac:dyDescent="0.25"/>
    <row r="4076" ht="14.25" customHeight="1" x14ac:dyDescent="0.25"/>
    <row r="4077" ht="14.25" customHeight="1" x14ac:dyDescent="0.25"/>
    <row r="4078" ht="14.25" customHeight="1" x14ac:dyDescent="0.25"/>
    <row r="4079" ht="14.25" customHeight="1" x14ac:dyDescent="0.25"/>
    <row r="4080" ht="14.25" customHeight="1" x14ac:dyDescent="0.25"/>
    <row r="4081" ht="14.25" customHeight="1" x14ac:dyDescent="0.25"/>
    <row r="4082" ht="14.25" customHeight="1" x14ac:dyDescent="0.25"/>
    <row r="4083" ht="14.25" customHeight="1" x14ac:dyDescent="0.25"/>
    <row r="4084" ht="14.25" customHeight="1" x14ac:dyDescent="0.25"/>
    <row r="4085" ht="14.25" customHeight="1" x14ac:dyDescent="0.25"/>
    <row r="4086" ht="14.25" customHeight="1" x14ac:dyDescent="0.25"/>
    <row r="4087" ht="14.25" customHeight="1" x14ac:dyDescent="0.25"/>
    <row r="4088" ht="14.25" customHeight="1" x14ac:dyDescent="0.25"/>
    <row r="4089" ht="14.25" customHeight="1" x14ac:dyDescent="0.25"/>
    <row r="4090" ht="14.25" customHeight="1" x14ac:dyDescent="0.25"/>
    <row r="4091" ht="14.25" customHeight="1" x14ac:dyDescent="0.25"/>
    <row r="4092" ht="14.25" customHeight="1" x14ac:dyDescent="0.25"/>
    <row r="4093" ht="14.25" customHeight="1" x14ac:dyDescent="0.25"/>
    <row r="4094" ht="14.25" customHeight="1" x14ac:dyDescent="0.25"/>
    <row r="4095" ht="14.25" customHeight="1" x14ac:dyDescent="0.25"/>
    <row r="4096" ht="14.25" customHeight="1" x14ac:dyDescent="0.25"/>
    <row r="4097" ht="14.25" customHeight="1" x14ac:dyDescent="0.25"/>
    <row r="4098" ht="14.25" customHeight="1" x14ac:dyDescent="0.25"/>
    <row r="4099" ht="14.25" customHeight="1" x14ac:dyDescent="0.25"/>
    <row r="4100" ht="14.25" customHeight="1" x14ac:dyDescent="0.25"/>
    <row r="4101" ht="14.25" customHeight="1" x14ac:dyDescent="0.25"/>
    <row r="4102" ht="14.25" customHeight="1" x14ac:dyDescent="0.25"/>
    <row r="4103" ht="14.25" customHeight="1" x14ac:dyDescent="0.25"/>
    <row r="4104" ht="14.25" customHeight="1" x14ac:dyDescent="0.25"/>
    <row r="4105" ht="14.25" customHeight="1" x14ac:dyDescent="0.25"/>
    <row r="4106" ht="14.25" customHeight="1" x14ac:dyDescent="0.25"/>
    <row r="4107" ht="14.25" customHeight="1" x14ac:dyDescent="0.25"/>
    <row r="4108" ht="14.25" customHeight="1" x14ac:dyDescent="0.25"/>
    <row r="4109" ht="14.25" customHeight="1" x14ac:dyDescent="0.25"/>
    <row r="4110" ht="14.25" customHeight="1" x14ac:dyDescent="0.25"/>
    <row r="4111" ht="14.25" customHeight="1" x14ac:dyDescent="0.25"/>
    <row r="4112" ht="14.25" customHeight="1" x14ac:dyDescent="0.25"/>
    <row r="4113" ht="14.25" customHeight="1" x14ac:dyDescent="0.25"/>
    <row r="4114" ht="14.25" customHeight="1" x14ac:dyDescent="0.25"/>
    <row r="4115" ht="14.25" customHeight="1" x14ac:dyDescent="0.25"/>
    <row r="4116" ht="14.25" customHeight="1" x14ac:dyDescent="0.25"/>
    <row r="4117" ht="14.25" customHeight="1" x14ac:dyDescent="0.25"/>
    <row r="4118" ht="14.25" customHeight="1" x14ac:dyDescent="0.25"/>
    <row r="4119" ht="14.25" customHeight="1" x14ac:dyDescent="0.25"/>
    <row r="4120" ht="14.25" customHeight="1" x14ac:dyDescent="0.25"/>
    <row r="4121" ht="14.25" customHeight="1" x14ac:dyDescent="0.25"/>
    <row r="4122" ht="14.25" customHeight="1" x14ac:dyDescent="0.25"/>
    <row r="4123" ht="14.25" customHeight="1" x14ac:dyDescent="0.25"/>
    <row r="4124" ht="14.25" customHeight="1" x14ac:dyDescent="0.25"/>
    <row r="4125" ht="14.25" customHeight="1" x14ac:dyDescent="0.25"/>
    <row r="4126" ht="14.25" customHeight="1" x14ac:dyDescent="0.25"/>
    <row r="4127" ht="14.25" customHeight="1" x14ac:dyDescent="0.25"/>
    <row r="4128" ht="14.25" customHeight="1" x14ac:dyDescent="0.25"/>
    <row r="4129" ht="14.25" customHeight="1" x14ac:dyDescent="0.25"/>
    <row r="4130" ht="14.25" customHeight="1" x14ac:dyDescent="0.25"/>
    <row r="4131" ht="14.25" customHeight="1" x14ac:dyDescent="0.25"/>
    <row r="4132" ht="14.25" customHeight="1" x14ac:dyDescent="0.25"/>
    <row r="4133" ht="14.25" customHeight="1" x14ac:dyDescent="0.25"/>
    <row r="4134" ht="14.25" customHeight="1" x14ac:dyDescent="0.25"/>
    <row r="4135" ht="14.25" customHeight="1" x14ac:dyDescent="0.25"/>
    <row r="4136" ht="14.25" customHeight="1" x14ac:dyDescent="0.25"/>
    <row r="4137" ht="14.25" customHeight="1" x14ac:dyDescent="0.25"/>
    <row r="4138" ht="14.25" customHeight="1" x14ac:dyDescent="0.25"/>
    <row r="4139" ht="14.25" customHeight="1" x14ac:dyDescent="0.25"/>
    <row r="4140" ht="14.25" customHeight="1" x14ac:dyDescent="0.25"/>
    <row r="4141" ht="14.25" customHeight="1" x14ac:dyDescent="0.25"/>
    <row r="4142" ht="14.25" customHeight="1" x14ac:dyDescent="0.25"/>
    <row r="4143" ht="14.25" customHeight="1" x14ac:dyDescent="0.25"/>
    <row r="4144" ht="14.25" customHeight="1" x14ac:dyDescent="0.25"/>
    <row r="4145" ht="14.25" customHeight="1" x14ac:dyDescent="0.25"/>
    <row r="4146" ht="14.25" customHeight="1" x14ac:dyDescent="0.25"/>
    <row r="4147" ht="14.25" customHeight="1" x14ac:dyDescent="0.25"/>
    <row r="4148" ht="14.25" customHeight="1" x14ac:dyDescent="0.25"/>
    <row r="4149" ht="14.25" customHeight="1" x14ac:dyDescent="0.25"/>
    <row r="4150" ht="14.25" customHeight="1" x14ac:dyDescent="0.25"/>
    <row r="4151" ht="14.25" customHeight="1" x14ac:dyDescent="0.25"/>
    <row r="4152" ht="14.25" customHeight="1" x14ac:dyDescent="0.25"/>
    <row r="4153" ht="14.25" customHeight="1" x14ac:dyDescent="0.25"/>
    <row r="4154" ht="14.25" customHeight="1" x14ac:dyDescent="0.25"/>
    <row r="4155" ht="14.25" customHeight="1" x14ac:dyDescent="0.25"/>
    <row r="4156" ht="14.25" customHeight="1" x14ac:dyDescent="0.25"/>
    <row r="4157" ht="14.25" customHeight="1" x14ac:dyDescent="0.25"/>
    <row r="4158" ht="14.25" customHeight="1" x14ac:dyDescent="0.25"/>
    <row r="4159" ht="14.25" customHeight="1" x14ac:dyDescent="0.25"/>
    <row r="4160" ht="14.25" customHeight="1" x14ac:dyDescent="0.25"/>
    <row r="4161" ht="14.25" customHeight="1" x14ac:dyDescent="0.25"/>
    <row r="4162" ht="14.25" customHeight="1" x14ac:dyDescent="0.25"/>
    <row r="4163" ht="14.25" customHeight="1" x14ac:dyDescent="0.25"/>
    <row r="4164" ht="14.25" customHeight="1" x14ac:dyDescent="0.25"/>
    <row r="4165" ht="14.25" customHeight="1" x14ac:dyDescent="0.25"/>
    <row r="4166" ht="14.25" customHeight="1" x14ac:dyDescent="0.25"/>
    <row r="4167" ht="14.25" customHeight="1" x14ac:dyDescent="0.25"/>
    <row r="4168" ht="14.25" customHeight="1" x14ac:dyDescent="0.25"/>
    <row r="4169" ht="14.25" customHeight="1" x14ac:dyDescent="0.25"/>
    <row r="4170" ht="14.25" customHeight="1" x14ac:dyDescent="0.25"/>
    <row r="4171" ht="14.25" customHeight="1" x14ac:dyDescent="0.25"/>
    <row r="4172" ht="14.25" customHeight="1" x14ac:dyDescent="0.25"/>
    <row r="4173" ht="14.25" customHeight="1" x14ac:dyDescent="0.25"/>
    <row r="4174" ht="14.25" customHeight="1" x14ac:dyDescent="0.25"/>
    <row r="4175" ht="14.25" customHeight="1" x14ac:dyDescent="0.25"/>
    <row r="4176" ht="14.25" customHeight="1" x14ac:dyDescent="0.25"/>
    <row r="4177" ht="14.25" customHeight="1" x14ac:dyDescent="0.25"/>
    <row r="4178" ht="14.25" customHeight="1" x14ac:dyDescent="0.25"/>
    <row r="4179" ht="14.25" customHeight="1" x14ac:dyDescent="0.25"/>
    <row r="4180" ht="14.25" customHeight="1" x14ac:dyDescent="0.25"/>
    <row r="4181" ht="14.25" customHeight="1" x14ac:dyDescent="0.25"/>
    <row r="4182" ht="14.25" customHeight="1" x14ac:dyDescent="0.25"/>
    <row r="4183" ht="14.25" customHeight="1" x14ac:dyDescent="0.25"/>
    <row r="4184" ht="14.25" customHeight="1" x14ac:dyDescent="0.25"/>
    <row r="4185" ht="14.25" customHeight="1" x14ac:dyDescent="0.25"/>
    <row r="4186" ht="14.25" customHeight="1" x14ac:dyDescent="0.25"/>
    <row r="4187" ht="14.25" customHeight="1" x14ac:dyDescent="0.25"/>
    <row r="4188" ht="14.25" customHeight="1" x14ac:dyDescent="0.25"/>
    <row r="4189" ht="14.25" customHeight="1" x14ac:dyDescent="0.25"/>
    <row r="4190" ht="14.25" customHeight="1" x14ac:dyDescent="0.25"/>
    <row r="4191" ht="14.25" customHeight="1" x14ac:dyDescent="0.25"/>
    <row r="4192" ht="14.25" customHeight="1" x14ac:dyDescent="0.25"/>
    <row r="4193" ht="14.25" customHeight="1" x14ac:dyDescent="0.25"/>
    <row r="4194" ht="14.25" customHeight="1" x14ac:dyDescent="0.25"/>
    <row r="4195" ht="14.25" customHeight="1" x14ac:dyDescent="0.25"/>
    <row r="4196" ht="14.25" customHeight="1" x14ac:dyDescent="0.25"/>
    <row r="4197" ht="14.25" customHeight="1" x14ac:dyDescent="0.25"/>
    <row r="4198" ht="14.25" customHeight="1" x14ac:dyDescent="0.25"/>
    <row r="4199" ht="14.25" customHeight="1" x14ac:dyDescent="0.25"/>
    <row r="4200" ht="14.25" customHeight="1" x14ac:dyDescent="0.25"/>
    <row r="4201" ht="14.25" customHeight="1" x14ac:dyDescent="0.25"/>
    <row r="4202" ht="14.25" customHeight="1" x14ac:dyDescent="0.25"/>
    <row r="4203" ht="14.25" customHeight="1" x14ac:dyDescent="0.25"/>
    <row r="4204" ht="14.25" customHeight="1" x14ac:dyDescent="0.25"/>
    <row r="4205" ht="14.25" customHeight="1" x14ac:dyDescent="0.25"/>
    <row r="4206" ht="14.25" customHeight="1" x14ac:dyDescent="0.25"/>
    <row r="4207" ht="14.25" customHeight="1" x14ac:dyDescent="0.25"/>
    <row r="4208" ht="14.25" customHeight="1" x14ac:dyDescent="0.25"/>
    <row r="4209" ht="14.25" customHeight="1" x14ac:dyDescent="0.25"/>
    <row r="4210" ht="14.25" customHeight="1" x14ac:dyDescent="0.25"/>
    <row r="4211" ht="14.25" customHeight="1" x14ac:dyDescent="0.25"/>
    <row r="4212" ht="14.25" customHeight="1" x14ac:dyDescent="0.25"/>
    <row r="4213" ht="14.25" customHeight="1" x14ac:dyDescent="0.25"/>
    <row r="4214" ht="14.25" customHeight="1" x14ac:dyDescent="0.25"/>
    <row r="4215" ht="14.25" customHeight="1" x14ac:dyDescent="0.25"/>
    <row r="4216" ht="14.25" customHeight="1" x14ac:dyDescent="0.25"/>
    <row r="4217" ht="14.25" customHeight="1" x14ac:dyDescent="0.25"/>
    <row r="4218" ht="14.25" customHeight="1" x14ac:dyDescent="0.25"/>
    <row r="4219" ht="14.25" customHeight="1" x14ac:dyDescent="0.25"/>
    <row r="4220" ht="14.25" customHeight="1" x14ac:dyDescent="0.25"/>
    <row r="4221" ht="14.25" customHeight="1" x14ac:dyDescent="0.25"/>
    <row r="4222" ht="14.25" customHeight="1" x14ac:dyDescent="0.25"/>
    <row r="4223" ht="14.25" customHeight="1" x14ac:dyDescent="0.25"/>
    <row r="4224" ht="14.25" customHeight="1" x14ac:dyDescent="0.25"/>
    <row r="4225" ht="14.25" customHeight="1" x14ac:dyDescent="0.25"/>
    <row r="4226" ht="14.25" customHeight="1" x14ac:dyDescent="0.25"/>
    <row r="4227" ht="14.25" customHeight="1" x14ac:dyDescent="0.25"/>
    <row r="4228" ht="14.25" customHeight="1" x14ac:dyDescent="0.25"/>
    <row r="4229" ht="14.25" customHeight="1" x14ac:dyDescent="0.25"/>
    <row r="4230" ht="14.25" customHeight="1" x14ac:dyDescent="0.25"/>
    <row r="4231" ht="14.25" customHeight="1" x14ac:dyDescent="0.25"/>
    <row r="4232" ht="14.25" customHeight="1" x14ac:dyDescent="0.25"/>
    <row r="4233" ht="14.25" customHeight="1" x14ac:dyDescent="0.25"/>
    <row r="4234" ht="14.25" customHeight="1" x14ac:dyDescent="0.25"/>
    <row r="4235" ht="14.25" customHeight="1" x14ac:dyDescent="0.25"/>
    <row r="4236" ht="14.25" customHeight="1" x14ac:dyDescent="0.25"/>
    <row r="4237" ht="14.25" customHeight="1" x14ac:dyDescent="0.25"/>
    <row r="4238" ht="14.25" customHeight="1" x14ac:dyDescent="0.25"/>
    <row r="4239" ht="14.25" customHeight="1" x14ac:dyDescent="0.25"/>
    <row r="4240" ht="14.25" customHeight="1" x14ac:dyDescent="0.25"/>
    <row r="4241" ht="14.25" customHeight="1" x14ac:dyDescent="0.25"/>
    <row r="4242" ht="14.25" customHeight="1" x14ac:dyDescent="0.25"/>
    <row r="4243" ht="14.25" customHeight="1" x14ac:dyDescent="0.25"/>
    <row r="4244" ht="14.25" customHeight="1" x14ac:dyDescent="0.25"/>
    <row r="4245" ht="14.25" customHeight="1" x14ac:dyDescent="0.25"/>
    <row r="4246" ht="14.25" customHeight="1" x14ac:dyDescent="0.25"/>
    <row r="4247" ht="14.25" customHeight="1" x14ac:dyDescent="0.25"/>
    <row r="4248" ht="14.25" customHeight="1" x14ac:dyDescent="0.25"/>
    <row r="4249" ht="14.25" customHeight="1" x14ac:dyDescent="0.25"/>
    <row r="4250" ht="14.25" customHeight="1" x14ac:dyDescent="0.25"/>
    <row r="4251" ht="14.25" customHeight="1" x14ac:dyDescent="0.25"/>
    <row r="4252" ht="14.25" customHeight="1" x14ac:dyDescent="0.25"/>
    <row r="4253" ht="14.25" customHeight="1" x14ac:dyDescent="0.25"/>
    <row r="4254" ht="14.25" customHeight="1" x14ac:dyDescent="0.25"/>
    <row r="4255" ht="14.25" customHeight="1" x14ac:dyDescent="0.25"/>
    <row r="4256" ht="14.25" customHeight="1" x14ac:dyDescent="0.25"/>
    <row r="4257" ht="14.25" customHeight="1" x14ac:dyDescent="0.25"/>
    <row r="4258" ht="14.25" customHeight="1" x14ac:dyDescent="0.25"/>
    <row r="4259" ht="14.25" customHeight="1" x14ac:dyDescent="0.25"/>
    <row r="4260" ht="14.25" customHeight="1" x14ac:dyDescent="0.25"/>
    <row r="4261" ht="14.25" customHeight="1" x14ac:dyDescent="0.25"/>
    <row r="4262" ht="14.25" customHeight="1" x14ac:dyDescent="0.25"/>
    <row r="4263" ht="14.25" customHeight="1" x14ac:dyDescent="0.25"/>
    <row r="4264" ht="14.25" customHeight="1" x14ac:dyDescent="0.25"/>
    <row r="4265" ht="14.25" customHeight="1" x14ac:dyDescent="0.25"/>
    <row r="4266" ht="14.25" customHeight="1" x14ac:dyDescent="0.25"/>
    <row r="4267" ht="14.25" customHeight="1" x14ac:dyDescent="0.25"/>
    <row r="4268" ht="14.25" customHeight="1" x14ac:dyDescent="0.25"/>
    <row r="4269" ht="14.25" customHeight="1" x14ac:dyDescent="0.25"/>
    <row r="4270" ht="14.25" customHeight="1" x14ac:dyDescent="0.25"/>
    <row r="4271" ht="14.25" customHeight="1" x14ac:dyDescent="0.25"/>
    <row r="4272" ht="14.25" customHeight="1" x14ac:dyDescent="0.25"/>
    <row r="4273" ht="14.25" customHeight="1" x14ac:dyDescent="0.25"/>
    <row r="4274" ht="14.25" customHeight="1" x14ac:dyDescent="0.25"/>
    <row r="4275" ht="14.25" customHeight="1" x14ac:dyDescent="0.25"/>
    <row r="4276" ht="14.25" customHeight="1" x14ac:dyDescent="0.25"/>
    <row r="4277" ht="14.25" customHeight="1" x14ac:dyDescent="0.25"/>
    <row r="4278" ht="14.25" customHeight="1" x14ac:dyDescent="0.25"/>
    <row r="4279" ht="14.25" customHeight="1" x14ac:dyDescent="0.25"/>
    <row r="4280" ht="14.25" customHeight="1" x14ac:dyDescent="0.25"/>
    <row r="4281" ht="14.25" customHeight="1" x14ac:dyDescent="0.25"/>
    <row r="4282" ht="14.25" customHeight="1" x14ac:dyDescent="0.25"/>
    <row r="4283" ht="14.25" customHeight="1" x14ac:dyDescent="0.25"/>
    <row r="4284" ht="14.25" customHeight="1" x14ac:dyDescent="0.25"/>
    <row r="4285" ht="14.25" customHeight="1" x14ac:dyDescent="0.25"/>
    <row r="4286" ht="14.25" customHeight="1" x14ac:dyDescent="0.25"/>
    <row r="4287" ht="14.25" customHeight="1" x14ac:dyDescent="0.25"/>
    <row r="4288" ht="14.25" customHeight="1" x14ac:dyDescent="0.25"/>
    <row r="4289" ht="14.25" customHeight="1" x14ac:dyDescent="0.25"/>
    <row r="4290" ht="14.25" customHeight="1" x14ac:dyDescent="0.25"/>
    <row r="4291" ht="14.25" customHeight="1" x14ac:dyDescent="0.25"/>
    <row r="4292" ht="14.25" customHeight="1" x14ac:dyDescent="0.25"/>
    <row r="4293" ht="14.25" customHeight="1" x14ac:dyDescent="0.25"/>
    <row r="4294" ht="14.25" customHeight="1" x14ac:dyDescent="0.25"/>
    <row r="4295" ht="14.25" customHeight="1" x14ac:dyDescent="0.25"/>
    <row r="4296" ht="14.25" customHeight="1" x14ac:dyDescent="0.25"/>
    <row r="4297" ht="14.25" customHeight="1" x14ac:dyDescent="0.25"/>
    <row r="4298" ht="14.25" customHeight="1" x14ac:dyDescent="0.25"/>
    <row r="4299" ht="14.25" customHeight="1" x14ac:dyDescent="0.25"/>
    <row r="4300" ht="14.25" customHeight="1" x14ac:dyDescent="0.25"/>
    <row r="4301" ht="14.25" customHeight="1" x14ac:dyDescent="0.25"/>
    <row r="4302" ht="14.25" customHeight="1" x14ac:dyDescent="0.25"/>
    <row r="4303" ht="14.25" customHeight="1" x14ac:dyDescent="0.25"/>
    <row r="4304" ht="14.25" customHeight="1" x14ac:dyDescent="0.25"/>
    <row r="4305" ht="14.25" customHeight="1" x14ac:dyDescent="0.25"/>
    <row r="4306" ht="14.25" customHeight="1" x14ac:dyDescent="0.25"/>
    <row r="4307" ht="14.25" customHeight="1" x14ac:dyDescent="0.25"/>
    <row r="4308" ht="14.25" customHeight="1" x14ac:dyDescent="0.25"/>
    <row r="4309" ht="14.25" customHeight="1" x14ac:dyDescent="0.25"/>
    <row r="4310" ht="14.25" customHeight="1" x14ac:dyDescent="0.25"/>
    <row r="4311" ht="14.25" customHeight="1" x14ac:dyDescent="0.25"/>
    <row r="4312" ht="14.25" customHeight="1" x14ac:dyDescent="0.25"/>
    <row r="4313" ht="14.25" customHeight="1" x14ac:dyDescent="0.25"/>
    <row r="4314" ht="14.25" customHeight="1" x14ac:dyDescent="0.25"/>
    <row r="4315" ht="14.25" customHeight="1" x14ac:dyDescent="0.25"/>
    <row r="4316" ht="14.25" customHeight="1" x14ac:dyDescent="0.25"/>
    <row r="4317" ht="14.25" customHeight="1" x14ac:dyDescent="0.25"/>
    <row r="4318" ht="14.25" customHeight="1" x14ac:dyDescent="0.25"/>
    <row r="4319" ht="14.25" customHeight="1" x14ac:dyDescent="0.25"/>
    <row r="4320" ht="14.25" customHeight="1" x14ac:dyDescent="0.25"/>
    <row r="4321" ht="14.25" customHeight="1" x14ac:dyDescent="0.25"/>
    <row r="4322" ht="14.25" customHeight="1" x14ac:dyDescent="0.25"/>
    <row r="4323" ht="14.25" customHeight="1" x14ac:dyDescent="0.25"/>
    <row r="4324" ht="14.25" customHeight="1" x14ac:dyDescent="0.25"/>
    <row r="4325" ht="14.25" customHeight="1" x14ac:dyDescent="0.25"/>
    <row r="4326" ht="14.25" customHeight="1" x14ac:dyDescent="0.25"/>
    <row r="4327" ht="14.25" customHeight="1" x14ac:dyDescent="0.25"/>
    <row r="4328" ht="14.25" customHeight="1" x14ac:dyDescent="0.25"/>
    <row r="4329" ht="14.25" customHeight="1" x14ac:dyDescent="0.25"/>
    <row r="4330" ht="14.25" customHeight="1" x14ac:dyDescent="0.25"/>
    <row r="4331" ht="14.25" customHeight="1" x14ac:dyDescent="0.25"/>
    <row r="4332" ht="14.25" customHeight="1" x14ac:dyDescent="0.25"/>
    <row r="4333" ht="14.25" customHeight="1" x14ac:dyDescent="0.25"/>
    <row r="4334" ht="14.25" customHeight="1" x14ac:dyDescent="0.25"/>
    <row r="4335" ht="14.25" customHeight="1" x14ac:dyDescent="0.25"/>
    <row r="4336" ht="14.25" customHeight="1" x14ac:dyDescent="0.25"/>
    <row r="4337" ht="14.25" customHeight="1" x14ac:dyDescent="0.25"/>
    <row r="4338" ht="14.25" customHeight="1" x14ac:dyDescent="0.25"/>
    <row r="4339" ht="14.25" customHeight="1" x14ac:dyDescent="0.25"/>
    <row r="4340" ht="14.25" customHeight="1" x14ac:dyDescent="0.25"/>
    <row r="4341" ht="14.25" customHeight="1" x14ac:dyDescent="0.25"/>
    <row r="4342" ht="14.25" customHeight="1" x14ac:dyDescent="0.25"/>
    <row r="4343" ht="14.25" customHeight="1" x14ac:dyDescent="0.25"/>
    <row r="4344" ht="14.25" customHeight="1" x14ac:dyDescent="0.25"/>
    <row r="4345" ht="14.25" customHeight="1" x14ac:dyDescent="0.25"/>
    <row r="4346" ht="14.25" customHeight="1" x14ac:dyDescent="0.25"/>
    <row r="4347" ht="14.25" customHeight="1" x14ac:dyDescent="0.25"/>
    <row r="4348" ht="14.25" customHeight="1" x14ac:dyDescent="0.25"/>
    <row r="4349" ht="14.25" customHeight="1" x14ac:dyDescent="0.25"/>
    <row r="4350" ht="14.25" customHeight="1" x14ac:dyDescent="0.25"/>
    <row r="4351" ht="14.25" customHeight="1" x14ac:dyDescent="0.25"/>
    <row r="4352" ht="14.25" customHeight="1" x14ac:dyDescent="0.25"/>
    <row r="4353" ht="14.25" customHeight="1" x14ac:dyDescent="0.25"/>
    <row r="4354" ht="14.25" customHeight="1" x14ac:dyDescent="0.25"/>
    <row r="4355" ht="14.25" customHeight="1" x14ac:dyDescent="0.25"/>
    <row r="4356" ht="14.25" customHeight="1" x14ac:dyDescent="0.25"/>
    <row r="4357" ht="14.25" customHeight="1" x14ac:dyDescent="0.25"/>
    <row r="4358" ht="14.25" customHeight="1" x14ac:dyDescent="0.25"/>
    <row r="4359" ht="14.25" customHeight="1" x14ac:dyDescent="0.25"/>
    <row r="4360" ht="14.25" customHeight="1" x14ac:dyDescent="0.25"/>
    <row r="4361" ht="14.25" customHeight="1" x14ac:dyDescent="0.25"/>
    <row r="4362" ht="14.25" customHeight="1" x14ac:dyDescent="0.25"/>
    <row r="4363" ht="14.25" customHeight="1" x14ac:dyDescent="0.25"/>
    <row r="4364" ht="14.25" customHeight="1" x14ac:dyDescent="0.25"/>
    <row r="4365" ht="14.25" customHeight="1" x14ac:dyDescent="0.25"/>
    <row r="4366" ht="14.25" customHeight="1" x14ac:dyDescent="0.25"/>
    <row r="4367" ht="14.25" customHeight="1" x14ac:dyDescent="0.25"/>
    <row r="4368" ht="14.25" customHeight="1" x14ac:dyDescent="0.25"/>
    <row r="4369" ht="14.25" customHeight="1" x14ac:dyDescent="0.25"/>
    <row r="4370" ht="14.25" customHeight="1" x14ac:dyDescent="0.25"/>
    <row r="4371" ht="14.25" customHeight="1" x14ac:dyDescent="0.25"/>
    <row r="4372" ht="14.25" customHeight="1" x14ac:dyDescent="0.25"/>
    <row r="4373" ht="14.25" customHeight="1" x14ac:dyDescent="0.25"/>
    <row r="4374" ht="14.25" customHeight="1" x14ac:dyDescent="0.25"/>
    <row r="4375" ht="14.25" customHeight="1" x14ac:dyDescent="0.25"/>
    <row r="4376" ht="14.25" customHeight="1" x14ac:dyDescent="0.25"/>
    <row r="4377" ht="14.25" customHeight="1" x14ac:dyDescent="0.25"/>
    <row r="4378" ht="14.25" customHeight="1" x14ac:dyDescent="0.25"/>
    <row r="4379" ht="14.25" customHeight="1" x14ac:dyDescent="0.25"/>
    <row r="4380" ht="14.25" customHeight="1" x14ac:dyDescent="0.25"/>
    <row r="4381" ht="14.25" customHeight="1" x14ac:dyDescent="0.25"/>
    <row r="4382" ht="14.25" customHeight="1" x14ac:dyDescent="0.25"/>
    <row r="4383" ht="14.25" customHeight="1" x14ac:dyDescent="0.25"/>
    <row r="4384" ht="14.25" customHeight="1" x14ac:dyDescent="0.25"/>
    <row r="4385" ht="14.25" customHeight="1" x14ac:dyDescent="0.25"/>
    <row r="4386" ht="14.25" customHeight="1" x14ac:dyDescent="0.25"/>
    <row r="4387" ht="14.25" customHeight="1" x14ac:dyDescent="0.25"/>
    <row r="4388" ht="14.25" customHeight="1" x14ac:dyDescent="0.25"/>
    <row r="4389" ht="14.25" customHeight="1" x14ac:dyDescent="0.25"/>
    <row r="4390" ht="14.25" customHeight="1" x14ac:dyDescent="0.25"/>
    <row r="4391" ht="14.25" customHeight="1" x14ac:dyDescent="0.25"/>
    <row r="4392" ht="14.25" customHeight="1" x14ac:dyDescent="0.25"/>
    <row r="4393" ht="14.25" customHeight="1" x14ac:dyDescent="0.25"/>
    <row r="4394" ht="14.25" customHeight="1" x14ac:dyDescent="0.25"/>
    <row r="4395" ht="14.25" customHeight="1" x14ac:dyDescent="0.25"/>
    <row r="4396" ht="14.25" customHeight="1" x14ac:dyDescent="0.25"/>
    <row r="4397" ht="14.25" customHeight="1" x14ac:dyDescent="0.25"/>
    <row r="4398" ht="14.25" customHeight="1" x14ac:dyDescent="0.25"/>
    <row r="4399" ht="14.25" customHeight="1" x14ac:dyDescent="0.25"/>
    <row r="4400" ht="14.25" customHeight="1" x14ac:dyDescent="0.25"/>
    <row r="4401" ht="14.25" customHeight="1" x14ac:dyDescent="0.25"/>
    <row r="4402" ht="14.25" customHeight="1" x14ac:dyDescent="0.25"/>
    <row r="4403" ht="14.25" customHeight="1" x14ac:dyDescent="0.25"/>
    <row r="4404" ht="14.25" customHeight="1" x14ac:dyDescent="0.25"/>
    <row r="4405" ht="14.25" customHeight="1" x14ac:dyDescent="0.25"/>
    <row r="4406" ht="14.25" customHeight="1" x14ac:dyDescent="0.25"/>
    <row r="4407" ht="14.25" customHeight="1" x14ac:dyDescent="0.25"/>
    <row r="4408" ht="14.25" customHeight="1" x14ac:dyDescent="0.25"/>
    <row r="4409" ht="14.25" customHeight="1" x14ac:dyDescent="0.25"/>
    <row r="4410" ht="14.25" customHeight="1" x14ac:dyDescent="0.25"/>
    <row r="4411" ht="14.25" customHeight="1" x14ac:dyDescent="0.25"/>
    <row r="4412" ht="14.25" customHeight="1" x14ac:dyDescent="0.25"/>
    <row r="4413" ht="14.25" customHeight="1" x14ac:dyDescent="0.25"/>
    <row r="4414" ht="14.25" customHeight="1" x14ac:dyDescent="0.25"/>
    <row r="4415" ht="14.25" customHeight="1" x14ac:dyDescent="0.25"/>
    <row r="4416" ht="14.25" customHeight="1" x14ac:dyDescent="0.25"/>
    <row r="4417" ht="14.25" customHeight="1" x14ac:dyDescent="0.25"/>
    <row r="4418" ht="14.25" customHeight="1" x14ac:dyDescent="0.25"/>
    <row r="4419" ht="14.25" customHeight="1" x14ac:dyDescent="0.25"/>
    <row r="4420" ht="14.25" customHeight="1" x14ac:dyDescent="0.25"/>
    <row r="4421" ht="14.25" customHeight="1" x14ac:dyDescent="0.25"/>
    <row r="4422" ht="14.25" customHeight="1" x14ac:dyDescent="0.25"/>
    <row r="4423" ht="14.25" customHeight="1" x14ac:dyDescent="0.25"/>
    <row r="4424" ht="14.25" customHeight="1" x14ac:dyDescent="0.25"/>
    <row r="4425" ht="14.25" customHeight="1" x14ac:dyDescent="0.25"/>
    <row r="4426" ht="14.25" customHeight="1" x14ac:dyDescent="0.25"/>
    <row r="4427" ht="14.25" customHeight="1" x14ac:dyDescent="0.25"/>
    <row r="4428" ht="14.25" customHeight="1" x14ac:dyDescent="0.25"/>
    <row r="4429" ht="14.25" customHeight="1" x14ac:dyDescent="0.25"/>
    <row r="4430" ht="14.25" customHeight="1" x14ac:dyDescent="0.25"/>
    <row r="4431" ht="14.25" customHeight="1" x14ac:dyDescent="0.25"/>
    <row r="4432" ht="14.25" customHeight="1" x14ac:dyDescent="0.25"/>
    <row r="4433" ht="14.25" customHeight="1" x14ac:dyDescent="0.25"/>
    <row r="4434" ht="14.25" customHeight="1" x14ac:dyDescent="0.25"/>
    <row r="4435" ht="14.25" customHeight="1" x14ac:dyDescent="0.25"/>
    <row r="4436" ht="14.25" customHeight="1" x14ac:dyDescent="0.25"/>
    <row r="4437" ht="14.25" customHeight="1" x14ac:dyDescent="0.25"/>
    <row r="4438" ht="14.25" customHeight="1" x14ac:dyDescent="0.25"/>
    <row r="4439" ht="14.25" customHeight="1" x14ac:dyDescent="0.25"/>
    <row r="4440" ht="14.25" customHeight="1" x14ac:dyDescent="0.25"/>
    <row r="4441" ht="14.25" customHeight="1" x14ac:dyDescent="0.25"/>
    <row r="4442" ht="14.25" customHeight="1" x14ac:dyDescent="0.25"/>
    <row r="4443" ht="14.25" customHeight="1" x14ac:dyDescent="0.25"/>
    <row r="4444" ht="14.25" customHeight="1" x14ac:dyDescent="0.25"/>
    <row r="4445" ht="14.25" customHeight="1" x14ac:dyDescent="0.25"/>
    <row r="4446" ht="14.25" customHeight="1" x14ac:dyDescent="0.25"/>
    <row r="4447" ht="14.25" customHeight="1" x14ac:dyDescent="0.25"/>
    <row r="4448" ht="14.25" customHeight="1" x14ac:dyDescent="0.25"/>
    <row r="4449" ht="14.25" customHeight="1" x14ac:dyDescent="0.25"/>
    <row r="4450" ht="14.25" customHeight="1" x14ac:dyDescent="0.25"/>
    <row r="4451" ht="14.25" customHeight="1" x14ac:dyDescent="0.25"/>
    <row r="4452" ht="14.25" customHeight="1" x14ac:dyDescent="0.25"/>
    <row r="4453" ht="14.25" customHeight="1" x14ac:dyDescent="0.25"/>
    <row r="4454" ht="14.25" customHeight="1" x14ac:dyDescent="0.25"/>
    <row r="4455" ht="14.25" customHeight="1" x14ac:dyDescent="0.25"/>
    <row r="4456" ht="14.25" customHeight="1" x14ac:dyDescent="0.25"/>
    <row r="4457" ht="14.25" customHeight="1" x14ac:dyDescent="0.25"/>
    <row r="4458" ht="14.25" customHeight="1" x14ac:dyDescent="0.25"/>
    <row r="4459" ht="14.25" customHeight="1" x14ac:dyDescent="0.25"/>
    <row r="4460" ht="14.25" customHeight="1" x14ac:dyDescent="0.25"/>
    <row r="4461" ht="14.25" customHeight="1" x14ac:dyDescent="0.25"/>
    <row r="4462" ht="14.25" customHeight="1" x14ac:dyDescent="0.25"/>
    <row r="4463" ht="14.25" customHeight="1" x14ac:dyDescent="0.25"/>
    <row r="4464" ht="14.25" customHeight="1" x14ac:dyDescent="0.25"/>
    <row r="4465" ht="14.25" customHeight="1" x14ac:dyDescent="0.25"/>
    <row r="4466" ht="14.25" customHeight="1" x14ac:dyDescent="0.25"/>
    <row r="4467" ht="14.25" customHeight="1" x14ac:dyDescent="0.25"/>
    <row r="4468" ht="14.25" customHeight="1" x14ac:dyDescent="0.25"/>
    <row r="4469" ht="14.25" customHeight="1" x14ac:dyDescent="0.25"/>
    <row r="4470" ht="14.25" customHeight="1" x14ac:dyDescent="0.25"/>
    <row r="4471" ht="14.25" customHeight="1" x14ac:dyDescent="0.25"/>
    <row r="4472" ht="14.25" customHeight="1" x14ac:dyDescent="0.25"/>
    <row r="4473" ht="14.25" customHeight="1" x14ac:dyDescent="0.25"/>
    <row r="4474" ht="14.25" customHeight="1" x14ac:dyDescent="0.25"/>
    <row r="4475" ht="14.25" customHeight="1" x14ac:dyDescent="0.25"/>
    <row r="4476" ht="14.25" customHeight="1" x14ac:dyDescent="0.25"/>
    <row r="4477" ht="14.25" customHeight="1" x14ac:dyDescent="0.25"/>
    <row r="4478" ht="14.25" customHeight="1" x14ac:dyDescent="0.25"/>
    <row r="4479" ht="14.25" customHeight="1" x14ac:dyDescent="0.25"/>
    <row r="4480" ht="14.25" customHeight="1" x14ac:dyDescent="0.25"/>
    <row r="4481" ht="14.25" customHeight="1" x14ac:dyDescent="0.25"/>
    <row r="4482" ht="14.25" customHeight="1" x14ac:dyDescent="0.25"/>
    <row r="4483" ht="14.25" customHeight="1" x14ac:dyDescent="0.25"/>
    <row r="4484" ht="14.25" customHeight="1" x14ac:dyDescent="0.25"/>
    <row r="4485" ht="14.25" customHeight="1" x14ac:dyDescent="0.25"/>
    <row r="4486" ht="14.25" customHeight="1" x14ac:dyDescent="0.25"/>
    <row r="4487" ht="14.25" customHeight="1" x14ac:dyDescent="0.25"/>
    <row r="4488" ht="14.25" customHeight="1" x14ac:dyDescent="0.25"/>
    <row r="4489" ht="14.25" customHeight="1" x14ac:dyDescent="0.25"/>
    <row r="4490" ht="14.25" customHeight="1" x14ac:dyDescent="0.25"/>
    <row r="4491" ht="14.25" customHeight="1" x14ac:dyDescent="0.25"/>
    <row r="4492" ht="14.25" customHeight="1" x14ac:dyDescent="0.25"/>
    <row r="4493" ht="14.25" customHeight="1" x14ac:dyDescent="0.25"/>
    <row r="4494" ht="14.25" customHeight="1" x14ac:dyDescent="0.25"/>
    <row r="4495" ht="14.25" customHeight="1" x14ac:dyDescent="0.25"/>
    <row r="4496" ht="14.25" customHeight="1" x14ac:dyDescent="0.25"/>
    <row r="4497" ht="14.25" customHeight="1" x14ac:dyDescent="0.25"/>
    <row r="4498" ht="14.25" customHeight="1" x14ac:dyDescent="0.25"/>
    <row r="4499" ht="14.25" customHeight="1" x14ac:dyDescent="0.25"/>
    <row r="4500" ht="14.25" customHeight="1" x14ac:dyDescent="0.25"/>
    <row r="4501" ht="14.25" customHeight="1" x14ac:dyDescent="0.25"/>
    <row r="4502" ht="14.25" customHeight="1" x14ac:dyDescent="0.25"/>
    <row r="4503" ht="14.25" customHeight="1" x14ac:dyDescent="0.25"/>
    <row r="4504" ht="14.25" customHeight="1" x14ac:dyDescent="0.25"/>
    <row r="4505" ht="14.25" customHeight="1" x14ac:dyDescent="0.25"/>
    <row r="4506" ht="14.25" customHeight="1" x14ac:dyDescent="0.25"/>
    <row r="4507" ht="14.25" customHeight="1" x14ac:dyDescent="0.25"/>
    <row r="4508" ht="14.25" customHeight="1" x14ac:dyDescent="0.25"/>
    <row r="4509" ht="14.25" customHeight="1" x14ac:dyDescent="0.25"/>
    <row r="4510" ht="14.25" customHeight="1" x14ac:dyDescent="0.25"/>
    <row r="4511" ht="14.25" customHeight="1" x14ac:dyDescent="0.25"/>
    <row r="4512" ht="14.25" customHeight="1" x14ac:dyDescent="0.25"/>
    <row r="4513" ht="14.25" customHeight="1" x14ac:dyDescent="0.25"/>
    <row r="4514" ht="14.25" customHeight="1" x14ac:dyDescent="0.25"/>
    <row r="4515" ht="14.25" customHeight="1" x14ac:dyDescent="0.25"/>
    <row r="4516" ht="14.25" customHeight="1" x14ac:dyDescent="0.25"/>
    <row r="4517" ht="14.25" customHeight="1" x14ac:dyDescent="0.25"/>
    <row r="4518" ht="14.25" customHeight="1" x14ac:dyDescent="0.25"/>
    <row r="4519" ht="14.25" customHeight="1" x14ac:dyDescent="0.25"/>
    <row r="4520" ht="14.25" customHeight="1" x14ac:dyDescent="0.25"/>
    <row r="4521" ht="14.25" customHeight="1" x14ac:dyDescent="0.25"/>
    <row r="4522" ht="14.25" customHeight="1" x14ac:dyDescent="0.25"/>
    <row r="4523" ht="14.25" customHeight="1" x14ac:dyDescent="0.25"/>
    <row r="4524" ht="14.25" customHeight="1" x14ac:dyDescent="0.25"/>
    <row r="4525" ht="14.25" customHeight="1" x14ac:dyDescent="0.25"/>
    <row r="4526" ht="14.25" customHeight="1" x14ac:dyDescent="0.25"/>
    <row r="4527" ht="14.25" customHeight="1" x14ac:dyDescent="0.25"/>
    <row r="4528" ht="14.25" customHeight="1" x14ac:dyDescent="0.25"/>
    <row r="4529" ht="14.25" customHeight="1" x14ac:dyDescent="0.25"/>
    <row r="4530" ht="14.25" customHeight="1" x14ac:dyDescent="0.25"/>
    <row r="4531" ht="14.25" customHeight="1" x14ac:dyDescent="0.25"/>
    <row r="4532" ht="14.25" customHeight="1" x14ac:dyDescent="0.25"/>
    <row r="4533" ht="14.25" customHeight="1" x14ac:dyDescent="0.25"/>
    <row r="4534" ht="14.25" customHeight="1" x14ac:dyDescent="0.25"/>
    <row r="4535" ht="14.25" customHeight="1" x14ac:dyDescent="0.25"/>
    <row r="4536" ht="14.25" customHeight="1" x14ac:dyDescent="0.25"/>
    <row r="4537" ht="14.25" customHeight="1" x14ac:dyDescent="0.25"/>
    <row r="4538" ht="14.25" customHeight="1" x14ac:dyDescent="0.25"/>
    <row r="4539" ht="14.25" customHeight="1" x14ac:dyDescent="0.25"/>
    <row r="4540" ht="14.25" customHeight="1" x14ac:dyDescent="0.25"/>
    <row r="4541" ht="14.25" customHeight="1" x14ac:dyDescent="0.25"/>
    <row r="4542" ht="14.25" customHeight="1" x14ac:dyDescent="0.25"/>
    <row r="4543" ht="14.25" customHeight="1" x14ac:dyDescent="0.25"/>
    <row r="4544" ht="14.25" customHeight="1" x14ac:dyDescent="0.25"/>
    <row r="4545" ht="14.25" customHeight="1" x14ac:dyDescent="0.25"/>
    <row r="4546" ht="14.25" customHeight="1" x14ac:dyDescent="0.25"/>
    <row r="4547" ht="14.25" customHeight="1" x14ac:dyDescent="0.25"/>
    <row r="4548" ht="14.25" customHeight="1" x14ac:dyDescent="0.25"/>
    <row r="4549" ht="14.25" customHeight="1" x14ac:dyDescent="0.25"/>
    <row r="4550" ht="14.25" customHeight="1" x14ac:dyDescent="0.25"/>
    <row r="4551" ht="14.25" customHeight="1" x14ac:dyDescent="0.25"/>
    <row r="4552" ht="14.25" customHeight="1" x14ac:dyDescent="0.25"/>
    <row r="4553" ht="14.25" customHeight="1" x14ac:dyDescent="0.25"/>
    <row r="4554" ht="14.25" customHeight="1" x14ac:dyDescent="0.25"/>
    <row r="4555" ht="14.25" customHeight="1" x14ac:dyDescent="0.25"/>
    <row r="4556" ht="14.25" customHeight="1" x14ac:dyDescent="0.25"/>
    <row r="4557" ht="14.25" customHeight="1" x14ac:dyDescent="0.25"/>
    <row r="4558" ht="14.25" customHeight="1" x14ac:dyDescent="0.25"/>
    <row r="4559" ht="14.25" customHeight="1" x14ac:dyDescent="0.25"/>
    <row r="4560" ht="14.25" customHeight="1" x14ac:dyDescent="0.25"/>
    <row r="4561" ht="14.25" customHeight="1" x14ac:dyDescent="0.25"/>
    <row r="4562" ht="14.25" customHeight="1" x14ac:dyDescent="0.25"/>
    <row r="4563" ht="14.25" customHeight="1" x14ac:dyDescent="0.25"/>
    <row r="4564" ht="14.25" customHeight="1" x14ac:dyDescent="0.25"/>
    <row r="4565" ht="14.25" customHeight="1" x14ac:dyDescent="0.25"/>
    <row r="4566" ht="14.25" customHeight="1" x14ac:dyDescent="0.25"/>
    <row r="4567" ht="14.25" customHeight="1" x14ac:dyDescent="0.25"/>
    <row r="4568" ht="14.25" customHeight="1" x14ac:dyDescent="0.25"/>
    <row r="4569" ht="14.25" customHeight="1" x14ac:dyDescent="0.25"/>
    <row r="4570" ht="14.25" customHeight="1" x14ac:dyDescent="0.25"/>
    <row r="4571" ht="14.25" customHeight="1" x14ac:dyDescent="0.25"/>
    <row r="4572" ht="14.25" customHeight="1" x14ac:dyDescent="0.25"/>
    <row r="4573" ht="14.25" customHeight="1" x14ac:dyDescent="0.25"/>
    <row r="4574" ht="14.25" customHeight="1" x14ac:dyDescent="0.25"/>
    <row r="4575" ht="14.25" customHeight="1" x14ac:dyDescent="0.25"/>
    <row r="4576" ht="14.25" customHeight="1" x14ac:dyDescent="0.25"/>
    <row r="4577" ht="14.25" customHeight="1" x14ac:dyDescent="0.25"/>
    <row r="4578" ht="14.25" customHeight="1" x14ac:dyDescent="0.25"/>
    <row r="4579" ht="14.25" customHeight="1" x14ac:dyDescent="0.25"/>
    <row r="4580" ht="14.25" customHeight="1" x14ac:dyDescent="0.25"/>
    <row r="4581" ht="14.25" customHeight="1" x14ac:dyDescent="0.25"/>
    <row r="4582" ht="14.25" customHeight="1" x14ac:dyDescent="0.25"/>
    <row r="4583" ht="14.25" customHeight="1" x14ac:dyDescent="0.25"/>
    <row r="4584" ht="14.25" customHeight="1" x14ac:dyDescent="0.25"/>
    <row r="4585" ht="14.25" customHeight="1" x14ac:dyDescent="0.25"/>
    <row r="4586" ht="14.25" customHeight="1" x14ac:dyDescent="0.25"/>
    <row r="4587" ht="14.25" customHeight="1" x14ac:dyDescent="0.25"/>
    <row r="4588" ht="14.25" customHeight="1" x14ac:dyDescent="0.25"/>
    <row r="4589" ht="14.25" customHeight="1" x14ac:dyDescent="0.25"/>
    <row r="4590" ht="14.25" customHeight="1" x14ac:dyDescent="0.25"/>
    <row r="4591" ht="14.25" customHeight="1" x14ac:dyDescent="0.25"/>
    <row r="4592" ht="14.25" customHeight="1" x14ac:dyDescent="0.25"/>
    <row r="4593" ht="14.25" customHeight="1" x14ac:dyDescent="0.25"/>
    <row r="4594" ht="14.25" customHeight="1" x14ac:dyDescent="0.25"/>
    <row r="4595" ht="14.25" customHeight="1" x14ac:dyDescent="0.25"/>
    <row r="4596" ht="14.25" customHeight="1" x14ac:dyDescent="0.25"/>
    <row r="4597" ht="14.25" customHeight="1" x14ac:dyDescent="0.25"/>
    <row r="4598" ht="14.25" customHeight="1" x14ac:dyDescent="0.25"/>
    <row r="4599" ht="14.25" customHeight="1" x14ac:dyDescent="0.25"/>
    <row r="4600" ht="14.25" customHeight="1" x14ac:dyDescent="0.25"/>
    <row r="4601" ht="14.25" customHeight="1" x14ac:dyDescent="0.25"/>
    <row r="4602" ht="14.25" customHeight="1" x14ac:dyDescent="0.25"/>
    <row r="4603" ht="14.25" customHeight="1" x14ac:dyDescent="0.25"/>
    <row r="4604" ht="14.25" customHeight="1" x14ac:dyDescent="0.25"/>
    <row r="4605" ht="14.25" customHeight="1" x14ac:dyDescent="0.25"/>
    <row r="4606" ht="14.25" customHeight="1" x14ac:dyDescent="0.25"/>
    <row r="4607" ht="14.25" customHeight="1" x14ac:dyDescent="0.25"/>
    <row r="4608" ht="14.25" customHeight="1" x14ac:dyDescent="0.25"/>
    <row r="4609" ht="14.25" customHeight="1" x14ac:dyDescent="0.25"/>
    <row r="4610" ht="14.25" customHeight="1" x14ac:dyDescent="0.25"/>
    <row r="4611" ht="14.25" customHeight="1" x14ac:dyDescent="0.25"/>
    <row r="4612" ht="14.25" customHeight="1" x14ac:dyDescent="0.25"/>
    <row r="4613" ht="14.25" customHeight="1" x14ac:dyDescent="0.25"/>
    <row r="4614" ht="14.25" customHeight="1" x14ac:dyDescent="0.25"/>
    <row r="4615" ht="14.25" customHeight="1" x14ac:dyDescent="0.25"/>
    <row r="4616" ht="14.25" customHeight="1" x14ac:dyDescent="0.25"/>
    <row r="4617" ht="14.25" customHeight="1" x14ac:dyDescent="0.25"/>
    <row r="4618" ht="14.25" customHeight="1" x14ac:dyDescent="0.25"/>
    <row r="4619" ht="14.25" customHeight="1" x14ac:dyDescent="0.25"/>
    <row r="4620" ht="14.25" customHeight="1" x14ac:dyDescent="0.25"/>
    <row r="4621" ht="14.25" customHeight="1" x14ac:dyDescent="0.25"/>
    <row r="4622" ht="14.25" customHeight="1" x14ac:dyDescent="0.25"/>
    <row r="4623" ht="14.25" customHeight="1" x14ac:dyDescent="0.25"/>
    <row r="4624" ht="14.25" customHeight="1" x14ac:dyDescent="0.25"/>
    <row r="4625" ht="14.25" customHeight="1" x14ac:dyDescent="0.25"/>
    <row r="4626" ht="14.25" customHeight="1" x14ac:dyDescent="0.25"/>
    <row r="4627" ht="14.25" customHeight="1" x14ac:dyDescent="0.25"/>
    <row r="4628" ht="14.25" customHeight="1" x14ac:dyDescent="0.25"/>
    <row r="4629" ht="14.25" customHeight="1" x14ac:dyDescent="0.25"/>
    <row r="4630" ht="14.25" customHeight="1" x14ac:dyDescent="0.25"/>
    <row r="4631" ht="14.25" customHeight="1" x14ac:dyDescent="0.25"/>
    <row r="4632" ht="14.25" customHeight="1" x14ac:dyDescent="0.25"/>
    <row r="4633" ht="14.25" customHeight="1" x14ac:dyDescent="0.25"/>
    <row r="4634" ht="14.25" customHeight="1" x14ac:dyDescent="0.25"/>
    <row r="4635" ht="14.25" customHeight="1" x14ac:dyDescent="0.25"/>
    <row r="4636" ht="14.25" customHeight="1" x14ac:dyDescent="0.25"/>
    <row r="4637" ht="14.25" customHeight="1" x14ac:dyDescent="0.25"/>
    <row r="4638" ht="14.25" customHeight="1" x14ac:dyDescent="0.25"/>
    <row r="4639" ht="14.25" customHeight="1" x14ac:dyDescent="0.25"/>
    <row r="4640" ht="14.25" customHeight="1" x14ac:dyDescent="0.25"/>
    <row r="4641" ht="14.25" customHeight="1" x14ac:dyDescent="0.25"/>
    <row r="4642" ht="14.25" customHeight="1" x14ac:dyDescent="0.25"/>
    <row r="4643" ht="14.25" customHeight="1" x14ac:dyDescent="0.25"/>
    <row r="4644" ht="14.25" customHeight="1" x14ac:dyDescent="0.25"/>
    <row r="4645" ht="14.25" customHeight="1" x14ac:dyDescent="0.25"/>
    <row r="4646" ht="14.25" customHeight="1" x14ac:dyDescent="0.25"/>
    <row r="4647" ht="14.25" customHeight="1" x14ac:dyDescent="0.25"/>
    <row r="4648" ht="14.25" customHeight="1" x14ac:dyDescent="0.25"/>
    <row r="4649" ht="14.25" customHeight="1" x14ac:dyDescent="0.25"/>
    <row r="4650" ht="14.25" customHeight="1" x14ac:dyDescent="0.25"/>
    <row r="4651" ht="14.25" customHeight="1" x14ac:dyDescent="0.25"/>
    <row r="4652" ht="14.25" customHeight="1" x14ac:dyDescent="0.25"/>
    <row r="4653" ht="14.25" customHeight="1" x14ac:dyDescent="0.25"/>
    <row r="4654" ht="14.25" customHeight="1" x14ac:dyDescent="0.25"/>
    <row r="4655" ht="14.25" customHeight="1" x14ac:dyDescent="0.25"/>
    <row r="4656" ht="14.25" customHeight="1" x14ac:dyDescent="0.25"/>
    <row r="4657" ht="14.25" customHeight="1" x14ac:dyDescent="0.25"/>
    <row r="4658" ht="14.25" customHeight="1" x14ac:dyDescent="0.25"/>
    <row r="4659" ht="14.25" customHeight="1" x14ac:dyDescent="0.25"/>
    <row r="4660" ht="14.25" customHeight="1" x14ac:dyDescent="0.25"/>
    <row r="4661" ht="14.25" customHeight="1" x14ac:dyDescent="0.25"/>
    <row r="4662" ht="14.25" customHeight="1" x14ac:dyDescent="0.25"/>
    <row r="4663" ht="14.25" customHeight="1" x14ac:dyDescent="0.25"/>
    <row r="4664" ht="14.25" customHeight="1" x14ac:dyDescent="0.25"/>
    <row r="4665" ht="14.25" customHeight="1" x14ac:dyDescent="0.25"/>
    <row r="4666" ht="14.25" customHeight="1" x14ac:dyDescent="0.25"/>
    <row r="4667" ht="14.25" customHeight="1" x14ac:dyDescent="0.25"/>
    <row r="4668" ht="14.25" customHeight="1" x14ac:dyDescent="0.25"/>
    <row r="4669" ht="14.25" customHeight="1" x14ac:dyDescent="0.25"/>
    <row r="4670" ht="14.25" customHeight="1" x14ac:dyDescent="0.25"/>
    <row r="4671" ht="14.25" customHeight="1" x14ac:dyDescent="0.25"/>
    <row r="4672" ht="14.25" customHeight="1" x14ac:dyDescent="0.25"/>
    <row r="4673" ht="14.25" customHeight="1" x14ac:dyDescent="0.25"/>
    <row r="4674" ht="14.25" customHeight="1" x14ac:dyDescent="0.25"/>
    <row r="4675" ht="14.25" customHeight="1" x14ac:dyDescent="0.25"/>
    <row r="4676" ht="14.25" customHeight="1" x14ac:dyDescent="0.25"/>
    <row r="4677" ht="14.25" customHeight="1" x14ac:dyDescent="0.25"/>
    <row r="4678" ht="14.25" customHeight="1" x14ac:dyDescent="0.25"/>
    <row r="4679" ht="14.25" customHeight="1" x14ac:dyDescent="0.25"/>
    <row r="4680" ht="14.25" customHeight="1" x14ac:dyDescent="0.25"/>
    <row r="4681" ht="14.25" customHeight="1" x14ac:dyDescent="0.25"/>
    <row r="4682" ht="14.25" customHeight="1" x14ac:dyDescent="0.25"/>
    <row r="4683" ht="14.25" customHeight="1" x14ac:dyDescent="0.25"/>
    <row r="4684" ht="14.25" customHeight="1" x14ac:dyDescent="0.25"/>
    <row r="4685" ht="14.25" customHeight="1" x14ac:dyDescent="0.25"/>
    <row r="4686" ht="14.25" customHeight="1" x14ac:dyDescent="0.25"/>
    <row r="4687" ht="14.25" customHeight="1" x14ac:dyDescent="0.25"/>
    <row r="4688" ht="14.25" customHeight="1" x14ac:dyDescent="0.25"/>
    <row r="4689" ht="14.25" customHeight="1" x14ac:dyDescent="0.25"/>
    <row r="4690" ht="14.25" customHeight="1" x14ac:dyDescent="0.25"/>
    <row r="4691" ht="14.25" customHeight="1" x14ac:dyDescent="0.25"/>
    <row r="4692" ht="14.25" customHeight="1" x14ac:dyDescent="0.25"/>
    <row r="4693" ht="14.25" customHeight="1" x14ac:dyDescent="0.25"/>
    <row r="4694" ht="14.25" customHeight="1" x14ac:dyDescent="0.25"/>
    <row r="4695" ht="14.25" customHeight="1" x14ac:dyDescent="0.25"/>
    <row r="4696" ht="14.25" customHeight="1" x14ac:dyDescent="0.25"/>
    <row r="4697" ht="14.25" customHeight="1" x14ac:dyDescent="0.25"/>
    <row r="4698" ht="14.25" customHeight="1" x14ac:dyDescent="0.25"/>
    <row r="4699" ht="14.25" customHeight="1" x14ac:dyDescent="0.25"/>
    <row r="4700" ht="14.25" customHeight="1" x14ac:dyDescent="0.25"/>
    <row r="4701" ht="14.25" customHeight="1" x14ac:dyDescent="0.25"/>
    <row r="4702" ht="14.25" customHeight="1" x14ac:dyDescent="0.25"/>
    <row r="4703" ht="14.25" customHeight="1" x14ac:dyDescent="0.25"/>
    <row r="4704" ht="14.25" customHeight="1" x14ac:dyDescent="0.25"/>
    <row r="4705" ht="14.25" customHeight="1" x14ac:dyDescent="0.25"/>
    <row r="4706" ht="14.25" customHeight="1" x14ac:dyDescent="0.25"/>
    <row r="4707" ht="14.25" customHeight="1" x14ac:dyDescent="0.25"/>
    <row r="4708" ht="14.25" customHeight="1" x14ac:dyDescent="0.25"/>
    <row r="4709" ht="14.25" customHeight="1" x14ac:dyDescent="0.25"/>
    <row r="4710" ht="14.25" customHeight="1" x14ac:dyDescent="0.25"/>
    <row r="4711" ht="14.25" customHeight="1" x14ac:dyDescent="0.25"/>
    <row r="4712" ht="14.25" customHeight="1" x14ac:dyDescent="0.25"/>
    <row r="4713" ht="14.25" customHeight="1" x14ac:dyDescent="0.25"/>
    <row r="4714" ht="14.25" customHeight="1" x14ac:dyDescent="0.25"/>
    <row r="4715" ht="14.25" customHeight="1" x14ac:dyDescent="0.25"/>
    <row r="4716" ht="14.25" customHeight="1" x14ac:dyDescent="0.25"/>
    <row r="4717" ht="14.25" customHeight="1" x14ac:dyDescent="0.25"/>
    <row r="4718" ht="14.25" customHeight="1" x14ac:dyDescent="0.25"/>
    <row r="4719" ht="14.25" customHeight="1" x14ac:dyDescent="0.25"/>
    <row r="4720" ht="14.25" customHeight="1" x14ac:dyDescent="0.25"/>
    <row r="4721" ht="14.25" customHeight="1" x14ac:dyDescent="0.25"/>
    <row r="4722" ht="14.25" customHeight="1" x14ac:dyDescent="0.25"/>
    <row r="4723" ht="14.25" customHeight="1" x14ac:dyDescent="0.25"/>
    <row r="4724" ht="14.25" customHeight="1" x14ac:dyDescent="0.25"/>
    <row r="4725" ht="14.25" customHeight="1" x14ac:dyDescent="0.25"/>
    <row r="4726" ht="14.25" customHeight="1" x14ac:dyDescent="0.25"/>
    <row r="4727" ht="14.25" customHeight="1" x14ac:dyDescent="0.25"/>
    <row r="4728" ht="14.25" customHeight="1" x14ac:dyDescent="0.25"/>
    <row r="4729" ht="14.25" customHeight="1" x14ac:dyDescent="0.25"/>
    <row r="4730" ht="14.25" customHeight="1" x14ac:dyDescent="0.25"/>
    <row r="4731" ht="14.25" customHeight="1" x14ac:dyDescent="0.25"/>
    <row r="4732" ht="14.25" customHeight="1" x14ac:dyDescent="0.25"/>
    <row r="4733" ht="14.25" customHeight="1" x14ac:dyDescent="0.25"/>
    <row r="4734" ht="14.25" customHeight="1" x14ac:dyDescent="0.25"/>
    <row r="4735" ht="14.25" customHeight="1" x14ac:dyDescent="0.25"/>
    <row r="4736" ht="14.25" customHeight="1" x14ac:dyDescent="0.25"/>
    <row r="4737" ht="14.25" customHeight="1" x14ac:dyDescent="0.25"/>
    <row r="4738" ht="14.25" customHeight="1" x14ac:dyDescent="0.25"/>
    <row r="4739" ht="14.25" customHeight="1" x14ac:dyDescent="0.25"/>
    <row r="4740" ht="14.25" customHeight="1" x14ac:dyDescent="0.25"/>
    <row r="4741" ht="14.25" customHeight="1" x14ac:dyDescent="0.25"/>
    <row r="4742" ht="14.25" customHeight="1" x14ac:dyDescent="0.25"/>
    <row r="4743" ht="14.25" customHeight="1" x14ac:dyDescent="0.25"/>
    <row r="4744" ht="14.25" customHeight="1" x14ac:dyDescent="0.25"/>
    <row r="4745" ht="14.25" customHeight="1" x14ac:dyDescent="0.25"/>
    <row r="4746" ht="14.25" customHeight="1" x14ac:dyDescent="0.25"/>
    <row r="4747" ht="14.25" customHeight="1" x14ac:dyDescent="0.25"/>
    <row r="4748" ht="14.25" customHeight="1" x14ac:dyDescent="0.25"/>
    <row r="4749" ht="14.25" customHeight="1" x14ac:dyDescent="0.25"/>
    <row r="4750" ht="14.25" customHeight="1" x14ac:dyDescent="0.25"/>
    <row r="4751" ht="14.25" customHeight="1" x14ac:dyDescent="0.25"/>
    <row r="4752" ht="14.25" customHeight="1" x14ac:dyDescent="0.25"/>
    <row r="4753" ht="14.25" customHeight="1" x14ac:dyDescent="0.25"/>
    <row r="4754" ht="14.25" customHeight="1" x14ac:dyDescent="0.25"/>
    <row r="4755" ht="14.25" customHeight="1" x14ac:dyDescent="0.25"/>
    <row r="4756" ht="14.25" customHeight="1" x14ac:dyDescent="0.25"/>
    <row r="4757" ht="14.25" customHeight="1" x14ac:dyDescent="0.25"/>
    <row r="4758" ht="14.25" customHeight="1" x14ac:dyDescent="0.25"/>
    <row r="4759" ht="14.25" customHeight="1" x14ac:dyDescent="0.25"/>
    <row r="4760" ht="14.25" customHeight="1" x14ac:dyDescent="0.25"/>
    <row r="4761" ht="14.25" customHeight="1" x14ac:dyDescent="0.25"/>
    <row r="4762" ht="14.25" customHeight="1" x14ac:dyDescent="0.25"/>
    <row r="4763" ht="14.25" customHeight="1" x14ac:dyDescent="0.25"/>
    <row r="4764" ht="14.25" customHeight="1" x14ac:dyDescent="0.25"/>
    <row r="4765" ht="14.25" customHeight="1" x14ac:dyDescent="0.25"/>
    <row r="4766" ht="14.25" customHeight="1" x14ac:dyDescent="0.25"/>
    <row r="4767" ht="14.25" customHeight="1" x14ac:dyDescent="0.25"/>
    <row r="4768" ht="14.25" customHeight="1" x14ac:dyDescent="0.25"/>
    <row r="4769" ht="14.25" customHeight="1" x14ac:dyDescent="0.25"/>
    <row r="4770" ht="14.25" customHeight="1" x14ac:dyDescent="0.25"/>
    <row r="4771" ht="14.25" customHeight="1" x14ac:dyDescent="0.25"/>
    <row r="4772" ht="14.25" customHeight="1" x14ac:dyDescent="0.25"/>
    <row r="4773" ht="14.25" customHeight="1" x14ac:dyDescent="0.25"/>
    <row r="4774" ht="14.25" customHeight="1" x14ac:dyDescent="0.25"/>
    <row r="4775" ht="14.25" customHeight="1" x14ac:dyDescent="0.25"/>
    <row r="4776" ht="14.25" customHeight="1" x14ac:dyDescent="0.25"/>
    <row r="4777" ht="14.25" customHeight="1" x14ac:dyDescent="0.25"/>
    <row r="4778" ht="14.25" customHeight="1" x14ac:dyDescent="0.25"/>
    <row r="4779" ht="14.25" customHeight="1" x14ac:dyDescent="0.25"/>
    <row r="4780" ht="14.25" customHeight="1" x14ac:dyDescent="0.25"/>
    <row r="4781" ht="14.25" customHeight="1" x14ac:dyDescent="0.25"/>
    <row r="4782" ht="14.25" customHeight="1" x14ac:dyDescent="0.25"/>
    <row r="4783" ht="14.25" customHeight="1" x14ac:dyDescent="0.25"/>
    <row r="4784" ht="14.25" customHeight="1" x14ac:dyDescent="0.25"/>
    <row r="4785" ht="14.25" customHeight="1" x14ac:dyDescent="0.25"/>
    <row r="4786" ht="14.25" customHeight="1" x14ac:dyDescent="0.25"/>
    <row r="4787" ht="14.25" customHeight="1" x14ac:dyDescent="0.25"/>
    <row r="4788" ht="14.25" customHeight="1" x14ac:dyDescent="0.25"/>
    <row r="4789" ht="14.25" customHeight="1" x14ac:dyDescent="0.25"/>
    <row r="4790" ht="14.25" customHeight="1" x14ac:dyDescent="0.25"/>
    <row r="4791" ht="14.25" customHeight="1" x14ac:dyDescent="0.25"/>
    <row r="4792" ht="14.25" customHeight="1" x14ac:dyDescent="0.25"/>
    <row r="4793" ht="14.25" customHeight="1" x14ac:dyDescent="0.25"/>
    <row r="4794" ht="14.25" customHeight="1" x14ac:dyDescent="0.25"/>
    <row r="4795" ht="14.25" customHeight="1" x14ac:dyDescent="0.25"/>
    <row r="4796" ht="14.25" customHeight="1" x14ac:dyDescent="0.25"/>
    <row r="4797" ht="14.25" customHeight="1" x14ac:dyDescent="0.25"/>
    <row r="4798" ht="14.25" customHeight="1" x14ac:dyDescent="0.25"/>
    <row r="4799" ht="14.25" customHeight="1" x14ac:dyDescent="0.25"/>
    <row r="4800" ht="14.25" customHeight="1" x14ac:dyDescent="0.25"/>
    <row r="4801" ht="14.25" customHeight="1" x14ac:dyDescent="0.25"/>
    <row r="4802" ht="14.25" customHeight="1" x14ac:dyDescent="0.25"/>
    <row r="4803" ht="14.25" customHeight="1" x14ac:dyDescent="0.25"/>
    <row r="4804" ht="14.25" customHeight="1" x14ac:dyDescent="0.25"/>
    <row r="4805" ht="14.25" customHeight="1" x14ac:dyDescent="0.25"/>
    <row r="4806" ht="14.25" customHeight="1" x14ac:dyDescent="0.25"/>
    <row r="4807" ht="14.25" customHeight="1" x14ac:dyDescent="0.25"/>
    <row r="4808" ht="14.25" customHeight="1" x14ac:dyDescent="0.25"/>
    <row r="4809" ht="14.25" customHeight="1" x14ac:dyDescent="0.25"/>
    <row r="4810" ht="14.25" customHeight="1" x14ac:dyDescent="0.25"/>
    <row r="4811" ht="14.25" customHeight="1" x14ac:dyDescent="0.25"/>
    <row r="4812" ht="14.25" customHeight="1" x14ac:dyDescent="0.25"/>
    <row r="4813" ht="14.25" customHeight="1" x14ac:dyDescent="0.25"/>
    <row r="4814" ht="14.25" customHeight="1" x14ac:dyDescent="0.25"/>
    <row r="4815" ht="14.25" customHeight="1" x14ac:dyDescent="0.25"/>
    <row r="4816" ht="14.25" customHeight="1" x14ac:dyDescent="0.25"/>
    <row r="4817" ht="14.25" customHeight="1" x14ac:dyDescent="0.25"/>
    <row r="4818" ht="14.25" customHeight="1" x14ac:dyDescent="0.25"/>
    <row r="4819" ht="14.25" customHeight="1" x14ac:dyDescent="0.25"/>
    <row r="4820" ht="14.25" customHeight="1" x14ac:dyDescent="0.25"/>
    <row r="4821" ht="14.25" customHeight="1" x14ac:dyDescent="0.25"/>
    <row r="4822" ht="14.25" customHeight="1" x14ac:dyDescent="0.25"/>
    <row r="4823" ht="14.25" customHeight="1" x14ac:dyDescent="0.25"/>
    <row r="4824" ht="14.25" customHeight="1" x14ac:dyDescent="0.25"/>
    <row r="4825" ht="14.25" customHeight="1" x14ac:dyDescent="0.25"/>
    <row r="4826" ht="14.25" customHeight="1" x14ac:dyDescent="0.25"/>
    <row r="4827" ht="14.25" customHeight="1" x14ac:dyDescent="0.25"/>
    <row r="4828" ht="14.25" customHeight="1" x14ac:dyDescent="0.25"/>
    <row r="4829" ht="14.25" customHeight="1" x14ac:dyDescent="0.25"/>
    <row r="4830" ht="14.25" customHeight="1" x14ac:dyDescent="0.25"/>
    <row r="4831" ht="14.25" customHeight="1" x14ac:dyDescent="0.25"/>
    <row r="4832" ht="14.25" customHeight="1" x14ac:dyDescent="0.25"/>
    <row r="4833" ht="14.25" customHeight="1" x14ac:dyDescent="0.25"/>
    <row r="4834" ht="14.25" customHeight="1" x14ac:dyDescent="0.25"/>
    <row r="4835" ht="14.25" customHeight="1" x14ac:dyDescent="0.25"/>
    <row r="4836" ht="14.25" customHeight="1" x14ac:dyDescent="0.25"/>
    <row r="4837" ht="14.25" customHeight="1" x14ac:dyDescent="0.25"/>
    <row r="4838" ht="14.25" customHeight="1" x14ac:dyDescent="0.25"/>
    <row r="4839" ht="14.25" customHeight="1" x14ac:dyDescent="0.25"/>
    <row r="4840" ht="14.25" customHeight="1" x14ac:dyDescent="0.25"/>
    <row r="4841" ht="14.25" customHeight="1" x14ac:dyDescent="0.25"/>
    <row r="4842" ht="14.25" customHeight="1" x14ac:dyDescent="0.25"/>
    <row r="4843" ht="14.25" customHeight="1" x14ac:dyDescent="0.25"/>
    <row r="4844" ht="14.25" customHeight="1" x14ac:dyDescent="0.25"/>
    <row r="4845" ht="14.25" customHeight="1" x14ac:dyDescent="0.25"/>
    <row r="4846" ht="14.25" customHeight="1" x14ac:dyDescent="0.25"/>
    <row r="4847" ht="14.25" customHeight="1" x14ac:dyDescent="0.25"/>
    <row r="4848" ht="14.25" customHeight="1" x14ac:dyDescent="0.25"/>
    <row r="4849" ht="14.25" customHeight="1" x14ac:dyDescent="0.25"/>
    <row r="4850" ht="14.25" customHeight="1" x14ac:dyDescent="0.25"/>
    <row r="4851" ht="14.25" customHeight="1" x14ac:dyDescent="0.25"/>
    <row r="4852" ht="14.25" customHeight="1" x14ac:dyDescent="0.25"/>
    <row r="4853" ht="14.25" customHeight="1" x14ac:dyDescent="0.25"/>
    <row r="4854" ht="14.25" customHeight="1" x14ac:dyDescent="0.25"/>
    <row r="4855" ht="14.25" customHeight="1" x14ac:dyDescent="0.25"/>
    <row r="4856" ht="14.25" customHeight="1" x14ac:dyDescent="0.25"/>
    <row r="4857" ht="14.25" customHeight="1" x14ac:dyDescent="0.25"/>
    <row r="4858" ht="14.25" customHeight="1" x14ac:dyDescent="0.25"/>
    <row r="4859" ht="14.25" customHeight="1" x14ac:dyDescent="0.25"/>
    <row r="4860" ht="14.25" customHeight="1" x14ac:dyDescent="0.25"/>
    <row r="4861" ht="14.25" customHeight="1" x14ac:dyDescent="0.25"/>
    <row r="4862" ht="14.25" customHeight="1" x14ac:dyDescent="0.25"/>
    <row r="4863" ht="14.25" customHeight="1" x14ac:dyDescent="0.25"/>
    <row r="4864" ht="14.25" customHeight="1" x14ac:dyDescent="0.25"/>
    <row r="4865" ht="14.25" customHeight="1" x14ac:dyDescent="0.25"/>
    <row r="4866" ht="14.25" customHeight="1" x14ac:dyDescent="0.25"/>
    <row r="4867" ht="14.25" customHeight="1" x14ac:dyDescent="0.25"/>
    <row r="4868" ht="14.25" customHeight="1" x14ac:dyDescent="0.25"/>
    <row r="4869" ht="14.25" customHeight="1" x14ac:dyDescent="0.25"/>
    <row r="4870" ht="14.25" customHeight="1" x14ac:dyDescent="0.25"/>
    <row r="4871" ht="14.25" customHeight="1" x14ac:dyDescent="0.25"/>
    <row r="4872" ht="14.25" customHeight="1" x14ac:dyDescent="0.25"/>
    <row r="4873" ht="14.25" customHeight="1" x14ac:dyDescent="0.25"/>
    <row r="4874" ht="14.25" customHeight="1" x14ac:dyDescent="0.25"/>
    <row r="4875" ht="14.25" customHeight="1" x14ac:dyDescent="0.25"/>
    <row r="4876" ht="14.25" customHeight="1" x14ac:dyDescent="0.25"/>
    <row r="4877" ht="14.25" customHeight="1" x14ac:dyDescent="0.25"/>
    <row r="4878" ht="14.25" customHeight="1" x14ac:dyDescent="0.25"/>
    <row r="4879" ht="14.25" customHeight="1" x14ac:dyDescent="0.25"/>
    <row r="4880" ht="14.25" customHeight="1" x14ac:dyDescent="0.25"/>
    <row r="4881" ht="14.25" customHeight="1" x14ac:dyDescent="0.25"/>
    <row r="4882" ht="14.25" customHeight="1" x14ac:dyDescent="0.25"/>
    <row r="4883" ht="14.25" customHeight="1" x14ac:dyDescent="0.25"/>
    <row r="4884" ht="14.25" customHeight="1" x14ac:dyDescent="0.25"/>
    <row r="4885" ht="14.25" customHeight="1" x14ac:dyDescent="0.25"/>
    <row r="4886" ht="14.25" customHeight="1" x14ac:dyDescent="0.25"/>
    <row r="4887" ht="14.25" customHeight="1" x14ac:dyDescent="0.25"/>
    <row r="4888" ht="14.25" customHeight="1" x14ac:dyDescent="0.25"/>
    <row r="4889" ht="14.25" customHeight="1" x14ac:dyDescent="0.25"/>
    <row r="4890" ht="14.25" customHeight="1" x14ac:dyDescent="0.25"/>
    <row r="4891" ht="14.25" customHeight="1" x14ac:dyDescent="0.25"/>
    <row r="4892" ht="14.25" customHeight="1" x14ac:dyDescent="0.25"/>
    <row r="4893" ht="14.25" customHeight="1" x14ac:dyDescent="0.25"/>
    <row r="4894" ht="14.25" customHeight="1" x14ac:dyDescent="0.25"/>
    <row r="4895" ht="14.25" customHeight="1" x14ac:dyDescent="0.25"/>
    <row r="4896" ht="14.25" customHeight="1" x14ac:dyDescent="0.25"/>
    <row r="4897" ht="14.25" customHeight="1" x14ac:dyDescent="0.25"/>
    <row r="4898" ht="14.25" customHeight="1" x14ac:dyDescent="0.25"/>
    <row r="4899" ht="14.25" customHeight="1" x14ac:dyDescent="0.25"/>
    <row r="4900" ht="14.25" customHeight="1" x14ac:dyDescent="0.25"/>
    <row r="4901" ht="14.25" customHeight="1" x14ac:dyDescent="0.25"/>
    <row r="4902" ht="14.25" customHeight="1" x14ac:dyDescent="0.25"/>
    <row r="4903" ht="14.25" customHeight="1" x14ac:dyDescent="0.25"/>
    <row r="4904" ht="14.25" customHeight="1" x14ac:dyDescent="0.25"/>
    <row r="4905" ht="14.25" customHeight="1" x14ac:dyDescent="0.25"/>
    <row r="4906" ht="14.25" customHeight="1" x14ac:dyDescent="0.25"/>
    <row r="4907" ht="14.25" customHeight="1" x14ac:dyDescent="0.25"/>
    <row r="4908" ht="14.25" customHeight="1" x14ac:dyDescent="0.25"/>
    <row r="4909" ht="14.25" customHeight="1" x14ac:dyDescent="0.25"/>
    <row r="4910" ht="14.25" customHeight="1" x14ac:dyDescent="0.25"/>
    <row r="4911" ht="14.25" customHeight="1" x14ac:dyDescent="0.25"/>
    <row r="4912" ht="14.25" customHeight="1" x14ac:dyDescent="0.25"/>
    <row r="4913" ht="14.25" customHeight="1" x14ac:dyDescent="0.25"/>
    <row r="4914" ht="14.25" customHeight="1" x14ac:dyDescent="0.25"/>
    <row r="4915" ht="14.25" customHeight="1" x14ac:dyDescent="0.25"/>
    <row r="4916" ht="14.25" customHeight="1" x14ac:dyDescent="0.25"/>
    <row r="4917" ht="14.25" customHeight="1" x14ac:dyDescent="0.25"/>
    <row r="4918" ht="14.25" customHeight="1" x14ac:dyDescent="0.25"/>
    <row r="4919" ht="14.25" customHeight="1" x14ac:dyDescent="0.25"/>
    <row r="4920" ht="14.25" customHeight="1" x14ac:dyDescent="0.25"/>
    <row r="4921" ht="14.25" customHeight="1" x14ac:dyDescent="0.25"/>
    <row r="4922" ht="14.25" customHeight="1" x14ac:dyDescent="0.25"/>
    <row r="4923" ht="14.25" customHeight="1" x14ac:dyDescent="0.25"/>
    <row r="4924" ht="14.25" customHeight="1" x14ac:dyDescent="0.25"/>
    <row r="4925" ht="14.25" customHeight="1" x14ac:dyDescent="0.25"/>
    <row r="4926" ht="14.25" customHeight="1" x14ac:dyDescent="0.25"/>
    <row r="4927" ht="14.25" customHeight="1" x14ac:dyDescent="0.25"/>
    <row r="4928" ht="14.25" customHeight="1" x14ac:dyDescent="0.25"/>
    <row r="4929" ht="14.25" customHeight="1" x14ac:dyDescent="0.25"/>
    <row r="4930" ht="14.25" customHeight="1" x14ac:dyDescent="0.25"/>
    <row r="4931" ht="14.25" customHeight="1" x14ac:dyDescent="0.25"/>
    <row r="4932" ht="14.25" customHeight="1" x14ac:dyDescent="0.25"/>
    <row r="4933" ht="14.25" customHeight="1" x14ac:dyDescent="0.25"/>
    <row r="4934" ht="14.25" customHeight="1" x14ac:dyDescent="0.25"/>
    <row r="4935" ht="14.25" customHeight="1" x14ac:dyDescent="0.25"/>
    <row r="4936" ht="14.25" customHeight="1" x14ac:dyDescent="0.25"/>
    <row r="4937" ht="14.25" customHeight="1" x14ac:dyDescent="0.25"/>
    <row r="4938" ht="14.25" customHeight="1" x14ac:dyDescent="0.25"/>
    <row r="4939" ht="14.25" customHeight="1" x14ac:dyDescent="0.25"/>
    <row r="4940" ht="14.25" customHeight="1" x14ac:dyDescent="0.25"/>
    <row r="4941" ht="14.25" customHeight="1" x14ac:dyDescent="0.25"/>
    <row r="4942" ht="14.25" customHeight="1" x14ac:dyDescent="0.25"/>
    <row r="4943" ht="14.25" customHeight="1" x14ac:dyDescent="0.25"/>
    <row r="4944" ht="14.25" customHeight="1" x14ac:dyDescent="0.25"/>
    <row r="4945" ht="14.25" customHeight="1" x14ac:dyDescent="0.25"/>
    <row r="4946" ht="14.25" customHeight="1" x14ac:dyDescent="0.25"/>
    <row r="4947" ht="14.25" customHeight="1" x14ac:dyDescent="0.25"/>
    <row r="4948" ht="14.25" customHeight="1" x14ac:dyDescent="0.25"/>
    <row r="4949" ht="14.25" customHeight="1" x14ac:dyDescent="0.25"/>
    <row r="4950" ht="14.25" customHeight="1" x14ac:dyDescent="0.25"/>
    <row r="4951" ht="14.25" customHeight="1" x14ac:dyDescent="0.25"/>
    <row r="4952" ht="14.25" customHeight="1" x14ac:dyDescent="0.25"/>
    <row r="4953" ht="14.25" customHeight="1" x14ac:dyDescent="0.25"/>
    <row r="4954" ht="14.25" customHeight="1" x14ac:dyDescent="0.25"/>
    <row r="4955" ht="14.25" customHeight="1" x14ac:dyDescent="0.25"/>
    <row r="4956" ht="14.25" customHeight="1" x14ac:dyDescent="0.25"/>
    <row r="4957" ht="14.25" customHeight="1" x14ac:dyDescent="0.25"/>
    <row r="4958" ht="14.25" customHeight="1" x14ac:dyDescent="0.25"/>
    <row r="4959" ht="14.25" customHeight="1" x14ac:dyDescent="0.25"/>
    <row r="4960" ht="14.25" customHeight="1" x14ac:dyDescent="0.25"/>
    <row r="4961" ht="14.25" customHeight="1" x14ac:dyDescent="0.25"/>
    <row r="4962" ht="14.25" customHeight="1" x14ac:dyDescent="0.25"/>
    <row r="4963" ht="14.25" customHeight="1" x14ac:dyDescent="0.25"/>
    <row r="4964" ht="14.25" customHeight="1" x14ac:dyDescent="0.25"/>
    <row r="4965" ht="14.25" customHeight="1" x14ac:dyDescent="0.25"/>
    <row r="4966" ht="14.25" customHeight="1" x14ac:dyDescent="0.25"/>
    <row r="4967" ht="14.25" customHeight="1" x14ac:dyDescent="0.25"/>
    <row r="4968" ht="14.25" customHeight="1" x14ac:dyDescent="0.25"/>
    <row r="4969" ht="14.25" customHeight="1" x14ac:dyDescent="0.25"/>
    <row r="4970" ht="14.25" customHeight="1" x14ac:dyDescent="0.25"/>
    <row r="4971" ht="14.25" customHeight="1" x14ac:dyDescent="0.25"/>
    <row r="4972" ht="14.25" customHeight="1" x14ac:dyDescent="0.25"/>
    <row r="4973" ht="14.25" customHeight="1" x14ac:dyDescent="0.25"/>
    <row r="4974" ht="14.25" customHeight="1" x14ac:dyDescent="0.25"/>
    <row r="4975" ht="14.25" customHeight="1" x14ac:dyDescent="0.25"/>
    <row r="4976" ht="14.25" customHeight="1" x14ac:dyDescent="0.25"/>
    <row r="4977" ht="14.25" customHeight="1" x14ac:dyDescent="0.25"/>
    <row r="4978" ht="14.25" customHeight="1" x14ac:dyDescent="0.25"/>
    <row r="4979" ht="14.25" customHeight="1" x14ac:dyDescent="0.25"/>
    <row r="4980" ht="14.25" customHeight="1" x14ac:dyDescent="0.25"/>
    <row r="4981" ht="14.25" customHeight="1" x14ac:dyDescent="0.25"/>
    <row r="4982" ht="14.25" customHeight="1" x14ac:dyDescent="0.25"/>
    <row r="4983" ht="14.25" customHeight="1" x14ac:dyDescent="0.25"/>
    <row r="4984" ht="14.25" customHeight="1" x14ac:dyDescent="0.25"/>
    <row r="4985" ht="14.25" customHeight="1" x14ac:dyDescent="0.25"/>
    <row r="4986" ht="14.25" customHeight="1" x14ac:dyDescent="0.25"/>
    <row r="4987" ht="14.25" customHeight="1" x14ac:dyDescent="0.25"/>
    <row r="4988" ht="14.25" customHeight="1" x14ac:dyDescent="0.25"/>
    <row r="4989" ht="14.25" customHeight="1" x14ac:dyDescent="0.25"/>
    <row r="4990" ht="14.25" customHeight="1" x14ac:dyDescent="0.25"/>
    <row r="4991" ht="14.25" customHeight="1" x14ac:dyDescent="0.25"/>
    <row r="4992" ht="14.25" customHeight="1" x14ac:dyDescent="0.25"/>
    <row r="4993" ht="14.25" customHeight="1" x14ac:dyDescent="0.25"/>
    <row r="4994" ht="14.25" customHeight="1" x14ac:dyDescent="0.25"/>
    <row r="4995" ht="14.25" customHeight="1" x14ac:dyDescent="0.25"/>
    <row r="4996" ht="14.25" customHeight="1" x14ac:dyDescent="0.25"/>
    <row r="4997" ht="14.25" customHeight="1" x14ac:dyDescent="0.25"/>
    <row r="4998" ht="14.25" customHeight="1" x14ac:dyDescent="0.25"/>
    <row r="4999" ht="14.25" customHeight="1" x14ac:dyDescent="0.25"/>
    <row r="5000" ht="14.25" customHeight="1" x14ac:dyDescent="0.25"/>
    <row r="5001" ht="14.25" customHeight="1" x14ac:dyDescent="0.25"/>
    <row r="5002" ht="14.25" customHeight="1" x14ac:dyDescent="0.25"/>
    <row r="5003" ht="14.25" customHeight="1" x14ac:dyDescent="0.25"/>
    <row r="5004" ht="14.25" customHeight="1" x14ac:dyDescent="0.25"/>
    <row r="5005" ht="14.25" customHeight="1" x14ac:dyDescent="0.25"/>
    <row r="5006" ht="14.25" customHeight="1" x14ac:dyDescent="0.25"/>
    <row r="5007" ht="14.25" customHeight="1" x14ac:dyDescent="0.25"/>
    <row r="5008" ht="14.25" customHeight="1" x14ac:dyDescent="0.25"/>
    <row r="5009" ht="14.25" customHeight="1" x14ac:dyDescent="0.25"/>
    <row r="5010" ht="14.25" customHeight="1" x14ac:dyDescent="0.25"/>
    <row r="5011" ht="14.25" customHeight="1" x14ac:dyDescent="0.25"/>
    <row r="5012" ht="14.25" customHeight="1" x14ac:dyDescent="0.25"/>
    <row r="5013" ht="14.25" customHeight="1" x14ac:dyDescent="0.25"/>
    <row r="5014" ht="14.25" customHeight="1" x14ac:dyDescent="0.25"/>
    <row r="5015" ht="14.25" customHeight="1" x14ac:dyDescent="0.25"/>
    <row r="5016" ht="14.25" customHeight="1" x14ac:dyDescent="0.25"/>
    <row r="5017" ht="14.25" customHeight="1" x14ac:dyDescent="0.25"/>
    <row r="5018" ht="14.25" customHeight="1" x14ac:dyDescent="0.25"/>
    <row r="5019" ht="14.25" customHeight="1" x14ac:dyDescent="0.25"/>
    <row r="5020" ht="14.25" customHeight="1" x14ac:dyDescent="0.25"/>
    <row r="5021" ht="14.25" customHeight="1" x14ac:dyDescent="0.25"/>
    <row r="5022" ht="14.25" customHeight="1" x14ac:dyDescent="0.25"/>
    <row r="5023" ht="14.25" customHeight="1" x14ac:dyDescent="0.25"/>
    <row r="5024" ht="14.25" customHeight="1" x14ac:dyDescent="0.25"/>
    <row r="5025" ht="14.25" customHeight="1" x14ac:dyDescent="0.25"/>
    <row r="5026" ht="14.25" customHeight="1" x14ac:dyDescent="0.25"/>
    <row r="5027" ht="14.25" customHeight="1" x14ac:dyDescent="0.25"/>
    <row r="5028" ht="14.25" customHeight="1" x14ac:dyDescent="0.25"/>
    <row r="5029" ht="14.25" customHeight="1" x14ac:dyDescent="0.25"/>
    <row r="5030" ht="14.25" customHeight="1" x14ac:dyDescent="0.25"/>
    <row r="5031" ht="14.25" customHeight="1" x14ac:dyDescent="0.25"/>
    <row r="5032" ht="14.25" customHeight="1" x14ac:dyDescent="0.25"/>
    <row r="5033" ht="14.25" customHeight="1" x14ac:dyDescent="0.25"/>
    <row r="5034" ht="14.25" customHeight="1" x14ac:dyDescent="0.25"/>
    <row r="5035" ht="14.25" customHeight="1" x14ac:dyDescent="0.25"/>
    <row r="5036" ht="14.25" customHeight="1" x14ac:dyDescent="0.25"/>
    <row r="5037" ht="14.25" customHeight="1" x14ac:dyDescent="0.25"/>
    <row r="5038" ht="14.25" customHeight="1" x14ac:dyDescent="0.25"/>
    <row r="5039" ht="14.25" customHeight="1" x14ac:dyDescent="0.25"/>
    <row r="5040" ht="14.25" customHeight="1" x14ac:dyDescent="0.25"/>
    <row r="5041" ht="14.25" customHeight="1" x14ac:dyDescent="0.25"/>
    <row r="5042" ht="14.25" customHeight="1" x14ac:dyDescent="0.25"/>
    <row r="5043" ht="14.25" customHeight="1" x14ac:dyDescent="0.25"/>
    <row r="5044" ht="14.25" customHeight="1" x14ac:dyDescent="0.25"/>
    <row r="5045" ht="14.25" customHeight="1" x14ac:dyDescent="0.25"/>
    <row r="5046" ht="14.25" customHeight="1" x14ac:dyDescent="0.25"/>
    <row r="5047" ht="14.25" customHeight="1" x14ac:dyDescent="0.25"/>
    <row r="5048" ht="14.25" customHeight="1" x14ac:dyDescent="0.25"/>
    <row r="5049" ht="14.25" customHeight="1" x14ac:dyDescent="0.25"/>
    <row r="5050" ht="14.25" customHeight="1" x14ac:dyDescent="0.25"/>
    <row r="5051" ht="14.25" customHeight="1" x14ac:dyDescent="0.25"/>
    <row r="5052" ht="14.25" customHeight="1" x14ac:dyDescent="0.25"/>
    <row r="5053" ht="14.25" customHeight="1" x14ac:dyDescent="0.25"/>
    <row r="5054" ht="14.25" customHeight="1" x14ac:dyDescent="0.25"/>
    <row r="5055" ht="14.25" customHeight="1" x14ac:dyDescent="0.25"/>
    <row r="5056" ht="14.25" customHeight="1" x14ac:dyDescent="0.25"/>
    <row r="5057" ht="14.25" customHeight="1" x14ac:dyDescent="0.25"/>
    <row r="5058" ht="14.25" customHeight="1" x14ac:dyDescent="0.25"/>
    <row r="5059" ht="14.25" customHeight="1" x14ac:dyDescent="0.25"/>
    <row r="5060" ht="14.25" customHeight="1" x14ac:dyDescent="0.25"/>
    <row r="5061" ht="14.25" customHeight="1" x14ac:dyDescent="0.25"/>
    <row r="5062" ht="14.25" customHeight="1" x14ac:dyDescent="0.25"/>
    <row r="5063" ht="14.25" customHeight="1" x14ac:dyDescent="0.25"/>
    <row r="5064" ht="14.25" customHeight="1" x14ac:dyDescent="0.25"/>
    <row r="5065" ht="14.25" customHeight="1" x14ac:dyDescent="0.25"/>
    <row r="5066" ht="14.25" customHeight="1" x14ac:dyDescent="0.25"/>
    <row r="5067" ht="14.25" customHeight="1" x14ac:dyDescent="0.25"/>
    <row r="5068" ht="14.25" customHeight="1" x14ac:dyDescent="0.25"/>
    <row r="5069" ht="14.25" customHeight="1" x14ac:dyDescent="0.25"/>
    <row r="5070" ht="14.25" customHeight="1" x14ac:dyDescent="0.25"/>
    <row r="5071" ht="14.25" customHeight="1" x14ac:dyDescent="0.25"/>
    <row r="5072" ht="14.25" customHeight="1" x14ac:dyDescent="0.25"/>
    <row r="5073" ht="14.25" customHeight="1" x14ac:dyDescent="0.25"/>
    <row r="5074" ht="14.25" customHeight="1" x14ac:dyDescent="0.25"/>
    <row r="5075" ht="14.25" customHeight="1" x14ac:dyDescent="0.25"/>
    <row r="5076" ht="14.25" customHeight="1" x14ac:dyDescent="0.25"/>
    <row r="5077" ht="14.25" customHeight="1" x14ac:dyDescent="0.25"/>
    <row r="5078" ht="14.25" customHeight="1" x14ac:dyDescent="0.25"/>
    <row r="5079" ht="14.25" customHeight="1" x14ac:dyDescent="0.25"/>
    <row r="5080" ht="14.25" customHeight="1" x14ac:dyDescent="0.25"/>
    <row r="5081" ht="14.25" customHeight="1" x14ac:dyDescent="0.25"/>
    <row r="5082" ht="14.25" customHeight="1" x14ac:dyDescent="0.25"/>
    <row r="5083" ht="14.25" customHeight="1" x14ac:dyDescent="0.25"/>
    <row r="5084" ht="14.25" customHeight="1" x14ac:dyDescent="0.25"/>
    <row r="5085" ht="14.25" customHeight="1" x14ac:dyDescent="0.25"/>
    <row r="5086" ht="14.25" customHeight="1" x14ac:dyDescent="0.25"/>
    <row r="5087" ht="14.25" customHeight="1" x14ac:dyDescent="0.25"/>
    <row r="5088" ht="14.25" customHeight="1" x14ac:dyDescent="0.25"/>
    <row r="5089" ht="14.25" customHeight="1" x14ac:dyDescent="0.25"/>
    <row r="5090" ht="14.25" customHeight="1" x14ac:dyDescent="0.25"/>
    <row r="5091" ht="14.25" customHeight="1" x14ac:dyDescent="0.25"/>
    <row r="5092" ht="14.25" customHeight="1" x14ac:dyDescent="0.25"/>
    <row r="5093" ht="14.25" customHeight="1" x14ac:dyDescent="0.25"/>
    <row r="5094" ht="14.25" customHeight="1" x14ac:dyDescent="0.25"/>
    <row r="5095" ht="14.25" customHeight="1" x14ac:dyDescent="0.25"/>
    <row r="5096" ht="14.25" customHeight="1" x14ac:dyDescent="0.25"/>
    <row r="5097" ht="14.25" customHeight="1" x14ac:dyDescent="0.25"/>
    <row r="5098" ht="14.25" customHeight="1" x14ac:dyDescent="0.25"/>
    <row r="5099" ht="14.25" customHeight="1" x14ac:dyDescent="0.25"/>
    <row r="5100" ht="14.25" customHeight="1" x14ac:dyDescent="0.25"/>
    <row r="5101" ht="14.25" customHeight="1" x14ac:dyDescent="0.25"/>
    <row r="5102" ht="14.25" customHeight="1" x14ac:dyDescent="0.25"/>
    <row r="5103" ht="14.25" customHeight="1" x14ac:dyDescent="0.25"/>
    <row r="5104" ht="14.25" customHeight="1" x14ac:dyDescent="0.25"/>
    <row r="5105" ht="14.25" customHeight="1" x14ac:dyDescent="0.25"/>
    <row r="5106" ht="14.25" customHeight="1" x14ac:dyDescent="0.25"/>
    <row r="5107" ht="14.25" customHeight="1" x14ac:dyDescent="0.25"/>
    <row r="5108" ht="14.25" customHeight="1" x14ac:dyDescent="0.25"/>
    <row r="5109" ht="14.25" customHeight="1" x14ac:dyDescent="0.25"/>
    <row r="5110" ht="14.25" customHeight="1" x14ac:dyDescent="0.25"/>
    <row r="5111" ht="14.25" customHeight="1" x14ac:dyDescent="0.25"/>
    <row r="5112" ht="14.25" customHeight="1" x14ac:dyDescent="0.25"/>
    <row r="5113" ht="14.25" customHeight="1" x14ac:dyDescent="0.25"/>
    <row r="5114" ht="14.25" customHeight="1" x14ac:dyDescent="0.25"/>
    <row r="5115" ht="14.25" customHeight="1" x14ac:dyDescent="0.25"/>
    <row r="5116" ht="14.25" customHeight="1" x14ac:dyDescent="0.25"/>
    <row r="5117" ht="14.25" customHeight="1" x14ac:dyDescent="0.25"/>
    <row r="5118" ht="14.25" customHeight="1" x14ac:dyDescent="0.25"/>
    <row r="5119" ht="14.25" customHeight="1" x14ac:dyDescent="0.25"/>
    <row r="5120" ht="14.25" customHeight="1" x14ac:dyDescent="0.25"/>
    <row r="5121" ht="14.25" customHeight="1" x14ac:dyDescent="0.25"/>
    <row r="5122" ht="14.25" customHeight="1" x14ac:dyDescent="0.25"/>
    <row r="5123" ht="14.25" customHeight="1" x14ac:dyDescent="0.25"/>
    <row r="5124" ht="14.25" customHeight="1" x14ac:dyDescent="0.25"/>
    <row r="5125" ht="14.25" customHeight="1" x14ac:dyDescent="0.25"/>
    <row r="5126" ht="14.25" customHeight="1" x14ac:dyDescent="0.25"/>
    <row r="5127" ht="14.25" customHeight="1" x14ac:dyDescent="0.25"/>
    <row r="5128" ht="14.25" customHeight="1" x14ac:dyDescent="0.25"/>
    <row r="5129" ht="14.25" customHeight="1" x14ac:dyDescent="0.25"/>
    <row r="5130" ht="14.25" customHeight="1" x14ac:dyDescent="0.25"/>
    <row r="5131" ht="14.25" customHeight="1" x14ac:dyDescent="0.25"/>
    <row r="5132" ht="14.25" customHeight="1" x14ac:dyDescent="0.25"/>
    <row r="5133" ht="14.25" customHeight="1" x14ac:dyDescent="0.25"/>
    <row r="5134" ht="14.25" customHeight="1" x14ac:dyDescent="0.25"/>
    <row r="5135" ht="14.25" customHeight="1" x14ac:dyDescent="0.25"/>
    <row r="5136" ht="14.25" customHeight="1" x14ac:dyDescent="0.25"/>
    <row r="5137" ht="14.25" customHeight="1" x14ac:dyDescent="0.25"/>
    <row r="5138" ht="14.25" customHeight="1" x14ac:dyDescent="0.25"/>
    <row r="5139" ht="14.25" customHeight="1" x14ac:dyDescent="0.25"/>
    <row r="5140" ht="14.25" customHeight="1" x14ac:dyDescent="0.25"/>
    <row r="5141" ht="14.25" customHeight="1" x14ac:dyDescent="0.25"/>
    <row r="5142" ht="14.25" customHeight="1" x14ac:dyDescent="0.25"/>
    <row r="5143" ht="14.25" customHeight="1" x14ac:dyDescent="0.25"/>
    <row r="5144" ht="14.25" customHeight="1" x14ac:dyDescent="0.25"/>
    <row r="5145" ht="14.25" customHeight="1" x14ac:dyDescent="0.25"/>
    <row r="5146" ht="14.25" customHeight="1" x14ac:dyDescent="0.25"/>
    <row r="5147" ht="14.25" customHeight="1" x14ac:dyDescent="0.25"/>
    <row r="5148" ht="14.25" customHeight="1" x14ac:dyDescent="0.25"/>
    <row r="5149" ht="14.25" customHeight="1" x14ac:dyDescent="0.25"/>
    <row r="5150" ht="14.25" customHeight="1" x14ac:dyDescent="0.25"/>
    <row r="5151" ht="14.25" customHeight="1" x14ac:dyDescent="0.25"/>
    <row r="5152" ht="14.25" customHeight="1" x14ac:dyDescent="0.25"/>
    <row r="5153" ht="14.25" customHeight="1" x14ac:dyDescent="0.25"/>
    <row r="5154" ht="14.25" customHeight="1" x14ac:dyDescent="0.25"/>
    <row r="5155" ht="14.25" customHeight="1" x14ac:dyDescent="0.25"/>
    <row r="5156" ht="14.25" customHeight="1" x14ac:dyDescent="0.25"/>
    <row r="5157" ht="14.25" customHeight="1" x14ac:dyDescent="0.25"/>
    <row r="5158" ht="14.25" customHeight="1" x14ac:dyDescent="0.25"/>
    <row r="5159" ht="14.25" customHeight="1" x14ac:dyDescent="0.25"/>
    <row r="5160" ht="14.25" customHeight="1" x14ac:dyDescent="0.25"/>
    <row r="5161" ht="14.25" customHeight="1" x14ac:dyDescent="0.25"/>
    <row r="5162" ht="14.25" customHeight="1" x14ac:dyDescent="0.25"/>
    <row r="5163" ht="14.25" customHeight="1" x14ac:dyDescent="0.25"/>
    <row r="5164" ht="14.25" customHeight="1" x14ac:dyDescent="0.25"/>
    <row r="5165" ht="14.25" customHeight="1" x14ac:dyDescent="0.25"/>
    <row r="5166" ht="14.25" customHeight="1" x14ac:dyDescent="0.25"/>
    <row r="5167" ht="14.25" customHeight="1" x14ac:dyDescent="0.25"/>
    <row r="5168" ht="14.25" customHeight="1" x14ac:dyDescent="0.25"/>
    <row r="5169" ht="14.25" customHeight="1" x14ac:dyDescent="0.25"/>
    <row r="5170" ht="14.25" customHeight="1" x14ac:dyDescent="0.25"/>
    <row r="5171" ht="14.25" customHeight="1" x14ac:dyDescent="0.25"/>
    <row r="5172" ht="14.25" customHeight="1" x14ac:dyDescent="0.25"/>
    <row r="5173" ht="14.25" customHeight="1" x14ac:dyDescent="0.25"/>
    <row r="5174" ht="14.25" customHeight="1" x14ac:dyDescent="0.25"/>
    <row r="5175" ht="14.25" customHeight="1" x14ac:dyDescent="0.25"/>
    <row r="5176" ht="14.25" customHeight="1" x14ac:dyDescent="0.25"/>
    <row r="5177" ht="14.25" customHeight="1" x14ac:dyDescent="0.25"/>
    <row r="5178" ht="14.25" customHeight="1" x14ac:dyDescent="0.25"/>
    <row r="5179" ht="14.25" customHeight="1" x14ac:dyDescent="0.25"/>
    <row r="5180" ht="14.25" customHeight="1" x14ac:dyDescent="0.25"/>
    <row r="5181" ht="14.25" customHeight="1" x14ac:dyDescent="0.25"/>
    <row r="5182" ht="14.25" customHeight="1" x14ac:dyDescent="0.25"/>
    <row r="5183" ht="14.25" customHeight="1" x14ac:dyDescent="0.25"/>
    <row r="5184" ht="14.25" customHeight="1" x14ac:dyDescent="0.25"/>
    <row r="5185" ht="14.25" customHeight="1" x14ac:dyDescent="0.25"/>
    <row r="5186" ht="14.25" customHeight="1" x14ac:dyDescent="0.25"/>
    <row r="5187" ht="14.25" customHeight="1" x14ac:dyDescent="0.25"/>
    <row r="5188" ht="14.25" customHeight="1" x14ac:dyDescent="0.25"/>
    <row r="5189" ht="14.25" customHeight="1" x14ac:dyDescent="0.25"/>
    <row r="5190" ht="14.25" customHeight="1" x14ac:dyDescent="0.25"/>
    <row r="5191" ht="14.25" customHeight="1" x14ac:dyDescent="0.25"/>
    <row r="5192" ht="14.25" customHeight="1" x14ac:dyDescent="0.25"/>
    <row r="5193" ht="14.25" customHeight="1" x14ac:dyDescent="0.25"/>
    <row r="5194" ht="14.25" customHeight="1" x14ac:dyDescent="0.25"/>
    <row r="5195" ht="14.25" customHeight="1" x14ac:dyDescent="0.25"/>
    <row r="5196" ht="14.25" customHeight="1" x14ac:dyDescent="0.25"/>
    <row r="5197" ht="14.25" customHeight="1" x14ac:dyDescent="0.25"/>
    <row r="5198" ht="14.25" customHeight="1" x14ac:dyDescent="0.25"/>
    <row r="5199" ht="14.25" customHeight="1" x14ac:dyDescent="0.25"/>
    <row r="5200" ht="14.25" customHeight="1" x14ac:dyDescent="0.25"/>
    <row r="5201" ht="14.25" customHeight="1" x14ac:dyDescent="0.25"/>
    <row r="5202" ht="14.25" customHeight="1" x14ac:dyDescent="0.25"/>
    <row r="5203" ht="14.25" customHeight="1" x14ac:dyDescent="0.25"/>
    <row r="5204" ht="14.25" customHeight="1" x14ac:dyDescent="0.25"/>
    <row r="5205" ht="14.25" customHeight="1" x14ac:dyDescent="0.25"/>
    <row r="5206" ht="14.25" customHeight="1" x14ac:dyDescent="0.25"/>
    <row r="5207" ht="14.25" customHeight="1" x14ac:dyDescent="0.25"/>
    <row r="5208" ht="14.25" customHeight="1" x14ac:dyDescent="0.25"/>
    <row r="5209" ht="14.25" customHeight="1" x14ac:dyDescent="0.25"/>
    <row r="5210" ht="14.25" customHeight="1" x14ac:dyDescent="0.25"/>
    <row r="5211" ht="14.25" customHeight="1" x14ac:dyDescent="0.25"/>
    <row r="5212" ht="14.25" customHeight="1" x14ac:dyDescent="0.25"/>
    <row r="5213" ht="14.25" customHeight="1" x14ac:dyDescent="0.25"/>
    <row r="5214" ht="14.25" customHeight="1" x14ac:dyDescent="0.25"/>
    <row r="5215" ht="14.25" customHeight="1" x14ac:dyDescent="0.25"/>
    <row r="5216" ht="14.25" customHeight="1" x14ac:dyDescent="0.25"/>
    <row r="5217" ht="14.25" customHeight="1" x14ac:dyDescent="0.25"/>
    <row r="5218" ht="14.25" customHeight="1" x14ac:dyDescent="0.25"/>
    <row r="5219" ht="14.25" customHeight="1" x14ac:dyDescent="0.25"/>
    <row r="5220" ht="14.25" customHeight="1" x14ac:dyDescent="0.25"/>
    <row r="5221" ht="14.25" customHeight="1" x14ac:dyDescent="0.25"/>
    <row r="5222" ht="14.25" customHeight="1" x14ac:dyDescent="0.25"/>
    <row r="5223" ht="14.25" customHeight="1" x14ac:dyDescent="0.25"/>
    <row r="5224" ht="14.25" customHeight="1" x14ac:dyDescent="0.25"/>
    <row r="5225" ht="14.25" customHeight="1" x14ac:dyDescent="0.25"/>
    <row r="5226" ht="14.25" customHeight="1" x14ac:dyDescent="0.25"/>
    <row r="5227" ht="14.25" customHeight="1" x14ac:dyDescent="0.25"/>
    <row r="5228" ht="14.25" customHeight="1" x14ac:dyDescent="0.25"/>
    <row r="5229" ht="14.25" customHeight="1" x14ac:dyDescent="0.25"/>
    <row r="5230" ht="14.25" customHeight="1" x14ac:dyDescent="0.25"/>
    <row r="5231" ht="14.25" customHeight="1" x14ac:dyDescent="0.25"/>
    <row r="5232" ht="14.25" customHeight="1" x14ac:dyDescent="0.25"/>
    <row r="5233" ht="14.25" customHeight="1" x14ac:dyDescent="0.25"/>
    <row r="5234" ht="14.25" customHeight="1" x14ac:dyDescent="0.25"/>
    <row r="5235" ht="14.25" customHeight="1" x14ac:dyDescent="0.25"/>
    <row r="5236" ht="14.25" customHeight="1" x14ac:dyDescent="0.25"/>
    <row r="5237" ht="14.25" customHeight="1" x14ac:dyDescent="0.25"/>
    <row r="5238" ht="14.25" customHeight="1" x14ac:dyDescent="0.25"/>
    <row r="5239" ht="14.25" customHeight="1" x14ac:dyDescent="0.25"/>
    <row r="5240" ht="14.25" customHeight="1" x14ac:dyDescent="0.25"/>
    <row r="5241" ht="14.25" customHeight="1" x14ac:dyDescent="0.25"/>
    <row r="5242" ht="14.25" customHeight="1" x14ac:dyDescent="0.25"/>
    <row r="5243" ht="14.25" customHeight="1" x14ac:dyDescent="0.25"/>
    <row r="5244" ht="14.25" customHeight="1" x14ac:dyDescent="0.25"/>
    <row r="5245" ht="14.25" customHeight="1" x14ac:dyDescent="0.25"/>
    <row r="5246" ht="14.25" customHeight="1" x14ac:dyDescent="0.25"/>
    <row r="5247" ht="14.25" customHeight="1" x14ac:dyDescent="0.25"/>
    <row r="5248" ht="14.25" customHeight="1" x14ac:dyDescent="0.25"/>
    <row r="5249" ht="14.25" customHeight="1" x14ac:dyDescent="0.25"/>
    <row r="5250" ht="14.25" customHeight="1" x14ac:dyDescent="0.25"/>
    <row r="5251" ht="14.25" customHeight="1" x14ac:dyDescent="0.25"/>
    <row r="5252" ht="14.25" customHeight="1" x14ac:dyDescent="0.25"/>
    <row r="5253" ht="14.25" customHeight="1" x14ac:dyDescent="0.25"/>
    <row r="5254" ht="14.25" customHeight="1" x14ac:dyDescent="0.25"/>
    <row r="5255" ht="14.25" customHeight="1" x14ac:dyDescent="0.25"/>
    <row r="5256" ht="14.25" customHeight="1" x14ac:dyDescent="0.25"/>
    <row r="5257" ht="14.25" customHeight="1" x14ac:dyDescent="0.25"/>
    <row r="5258" ht="14.25" customHeight="1" x14ac:dyDescent="0.25"/>
    <row r="5259" ht="14.25" customHeight="1" x14ac:dyDescent="0.25"/>
    <row r="5260" ht="14.25" customHeight="1" x14ac:dyDescent="0.25"/>
    <row r="5261" ht="14.25" customHeight="1" x14ac:dyDescent="0.25"/>
    <row r="5262" ht="14.25" customHeight="1" x14ac:dyDescent="0.25"/>
    <row r="5263" ht="14.25" customHeight="1" x14ac:dyDescent="0.25"/>
    <row r="5264" ht="14.25" customHeight="1" x14ac:dyDescent="0.25"/>
    <row r="5265" ht="14.25" customHeight="1" x14ac:dyDescent="0.25"/>
    <row r="5266" ht="14.25" customHeight="1" x14ac:dyDescent="0.25"/>
    <row r="5267" ht="14.25" customHeight="1" x14ac:dyDescent="0.25"/>
    <row r="5268" ht="14.25" customHeight="1" x14ac:dyDescent="0.25"/>
    <row r="5269" ht="14.25" customHeight="1" x14ac:dyDescent="0.25"/>
    <row r="5270" ht="14.25" customHeight="1" x14ac:dyDescent="0.25"/>
    <row r="5271" ht="14.25" customHeight="1" x14ac:dyDescent="0.25"/>
    <row r="5272" ht="14.25" customHeight="1" x14ac:dyDescent="0.25"/>
    <row r="5273" ht="14.25" customHeight="1" x14ac:dyDescent="0.25"/>
    <row r="5274" ht="14.25" customHeight="1" x14ac:dyDescent="0.25"/>
    <row r="5275" ht="14.25" customHeight="1" x14ac:dyDescent="0.25"/>
    <row r="5276" ht="14.25" customHeight="1" x14ac:dyDescent="0.25"/>
    <row r="5277" ht="14.25" customHeight="1" x14ac:dyDescent="0.25"/>
    <row r="5278" ht="14.25" customHeight="1" x14ac:dyDescent="0.25"/>
    <row r="5279" ht="14.25" customHeight="1" x14ac:dyDescent="0.25"/>
    <row r="5280" ht="14.25" customHeight="1" x14ac:dyDescent="0.25"/>
    <row r="5281" ht="14.25" customHeight="1" x14ac:dyDescent="0.25"/>
    <row r="5282" ht="14.25" customHeight="1" x14ac:dyDescent="0.25"/>
    <row r="5283" ht="14.25" customHeight="1" x14ac:dyDescent="0.25"/>
    <row r="5284" ht="14.25" customHeight="1" x14ac:dyDescent="0.25"/>
    <row r="5285" ht="14.25" customHeight="1" x14ac:dyDescent="0.25"/>
    <row r="5286" ht="14.25" customHeight="1" x14ac:dyDescent="0.25"/>
    <row r="5287" ht="14.25" customHeight="1" x14ac:dyDescent="0.25"/>
    <row r="5288" ht="14.25" customHeight="1" x14ac:dyDescent="0.25"/>
    <row r="5289" ht="14.25" customHeight="1" x14ac:dyDescent="0.25"/>
    <row r="5290" ht="14.25" customHeight="1" x14ac:dyDescent="0.25"/>
    <row r="5291" ht="14.25" customHeight="1" x14ac:dyDescent="0.25"/>
    <row r="5292" ht="14.25" customHeight="1" x14ac:dyDescent="0.25"/>
    <row r="5293" ht="14.25" customHeight="1" x14ac:dyDescent="0.25"/>
    <row r="5294" ht="14.25" customHeight="1" x14ac:dyDescent="0.25"/>
    <row r="5295" ht="14.25" customHeight="1" x14ac:dyDescent="0.25"/>
    <row r="5296" ht="14.25" customHeight="1" x14ac:dyDescent="0.25"/>
    <row r="5297" ht="14.25" customHeight="1" x14ac:dyDescent="0.25"/>
    <row r="5298" ht="14.25" customHeight="1" x14ac:dyDescent="0.25"/>
    <row r="5299" ht="14.25" customHeight="1" x14ac:dyDescent="0.25"/>
    <row r="5300" ht="14.25" customHeight="1" x14ac:dyDescent="0.25"/>
    <row r="5301" ht="14.25" customHeight="1" x14ac:dyDescent="0.25"/>
    <row r="5302" ht="14.25" customHeight="1" x14ac:dyDescent="0.25"/>
    <row r="5303" ht="14.25" customHeight="1" x14ac:dyDescent="0.25"/>
    <row r="5304" ht="14.25" customHeight="1" x14ac:dyDescent="0.25"/>
    <row r="5305" ht="14.25" customHeight="1" x14ac:dyDescent="0.25"/>
    <row r="5306" ht="14.25" customHeight="1" x14ac:dyDescent="0.25"/>
    <row r="5307" ht="14.25" customHeight="1" x14ac:dyDescent="0.25"/>
    <row r="5308" ht="14.25" customHeight="1" x14ac:dyDescent="0.25"/>
    <row r="5309" ht="14.25" customHeight="1" x14ac:dyDescent="0.25"/>
    <row r="5310" ht="14.25" customHeight="1" x14ac:dyDescent="0.25"/>
    <row r="5311" ht="14.25" customHeight="1" x14ac:dyDescent="0.25"/>
    <row r="5312" ht="14.25" customHeight="1" x14ac:dyDescent="0.25"/>
    <row r="5313" ht="14.25" customHeight="1" x14ac:dyDescent="0.25"/>
    <row r="5314" ht="14.25" customHeight="1" x14ac:dyDescent="0.25"/>
    <row r="5315" ht="14.25" customHeight="1" x14ac:dyDescent="0.25"/>
    <row r="5316" ht="14.25" customHeight="1" x14ac:dyDescent="0.25"/>
    <row r="5317" ht="14.25" customHeight="1" x14ac:dyDescent="0.25"/>
    <row r="5318" ht="14.25" customHeight="1" x14ac:dyDescent="0.25"/>
    <row r="5319" ht="14.25" customHeight="1" x14ac:dyDescent="0.25"/>
    <row r="5320" ht="14.25" customHeight="1" x14ac:dyDescent="0.25"/>
    <row r="5321" ht="14.25" customHeight="1" x14ac:dyDescent="0.25"/>
    <row r="5322" ht="14.25" customHeight="1" x14ac:dyDescent="0.25"/>
    <row r="5323" ht="14.25" customHeight="1" x14ac:dyDescent="0.25"/>
    <row r="5324" ht="14.25" customHeight="1" x14ac:dyDescent="0.25"/>
    <row r="5325" ht="14.25" customHeight="1" x14ac:dyDescent="0.25"/>
    <row r="5326" ht="14.25" customHeight="1" x14ac:dyDescent="0.25"/>
    <row r="5327" ht="14.25" customHeight="1" x14ac:dyDescent="0.25"/>
    <row r="5328" ht="14.25" customHeight="1" x14ac:dyDescent="0.25"/>
    <row r="5329" ht="14.25" customHeight="1" x14ac:dyDescent="0.25"/>
    <row r="5330" ht="14.25" customHeight="1" x14ac:dyDescent="0.25"/>
    <row r="5331" ht="14.25" customHeight="1" x14ac:dyDescent="0.25"/>
    <row r="5332" ht="14.25" customHeight="1" x14ac:dyDescent="0.25"/>
    <row r="5333" ht="14.25" customHeight="1" x14ac:dyDescent="0.25"/>
    <row r="5334" ht="14.25" customHeight="1" x14ac:dyDescent="0.25"/>
    <row r="5335" ht="14.25" customHeight="1" x14ac:dyDescent="0.25"/>
    <row r="5336" ht="14.25" customHeight="1" x14ac:dyDescent="0.25"/>
    <row r="5337" ht="14.25" customHeight="1" x14ac:dyDescent="0.25"/>
    <row r="5338" ht="14.25" customHeight="1" x14ac:dyDescent="0.25"/>
    <row r="5339" ht="14.25" customHeight="1" x14ac:dyDescent="0.25"/>
    <row r="5340" ht="14.25" customHeight="1" x14ac:dyDescent="0.25"/>
    <row r="5341" ht="14.25" customHeight="1" x14ac:dyDescent="0.25"/>
    <row r="5342" ht="14.25" customHeight="1" x14ac:dyDescent="0.25"/>
    <row r="5343" ht="14.25" customHeight="1" x14ac:dyDescent="0.25"/>
    <row r="5344" ht="14.25" customHeight="1" x14ac:dyDescent="0.25"/>
    <row r="5345" ht="14.25" customHeight="1" x14ac:dyDescent="0.25"/>
    <row r="5346" ht="14.25" customHeight="1" x14ac:dyDescent="0.25"/>
    <row r="5347" ht="14.25" customHeight="1" x14ac:dyDescent="0.25"/>
    <row r="5348" ht="14.25" customHeight="1" x14ac:dyDescent="0.25"/>
    <row r="5349" ht="14.25" customHeight="1" x14ac:dyDescent="0.25"/>
    <row r="5350" ht="14.25" customHeight="1" x14ac:dyDescent="0.25"/>
    <row r="5351" ht="14.25" customHeight="1" x14ac:dyDescent="0.25"/>
    <row r="5352" ht="14.25" customHeight="1" x14ac:dyDescent="0.25"/>
    <row r="5353" ht="14.25" customHeight="1" x14ac:dyDescent="0.25"/>
    <row r="5354" ht="14.25" customHeight="1" x14ac:dyDescent="0.25"/>
    <row r="5355" ht="14.25" customHeight="1" x14ac:dyDescent="0.25"/>
    <row r="5356" ht="14.25" customHeight="1" x14ac:dyDescent="0.25"/>
    <row r="5357" ht="14.25" customHeight="1" x14ac:dyDescent="0.25"/>
    <row r="5358" ht="14.25" customHeight="1" x14ac:dyDescent="0.25"/>
    <row r="5359" ht="14.25" customHeight="1" x14ac:dyDescent="0.25"/>
    <row r="5360" ht="14.25" customHeight="1" x14ac:dyDescent="0.25"/>
    <row r="5361" ht="14.25" customHeight="1" x14ac:dyDescent="0.25"/>
    <row r="5362" ht="14.25" customHeight="1" x14ac:dyDescent="0.25"/>
    <row r="5363" ht="14.25" customHeight="1" x14ac:dyDescent="0.25"/>
    <row r="5364" ht="14.25" customHeight="1" x14ac:dyDescent="0.25"/>
    <row r="5365" ht="14.25" customHeight="1" x14ac:dyDescent="0.25"/>
    <row r="5366" ht="14.25" customHeight="1" x14ac:dyDescent="0.25"/>
    <row r="5367" ht="14.25" customHeight="1" x14ac:dyDescent="0.25"/>
    <row r="5368" ht="14.25" customHeight="1" x14ac:dyDescent="0.25"/>
    <row r="5369" ht="14.25" customHeight="1" x14ac:dyDescent="0.25"/>
    <row r="5370" ht="14.25" customHeight="1" x14ac:dyDescent="0.25"/>
    <row r="5371" ht="14.25" customHeight="1" x14ac:dyDescent="0.25"/>
    <row r="5372" ht="14.25" customHeight="1" x14ac:dyDescent="0.25"/>
    <row r="5373" ht="14.25" customHeight="1" x14ac:dyDescent="0.25"/>
    <row r="5374" ht="14.25" customHeight="1" x14ac:dyDescent="0.25"/>
    <row r="5375" ht="14.25" customHeight="1" x14ac:dyDescent="0.25"/>
    <row r="5376" ht="14.25" customHeight="1" x14ac:dyDescent="0.25"/>
    <row r="5377" ht="14.25" customHeight="1" x14ac:dyDescent="0.25"/>
    <row r="5378" ht="14.25" customHeight="1" x14ac:dyDescent="0.25"/>
    <row r="5379" ht="14.25" customHeight="1" x14ac:dyDescent="0.25"/>
    <row r="5380" ht="14.25" customHeight="1" x14ac:dyDescent="0.25"/>
    <row r="5381" ht="14.25" customHeight="1" x14ac:dyDescent="0.25"/>
    <row r="5382" ht="14.25" customHeight="1" x14ac:dyDescent="0.25"/>
    <row r="5383" ht="14.25" customHeight="1" x14ac:dyDescent="0.25"/>
    <row r="5384" ht="14.25" customHeight="1" x14ac:dyDescent="0.25"/>
    <row r="5385" ht="14.25" customHeight="1" x14ac:dyDescent="0.25"/>
    <row r="5386" ht="14.25" customHeight="1" x14ac:dyDescent="0.25"/>
    <row r="5387" ht="14.25" customHeight="1" x14ac:dyDescent="0.25"/>
    <row r="5388" ht="14.25" customHeight="1" x14ac:dyDescent="0.25"/>
    <row r="5389" ht="14.25" customHeight="1" x14ac:dyDescent="0.25"/>
    <row r="5390" ht="14.25" customHeight="1" x14ac:dyDescent="0.25"/>
    <row r="5391" ht="14.25" customHeight="1" x14ac:dyDescent="0.25"/>
    <row r="5392" ht="14.25" customHeight="1" x14ac:dyDescent="0.25"/>
    <row r="5393" ht="14.25" customHeight="1" x14ac:dyDescent="0.25"/>
    <row r="5394" ht="14.25" customHeight="1" x14ac:dyDescent="0.25"/>
    <row r="5395" ht="14.25" customHeight="1" x14ac:dyDescent="0.25"/>
    <row r="5396" ht="14.25" customHeight="1" x14ac:dyDescent="0.25"/>
    <row r="5397" ht="14.25" customHeight="1" x14ac:dyDescent="0.25"/>
    <row r="5398" ht="14.25" customHeight="1" x14ac:dyDescent="0.25"/>
    <row r="5399" ht="14.25" customHeight="1" x14ac:dyDescent="0.25"/>
    <row r="5400" ht="14.25" customHeight="1" x14ac:dyDescent="0.25"/>
    <row r="5401" ht="14.25" customHeight="1" x14ac:dyDescent="0.25"/>
    <row r="5402" ht="14.25" customHeight="1" x14ac:dyDescent="0.25"/>
    <row r="5403" ht="14.25" customHeight="1" x14ac:dyDescent="0.25"/>
    <row r="5404" ht="14.25" customHeight="1" x14ac:dyDescent="0.25"/>
    <row r="5405" ht="14.25" customHeight="1" x14ac:dyDescent="0.25"/>
    <row r="5406" ht="14.25" customHeight="1" x14ac:dyDescent="0.25"/>
    <row r="5407" ht="14.25" customHeight="1" x14ac:dyDescent="0.25"/>
    <row r="5408" ht="14.25" customHeight="1" x14ac:dyDescent="0.25"/>
    <row r="5409" ht="14.25" customHeight="1" x14ac:dyDescent="0.25"/>
    <row r="5410" ht="14.25" customHeight="1" x14ac:dyDescent="0.25"/>
    <row r="5411" ht="14.25" customHeight="1" x14ac:dyDescent="0.25"/>
    <row r="5412" ht="14.25" customHeight="1" x14ac:dyDescent="0.25"/>
    <row r="5413" ht="14.25" customHeight="1" x14ac:dyDescent="0.25"/>
    <row r="5414" ht="14.25" customHeight="1" x14ac:dyDescent="0.25"/>
    <row r="5415" ht="14.25" customHeight="1" x14ac:dyDescent="0.25"/>
    <row r="5416" ht="14.25" customHeight="1" x14ac:dyDescent="0.25"/>
    <row r="5417" ht="14.25" customHeight="1" x14ac:dyDescent="0.25"/>
    <row r="5418" ht="14.25" customHeight="1" x14ac:dyDescent="0.25"/>
    <row r="5419" ht="14.25" customHeight="1" x14ac:dyDescent="0.25"/>
    <row r="5420" ht="14.25" customHeight="1" x14ac:dyDescent="0.25"/>
    <row r="5421" ht="14.25" customHeight="1" x14ac:dyDescent="0.25"/>
    <row r="5422" ht="14.25" customHeight="1" x14ac:dyDescent="0.25"/>
    <row r="5423" ht="14.25" customHeight="1" x14ac:dyDescent="0.25"/>
    <row r="5424" ht="14.25" customHeight="1" x14ac:dyDescent="0.25"/>
    <row r="5425" ht="14.25" customHeight="1" x14ac:dyDescent="0.25"/>
    <row r="5426" ht="14.25" customHeight="1" x14ac:dyDescent="0.25"/>
    <row r="5427" ht="14.25" customHeight="1" x14ac:dyDescent="0.25"/>
    <row r="5428" ht="14.25" customHeight="1" x14ac:dyDescent="0.25"/>
    <row r="5429" ht="14.25" customHeight="1" x14ac:dyDescent="0.25"/>
    <row r="5430" ht="14.25" customHeight="1" x14ac:dyDescent="0.25"/>
    <row r="5431" ht="14.25" customHeight="1" x14ac:dyDescent="0.25"/>
    <row r="5432" ht="14.25" customHeight="1" x14ac:dyDescent="0.25"/>
    <row r="5433" ht="14.25" customHeight="1" x14ac:dyDescent="0.25"/>
    <row r="5434" ht="14.25" customHeight="1" x14ac:dyDescent="0.25"/>
    <row r="5435" ht="14.25" customHeight="1" x14ac:dyDescent="0.25"/>
    <row r="5436" ht="14.25" customHeight="1" x14ac:dyDescent="0.25"/>
    <row r="5437" ht="14.25" customHeight="1" x14ac:dyDescent="0.25"/>
    <row r="5438" ht="14.25" customHeight="1" x14ac:dyDescent="0.25"/>
    <row r="5439" ht="14.25" customHeight="1" x14ac:dyDescent="0.25"/>
    <row r="5440" ht="14.25" customHeight="1" x14ac:dyDescent="0.25"/>
    <row r="5441" ht="14.25" customHeight="1" x14ac:dyDescent="0.25"/>
    <row r="5442" ht="14.25" customHeight="1" x14ac:dyDescent="0.25"/>
    <row r="5443" ht="14.25" customHeight="1" x14ac:dyDescent="0.25"/>
    <row r="5444" ht="14.25" customHeight="1" x14ac:dyDescent="0.25"/>
    <row r="5445" ht="14.25" customHeight="1" x14ac:dyDescent="0.25"/>
    <row r="5446" ht="14.25" customHeight="1" x14ac:dyDescent="0.25"/>
    <row r="5447" ht="14.25" customHeight="1" x14ac:dyDescent="0.25"/>
    <row r="5448" ht="14.25" customHeight="1" x14ac:dyDescent="0.25"/>
    <row r="5449" ht="14.25" customHeight="1" x14ac:dyDescent="0.25"/>
    <row r="5450" ht="14.25" customHeight="1" x14ac:dyDescent="0.25"/>
    <row r="5451" ht="14.25" customHeight="1" x14ac:dyDescent="0.25"/>
    <row r="5452" ht="14.25" customHeight="1" x14ac:dyDescent="0.25"/>
    <row r="5453" ht="14.25" customHeight="1" x14ac:dyDescent="0.25"/>
    <row r="5454" ht="14.25" customHeight="1" x14ac:dyDescent="0.25"/>
    <row r="5455" ht="14.25" customHeight="1" x14ac:dyDescent="0.25"/>
    <row r="5456" ht="14.25" customHeight="1" x14ac:dyDescent="0.25"/>
    <row r="5457" ht="14.25" customHeight="1" x14ac:dyDescent="0.25"/>
    <row r="5458" ht="14.25" customHeight="1" x14ac:dyDescent="0.25"/>
    <row r="5459" ht="14.25" customHeight="1" x14ac:dyDescent="0.25"/>
    <row r="5460" ht="14.25" customHeight="1" x14ac:dyDescent="0.25"/>
    <row r="5461" ht="14.25" customHeight="1" x14ac:dyDescent="0.25"/>
    <row r="5462" ht="14.25" customHeight="1" x14ac:dyDescent="0.25"/>
    <row r="5463" ht="14.25" customHeight="1" x14ac:dyDescent="0.25"/>
    <row r="5464" ht="14.25" customHeight="1" x14ac:dyDescent="0.25"/>
    <row r="5465" ht="14.25" customHeight="1" x14ac:dyDescent="0.25"/>
    <row r="5466" ht="14.25" customHeight="1" x14ac:dyDescent="0.25"/>
    <row r="5467" ht="14.25" customHeight="1" x14ac:dyDescent="0.25"/>
    <row r="5468" ht="14.25" customHeight="1" x14ac:dyDescent="0.25"/>
    <row r="5469" ht="14.25" customHeight="1" x14ac:dyDescent="0.25"/>
    <row r="5470" ht="14.25" customHeight="1" x14ac:dyDescent="0.25"/>
    <row r="5471" ht="14.25" customHeight="1" x14ac:dyDescent="0.25"/>
    <row r="5472" ht="14.25" customHeight="1" x14ac:dyDescent="0.25"/>
    <row r="5473" ht="14.25" customHeight="1" x14ac:dyDescent="0.25"/>
    <row r="5474" ht="14.25" customHeight="1" x14ac:dyDescent="0.25"/>
    <row r="5475" ht="14.25" customHeight="1" x14ac:dyDescent="0.25"/>
    <row r="5476" ht="14.25" customHeight="1" x14ac:dyDescent="0.25"/>
    <row r="5477" ht="14.25" customHeight="1" x14ac:dyDescent="0.25"/>
    <row r="5478" ht="14.25" customHeight="1" x14ac:dyDescent="0.25"/>
    <row r="5479" ht="14.25" customHeight="1" x14ac:dyDescent="0.25"/>
    <row r="5480" ht="14.25" customHeight="1" x14ac:dyDescent="0.25"/>
    <row r="5481" ht="14.25" customHeight="1" x14ac:dyDescent="0.25"/>
    <row r="5482" ht="14.25" customHeight="1" x14ac:dyDescent="0.25"/>
    <row r="5483" ht="14.25" customHeight="1" x14ac:dyDescent="0.25"/>
    <row r="5484" ht="14.25" customHeight="1" x14ac:dyDescent="0.25"/>
    <row r="5485" ht="14.25" customHeight="1" x14ac:dyDescent="0.25"/>
    <row r="5486" ht="14.25" customHeight="1" x14ac:dyDescent="0.25"/>
    <row r="5487" ht="14.25" customHeight="1" x14ac:dyDescent="0.25"/>
    <row r="5488" ht="14.25" customHeight="1" x14ac:dyDescent="0.25"/>
    <row r="5489" ht="14.25" customHeight="1" x14ac:dyDescent="0.25"/>
    <row r="5490" ht="14.25" customHeight="1" x14ac:dyDescent="0.25"/>
    <row r="5491" ht="14.25" customHeight="1" x14ac:dyDescent="0.25"/>
    <row r="5492" ht="14.25" customHeight="1" x14ac:dyDescent="0.25"/>
    <row r="5493" ht="14.25" customHeight="1" x14ac:dyDescent="0.25"/>
    <row r="5494" ht="14.25" customHeight="1" x14ac:dyDescent="0.25"/>
    <row r="5495" ht="14.25" customHeight="1" x14ac:dyDescent="0.25"/>
    <row r="5496" ht="14.25" customHeight="1" x14ac:dyDescent="0.25"/>
    <row r="5497" ht="14.25" customHeight="1" x14ac:dyDescent="0.25"/>
    <row r="5498" ht="14.25" customHeight="1" x14ac:dyDescent="0.25"/>
    <row r="5499" ht="14.25" customHeight="1" x14ac:dyDescent="0.25"/>
    <row r="5500" ht="14.25" customHeight="1" x14ac:dyDescent="0.25"/>
    <row r="5501" ht="14.25" customHeight="1" x14ac:dyDescent="0.25"/>
    <row r="5502" ht="14.25" customHeight="1" x14ac:dyDescent="0.25"/>
    <row r="5503" ht="14.25" customHeight="1" x14ac:dyDescent="0.25"/>
    <row r="5504" ht="14.25" customHeight="1" x14ac:dyDescent="0.25"/>
    <row r="5505" ht="14.25" customHeight="1" x14ac:dyDescent="0.25"/>
    <row r="5506" ht="14.25" customHeight="1" x14ac:dyDescent="0.25"/>
    <row r="5507" ht="14.25" customHeight="1" x14ac:dyDescent="0.25"/>
    <row r="5508" ht="14.25" customHeight="1" x14ac:dyDescent="0.25"/>
    <row r="5509" ht="14.25" customHeight="1" x14ac:dyDescent="0.25"/>
    <row r="5510" ht="14.25" customHeight="1" x14ac:dyDescent="0.25"/>
    <row r="5511" ht="14.25" customHeight="1" x14ac:dyDescent="0.25"/>
    <row r="5512" ht="14.25" customHeight="1" x14ac:dyDescent="0.25"/>
    <row r="5513" ht="14.25" customHeight="1" x14ac:dyDescent="0.25"/>
    <row r="5514" ht="14.25" customHeight="1" x14ac:dyDescent="0.25"/>
    <row r="5515" ht="14.25" customHeight="1" x14ac:dyDescent="0.25"/>
    <row r="5516" ht="14.25" customHeight="1" x14ac:dyDescent="0.25"/>
    <row r="5517" ht="14.25" customHeight="1" x14ac:dyDescent="0.25"/>
    <row r="5518" ht="14.25" customHeight="1" x14ac:dyDescent="0.25"/>
    <row r="5519" ht="14.25" customHeight="1" x14ac:dyDescent="0.25"/>
    <row r="5520" ht="14.25" customHeight="1" x14ac:dyDescent="0.25"/>
    <row r="5521" ht="14.25" customHeight="1" x14ac:dyDescent="0.25"/>
    <row r="5522" ht="14.25" customHeight="1" x14ac:dyDescent="0.25"/>
    <row r="5523" ht="14.25" customHeight="1" x14ac:dyDescent="0.25"/>
    <row r="5524" ht="14.25" customHeight="1" x14ac:dyDescent="0.25"/>
    <row r="5525" ht="14.25" customHeight="1" x14ac:dyDescent="0.25"/>
    <row r="5526" ht="14.25" customHeight="1" x14ac:dyDescent="0.25"/>
    <row r="5527" ht="14.25" customHeight="1" x14ac:dyDescent="0.25"/>
    <row r="5528" ht="14.25" customHeight="1" x14ac:dyDescent="0.25"/>
    <row r="5529" ht="14.25" customHeight="1" x14ac:dyDescent="0.25"/>
    <row r="5530" ht="14.25" customHeight="1" x14ac:dyDescent="0.25"/>
    <row r="5531" ht="14.25" customHeight="1" x14ac:dyDescent="0.25"/>
    <row r="5532" ht="14.25" customHeight="1" x14ac:dyDescent="0.25"/>
    <row r="5533" ht="14.25" customHeight="1" x14ac:dyDescent="0.25"/>
    <row r="5534" ht="14.25" customHeight="1" x14ac:dyDescent="0.25"/>
    <row r="5535" ht="14.25" customHeight="1" x14ac:dyDescent="0.25"/>
    <row r="5536" ht="14.25" customHeight="1" x14ac:dyDescent="0.25"/>
    <row r="5537" ht="14.25" customHeight="1" x14ac:dyDescent="0.25"/>
    <row r="5538" ht="14.25" customHeight="1" x14ac:dyDescent="0.25"/>
    <row r="5539" ht="14.25" customHeight="1" x14ac:dyDescent="0.25"/>
    <row r="5540" ht="14.25" customHeight="1" x14ac:dyDescent="0.25"/>
    <row r="5541" ht="14.25" customHeight="1" x14ac:dyDescent="0.25"/>
    <row r="5542" ht="14.25" customHeight="1" x14ac:dyDescent="0.25"/>
    <row r="5543" ht="14.25" customHeight="1" x14ac:dyDescent="0.25"/>
    <row r="5544" ht="14.25" customHeight="1" x14ac:dyDescent="0.25"/>
    <row r="5545" ht="14.25" customHeight="1" x14ac:dyDescent="0.25"/>
    <row r="5546" ht="14.25" customHeight="1" x14ac:dyDescent="0.25"/>
    <row r="5547" ht="14.25" customHeight="1" x14ac:dyDescent="0.25"/>
    <row r="5548" ht="14.25" customHeight="1" x14ac:dyDescent="0.25"/>
    <row r="5549" ht="14.25" customHeight="1" x14ac:dyDescent="0.25"/>
    <row r="5550" ht="14.25" customHeight="1" x14ac:dyDescent="0.25"/>
    <row r="5551" ht="14.25" customHeight="1" x14ac:dyDescent="0.25"/>
    <row r="5552" ht="14.25" customHeight="1" x14ac:dyDescent="0.25"/>
    <row r="5553" ht="14.25" customHeight="1" x14ac:dyDescent="0.25"/>
    <row r="5554" ht="14.25" customHeight="1" x14ac:dyDescent="0.25"/>
    <row r="5555" ht="14.25" customHeight="1" x14ac:dyDescent="0.25"/>
    <row r="5556" ht="14.25" customHeight="1" x14ac:dyDescent="0.25"/>
    <row r="5557" ht="14.25" customHeight="1" x14ac:dyDescent="0.25"/>
    <row r="5558" ht="14.25" customHeight="1" x14ac:dyDescent="0.25"/>
    <row r="5559" ht="14.25" customHeight="1" x14ac:dyDescent="0.25"/>
    <row r="5560" ht="14.25" customHeight="1" x14ac:dyDescent="0.25"/>
    <row r="5561" ht="14.25" customHeight="1" x14ac:dyDescent="0.25"/>
    <row r="5562" ht="14.25" customHeight="1" x14ac:dyDescent="0.25"/>
    <row r="5563" ht="14.25" customHeight="1" x14ac:dyDescent="0.25"/>
    <row r="5564" ht="14.25" customHeight="1" x14ac:dyDescent="0.25"/>
    <row r="5565" ht="14.25" customHeight="1" x14ac:dyDescent="0.25"/>
    <row r="5566" ht="14.25" customHeight="1" x14ac:dyDescent="0.25"/>
    <row r="5567" ht="14.25" customHeight="1" x14ac:dyDescent="0.25"/>
    <row r="5568" ht="14.25" customHeight="1" x14ac:dyDescent="0.25"/>
    <row r="5569" ht="14.25" customHeight="1" x14ac:dyDescent="0.25"/>
    <row r="5570" ht="14.25" customHeight="1" x14ac:dyDescent="0.25"/>
    <row r="5571" ht="14.25" customHeight="1" x14ac:dyDescent="0.25"/>
    <row r="5572" ht="14.25" customHeight="1" x14ac:dyDescent="0.25"/>
    <row r="5573" ht="14.25" customHeight="1" x14ac:dyDescent="0.25"/>
    <row r="5574" ht="14.25" customHeight="1" x14ac:dyDescent="0.25"/>
    <row r="5575" ht="14.25" customHeight="1" x14ac:dyDescent="0.25"/>
    <row r="5576" ht="14.25" customHeight="1" x14ac:dyDescent="0.25"/>
    <row r="5577" ht="14.25" customHeight="1" x14ac:dyDescent="0.25"/>
    <row r="5578" ht="14.25" customHeight="1" x14ac:dyDescent="0.25"/>
    <row r="5579" ht="14.25" customHeight="1" x14ac:dyDescent="0.25"/>
    <row r="5580" ht="14.25" customHeight="1" x14ac:dyDescent="0.25"/>
    <row r="5581" ht="14.25" customHeight="1" x14ac:dyDescent="0.25"/>
    <row r="5582" ht="14.25" customHeight="1" x14ac:dyDescent="0.25"/>
    <row r="5583" ht="14.25" customHeight="1" x14ac:dyDescent="0.25"/>
    <row r="5584" ht="14.25" customHeight="1" x14ac:dyDescent="0.25"/>
    <row r="5585" ht="14.25" customHeight="1" x14ac:dyDescent="0.25"/>
    <row r="5586" ht="14.25" customHeight="1" x14ac:dyDescent="0.25"/>
    <row r="5587" ht="14.25" customHeight="1" x14ac:dyDescent="0.25"/>
    <row r="5588" ht="14.25" customHeight="1" x14ac:dyDescent="0.25"/>
    <row r="5589" ht="14.25" customHeight="1" x14ac:dyDescent="0.25"/>
    <row r="5590" ht="14.25" customHeight="1" x14ac:dyDescent="0.25"/>
    <row r="5591" ht="14.25" customHeight="1" x14ac:dyDescent="0.25"/>
    <row r="5592" ht="14.25" customHeight="1" x14ac:dyDescent="0.25"/>
    <row r="5593" ht="14.25" customHeight="1" x14ac:dyDescent="0.25"/>
    <row r="5594" ht="14.25" customHeight="1" x14ac:dyDescent="0.25"/>
    <row r="5595" ht="14.25" customHeight="1" x14ac:dyDescent="0.25"/>
    <row r="5596" ht="14.25" customHeight="1" x14ac:dyDescent="0.25"/>
    <row r="5597" ht="14.25" customHeight="1" x14ac:dyDescent="0.25"/>
    <row r="5598" ht="14.25" customHeight="1" x14ac:dyDescent="0.25"/>
    <row r="5599" ht="14.25" customHeight="1" x14ac:dyDescent="0.25"/>
    <row r="5600" ht="14.25" customHeight="1" x14ac:dyDescent="0.25"/>
    <row r="5601" ht="14.25" customHeight="1" x14ac:dyDescent="0.25"/>
    <row r="5602" ht="14.25" customHeight="1" x14ac:dyDescent="0.25"/>
    <row r="5603" ht="14.25" customHeight="1" x14ac:dyDescent="0.25"/>
    <row r="5604" ht="14.25" customHeight="1" x14ac:dyDescent="0.25"/>
    <row r="5605" ht="14.25" customHeight="1" x14ac:dyDescent="0.25"/>
    <row r="5606" ht="14.25" customHeight="1" x14ac:dyDescent="0.25"/>
    <row r="5607" ht="14.25" customHeight="1" x14ac:dyDescent="0.25"/>
    <row r="5608" ht="14.25" customHeight="1" x14ac:dyDescent="0.25"/>
    <row r="5609" ht="14.25" customHeight="1" x14ac:dyDescent="0.25"/>
    <row r="5610" ht="14.25" customHeight="1" x14ac:dyDescent="0.25"/>
    <row r="5611" ht="14.25" customHeight="1" x14ac:dyDescent="0.25"/>
    <row r="5612" ht="14.25" customHeight="1" x14ac:dyDescent="0.25"/>
    <row r="5613" ht="14.25" customHeight="1" x14ac:dyDescent="0.25"/>
    <row r="5614" ht="14.25" customHeight="1" x14ac:dyDescent="0.25"/>
    <row r="5615" ht="14.25" customHeight="1" x14ac:dyDescent="0.25"/>
    <row r="5616" ht="14.25" customHeight="1" x14ac:dyDescent="0.25"/>
    <row r="5617" ht="14.25" customHeight="1" x14ac:dyDescent="0.25"/>
    <row r="5618" ht="14.25" customHeight="1" x14ac:dyDescent="0.25"/>
    <row r="5619" ht="14.25" customHeight="1" x14ac:dyDescent="0.25"/>
    <row r="5620" ht="14.25" customHeight="1" x14ac:dyDescent="0.25"/>
    <row r="5621" ht="14.25" customHeight="1" x14ac:dyDescent="0.25"/>
    <row r="5622" ht="14.25" customHeight="1" x14ac:dyDescent="0.25"/>
    <row r="5623" ht="14.25" customHeight="1" x14ac:dyDescent="0.25"/>
    <row r="5624" ht="14.25" customHeight="1" x14ac:dyDescent="0.25"/>
    <row r="5625" ht="14.25" customHeight="1" x14ac:dyDescent="0.25"/>
    <row r="5626" ht="14.25" customHeight="1" x14ac:dyDescent="0.25"/>
    <row r="5627" ht="14.25" customHeight="1" x14ac:dyDescent="0.25"/>
    <row r="5628" ht="14.25" customHeight="1" x14ac:dyDescent="0.25"/>
    <row r="5629" ht="14.25" customHeight="1" x14ac:dyDescent="0.25"/>
    <row r="5630" ht="14.25" customHeight="1" x14ac:dyDescent="0.25"/>
    <row r="5631" ht="14.25" customHeight="1" x14ac:dyDescent="0.25"/>
    <row r="5632" ht="14.25" customHeight="1" x14ac:dyDescent="0.25"/>
    <row r="5633" ht="14.25" customHeight="1" x14ac:dyDescent="0.25"/>
    <row r="5634" ht="14.25" customHeight="1" x14ac:dyDescent="0.25"/>
    <row r="5635" ht="14.25" customHeight="1" x14ac:dyDescent="0.25"/>
    <row r="5636" ht="14.25" customHeight="1" x14ac:dyDescent="0.25"/>
    <row r="5637" ht="14.25" customHeight="1" x14ac:dyDescent="0.25"/>
    <row r="5638" ht="14.25" customHeight="1" x14ac:dyDescent="0.25"/>
    <row r="5639" ht="14.25" customHeight="1" x14ac:dyDescent="0.25"/>
    <row r="5640" ht="14.25" customHeight="1" x14ac:dyDescent="0.25"/>
    <row r="5641" ht="14.25" customHeight="1" x14ac:dyDescent="0.25"/>
    <row r="5642" ht="14.25" customHeight="1" x14ac:dyDescent="0.25"/>
    <row r="5643" ht="14.25" customHeight="1" x14ac:dyDescent="0.25"/>
    <row r="5644" ht="14.25" customHeight="1" x14ac:dyDescent="0.25"/>
    <row r="5645" ht="14.25" customHeight="1" x14ac:dyDescent="0.25"/>
    <row r="5646" ht="14.25" customHeight="1" x14ac:dyDescent="0.25"/>
    <row r="5647" ht="14.25" customHeight="1" x14ac:dyDescent="0.25"/>
    <row r="5648" ht="14.25" customHeight="1" x14ac:dyDescent="0.25"/>
    <row r="5649" ht="14.25" customHeight="1" x14ac:dyDescent="0.25"/>
    <row r="5650" ht="14.25" customHeight="1" x14ac:dyDescent="0.25"/>
    <row r="5651" ht="14.25" customHeight="1" x14ac:dyDescent="0.25"/>
    <row r="5652" ht="14.25" customHeight="1" x14ac:dyDescent="0.25"/>
    <row r="5653" ht="14.25" customHeight="1" x14ac:dyDescent="0.25"/>
    <row r="5654" ht="14.25" customHeight="1" x14ac:dyDescent="0.25"/>
    <row r="5655" ht="14.25" customHeight="1" x14ac:dyDescent="0.25"/>
    <row r="5656" ht="14.25" customHeight="1" x14ac:dyDescent="0.25"/>
    <row r="5657" ht="14.25" customHeight="1" x14ac:dyDescent="0.25"/>
    <row r="5658" ht="14.25" customHeight="1" x14ac:dyDescent="0.25"/>
    <row r="5659" ht="14.25" customHeight="1" x14ac:dyDescent="0.25"/>
    <row r="5660" ht="14.25" customHeight="1" x14ac:dyDescent="0.25"/>
    <row r="5661" ht="14.25" customHeight="1" x14ac:dyDescent="0.25"/>
    <row r="5662" ht="14.25" customHeight="1" x14ac:dyDescent="0.25"/>
    <row r="5663" ht="14.25" customHeight="1" x14ac:dyDescent="0.25"/>
    <row r="5664" ht="14.25" customHeight="1" x14ac:dyDescent="0.25"/>
    <row r="5665" ht="14.25" customHeight="1" x14ac:dyDescent="0.25"/>
    <row r="5666" ht="14.25" customHeight="1" x14ac:dyDescent="0.25"/>
    <row r="5667" ht="14.25" customHeight="1" x14ac:dyDescent="0.25"/>
    <row r="5668" ht="14.25" customHeight="1" x14ac:dyDescent="0.25"/>
    <row r="5669" ht="14.25" customHeight="1" x14ac:dyDescent="0.25"/>
    <row r="5670" ht="14.25" customHeight="1" x14ac:dyDescent="0.25"/>
    <row r="5671" ht="14.25" customHeight="1" x14ac:dyDescent="0.25"/>
    <row r="5672" ht="14.25" customHeight="1" x14ac:dyDescent="0.25"/>
    <row r="5673" ht="14.25" customHeight="1" x14ac:dyDescent="0.25"/>
    <row r="5674" ht="14.25" customHeight="1" x14ac:dyDescent="0.25"/>
    <row r="5675" ht="14.25" customHeight="1" x14ac:dyDescent="0.25"/>
    <row r="5676" ht="14.25" customHeight="1" x14ac:dyDescent="0.25"/>
    <row r="5677" ht="14.25" customHeight="1" x14ac:dyDescent="0.25"/>
    <row r="5678" ht="14.25" customHeight="1" x14ac:dyDescent="0.25"/>
    <row r="5679" ht="14.25" customHeight="1" x14ac:dyDescent="0.25"/>
    <row r="5680" ht="14.25" customHeight="1" x14ac:dyDescent="0.25"/>
    <row r="5681" ht="14.25" customHeight="1" x14ac:dyDescent="0.25"/>
    <row r="5682" ht="14.25" customHeight="1" x14ac:dyDescent="0.25"/>
    <row r="5683" ht="14.25" customHeight="1" x14ac:dyDescent="0.25"/>
    <row r="5684" ht="14.25" customHeight="1" x14ac:dyDescent="0.25"/>
    <row r="5685" ht="14.25" customHeight="1" x14ac:dyDescent="0.25"/>
    <row r="5686" ht="14.25" customHeight="1" x14ac:dyDescent="0.25"/>
    <row r="5687" ht="14.25" customHeight="1" x14ac:dyDescent="0.25"/>
    <row r="5688" ht="14.25" customHeight="1" x14ac:dyDescent="0.25"/>
    <row r="5689" ht="14.25" customHeight="1" x14ac:dyDescent="0.25"/>
    <row r="5690" ht="14.25" customHeight="1" x14ac:dyDescent="0.25"/>
    <row r="5691" ht="14.25" customHeight="1" x14ac:dyDescent="0.25"/>
    <row r="5692" ht="14.25" customHeight="1" x14ac:dyDescent="0.25"/>
    <row r="5693" ht="14.25" customHeight="1" x14ac:dyDescent="0.25"/>
    <row r="5694" ht="14.25" customHeight="1" x14ac:dyDescent="0.25"/>
    <row r="5695" ht="14.25" customHeight="1" x14ac:dyDescent="0.25"/>
    <row r="5696" ht="14.25" customHeight="1" x14ac:dyDescent="0.25"/>
    <row r="5697" ht="14.25" customHeight="1" x14ac:dyDescent="0.25"/>
    <row r="5698" ht="14.25" customHeight="1" x14ac:dyDescent="0.25"/>
    <row r="5699" ht="14.25" customHeight="1" x14ac:dyDescent="0.25"/>
    <row r="5700" ht="14.25" customHeight="1" x14ac:dyDescent="0.25"/>
    <row r="5701" ht="14.25" customHeight="1" x14ac:dyDescent="0.25"/>
    <row r="5702" ht="14.25" customHeight="1" x14ac:dyDescent="0.25"/>
    <row r="5703" ht="14.25" customHeight="1" x14ac:dyDescent="0.25"/>
    <row r="5704" ht="14.25" customHeight="1" x14ac:dyDescent="0.25"/>
    <row r="5705" ht="14.25" customHeight="1" x14ac:dyDescent="0.25"/>
    <row r="5706" ht="14.25" customHeight="1" x14ac:dyDescent="0.25"/>
    <row r="5707" ht="14.25" customHeight="1" x14ac:dyDescent="0.25"/>
    <row r="5708" ht="14.25" customHeight="1" x14ac:dyDescent="0.25"/>
    <row r="5709" ht="14.25" customHeight="1" x14ac:dyDescent="0.25"/>
    <row r="5710" ht="14.25" customHeight="1" x14ac:dyDescent="0.25"/>
    <row r="5711" ht="14.25" customHeight="1" x14ac:dyDescent="0.25"/>
    <row r="5712" ht="14.25" customHeight="1" x14ac:dyDescent="0.25"/>
    <row r="5713" ht="14.25" customHeight="1" x14ac:dyDescent="0.25"/>
    <row r="5714" ht="14.25" customHeight="1" x14ac:dyDescent="0.25"/>
    <row r="5715" ht="14.25" customHeight="1" x14ac:dyDescent="0.25"/>
    <row r="5716" ht="14.25" customHeight="1" x14ac:dyDescent="0.25"/>
    <row r="5717" ht="14.25" customHeight="1" x14ac:dyDescent="0.25"/>
    <row r="5718" ht="14.25" customHeight="1" x14ac:dyDescent="0.25"/>
    <row r="5719" ht="14.25" customHeight="1" x14ac:dyDescent="0.25"/>
    <row r="5720" ht="14.25" customHeight="1" x14ac:dyDescent="0.25"/>
    <row r="5721" ht="14.25" customHeight="1" x14ac:dyDescent="0.25"/>
    <row r="5722" ht="14.25" customHeight="1" x14ac:dyDescent="0.25"/>
    <row r="5723" ht="14.25" customHeight="1" x14ac:dyDescent="0.25"/>
    <row r="5724" ht="14.25" customHeight="1" x14ac:dyDescent="0.25"/>
    <row r="5725" ht="14.25" customHeight="1" x14ac:dyDescent="0.25"/>
    <row r="5726" ht="14.25" customHeight="1" x14ac:dyDescent="0.25"/>
    <row r="5727" ht="14.25" customHeight="1" x14ac:dyDescent="0.25"/>
    <row r="5728" ht="14.25" customHeight="1" x14ac:dyDescent="0.25"/>
    <row r="5729" ht="14.25" customHeight="1" x14ac:dyDescent="0.25"/>
    <row r="5730" ht="14.25" customHeight="1" x14ac:dyDescent="0.25"/>
    <row r="5731" ht="14.25" customHeight="1" x14ac:dyDescent="0.25"/>
    <row r="5732" ht="14.25" customHeight="1" x14ac:dyDescent="0.25"/>
    <row r="5733" ht="14.25" customHeight="1" x14ac:dyDescent="0.25"/>
    <row r="5734" ht="14.25" customHeight="1" x14ac:dyDescent="0.25"/>
    <row r="5735" ht="14.25" customHeight="1" x14ac:dyDescent="0.25"/>
    <row r="5736" ht="14.25" customHeight="1" x14ac:dyDescent="0.25"/>
    <row r="5737" ht="14.25" customHeight="1" x14ac:dyDescent="0.25"/>
    <row r="5738" ht="14.25" customHeight="1" x14ac:dyDescent="0.25"/>
    <row r="5739" ht="14.25" customHeight="1" x14ac:dyDescent="0.25"/>
    <row r="5740" ht="14.25" customHeight="1" x14ac:dyDescent="0.25"/>
    <row r="5741" ht="14.25" customHeight="1" x14ac:dyDescent="0.25"/>
    <row r="5742" ht="14.25" customHeight="1" x14ac:dyDescent="0.25"/>
    <row r="5743" ht="14.25" customHeight="1" x14ac:dyDescent="0.25"/>
    <row r="5744" ht="14.25" customHeight="1" x14ac:dyDescent="0.25"/>
    <row r="5745" ht="14.25" customHeight="1" x14ac:dyDescent="0.25"/>
    <row r="5746" ht="14.25" customHeight="1" x14ac:dyDescent="0.25"/>
    <row r="5747" ht="14.25" customHeight="1" x14ac:dyDescent="0.25"/>
    <row r="5748" ht="14.25" customHeight="1" x14ac:dyDescent="0.25"/>
    <row r="5749" ht="14.25" customHeight="1" x14ac:dyDescent="0.25"/>
    <row r="5750" ht="14.25" customHeight="1" x14ac:dyDescent="0.25"/>
    <row r="5751" ht="14.25" customHeight="1" x14ac:dyDescent="0.25"/>
    <row r="5752" ht="14.25" customHeight="1" x14ac:dyDescent="0.25"/>
    <row r="5753" ht="14.25" customHeight="1" x14ac:dyDescent="0.25"/>
    <row r="5754" ht="14.25" customHeight="1" x14ac:dyDescent="0.25"/>
    <row r="5755" ht="14.25" customHeight="1" x14ac:dyDescent="0.25"/>
    <row r="5756" ht="14.25" customHeight="1" x14ac:dyDescent="0.25"/>
    <row r="5757" ht="14.25" customHeight="1" x14ac:dyDescent="0.25"/>
    <row r="5758" ht="14.25" customHeight="1" x14ac:dyDescent="0.25"/>
    <row r="5759" ht="14.25" customHeight="1" x14ac:dyDescent="0.25"/>
    <row r="5760" ht="14.25" customHeight="1" x14ac:dyDescent="0.25"/>
    <row r="5761" ht="14.25" customHeight="1" x14ac:dyDescent="0.25"/>
    <row r="5762" ht="14.25" customHeight="1" x14ac:dyDescent="0.25"/>
    <row r="5763" ht="14.25" customHeight="1" x14ac:dyDescent="0.25"/>
    <row r="5764" ht="14.25" customHeight="1" x14ac:dyDescent="0.25"/>
    <row r="5765" ht="14.25" customHeight="1" x14ac:dyDescent="0.25"/>
    <row r="5766" ht="14.25" customHeight="1" x14ac:dyDescent="0.25"/>
    <row r="5767" ht="14.25" customHeight="1" x14ac:dyDescent="0.25"/>
    <row r="5768" ht="14.25" customHeight="1" x14ac:dyDescent="0.25"/>
    <row r="5769" ht="14.25" customHeight="1" x14ac:dyDescent="0.25"/>
    <row r="5770" ht="14.25" customHeight="1" x14ac:dyDescent="0.25"/>
    <row r="5771" ht="14.25" customHeight="1" x14ac:dyDescent="0.25"/>
    <row r="5772" ht="14.25" customHeight="1" x14ac:dyDescent="0.25"/>
    <row r="5773" ht="14.25" customHeight="1" x14ac:dyDescent="0.25"/>
    <row r="5774" ht="14.25" customHeight="1" x14ac:dyDescent="0.25"/>
    <row r="5775" ht="14.25" customHeight="1" x14ac:dyDescent="0.25"/>
    <row r="5776" ht="14.25" customHeight="1" x14ac:dyDescent="0.25"/>
    <row r="5777" ht="14.25" customHeight="1" x14ac:dyDescent="0.25"/>
    <row r="5778" ht="14.25" customHeight="1" x14ac:dyDescent="0.25"/>
    <row r="5779" ht="14.25" customHeight="1" x14ac:dyDescent="0.25"/>
    <row r="5780" ht="14.25" customHeight="1" x14ac:dyDescent="0.25"/>
    <row r="5781" ht="14.25" customHeight="1" x14ac:dyDescent="0.25"/>
    <row r="5782" ht="14.25" customHeight="1" x14ac:dyDescent="0.25"/>
    <row r="5783" ht="14.25" customHeight="1" x14ac:dyDescent="0.25"/>
    <row r="5784" ht="14.25" customHeight="1" x14ac:dyDescent="0.25"/>
    <row r="5785" ht="14.25" customHeight="1" x14ac:dyDescent="0.25"/>
    <row r="5786" ht="14.25" customHeight="1" x14ac:dyDescent="0.25"/>
    <row r="5787" ht="14.25" customHeight="1" x14ac:dyDescent="0.25"/>
    <row r="5788" ht="14.25" customHeight="1" x14ac:dyDescent="0.25"/>
    <row r="5789" ht="14.25" customHeight="1" x14ac:dyDescent="0.25"/>
    <row r="5790" ht="14.25" customHeight="1" x14ac:dyDescent="0.25"/>
    <row r="5791" ht="14.25" customHeight="1" x14ac:dyDescent="0.25"/>
    <row r="5792" ht="14.25" customHeight="1" x14ac:dyDescent="0.25"/>
    <row r="5793" ht="14.25" customHeight="1" x14ac:dyDescent="0.25"/>
    <row r="5794" ht="14.25" customHeight="1" x14ac:dyDescent="0.25"/>
    <row r="5795" ht="14.25" customHeight="1" x14ac:dyDescent="0.25"/>
    <row r="5796" ht="14.25" customHeight="1" x14ac:dyDescent="0.25"/>
    <row r="5797" ht="14.25" customHeight="1" x14ac:dyDescent="0.25"/>
    <row r="5798" ht="14.25" customHeight="1" x14ac:dyDescent="0.25"/>
    <row r="5799" ht="14.25" customHeight="1" x14ac:dyDescent="0.25"/>
    <row r="5800" ht="14.25" customHeight="1" x14ac:dyDescent="0.25"/>
    <row r="5801" ht="14.25" customHeight="1" x14ac:dyDescent="0.25"/>
    <row r="5802" ht="14.25" customHeight="1" x14ac:dyDescent="0.25"/>
    <row r="5803" ht="14.25" customHeight="1" x14ac:dyDescent="0.25"/>
    <row r="5804" ht="14.25" customHeight="1" x14ac:dyDescent="0.25"/>
    <row r="5805" ht="14.25" customHeight="1" x14ac:dyDescent="0.25"/>
    <row r="5806" ht="14.25" customHeight="1" x14ac:dyDescent="0.25"/>
    <row r="5807" ht="14.25" customHeight="1" x14ac:dyDescent="0.25"/>
    <row r="5808" ht="14.25" customHeight="1" x14ac:dyDescent="0.25"/>
    <row r="5809" ht="14.25" customHeight="1" x14ac:dyDescent="0.25"/>
    <row r="5810" ht="14.25" customHeight="1" x14ac:dyDescent="0.25"/>
    <row r="5811" ht="14.25" customHeight="1" x14ac:dyDescent="0.25"/>
    <row r="5812" ht="14.25" customHeight="1" x14ac:dyDescent="0.25"/>
    <row r="5813" ht="14.25" customHeight="1" x14ac:dyDescent="0.25"/>
    <row r="5814" ht="14.25" customHeight="1" x14ac:dyDescent="0.25"/>
    <row r="5815" ht="14.25" customHeight="1" x14ac:dyDescent="0.25"/>
    <row r="5816" ht="14.25" customHeight="1" x14ac:dyDescent="0.25"/>
    <row r="5817" ht="14.25" customHeight="1" x14ac:dyDescent="0.25"/>
    <row r="5818" ht="14.25" customHeight="1" x14ac:dyDescent="0.25"/>
    <row r="5819" ht="14.25" customHeight="1" x14ac:dyDescent="0.25"/>
    <row r="5820" ht="14.25" customHeight="1" x14ac:dyDescent="0.25"/>
    <row r="5821" ht="14.25" customHeight="1" x14ac:dyDescent="0.25"/>
    <row r="5822" ht="14.25" customHeight="1" x14ac:dyDescent="0.25"/>
    <row r="5823" ht="14.25" customHeight="1" x14ac:dyDescent="0.25"/>
    <row r="5824" ht="14.25" customHeight="1" x14ac:dyDescent="0.25"/>
    <row r="5825" ht="14.25" customHeight="1" x14ac:dyDescent="0.25"/>
    <row r="5826" ht="14.25" customHeight="1" x14ac:dyDescent="0.25"/>
    <row r="5827" ht="14.25" customHeight="1" x14ac:dyDescent="0.25"/>
    <row r="5828" ht="14.25" customHeight="1" x14ac:dyDescent="0.25"/>
    <row r="5829" ht="14.25" customHeight="1" x14ac:dyDescent="0.25"/>
    <row r="5830" ht="14.25" customHeight="1" x14ac:dyDescent="0.25"/>
    <row r="5831" ht="14.25" customHeight="1" x14ac:dyDescent="0.25"/>
    <row r="5832" ht="14.25" customHeight="1" x14ac:dyDescent="0.25"/>
    <row r="5833" ht="14.25" customHeight="1" x14ac:dyDescent="0.25"/>
    <row r="5834" ht="14.25" customHeight="1" x14ac:dyDescent="0.25"/>
    <row r="5835" ht="14.25" customHeight="1" x14ac:dyDescent="0.25"/>
    <row r="5836" ht="14.25" customHeight="1" x14ac:dyDescent="0.25"/>
    <row r="5837" ht="14.25" customHeight="1" x14ac:dyDescent="0.25"/>
    <row r="5838" ht="14.25" customHeight="1" x14ac:dyDescent="0.25"/>
    <row r="5839" ht="14.25" customHeight="1" x14ac:dyDescent="0.25"/>
    <row r="5840" ht="14.25" customHeight="1" x14ac:dyDescent="0.25"/>
    <row r="5841" ht="14.25" customHeight="1" x14ac:dyDescent="0.25"/>
    <row r="5842" ht="14.25" customHeight="1" x14ac:dyDescent="0.25"/>
    <row r="5843" ht="14.25" customHeight="1" x14ac:dyDescent="0.25"/>
    <row r="5844" ht="14.25" customHeight="1" x14ac:dyDescent="0.25"/>
    <row r="5845" ht="14.25" customHeight="1" x14ac:dyDescent="0.25"/>
    <row r="5846" ht="14.25" customHeight="1" x14ac:dyDescent="0.25"/>
    <row r="5847" ht="14.25" customHeight="1" x14ac:dyDescent="0.25"/>
    <row r="5848" ht="14.25" customHeight="1" x14ac:dyDescent="0.25"/>
    <row r="5849" ht="14.25" customHeight="1" x14ac:dyDescent="0.25"/>
    <row r="5850" ht="14.25" customHeight="1" x14ac:dyDescent="0.25"/>
    <row r="5851" ht="14.25" customHeight="1" x14ac:dyDescent="0.25"/>
    <row r="5852" ht="14.25" customHeight="1" x14ac:dyDescent="0.25"/>
    <row r="5853" ht="14.25" customHeight="1" x14ac:dyDescent="0.25"/>
    <row r="5854" ht="14.25" customHeight="1" x14ac:dyDescent="0.25"/>
    <row r="5855" ht="14.25" customHeight="1" x14ac:dyDescent="0.25"/>
    <row r="5856" ht="14.25" customHeight="1" x14ac:dyDescent="0.25"/>
    <row r="5857" ht="14.25" customHeight="1" x14ac:dyDescent="0.25"/>
    <row r="5858" ht="14.25" customHeight="1" x14ac:dyDescent="0.25"/>
    <row r="5859" ht="14.25" customHeight="1" x14ac:dyDescent="0.25"/>
    <row r="5860" ht="14.25" customHeight="1" x14ac:dyDescent="0.25"/>
    <row r="5861" ht="14.25" customHeight="1" x14ac:dyDescent="0.25"/>
    <row r="5862" ht="14.25" customHeight="1" x14ac:dyDescent="0.25"/>
    <row r="5863" ht="14.25" customHeight="1" x14ac:dyDescent="0.25"/>
    <row r="5864" ht="14.25" customHeight="1" x14ac:dyDescent="0.25"/>
    <row r="5865" ht="14.25" customHeight="1" x14ac:dyDescent="0.25"/>
    <row r="5866" ht="14.25" customHeight="1" x14ac:dyDescent="0.25"/>
    <row r="5867" ht="14.25" customHeight="1" x14ac:dyDescent="0.25"/>
    <row r="5868" ht="14.25" customHeight="1" x14ac:dyDescent="0.25"/>
    <row r="5869" ht="14.25" customHeight="1" x14ac:dyDescent="0.25"/>
    <row r="5870" ht="14.25" customHeight="1" x14ac:dyDescent="0.25"/>
    <row r="5871" ht="14.25" customHeight="1" x14ac:dyDescent="0.25"/>
    <row r="5872" ht="14.25" customHeight="1" x14ac:dyDescent="0.25"/>
    <row r="5873" ht="14.25" customHeight="1" x14ac:dyDescent="0.25"/>
    <row r="5874" ht="14.25" customHeight="1" x14ac:dyDescent="0.25"/>
    <row r="5875" ht="14.25" customHeight="1" x14ac:dyDescent="0.25"/>
    <row r="5876" ht="14.25" customHeight="1" x14ac:dyDescent="0.25"/>
    <row r="5877" ht="14.25" customHeight="1" x14ac:dyDescent="0.25"/>
    <row r="5878" ht="14.25" customHeight="1" x14ac:dyDescent="0.25"/>
    <row r="5879" ht="14.25" customHeight="1" x14ac:dyDescent="0.25"/>
    <row r="5880" ht="14.25" customHeight="1" x14ac:dyDescent="0.25"/>
    <row r="5881" ht="14.25" customHeight="1" x14ac:dyDescent="0.25"/>
    <row r="5882" ht="14.25" customHeight="1" x14ac:dyDescent="0.25"/>
    <row r="5883" ht="14.25" customHeight="1" x14ac:dyDescent="0.25"/>
    <row r="5884" ht="14.25" customHeight="1" x14ac:dyDescent="0.25"/>
    <row r="5885" ht="14.25" customHeight="1" x14ac:dyDescent="0.25"/>
    <row r="5886" ht="14.25" customHeight="1" x14ac:dyDescent="0.25"/>
    <row r="5887" ht="14.25" customHeight="1" x14ac:dyDescent="0.25"/>
    <row r="5888" ht="14.25" customHeight="1" x14ac:dyDescent="0.25"/>
    <row r="5889" ht="14.25" customHeight="1" x14ac:dyDescent="0.25"/>
    <row r="5890" ht="14.25" customHeight="1" x14ac:dyDescent="0.25"/>
    <row r="5891" ht="14.25" customHeight="1" x14ac:dyDescent="0.25"/>
    <row r="5892" ht="14.25" customHeight="1" x14ac:dyDescent="0.25"/>
    <row r="5893" ht="14.25" customHeight="1" x14ac:dyDescent="0.25"/>
    <row r="5894" ht="14.25" customHeight="1" x14ac:dyDescent="0.25"/>
    <row r="5895" ht="14.25" customHeight="1" x14ac:dyDescent="0.25"/>
    <row r="5896" ht="14.25" customHeight="1" x14ac:dyDescent="0.25"/>
    <row r="5897" ht="14.25" customHeight="1" x14ac:dyDescent="0.25"/>
    <row r="5898" ht="14.25" customHeight="1" x14ac:dyDescent="0.25"/>
    <row r="5899" ht="14.25" customHeight="1" x14ac:dyDescent="0.25"/>
    <row r="5900" ht="14.25" customHeight="1" x14ac:dyDescent="0.25"/>
    <row r="5901" ht="14.25" customHeight="1" x14ac:dyDescent="0.25"/>
    <row r="5902" ht="14.25" customHeight="1" x14ac:dyDescent="0.25"/>
    <row r="5903" ht="14.25" customHeight="1" x14ac:dyDescent="0.25"/>
    <row r="5904" ht="14.25" customHeight="1" x14ac:dyDescent="0.25"/>
    <row r="5905" ht="14.25" customHeight="1" x14ac:dyDescent="0.25"/>
    <row r="5906" ht="14.25" customHeight="1" x14ac:dyDescent="0.25"/>
    <row r="5907" ht="14.25" customHeight="1" x14ac:dyDescent="0.25"/>
    <row r="5908" ht="14.25" customHeight="1" x14ac:dyDescent="0.25"/>
    <row r="5909" ht="14.25" customHeight="1" x14ac:dyDescent="0.25"/>
    <row r="5910" ht="14.25" customHeight="1" x14ac:dyDescent="0.25"/>
    <row r="5911" ht="14.25" customHeight="1" x14ac:dyDescent="0.25"/>
    <row r="5912" ht="14.25" customHeight="1" x14ac:dyDescent="0.25"/>
    <row r="5913" ht="14.25" customHeight="1" x14ac:dyDescent="0.25"/>
    <row r="5914" ht="14.25" customHeight="1" x14ac:dyDescent="0.25"/>
    <row r="5915" ht="14.25" customHeight="1" x14ac:dyDescent="0.25"/>
    <row r="5916" ht="14.25" customHeight="1" x14ac:dyDescent="0.25"/>
    <row r="5917" ht="14.25" customHeight="1" x14ac:dyDescent="0.25"/>
    <row r="5918" ht="14.25" customHeight="1" x14ac:dyDescent="0.25"/>
    <row r="5919" ht="14.25" customHeight="1" x14ac:dyDescent="0.25"/>
    <row r="5920" ht="14.25" customHeight="1" x14ac:dyDescent="0.25"/>
    <row r="5921" ht="14.25" customHeight="1" x14ac:dyDescent="0.25"/>
    <row r="5922" ht="14.25" customHeight="1" x14ac:dyDescent="0.25"/>
    <row r="5923" ht="14.25" customHeight="1" x14ac:dyDescent="0.25"/>
    <row r="5924" ht="14.25" customHeight="1" x14ac:dyDescent="0.25"/>
    <row r="5925" ht="14.25" customHeight="1" x14ac:dyDescent="0.25"/>
    <row r="5926" ht="14.25" customHeight="1" x14ac:dyDescent="0.25"/>
    <row r="5927" ht="14.25" customHeight="1" x14ac:dyDescent="0.25"/>
    <row r="5928" ht="14.25" customHeight="1" x14ac:dyDescent="0.25"/>
    <row r="5929" ht="14.25" customHeight="1" x14ac:dyDescent="0.25"/>
    <row r="5930" ht="14.25" customHeight="1" x14ac:dyDescent="0.25"/>
    <row r="5931" ht="14.25" customHeight="1" x14ac:dyDescent="0.25"/>
    <row r="5932" ht="14.25" customHeight="1" x14ac:dyDescent="0.25"/>
    <row r="5933" ht="14.25" customHeight="1" x14ac:dyDescent="0.25"/>
    <row r="5934" ht="14.25" customHeight="1" x14ac:dyDescent="0.25"/>
    <row r="5935" ht="14.25" customHeight="1" x14ac:dyDescent="0.25"/>
    <row r="5936" ht="14.25" customHeight="1" x14ac:dyDescent="0.25"/>
    <row r="5937" ht="14.25" customHeight="1" x14ac:dyDescent="0.25"/>
    <row r="5938" ht="14.25" customHeight="1" x14ac:dyDescent="0.25"/>
    <row r="5939" ht="14.25" customHeight="1" x14ac:dyDescent="0.25"/>
    <row r="5940" ht="14.25" customHeight="1" x14ac:dyDescent="0.25"/>
    <row r="5941" ht="14.25" customHeight="1" x14ac:dyDescent="0.25"/>
    <row r="5942" ht="14.25" customHeight="1" x14ac:dyDescent="0.25"/>
    <row r="5943" ht="14.25" customHeight="1" x14ac:dyDescent="0.25"/>
    <row r="5944" ht="14.25" customHeight="1" x14ac:dyDescent="0.25"/>
    <row r="5945" ht="14.25" customHeight="1" x14ac:dyDescent="0.25"/>
    <row r="5946" ht="14.25" customHeight="1" x14ac:dyDescent="0.25"/>
    <row r="5947" ht="14.25" customHeight="1" x14ac:dyDescent="0.25"/>
    <row r="5948" ht="14.25" customHeight="1" x14ac:dyDescent="0.25"/>
    <row r="5949" ht="14.25" customHeight="1" x14ac:dyDescent="0.25"/>
    <row r="5950" ht="14.25" customHeight="1" x14ac:dyDescent="0.25"/>
    <row r="5951" ht="14.25" customHeight="1" x14ac:dyDescent="0.25"/>
    <row r="5952" ht="14.25" customHeight="1" x14ac:dyDescent="0.25"/>
    <row r="5953" ht="14.25" customHeight="1" x14ac:dyDescent="0.25"/>
    <row r="5954" ht="14.25" customHeight="1" x14ac:dyDescent="0.25"/>
    <row r="5955" ht="14.25" customHeight="1" x14ac:dyDescent="0.25"/>
    <row r="5956" ht="14.25" customHeight="1" x14ac:dyDescent="0.25"/>
    <row r="5957" ht="14.25" customHeight="1" x14ac:dyDescent="0.25"/>
    <row r="5958" ht="14.25" customHeight="1" x14ac:dyDescent="0.25"/>
    <row r="5959" ht="14.25" customHeight="1" x14ac:dyDescent="0.25"/>
    <row r="5960" ht="14.25" customHeight="1" x14ac:dyDescent="0.25"/>
    <row r="5961" ht="14.25" customHeight="1" x14ac:dyDescent="0.25"/>
    <row r="5962" ht="14.25" customHeight="1" x14ac:dyDescent="0.25"/>
    <row r="5963" ht="14.25" customHeight="1" x14ac:dyDescent="0.25"/>
    <row r="5964" ht="14.25" customHeight="1" x14ac:dyDescent="0.25"/>
    <row r="5965" ht="14.25" customHeight="1" x14ac:dyDescent="0.25"/>
    <row r="5966" ht="14.25" customHeight="1" x14ac:dyDescent="0.25"/>
    <row r="5967" ht="14.25" customHeight="1" x14ac:dyDescent="0.25"/>
    <row r="5968" ht="14.25" customHeight="1" x14ac:dyDescent="0.25"/>
    <row r="5969" ht="14.25" customHeight="1" x14ac:dyDescent="0.25"/>
    <row r="5970" ht="14.25" customHeight="1" x14ac:dyDescent="0.25"/>
    <row r="5971" ht="14.25" customHeight="1" x14ac:dyDescent="0.25"/>
    <row r="5972" ht="14.25" customHeight="1" x14ac:dyDescent="0.25"/>
    <row r="5973" ht="14.25" customHeight="1" x14ac:dyDescent="0.25"/>
    <row r="5974" ht="14.25" customHeight="1" x14ac:dyDescent="0.25"/>
    <row r="5975" ht="14.25" customHeight="1" x14ac:dyDescent="0.25"/>
    <row r="5976" ht="14.25" customHeight="1" x14ac:dyDescent="0.25"/>
    <row r="5977" ht="14.25" customHeight="1" x14ac:dyDescent="0.25"/>
    <row r="5978" ht="14.25" customHeight="1" x14ac:dyDescent="0.25"/>
    <row r="5979" ht="14.25" customHeight="1" x14ac:dyDescent="0.25"/>
    <row r="5980" ht="14.25" customHeight="1" x14ac:dyDescent="0.25"/>
    <row r="5981" ht="14.25" customHeight="1" x14ac:dyDescent="0.25"/>
    <row r="5982" ht="14.25" customHeight="1" x14ac:dyDescent="0.25"/>
    <row r="5983" ht="14.25" customHeight="1" x14ac:dyDescent="0.25"/>
    <row r="5984" ht="14.25" customHeight="1" x14ac:dyDescent="0.25"/>
    <row r="5985" ht="14.25" customHeight="1" x14ac:dyDescent="0.25"/>
    <row r="5986" ht="14.25" customHeight="1" x14ac:dyDescent="0.25"/>
    <row r="5987" ht="14.25" customHeight="1" x14ac:dyDescent="0.25"/>
    <row r="5988" ht="14.25" customHeight="1" x14ac:dyDescent="0.25"/>
    <row r="5989" ht="14.25" customHeight="1" x14ac:dyDescent="0.25"/>
    <row r="5990" ht="14.25" customHeight="1" x14ac:dyDescent="0.25"/>
    <row r="5991" ht="14.25" customHeight="1" x14ac:dyDescent="0.25"/>
    <row r="5992" ht="14.25" customHeight="1" x14ac:dyDescent="0.25"/>
    <row r="5993" ht="14.25" customHeight="1" x14ac:dyDescent="0.25"/>
    <row r="5994" ht="14.25" customHeight="1" x14ac:dyDescent="0.25"/>
    <row r="5995" ht="14.25" customHeight="1" x14ac:dyDescent="0.25"/>
    <row r="5996" ht="14.25" customHeight="1" x14ac:dyDescent="0.25"/>
    <row r="5997" ht="14.25" customHeight="1" x14ac:dyDescent="0.25"/>
    <row r="5998" ht="14.25" customHeight="1" x14ac:dyDescent="0.25"/>
    <row r="5999" ht="14.25" customHeight="1" x14ac:dyDescent="0.25"/>
    <row r="6000" ht="14.25" customHeight="1" x14ac:dyDescent="0.25"/>
    <row r="6001" ht="14.25" customHeight="1" x14ac:dyDescent="0.25"/>
    <row r="6002" ht="14.25" customHeight="1" x14ac:dyDescent="0.25"/>
    <row r="6003" ht="14.25" customHeight="1" x14ac:dyDescent="0.25"/>
    <row r="6004" ht="14.25" customHeight="1" x14ac:dyDescent="0.25"/>
    <row r="6005" ht="14.25" customHeight="1" x14ac:dyDescent="0.25"/>
    <row r="6006" ht="14.25" customHeight="1" x14ac:dyDescent="0.25"/>
    <row r="6007" ht="14.25" customHeight="1" x14ac:dyDescent="0.25"/>
    <row r="6008" ht="14.25" customHeight="1" x14ac:dyDescent="0.25"/>
    <row r="6009" ht="14.25" customHeight="1" x14ac:dyDescent="0.25"/>
    <row r="6010" ht="14.25" customHeight="1" x14ac:dyDescent="0.25"/>
    <row r="6011" ht="14.25" customHeight="1" x14ac:dyDescent="0.25"/>
    <row r="6012" ht="14.25" customHeight="1" x14ac:dyDescent="0.25"/>
    <row r="6013" ht="14.25" customHeight="1" x14ac:dyDescent="0.25"/>
    <row r="6014" ht="14.25" customHeight="1" x14ac:dyDescent="0.25"/>
    <row r="6015" ht="14.25" customHeight="1" x14ac:dyDescent="0.25"/>
    <row r="6016" ht="14.25" customHeight="1" x14ac:dyDescent="0.25"/>
    <row r="6017" ht="14.25" customHeight="1" x14ac:dyDescent="0.25"/>
    <row r="6018" ht="14.25" customHeight="1" x14ac:dyDescent="0.25"/>
    <row r="6019" ht="14.25" customHeight="1" x14ac:dyDescent="0.25"/>
    <row r="6020" ht="14.25" customHeight="1" x14ac:dyDescent="0.25"/>
    <row r="6021" ht="14.25" customHeight="1" x14ac:dyDescent="0.25"/>
    <row r="6022" ht="14.25" customHeight="1" x14ac:dyDescent="0.25"/>
    <row r="6023" ht="14.25" customHeight="1" x14ac:dyDescent="0.25"/>
    <row r="6024" ht="14.25" customHeight="1" x14ac:dyDescent="0.25"/>
    <row r="6025" ht="14.25" customHeight="1" x14ac:dyDescent="0.25"/>
    <row r="6026" ht="14.25" customHeight="1" x14ac:dyDescent="0.25"/>
    <row r="6027" ht="14.25" customHeight="1" x14ac:dyDescent="0.25"/>
    <row r="6028" ht="14.25" customHeight="1" x14ac:dyDescent="0.25"/>
    <row r="6029" ht="14.25" customHeight="1" x14ac:dyDescent="0.25"/>
    <row r="6030" ht="14.25" customHeight="1" x14ac:dyDescent="0.25"/>
    <row r="6031" ht="14.25" customHeight="1" x14ac:dyDescent="0.25"/>
    <row r="6032" ht="14.25" customHeight="1" x14ac:dyDescent="0.25"/>
    <row r="6033" ht="14.25" customHeight="1" x14ac:dyDescent="0.25"/>
    <row r="6034" ht="14.25" customHeight="1" x14ac:dyDescent="0.25"/>
    <row r="6035" ht="14.25" customHeight="1" x14ac:dyDescent="0.25"/>
    <row r="6036" ht="14.25" customHeight="1" x14ac:dyDescent="0.25"/>
    <row r="6037" ht="14.25" customHeight="1" x14ac:dyDescent="0.25"/>
    <row r="6038" ht="14.25" customHeight="1" x14ac:dyDescent="0.25"/>
    <row r="6039" ht="14.25" customHeight="1" x14ac:dyDescent="0.25"/>
    <row r="6040" ht="14.25" customHeight="1" x14ac:dyDescent="0.25"/>
    <row r="6041" ht="14.25" customHeight="1" x14ac:dyDescent="0.25"/>
    <row r="6042" ht="14.25" customHeight="1" x14ac:dyDescent="0.25"/>
    <row r="6043" ht="14.25" customHeight="1" x14ac:dyDescent="0.25"/>
    <row r="6044" ht="14.25" customHeight="1" x14ac:dyDescent="0.25"/>
    <row r="6045" ht="14.25" customHeight="1" x14ac:dyDescent="0.25"/>
    <row r="6046" ht="14.25" customHeight="1" x14ac:dyDescent="0.25"/>
    <row r="6047" ht="14.25" customHeight="1" x14ac:dyDescent="0.25"/>
    <row r="6048" ht="14.25" customHeight="1" x14ac:dyDescent="0.25"/>
    <row r="6049" ht="14.25" customHeight="1" x14ac:dyDescent="0.25"/>
    <row r="6050" ht="14.25" customHeight="1" x14ac:dyDescent="0.25"/>
    <row r="6051" ht="14.25" customHeight="1" x14ac:dyDescent="0.25"/>
    <row r="6052" ht="14.25" customHeight="1" x14ac:dyDescent="0.25"/>
    <row r="6053" ht="14.25" customHeight="1" x14ac:dyDescent="0.25"/>
    <row r="6054" ht="14.25" customHeight="1" x14ac:dyDescent="0.25"/>
    <row r="6055" ht="14.25" customHeight="1" x14ac:dyDescent="0.25"/>
    <row r="6056" ht="14.25" customHeight="1" x14ac:dyDescent="0.25"/>
    <row r="6057" ht="14.25" customHeight="1" x14ac:dyDescent="0.25"/>
    <row r="6058" ht="14.25" customHeight="1" x14ac:dyDescent="0.25"/>
    <row r="6059" ht="14.25" customHeight="1" x14ac:dyDescent="0.25"/>
    <row r="6060" ht="14.25" customHeight="1" x14ac:dyDescent="0.25"/>
    <row r="6061" ht="14.25" customHeight="1" x14ac:dyDescent="0.25"/>
    <row r="6062" ht="14.25" customHeight="1" x14ac:dyDescent="0.25"/>
    <row r="6063" ht="14.25" customHeight="1" x14ac:dyDescent="0.25"/>
    <row r="6064" ht="14.25" customHeight="1" x14ac:dyDescent="0.25"/>
    <row r="6065" ht="14.25" customHeight="1" x14ac:dyDescent="0.25"/>
    <row r="6066" ht="14.25" customHeight="1" x14ac:dyDescent="0.25"/>
    <row r="6067" ht="14.25" customHeight="1" x14ac:dyDescent="0.25"/>
    <row r="6068" ht="14.25" customHeight="1" x14ac:dyDescent="0.25"/>
    <row r="6069" ht="14.25" customHeight="1" x14ac:dyDescent="0.25"/>
    <row r="6070" ht="14.25" customHeight="1" x14ac:dyDescent="0.25"/>
    <row r="6071" ht="14.25" customHeight="1" x14ac:dyDescent="0.25"/>
    <row r="6072" ht="14.25" customHeight="1" x14ac:dyDescent="0.25"/>
    <row r="6073" ht="14.25" customHeight="1" x14ac:dyDescent="0.25"/>
    <row r="6074" ht="14.25" customHeight="1" x14ac:dyDescent="0.25"/>
    <row r="6075" ht="14.25" customHeight="1" x14ac:dyDescent="0.25"/>
    <row r="6076" ht="14.25" customHeight="1" x14ac:dyDescent="0.25"/>
    <row r="6077" ht="14.25" customHeight="1" x14ac:dyDescent="0.25"/>
    <row r="6078" ht="14.25" customHeight="1" x14ac:dyDescent="0.25"/>
    <row r="6079" ht="14.25" customHeight="1" x14ac:dyDescent="0.25"/>
    <row r="6080" ht="14.25" customHeight="1" x14ac:dyDescent="0.25"/>
    <row r="6081" ht="14.25" customHeight="1" x14ac:dyDescent="0.25"/>
    <row r="6082" ht="14.25" customHeight="1" x14ac:dyDescent="0.25"/>
    <row r="6083" ht="14.25" customHeight="1" x14ac:dyDescent="0.25"/>
    <row r="6084" ht="14.25" customHeight="1" x14ac:dyDescent="0.25"/>
    <row r="6085" ht="14.25" customHeight="1" x14ac:dyDescent="0.25"/>
    <row r="6086" ht="14.25" customHeight="1" x14ac:dyDescent="0.25"/>
    <row r="6087" ht="14.25" customHeight="1" x14ac:dyDescent="0.25"/>
    <row r="6088" ht="14.25" customHeight="1" x14ac:dyDescent="0.25"/>
    <row r="6089" ht="14.25" customHeight="1" x14ac:dyDescent="0.25"/>
    <row r="6090" ht="14.25" customHeight="1" x14ac:dyDescent="0.25"/>
    <row r="6091" ht="14.25" customHeight="1" x14ac:dyDescent="0.25"/>
    <row r="6092" ht="14.25" customHeight="1" x14ac:dyDescent="0.25"/>
    <row r="6093" ht="14.25" customHeight="1" x14ac:dyDescent="0.25"/>
    <row r="6094" ht="14.25" customHeight="1" x14ac:dyDescent="0.25"/>
    <row r="6095" ht="14.25" customHeight="1" x14ac:dyDescent="0.25"/>
    <row r="6096" ht="14.25" customHeight="1" x14ac:dyDescent="0.25"/>
    <row r="6097" ht="14.25" customHeight="1" x14ac:dyDescent="0.25"/>
    <row r="6098" ht="14.25" customHeight="1" x14ac:dyDescent="0.25"/>
    <row r="6099" ht="14.25" customHeight="1" x14ac:dyDescent="0.25"/>
    <row r="6100" ht="14.25" customHeight="1" x14ac:dyDescent="0.25"/>
    <row r="6101" ht="14.25" customHeight="1" x14ac:dyDescent="0.25"/>
    <row r="6102" ht="14.25" customHeight="1" x14ac:dyDescent="0.25"/>
    <row r="6103" ht="14.25" customHeight="1" x14ac:dyDescent="0.25"/>
    <row r="6104" ht="14.25" customHeight="1" x14ac:dyDescent="0.25"/>
    <row r="6105" ht="14.25" customHeight="1" x14ac:dyDescent="0.25"/>
    <row r="6106" ht="14.25" customHeight="1" x14ac:dyDescent="0.25"/>
    <row r="6107" ht="14.25" customHeight="1" x14ac:dyDescent="0.25"/>
    <row r="6108" ht="14.25" customHeight="1" x14ac:dyDescent="0.25"/>
    <row r="6109" ht="14.25" customHeight="1" x14ac:dyDescent="0.25"/>
    <row r="6110" ht="14.25" customHeight="1" x14ac:dyDescent="0.25"/>
    <row r="6111" ht="14.25" customHeight="1" x14ac:dyDescent="0.25"/>
    <row r="6112" ht="14.25" customHeight="1" x14ac:dyDescent="0.25"/>
    <row r="6113" ht="14.25" customHeight="1" x14ac:dyDescent="0.25"/>
    <row r="6114" ht="14.25" customHeight="1" x14ac:dyDescent="0.25"/>
    <row r="6115" ht="14.25" customHeight="1" x14ac:dyDescent="0.25"/>
    <row r="6116" ht="14.25" customHeight="1" x14ac:dyDescent="0.25"/>
    <row r="6117" ht="14.25" customHeight="1" x14ac:dyDescent="0.25"/>
    <row r="6118" ht="14.25" customHeight="1" x14ac:dyDescent="0.25"/>
    <row r="6119" ht="14.25" customHeight="1" x14ac:dyDescent="0.25"/>
    <row r="6120" ht="14.25" customHeight="1" x14ac:dyDescent="0.25"/>
    <row r="6121" ht="14.25" customHeight="1" x14ac:dyDescent="0.25"/>
    <row r="6122" ht="14.25" customHeight="1" x14ac:dyDescent="0.25"/>
    <row r="6123" ht="14.25" customHeight="1" x14ac:dyDescent="0.25"/>
    <row r="6124" ht="14.25" customHeight="1" x14ac:dyDescent="0.25"/>
    <row r="6125" ht="14.25" customHeight="1" x14ac:dyDescent="0.25"/>
    <row r="6126" ht="14.25" customHeight="1" x14ac:dyDescent="0.25"/>
    <row r="6127" ht="14.25" customHeight="1" x14ac:dyDescent="0.25"/>
    <row r="6128" ht="14.25" customHeight="1" x14ac:dyDescent="0.25"/>
    <row r="6129" ht="14.25" customHeight="1" x14ac:dyDescent="0.25"/>
    <row r="6130" ht="14.25" customHeight="1" x14ac:dyDescent="0.25"/>
    <row r="6131" ht="14.25" customHeight="1" x14ac:dyDescent="0.25"/>
    <row r="6132" ht="14.25" customHeight="1" x14ac:dyDescent="0.25"/>
    <row r="6133" ht="14.25" customHeight="1" x14ac:dyDescent="0.25"/>
    <row r="6134" ht="14.25" customHeight="1" x14ac:dyDescent="0.25"/>
    <row r="6135" ht="14.25" customHeight="1" x14ac:dyDescent="0.25"/>
    <row r="6136" ht="14.25" customHeight="1" x14ac:dyDescent="0.25"/>
    <row r="6137" ht="14.25" customHeight="1" x14ac:dyDescent="0.25"/>
    <row r="6138" ht="14.25" customHeight="1" x14ac:dyDescent="0.25"/>
    <row r="6139" ht="14.25" customHeight="1" x14ac:dyDescent="0.25"/>
    <row r="6140" ht="14.25" customHeight="1" x14ac:dyDescent="0.25"/>
    <row r="6141" ht="14.25" customHeight="1" x14ac:dyDescent="0.25"/>
    <row r="6142" ht="14.25" customHeight="1" x14ac:dyDescent="0.25"/>
    <row r="6143" ht="14.25" customHeight="1" x14ac:dyDescent="0.25"/>
    <row r="6144" ht="14.25" customHeight="1" x14ac:dyDescent="0.25"/>
    <row r="6145" ht="14.25" customHeight="1" x14ac:dyDescent="0.25"/>
    <row r="6146" ht="14.25" customHeight="1" x14ac:dyDescent="0.25"/>
    <row r="6147" ht="14.25" customHeight="1" x14ac:dyDescent="0.25"/>
    <row r="6148" ht="14.25" customHeight="1" x14ac:dyDescent="0.25"/>
    <row r="6149" ht="14.25" customHeight="1" x14ac:dyDescent="0.25"/>
    <row r="6150" ht="14.25" customHeight="1" x14ac:dyDescent="0.25"/>
    <row r="6151" ht="14.25" customHeight="1" x14ac:dyDescent="0.25"/>
    <row r="6152" ht="14.25" customHeight="1" x14ac:dyDescent="0.25"/>
    <row r="6153" ht="14.25" customHeight="1" x14ac:dyDescent="0.25"/>
    <row r="6154" ht="14.25" customHeight="1" x14ac:dyDescent="0.25"/>
    <row r="6155" ht="14.25" customHeight="1" x14ac:dyDescent="0.25"/>
    <row r="6156" ht="14.25" customHeight="1" x14ac:dyDescent="0.25"/>
    <row r="6157" ht="14.25" customHeight="1" x14ac:dyDescent="0.25"/>
    <row r="6158" ht="14.25" customHeight="1" x14ac:dyDescent="0.25"/>
    <row r="6159" ht="14.25" customHeight="1" x14ac:dyDescent="0.25"/>
    <row r="6160" ht="14.25" customHeight="1" x14ac:dyDescent="0.25"/>
    <row r="6161" ht="14.25" customHeight="1" x14ac:dyDescent="0.25"/>
    <row r="6162" ht="14.25" customHeight="1" x14ac:dyDescent="0.25"/>
    <row r="6163" ht="14.25" customHeight="1" x14ac:dyDescent="0.25"/>
    <row r="6164" ht="14.25" customHeight="1" x14ac:dyDescent="0.25"/>
    <row r="6165" ht="14.25" customHeight="1" x14ac:dyDescent="0.25"/>
    <row r="6166" ht="14.25" customHeight="1" x14ac:dyDescent="0.25"/>
    <row r="6167" ht="14.25" customHeight="1" x14ac:dyDescent="0.25"/>
    <row r="6168" ht="14.25" customHeight="1" x14ac:dyDescent="0.25"/>
    <row r="6169" ht="14.25" customHeight="1" x14ac:dyDescent="0.25"/>
    <row r="6170" ht="14.25" customHeight="1" x14ac:dyDescent="0.25"/>
    <row r="6171" ht="14.25" customHeight="1" x14ac:dyDescent="0.25"/>
    <row r="6172" ht="14.25" customHeight="1" x14ac:dyDescent="0.25"/>
    <row r="6173" ht="14.25" customHeight="1" x14ac:dyDescent="0.25"/>
    <row r="6174" ht="14.25" customHeight="1" x14ac:dyDescent="0.25"/>
    <row r="6175" ht="14.25" customHeight="1" x14ac:dyDescent="0.25"/>
    <row r="6176" ht="14.25" customHeight="1" x14ac:dyDescent="0.25"/>
    <row r="6177" ht="14.25" customHeight="1" x14ac:dyDescent="0.25"/>
    <row r="6178" ht="14.25" customHeight="1" x14ac:dyDescent="0.25"/>
    <row r="6179" ht="14.25" customHeight="1" x14ac:dyDescent="0.25"/>
    <row r="6180" ht="14.25" customHeight="1" x14ac:dyDescent="0.25"/>
    <row r="6181" ht="14.25" customHeight="1" x14ac:dyDescent="0.25"/>
    <row r="6182" ht="14.25" customHeight="1" x14ac:dyDescent="0.25"/>
    <row r="6183" ht="14.25" customHeight="1" x14ac:dyDescent="0.25"/>
    <row r="6184" ht="14.25" customHeight="1" x14ac:dyDescent="0.25"/>
    <row r="6185" ht="14.25" customHeight="1" x14ac:dyDescent="0.25"/>
    <row r="6186" ht="14.25" customHeight="1" x14ac:dyDescent="0.25"/>
    <row r="6187" ht="14.25" customHeight="1" x14ac:dyDescent="0.25"/>
    <row r="6188" ht="14.25" customHeight="1" x14ac:dyDescent="0.25"/>
    <row r="6189" ht="14.25" customHeight="1" x14ac:dyDescent="0.25"/>
    <row r="6190" ht="14.25" customHeight="1" x14ac:dyDescent="0.25"/>
    <row r="6191" ht="14.25" customHeight="1" x14ac:dyDescent="0.25"/>
    <row r="6192" ht="14.25" customHeight="1" x14ac:dyDescent="0.25"/>
    <row r="6193" ht="14.25" customHeight="1" x14ac:dyDescent="0.25"/>
    <row r="6194" ht="14.25" customHeight="1" x14ac:dyDescent="0.25"/>
    <row r="6195" ht="14.25" customHeight="1" x14ac:dyDescent="0.25"/>
    <row r="6196" ht="14.25" customHeight="1" x14ac:dyDescent="0.25"/>
    <row r="6197" ht="14.25" customHeight="1" x14ac:dyDescent="0.25"/>
    <row r="6198" ht="14.25" customHeight="1" x14ac:dyDescent="0.25"/>
    <row r="6199" ht="14.25" customHeight="1" x14ac:dyDescent="0.25"/>
    <row r="6200" ht="14.25" customHeight="1" x14ac:dyDescent="0.25"/>
    <row r="6201" ht="14.25" customHeight="1" x14ac:dyDescent="0.25"/>
    <row r="6202" ht="14.25" customHeight="1" x14ac:dyDescent="0.25"/>
    <row r="6203" ht="14.25" customHeight="1" x14ac:dyDescent="0.25"/>
    <row r="6204" ht="14.25" customHeight="1" x14ac:dyDescent="0.25"/>
    <row r="6205" ht="14.25" customHeight="1" x14ac:dyDescent="0.25"/>
    <row r="6206" ht="14.25" customHeight="1" x14ac:dyDescent="0.25"/>
    <row r="6207" ht="14.25" customHeight="1" x14ac:dyDescent="0.25"/>
    <row r="6208" ht="14.25" customHeight="1" x14ac:dyDescent="0.25"/>
    <row r="6209" ht="14.25" customHeight="1" x14ac:dyDescent="0.25"/>
    <row r="6210" ht="14.25" customHeight="1" x14ac:dyDescent="0.25"/>
    <row r="6211" ht="14.25" customHeight="1" x14ac:dyDescent="0.25"/>
    <row r="6212" ht="14.25" customHeight="1" x14ac:dyDescent="0.25"/>
    <row r="6213" ht="14.25" customHeight="1" x14ac:dyDescent="0.25"/>
    <row r="6214" ht="14.25" customHeight="1" x14ac:dyDescent="0.25"/>
    <row r="6215" ht="14.25" customHeight="1" x14ac:dyDescent="0.25"/>
    <row r="6216" ht="14.25" customHeight="1" x14ac:dyDescent="0.25"/>
    <row r="6217" ht="14.25" customHeight="1" x14ac:dyDescent="0.25"/>
    <row r="6218" ht="14.25" customHeight="1" x14ac:dyDescent="0.25"/>
    <row r="6219" ht="14.25" customHeight="1" x14ac:dyDescent="0.25"/>
    <row r="6220" ht="14.25" customHeight="1" x14ac:dyDescent="0.25"/>
    <row r="6221" ht="14.25" customHeight="1" x14ac:dyDescent="0.25"/>
    <row r="6222" ht="14.25" customHeight="1" x14ac:dyDescent="0.25"/>
    <row r="6223" ht="14.25" customHeight="1" x14ac:dyDescent="0.25"/>
    <row r="6224" ht="14.25" customHeight="1" x14ac:dyDescent="0.25"/>
    <row r="6225" ht="14.25" customHeight="1" x14ac:dyDescent="0.25"/>
    <row r="6226" ht="14.25" customHeight="1" x14ac:dyDescent="0.25"/>
    <row r="6227" ht="14.25" customHeight="1" x14ac:dyDescent="0.25"/>
    <row r="6228" ht="14.25" customHeight="1" x14ac:dyDescent="0.25"/>
    <row r="6229" ht="14.25" customHeight="1" x14ac:dyDescent="0.25"/>
    <row r="6230" ht="14.25" customHeight="1" x14ac:dyDescent="0.25"/>
    <row r="6231" ht="14.25" customHeight="1" x14ac:dyDescent="0.25"/>
    <row r="6232" ht="14.25" customHeight="1" x14ac:dyDescent="0.25"/>
    <row r="6233" ht="14.25" customHeight="1" x14ac:dyDescent="0.25"/>
    <row r="6234" ht="14.25" customHeight="1" x14ac:dyDescent="0.25"/>
    <row r="6235" ht="14.25" customHeight="1" x14ac:dyDescent="0.25"/>
    <row r="6236" ht="14.25" customHeight="1" x14ac:dyDescent="0.25"/>
    <row r="6237" ht="14.25" customHeight="1" x14ac:dyDescent="0.25"/>
    <row r="6238" ht="14.25" customHeight="1" x14ac:dyDescent="0.25"/>
    <row r="6239" ht="14.25" customHeight="1" x14ac:dyDescent="0.25"/>
    <row r="6240" ht="14.25" customHeight="1" x14ac:dyDescent="0.25"/>
    <row r="6241" ht="14.25" customHeight="1" x14ac:dyDescent="0.25"/>
    <row r="6242" ht="14.25" customHeight="1" x14ac:dyDescent="0.25"/>
    <row r="6243" ht="14.25" customHeight="1" x14ac:dyDescent="0.25"/>
    <row r="6244" ht="14.25" customHeight="1" x14ac:dyDescent="0.25"/>
    <row r="6245" ht="14.25" customHeight="1" x14ac:dyDescent="0.25"/>
    <row r="6246" ht="14.25" customHeight="1" x14ac:dyDescent="0.25"/>
    <row r="6247" ht="14.25" customHeight="1" x14ac:dyDescent="0.25"/>
    <row r="6248" ht="14.25" customHeight="1" x14ac:dyDescent="0.25"/>
    <row r="6249" ht="14.25" customHeight="1" x14ac:dyDescent="0.25"/>
    <row r="6250" ht="14.25" customHeight="1" x14ac:dyDescent="0.25"/>
    <row r="6251" ht="14.25" customHeight="1" x14ac:dyDescent="0.25"/>
    <row r="6252" ht="14.25" customHeight="1" x14ac:dyDescent="0.25"/>
    <row r="6253" ht="14.25" customHeight="1" x14ac:dyDescent="0.25"/>
    <row r="6254" ht="14.25" customHeight="1" x14ac:dyDescent="0.25"/>
    <row r="6255" ht="14.25" customHeight="1" x14ac:dyDescent="0.25"/>
    <row r="6256" ht="14.25" customHeight="1" x14ac:dyDescent="0.25"/>
    <row r="6257" ht="14.25" customHeight="1" x14ac:dyDescent="0.25"/>
    <row r="6258" ht="14.25" customHeight="1" x14ac:dyDescent="0.25"/>
    <row r="6259" ht="14.25" customHeight="1" x14ac:dyDescent="0.25"/>
    <row r="6260" ht="14.25" customHeight="1" x14ac:dyDescent="0.25"/>
    <row r="6261" ht="14.25" customHeight="1" x14ac:dyDescent="0.25"/>
    <row r="6262" ht="14.25" customHeight="1" x14ac:dyDescent="0.25"/>
    <row r="6263" ht="14.25" customHeight="1" x14ac:dyDescent="0.25"/>
    <row r="6264" ht="14.25" customHeight="1" x14ac:dyDescent="0.25"/>
    <row r="6265" ht="14.25" customHeight="1" x14ac:dyDescent="0.25"/>
    <row r="6266" ht="14.25" customHeight="1" x14ac:dyDescent="0.25"/>
    <row r="6267" ht="14.25" customHeight="1" x14ac:dyDescent="0.25"/>
    <row r="6268" ht="14.25" customHeight="1" x14ac:dyDescent="0.25"/>
    <row r="6269" ht="14.25" customHeight="1" x14ac:dyDescent="0.25"/>
    <row r="6270" ht="14.25" customHeight="1" x14ac:dyDescent="0.25"/>
    <row r="6271" ht="14.25" customHeight="1" x14ac:dyDescent="0.25"/>
    <row r="6272" ht="14.25" customHeight="1" x14ac:dyDescent="0.25"/>
    <row r="6273" ht="14.25" customHeight="1" x14ac:dyDescent="0.25"/>
    <row r="6274" ht="14.25" customHeight="1" x14ac:dyDescent="0.25"/>
    <row r="6275" ht="14.25" customHeight="1" x14ac:dyDescent="0.25"/>
    <row r="6276" ht="14.25" customHeight="1" x14ac:dyDescent="0.25"/>
    <row r="6277" ht="14.25" customHeight="1" x14ac:dyDescent="0.25"/>
    <row r="6278" ht="14.25" customHeight="1" x14ac:dyDescent="0.25"/>
    <row r="6279" ht="14.25" customHeight="1" x14ac:dyDescent="0.25"/>
    <row r="6280" ht="14.25" customHeight="1" x14ac:dyDescent="0.25"/>
    <row r="6281" ht="14.25" customHeight="1" x14ac:dyDescent="0.25"/>
    <row r="6282" ht="14.25" customHeight="1" x14ac:dyDescent="0.25"/>
    <row r="6283" ht="14.25" customHeight="1" x14ac:dyDescent="0.25"/>
    <row r="6284" ht="14.25" customHeight="1" x14ac:dyDescent="0.25"/>
    <row r="6285" ht="14.25" customHeight="1" x14ac:dyDescent="0.25"/>
    <row r="6286" ht="14.25" customHeight="1" x14ac:dyDescent="0.25"/>
    <row r="6287" ht="14.25" customHeight="1" x14ac:dyDescent="0.25"/>
    <row r="6288" ht="14.25" customHeight="1" x14ac:dyDescent="0.25"/>
    <row r="6289" ht="14.25" customHeight="1" x14ac:dyDescent="0.25"/>
    <row r="6290" ht="14.25" customHeight="1" x14ac:dyDescent="0.25"/>
    <row r="6291" ht="14.25" customHeight="1" x14ac:dyDescent="0.25"/>
    <row r="6292" ht="14.25" customHeight="1" x14ac:dyDescent="0.25"/>
    <row r="6293" ht="14.25" customHeight="1" x14ac:dyDescent="0.25"/>
    <row r="6294" ht="14.25" customHeight="1" x14ac:dyDescent="0.25"/>
    <row r="6295" ht="14.25" customHeight="1" x14ac:dyDescent="0.25"/>
    <row r="6296" ht="14.25" customHeight="1" x14ac:dyDescent="0.25"/>
    <row r="6297" ht="14.25" customHeight="1" x14ac:dyDescent="0.25"/>
    <row r="6298" ht="14.25" customHeight="1" x14ac:dyDescent="0.25"/>
    <row r="6299" ht="14.25" customHeight="1" x14ac:dyDescent="0.25"/>
    <row r="6300" ht="14.25" customHeight="1" x14ac:dyDescent="0.25"/>
    <row r="6301" ht="14.25" customHeight="1" x14ac:dyDescent="0.25"/>
    <row r="6302" ht="14.25" customHeight="1" x14ac:dyDescent="0.25"/>
    <row r="6303" ht="14.25" customHeight="1" x14ac:dyDescent="0.25"/>
    <row r="6304" ht="14.25" customHeight="1" x14ac:dyDescent="0.25"/>
    <row r="6305" ht="14.25" customHeight="1" x14ac:dyDescent="0.25"/>
    <row r="6306" ht="14.25" customHeight="1" x14ac:dyDescent="0.25"/>
    <row r="6307" ht="14.25" customHeight="1" x14ac:dyDescent="0.25"/>
    <row r="6308" ht="14.25" customHeight="1" x14ac:dyDescent="0.25"/>
    <row r="6309" ht="14.25" customHeight="1" x14ac:dyDescent="0.25"/>
    <row r="6310" ht="14.25" customHeight="1" x14ac:dyDescent="0.25"/>
    <row r="6311" ht="14.25" customHeight="1" x14ac:dyDescent="0.25"/>
    <row r="6312" ht="14.25" customHeight="1" x14ac:dyDescent="0.25"/>
    <row r="6313" ht="14.25" customHeight="1" x14ac:dyDescent="0.25"/>
    <row r="6314" ht="14.25" customHeight="1" x14ac:dyDescent="0.25"/>
    <row r="6315" ht="14.25" customHeight="1" x14ac:dyDescent="0.25"/>
    <row r="6316" ht="14.25" customHeight="1" x14ac:dyDescent="0.25"/>
    <row r="6317" ht="14.25" customHeight="1" x14ac:dyDescent="0.25"/>
    <row r="6318" ht="14.25" customHeight="1" x14ac:dyDescent="0.25"/>
    <row r="6319" ht="14.25" customHeight="1" x14ac:dyDescent="0.25"/>
    <row r="6320" ht="14.25" customHeight="1" x14ac:dyDescent="0.25"/>
    <row r="6321" ht="14.25" customHeight="1" x14ac:dyDescent="0.25"/>
    <row r="6322" ht="14.25" customHeight="1" x14ac:dyDescent="0.25"/>
    <row r="6323" ht="14.25" customHeight="1" x14ac:dyDescent="0.25"/>
    <row r="6324" ht="14.25" customHeight="1" x14ac:dyDescent="0.25"/>
    <row r="6325" ht="14.25" customHeight="1" x14ac:dyDescent="0.25"/>
    <row r="6326" ht="14.25" customHeight="1" x14ac:dyDescent="0.25"/>
    <row r="6327" ht="14.25" customHeight="1" x14ac:dyDescent="0.25"/>
    <row r="6328" ht="14.25" customHeight="1" x14ac:dyDescent="0.25"/>
    <row r="6329" ht="14.25" customHeight="1" x14ac:dyDescent="0.25"/>
    <row r="6330" ht="14.25" customHeight="1" x14ac:dyDescent="0.25"/>
    <row r="6331" ht="14.25" customHeight="1" x14ac:dyDescent="0.25"/>
    <row r="6332" ht="14.25" customHeight="1" x14ac:dyDescent="0.25"/>
    <row r="6333" ht="14.25" customHeight="1" x14ac:dyDescent="0.25"/>
    <row r="6334" ht="14.25" customHeight="1" x14ac:dyDescent="0.25"/>
    <row r="6335" ht="14.25" customHeight="1" x14ac:dyDescent="0.25"/>
    <row r="6336" ht="14.25" customHeight="1" x14ac:dyDescent="0.25"/>
    <row r="6337" ht="14.25" customHeight="1" x14ac:dyDescent="0.25"/>
    <row r="6338" ht="14.25" customHeight="1" x14ac:dyDescent="0.25"/>
    <row r="6339" ht="14.25" customHeight="1" x14ac:dyDescent="0.25"/>
    <row r="6340" ht="14.25" customHeight="1" x14ac:dyDescent="0.25"/>
    <row r="6341" ht="14.25" customHeight="1" x14ac:dyDescent="0.25"/>
    <row r="6342" ht="14.25" customHeight="1" x14ac:dyDescent="0.25"/>
    <row r="6343" ht="14.25" customHeight="1" x14ac:dyDescent="0.25"/>
    <row r="6344" ht="14.25" customHeight="1" x14ac:dyDescent="0.25"/>
    <row r="6345" ht="14.25" customHeight="1" x14ac:dyDescent="0.25"/>
    <row r="6346" ht="14.25" customHeight="1" x14ac:dyDescent="0.25"/>
    <row r="6347" ht="14.25" customHeight="1" x14ac:dyDescent="0.25"/>
    <row r="6348" ht="14.25" customHeight="1" x14ac:dyDescent="0.25"/>
    <row r="6349" ht="14.25" customHeight="1" x14ac:dyDescent="0.25"/>
    <row r="6350" ht="14.25" customHeight="1" x14ac:dyDescent="0.25"/>
    <row r="6351" ht="14.25" customHeight="1" x14ac:dyDescent="0.25"/>
    <row r="6352" ht="14.25" customHeight="1" x14ac:dyDescent="0.25"/>
    <row r="6353" ht="14.25" customHeight="1" x14ac:dyDescent="0.25"/>
    <row r="6354" ht="14.25" customHeight="1" x14ac:dyDescent="0.25"/>
    <row r="6355" ht="14.25" customHeight="1" x14ac:dyDescent="0.25"/>
    <row r="6356" ht="14.25" customHeight="1" x14ac:dyDescent="0.25"/>
    <row r="6357" ht="14.25" customHeight="1" x14ac:dyDescent="0.25"/>
    <row r="6358" ht="14.25" customHeight="1" x14ac:dyDescent="0.25"/>
    <row r="6359" ht="14.25" customHeight="1" x14ac:dyDescent="0.25"/>
    <row r="6360" ht="14.25" customHeight="1" x14ac:dyDescent="0.25"/>
    <row r="6361" ht="14.25" customHeight="1" x14ac:dyDescent="0.25"/>
    <row r="6362" ht="14.25" customHeight="1" x14ac:dyDescent="0.25"/>
    <row r="6363" ht="14.25" customHeight="1" x14ac:dyDescent="0.25"/>
    <row r="6364" ht="14.25" customHeight="1" x14ac:dyDescent="0.25"/>
    <row r="6365" ht="14.25" customHeight="1" x14ac:dyDescent="0.25"/>
    <row r="6366" ht="14.25" customHeight="1" x14ac:dyDescent="0.25"/>
    <row r="6367" ht="14.25" customHeight="1" x14ac:dyDescent="0.25"/>
    <row r="6368" ht="14.25" customHeight="1" x14ac:dyDescent="0.25"/>
    <row r="6369" ht="14.25" customHeight="1" x14ac:dyDescent="0.25"/>
    <row r="6370" ht="14.25" customHeight="1" x14ac:dyDescent="0.25"/>
    <row r="6371" ht="14.25" customHeight="1" x14ac:dyDescent="0.25"/>
    <row r="6372" ht="14.25" customHeight="1" x14ac:dyDescent="0.25"/>
    <row r="6373" ht="14.25" customHeight="1" x14ac:dyDescent="0.25"/>
    <row r="6374" ht="14.25" customHeight="1" x14ac:dyDescent="0.25"/>
    <row r="6375" ht="14.25" customHeight="1" x14ac:dyDescent="0.25"/>
    <row r="6376" ht="14.25" customHeight="1" x14ac:dyDescent="0.25"/>
    <row r="6377" ht="14.25" customHeight="1" x14ac:dyDescent="0.25"/>
    <row r="6378" ht="14.25" customHeight="1" x14ac:dyDescent="0.25"/>
    <row r="6379" ht="14.25" customHeight="1" x14ac:dyDescent="0.25"/>
    <row r="6380" ht="14.25" customHeight="1" x14ac:dyDescent="0.25"/>
    <row r="6381" ht="14.25" customHeight="1" x14ac:dyDescent="0.25"/>
    <row r="6382" ht="14.25" customHeight="1" x14ac:dyDescent="0.25"/>
    <row r="6383" ht="14.25" customHeight="1" x14ac:dyDescent="0.25"/>
    <row r="6384" ht="14.25" customHeight="1" x14ac:dyDescent="0.25"/>
    <row r="6385" ht="14.25" customHeight="1" x14ac:dyDescent="0.25"/>
    <row r="6386" ht="14.25" customHeight="1" x14ac:dyDescent="0.25"/>
    <row r="6387" ht="14.25" customHeight="1" x14ac:dyDescent="0.25"/>
    <row r="6388" ht="14.25" customHeight="1" x14ac:dyDescent="0.25"/>
    <row r="6389" ht="14.25" customHeight="1" x14ac:dyDescent="0.25"/>
    <row r="6390" ht="14.25" customHeight="1" x14ac:dyDescent="0.25"/>
    <row r="6391" ht="14.25" customHeight="1" x14ac:dyDescent="0.25"/>
    <row r="6392" ht="14.25" customHeight="1" x14ac:dyDescent="0.25"/>
    <row r="6393" ht="14.25" customHeight="1" x14ac:dyDescent="0.25"/>
    <row r="6394" ht="14.25" customHeight="1" x14ac:dyDescent="0.25"/>
    <row r="6395" ht="14.25" customHeight="1" x14ac:dyDescent="0.25"/>
    <row r="6396" ht="14.25" customHeight="1" x14ac:dyDescent="0.25"/>
    <row r="6397" ht="14.25" customHeight="1" x14ac:dyDescent="0.25"/>
    <row r="6398" ht="14.25" customHeight="1" x14ac:dyDescent="0.25"/>
    <row r="6399" ht="14.25" customHeight="1" x14ac:dyDescent="0.25"/>
    <row r="6400" ht="14.25" customHeight="1" x14ac:dyDescent="0.25"/>
    <row r="6401" ht="14.25" customHeight="1" x14ac:dyDescent="0.25"/>
    <row r="6402" ht="14.25" customHeight="1" x14ac:dyDescent="0.25"/>
    <row r="6403" ht="14.25" customHeight="1" x14ac:dyDescent="0.25"/>
    <row r="6404" ht="14.25" customHeight="1" x14ac:dyDescent="0.25"/>
    <row r="6405" ht="14.25" customHeight="1" x14ac:dyDescent="0.25"/>
    <row r="6406" ht="14.25" customHeight="1" x14ac:dyDescent="0.25"/>
    <row r="6407" ht="14.25" customHeight="1" x14ac:dyDescent="0.25"/>
    <row r="6408" ht="14.25" customHeight="1" x14ac:dyDescent="0.25"/>
    <row r="6409" ht="14.25" customHeight="1" x14ac:dyDescent="0.25"/>
    <row r="6410" ht="14.25" customHeight="1" x14ac:dyDescent="0.25"/>
    <row r="6411" ht="14.25" customHeight="1" x14ac:dyDescent="0.25"/>
    <row r="6412" ht="14.25" customHeight="1" x14ac:dyDescent="0.25"/>
    <row r="6413" ht="14.25" customHeight="1" x14ac:dyDescent="0.25"/>
    <row r="6414" ht="14.25" customHeight="1" x14ac:dyDescent="0.25"/>
    <row r="6415" ht="14.25" customHeight="1" x14ac:dyDescent="0.25"/>
    <row r="6416" ht="14.25" customHeight="1" x14ac:dyDescent="0.25"/>
    <row r="6417" ht="14.25" customHeight="1" x14ac:dyDescent="0.25"/>
    <row r="6418" ht="14.25" customHeight="1" x14ac:dyDescent="0.25"/>
    <row r="6419" ht="14.25" customHeight="1" x14ac:dyDescent="0.25"/>
    <row r="6420" ht="14.25" customHeight="1" x14ac:dyDescent="0.25"/>
    <row r="6421" ht="14.25" customHeight="1" x14ac:dyDescent="0.25"/>
    <row r="6422" ht="14.25" customHeight="1" x14ac:dyDescent="0.25"/>
    <row r="6423" ht="14.25" customHeight="1" x14ac:dyDescent="0.25"/>
    <row r="6424" ht="14.25" customHeight="1" x14ac:dyDescent="0.25"/>
    <row r="6425" ht="14.25" customHeight="1" x14ac:dyDescent="0.25"/>
    <row r="6426" ht="14.25" customHeight="1" x14ac:dyDescent="0.25"/>
    <row r="6427" ht="14.25" customHeight="1" x14ac:dyDescent="0.25"/>
    <row r="6428" ht="14.25" customHeight="1" x14ac:dyDescent="0.25"/>
    <row r="6429" ht="14.25" customHeight="1" x14ac:dyDescent="0.25"/>
    <row r="6430" ht="14.25" customHeight="1" x14ac:dyDescent="0.25"/>
    <row r="6431" ht="14.25" customHeight="1" x14ac:dyDescent="0.25"/>
    <row r="6432" ht="14.25" customHeight="1" x14ac:dyDescent="0.25"/>
    <row r="6433" ht="14.25" customHeight="1" x14ac:dyDescent="0.25"/>
    <row r="6434" ht="14.25" customHeight="1" x14ac:dyDescent="0.25"/>
    <row r="6435" ht="14.25" customHeight="1" x14ac:dyDescent="0.25"/>
    <row r="6436" ht="14.25" customHeight="1" x14ac:dyDescent="0.25"/>
    <row r="6437" ht="14.25" customHeight="1" x14ac:dyDescent="0.25"/>
    <row r="6438" ht="14.25" customHeight="1" x14ac:dyDescent="0.25"/>
    <row r="6439" ht="14.25" customHeight="1" x14ac:dyDescent="0.25"/>
    <row r="6440" ht="14.25" customHeight="1" x14ac:dyDescent="0.25"/>
    <row r="6441" ht="14.25" customHeight="1" x14ac:dyDescent="0.25"/>
    <row r="6442" ht="14.25" customHeight="1" x14ac:dyDescent="0.25"/>
    <row r="6443" ht="14.25" customHeight="1" x14ac:dyDescent="0.25"/>
    <row r="6444" ht="14.25" customHeight="1" x14ac:dyDescent="0.25"/>
    <row r="6445" ht="14.25" customHeight="1" x14ac:dyDescent="0.25"/>
    <row r="6446" ht="14.25" customHeight="1" x14ac:dyDescent="0.25"/>
    <row r="6447" ht="14.25" customHeight="1" x14ac:dyDescent="0.25"/>
    <row r="6448" ht="14.25" customHeight="1" x14ac:dyDescent="0.25"/>
    <row r="6449" ht="14.25" customHeight="1" x14ac:dyDescent="0.25"/>
    <row r="6450" ht="14.25" customHeight="1" x14ac:dyDescent="0.25"/>
    <row r="6451" ht="14.25" customHeight="1" x14ac:dyDescent="0.25"/>
    <row r="6452" ht="14.25" customHeight="1" x14ac:dyDescent="0.25"/>
    <row r="6453" ht="14.25" customHeight="1" x14ac:dyDescent="0.25"/>
    <row r="6454" ht="14.25" customHeight="1" x14ac:dyDescent="0.25"/>
    <row r="6455" ht="14.25" customHeight="1" x14ac:dyDescent="0.25"/>
    <row r="6456" ht="14.25" customHeight="1" x14ac:dyDescent="0.25"/>
    <row r="6457" ht="14.25" customHeight="1" x14ac:dyDescent="0.25"/>
    <row r="6458" ht="14.25" customHeight="1" x14ac:dyDescent="0.25"/>
    <row r="6459" ht="14.25" customHeight="1" x14ac:dyDescent="0.25"/>
    <row r="6460" ht="14.25" customHeight="1" x14ac:dyDescent="0.25"/>
    <row r="6461" ht="14.25" customHeight="1" x14ac:dyDescent="0.25"/>
    <row r="6462" ht="14.25" customHeight="1" x14ac:dyDescent="0.25"/>
    <row r="6463" ht="14.25" customHeight="1" x14ac:dyDescent="0.25"/>
    <row r="6464" ht="14.25" customHeight="1" x14ac:dyDescent="0.25"/>
    <row r="6465" ht="14.25" customHeight="1" x14ac:dyDescent="0.25"/>
    <row r="6466" ht="14.25" customHeight="1" x14ac:dyDescent="0.25"/>
    <row r="6467" ht="14.25" customHeight="1" x14ac:dyDescent="0.25"/>
    <row r="6468" ht="14.25" customHeight="1" x14ac:dyDescent="0.25"/>
    <row r="6469" ht="14.25" customHeight="1" x14ac:dyDescent="0.25"/>
    <row r="6470" ht="14.25" customHeight="1" x14ac:dyDescent="0.25"/>
    <row r="6471" ht="14.25" customHeight="1" x14ac:dyDescent="0.25"/>
    <row r="6472" ht="14.25" customHeight="1" x14ac:dyDescent="0.25"/>
    <row r="6473" ht="14.25" customHeight="1" x14ac:dyDescent="0.25"/>
    <row r="6474" ht="14.25" customHeight="1" x14ac:dyDescent="0.25"/>
    <row r="6475" ht="14.25" customHeight="1" x14ac:dyDescent="0.25"/>
    <row r="6476" ht="14.25" customHeight="1" x14ac:dyDescent="0.25"/>
    <row r="6477" ht="14.25" customHeight="1" x14ac:dyDescent="0.25"/>
    <row r="6478" ht="14.25" customHeight="1" x14ac:dyDescent="0.25"/>
    <row r="6479" ht="14.25" customHeight="1" x14ac:dyDescent="0.25"/>
    <row r="6480" ht="14.25" customHeight="1" x14ac:dyDescent="0.25"/>
    <row r="6481" ht="14.25" customHeight="1" x14ac:dyDescent="0.25"/>
    <row r="6482" ht="14.25" customHeight="1" x14ac:dyDescent="0.25"/>
    <row r="6483" ht="14.25" customHeight="1" x14ac:dyDescent="0.25"/>
    <row r="6484" ht="14.25" customHeight="1" x14ac:dyDescent="0.25"/>
    <row r="6485" ht="14.25" customHeight="1" x14ac:dyDescent="0.25"/>
    <row r="6486" ht="14.25" customHeight="1" x14ac:dyDescent="0.25"/>
    <row r="6487" ht="14.25" customHeight="1" x14ac:dyDescent="0.25"/>
    <row r="6488" ht="14.25" customHeight="1" x14ac:dyDescent="0.25"/>
    <row r="6489" ht="14.25" customHeight="1" x14ac:dyDescent="0.25"/>
    <row r="6490" ht="14.25" customHeight="1" x14ac:dyDescent="0.25"/>
    <row r="6491" ht="14.25" customHeight="1" x14ac:dyDescent="0.25"/>
    <row r="6492" ht="14.25" customHeight="1" x14ac:dyDescent="0.25"/>
    <row r="6493" ht="14.25" customHeight="1" x14ac:dyDescent="0.25"/>
    <row r="6494" ht="14.25" customHeight="1" x14ac:dyDescent="0.25"/>
    <row r="6495" ht="14.25" customHeight="1" x14ac:dyDescent="0.25"/>
    <row r="6496" ht="14.25" customHeight="1" x14ac:dyDescent="0.25"/>
    <row r="6497" ht="14.25" customHeight="1" x14ac:dyDescent="0.25"/>
    <row r="6498" ht="14.25" customHeight="1" x14ac:dyDescent="0.25"/>
    <row r="6499" ht="14.25" customHeight="1" x14ac:dyDescent="0.25"/>
    <row r="6500" ht="14.25" customHeight="1" x14ac:dyDescent="0.25"/>
    <row r="6501" ht="14.25" customHeight="1" x14ac:dyDescent="0.25"/>
    <row r="6502" ht="14.25" customHeight="1" x14ac:dyDescent="0.25"/>
    <row r="6503" ht="14.25" customHeight="1" x14ac:dyDescent="0.25"/>
    <row r="6504" ht="14.25" customHeight="1" x14ac:dyDescent="0.25"/>
    <row r="6505" ht="14.25" customHeight="1" x14ac:dyDescent="0.25"/>
    <row r="6506" ht="14.25" customHeight="1" x14ac:dyDescent="0.25"/>
    <row r="6507" ht="14.25" customHeight="1" x14ac:dyDescent="0.25"/>
    <row r="6508" ht="14.25" customHeight="1" x14ac:dyDescent="0.25"/>
    <row r="6509" ht="14.25" customHeight="1" x14ac:dyDescent="0.25"/>
    <row r="6510" ht="14.25" customHeight="1" x14ac:dyDescent="0.25"/>
    <row r="6511" ht="14.25" customHeight="1" x14ac:dyDescent="0.25"/>
    <row r="6512" ht="14.25" customHeight="1" x14ac:dyDescent="0.25"/>
    <row r="6513" ht="14.25" customHeight="1" x14ac:dyDescent="0.25"/>
    <row r="6514" ht="14.25" customHeight="1" x14ac:dyDescent="0.25"/>
    <row r="6515" ht="14.25" customHeight="1" x14ac:dyDescent="0.25"/>
    <row r="6516" ht="14.25" customHeight="1" x14ac:dyDescent="0.25"/>
    <row r="6517" ht="14.25" customHeight="1" x14ac:dyDescent="0.25"/>
    <row r="6518" ht="14.25" customHeight="1" x14ac:dyDescent="0.25"/>
    <row r="6519" ht="14.25" customHeight="1" x14ac:dyDescent="0.25"/>
    <row r="6520" ht="14.25" customHeight="1" x14ac:dyDescent="0.25"/>
    <row r="6521" ht="14.25" customHeight="1" x14ac:dyDescent="0.25"/>
    <row r="6522" ht="14.25" customHeight="1" x14ac:dyDescent="0.25"/>
    <row r="6523" ht="14.25" customHeight="1" x14ac:dyDescent="0.25"/>
    <row r="6524" ht="14.25" customHeight="1" x14ac:dyDescent="0.25"/>
    <row r="6525" ht="14.25" customHeight="1" x14ac:dyDescent="0.25"/>
    <row r="6526" ht="14.25" customHeight="1" x14ac:dyDescent="0.25"/>
    <row r="6527" ht="14.25" customHeight="1" x14ac:dyDescent="0.25"/>
    <row r="6528" ht="14.25" customHeight="1" x14ac:dyDescent="0.25"/>
    <row r="6529" ht="14.25" customHeight="1" x14ac:dyDescent="0.25"/>
    <row r="6530" ht="14.25" customHeight="1" x14ac:dyDescent="0.25"/>
    <row r="6531" ht="14.25" customHeight="1" x14ac:dyDescent="0.25"/>
    <row r="6532" ht="14.25" customHeight="1" x14ac:dyDescent="0.25"/>
    <row r="6533" ht="14.25" customHeight="1" x14ac:dyDescent="0.25"/>
    <row r="6534" ht="14.25" customHeight="1" x14ac:dyDescent="0.25"/>
    <row r="6535" ht="14.25" customHeight="1" x14ac:dyDescent="0.25"/>
    <row r="6536" ht="14.25" customHeight="1" x14ac:dyDescent="0.25"/>
    <row r="6537" ht="14.25" customHeight="1" x14ac:dyDescent="0.25"/>
    <row r="6538" ht="14.25" customHeight="1" x14ac:dyDescent="0.25"/>
    <row r="6539" ht="14.25" customHeight="1" x14ac:dyDescent="0.25"/>
    <row r="6540" ht="14.25" customHeight="1" x14ac:dyDescent="0.25"/>
    <row r="6541" ht="14.25" customHeight="1" x14ac:dyDescent="0.25"/>
    <row r="6542" ht="14.25" customHeight="1" x14ac:dyDescent="0.25"/>
    <row r="6543" ht="14.25" customHeight="1" x14ac:dyDescent="0.25"/>
    <row r="6544" ht="14.25" customHeight="1" x14ac:dyDescent="0.25"/>
    <row r="6545" ht="14.25" customHeight="1" x14ac:dyDescent="0.25"/>
    <row r="6546" ht="14.25" customHeight="1" x14ac:dyDescent="0.25"/>
    <row r="6547" ht="14.25" customHeight="1" x14ac:dyDescent="0.25"/>
    <row r="6548" ht="14.25" customHeight="1" x14ac:dyDescent="0.25"/>
    <row r="6549" ht="14.25" customHeight="1" x14ac:dyDescent="0.25"/>
    <row r="6550" ht="14.25" customHeight="1" x14ac:dyDescent="0.25"/>
    <row r="6551" ht="14.25" customHeight="1" x14ac:dyDescent="0.25"/>
    <row r="6552" ht="14.25" customHeight="1" x14ac:dyDescent="0.25"/>
    <row r="6553" ht="14.25" customHeight="1" x14ac:dyDescent="0.25"/>
    <row r="6554" ht="14.25" customHeight="1" x14ac:dyDescent="0.25"/>
    <row r="6555" ht="14.25" customHeight="1" x14ac:dyDescent="0.25"/>
    <row r="6556" ht="14.25" customHeight="1" x14ac:dyDescent="0.25"/>
    <row r="6557" ht="14.25" customHeight="1" x14ac:dyDescent="0.25"/>
    <row r="6558" ht="14.25" customHeight="1" x14ac:dyDescent="0.25"/>
    <row r="6559" ht="14.25" customHeight="1" x14ac:dyDescent="0.25"/>
    <row r="6560" ht="14.25" customHeight="1" x14ac:dyDescent="0.25"/>
    <row r="6561" ht="14.25" customHeight="1" x14ac:dyDescent="0.25"/>
    <row r="6562" ht="14.25" customHeight="1" x14ac:dyDescent="0.25"/>
    <row r="6563" ht="14.25" customHeight="1" x14ac:dyDescent="0.25"/>
    <row r="6564" ht="14.25" customHeight="1" x14ac:dyDescent="0.25"/>
    <row r="6565" ht="14.25" customHeight="1" x14ac:dyDescent="0.25"/>
    <row r="6566" ht="14.25" customHeight="1" x14ac:dyDescent="0.25"/>
    <row r="6567" ht="14.25" customHeight="1" x14ac:dyDescent="0.25"/>
    <row r="6568" ht="14.25" customHeight="1" x14ac:dyDescent="0.25"/>
    <row r="6569" ht="14.25" customHeight="1" x14ac:dyDescent="0.25"/>
    <row r="6570" ht="14.25" customHeight="1" x14ac:dyDescent="0.25"/>
    <row r="6571" ht="14.25" customHeight="1" x14ac:dyDescent="0.25"/>
    <row r="6572" ht="14.25" customHeight="1" x14ac:dyDescent="0.25"/>
    <row r="6573" ht="14.25" customHeight="1" x14ac:dyDescent="0.25"/>
    <row r="6574" ht="14.25" customHeight="1" x14ac:dyDescent="0.25"/>
    <row r="6575" ht="14.25" customHeight="1" x14ac:dyDescent="0.25"/>
    <row r="6576" ht="14.25" customHeight="1" x14ac:dyDescent="0.25"/>
    <row r="6577" ht="14.25" customHeight="1" x14ac:dyDescent="0.25"/>
    <row r="6578" ht="14.25" customHeight="1" x14ac:dyDescent="0.25"/>
    <row r="6579" ht="14.25" customHeight="1" x14ac:dyDescent="0.25"/>
    <row r="6580" ht="14.25" customHeight="1" x14ac:dyDescent="0.25"/>
    <row r="6581" ht="14.25" customHeight="1" x14ac:dyDescent="0.25"/>
    <row r="6582" ht="14.25" customHeight="1" x14ac:dyDescent="0.25"/>
    <row r="6583" ht="14.25" customHeight="1" x14ac:dyDescent="0.25"/>
    <row r="6584" ht="14.25" customHeight="1" x14ac:dyDescent="0.25"/>
    <row r="6585" ht="14.25" customHeight="1" x14ac:dyDescent="0.25"/>
    <row r="6586" ht="14.25" customHeight="1" x14ac:dyDescent="0.25"/>
    <row r="6587" ht="14.25" customHeight="1" x14ac:dyDescent="0.25"/>
    <row r="6588" ht="14.25" customHeight="1" x14ac:dyDescent="0.25"/>
    <row r="6589" ht="14.25" customHeight="1" x14ac:dyDescent="0.25"/>
    <row r="6590" ht="14.25" customHeight="1" x14ac:dyDescent="0.25"/>
    <row r="6591" ht="14.25" customHeight="1" x14ac:dyDescent="0.25"/>
    <row r="6592" ht="14.25" customHeight="1" x14ac:dyDescent="0.25"/>
    <row r="6593" ht="14.25" customHeight="1" x14ac:dyDescent="0.25"/>
    <row r="6594" ht="14.25" customHeight="1" x14ac:dyDescent="0.25"/>
    <row r="6595" ht="14.25" customHeight="1" x14ac:dyDescent="0.25"/>
    <row r="6596" ht="14.25" customHeight="1" x14ac:dyDescent="0.25"/>
    <row r="6597" ht="14.25" customHeight="1" x14ac:dyDescent="0.25"/>
    <row r="6598" ht="14.25" customHeight="1" x14ac:dyDescent="0.25"/>
    <row r="6599" ht="14.25" customHeight="1" x14ac:dyDescent="0.25"/>
    <row r="6600" ht="14.25" customHeight="1" x14ac:dyDescent="0.25"/>
    <row r="6601" ht="14.25" customHeight="1" x14ac:dyDescent="0.25"/>
    <row r="6602" ht="14.25" customHeight="1" x14ac:dyDescent="0.25"/>
    <row r="6603" ht="14.25" customHeight="1" x14ac:dyDescent="0.25"/>
    <row r="6604" ht="14.25" customHeight="1" x14ac:dyDescent="0.25"/>
    <row r="6605" ht="14.25" customHeight="1" x14ac:dyDescent="0.25"/>
    <row r="6606" ht="14.25" customHeight="1" x14ac:dyDescent="0.25"/>
    <row r="6607" ht="14.25" customHeight="1" x14ac:dyDescent="0.25"/>
    <row r="6608" ht="14.25" customHeight="1" x14ac:dyDescent="0.25"/>
    <row r="6609" ht="14.25" customHeight="1" x14ac:dyDescent="0.25"/>
    <row r="6610" ht="14.25" customHeight="1" x14ac:dyDescent="0.25"/>
    <row r="6611" ht="14.25" customHeight="1" x14ac:dyDescent="0.25"/>
    <row r="6612" ht="14.25" customHeight="1" x14ac:dyDescent="0.25"/>
    <row r="6613" ht="14.25" customHeight="1" x14ac:dyDescent="0.25"/>
    <row r="6614" ht="14.25" customHeight="1" x14ac:dyDescent="0.25"/>
    <row r="6615" ht="14.25" customHeight="1" x14ac:dyDescent="0.25"/>
    <row r="6616" ht="14.25" customHeight="1" x14ac:dyDescent="0.25"/>
    <row r="6617" ht="14.25" customHeight="1" x14ac:dyDescent="0.25"/>
    <row r="6618" ht="14.25" customHeight="1" x14ac:dyDescent="0.25"/>
    <row r="6619" ht="14.25" customHeight="1" x14ac:dyDescent="0.25"/>
    <row r="6620" ht="14.25" customHeight="1" x14ac:dyDescent="0.25"/>
    <row r="6621" ht="14.25" customHeight="1" x14ac:dyDescent="0.25"/>
    <row r="6622" ht="14.25" customHeight="1" x14ac:dyDescent="0.25"/>
    <row r="6623" ht="14.25" customHeight="1" x14ac:dyDescent="0.25"/>
    <row r="6624" ht="14.25" customHeight="1" x14ac:dyDescent="0.25"/>
    <row r="6625" ht="14.25" customHeight="1" x14ac:dyDescent="0.25"/>
    <row r="6626" ht="14.25" customHeight="1" x14ac:dyDescent="0.25"/>
    <row r="6627" ht="14.25" customHeight="1" x14ac:dyDescent="0.25"/>
    <row r="6628" ht="14.25" customHeight="1" x14ac:dyDescent="0.25"/>
    <row r="6629" ht="14.25" customHeight="1" x14ac:dyDescent="0.25"/>
    <row r="6630" ht="14.25" customHeight="1" x14ac:dyDescent="0.25"/>
    <row r="6631" ht="14.25" customHeight="1" x14ac:dyDescent="0.25"/>
    <row r="6632" ht="14.25" customHeight="1" x14ac:dyDescent="0.25"/>
    <row r="6633" ht="14.25" customHeight="1" x14ac:dyDescent="0.25"/>
    <row r="6634" ht="14.25" customHeight="1" x14ac:dyDescent="0.25"/>
    <row r="6635" ht="14.25" customHeight="1" x14ac:dyDescent="0.25"/>
    <row r="6636" ht="14.25" customHeight="1" x14ac:dyDescent="0.25"/>
    <row r="6637" ht="14.25" customHeight="1" x14ac:dyDescent="0.25"/>
    <row r="6638" ht="14.25" customHeight="1" x14ac:dyDescent="0.25"/>
    <row r="6639" ht="14.25" customHeight="1" x14ac:dyDescent="0.25"/>
    <row r="6640" ht="14.25" customHeight="1" x14ac:dyDescent="0.25"/>
    <row r="6641" ht="14.25" customHeight="1" x14ac:dyDescent="0.25"/>
    <row r="6642" ht="14.25" customHeight="1" x14ac:dyDescent="0.25"/>
    <row r="6643" ht="14.25" customHeight="1" x14ac:dyDescent="0.25"/>
    <row r="6644" ht="14.25" customHeight="1" x14ac:dyDescent="0.25"/>
    <row r="6645" ht="14.25" customHeight="1" x14ac:dyDescent="0.25"/>
    <row r="6646" ht="14.25" customHeight="1" x14ac:dyDescent="0.25"/>
    <row r="6647" ht="14.25" customHeight="1" x14ac:dyDescent="0.25"/>
    <row r="6648" ht="14.25" customHeight="1" x14ac:dyDescent="0.25"/>
    <row r="6649" ht="14.25" customHeight="1" x14ac:dyDescent="0.25"/>
    <row r="6650" ht="14.25" customHeight="1" x14ac:dyDescent="0.25"/>
    <row r="6651" ht="14.25" customHeight="1" x14ac:dyDescent="0.25"/>
    <row r="6652" ht="14.25" customHeight="1" x14ac:dyDescent="0.25"/>
    <row r="6653" ht="14.25" customHeight="1" x14ac:dyDescent="0.25"/>
    <row r="6654" ht="14.25" customHeight="1" x14ac:dyDescent="0.25"/>
    <row r="6655" ht="14.25" customHeight="1" x14ac:dyDescent="0.25"/>
    <row r="6656" ht="14.25" customHeight="1" x14ac:dyDescent="0.25"/>
    <row r="6657" ht="14.25" customHeight="1" x14ac:dyDescent="0.25"/>
    <row r="6658" ht="14.25" customHeight="1" x14ac:dyDescent="0.25"/>
    <row r="6659" ht="14.25" customHeight="1" x14ac:dyDescent="0.25"/>
    <row r="6660" ht="14.25" customHeight="1" x14ac:dyDescent="0.25"/>
    <row r="6661" ht="14.25" customHeight="1" x14ac:dyDescent="0.25"/>
    <row r="6662" ht="14.25" customHeight="1" x14ac:dyDescent="0.25"/>
    <row r="6663" ht="14.25" customHeight="1" x14ac:dyDescent="0.25"/>
    <row r="6664" ht="14.25" customHeight="1" x14ac:dyDescent="0.25"/>
    <row r="6665" ht="14.25" customHeight="1" x14ac:dyDescent="0.25"/>
    <row r="6666" ht="14.25" customHeight="1" x14ac:dyDescent="0.25"/>
    <row r="6667" ht="14.25" customHeight="1" x14ac:dyDescent="0.25"/>
    <row r="6668" ht="14.25" customHeight="1" x14ac:dyDescent="0.25"/>
    <row r="6669" ht="14.25" customHeight="1" x14ac:dyDescent="0.25"/>
    <row r="6670" ht="14.25" customHeight="1" x14ac:dyDescent="0.25"/>
    <row r="6671" ht="14.25" customHeight="1" x14ac:dyDescent="0.25"/>
    <row r="6672" ht="14.25" customHeight="1" x14ac:dyDescent="0.25"/>
    <row r="6673" ht="14.25" customHeight="1" x14ac:dyDescent="0.25"/>
    <row r="6674" ht="14.25" customHeight="1" x14ac:dyDescent="0.25"/>
    <row r="6675" ht="14.25" customHeight="1" x14ac:dyDescent="0.25"/>
    <row r="6676" ht="14.25" customHeight="1" x14ac:dyDescent="0.25"/>
    <row r="6677" ht="14.25" customHeight="1" x14ac:dyDescent="0.25"/>
    <row r="6678" ht="14.25" customHeight="1" x14ac:dyDescent="0.25"/>
    <row r="6679" ht="14.25" customHeight="1" x14ac:dyDescent="0.25"/>
    <row r="6680" ht="14.25" customHeight="1" x14ac:dyDescent="0.25"/>
    <row r="6681" ht="14.25" customHeight="1" x14ac:dyDescent="0.25"/>
    <row r="6682" ht="14.25" customHeight="1" x14ac:dyDescent="0.25"/>
    <row r="6683" ht="14.25" customHeight="1" x14ac:dyDescent="0.25"/>
    <row r="6684" ht="14.25" customHeight="1" x14ac:dyDescent="0.25"/>
    <row r="6685" ht="14.25" customHeight="1" x14ac:dyDescent="0.25"/>
    <row r="6686" ht="14.25" customHeight="1" x14ac:dyDescent="0.25"/>
    <row r="6687" ht="14.25" customHeight="1" x14ac:dyDescent="0.25"/>
    <row r="6688" ht="14.25" customHeight="1" x14ac:dyDescent="0.25"/>
    <row r="6689" ht="14.25" customHeight="1" x14ac:dyDescent="0.25"/>
    <row r="6690" ht="14.25" customHeight="1" x14ac:dyDescent="0.25"/>
    <row r="6691" ht="14.25" customHeight="1" x14ac:dyDescent="0.25"/>
    <row r="6692" ht="14.25" customHeight="1" x14ac:dyDescent="0.25"/>
    <row r="6693" ht="14.25" customHeight="1" x14ac:dyDescent="0.25"/>
    <row r="6694" ht="14.25" customHeight="1" x14ac:dyDescent="0.25"/>
    <row r="6695" ht="14.25" customHeight="1" x14ac:dyDescent="0.25"/>
    <row r="6696" ht="14.25" customHeight="1" x14ac:dyDescent="0.25"/>
    <row r="6697" ht="14.25" customHeight="1" x14ac:dyDescent="0.25"/>
    <row r="6698" ht="14.25" customHeight="1" x14ac:dyDescent="0.25"/>
    <row r="6699" ht="14.25" customHeight="1" x14ac:dyDescent="0.25"/>
    <row r="6700" ht="14.25" customHeight="1" x14ac:dyDescent="0.25"/>
    <row r="6701" ht="14.25" customHeight="1" x14ac:dyDescent="0.25"/>
    <row r="6702" ht="14.25" customHeight="1" x14ac:dyDescent="0.25"/>
    <row r="6703" ht="14.25" customHeight="1" x14ac:dyDescent="0.25"/>
    <row r="6704" ht="14.25" customHeight="1" x14ac:dyDescent="0.25"/>
    <row r="6705" ht="14.25" customHeight="1" x14ac:dyDescent="0.25"/>
    <row r="6706" ht="14.25" customHeight="1" x14ac:dyDescent="0.25"/>
    <row r="6707" ht="14.25" customHeight="1" x14ac:dyDescent="0.25"/>
    <row r="6708" ht="14.25" customHeight="1" x14ac:dyDescent="0.25"/>
    <row r="6709" ht="14.25" customHeight="1" x14ac:dyDescent="0.25"/>
    <row r="6710" ht="14.25" customHeight="1" x14ac:dyDescent="0.25"/>
    <row r="6711" ht="14.25" customHeight="1" x14ac:dyDescent="0.25"/>
    <row r="6712" ht="14.25" customHeight="1" x14ac:dyDescent="0.25"/>
    <row r="6713" ht="14.25" customHeight="1" x14ac:dyDescent="0.25"/>
    <row r="6714" ht="14.25" customHeight="1" x14ac:dyDescent="0.25"/>
    <row r="6715" ht="14.25" customHeight="1" x14ac:dyDescent="0.25"/>
    <row r="6716" ht="14.25" customHeight="1" x14ac:dyDescent="0.25"/>
    <row r="6717" ht="14.25" customHeight="1" x14ac:dyDescent="0.25"/>
    <row r="6718" ht="14.25" customHeight="1" x14ac:dyDescent="0.25"/>
    <row r="6719" ht="14.25" customHeight="1" x14ac:dyDescent="0.25"/>
    <row r="6720" ht="14.25" customHeight="1" x14ac:dyDescent="0.25"/>
    <row r="6721" ht="14.25" customHeight="1" x14ac:dyDescent="0.25"/>
    <row r="6722" ht="14.25" customHeight="1" x14ac:dyDescent="0.25"/>
    <row r="6723" ht="14.25" customHeight="1" x14ac:dyDescent="0.25"/>
    <row r="6724" ht="14.25" customHeight="1" x14ac:dyDescent="0.25"/>
    <row r="6725" ht="14.25" customHeight="1" x14ac:dyDescent="0.25"/>
    <row r="6726" ht="14.25" customHeight="1" x14ac:dyDescent="0.25"/>
    <row r="6727" ht="14.25" customHeight="1" x14ac:dyDescent="0.25"/>
    <row r="6728" ht="14.25" customHeight="1" x14ac:dyDescent="0.25"/>
    <row r="6729" ht="14.25" customHeight="1" x14ac:dyDescent="0.25"/>
    <row r="6730" ht="14.25" customHeight="1" x14ac:dyDescent="0.25"/>
    <row r="6731" ht="14.25" customHeight="1" x14ac:dyDescent="0.25"/>
    <row r="6732" ht="14.25" customHeight="1" x14ac:dyDescent="0.25"/>
    <row r="6733" ht="14.25" customHeight="1" x14ac:dyDescent="0.25"/>
    <row r="6734" ht="14.25" customHeight="1" x14ac:dyDescent="0.25"/>
    <row r="6735" ht="14.25" customHeight="1" x14ac:dyDescent="0.25"/>
    <row r="6736" ht="14.25" customHeight="1" x14ac:dyDescent="0.25"/>
    <row r="6737" ht="14.25" customHeight="1" x14ac:dyDescent="0.25"/>
    <row r="6738" ht="14.25" customHeight="1" x14ac:dyDescent="0.25"/>
    <row r="6739" ht="14.25" customHeight="1" x14ac:dyDescent="0.25"/>
    <row r="6740" ht="14.25" customHeight="1" x14ac:dyDescent="0.25"/>
    <row r="6741" ht="14.25" customHeight="1" x14ac:dyDescent="0.25"/>
    <row r="6742" ht="14.25" customHeight="1" x14ac:dyDescent="0.25"/>
    <row r="6743" ht="14.25" customHeight="1" x14ac:dyDescent="0.25"/>
    <row r="6744" ht="14.25" customHeight="1" x14ac:dyDescent="0.25"/>
    <row r="6745" ht="14.25" customHeight="1" x14ac:dyDescent="0.25"/>
    <row r="6746" ht="14.25" customHeight="1" x14ac:dyDescent="0.25"/>
    <row r="6747" ht="14.25" customHeight="1" x14ac:dyDescent="0.25"/>
    <row r="6748" ht="14.25" customHeight="1" x14ac:dyDescent="0.25"/>
    <row r="6749" ht="14.25" customHeight="1" x14ac:dyDescent="0.25"/>
    <row r="6750" ht="14.25" customHeight="1" x14ac:dyDescent="0.25"/>
    <row r="6751" ht="14.25" customHeight="1" x14ac:dyDescent="0.25"/>
    <row r="6752" ht="14.25" customHeight="1" x14ac:dyDescent="0.25"/>
    <row r="6753" ht="14.25" customHeight="1" x14ac:dyDescent="0.25"/>
    <row r="6754" ht="14.25" customHeight="1" x14ac:dyDescent="0.25"/>
    <row r="6755" ht="14.25" customHeight="1" x14ac:dyDescent="0.25"/>
    <row r="6756" ht="14.25" customHeight="1" x14ac:dyDescent="0.25"/>
    <row r="6757" ht="14.25" customHeight="1" x14ac:dyDescent="0.25"/>
    <row r="6758" ht="14.25" customHeight="1" x14ac:dyDescent="0.25"/>
    <row r="6759" ht="14.25" customHeight="1" x14ac:dyDescent="0.25"/>
    <row r="6760" ht="14.25" customHeight="1" x14ac:dyDescent="0.25"/>
    <row r="6761" ht="14.25" customHeight="1" x14ac:dyDescent="0.25"/>
    <row r="6762" ht="14.25" customHeight="1" x14ac:dyDescent="0.25"/>
    <row r="6763" ht="14.25" customHeight="1" x14ac:dyDescent="0.25"/>
    <row r="6764" ht="14.25" customHeight="1" x14ac:dyDescent="0.25"/>
    <row r="6765" ht="14.25" customHeight="1" x14ac:dyDescent="0.25"/>
    <row r="6766" ht="14.25" customHeight="1" x14ac:dyDescent="0.25"/>
    <row r="6767" ht="14.25" customHeight="1" x14ac:dyDescent="0.25"/>
    <row r="6768" ht="14.25" customHeight="1" x14ac:dyDescent="0.25"/>
    <row r="6769" ht="14.25" customHeight="1" x14ac:dyDescent="0.25"/>
    <row r="6770" ht="14.25" customHeight="1" x14ac:dyDescent="0.25"/>
    <row r="6771" ht="14.25" customHeight="1" x14ac:dyDescent="0.25"/>
    <row r="6772" ht="14.25" customHeight="1" x14ac:dyDescent="0.25"/>
    <row r="6773" ht="14.25" customHeight="1" x14ac:dyDescent="0.25"/>
    <row r="6774" ht="14.25" customHeight="1" x14ac:dyDescent="0.25"/>
    <row r="6775" ht="14.25" customHeight="1" x14ac:dyDescent="0.25"/>
    <row r="6776" ht="14.25" customHeight="1" x14ac:dyDescent="0.25"/>
    <row r="6777" ht="14.25" customHeight="1" x14ac:dyDescent="0.25"/>
    <row r="6778" ht="14.25" customHeight="1" x14ac:dyDescent="0.25"/>
    <row r="6779" ht="14.25" customHeight="1" x14ac:dyDescent="0.25"/>
    <row r="6780" ht="14.25" customHeight="1" x14ac:dyDescent="0.25"/>
    <row r="6781" ht="14.25" customHeight="1" x14ac:dyDescent="0.25"/>
    <row r="6782" ht="14.25" customHeight="1" x14ac:dyDescent="0.25"/>
    <row r="6783" ht="14.25" customHeight="1" x14ac:dyDescent="0.25"/>
    <row r="6784" ht="14.25" customHeight="1" x14ac:dyDescent="0.25"/>
    <row r="6785" ht="14.25" customHeight="1" x14ac:dyDescent="0.25"/>
    <row r="6786" ht="14.25" customHeight="1" x14ac:dyDescent="0.25"/>
    <row r="6787" ht="14.25" customHeight="1" x14ac:dyDescent="0.25"/>
    <row r="6788" ht="14.25" customHeight="1" x14ac:dyDescent="0.25"/>
    <row r="6789" ht="14.25" customHeight="1" x14ac:dyDescent="0.25"/>
    <row r="6790" ht="14.25" customHeight="1" x14ac:dyDescent="0.25"/>
    <row r="6791" ht="14.25" customHeight="1" x14ac:dyDescent="0.25"/>
    <row r="6792" ht="14.25" customHeight="1" x14ac:dyDescent="0.25"/>
    <row r="6793" ht="14.25" customHeight="1" x14ac:dyDescent="0.25"/>
    <row r="6794" ht="14.25" customHeight="1" x14ac:dyDescent="0.25"/>
    <row r="6795" ht="14.25" customHeight="1" x14ac:dyDescent="0.25"/>
    <row r="6796" ht="14.25" customHeight="1" x14ac:dyDescent="0.25"/>
    <row r="6797" ht="14.25" customHeight="1" x14ac:dyDescent="0.25"/>
    <row r="6798" ht="14.25" customHeight="1" x14ac:dyDescent="0.25"/>
    <row r="6799" ht="14.25" customHeight="1" x14ac:dyDescent="0.25"/>
    <row r="6800" ht="14.25" customHeight="1" x14ac:dyDescent="0.25"/>
    <row r="6801" ht="14.25" customHeight="1" x14ac:dyDescent="0.25"/>
    <row r="6802" ht="14.25" customHeight="1" x14ac:dyDescent="0.25"/>
    <row r="6803" ht="14.25" customHeight="1" x14ac:dyDescent="0.25"/>
    <row r="6804" ht="14.25" customHeight="1" x14ac:dyDescent="0.25"/>
    <row r="6805" ht="14.25" customHeight="1" x14ac:dyDescent="0.25"/>
    <row r="6806" ht="14.25" customHeight="1" x14ac:dyDescent="0.25"/>
    <row r="6807" ht="14.25" customHeight="1" x14ac:dyDescent="0.25"/>
    <row r="6808" ht="14.25" customHeight="1" x14ac:dyDescent="0.25"/>
    <row r="6809" ht="14.25" customHeight="1" x14ac:dyDescent="0.25"/>
    <row r="6810" ht="14.25" customHeight="1" x14ac:dyDescent="0.25"/>
    <row r="6811" ht="14.25" customHeight="1" x14ac:dyDescent="0.25"/>
    <row r="6812" ht="14.25" customHeight="1" x14ac:dyDescent="0.25"/>
    <row r="6813" ht="14.25" customHeight="1" x14ac:dyDescent="0.25"/>
    <row r="6814" ht="14.25" customHeight="1" x14ac:dyDescent="0.25"/>
    <row r="6815" ht="14.25" customHeight="1" x14ac:dyDescent="0.25"/>
    <row r="6816" ht="14.25" customHeight="1" x14ac:dyDescent="0.25"/>
    <row r="6817" ht="14.25" customHeight="1" x14ac:dyDescent="0.25"/>
    <row r="6818" ht="14.25" customHeight="1" x14ac:dyDescent="0.25"/>
    <row r="6819" ht="14.25" customHeight="1" x14ac:dyDescent="0.25"/>
    <row r="6820" ht="14.25" customHeight="1" x14ac:dyDescent="0.25"/>
    <row r="6821" ht="14.25" customHeight="1" x14ac:dyDescent="0.25"/>
    <row r="6822" ht="14.25" customHeight="1" x14ac:dyDescent="0.25"/>
    <row r="6823" ht="14.25" customHeight="1" x14ac:dyDescent="0.25"/>
    <row r="6824" ht="14.25" customHeight="1" x14ac:dyDescent="0.25"/>
    <row r="6825" ht="14.25" customHeight="1" x14ac:dyDescent="0.25"/>
    <row r="6826" ht="14.25" customHeight="1" x14ac:dyDescent="0.25"/>
    <row r="6827" ht="14.25" customHeight="1" x14ac:dyDescent="0.25"/>
    <row r="6828" ht="14.25" customHeight="1" x14ac:dyDescent="0.25"/>
    <row r="6829" ht="14.25" customHeight="1" x14ac:dyDescent="0.25"/>
    <row r="6830" ht="14.25" customHeight="1" x14ac:dyDescent="0.25"/>
    <row r="6831" ht="14.25" customHeight="1" x14ac:dyDescent="0.25"/>
    <row r="6832" ht="14.25" customHeight="1" x14ac:dyDescent="0.25"/>
    <row r="6833" ht="14.25" customHeight="1" x14ac:dyDescent="0.25"/>
    <row r="6834" ht="14.25" customHeight="1" x14ac:dyDescent="0.25"/>
    <row r="6835" ht="14.25" customHeight="1" x14ac:dyDescent="0.25"/>
    <row r="6836" ht="14.25" customHeight="1" x14ac:dyDescent="0.25"/>
    <row r="6837" ht="14.25" customHeight="1" x14ac:dyDescent="0.25"/>
    <row r="6838" ht="14.25" customHeight="1" x14ac:dyDescent="0.25"/>
    <row r="6839" ht="14.25" customHeight="1" x14ac:dyDescent="0.25"/>
    <row r="6840" ht="14.25" customHeight="1" x14ac:dyDescent="0.25"/>
    <row r="6841" ht="14.25" customHeight="1" x14ac:dyDescent="0.25"/>
    <row r="6842" ht="14.25" customHeight="1" x14ac:dyDescent="0.25"/>
    <row r="6843" ht="14.25" customHeight="1" x14ac:dyDescent="0.25"/>
    <row r="6844" ht="14.25" customHeight="1" x14ac:dyDescent="0.25"/>
    <row r="6845" ht="14.25" customHeight="1" x14ac:dyDescent="0.25"/>
    <row r="6846" ht="14.25" customHeight="1" x14ac:dyDescent="0.25"/>
    <row r="6847" ht="14.25" customHeight="1" x14ac:dyDescent="0.25"/>
    <row r="6848" ht="14.25" customHeight="1" x14ac:dyDescent="0.25"/>
    <row r="6849" ht="14.25" customHeight="1" x14ac:dyDescent="0.25"/>
    <row r="6850" ht="14.25" customHeight="1" x14ac:dyDescent="0.25"/>
    <row r="6851" ht="14.25" customHeight="1" x14ac:dyDescent="0.25"/>
    <row r="6852" ht="14.25" customHeight="1" x14ac:dyDescent="0.25"/>
    <row r="6853" ht="14.25" customHeight="1" x14ac:dyDescent="0.25"/>
    <row r="6854" ht="14.25" customHeight="1" x14ac:dyDescent="0.25"/>
    <row r="6855" ht="14.25" customHeight="1" x14ac:dyDescent="0.25"/>
    <row r="6856" ht="14.25" customHeight="1" x14ac:dyDescent="0.25"/>
    <row r="6857" ht="14.25" customHeight="1" x14ac:dyDescent="0.25"/>
    <row r="6858" ht="14.25" customHeight="1" x14ac:dyDescent="0.25"/>
    <row r="6859" ht="14.25" customHeight="1" x14ac:dyDescent="0.25"/>
    <row r="6860" ht="14.25" customHeight="1" x14ac:dyDescent="0.25"/>
    <row r="6861" ht="14.25" customHeight="1" x14ac:dyDescent="0.25"/>
    <row r="6862" ht="14.25" customHeight="1" x14ac:dyDescent="0.25"/>
    <row r="6863" ht="14.25" customHeight="1" x14ac:dyDescent="0.25"/>
    <row r="6864" ht="14.25" customHeight="1" x14ac:dyDescent="0.25"/>
    <row r="6865" ht="14.25" customHeight="1" x14ac:dyDescent="0.25"/>
    <row r="6866" ht="14.25" customHeight="1" x14ac:dyDescent="0.25"/>
    <row r="6867" ht="14.25" customHeight="1" x14ac:dyDescent="0.25"/>
    <row r="6868" ht="14.25" customHeight="1" x14ac:dyDescent="0.25"/>
    <row r="6869" ht="14.25" customHeight="1" x14ac:dyDescent="0.25"/>
    <row r="6870" ht="14.25" customHeight="1" x14ac:dyDescent="0.25"/>
    <row r="6871" ht="14.25" customHeight="1" x14ac:dyDescent="0.25"/>
    <row r="6872" ht="14.25" customHeight="1" x14ac:dyDescent="0.25"/>
    <row r="6873" ht="14.25" customHeight="1" x14ac:dyDescent="0.25"/>
    <row r="6874" ht="14.25" customHeight="1" x14ac:dyDescent="0.25"/>
    <row r="6875" ht="14.25" customHeight="1" x14ac:dyDescent="0.25"/>
    <row r="6876" ht="14.25" customHeight="1" x14ac:dyDescent="0.25"/>
    <row r="6877" ht="14.25" customHeight="1" x14ac:dyDescent="0.25"/>
    <row r="6878" ht="14.25" customHeight="1" x14ac:dyDescent="0.25"/>
    <row r="6879" ht="14.25" customHeight="1" x14ac:dyDescent="0.25"/>
    <row r="6880" ht="14.25" customHeight="1" x14ac:dyDescent="0.25"/>
    <row r="6881" ht="14.25" customHeight="1" x14ac:dyDescent="0.25"/>
    <row r="6882" ht="14.25" customHeight="1" x14ac:dyDescent="0.25"/>
    <row r="6883" ht="14.25" customHeight="1" x14ac:dyDescent="0.25"/>
    <row r="6884" ht="14.25" customHeight="1" x14ac:dyDescent="0.25"/>
    <row r="6885" ht="14.25" customHeight="1" x14ac:dyDescent="0.25"/>
    <row r="6886" ht="14.25" customHeight="1" x14ac:dyDescent="0.25"/>
    <row r="6887" ht="14.25" customHeight="1" x14ac:dyDescent="0.25"/>
    <row r="6888" ht="14.25" customHeight="1" x14ac:dyDescent="0.25"/>
    <row r="6889" ht="14.25" customHeight="1" x14ac:dyDescent="0.25"/>
    <row r="6890" ht="14.25" customHeight="1" x14ac:dyDescent="0.25"/>
    <row r="6891" ht="14.25" customHeight="1" x14ac:dyDescent="0.25"/>
    <row r="6892" ht="14.25" customHeight="1" x14ac:dyDescent="0.25"/>
    <row r="6893" ht="14.25" customHeight="1" x14ac:dyDescent="0.25"/>
    <row r="6894" ht="14.25" customHeight="1" x14ac:dyDescent="0.25"/>
    <row r="6895" ht="14.25" customHeight="1" x14ac:dyDescent="0.25"/>
    <row r="6896" ht="14.25" customHeight="1" x14ac:dyDescent="0.25"/>
    <row r="6897" ht="14.25" customHeight="1" x14ac:dyDescent="0.25"/>
    <row r="6898" ht="14.25" customHeight="1" x14ac:dyDescent="0.25"/>
    <row r="6899" ht="14.25" customHeight="1" x14ac:dyDescent="0.25"/>
    <row r="6900" ht="14.25" customHeight="1" x14ac:dyDescent="0.25"/>
    <row r="6901" ht="14.25" customHeight="1" x14ac:dyDescent="0.25"/>
    <row r="6902" ht="14.25" customHeight="1" x14ac:dyDescent="0.25"/>
    <row r="6903" ht="14.25" customHeight="1" x14ac:dyDescent="0.25"/>
    <row r="6904" ht="14.25" customHeight="1" x14ac:dyDescent="0.25"/>
    <row r="6905" ht="14.25" customHeight="1" x14ac:dyDescent="0.25"/>
    <row r="6906" ht="14.25" customHeight="1" x14ac:dyDescent="0.25"/>
    <row r="6907" ht="14.25" customHeight="1" x14ac:dyDescent="0.25"/>
    <row r="6908" ht="14.25" customHeight="1" x14ac:dyDescent="0.25"/>
    <row r="6909" ht="14.25" customHeight="1" x14ac:dyDescent="0.25"/>
    <row r="6910" ht="14.25" customHeight="1" x14ac:dyDescent="0.25"/>
    <row r="6911" ht="14.25" customHeight="1" x14ac:dyDescent="0.25"/>
    <row r="6912" ht="14.25" customHeight="1" x14ac:dyDescent="0.25"/>
    <row r="6913" ht="14.25" customHeight="1" x14ac:dyDescent="0.25"/>
    <row r="6914" ht="14.25" customHeight="1" x14ac:dyDescent="0.25"/>
    <row r="6915" ht="14.25" customHeight="1" x14ac:dyDescent="0.25"/>
    <row r="6916" ht="14.25" customHeight="1" x14ac:dyDescent="0.25"/>
    <row r="6917" ht="14.25" customHeight="1" x14ac:dyDescent="0.25"/>
    <row r="6918" ht="14.25" customHeight="1" x14ac:dyDescent="0.25"/>
    <row r="6919" ht="14.25" customHeight="1" x14ac:dyDescent="0.25"/>
    <row r="6920" ht="14.25" customHeight="1" x14ac:dyDescent="0.25"/>
    <row r="6921" ht="14.25" customHeight="1" x14ac:dyDescent="0.25"/>
    <row r="6922" ht="14.25" customHeight="1" x14ac:dyDescent="0.25"/>
    <row r="6923" ht="14.25" customHeight="1" x14ac:dyDescent="0.25"/>
    <row r="6924" ht="14.25" customHeight="1" x14ac:dyDescent="0.25"/>
    <row r="6925" ht="14.25" customHeight="1" x14ac:dyDescent="0.25"/>
    <row r="6926" ht="14.25" customHeight="1" x14ac:dyDescent="0.25"/>
    <row r="6927" ht="14.25" customHeight="1" x14ac:dyDescent="0.25"/>
    <row r="6928" ht="14.25" customHeight="1" x14ac:dyDescent="0.25"/>
    <row r="6929" ht="14.25" customHeight="1" x14ac:dyDescent="0.25"/>
    <row r="6930" ht="14.25" customHeight="1" x14ac:dyDescent="0.25"/>
    <row r="6931" ht="14.25" customHeight="1" x14ac:dyDescent="0.25"/>
    <row r="6932" ht="14.25" customHeight="1" x14ac:dyDescent="0.25"/>
    <row r="6933" ht="14.25" customHeight="1" x14ac:dyDescent="0.25"/>
    <row r="6934" ht="14.25" customHeight="1" x14ac:dyDescent="0.25"/>
    <row r="6935" ht="14.25" customHeight="1" x14ac:dyDescent="0.25"/>
    <row r="6936" ht="14.25" customHeight="1" x14ac:dyDescent="0.25"/>
    <row r="6937" ht="14.25" customHeight="1" x14ac:dyDescent="0.25"/>
    <row r="6938" ht="14.25" customHeight="1" x14ac:dyDescent="0.25"/>
    <row r="6939" ht="14.25" customHeight="1" x14ac:dyDescent="0.25"/>
    <row r="6940" ht="14.25" customHeight="1" x14ac:dyDescent="0.25"/>
    <row r="6941" ht="14.25" customHeight="1" x14ac:dyDescent="0.25"/>
    <row r="6942" ht="14.25" customHeight="1" x14ac:dyDescent="0.25"/>
    <row r="6943" ht="14.25" customHeight="1" x14ac:dyDescent="0.25"/>
    <row r="6944" ht="14.25" customHeight="1" x14ac:dyDescent="0.25"/>
    <row r="6945" ht="14.25" customHeight="1" x14ac:dyDescent="0.25"/>
    <row r="6946" ht="14.25" customHeight="1" x14ac:dyDescent="0.25"/>
    <row r="6947" ht="14.25" customHeight="1" x14ac:dyDescent="0.25"/>
    <row r="6948" ht="14.25" customHeight="1" x14ac:dyDescent="0.25"/>
    <row r="6949" ht="14.25" customHeight="1" x14ac:dyDescent="0.25"/>
    <row r="6950" ht="14.25" customHeight="1" x14ac:dyDescent="0.25"/>
    <row r="6951" ht="14.25" customHeight="1" x14ac:dyDescent="0.25"/>
    <row r="6952" ht="14.25" customHeight="1" x14ac:dyDescent="0.25"/>
    <row r="6953" ht="14.25" customHeight="1" x14ac:dyDescent="0.25"/>
    <row r="6954" ht="14.25" customHeight="1" x14ac:dyDescent="0.25"/>
    <row r="6955" ht="14.25" customHeight="1" x14ac:dyDescent="0.25"/>
    <row r="6956" ht="14.25" customHeight="1" x14ac:dyDescent="0.25"/>
    <row r="6957" ht="14.25" customHeight="1" x14ac:dyDescent="0.25"/>
    <row r="6958" ht="14.25" customHeight="1" x14ac:dyDescent="0.25"/>
    <row r="6959" ht="14.25" customHeight="1" x14ac:dyDescent="0.25"/>
    <row r="6960" ht="14.25" customHeight="1" x14ac:dyDescent="0.25"/>
    <row r="6961" ht="14.25" customHeight="1" x14ac:dyDescent="0.25"/>
    <row r="6962" ht="14.25" customHeight="1" x14ac:dyDescent="0.25"/>
    <row r="6963" ht="14.25" customHeight="1" x14ac:dyDescent="0.25"/>
    <row r="6964" ht="14.25" customHeight="1" x14ac:dyDescent="0.25"/>
    <row r="6965" ht="14.25" customHeight="1" x14ac:dyDescent="0.25"/>
    <row r="6966" ht="14.25" customHeight="1" x14ac:dyDescent="0.25"/>
    <row r="6967" ht="14.25" customHeight="1" x14ac:dyDescent="0.25"/>
    <row r="6968" ht="14.25" customHeight="1" x14ac:dyDescent="0.25"/>
    <row r="6969" ht="14.25" customHeight="1" x14ac:dyDescent="0.25"/>
    <row r="6970" ht="14.25" customHeight="1" x14ac:dyDescent="0.25"/>
    <row r="6971" ht="14.25" customHeight="1" x14ac:dyDescent="0.25"/>
    <row r="6972" ht="14.25" customHeight="1" x14ac:dyDescent="0.25"/>
    <row r="6973" ht="14.25" customHeight="1" x14ac:dyDescent="0.25"/>
    <row r="6974" ht="14.25" customHeight="1" x14ac:dyDescent="0.25"/>
    <row r="6975" ht="14.25" customHeight="1" x14ac:dyDescent="0.25"/>
    <row r="6976" ht="14.25" customHeight="1" x14ac:dyDescent="0.25"/>
    <row r="6977" ht="14.25" customHeight="1" x14ac:dyDescent="0.25"/>
    <row r="6978" ht="14.25" customHeight="1" x14ac:dyDescent="0.25"/>
    <row r="6979" ht="14.25" customHeight="1" x14ac:dyDescent="0.25"/>
    <row r="6980" ht="14.25" customHeight="1" x14ac:dyDescent="0.25"/>
    <row r="6981" ht="14.25" customHeight="1" x14ac:dyDescent="0.25"/>
    <row r="6982" ht="14.25" customHeight="1" x14ac:dyDescent="0.25"/>
    <row r="6983" ht="14.25" customHeight="1" x14ac:dyDescent="0.25"/>
    <row r="6984" ht="14.25" customHeight="1" x14ac:dyDescent="0.25"/>
    <row r="6985" ht="14.25" customHeight="1" x14ac:dyDescent="0.25"/>
    <row r="6986" ht="14.25" customHeight="1" x14ac:dyDescent="0.25"/>
    <row r="6987" ht="14.25" customHeight="1" x14ac:dyDescent="0.25"/>
    <row r="6988" ht="14.25" customHeight="1" x14ac:dyDescent="0.25"/>
    <row r="6989" ht="14.25" customHeight="1" x14ac:dyDescent="0.25"/>
    <row r="6990" ht="14.25" customHeight="1" x14ac:dyDescent="0.25"/>
    <row r="6991" ht="14.25" customHeight="1" x14ac:dyDescent="0.25"/>
    <row r="6992" ht="14.25" customHeight="1" x14ac:dyDescent="0.25"/>
    <row r="6993" ht="14.25" customHeight="1" x14ac:dyDescent="0.25"/>
    <row r="6994" ht="14.25" customHeight="1" x14ac:dyDescent="0.25"/>
    <row r="6995" ht="14.25" customHeight="1" x14ac:dyDescent="0.25"/>
    <row r="6996" ht="14.25" customHeight="1" x14ac:dyDescent="0.25"/>
    <row r="6997" ht="14.25" customHeight="1" x14ac:dyDescent="0.25"/>
    <row r="6998" ht="14.25" customHeight="1" x14ac:dyDescent="0.25"/>
    <row r="6999" ht="14.25" customHeight="1" x14ac:dyDescent="0.25"/>
    <row r="7000" ht="14.25" customHeight="1" x14ac:dyDescent="0.25"/>
    <row r="7001" ht="14.25" customHeight="1" x14ac:dyDescent="0.25"/>
    <row r="7002" ht="14.25" customHeight="1" x14ac:dyDescent="0.25"/>
    <row r="7003" ht="14.25" customHeight="1" x14ac:dyDescent="0.25"/>
    <row r="7004" ht="14.25" customHeight="1" x14ac:dyDescent="0.25"/>
    <row r="7005" ht="14.25" customHeight="1" x14ac:dyDescent="0.25"/>
    <row r="7006" ht="14.25" customHeight="1" x14ac:dyDescent="0.25"/>
    <row r="7007" ht="14.25" customHeight="1" x14ac:dyDescent="0.25"/>
    <row r="7008" ht="14.25" customHeight="1" x14ac:dyDescent="0.25"/>
    <row r="7009" ht="14.25" customHeight="1" x14ac:dyDescent="0.25"/>
    <row r="7010" ht="14.25" customHeight="1" x14ac:dyDescent="0.25"/>
    <row r="7011" ht="14.25" customHeight="1" x14ac:dyDescent="0.25"/>
    <row r="7012" ht="14.25" customHeight="1" x14ac:dyDescent="0.25"/>
    <row r="7013" ht="14.25" customHeight="1" x14ac:dyDescent="0.25"/>
    <row r="7014" ht="14.25" customHeight="1" x14ac:dyDescent="0.25"/>
    <row r="7015" ht="14.25" customHeight="1" x14ac:dyDescent="0.25"/>
    <row r="7016" ht="14.25" customHeight="1" x14ac:dyDescent="0.25"/>
    <row r="7017" ht="14.25" customHeight="1" x14ac:dyDescent="0.25"/>
    <row r="7018" ht="14.25" customHeight="1" x14ac:dyDescent="0.25"/>
    <row r="7019" ht="14.25" customHeight="1" x14ac:dyDescent="0.25"/>
    <row r="7020" ht="14.25" customHeight="1" x14ac:dyDescent="0.25"/>
    <row r="7021" ht="14.25" customHeight="1" x14ac:dyDescent="0.25"/>
    <row r="7022" ht="14.25" customHeight="1" x14ac:dyDescent="0.25"/>
    <row r="7023" ht="14.25" customHeight="1" x14ac:dyDescent="0.25"/>
    <row r="7024" ht="14.25" customHeight="1" x14ac:dyDescent="0.25"/>
    <row r="7025" ht="14.25" customHeight="1" x14ac:dyDescent="0.25"/>
    <row r="7026" ht="14.25" customHeight="1" x14ac:dyDescent="0.25"/>
    <row r="7027" ht="14.25" customHeight="1" x14ac:dyDescent="0.25"/>
    <row r="7028" ht="14.25" customHeight="1" x14ac:dyDescent="0.25"/>
    <row r="7029" ht="14.25" customHeight="1" x14ac:dyDescent="0.25"/>
    <row r="7030" ht="14.25" customHeight="1" x14ac:dyDescent="0.25"/>
    <row r="7031" ht="14.25" customHeight="1" x14ac:dyDescent="0.25"/>
    <row r="7032" ht="14.25" customHeight="1" x14ac:dyDescent="0.25"/>
    <row r="7033" ht="14.25" customHeight="1" x14ac:dyDescent="0.25"/>
    <row r="7034" ht="14.25" customHeight="1" x14ac:dyDescent="0.25"/>
    <row r="7035" ht="14.25" customHeight="1" x14ac:dyDescent="0.25"/>
    <row r="7036" ht="14.25" customHeight="1" x14ac:dyDescent="0.25"/>
    <row r="7037" ht="14.25" customHeight="1" x14ac:dyDescent="0.25"/>
    <row r="7038" ht="14.25" customHeight="1" x14ac:dyDescent="0.25"/>
    <row r="7039" ht="14.25" customHeight="1" x14ac:dyDescent="0.25"/>
    <row r="7040" ht="14.25" customHeight="1" x14ac:dyDescent="0.25"/>
    <row r="7041" ht="14.25" customHeight="1" x14ac:dyDescent="0.25"/>
    <row r="7042" ht="14.25" customHeight="1" x14ac:dyDescent="0.25"/>
    <row r="7043" ht="14.25" customHeight="1" x14ac:dyDescent="0.25"/>
    <row r="7044" ht="14.25" customHeight="1" x14ac:dyDescent="0.25"/>
    <row r="7045" ht="14.25" customHeight="1" x14ac:dyDescent="0.25"/>
    <row r="7046" ht="14.25" customHeight="1" x14ac:dyDescent="0.25"/>
    <row r="7047" ht="14.25" customHeight="1" x14ac:dyDescent="0.25"/>
    <row r="7048" ht="14.25" customHeight="1" x14ac:dyDescent="0.25"/>
    <row r="7049" ht="14.25" customHeight="1" x14ac:dyDescent="0.25"/>
    <row r="7050" ht="14.25" customHeight="1" x14ac:dyDescent="0.25"/>
    <row r="7051" ht="14.25" customHeight="1" x14ac:dyDescent="0.25"/>
    <row r="7052" ht="14.25" customHeight="1" x14ac:dyDescent="0.25"/>
    <row r="7053" ht="14.25" customHeight="1" x14ac:dyDescent="0.25"/>
    <row r="7054" ht="14.25" customHeight="1" x14ac:dyDescent="0.25"/>
    <row r="7055" ht="14.25" customHeight="1" x14ac:dyDescent="0.25"/>
    <row r="7056" ht="14.25" customHeight="1" x14ac:dyDescent="0.25"/>
    <row r="7057" ht="14.25" customHeight="1" x14ac:dyDescent="0.25"/>
    <row r="7058" ht="14.25" customHeight="1" x14ac:dyDescent="0.25"/>
    <row r="7059" ht="14.25" customHeight="1" x14ac:dyDescent="0.25"/>
    <row r="7060" ht="14.25" customHeight="1" x14ac:dyDescent="0.25"/>
    <row r="7061" ht="14.25" customHeight="1" x14ac:dyDescent="0.25"/>
    <row r="7062" ht="14.25" customHeight="1" x14ac:dyDescent="0.25"/>
    <row r="7063" ht="14.25" customHeight="1" x14ac:dyDescent="0.25"/>
    <row r="7064" ht="14.25" customHeight="1" x14ac:dyDescent="0.25"/>
    <row r="7065" ht="14.25" customHeight="1" x14ac:dyDescent="0.25"/>
    <row r="7066" ht="14.25" customHeight="1" x14ac:dyDescent="0.25"/>
    <row r="7067" ht="14.25" customHeight="1" x14ac:dyDescent="0.25"/>
    <row r="7068" ht="14.25" customHeight="1" x14ac:dyDescent="0.25"/>
    <row r="7069" ht="14.25" customHeight="1" x14ac:dyDescent="0.25"/>
    <row r="7070" ht="14.25" customHeight="1" x14ac:dyDescent="0.25"/>
    <row r="7071" ht="14.25" customHeight="1" x14ac:dyDescent="0.25"/>
    <row r="7072" ht="14.25" customHeight="1" x14ac:dyDescent="0.25"/>
    <row r="7073" ht="14.25" customHeight="1" x14ac:dyDescent="0.25"/>
    <row r="7074" ht="14.25" customHeight="1" x14ac:dyDescent="0.25"/>
    <row r="7075" ht="14.25" customHeight="1" x14ac:dyDescent="0.25"/>
    <row r="7076" ht="14.25" customHeight="1" x14ac:dyDescent="0.25"/>
    <row r="7077" ht="14.25" customHeight="1" x14ac:dyDescent="0.25"/>
    <row r="7078" ht="14.25" customHeight="1" x14ac:dyDescent="0.25"/>
    <row r="7079" ht="14.25" customHeight="1" x14ac:dyDescent="0.25"/>
    <row r="7080" ht="14.25" customHeight="1" x14ac:dyDescent="0.25"/>
    <row r="7081" ht="14.25" customHeight="1" x14ac:dyDescent="0.25"/>
    <row r="7082" ht="14.25" customHeight="1" x14ac:dyDescent="0.25"/>
    <row r="7083" ht="14.25" customHeight="1" x14ac:dyDescent="0.25"/>
    <row r="7084" ht="14.25" customHeight="1" x14ac:dyDescent="0.25"/>
    <row r="7085" ht="14.25" customHeight="1" x14ac:dyDescent="0.25"/>
    <row r="7086" ht="14.25" customHeight="1" x14ac:dyDescent="0.25"/>
    <row r="7087" ht="14.25" customHeight="1" x14ac:dyDescent="0.25"/>
    <row r="7088" ht="14.25" customHeight="1" x14ac:dyDescent="0.25"/>
    <row r="7089" ht="14.25" customHeight="1" x14ac:dyDescent="0.25"/>
    <row r="7090" ht="14.25" customHeight="1" x14ac:dyDescent="0.25"/>
    <row r="7091" ht="14.25" customHeight="1" x14ac:dyDescent="0.25"/>
    <row r="7092" ht="14.25" customHeight="1" x14ac:dyDescent="0.25"/>
    <row r="7093" ht="14.25" customHeight="1" x14ac:dyDescent="0.25"/>
    <row r="7094" ht="14.25" customHeight="1" x14ac:dyDescent="0.25"/>
    <row r="7095" ht="14.25" customHeight="1" x14ac:dyDescent="0.25"/>
    <row r="7096" ht="14.25" customHeight="1" x14ac:dyDescent="0.25"/>
    <row r="7097" ht="14.25" customHeight="1" x14ac:dyDescent="0.25"/>
    <row r="7098" ht="14.25" customHeight="1" x14ac:dyDescent="0.25"/>
    <row r="7099" ht="14.25" customHeight="1" x14ac:dyDescent="0.25"/>
    <row r="7100" ht="14.25" customHeight="1" x14ac:dyDescent="0.25"/>
    <row r="7101" ht="14.25" customHeight="1" x14ac:dyDescent="0.25"/>
    <row r="7102" ht="14.25" customHeight="1" x14ac:dyDescent="0.25"/>
    <row r="7103" ht="14.25" customHeight="1" x14ac:dyDescent="0.25"/>
    <row r="7104" ht="14.25" customHeight="1" x14ac:dyDescent="0.25"/>
    <row r="7105" ht="14.25" customHeight="1" x14ac:dyDescent="0.25"/>
    <row r="7106" ht="14.25" customHeight="1" x14ac:dyDescent="0.25"/>
    <row r="7107" ht="14.25" customHeight="1" x14ac:dyDescent="0.25"/>
    <row r="7108" ht="14.25" customHeight="1" x14ac:dyDescent="0.25"/>
    <row r="7109" ht="14.25" customHeight="1" x14ac:dyDescent="0.25"/>
    <row r="7110" ht="14.25" customHeight="1" x14ac:dyDescent="0.25"/>
    <row r="7111" ht="14.25" customHeight="1" x14ac:dyDescent="0.25"/>
    <row r="7112" ht="14.25" customHeight="1" x14ac:dyDescent="0.25"/>
    <row r="7113" ht="14.25" customHeight="1" x14ac:dyDescent="0.25"/>
    <row r="7114" ht="14.25" customHeight="1" x14ac:dyDescent="0.25"/>
    <row r="7115" ht="14.25" customHeight="1" x14ac:dyDescent="0.25"/>
    <row r="7116" ht="14.25" customHeight="1" x14ac:dyDescent="0.25"/>
    <row r="7117" ht="14.25" customHeight="1" x14ac:dyDescent="0.25"/>
    <row r="7118" ht="14.25" customHeight="1" x14ac:dyDescent="0.25"/>
    <row r="7119" ht="14.25" customHeight="1" x14ac:dyDescent="0.25"/>
    <row r="7120" ht="14.25" customHeight="1" x14ac:dyDescent="0.25"/>
    <row r="7121" ht="14.25" customHeight="1" x14ac:dyDescent="0.25"/>
    <row r="7122" ht="14.25" customHeight="1" x14ac:dyDescent="0.25"/>
    <row r="7123" ht="14.25" customHeight="1" x14ac:dyDescent="0.25"/>
    <row r="7124" ht="14.25" customHeight="1" x14ac:dyDescent="0.25"/>
    <row r="7125" ht="14.25" customHeight="1" x14ac:dyDescent="0.25"/>
    <row r="7126" ht="14.25" customHeight="1" x14ac:dyDescent="0.25"/>
    <row r="7127" ht="14.25" customHeight="1" x14ac:dyDescent="0.25"/>
    <row r="7128" ht="14.25" customHeight="1" x14ac:dyDescent="0.25"/>
    <row r="7129" ht="14.25" customHeight="1" x14ac:dyDescent="0.25"/>
    <row r="7130" ht="14.25" customHeight="1" x14ac:dyDescent="0.25"/>
    <row r="7131" ht="14.25" customHeight="1" x14ac:dyDescent="0.25"/>
    <row r="7132" ht="14.25" customHeight="1" x14ac:dyDescent="0.25"/>
    <row r="7133" ht="14.25" customHeight="1" x14ac:dyDescent="0.25"/>
    <row r="7134" ht="14.25" customHeight="1" x14ac:dyDescent="0.25"/>
    <row r="7135" ht="14.25" customHeight="1" x14ac:dyDescent="0.25"/>
    <row r="7136" ht="14.25" customHeight="1" x14ac:dyDescent="0.25"/>
    <row r="7137" ht="14.25" customHeight="1" x14ac:dyDescent="0.25"/>
    <row r="7138" ht="14.25" customHeight="1" x14ac:dyDescent="0.25"/>
    <row r="7139" ht="14.25" customHeight="1" x14ac:dyDescent="0.25"/>
    <row r="7140" ht="14.25" customHeight="1" x14ac:dyDescent="0.25"/>
    <row r="7141" ht="14.25" customHeight="1" x14ac:dyDescent="0.25"/>
    <row r="7142" ht="14.25" customHeight="1" x14ac:dyDescent="0.25"/>
    <row r="7143" ht="14.25" customHeight="1" x14ac:dyDescent="0.25"/>
    <row r="7144" ht="14.25" customHeight="1" x14ac:dyDescent="0.25"/>
    <row r="7145" ht="14.25" customHeight="1" x14ac:dyDescent="0.25"/>
    <row r="7146" ht="14.25" customHeight="1" x14ac:dyDescent="0.25"/>
    <row r="7147" ht="14.25" customHeight="1" x14ac:dyDescent="0.25"/>
    <row r="7148" ht="14.25" customHeight="1" x14ac:dyDescent="0.25"/>
    <row r="7149" ht="14.25" customHeight="1" x14ac:dyDescent="0.25"/>
    <row r="7150" ht="14.25" customHeight="1" x14ac:dyDescent="0.25"/>
    <row r="7151" ht="14.25" customHeight="1" x14ac:dyDescent="0.25"/>
    <row r="7152" ht="14.25" customHeight="1" x14ac:dyDescent="0.25"/>
    <row r="7153" ht="14.25" customHeight="1" x14ac:dyDescent="0.25"/>
    <row r="7154" ht="14.25" customHeight="1" x14ac:dyDescent="0.25"/>
    <row r="7155" ht="14.25" customHeight="1" x14ac:dyDescent="0.25"/>
    <row r="7156" ht="14.25" customHeight="1" x14ac:dyDescent="0.25"/>
    <row r="7157" ht="14.25" customHeight="1" x14ac:dyDescent="0.25"/>
    <row r="7158" ht="14.25" customHeight="1" x14ac:dyDescent="0.25"/>
    <row r="7159" ht="14.25" customHeight="1" x14ac:dyDescent="0.25"/>
    <row r="7160" ht="14.25" customHeight="1" x14ac:dyDescent="0.25"/>
    <row r="7161" ht="14.25" customHeight="1" x14ac:dyDescent="0.25"/>
    <row r="7162" ht="14.25" customHeight="1" x14ac:dyDescent="0.25"/>
    <row r="7163" ht="14.25" customHeight="1" x14ac:dyDescent="0.25"/>
    <row r="7164" ht="14.25" customHeight="1" x14ac:dyDescent="0.25"/>
    <row r="7165" ht="14.25" customHeight="1" x14ac:dyDescent="0.25"/>
    <row r="7166" ht="14.25" customHeight="1" x14ac:dyDescent="0.25"/>
    <row r="7167" ht="14.25" customHeight="1" x14ac:dyDescent="0.25"/>
    <row r="7168" ht="14.25" customHeight="1" x14ac:dyDescent="0.25"/>
    <row r="7169" ht="14.25" customHeight="1" x14ac:dyDescent="0.25"/>
    <row r="7170" ht="14.25" customHeight="1" x14ac:dyDescent="0.25"/>
    <row r="7171" ht="14.25" customHeight="1" x14ac:dyDescent="0.25"/>
    <row r="7172" ht="14.25" customHeight="1" x14ac:dyDescent="0.25"/>
    <row r="7173" ht="14.25" customHeight="1" x14ac:dyDescent="0.25"/>
    <row r="7174" ht="14.25" customHeight="1" x14ac:dyDescent="0.25"/>
    <row r="7175" ht="14.25" customHeight="1" x14ac:dyDescent="0.25"/>
    <row r="7176" ht="14.25" customHeight="1" x14ac:dyDescent="0.25"/>
    <row r="7177" ht="14.25" customHeight="1" x14ac:dyDescent="0.25"/>
    <row r="7178" ht="14.25" customHeight="1" x14ac:dyDescent="0.25"/>
    <row r="7179" ht="14.25" customHeight="1" x14ac:dyDescent="0.25"/>
    <row r="7180" ht="14.25" customHeight="1" x14ac:dyDescent="0.25"/>
    <row r="7181" ht="14.25" customHeight="1" x14ac:dyDescent="0.25"/>
    <row r="7182" ht="14.25" customHeight="1" x14ac:dyDescent="0.25"/>
    <row r="7183" ht="14.25" customHeight="1" x14ac:dyDescent="0.25"/>
    <row r="7184" ht="14.25" customHeight="1" x14ac:dyDescent="0.25"/>
    <row r="7185" ht="14.25" customHeight="1" x14ac:dyDescent="0.25"/>
    <row r="7186" ht="14.25" customHeight="1" x14ac:dyDescent="0.25"/>
    <row r="7187" ht="14.25" customHeight="1" x14ac:dyDescent="0.25"/>
    <row r="7188" ht="14.25" customHeight="1" x14ac:dyDescent="0.25"/>
    <row r="7189" ht="14.25" customHeight="1" x14ac:dyDescent="0.25"/>
    <row r="7190" ht="14.25" customHeight="1" x14ac:dyDescent="0.25"/>
    <row r="7191" ht="14.25" customHeight="1" x14ac:dyDescent="0.25"/>
    <row r="7192" ht="14.25" customHeight="1" x14ac:dyDescent="0.25"/>
    <row r="7193" ht="14.25" customHeight="1" x14ac:dyDescent="0.25"/>
    <row r="7194" ht="14.25" customHeight="1" x14ac:dyDescent="0.25"/>
    <row r="7195" ht="14.25" customHeight="1" x14ac:dyDescent="0.25"/>
    <row r="7196" ht="14.25" customHeight="1" x14ac:dyDescent="0.25"/>
    <row r="7197" ht="14.25" customHeight="1" x14ac:dyDescent="0.25"/>
    <row r="7198" ht="14.25" customHeight="1" x14ac:dyDescent="0.25"/>
    <row r="7199" ht="14.25" customHeight="1" x14ac:dyDescent="0.25"/>
    <row r="7200" ht="14.25" customHeight="1" x14ac:dyDescent="0.25"/>
    <row r="7201" ht="14.25" customHeight="1" x14ac:dyDescent="0.25"/>
    <row r="7202" ht="14.25" customHeight="1" x14ac:dyDescent="0.25"/>
    <row r="7203" ht="14.25" customHeight="1" x14ac:dyDescent="0.25"/>
    <row r="7204" ht="14.25" customHeight="1" x14ac:dyDescent="0.25"/>
    <row r="7205" ht="14.25" customHeight="1" x14ac:dyDescent="0.25"/>
    <row r="7206" ht="14.25" customHeight="1" x14ac:dyDescent="0.25"/>
    <row r="7207" ht="14.25" customHeight="1" x14ac:dyDescent="0.25"/>
    <row r="7208" ht="14.25" customHeight="1" x14ac:dyDescent="0.25"/>
    <row r="7209" ht="14.25" customHeight="1" x14ac:dyDescent="0.25"/>
    <row r="7210" ht="14.25" customHeight="1" x14ac:dyDescent="0.25"/>
    <row r="7211" ht="14.25" customHeight="1" x14ac:dyDescent="0.25"/>
    <row r="7212" ht="14.25" customHeight="1" x14ac:dyDescent="0.25"/>
    <row r="7213" ht="14.25" customHeight="1" x14ac:dyDescent="0.25"/>
    <row r="7214" ht="14.25" customHeight="1" x14ac:dyDescent="0.25"/>
    <row r="7215" ht="14.25" customHeight="1" x14ac:dyDescent="0.25"/>
    <row r="7216" ht="14.25" customHeight="1" x14ac:dyDescent="0.25"/>
    <row r="7217" ht="14.25" customHeight="1" x14ac:dyDescent="0.25"/>
    <row r="7218" ht="14.25" customHeight="1" x14ac:dyDescent="0.25"/>
    <row r="7219" ht="14.25" customHeight="1" x14ac:dyDescent="0.25"/>
    <row r="7220" ht="14.25" customHeight="1" x14ac:dyDescent="0.25"/>
    <row r="7221" ht="14.25" customHeight="1" x14ac:dyDescent="0.25"/>
    <row r="7222" ht="14.25" customHeight="1" x14ac:dyDescent="0.25"/>
    <row r="7223" ht="14.25" customHeight="1" x14ac:dyDescent="0.25"/>
    <row r="7224" ht="14.25" customHeight="1" x14ac:dyDescent="0.25"/>
    <row r="7225" ht="14.25" customHeight="1" x14ac:dyDescent="0.25"/>
    <row r="7226" ht="14.25" customHeight="1" x14ac:dyDescent="0.25"/>
    <row r="7227" ht="14.25" customHeight="1" x14ac:dyDescent="0.25"/>
    <row r="7228" ht="14.25" customHeight="1" x14ac:dyDescent="0.25"/>
    <row r="7229" ht="14.25" customHeight="1" x14ac:dyDescent="0.25"/>
    <row r="7230" ht="14.25" customHeight="1" x14ac:dyDescent="0.25"/>
    <row r="7231" ht="14.25" customHeight="1" x14ac:dyDescent="0.25"/>
    <row r="7232" ht="14.25" customHeight="1" x14ac:dyDescent="0.25"/>
    <row r="7233" ht="14.25" customHeight="1" x14ac:dyDescent="0.25"/>
    <row r="7234" ht="14.25" customHeight="1" x14ac:dyDescent="0.25"/>
    <row r="7235" ht="14.25" customHeight="1" x14ac:dyDescent="0.25"/>
    <row r="7236" ht="14.25" customHeight="1" x14ac:dyDescent="0.25"/>
    <row r="7237" ht="14.25" customHeight="1" x14ac:dyDescent="0.25"/>
    <row r="7238" ht="14.25" customHeight="1" x14ac:dyDescent="0.25"/>
    <row r="7239" ht="14.25" customHeight="1" x14ac:dyDescent="0.25"/>
    <row r="7240" ht="14.25" customHeight="1" x14ac:dyDescent="0.25"/>
    <row r="7241" ht="14.25" customHeight="1" x14ac:dyDescent="0.25"/>
    <row r="7242" ht="14.25" customHeight="1" x14ac:dyDescent="0.25"/>
    <row r="7243" ht="14.25" customHeight="1" x14ac:dyDescent="0.25"/>
    <row r="7244" ht="14.25" customHeight="1" x14ac:dyDescent="0.25"/>
    <row r="7245" ht="14.25" customHeight="1" x14ac:dyDescent="0.25"/>
    <row r="7246" ht="14.25" customHeight="1" x14ac:dyDescent="0.25"/>
    <row r="7247" ht="14.25" customHeight="1" x14ac:dyDescent="0.25"/>
    <row r="7248" ht="14.25" customHeight="1" x14ac:dyDescent="0.25"/>
    <row r="7249" ht="14.25" customHeight="1" x14ac:dyDescent="0.25"/>
    <row r="7250" ht="14.25" customHeight="1" x14ac:dyDescent="0.25"/>
    <row r="7251" ht="14.25" customHeight="1" x14ac:dyDescent="0.25"/>
    <row r="7252" ht="14.25" customHeight="1" x14ac:dyDescent="0.25"/>
    <row r="7253" ht="14.25" customHeight="1" x14ac:dyDescent="0.25"/>
    <row r="7254" ht="14.25" customHeight="1" x14ac:dyDescent="0.25"/>
    <row r="7255" ht="14.25" customHeight="1" x14ac:dyDescent="0.25"/>
    <row r="7256" ht="14.25" customHeight="1" x14ac:dyDescent="0.25"/>
    <row r="7257" ht="14.25" customHeight="1" x14ac:dyDescent="0.25"/>
    <row r="7258" ht="14.25" customHeight="1" x14ac:dyDescent="0.25"/>
    <row r="7259" ht="14.25" customHeight="1" x14ac:dyDescent="0.25"/>
    <row r="7260" ht="14.25" customHeight="1" x14ac:dyDescent="0.25"/>
    <row r="7261" ht="14.25" customHeight="1" x14ac:dyDescent="0.25"/>
    <row r="7262" ht="14.25" customHeight="1" x14ac:dyDescent="0.25"/>
    <row r="7263" ht="14.25" customHeight="1" x14ac:dyDescent="0.25"/>
    <row r="7264" ht="14.25" customHeight="1" x14ac:dyDescent="0.25"/>
    <row r="7265" ht="14.25" customHeight="1" x14ac:dyDescent="0.25"/>
    <row r="7266" ht="14.25" customHeight="1" x14ac:dyDescent="0.25"/>
    <row r="7267" ht="14.25" customHeight="1" x14ac:dyDescent="0.25"/>
    <row r="7268" ht="14.25" customHeight="1" x14ac:dyDescent="0.25"/>
    <row r="7269" ht="14.25" customHeight="1" x14ac:dyDescent="0.25"/>
    <row r="7270" ht="14.25" customHeight="1" x14ac:dyDescent="0.25"/>
    <row r="7271" ht="14.25" customHeight="1" x14ac:dyDescent="0.25"/>
    <row r="7272" ht="14.25" customHeight="1" x14ac:dyDescent="0.25"/>
    <row r="7273" ht="14.25" customHeight="1" x14ac:dyDescent="0.25"/>
    <row r="7274" ht="14.25" customHeight="1" x14ac:dyDescent="0.25"/>
    <row r="7275" ht="14.25" customHeight="1" x14ac:dyDescent="0.25"/>
    <row r="7276" ht="14.25" customHeight="1" x14ac:dyDescent="0.25"/>
    <row r="7277" ht="14.25" customHeight="1" x14ac:dyDescent="0.25"/>
    <row r="7278" ht="14.25" customHeight="1" x14ac:dyDescent="0.25"/>
    <row r="7279" ht="14.25" customHeight="1" x14ac:dyDescent="0.25"/>
    <row r="7280" ht="14.25" customHeight="1" x14ac:dyDescent="0.25"/>
    <row r="7281" ht="14.25" customHeight="1" x14ac:dyDescent="0.25"/>
    <row r="7282" ht="14.25" customHeight="1" x14ac:dyDescent="0.25"/>
    <row r="7283" ht="14.25" customHeight="1" x14ac:dyDescent="0.25"/>
    <row r="7284" ht="14.25" customHeight="1" x14ac:dyDescent="0.25"/>
    <row r="7285" ht="14.25" customHeight="1" x14ac:dyDescent="0.25"/>
    <row r="7286" ht="14.25" customHeight="1" x14ac:dyDescent="0.25"/>
    <row r="7287" ht="14.25" customHeight="1" x14ac:dyDescent="0.25"/>
    <row r="7288" ht="14.25" customHeight="1" x14ac:dyDescent="0.25"/>
    <row r="7289" ht="14.25" customHeight="1" x14ac:dyDescent="0.25"/>
    <row r="7290" ht="14.25" customHeight="1" x14ac:dyDescent="0.25"/>
    <row r="7291" ht="14.25" customHeight="1" x14ac:dyDescent="0.25"/>
    <row r="7292" ht="14.25" customHeight="1" x14ac:dyDescent="0.25"/>
    <row r="7293" ht="14.25" customHeight="1" x14ac:dyDescent="0.25"/>
    <row r="7294" ht="14.25" customHeight="1" x14ac:dyDescent="0.25"/>
    <row r="7295" ht="14.25" customHeight="1" x14ac:dyDescent="0.25"/>
    <row r="7296" ht="14.25" customHeight="1" x14ac:dyDescent="0.25"/>
    <row r="7297" ht="14.25" customHeight="1" x14ac:dyDescent="0.25"/>
    <row r="7298" ht="14.25" customHeight="1" x14ac:dyDescent="0.25"/>
    <row r="7299" ht="14.25" customHeight="1" x14ac:dyDescent="0.25"/>
    <row r="7300" ht="14.25" customHeight="1" x14ac:dyDescent="0.25"/>
    <row r="7301" ht="14.25" customHeight="1" x14ac:dyDescent="0.25"/>
    <row r="7302" ht="14.25" customHeight="1" x14ac:dyDescent="0.25"/>
    <row r="7303" ht="14.25" customHeight="1" x14ac:dyDescent="0.25"/>
    <row r="7304" ht="14.25" customHeight="1" x14ac:dyDescent="0.25"/>
    <row r="7305" ht="14.25" customHeight="1" x14ac:dyDescent="0.25"/>
    <row r="7306" ht="14.25" customHeight="1" x14ac:dyDescent="0.25"/>
    <row r="7307" ht="14.25" customHeight="1" x14ac:dyDescent="0.25"/>
    <row r="7308" ht="14.25" customHeight="1" x14ac:dyDescent="0.25"/>
    <row r="7309" ht="14.25" customHeight="1" x14ac:dyDescent="0.25"/>
    <row r="7310" ht="14.25" customHeight="1" x14ac:dyDescent="0.25"/>
    <row r="7311" ht="14.25" customHeight="1" x14ac:dyDescent="0.25"/>
    <row r="7312" ht="14.25" customHeight="1" x14ac:dyDescent="0.25"/>
    <row r="7313" ht="14.25" customHeight="1" x14ac:dyDescent="0.25"/>
    <row r="7314" ht="14.25" customHeight="1" x14ac:dyDescent="0.25"/>
    <row r="7315" ht="14.25" customHeight="1" x14ac:dyDescent="0.25"/>
    <row r="7316" ht="14.25" customHeight="1" x14ac:dyDescent="0.25"/>
    <row r="7317" ht="14.25" customHeight="1" x14ac:dyDescent="0.25"/>
    <row r="7318" ht="14.25" customHeight="1" x14ac:dyDescent="0.25"/>
    <row r="7319" ht="14.25" customHeight="1" x14ac:dyDescent="0.25"/>
    <row r="7320" ht="14.25" customHeight="1" x14ac:dyDescent="0.25"/>
    <row r="7321" ht="14.25" customHeight="1" x14ac:dyDescent="0.25"/>
    <row r="7322" ht="14.25" customHeight="1" x14ac:dyDescent="0.25"/>
    <row r="7323" ht="14.25" customHeight="1" x14ac:dyDescent="0.25"/>
    <row r="7324" ht="14.25" customHeight="1" x14ac:dyDescent="0.25"/>
    <row r="7325" ht="14.25" customHeight="1" x14ac:dyDescent="0.25"/>
    <row r="7326" ht="14.25" customHeight="1" x14ac:dyDescent="0.25"/>
    <row r="7327" ht="14.25" customHeight="1" x14ac:dyDescent="0.25"/>
    <row r="7328" ht="14.25" customHeight="1" x14ac:dyDescent="0.25"/>
    <row r="7329" ht="14.25" customHeight="1" x14ac:dyDescent="0.25"/>
    <row r="7330" ht="14.25" customHeight="1" x14ac:dyDescent="0.25"/>
    <row r="7331" ht="14.25" customHeight="1" x14ac:dyDescent="0.25"/>
    <row r="7332" ht="14.25" customHeight="1" x14ac:dyDescent="0.25"/>
    <row r="7333" ht="14.25" customHeight="1" x14ac:dyDescent="0.25"/>
    <row r="7334" ht="14.25" customHeight="1" x14ac:dyDescent="0.25"/>
    <row r="7335" ht="14.25" customHeight="1" x14ac:dyDescent="0.25"/>
    <row r="7336" ht="14.25" customHeight="1" x14ac:dyDescent="0.25"/>
    <row r="7337" ht="14.25" customHeight="1" x14ac:dyDescent="0.25"/>
    <row r="7338" ht="14.25" customHeight="1" x14ac:dyDescent="0.25"/>
    <row r="7339" ht="14.25" customHeight="1" x14ac:dyDescent="0.25"/>
    <row r="7340" ht="14.25" customHeight="1" x14ac:dyDescent="0.25"/>
    <row r="7341" ht="14.25" customHeight="1" x14ac:dyDescent="0.25"/>
    <row r="7342" ht="14.25" customHeight="1" x14ac:dyDescent="0.25"/>
    <row r="7343" ht="14.25" customHeight="1" x14ac:dyDescent="0.25"/>
    <row r="7344" ht="14.25" customHeight="1" x14ac:dyDescent="0.25"/>
    <row r="7345" ht="14.25" customHeight="1" x14ac:dyDescent="0.25"/>
    <row r="7346" ht="14.25" customHeight="1" x14ac:dyDescent="0.25"/>
    <row r="7347" ht="14.25" customHeight="1" x14ac:dyDescent="0.25"/>
    <row r="7348" ht="14.25" customHeight="1" x14ac:dyDescent="0.25"/>
    <row r="7349" ht="14.25" customHeight="1" x14ac:dyDescent="0.25"/>
    <row r="7350" ht="14.25" customHeight="1" x14ac:dyDescent="0.25"/>
    <row r="7351" ht="14.25" customHeight="1" x14ac:dyDescent="0.25"/>
    <row r="7352" ht="14.25" customHeight="1" x14ac:dyDescent="0.25"/>
    <row r="7353" ht="14.25" customHeight="1" x14ac:dyDescent="0.25"/>
    <row r="7354" ht="14.25" customHeight="1" x14ac:dyDescent="0.25"/>
    <row r="7355" ht="14.25" customHeight="1" x14ac:dyDescent="0.25"/>
    <row r="7356" ht="14.25" customHeight="1" x14ac:dyDescent="0.25"/>
    <row r="7357" ht="14.25" customHeight="1" x14ac:dyDescent="0.25"/>
    <row r="7358" ht="14.25" customHeight="1" x14ac:dyDescent="0.25"/>
    <row r="7359" ht="14.25" customHeight="1" x14ac:dyDescent="0.25"/>
    <row r="7360" ht="14.25" customHeight="1" x14ac:dyDescent="0.25"/>
    <row r="7361" ht="14.25" customHeight="1" x14ac:dyDescent="0.25"/>
    <row r="7362" ht="14.25" customHeight="1" x14ac:dyDescent="0.25"/>
    <row r="7363" ht="14.25" customHeight="1" x14ac:dyDescent="0.25"/>
    <row r="7364" ht="14.25" customHeight="1" x14ac:dyDescent="0.25"/>
    <row r="7365" ht="14.25" customHeight="1" x14ac:dyDescent="0.25"/>
    <row r="7366" ht="14.25" customHeight="1" x14ac:dyDescent="0.25"/>
    <row r="7367" ht="14.25" customHeight="1" x14ac:dyDescent="0.25"/>
    <row r="7368" ht="14.25" customHeight="1" x14ac:dyDescent="0.25"/>
    <row r="7369" ht="14.25" customHeight="1" x14ac:dyDescent="0.25"/>
    <row r="7370" ht="14.25" customHeight="1" x14ac:dyDescent="0.25"/>
    <row r="7371" ht="14.25" customHeight="1" x14ac:dyDescent="0.25"/>
    <row r="7372" ht="14.25" customHeight="1" x14ac:dyDescent="0.25"/>
    <row r="7373" ht="14.25" customHeight="1" x14ac:dyDescent="0.25"/>
    <row r="7374" ht="14.25" customHeight="1" x14ac:dyDescent="0.25"/>
    <row r="7375" ht="14.25" customHeight="1" x14ac:dyDescent="0.25"/>
    <row r="7376" ht="14.25" customHeight="1" x14ac:dyDescent="0.25"/>
    <row r="7377" ht="14.25" customHeight="1" x14ac:dyDescent="0.25"/>
    <row r="7378" ht="14.25" customHeight="1" x14ac:dyDescent="0.25"/>
    <row r="7379" ht="14.25" customHeight="1" x14ac:dyDescent="0.25"/>
    <row r="7380" ht="14.25" customHeight="1" x14ac:dyDescent="0.25"/>
    <row r="7381" ht="14.25" customHeight="1" x14ac:dyDescent="0.25"/>
    <row r="7382" ht="14.25" customHeight="1" x14ac:dyDescent="0.25"/>
    <row r="7383" ht="14.25" customHeight="1" x14ac:dyDescent="0.25"/>
    <row r="7384" ht="14.25" customHeight="1" x14ac:dyDescent="0.25"/>
    <row r="7385" ht="14.25" customHeight="1" x14ac:dyDescent="0.25"/>
    <row r="7386" ht="14.25" customHeight="1" x14ac:dyDescent="0.25"/>
    <row r="7387" ht="14.25" customHeight="1" x14ac:dyDescent="0.25"/>
    <row r="7388" ht="14.25" customHeight="1" x14ac:dyDescent="0.25"/>
    <row r="7389" ht="14.25" customHeight="1" x14ac:dyDescent="0.25"/>
    <row r="7390" ht="14.25" customHeight="1" x14ac:dyDescent="0.25"/>
    <row r="7391" ht="14.25" customHeight="1" x14ac:dyDescent="0.25"/>
    <row r="7392" ht="14.25" customHeight="1" x14ac:dyDescent="0.25"/>
    <row r="7393" ht="14.25" customHeight="1" x14ac:dyDescent="0.25"/>
    <row r="7394" ht="14.25" customHeight="1" x14ac:dyDescent="0.25"/>
    <row r="7395" ht="14.25" customHeight="1" x14ac:dyDescent="0.25"/>
    <row r="7396" ht="14.25" customHeight="1" x14ac:dyDescent="0.25"/>
    <row r="7397" ht="14.25" customHeight="1" x14ac:dyDescent="0.25"/>
    <row r="7398" ht="14.25" customHeight="1" x14ac:dyDescent="0.25"/>
    <row r="7399" ht="14.25" customHeight="1" x14ac:dyDescent="0.25"/>
    <row r="7400" ht="14.25" customHeight="1" x14ac:dyDescent="0.25"/>
    <row r="7401" ht="14.25" customHeight="1" x14ac:dyDescent="0.25"/>
    <row r="7402" ht="14.25" customHeight="1" x14ac:dyDescent="0.25"/>
    <row r="7403" ht="14.25" customHeight="1" x14ac:dyDescent="0.25"/>
    <row r="7404" ht="14.25" customHeight="1" x14ac:dyDescent="0.25"/>
    <row r="7405" ht="14.25" customHeight="1" x14ac:dyDescent="0.25"/>
    <row r="7406" ht="14.25" customHeight="1" x14ac:dyDescent="0.25"/>
    <row r="7407" ht="14.25" customHeight="1" x14ac:dyDescent="0.25"/>
    <row r="7408" ht="14.25" customHeight="1" x14ac:dyDescent="0.25"/>
    <row r="7409" ht="14.25" customHeight="1" x14ac:dyDescent="0.25"/>
    <row r="7410" ht="14.25" customHeight="1" x14ac:dyDescent="0.25"/>
    <row r="7411" ht="14.25" customHeight="1" x14ac:dyDescent="0.25"/>
    <row r="7412" ht="14.25" customHeight="1" x14ac:dyDescent="0.25"/>
    <row r="7413" ht="14.25" customHeight="1" x14ac:dyDescent="0.25"/>
    <row r="7414" ht="14.25" customHeight="1" x14ac:dyDescent="0.25"/>
    <row r="7415" ht="14.25" customHeight="1" x14ac:dyDescent="0.25"/>
    <row r="7416" ht="14.25" customHeight="1" x14ac:dyDescent="0.25"/>
    <row r="7417" ht="14.25" customHeight="1" x14ac:dyDescent="0.25"/>
    <row r="7418" ht="14.25" customHeight="1" x14ac:dyDescent="0.25"/>
    <row r="7419" ht="14.25" customHeight="1" x14ac:dyDescent="0.25"/>
    <row r="7420" ht="14.25" customHeight="1" x14ac:dyDescent="0.25"/>
    <row r="7421" ht="14.25" customHeight="1" x14ac:dyDescent="0.25"/>
    <row r="7422" ht="14.25" customHeight="1" x14ac:dyDescent="0.25"/>
    <row r="7423" ht="14.25" customHeight="1" x14ac:dyDescent="0.25"/>
    <row r="7424" ht="14.25" customHeight="1" x14ac:dyDescent="0.25"/>
    <row r="7425" ht="14.25" customHeight="1" x14ac:dyDescent="0.25"/>
    <row r="7426" ht="14.25" customHeight="1" x14ac:dyDescent="0.25"/>
    <row r="7427" ht="14.25" customHeight="1" x14ac:dyDescent="0.25"/>
    <row r="7428" ht="14.25" customHeight="1" x14ac:dyDescent="0.25"/>
    <row r="7429" ht="14.25" customHeight="1" x14ac:dyDescent="0.25"/>
    <row r="7430" ht="14.25" customHeight="1" x14ac:dyDescent="0.25"/>
    <row r="7431" ht="14.25" customHeight="1" x14ac:dyDescent="0.25"/>
    <row r="7432" ht="14.25" customHeight="1" x14ac:dyDescent="0.25"/>
    <row r="7433" ht="14.25" customHeight="1" x14ac:dyDescent="0.25"/>
    <row r="7434" ht="14.25" customHeight="1" x14ac:dyDescent="0.25"/>
    <row r="7435" ht="14.25" customHeight="1" x14ac:dyDescent="0.25"/>
    <row r="7436" ht="14.25" customHeight="1" x14ac:dyDescent="0.25"/>
    <row r="7437" ht="14.25" customHeight="1" x14ac:dyDescent="0.25"/>
    <row r="7438" ht="14.25" customHeight="1" x14ac:dyDescent="0.25"/>
    <row r="7439" ht="14.25" customHeight="1" x14ac:dyDescent="0.25"/>
    <row r="7440" ht="14.25" customHeight="1" x14ac:dyDescent="0.25"/>
    <row r="7441" ht="14.25" customHeight="1" x14ac:dyDescent="0.25"/>
    <row r="7442" ht="14.25" customHeight="1" x14ac:dyDescent="0.25"/>
    <row r="7443" ht="14.25" customHeight="1" x14ac:dyDescent="0.25"/>
    <row r="7444" ht="14.25" customHeight="1" x14ac:dyDescent="0.25"/>
    <row r="7445" ht="14.25" customHeight="1" x14ac:dyDescent="0.25"/>
    <row r="7446" ht="14.25" customHeight="1" x14ac:dyDescent="0.25"/>
    <row r="7447" ht="14.25" customHeight="1" x14ac:dyDescent="0.25"/>
    <row r="7448" ht="14.25" customHeight="1" x14ac:dyDescent="0.25"/>
    <row r="7449" ht="14.25" customHeight="1" x14ac:dyDescent="0.25"/>
    <row r="7450" ht="14.25" customHeight="1" x14ac:dyDescent="0.25"/>
    <row r="7451" ht="14.25" customHeight="1" x14ac:dyDescent="0.25"/>
    <row r="7452" ht="14.25" customHeight="1" x14ac:dyDescent="0.25"/>
    <row r="7453" ht="14.25" customHeight="1" x14ac:dyDescent="0.25"/>
    <row r="7454" ht="14.25" customHeight="1" x14ac:dyDescent="0.25"/>
    <row r="7455" ht="14.25" customHeight="1" x14ac:dyDescent="0.25"/>
    <row r="7456" ht="14.25" customHeight="1" x14ac:dyDescent="0.25"/>
    <row r="7457" ht="14.25" customHeight="1" x14ac:dyDescent="0.25"/>
    <row r="7458" ht="14.25" customHeight="1" x14ac:dyDescent="0.25"/>
    <row r="7459" ht="14.25" customHeight="1" x14ac:dyDescent="0.25"/>
    <row r="7460" ht="14.25" customHeight="1" x14ac:dyDescent="0.25"/>
    <row r="7461" ht="14.25" customHeight="1" x14ac:dyDescent="0.25"/>
    <row r="7462" ht="14.25" customHeight="1" x14ac:dyDescent="0.25"/>
    <row r="7463" ht="14.25" customHeight="1" x14ac:dyDescent="0.25"/>
    <row r="7464" ht="14.25" customHeight="1" x14ac:dyDescent="0.25"/>
    <row r="7465" ht="14.25" customHeight="1" x14ac:dyDescent="0.25"/>
    <row r="7466" ht="14.25" customHeight="1" x14ac:dyDescent="0.25"/>
    <row r="7467" ht="14.25" customHeight="1" x14ac:dyDescent="0.25"/>
    <row r="7468" ht="14.25" customHeight="1" x14ac:dyDescent="0.25"/>
    <row r="7469" ht="14.25" customHeight="1" x14ac:dyDescent="0.25"/>
    <row r="7470" ht="14.25" customHeight="1" x14ac:dyDescent="0.25"/>
    <row r="7471" ht="14.25" customHeight="1" x14ac:dyDescent="0.25"/>
    <row r="7472" ht="14.25" customHeight="1" x14ac:dyDescent="0.25"/>
    <row r="7473" ht="14.25" customHeight="1" x14ac:dyDescent="0.25"/>
    <row r="7474" ht="14.25" customHeight="1" x14ac:dyDescent="0.25"/>
    <row r="7475" ht="14.25" customHeight="1" x14ac:dyDescent="0.25"/>
    <row r="7476" ht="14.25" customHeight="1" x14ac:dyDescent="0.25"/>
    <row r="7477" ht="14.25" customHeight="1" x14ac:dyDescent="0.25"/>
    <row r="7478" ht="14.25" customHeight="1" x14ac:dyDescent="0.25"/>
    <row r="7479" ht="14.25" customHeight="1" x14ac:dyDescent="0.25"/>
    <row r="7480" ht="14.25" customHeight="1" x14ac:dyDescent="0.25"/>
    <row r="7481" ht="14.25" customHeight="1" x14ac:dyDescent="0.25"/>
    <row r="7482" ht="14.25" customHeight="1" x14ac:dyDescent="0.25"/>
    <row r="7483" ht="14.25" customHeight="1" x14ac:dyDescent="0.25"/>
    <row r="7484" ht="14.25" customHeight="1" x14ac:dyDescent="0.25"/>
    <row r="7485" ht="14.25" customHeight="1" x14ac:dyDescent="0.25"/>
    <row r="7486" ht="14.25" customHeight="1" x14ac:dyDescent="0.25"/>
    <row r="7487" ht="14.25" customHeight="1" x14ac:dyDescent="0.25"/>
    <row r="7488" ht="14.25" customHeight="1" x14ac:dyDescent="0.25"/>
    <row r="7489" ht="14.25" customHeight="1" x14ac:dyDescent="0.25"/>
    <row r="7490" ht="14.25" customHeight="1" x14ac:dyDescent="0.25"/>
    <row r="7491" ht="14.25" customHeight="1" x14ac:dyDescent="0.25"/>
    <row r="7492" ht="14.25" customHeight="1" x14ac:dyDescent="0.25"/>
    <row r="7493" ht="14.25" customHeight="1" x14ac:dyDescent="0.25"/>
    <row r="7494" ht="14.25" customHeight="1" x14ac:dyDescent="0.25"/>
    <row r="7495" ht="14.25" customHeight="1" x14ac:dyDescent="0.25"/>
    <row r="7496" ht="14.25" customHeight="1" x14ac:dyDescent="0.25"/>
    <row r="7497" ht="14.25" customHeight="1" x14ac:dyDescent="0.25"/>
    <row r="7498" ht="14.25" customHeight="1" x14ac:dyDescent="0.25"/>
    <row r="7499" ht="14.25" customHeight="1" x14ac:dyDescent="0.25"/>
    <row r="7500" ht="14.25" customHeight="1" x14ac:dyDescent="0.25"/>
    <row r="7501" ht="14.25" customHeight="1" x14ac:dyDescent="0.25"/>
    <row r="7502" ht="14.25" customHeight="1" x14ac:dyDescent="0.25"/>
    <row r="7503" ht="14.25" customHeight="1" x14ac:dyDescent="0.25"/>
    <row r="7504" ht="14.25" customHeight="1" x14ac:dyDescent="0.25"/>
    <row r="7505" ht="14.25" customHeight="1" x14ac:dyDescent="0.25"/>
    <row r="7506" ht="14.25" customHeight="1" x14ac:dyDescent="0.25"/>
    <row r="7507" ht="14.25" customHeight="1" x14ac:dyDescent="0.25"/>
    <row r="7508" ht="14.25" customHeight="1" x14ac:dyDescent="0.25"/>
    <row r="7509" ht="14.25" customHeight="1" x14ac:dyDescent="0.25"/>
    <row r="7510" ht="14.25" customHeight="1" x14ac:dyDescent="0.25"/>
    <row r="7511" ht="14.25" customHeight="1" x14ac:dyDescent="0.25"/>
    <row r="7512" ht="14.25" customHeight="1" x14ac:dyDescent="0.25"/>
    <row r="7513" ht="14.25" customHeight="1" x14ac:dyDescent="0.25"/>
    <row r="7514" ht="14.25" customHeight="1" x14ac:dyDescent="0.25"/>
    <row r="7515" ht="14.25" customHeight="1" x14ac:dyDescent="0.25"/>
    <row r="7516" ht="14.25" customHeight="1" x14ac:dyDescent="0.25"/>
    <row r="7517" ht="14.25" customHeight="1" x14ac:dyDescent="0.25"/>
    <row r="7518" ht="14.25" customHeight="1" x14ac:dyDescent="0.25"/>
    <row r="7519" ht="14.25" customHeight="1" x14ac:dyDescent="0.25"/>
    <row r="7520" ht="14.25" customHeight="1" x14ac:dyDescent="0.25"/>
    <row r="7521" ht="14.25" customHeight="1" x14ac:dyDescent="0.25"/>
    <row r="7522" ht="14.25" customHeight="1" x14ac:dyDescent="0.25"/>
    <row r="7523" ht="14.25" customHeight="1" x14ac:dyDescent="0.25"/>
    <row r="7524" ht="14.25" customHeight="1" x14ac:dyDescent="0.25"/>
    <row r="7525" ht="14.25" customHeight="1" x14ac:dyDescent="0.25"/>
    <row r="7526" ht="14.25" customHeight="1" x14ac:dyDescent="0.25"/>
    <row r="7527" ht="14.25" customHeight="1" x14ac:dyDescent="0.25"/>
    <row r="7528" ht="14.25" customHeight="1" x14ac:dyDescent="0.25"/>
    <row r="7529" ht="14.25" customHeight="1" x14ac:dyDescent="0.25"/>
    <row r="7530" ht="14.25" customHeight="1" x14ac:dyDescent="0.25"/>
    <row r="7531" ht="14.25" customHeight="1" x14ac:dyDescent="0.25"/>
    <row r="7532" ht="14.25" customHeight="1" x14ac:dyDescent="0.25"/>
    <row r="7533" ht="14.25" customHeight="1" x14ac:dyDescent="0.25"/>
    <row r="7534" ht="14.25" customHeight="1" x14ac:dyDescent="0.25"/>
    <row r="7535" ht="14.25" customHeight="1" x14ac:dyDescent="0.25"/>
    <row r="7536" ht="14.25" customHeight="1" x14ac:dyDescent="0.25"/>
    <row r="7537" ht="14.25" customHeight="1" x14ac:dyDescent="0.25"/>
    <row r="7538" ht="14.25" customHeight="1" x14ac:dyDescent="0.25"/>
    <row r="7539" ht="14.25" customHeight="1" x14ac:dyDescent="0.25"/>
    <row r="7540" ht="14.25" customHeight="1" x14ac:dyDescent="0.25"/>
    <row r="7541" ht="14.25" customHeight="1" x14ac:dyDescent="0.25"/>
    <row r="7542" ht="14.25" customHeight="1" x14ac:dyDescent="0.25"/>
    <row r="7543" ht="14.25" customHeight="1" x14ac:dyDescent="0.25"/>
    <row r="7544" ht="14.25" customHeight="1" x14ac:dyDescent="0.25"/>
    <row r="7545" ht="14.25" customHeight="1" x14ac:dyDescent="0.25"/>
    <row r="7546" ht="14.25" customHeight="1" x14ac:dyDescent="0.25"/>
    <row r="7547" ht="14.25" customHeight="1" x14ac:dyDescent="0.25"/>
    <row r="7548" ht="14.25" customHeight="1" x14ac:dyDescent="0.25"/>
    <row r="7549" ht="14.25" customHeight="1" x14ac:dyDescent="0.25"/>
    <row r="7550" ht="14.25" customHeight="1" x14ac:dyDescent="0.25"/>
    <row r="7551" ht="14.25" customHeight="1" x14ac:dyDescent="0.25"/>
    <row r="7552" ht="14.25" customHeight="1" x14ac:dyDescent="0.25"/>
    <row r="7553" ht="14.25" customHeight="1" x14ac:dyDescent="0.25"/>
    <row r="7554" ht="14.25" customHeight="1" x14ac:dyDescent="0.25"/>
    <row r="7555" ht="14.25" customHeight="1" x14ac:dyDescent="0.25"/>
    <row r="7556" ht="14.25" customHeight="1" x14ac:dyDescent="0.25"/>
    <row r="7557" ht="14.25" customHeight="1" x14ac:dyDescent="0.25"/>
    <row r="7558" ht="14.25" customHeight="1" x14ac:dyDescent="0.25"/>
    <row r="7559" ht="14.25" customHeight="1" x14ac:dyDescent="0.25"/>
    <row r="7560" ht="14.25" customHeight="1" x14ac:dyDescent="0.25"/>
    <row r="7561" ht="14.25" customHeight="1" x14ac:dyDescent="0.25"/>
    <row r="7562" ht="14.25" customHeight="1" x14ac:dyDescent="0.25"/>
    <row r="7563" ht="14.25" customHeight="1" x14ac:dyDescent="0.25"/>
    <row r="7564" ht="14.25" customHeight="1" x14ac:dyDescent="0.25"/>
    <row r="7565" ht="14.25" customHeight="1" x14ac:dyDescent="0.25"/>
    <row r="7566" ht="14.25" customHeight="1" x14ac:dyDescent="0.25"/>
    <row r="7567" ht="14.25" customHeight="1" x14ac:dyDescent="0.25"/>
    <row r="7568" ht="14.25" customHeight="1" x14ac:dyDescent="0.25"/>
    <row r="7569" ht="14.25" customHeight="1" x14ac:dyDescent="0.25"/>
    <row r="7570" ht="14.25" customHeight="1" x14ac:dyDescent="0.25"/>
    <row r="7571" ht="14.25" customHeight="1" x14ac:dyDescent="0.25"/>
    <row r="7572" ht="14.25" customHeight="1" x14ac:dyDescent="0.25"/>
    <row r="7573" ht="14.25" customHeight="1" x14ac:dyDescent="0.25"/>
    <row r="7574" ht="14.25" customHeight="1" x14ac:dyDescent="0.25"/>
    <row r="7575" ht="14.25" customHeight="1" x14ac:dyDescent="0.25"/>
    <row r="7576" ht="14.25" customHeight="1" x14ac:dyDescent="0.25"/>
    <row r="7577" ht="14.25" customHeight="1" x14ac:dyDescent="0.25"/>
    <row r="7578" ht="14.25" customHeight="1" x14ac:dyDescent="0.25"/>
    <row r="7579" ht="14.25" customHeight="1" x14ac:dyDescent="0.25"/>
    <row r="7580" ht="14.25" customHeight="1" x14ac:dyDescent="0.25"/>
    <row r="7581" ht="14.25" customHeight="1" x14ac:dyDescent="0.25"/>
    <row r="7582" ht="14.25" customHeight="1" x14ac:dyDescent="0.25"/>
    <row r="7583" ht="14.25" customHeight="1" x14ac:dyDescent="0.25"/>
    <row r="7584" ht="14.25" customHeight="1" x14ac:dyDescent="0.25"/>
    <row r="7585" ht="14.25" customHeight="1" x14ac:dyDescent="0.25"/>
    <row r="7586" ht="14.25" customHeight="1" x14ac:dyDescent="0.25"/>
    <row r="7587" ht="14.25" customHeight="1" x14ac:dyDescent="0.25"/>
    <row r="7588" ht="14.25" customHeight="1" x14ac:dyDescent="0.25"/>
    <row r="7589" ht="14.25" customHeight="1" x14ac:dyDescent="0.25"/>
    <row r="7590" ht="14.25" customHeight="1" x14ac:dyDescent="0.25"/>
    <row r="7591" ht="14.25" customHeight="1" x14ac:dyDescent="0.25"/>
    <row r="7592" ht="14.25" customHeight="1" x14ac:dyDescent="0.25"/>
    <row r="7593" ht="14.25" customHeight="1" x14ac:dyDescent="0.25"/>
    <row r="7594" ht="14.25" customHeight="1" x14ac:dyDescent="0.25"/>
    <row r="7595" ht="14.25" customHeight="1" x14ac:dyDescent="0.25"/>
    <row r="7596" ht="14.25" customHeight="1" x14ac:dyDescent="0.25"/>
    <row r="7597" ht="14.25" customHeight="1" x14ac:dyDescent="0.25"/>
    <row r="7598" ht="14.25" customHeight="1" x14ac:dyDescent="0.25"/>
    <row r="7599" ht="14.25" customHeight="1" x14ac:dyDescent="0.25"/>
    <row r="7600" ht="14.25" customHeight="1" x14ac:dyDescent="0.25"/>
    <row r="7601" ht="14.25" customHeight="1" x14ac:dyDescent="0.25"/>
    <row r="7602" ht="14.25" customHeight="1" x14ac:dyDescent="0.25"/>
    <row r="7603" ht="14.25" customHeight="1" x14ac:dyDescent="0.25"/>
    <row r="7604" ht="14.25" customHeight="1" x14ac:dyDescent="0.25"/>
    <row r="7605" ht="14.25" customHeight="1" x14ac:dyDescent="0.25"/>
    <row r="7606" ht="14.25" customHeight="1" x14ac:dyDescent="0.25"/>
    <row r="7607" ht="14.25" customHeight="1" x14ac:dyDescent="0.25"/>
    <row r="7608" ht="14.25" customHeight="1" x14ac:dyDescent="0.25"/>
    <row r="7609" ht="14.25" customHeight="1" x14ac:dyDescent="0.25"/>
    <row r="7610" ht="14.25" customHeight="1" x14ac:dyDescent="0.25"/>
    <row r="7611" ht="14.25" customHeight="1" x14ac:dyDescent="0.25"/>
    <row r="7612" ht="14.25" customHeight="1" x14ac:dyDescent="0.25"/>
    <row r="7613" ht="14.25" customHeight="1" x14ac:dyDescent="0.25"/>
    <row r="7614" ht="14.25" customHeight="1" x14ac:dyDescent="0.25"/>
    <row r="7615" ht="14.25" customHeight="1" x14ac:dyDescent="0.25"/>
    <row r="7616" ht="14.25" customHeight="1" x14ac:dyDescent="0.25"/>
    <row r="7617" ht="14.25" customHeight="1" x14ac:dyDescent="0.25"/>
    <row r="7618" ht="14.25" customHeight="1" x14ac:dyDescent="0.25"/>
    <row r="7619" ht="14.25" customHeight="1" x14ac:dyDescent="0.25"/>
    <row r="7620" ht="14.25" customHeight="1" x14ac:dyDescent="0.25"/>
    <row r="7621" ht="14.25" customHeight="1" x14ac:dyDescent="0.25"/>
    <row r="7622" ht="14.25" customHeight="1" x14ac:dyDescent="0.25"/>
    <row r="7623" ht="14.25" customHeight="1" x14ac:dyDescent="0.25"/>
    <row r="7624" ht="14.25" customHeight="1" x14ac:dyDescent="0.25"/>
    <row r="7625" ht="14.25" customHeight="1" x14ac:dyDescent="0.25"/>
    <row r="7626" ht="14.25" customHeight="1" x14ac:dyDescent="0.25"/>
    <row r="7627" ht="14.25" customHeight="1" x14ac:dyDescent="0.25"/>
    <row r="7628" ht="14.25" customHeight="1" x14ac:dyDescent="0.25"/>
    <row r="7629" ht="14.25" customHeight="1" x14ac:dyDescent="0.25"/>
    <row r="7630" ht="14.25" customHeight="1" x14ac:dyDescent="0.25"/>
    <row r="7631" ht="14.25" customHeight="1" x14ac:dyDescent="0.25"/>
    <row r="7632" ht="14.25" customHeight="1" x14ac:dyDescent="0.25"/>
    <row r="7633" ht="14.25" customHeight="1" x14ac:dyDescent="0.25"/>
    <row r="7634" ht="14.25" customHeight="1" x14ac:dyDescent="0.25"/>
    <row r="7635" ht="14.25" customHeight="1" x14ac:dyDescent="0.25"/>
    <row r="7636" ht="14.25" customHeight="1" x14ac:dyDescent="0.25"/>
    <row r="7637" ht="14.25" customHeight="1" x14ac:dyDescent="0.25"/>
    <row r="7638" ht="14.25" customHeight="1" x14ac:dyDescent="0.25"/>
    <row r="7639" ht="14.25" customHeight="1" x14ac:dyDescent="0.25"/>
    <row r="7640" ht="14.25" customHeight="1" x14ac:dyDescent="0.25"/>
    <row r="7641" ht="14.25" customHeight="1" x14ac:dyDescent="0.25"/>
    <row r="7642" ht="14.25" customHeight="1" x14ac:dyDescent="0.25"/>
    <row r="7643" ht="14.25" customHeight="1" x14ac:dyDescent="0.25"/>
    <row r="7644" ht="14.25" customHeight="1" x14ac:dyDescent="0.25"/>
    <row r="7645" ht="14.25" customHeight="1" x14ac:dyDescent="0.25"/>
    <row r="7646" ht="14.25" customHeight="1" x14ac:dyDescent="0.25"/>
    <row r="7647" ht="14.25" customHeight="1" x14ac:dyDescent="0.25"/>
    <row r="7648" ht="14.25" customHeight="1" x14ac:dyDescent="0.25"/>
    <row r="7649" ht="14.25" customHeight="1" x14ac:dyDescent="0.25"/>
    <row r="7650" ht="14.25" customHeight="1" x14ac:dyDescent="0.25"/>
    <row r="7651" ht="14.25" customHeight="1" x14ac:dyDescent="0.25"/>
    <row r="7652" ht="14.25" customHeight="1" x14ac:dyDescent="0.25"/>
    <row r="7653" ht="14.25" customHeight="1" x14ac:dyDescent="0.25"/>
    <row r="7654" ht="14.25" customHeight="1" x14ac:dyDescent="0.25"/>
    <row r="7655" ht="14.25" customHeight="1" x14ac:dyDescent="0.25"/>
    <row r="7656" ht="14.25" customHeight="1" x14ac:dyDescent="0.25"/>
    <row r="7657" ht="14.25" customHeight="1" x14ac:dyDescent="0.25"/>
    <row r="7658" ht="14.25" customHeight="1" x14ac:dyDescent="0.25"/>
    <row r="7659" ht="14.25" customHeight="1" x14ac:dyDescent="0.25"/>
    <row r="7660" ht="14.25" customHeight="1" x14ac:dyDescent="0.25"/>
    <row r="7661" ht="14.25" customHeight="1" x14ac:dyDescent="0.25"/>
    <row r="7662" ht="14.25" customHeight="1" x14ac:dyDescent="0.25"/>
    <row r="7663" ht="14.25" customHeight="1" x14ac:dyDescent="0.25"/>
    <row r="7664" ht="14.25" customHeight="1" x14ac:dyDescent="0.25"/>
    <row r="7665" ht="14.25" customHeight="1" x14ac:dyDescent="0.25"/>
    <row r="7666" ht="14.25" customHeight="1" x14ac:dyDescent="0.25"/>
    <row r="7667" ht="14.25" customHeight="1" x14ac:dyDescent="0.25"/>
    <row r="7668" ht="14.25" customHeight="1" x14ac:dyDescent="0.25"/>
    <row r="7669" ht="14.25" customHeight="1" x14ac:dyDescent="0.25"/>
    <row r="7670" ht="14.25" customHeight="1" x14ac:dyDescent="0.25"/>
    <row r="7671" ht="14.25" customHeight="1" x14ac:dyDescent="0.25"/>
    <row r="7672" ht="14.25" customHeight="1" x14ac:dyDescent="0.25"/>
    <row r="7673" ht="14.25" customHeight="1" x14ac:dyDescent="0.25"/>
    <row r="7674" ht="14.25" customHeight="1" x14ac:dyDescent="0.25"/>
    <row r="7675" ht="14.25" customHeight="1" x14ac:dyDescent="0.25"/>
    <row r="7676" ht="14.25" customHeight="1" x14ac:dyDescent="0.25"/>
    <row r="7677" ht="14.25" customHeight="1" x14ac:dyDescent="0.25"/>
    <row r="7678" ht="14.25" customHeight="1" x14ac:dyDescent="0.25"/>
    <row r="7679" ht="14.25" customHeight="1" x14ac:dyDescent="0.25"/>
    <row r="7680" ht="14.25" customHeight="1" x14ac:dyDescent="0.25"/>
    <row r="7681" ht="14.25" customHeight="1" x14ac:dyDescent="0.25"/>
    <row r="7682" ht="14.25" customHeight="1" x14ac:dyDescent="0.25"/>
    <row r="7683" ht="14.25" customHeight="1" x14ac:dyDescent="0.25"/>
    <row r="7684" ht="14.25" customHeight="1" x14ac:dyDescent="0.25"/>
    <row r="7685" ht="14.25" customHeight="1" x14ac:dyDescent="0.25"/>
    <row r="7686" ht="14.25" customHeight="1" x14ac:dyDescent="0.25"/>
    <row r="7687" ht="14.25" customHeight="1" x14ac:dyDescent="0.25"/>
    <row r="7688" ht="14.25" customHeight="1" x14ac:dyDescent="0.25"/>
    <row r="7689" ht="14.25" customHeight="1" x14ac:dyDescent="0.25"/>
    <row r="7690" ht="14.25" customHeight="1" x14ac:dyDescent="0.25"/>
    <row r="7691" ht="14.25" customHeight="1" x14ac:dyDescent="0.25"/>
    <row r="7692" ht="14.25" customHeight="1" x14ac:dyDescent="0.25"/>
    <row r="7693" ht="14.25" customHeight="1" x14ac:dyDescent="0.25"/>
    <row r="7694" ht="14.25" customHeight="1" x14ac:dyDescent="0.25"/>
    <row r="7695" ht="14.25" customHeight="1" x14ac:dyDescent="0.25"/>
    <row r="7696" ht="14.25" customHeight="1" x14ac:dyDescent="0.25"/>
    <row r="7697" ht="14.25" customHeight="1" x14ac:dyDescent="0.25"/>
    <row r="7698" ht="14.25" customHeight="1" x14ac:dyDescent="0.25"/>
    <row r="7699" ht="14.25" customHeight="1" x14ac:dyDescent="0.25"/>
    <row r="7700" ht="14.25" customHeight="1" x14ac:dyDescent="0.25"/>
    <row r="7701" ht="14.25" customHeight="1" x14ac:dyDescent="0.25"/>
    <row r="7702" ht="14.25" customHeight="1" x14ac:dyDescent="0.25"/>
    <row r="7703" ht="14.25" customHeight="1" x14ac:dyDescent="0.25"/>
    <row r="7704" ht="14.25" customHeight="1" x14ac:dyDescent="0.25"/>
    <row r="7705" ht="14.25" customHeight="1" x14ac:dyDescent="0.25"/>
    <row r="7706" ht="14.25" customHeight="1" x14ac:dyDescent="0.25"/>
    <row r="7707" ht="14.25" customHeight="1" x14ac:dyDescent="0.25"/>
    <row r="7708" ht="14.25" customHeight="1" x14ac:dyDescent="0.25"/>
    <row r="7709" ht="14.25" customHeight="1" x14ac:dyDescent="0.25"/>
    <row r="7710" ht="14.25" customHeight="1" x14ac:dyDescent="0.25"/>
    <row r="7711" ht="14.25" customHeight="1" x14ac:dyDescent="0.25"/>
    <row r="7712" ht="14.25" customHeight="1" x14ac:dyDescent="0.25"/>
    <row r="7713" ht="14.25" customHeight="1" x14ac:dyDescent="0.25"/>
    <row r="7714" ht="14.25" customHeight="1" x14ac:dyDescent="0.25"/>
    <row r="7715" ht="14.25" customHeight="1" x14ac:dyDescent="0.25"/>
    <row r="7716" ht="14.25" customHeight="1" x14ac:dyDescent="0.25"/>
    <row r="7717" ht="14.25" customHeight="1" x14ac:dyDescent="0.25"/>
    <row r="7718" ht="14.25" customHeight="1" x14ac:dyDescent="0.25"/>
    <row r="7719" ht="14.25" customHeight="1" x14ac:dyDescent="0.25"/>
    <row r="7720" ht="14.25" customHeight="1" x14ac:dyDescent="0.25"/>
    <row r="7721" ht="14.25" customHeight="1" x14ac:dyDescent="0.25"/>
    <row r="7722" ht="14.25" customHeight="1" x14ac:dyDescent="0.25"/>
    <row r="7723" ht="14.25" customHeight="1" x14ac:dyDescent="0.25"/>
    <row r="7724" ht="14.25" customHeight="1" x14ac:dyDescent="0.25"/>
    <row r="7725" ht="14.25" customHeight="1" x14ac:dyDescent="0.25"/>
    <row r="7726" ht="14.25" customHeight="1" x14ac:dyDescent="0.25"/>
    <row r="7727" ht="14.25" customHeight="1" x14ac:dyDescent="0.25"/>
    <row r="7728" ht="14.25" customHeight="1" x14ac:dyDescent="0.25"/>
    <row r="7729" ht="14.25" customHeight="1" x14ac:dyDescent="0.25"/>
    <row r="7730" ht="14.25" customHeight="1" x14ac:dyDescent="0.25"/>
    <row r="7731" ht="14.25" customHeight="1" x14ac:dyDescent="0.25"/>
    <row r="7732" ht="14.25" customHeight="1" x14ac:dyDescent="0.25"/>
    <row r="7733" ht="14.25" customHeight="1" x14ac:dyDescent="0.25"/>
    <row r="7734" ht="14.25" customHeight="1" x14ac:dyDescent="0.25"/>
    <row r="7735" ht="14.25" customHeight="1" x14ac:dyDescent="0.25"/>
    <row r="7736" ht="14.25" customHeight="1" x14ac:dyDescent="0.25"/>
    <row r="7737" ht="14.25" customHeight="1" x14ac:dyDescent="0.25"/>
    <row r="7738" ht="14.25" customHeight="1" x14ac:dyDescent="0.25"/>
    <row r="7739" ht="14.25" customHeight="1" x14ac:dyDescent="0.25"/>
    <row r="7740" ht="14.25" customHeight="1" x14ac:dyDescent="0.25"/>
    <row r="7741" ht="14.25" customHeight="1" x14ac:dyDescent="0.25"/>
    <row r="7742" ht="14.25" customHeight="1" x14ac:dyDescent="0.25"/>
    <row r="7743" ht="14.25" customHeight="1" x14ac:dyDescent="0.25"/>
    <row r="7744" ht="14.25" customHeight="1" x14ac:dyDescent="0.25"/>
    <row r="7745" ht="14.25" customHeight="1" x14ac:dyDescent="0.25"/>
    <row r="7746" ht="14.25" customHeight="1" x14ac:dyDescent="0.25"/>
    <row r="7747" ht="14.25" customHeight="1" x14ac:dyDescent="0.25"/>
    <row r="7748" ht="14.25" customHeight="1" x14ac:dyDescent="0.25"/>
    <row r="7749" ht="14.25" customHeight="1" x14ac:dyDescent="0.25"/>
    <row r="7750" ht="14.25" customHeight="1" x14ac:dyDescent="0.25"/>
    <row r="7751" ht="14.25" customHeight="1" x14ac:dyDescent="0.25"/>
    <row r="7752" ht="14.25" customHeight="1" x14ac:dyDescent="0.25"/>
    <row r="7753" ht="14.25" customHeight="1" x14ac:dyDescent="0.25"/>
    <row r="7754" ht="14.25" customHeight="1" x14ac:dyDescent="0.25"/>
    <row r="7755" ht="14.25" customHeight="1" x14ac:dyDescent="0.25"/>
    <row r="7756" ht="14.25" customHeight="1" x14ac:dyDescent="0.25"/>
    <row r="7757" ht="14.25" customHeight="1" x14ac:dyDescent="0.25"/>
    <row r="7758" ht="14.25" customHeight="1" x14ac:dyDescent="0.25"/>
    <row r="7759" ht="14.25" customHeight="1" x14ac:dyDescent="0.25"/>
    <row r="7760" ht="14.25" customHeight="1" x14ac:dyDescent="0.25"/>
    <row r="7761" ht="14.25" customHeight="1" x14ac:dyDescent="0.25"/>
    <row r="7762" ht="14.25" customHeight="1" x14ac:dyDescent="0.25"/>
    <row r="7763" ht="14.25" customHeight="1" x14ac:dyDescent="0.25"/>
    <row r="7764" ht="14.25" customHeight="1" x14ac:dyDescent="0.25"/>
    <row r="7765" ht="14.25" customHeight="1" x14ac:dyDescent="0.25"/>
    <row r="7766" ht="14.25" customHeight="1" x14ac:dyDescent="0.25"/>
    <row r="7767" ht="14.25" customHeight="1" x14ac:dyDescent="0.25"/>
    <row r="7768" ht="14.25" customHeight="1" x14ac:dyDescent="0.25"/>
    <row r="7769" ht="14.25" customHeight="1" x14ac:dyDescent="0.25"/>
    <row r="7770" ht="14.25" customHeight="1" x14ac:dyDescent="0.25"/>
    <row r="7771" ht="14.25" customHeight="1" x14ac:dyDescent="0.25"/>
    <row r="7772" ht="14.25" customHeight="1" x14ac:dyDescent="0.25"/>
    <row r="7773" ht="14.25" customHeight="1" x14ac:dyDescent="0.25"/>
    <row r="7774" ht="14.25" customHeight="1" x14ac:dyDescent="0.25"/>
    <row r="7775" ht="14.25" customHeight="1" x14ac:dyDescent="0.25"/>
    <row r="7776" ht="14.25" customHeight="1" x14ac:dyDescent="0.25"/>
    <row r="7777" ht="14.25" customHeight="1" x14ac:dyDescent="0.25"/>
    <row r="7778" ht="14.25" customHeight="1" x14ac:dyDescent="0.25"/>
    <row r="7779" ht="14.25" customHeight="1" x14ac:dyDescent="0.25"/>
    <row r="7780" ht="14.25" customHeight="1" x14ac:dyDescent="0.25"/>
    <row r="7781" ht="14.25" customHeight="1" x14ac:dyDescent="0.25"/>
    <row r="7782" ht="14.25" customHeight="1" x14ac:dyDescent="0.25"/>
    <row r="7783" ht="14.25" customHeight="1" x14ac:dyDescent="0.25"/>
    <row r="7784" ht="14.25" customHeight="1" x14ac:dyDescent="0.25"/>
    <row r="7785" ht="14.25" customHeight="1" x14ac:dyDescent="0.25"/>
    <row r="7786" ht="14.25" customHeight="1" x14ac:dyDescent="0.25"/>
    <row r="7787" ht="14.25" customHeight="1" x14ac:dyDescent="0.25"/>
    <row r="7788" ht="14.25" customHeight="1" x14ac:dyDescent="0.25"/>
    <row r="7789" ht="14.25" customHeight="1" x14ac:dyDescent="0.25"/>
    <row r="7790" ht="14.25" customHeight="1" x14ac:dyDescent="0.25"/>
    <row r="7791" ht="14.25" customHeight="1" x14ac:dyDescent="0.25"/>
    <row r="7792" ht="14.25" customHeight="1" x14ac:dyDescent="0.25"/>
    <row r="7793" ht="14.25" customHeight="1" x14ac:dyDescent="0.25"/>
    <row r="7794" ht="14.25" customHeight="1" x14ac:dyDescent="0.25"/>
    <row r="7795" ht="14.25" customHeight="1" x14ac:dyDescent="0.25"/>
    <row r="7796" ht="14.25" customHeight="1" x14ac:dyDescent="0.25"/>
    <row r="7797" ht="14.25" customHeight="1" x14ac:dyDescent="0.25"/>
    <row r="7798" ht="14.25" customHeight="1" x14ac:dyDescent="0.25"/>
    <row r="7799" ht="14.25" customHeight="1" x14ac:dyDescent="0.25"/>
    <row r="7800" ht="14.25" customHeight="1" x14ac:dyDescent="0.25"/>
    <row r="7801" ht="14.25" customHeight="1" x14ac:dyDescent="0.25"/>
    <row r="7802" ht="14.25" customHeight="1" x14ac:dyDescent="0.25"/>
    <row r="7803" ht="14.25" customHeight="1" x14ac:dyDescent="0.25"/>
    <row r="7804" ht="14.25" customHeight="1" x14ac:dyDescent="0.25"/>
    <row r="7805" ht="14.25" customHeight="1" x14ac:dyDescent="0.25"/>
    <row r="7806" ht="14.25" customHeight="1" x14ac:dyDescent="0.25"/>
    <row r="7807" ht="14.25" customHeight="1" x14ac:dyDescent="0.25"/>
    <row r="7808" ht="14.25" customHeight="1" x14ac:dyDescent="0.25"/>
    <row r="7809" ht="14.25" customHeight="1" x14ac:dyDescent="0.25"/>
    <row r="7810" ht="14.25" customHeight="1" x14ac:dyDescent="0.25"/>
    <row r="7811" ht="14.25" customHeight="1" x14ac:dyDescent="0.25"/>
    <row r="7812" ht="14.25" customHeight="1" x14ac:dyDescent="0.25"/>
    <row r="7813" ht="14.25" customHeight="1" x14ac:dyDescent="0.25"/>
    <row r="7814" ht="14.25" customHeight="1" x14ac:dyDescent="0.25"/>
    <row r="7815" ht="14.25" customHeight="1" x14ac:dyDescent="0.25"/>
    <row r="7816" ht="14.25" customHeight="1" x14ac:dyDescent="0.25"/>
    <row r="7817" ht="14.25" customHeight="1" x14ac:dyDescent="0.25"/>
    <row r="7818" ht="14.25" customHeight="1" x14ac:dyDescent="0.25"/>
    <row r="7819" ht="14.25" customHeight="1" x14ac:dyDescent="0.25"/>
    <row r="7820" ht="14.25" customHeight="1" x14ac:dyDescent="0.25"/>
    <row r="7821" ht="14.25" customHeight="1" x14ac:dyDescent="0.25"/>
    <row r="7822" ht="14.25" customHeight="1" x14ac:dyDescent="0.25"/>
    <row r="7823" ht="14.25" customHeight="1" x14ac:dyDescent="0.25"/>
    <row r="7824" ht="14.25" customHeight="1" x14ac:dyDescent="0.25"/>
    <row r="7825" ht="14.25" customHeight="1" x14ac:dyDescent="0.25"/>
    <row r="7826" ht="14.25" customHeight="1" x14ac:dyDescent="0.25"/>
    <row r="7827" ht="14.25" customHeight="1" x14ac:dyDescent="0.25"/>
    <row r="7828" ht="14.25" customHeight="1" x14ac:dyDescent="0.25"/>
    <row r="7829" ht="14.25" customHeight="1" x14ac:dyDescent="0.25"/>
    <row r="7830" ht="14.25" customHeight="1" x14ac:dyDescent="0.25"/>
    <row r="7831" ht="14.25" customHeight="1" x14ac:dyDescent="0.25"/>
    <row r="7832" ht="14.25" customHeight="1" x14ac:dyDescent="0.25"/>
    <row r="7833" ht="14.25" customHeight="1" x14ac:dyDescent="0.25"/>
    <row r="7834" ht="14.25" customHeight="1" x14ac:dyDescent="0.25"/>
    <row r="7835" ht="14.25" customHeight="1" x14ac:dyDescent="0.25"/>
    <row r="7836" ht="14.25" customHeight="1" x14ac:dyDescent="0.25"/>
    <row r="7837" ht="14.25" customHeight="1" x14ac:dyDescent="0.25"/>
    <row r="7838" ht="14.25" customHeight="1" x14ac:dyDescent="0.25"/>
    <row r="7839" ht="14.25" customHeight="1" x14ac:dyDescent="0.25"/>
    <row r="7840" ht="14.25" customHeight="1" x14ac:dyDescent="0.25"/>
    <row r="7841" ht="14.25" customHeight="1" x14ac:dyDescent="0.25"/>
    <row r="7842" ht="14.25" customHeight="1" x14ac:dyDescent="0.25"/>
    <row r="7843" ht="14.25" customHeight="1" x14ac:dyDescent="0.25"/>
    <row r="7844" ht="14.25" customHeight="1" x14ac:dyDescent="0.25"/>
    <row r="7845" ht="14.25" customHeight="1" x14ac:dyDescent="0.25"/>
    <row r="7846" ht="14.25" customHeight="1" x14ac:dyDescent="0.25"/>
    <row r="7847" ht="14.25" customHeight="1" x14ac:dyDescent="0.25"/>
    <row r="7848" ht="14.25" customHeight="1" x14ac:dyDescent="0.25"/>
    <row r="7849" ht="14.25" customHeight="1" x14ac:dyDescent="0.25"/>
    <row r="7850" ht="14.25" customHeight="1" x14ac:dyDescent="0.25"/>
    <row r="7851" ht="14.25" customHeight="1" x14ac:dyDescent="0.25"/>
    <row r="7852" ht="14.25" customHeight="1" x14ac:dyDescent="0.25"/>
    <row r="7853" ht="14.25" customHeight="1" x14ac:dyDescent="0.25"/>
    <row r="7854" ht="14.25" customHeight="1" x14ac:dyDescent="0.25"/>
    <row r="7855" ht="14.25" customHeight="1" x14ac:dyDescent="0.25"/>
    <row r="7856" ht="14.25" customHeight="1" x14ac:dyDescent="0.25"/>
    <row r="7857" ht="14.25" customHeight="1" x14ac:dyDescent="0.25"/>
    <row r="7858" ht="14.25" customHeight="1" x14ac:dyDescent="0.25"/>
    <row r="7859" ht="14.25" customHeight="1" x14ac:dyDescent="0.25"/>
    <row r="7860" ht="14.25" customHeight="1" x14ac:dyDescent="0.25"/>
    <row r="7861" ht="14.25" customHeight="1" x14ac:dyDescent="0.25"/>
    <row r="7862" ht="14.25" customHeight="1" x14ac:dyDescent="0.25"/>
    <row r="7863" ht="14.25" customHeight="1" x14ac:dyDescent="0.25"/>
    <row r="7864" ht="14.25" customHeight="1" x14ac:dyDescent="0.25"/>
    <row r="7865" ht="14.25" customHeight="1" x14ac:dyDescent="0.25"/>
    <row r="7866" ht="14.25" customHeight="1" x14ac:dyDescent="0.25"/>
    <row r="7867" ht="14.25" customHeight="1" x14ac:dyDescent="0.25"/>
    <row r="7868" ht="14.25" customHeight="1" x14ac:dyDescent="0.25"/>
    <row r="7869" ht="14.25" customHeight="1" x14ac:dyDescent="0.25"/>
    <row r="7870" ht="14.25" customHeight="1" x14ac:dyDescent="0.25"/>
    <row r="7871" ht="14.25" customHeight="1" x14ac:dyDescent="0.25"/>
    <row r="7872" ht="14.25" customHeight="1" x14ac:dyDescent="0.25"/>
    <row r="7873" ht="14.25" customHeight="1" x14ac:dyDescent="0.25"/>
    <row r="7874" ht="14.25" customHeight="1" x14ac:dyDescent="0.25"/>
    <row r="7875" ht="14.25" customHeight="1" x14ac:dyDescent="0.25"/>
    <row r="7876" ht="14.25" customHeight="1" x14ac:dyDescent="0.25"/>
    <row r="7877" ht="14.25" customHeight="1" x14ac:dyDescent="0.25"/>
    <row r="7878" ht="14.25" customHeight="1" x14ac:dyDescent="0.25"/>
    <row r="7879" ht="14.25" customHeight="1" x14ac:dyDescent="0.25"/>
    <row r="7880" ht="14.25" customHeight="1" x14ac:dyDescent="0.25"/>
    <row r="7881" ht="14.25" customHeight="1" x14ac:dyDescent="0.25"/>
    <row r="7882" ht="14.25" customHeight="1" x14ac:dyDescent="0.25"/>
    <row r="7883" ht="14.25" customHeight="1" x14ac:dyDescent="0.25"/>
    <row r="7884" ht="14.25" customHeight="1" x14ac:dyDescent="0.25"/>
    <row r="7885" ht="14.25" customHeight="1" x14ac:dyDescent="0.25"/>
    <row r="7886" ht="14.25" customHeight="1" x14ac:dyDescent="0.25"/>
    <row r="7887" ht="14.25" customHeight="1" x14ac:dyDescent="0.25"/>
    <row r="7888" ht="14.25" customHeight="1" x14ac:dyDescent="0.25"/>
    <row r="7889" ht="14.25" customHeight="1" x14ac:dyDescent="0.25"/>
    <row r="7890" ht="14.25" customHeight="1" x14ac:dyDescent="0.25"/>
    <row r="7891" ht="14.25" customHeight="1" x14ac:dyDescent="0.25"/>
    <row r="7892" ht="14.25" customHeight="1" x14ac:dyDescent="0.25"/>
    <row r="7893" ht="14.25" customHeight="1" x14ac:dyDescent="0.25"/>
    <row r="7894" ht="14.25" customHeight="1" x14ac:dyDescent="0.25"/>
    <row r="7895" ht="14.25" customHeight="1" x14ac:dyDescent="0.25"/>
    <row r="7896" ht="14.25" customHeight="1" x14ac:dyDescent="0.25"/>
    <row r="7897" ht="14.25" customHeight="1" x14ac:dyDescent="0.25"/>
    <row r="7898" ht="14.25" customHeight="1" x14ac:dyDescent="0.25"/>
    <row r="7899" ht="14.25" customHeight="1" x14ac:dyDescent="0.25"/>
    <row r="7900" ht="14.25" customHeight="1" x14ac:dyDescent="0.25"/>
    <row r="7901" ht="14.25" customHeight="1" x14ac:dyDescent="0.25"/>
    <row r="7902" ht="14.25" customHeight="1" x14ac:dyDescent="0.25"/>
    <row r="7903" ht="14.25" customHeight="1" x14ac:dyDescent="0.25"/>
    <row r="7904" ht="14.25" customHeight="1" x14ac:dyDescent="0.25"/>
    <row r="7905" ht="14.25" customHeight="1" x14ac:dyDescent="0.25"/>
    <row r="7906" ht="14.25" customHeight="1" x14ac:dyDescent="0.25"/>
    <row r="7907" ht="14.25" customHeight="1" x14ac:dyDescent="0.25"/>
    <row r="7908" ht="14.25" customHeight="1" x14ac:dyDescent="0.25"/>
    <row r="7909" ht="14.25" customHeight="1" x14ac:dyDescent="0.25"/>
    <row r="7910" ht="14.25" customHeight="1" x14ac:dyDescent="0.25"/>
    <row r="7911" ht="14.25" customHeight="1" x14ac:dyDescent="0.25"/>
    <row r="7912" ht="14.25" customHeight="1" x14ac:dyDescent="0.25"/>
    <row r="7913" ht="14.25" customHeight="1" x14ac:dyDescent="0.25"/>
    <row r="7914" ht="14.25" customHeight="1" x14ac:dyDescent="0.25"/>
    <row r="7915" ht="14.25" customHeight="1" x14ac:dyDescent="0.25"/>
    <row r="7916" ht="14.25" customHeight="1" x14ac:dyDescent="0.25"/>
    <row r="7917" ht="14.25" customHeight="1" x14ac:dyDescent="0.25"/>
    <row r="7918" ht="14.25" customHeight="1" x14ac:dyDescent="0.25"/>
    <row r="7919" ht="14.25" customHeight="1" x14ac:dyDescent="0.25"/>
    <row r="7920" ht="14.25" customHeight="1" x14ac:dyDescent="0.25"/>
    <row r="7921" ht="14.25" customHeight="1" x14ac:dyDescent="0.25"/>
    <row r="7922" ht="14.25" customHeight="1" x14ac:dyDescent="0.25"/>
    <row r="7923" ht="14.25" customHeight="1" x14ac:dyDescent="0.25"/>
    <row r="7924" ht="14.25" customHeight="1" x14ac:dyDescent="0.25"/>
    <row r="7925" ht="14.25" customHeight="1" x14ac:dyDescent="0.25"/>
    <row r="7926" ht="14.25" customHeight="1" x14ac:dyDescent="0.25"/>
    <row r="7927" ht="14.25" customHeight="1" x14ac:dyDescent="0.25"/>
    <row r="7928" ht="14.25" customHeight="1" x14ac:dyDescent="0.25"/>
    <row r="7929" ht="14.25" customHeight="1" x14ac:dyDescent="0.25"/>
    <row r="7930" ht="14.25" customHeight="1" x14ac:dyDescent="0.25"/>
    <row r="7931" ht="14.25" customHeight="1" x14ac:dyDescent="0.25"/>
    <row r="7932" ht="14.25" customHeight="1" x14ac:dyDescent="0.25"/>
    <row r="7933" ht="14.25" customHeight="1" x14ac:dyDescent="0.25"/>
    <row r="7934" ht="14.25" customHeight="1" x14ac:dyDescent="0.25"/>
    <row r="7935" ht="14.25" customHeight="1" x14ac:dyDescent="0.25"/>
    <row r="7936" ht="14.25" customHeight="1" x14ac:dyDescent="0.25"/>
    <row r="7937" ht="14.25" customHeight="1" x14ac:dyDescent="0.25"/>
    <row r="7938" ht="14.25" customHeight="1" x14ac:dyDescent="0.25"/>
    <row r="7939" ht="14.25" customHeight="1" x14ac:dyDescent="0.25"/>
    <row r="7940" ht="14.25" customHeight="1" x14ac:dyDescent="0.25"/>
    <row r="7941" ht="14.25" customHeight="1" x14ac:dyDescent="0.25"/>
    <row r="7942" ht="14.25" customHeight="1" x14ac:dyDescent="0.25"/>
    <row r="7943" ht="14.25" customHeight="1" x14ac:dyDescent="0.25"/>
    <row r="7944" ht="14.25" customHeight="1" x14ac:dyDescent="0.25"/>
    <row r="7945" ht="14.25" customHeight="1" x14ac:dyDescent="0.25"/>
    <row r="7946" ht="14.25" customHeight="1" x14ac:dyDescent="0.25"/>
    <row r="7947" ht="14.25" customHeight="1" x14ac:dyDescent="0.25"/>
    <row r="7948" ht="14.25" customHeight="1" x14ac:dyDescent="0.25"/>
    <row r="7949" ht="14.25" customHeight="1" x14ac:dyDescent="0.25"/>
    <row r="7950" ht="14.25" customHeight="1" x14ac:dyDescent="0.25"/>
    <row r="7951" ht="14.25" customHeight="1" x14ac:dyDescent="0.25"/>
    <row r="7952" ht="14.25" customHeight="1" x14ac:dyDescent="0.25"/>
    <row r="7953" ht="14.25" customHeight="1" x14ac:dyDescent="0.25"/>
    <row r="7954" ht="14.25" customHeight="1" x14ac:dyDescent="0.25"/>
    <row r="7955" ht="14.25" customHeight="1" x14ac:dyDescent="0.25"/>
    <row r="7956" ht="14.25" customHeight="1" x14ac:dyDescent="0.25"/>
    <row r="7957" ht="14.25" customHeight="1" x14ac:dyDescent="0.25"/>
    <row r="7958" ht="14.25" customHeight="1" x14ac:dyDescent="0.25"/>
    <row r="7959" ht="14.25" customHeight="1" x14ac:dyDescent="0.25"/>
    <row r="7960" ht="14.25" customHeight="1" x14ac:dyDescent="0.25"/>
    <row r="7961" ht="14.25" customHeight="1" x14ac:dyDescent="0.25"/>
    <row r="7962" ht="14.25" customHeight="1" x14ac:dyDescent="0.25"/>
    <row r="7963" ht="14.25" customHeight="1" x14ac:dyDescent="0.25"/>
    <row r="7964" ht="14.25" customHeight="1" x14ac:dyDescent="0.25"/>
    <row r="7965" ht="14.25" customHeight="1" x14ac:dyDescent="0.25"/>
    <row r="7966" ht="14.25" customHeight="1" x14ac:dyDescent="0.25"/>
    <row r="7967" ht="14.25" customHeight="1" x14ac:dyDescent="0.25"/>
    <row r="7968" ht="14.25" customHeight="1" x14ac:dyDescent="0.25"/>
    <row r="7969" ht="14.25" customHeight="1" x14ac:dyDescent="0.25"/>
    <row r="7970" ht="14.25" customHeight="1" x14ac:dyDescent="0.25"/>
    <row r="7971" ht="14.25" customHeight="1" x14ac:dyDescent="0.25"/>
    <row r="7972" ht="14.25" customHeight="1" x14ac:dyDescent="0.25"/>
    <row r="7973" ht="14.25" customHeight="1" x14ac:dyDescent="0.25"/>
    <row r="7974" ht="14.25" customHeight="1" x14ac:dyDescent="0.25"/>
    <row r="7975" ht="14.25" customHeight="1" x14ac:dyDescent="0.25"/>
    <row r="7976" ht="14.25" customHeight="1" x14ac:dyDescent="0.25"/>
    <row r="7977" ht="14.25" customHeight="1" x14ac:dyDescent="0.25"/>
    <row r="7978" ht="14.25" customHeight="1" x14ac:dyDescent="0.25"/>
    <row r="7979" ht="14.25" customHeight="1" x14ac:dyDescent="0.25"/>
    <row r="7980" ht="14.25" customHeight="1" x14ac:dyDescent="0.25"/>
    <row r="7981" ht="14.25" customHeight="1" x14ac:dyDescent="0.25"/>
    <row r="7982" ht="14.25" customHeight="1" x14ac:dyDescent="0.25"/>
    <row r="7983" ht="14.25" customHeight="1" x14ac:dyDescent="0.25"/>
    <row r="7984" ht="14.25" customHeight="1" x14ac:dyDescent="0.25"/>
    <row r="7985" ht="14.25" customHeight="1" x14ac:dyDescent="0.25"/>
    <row r="7986" ht="14.25" customHeight="1" x14ac:dyDescent="0.25"/>
    <row r="7987" ht="14.25" customHeight="1" x14ac:dyDescent="0.25"/>
    <row r="7988" ht="14.25" customHeight="1" x14ac:dyDescent="0.25"/>
    <row r="7989" ht="14.25" customHeight="1" x14ac:dyDescent="0.25"/>
    <row r="7990" ht="14.25" customHeight="1" x14ac:dyDescent="0.25"/>
    <row r="7991" ht="14.25" customHeight="1" x14ac:dyDescent="0.25"/>
    <row r="7992" ht="14.25" customHeight="1" x14ac:dyDescent="0.25"/>
    <row r="7993" ht="14.25" customHeight="1" x14ac:dyDescent="0.25"/>
    <row r="7994" ht="14.25" customHeight="1" x14ac:dyDescent="0.25"/>
    <row r="7995" ht="14.25" customHeight="1" x14ac:dyDescent="0.25"/>
    <row r="7996" ht="14.25" customHeight="1" x14ac:dyDescent="0.25"/>
    <row r="7997" ht="14.25" customHeight="1" x14ac:dyDescent="0.25"/>
    <row r="7998" ht="14.25" customHeight="1" x14ac:dyDescent="0.25"/>
    <row r="7999" ht="14.25" customHeight="1" x14ac:dyDescent="0.25"/>
    <row r="8000" ht="14.25" customHeight="1" x14ac:dyDescent="0.25"/>
    <row r="8001" ht="14.25" customHeight="1" x14ac:dyDescent="0.25"/>
    <row r="8002" ht="14.25" customHeight="1" x14ac:dyDescent="0.25"/>
    <row r="8003" ht="14.25" customHeight="1" x14ac:dyDescent="0.25"/>
    <row r="8004" ht="14.25" customHeight="1" x14ac:dyDescent="0.25"/>
    <row r="8005" ht="14.25" customHeight="1" x14ac:dyDescent="0.25"/>
    <row r="8006" ht="14.25" customHeight="1" x14ac:dyDescent="0.25"/>
    <row r="8007" ht="14.25" customHeight="1" x14ac:dyDescent="0.25"/>
    <row r="8008" ht="14.25" customHeight="1" x14ac:dyDescent="0.25"/>
    <row r="8009" ht="14.25" customHeight="1" x14ac:dyDescent="0.25"/>
    <row r="8010" ht="14.25" customHeight="1" x14ac:dyDescent="0.25"/>
    <row r="8011" ht="14.25" customHeight="1" x14ac:dyDescent="0.25"/>
    <row r="8012" ht="14.25" customHeight="1" x14ac:dyDescent="0.25"/>
    <row r="8013" ht="14.25" customHeight="1" x14ac:dyDescent="0.25"/>
    <row r="8014" ht="14.25" customHeight="1" x14ac:dyDescent="0.25"/>
    <row r="8015" ht="14.25" customHeight="1" x14ac:dyDescent="0.25"/>
    <row r="8016" ht="14.25" customHeight="1" x14ac:dyDescent="0.25"/>
    <row r="8017" ht="14.25" customHeight="1" x14ac:dyDescent="0.25"/>
    <row r="8018" ht="14.25" customHeight="1" x14ac:dyDescent="0.25"/>
    <row r="8019" ht="14.25" customHeight="1" x14ac:dyDescent="0.25"/>
    <row r="8020" ht="14.25" customHeight="1" x14ac:dyDescent="0.25"/>
    <row r="8021" ht="14.25" customHeight="1" x14ac:dyDescent="0.25"/>
    <row r="8022" ht="14.25" customHeight="1" x14ac:dyDescent="0.25"/>
    <row r="8023" ht="14.25" customHeight="1" x14ac:dyDescent="0.25"/>
    <row r="8024" ht="14.25" customHeight="1" x14ac:dyDescent="0.25"/>
    <row r="8025" ht="14.25" customHeight="1" x14ac:dyDescent="0.25"/>
    <row r="8026" ht="14.25" customHeight="1" x14ac:dyDescent="0.25"/>
    <row r="8027" ht="14.25" customHeight="1" x14ac:dyDescent="0.25"/>
    <row r="8028" ht="14.25" customHeight="1" x14ac:dyDescent="0.25"/>
    <row r="8029" ht="14.25" customHeight="1" x14ac:dyDescent="0.25"/>
    <row r="8030" ht="14.25" customHeight="1" x14ac:dyDescent="0.25"/>
    <row r="8031" ht="14.25" customHeight="1" x14ac:dyDescent="0.25"/>
    <row r="8032" ht="14.25" customHeight="1" x14ac:dyDescent="0.25"/>
    <row r="8033" ht="14.25" customHeight="1" x14ac:dyDescent="0.25"/>
    <row r="8034" ht="14.25" customHeight="1" x14ac:dyDescent="0.25"/>
    <row r="8035" ht="14.25" customHeight="1" x14ac:dyDescent="0.25"/>
    <row r="8036" ht="14.25" customHeight="1" x14ac:dyDescent="0.25"/>
    <row r="8037" ht="14.25" customHeight="1" x14ac:dyDescent="0.25"/>
    <row r="8038" ht="14.25" customHeight="1" x14ac:dyDescent="0.25"/>
    <row r="8039" ht="14.25" customHeight="1" x14ac:dyDescent="0.25"/>
    <row r="8040" ht="14.25" customHeight="1" x14ac:dyDescent="0.25"/>
    <row r="8041" ht="14.25" customHeight="1" x14ac:dyDescent="0.25"/>
    <row r="8042" ht="14.25" customHeight="1" x14ac:dyDescent="0.25"/>
    <row r="8043" ht="14.25" customHeight="1" x14ac:dyDescent="0.25"/>
    <row r="8044" ht="14.25" customHeight="1" x14ac:dyDescent="0.25"/>
    <row r="8045" ht="14.25" customHeight="1" x14ac:dyDescent="0.25"/>
    <row r="8046" ht="14.25" customHeight="1" x14ac:dyDescent="0.25"/>
    <row r="8047" ht="14.25" customHeight="1" x14ac:dyDescent="0.25"/>
    <row r="8048" ht="14.25" customHeight="1" x14ac:dyDescent="0.25"/>
    <row r="8049" ht="14.25" customHeight="1" x14ac:dyDescent="0.25"/>
    <row r="8050" ht="14.25" customHeight="1" x14ac:dyDescent="0.25"/>
    <row r="8051" ht="14.25" customHeight="1" x14ac:dyDescent="0.25"/>
    <row r="8052" ht="14.25" customHeight="1" x14ac:dyDescent="0.25"/>
    <row r="8053" ht="14.25" customHeight="1" x14ac:dyDescent="0.25"/>
    <row r="8054" ht="14.25" customHeight="1" x14ac:dyDescent="0.25"/>
    <row r="8055" ht="14.25" customHeight="1" x14ac:dyDescent="0.25"/>
    <row r="8056" ht="14.25" customHeight="1" x14ac:dyDescent="0.25"/>
    <row r="8057" ht="14.25" customHeight="1" x14ac:dyDescent="0.25"/>
    <row r="8058" ht="14.25" customHeight="1" x14ac:dyDescent="0.25"/>
    <row r="8059" ht="14.25" customHeight="1" x14ac:dyDescent="0.25"/>
    <row r="8060" ht="14.25" customHeight="1" x14ac:dyDescent="0.25"/>
    <row r="8061" ht="14.25" customHeight="1" x14ac:dyDescent="0.25"/>
    <row r="8062" ht="14.25" customHeight="1" x14ac:dyDescent="0.25"/>
    <row r="8063" ht="14.25" customHeight="1" x14ac:dyDescent="0.25"/>
    <row r="8064" ht="14.25" customHeight="1" x14ac:dyDescent="0.25"/>
    <row r="8065" ht="14.25" customHeight="1" x14ac:dyDescent="0.25"/>
    <row r="8066" ht="14.25" customHeight="1" x14ac:dyDescent="0.25"/>
    <row r="8067" ht="14.25" customHeight="1" x14ac:dyDescent="0.25"/>
    <row r="8068" ht="14.25" customHeight="1" x14ac:dyDescent="0.25"/>
    <row r="8069" ht="14.25" customHeight="1" x14ac:dyDescent="0.25"/>
    <row r="8070" ht="14.25" customHeight="1" x14ac:dyDescent="0.25"/>
    <row r="8071" ht="14.25" customHeight="1" x14ac:dyDescent="0.25"/>
    <row r="8072" ht="14.25" customHeight="1" x14ac:dyDescent="0.25"/>
    <row r="8073" ht="14.25" customHeight="1" x14ac:dyDescent="0.25"/>
    <row r="8074" ht="14.25" customHeight="1" x14ac:dyDescent="0.25"/>
    <row r="8075" ht="14.25" customHeight="1" x14ac:dyDescent="0.25"/>
    <row r="8076" ht="14.25" customHeight="1" x14ac:dyDescent="0.25"/>
    <row r="8077" ht="14.25" customHeight="1" x14ac:dyDescent="0.25"/>
    <row r="8078" ht="14.25" customHeight="1" x14ac:dyDescent="0.25"/>
    <row r="8079" ht="14.25" customHeight="1" x14ac:dyDescent="0.25"/>
    <row r="8080" ht="14.25" customHeight="1" x14ac:dyDescent="0.25"/>
    <row r="8081" ht="14.25" customHeight="1" x14ac:dyDescent="0.25"/>
    <row r="8082" ht="14.25" customHeight="1" x14ac:dyDescent="0.25"/>
    <row r="8083" ht="14.25" customHeight="1" x14ac:dyDescent="0.25"/>
    <row r="8084" ht="14.25" customHeight="1" x14ac:dyDescent="0.25"/>
    <row r="8085" ht="14.25" customHeight="1" x14ac:dyDescent="0.25"/>
    <row r="8086" ht="14.25" customHeight="1" x14ac:dyDescent="0.25"/>
    <row r="8087" ht="14.25" customHeight="1" x14ac:dyDescent="0.25"/>
    <row r="8088" ht="14.25" customHeight="1" x14ac:dyDescent="0.25"/>
    <row r="8089" ht="14.25" customHeight="1" x14ac:dyDescent="0.25"/>
    <row r="8090" ht="14.25" customHeight="1" x14ac:dyDescent="0.25"/>
    <row r="8091" ht="14.25" customHeight="1" x14ac:dyDescent="0.25"/>
    <row r="8092" ht="14.25" customHeight="1" x14ac:dyDescent="0.25"/>
    <row r="8093" ht="14.25" customHeight="1" x14ac:dyDescent="0.25"/>
    <row r="8094" ht="14.25" customHeight="1" x14ac:dyDescent="0.25"/>
    <row r="8095" ht="14.25" customHeight="1" x14ac:dyDescent="0.25"/>
    <row r="8096" ht="14.25" customHeight="1" x14ac:dyDescent="0.25"/>
    <row r="8097" ht="14.25" customHeight="1" x14ac:dyDescent="0.25"/>
    <row r="8098" ht="14.25" customHeight="1" x14ac:dyDescent="0.25"/>
    <row r="8099" ht="14.25" customHeight="1" x14ac:dyDescent="0.25"/>
    <row r="8100" ht="14.25" customHeight="1" x14ac:dyDescent="0.25"/>
    <row r="8101" ht="14.25" customHeight="1" x14ac:dyDescent="0.25"/>
    <row r="8102" ht="14.25" customHeight="1" x14ac:dyDescent="0.25"/>
    <row r="8103" ht="14.25" customHeight="1" x14ac:dyDescent="0.25"/>
    <row r="8104" ht="14.25" customHeight="1" x14ac:dyDescent="0.25"/>
    <row r="8105" ht="14.25" customHeight="1" x14ac:dyDescent="0.25"/>
    <row r="8106" ht="14.25" customHeight="1" x14ac:dyDescent="0.25"/>
    <row r="8107" ht="14.25" customHeight="1" x14ac:dyDescent="0.25"/>
    <row r="8108" ht="14.25" customHeight="1" x14ac:dyDescent="0.25"/>
    <row r="8109" ht="14.25" customHeight="1" x14ac:dyDescent="0.25"/>
    <row r="8110" ht="14.25" customHeight="1" x14ac:dyDescent="0.25"/>
    <row r="8111" ht="14.25" customHeight="1" x14ac:dyDescent="0.25"/>
    <row r="8112" ht="14.25" customHeight="1" x14ac:dyDescent="0.25"/>
    <row r="8113" ht="14.25" customHeight="1" x14ac:dyDescent="0.25"/>
    <row r="8114" ht="14.25" customHeight="1" x14ac:dyDescent="0.25"/>
    <row r="8115" ht="14.25" customHeight="1" x14ac:dyDescent="0.25"/>
    <row r="8116" ht="14.25" customHeight="1" x14ac:dyDescent="0.25"/>
    <row r="8117" ht="14.25" customHeight="1" x14ac:dyDescent="0.25"/>
    <row r="8118" ht="14.25" customHeight="1" x14ac:dyDescent="0.25"/>
    <row r="8119" ht="14.25" customHeight="1" x14ac:dyDescent="0.25"/>
    <row r="8120" ht="14.25" customHeight="1" x14ac:dyDescent="0.25"/>
    <row r="8121" ht="14.25" customHeight="1" x14ac:dyDescent="0.25"/>
    <row r="8122" ht="14.25" customHeight="1" x14ac:dyDescent="0.25"/>
    <row r="8123" ht="14.25" customHeight="1" x14ac:dyDescent="0.25"/>
    <row r="8124" ht="14.25" customHeight="1" x14ac:dyDescent="0.25"/>
    <row r="8125" ht="14.25" customHeight="1" x14ac:dyDescent="0.25"/>
    <row r="8126" ht="14.25" customHeight="1" x14ac:dyDescent="0.25"/>
    <row r="8127" ht="14.25" customHeight="1" x14ac:dyDescent="0.25"/>
    <row r="8128" ht="14.25" customHeight="1" x14ac:dyDescent="0.25"/>
    <row r="8129" ht="14.25" customHeight="1" x14ac:dyDescent="0.25"/>
    <row r="8130" ht="14.25" customHeight="1" x14ac:dyDescent="0.25"/>
    <row r="8131" ht="14.25" customHeight="1" x14ac:dyDescent="0.25"/>
    <row r="8132" ht="14.25" customHeight="1" x14ac:dyDescent="0.25"/>
    <row r="8133" ht="14.25" customHeight="1" x14ac:dyDescent="0.25"/>
    <row r="8134" ht="14.25" customHeight="1" x14ac:dyDescent="0.25"/>
    <row r="8135" ht="14.25" customHeight="1" x14ac:dyDescent="0.25"/>
    <row r="8136" ht="14.25" customHeight="1" x14ac:dyDescent="0.25"/>
    <row r="8137" ht="14.25" customHeight="1" x14ac:dyDescent="0.25"/>
    <row r="8138" ht="14.25" customHeight="1" x14ac:dyDescent="0.25"/>
    <row r="8139" ht="14.25" customHeight="1" x14ac:dyDescent="0.25"/>
    <row r="8140" ht="14.25" customHeight="1" x14ac:dyDescent="0.25"/>
    <row r="8141" ht="14.25" customHeight="1" x14ac:dyDescent="0.25"/>
    <row r="8142" ht="14.25" customHeight="1" x14ac:dyDescent="0.25"/>
    <row r="8143" ht="14.25" customHeight="1" x14ac:dyDescent="0.25"/>
    <row r="8144" ht="14.25" customHeight="1" x14ac:dyDescent="0.25"/>
    <row r="8145" ht="14.25" customHeight="1" x14ac:dyDescent="0.25"/>
    <row r="8146" ht="14.25" customHeight="1" x14ac:dyDescent="0.25"/>
    <row r="8147" ht="14.25" customHeight="1" x14ac:dyDescent="0.25"/>
    <row r="8148" ht="14.25" customHeight="1" x14ac:dyDescent="0.25"/>
    <row r="8149" ht="14.25" customHeight="1" x14ac:dyDescent="0.25"/>
    <row r="8150" ht="14.25" customHeight="1" x14ac:dyDescent="0.25"/>
    <row r="8151" ht="14.25" customHeight="1" x14ac:dyDescent="0.25"/>
    <row r="8152" ht="14.25" customHeight="1" x14ac:dyDescent="0.25"/>
    <row r="8153" ht="14.25" customHeight="1" x14ac:dyDescent="0.25"/>
    <row r="8154" ht="14.25" customHeight="1" x14ac:dyDescent="0.25"/>
    <row r="8155" ht="14.25" customHeight="1" x14ac:dyDescent="0.25"/>
    <row r="8156" ht="14.25" customHeight="1" x14ac:dyDescent="0.25"/>
    <row r="8157" ht="14.25" customHeight="1" x14ac:dyDescent="0.25"/>
    <row r="8158" ht="14.25" customHeight="1" x14ac:dyDescent="0.25"/>
    <row r="8159" ht="14.25" customHeight="1" x14ac:dyDescent="0.25"/>
    <row r="8160" ht="14.25" customHeight="1" x14ac:dyDescent="0.25"/>
    <row r="8161" ht="14.25" customHeight="1" x14ac:dyDescent="0.25"/>
    <row r="8162" ht="14.25" customHeight="1" x14ac:dyDescent="0.25"/>
    <row r="8163" ht="14.25" customHeight="1" x14ac:dyDescent="0.25"/>
    <row r="8164" ht="14.25" customHeight="1" x14ac:dyDescent="0.25"/>
    <row r="8165" ht="14.25" customHeight="1" x14ac:dyDescent="0.25"/>
    <row r="8166" ht="14.25" customHeight="1" x14ac:dyDescent="0.25"/>
    <row r="8167" ht="14.25" customHeight="1" x14ac:dyDescent="0.25"/>
    <row r="8168" ht="14.25" customHeight="1" x14ac:dyDescent="0.25"/>
    <row r="8169" ht="14.25" customHeight="1" x14ac:dyDescent="0.25"/>
    <row r="8170" ht="14.25" customHeight="1" x14ac:dyDescent="0.25"/>
    <row r="8171" ht="14.25" customHeight="1" x14ac:dyDescent="0.25"/>
    <row r="8172" ht="14.25" customHeight="1" x14ac:dyDescent="0.25"/>
    <row r="8173" ht="14.25" customHeight="1" x14ac:dyDescent="0.25"/>
    <row r="8174" ht="14.25" customHeight="1" x14ac:dyDescent="0.25"/>
    <row r="8175" ht="14.25" customHeight="1" x14ac:dyDescent="0.25"/>
    <row r="8176" ht="14.25" customHeight="1" x14ac:dyDescent="0.25"/>
    <row r="8177" ht="14.25" customHeight="1" x14ac:dyDescent="0.25"/>
    <row r="8178" ht="14.25" customHeight="1" x14ac:dyDescent="0.25"/>
    <row r="8179" ht="14.25" customHeight="1" x14ac:dyDescent="0.25"/>
    <row r="8180" ht="14.25" customHeight="1" x14ac:dyDescent="0.25"/>
    <row r="8181" ht="14.25" customHeight="1" x14ac:dyDescent="0.25"/>
    <row r="8182" ht="14.25" customHeight="1" x14ac:dyDescent="0.25"/>
    <row r="8183" ht="14.25" customHeight="1" x14ac:dyDescent="0.25"/>
    <row r="8184" ht="14.25" customHeight="1" x14ac:dyDescent="0.25"/>
    <row r="8185" ht="14.25" customHeight="1" x14ac:dyDescent="0.25"/>
    <row r="8186" ht="14.25" customHeight="1" x14ac:dyDescent="0.25"/>
    <row r="8187" ht="14.25" customHeight="1" x14ac:dyDescent="0.25"/>
    <row r="8188" ht="14.25" customHeight="1" x14ac:dyDescent="0.25"/>
    <row r="8189" ht="14.25" customHeight="1" x14ac:dyDescent="0.25"/>
    <row r="8190" ht="14.25" customHeight="1" x14ac:dyDescent="0.25"/>
    <row r="8191" ht="14.25" customHeight="1" x14ac:dyDescent="0.25"/>
    <row r="8192" ht="14.25" customHeight="1" x14ac:dyDescent="0.25"/>
    <row r="8193" ht="14.25" customHeight="1" x14ac:dyDescent="0.25"/>
    <row r="8194" ht="14.25" customHeight="1" x14ac:dyDescent="0.25"/>
    <row r="8195" ht="14.25" customHeight="1" x14ac:dyDescent="0.25"/>
    <row r="8196" ht="14.25" customHeight="1" x14ac:dyDescent="0.25"/>
    <row r="8197" ht="14.25" customHeight="1" x14ac:dyDescent="0.25"/>
    <row r="8198" ht="14.25" customHeight="1" x14ac:dyDescent="0.25"/>
    <row r="8199" ht="14.25" customHeight="1" x14ac:dyDescent="0.25"/>
    <row r="8200" ht="14.25" customHeight="1" x14ac:dyDescent="0.25"/>
    <row r="8201" ht="14.25" customHeight="1" x14ac:dyDescent="0.25"/>
    <row r="8202" ht="14.25" customHeight="1" x14ac:dyDescent="0.25"/>
    <row r="8203" ht="14.25" customHeight="1" x14ac:dyDescent="0.25"/>
    <row r="8204" ht="14.25" customHeight="1" x14ac:dyDescent="0.25"/>
    <row r="8205" ht="14.25" customHeight="1" x14ac:dyDescent="0.25"/>
    <row r="8206" ht="14.25" customHeight="1" x14ac:dyDescent="0.25"/>
    <row r="8207" ht="14.25" customHeight="1" x14ac:dyDescent="0.25"/>
    <row r="8208" ht="14.25" customHeight="1" x14ac:dyDescent="0.25"/>
    <row r="8209" ht="14.25" customHeight="1" x14ac:dyDescent="0.25"/>
    <row r="8210" ht="14.25" customHeight="1" x14ac:dyDescent="0.25"/>
    <row r="8211" ht="14.25" customHeight="1" x14ac:dyDescent="0.25"/>
    <row r="8212" ht="14.25" customHeight="1" x14ac:dyDescent="0.25"/>
    <row r="8213" ht="14.25" customHeight="1" x14ac:dyDescent="0.25"/>
    <row r="8214" ht="14.25" customHeight="1" x14ac:dyDescent="0.25"/>
    <row r="8215" ht="14.25" customHeight="1" x14ac:dyDescent="0.25"/>
    <row r="8216" ht="14.25" customHeight="1" x14ac:dyDescent="0.25"/>
    <row r="8217" ht="14.25" customHeight="1" x14ac:dyDescent="0.25"/>
    <row r="8218" ht="14.25" customHeight="1" x14ac:dyDescent="0.25"/>
    <row r="8219" ht="14.25" customHeight="1" x14ac:dyDescent="0.25"/>
    <row r="8220" ht="14.25" customHeight="1" x14ac:dyDescent="0.25"/>
    <row r="8221" ht="14.25" customHeight="1" x14ac:dyDescent="0.25"/>
    <row r="8222" ht="14.25" customHeight="1" x14ac:dyDescent="0.25"/>
    <row r="8223" ht="14.25" customHeight="1" x14ac:dyDescent="0.25"/>
    <row r="8224" ht="14.25" customHeight="1" x14ac:dyDescent="0.25"/>
    <row r="8225" ht="14.25" customHeight="1" x14ac:dyDescent="0.25"/>
    <row r="8226" ht="14.25" customHeight="1" x14ac:dyDescent="0.25"/>
    <row r="8227" ht="14.25" customHeight="1" x14ac:dyDescent="0.25"/>
    <row r="8228" ht="14.25" customHeight="1" x14ac:dyDescent="0.25"/>
    <row r="8229" ht="14.25" customHeight="1" x14ac:dyDescent="0.25"/>
    <row r="8230" ht="14.25" customHeight="1" x14ac:dyDescent="0.25"/>
    <row r="8231" ht="14.25" customHeight="1" x14ac:dyDescent="0.25"/>
    <row r="8232" ht="14.25" customHeight="1" x14ac:dyDescent="0.25"/>
    <row r="8233" ht="14.25" customHeight="1" x14ac:dyDescent="0.25"/>
    <row r="8234" ht="14.25" customHeight="1" x14ac:dyDescent="0.25"/>
    <row r="8235" ht="14.25" customHeight="1" x14ac:dyDescent="0.25"/>
    <row r="8236" ht="14.25" customHeight="1" x14ac:dyDescent="0.25"/>
    <row r="8237" ht="14.25" customHeight="1" x14ac:dyDescent="0.25"/>
    <row r="8238" ht="14.25" customHeight="1" x14ac:dyDescent="0.25"/>
    <row r="8239" ht="14.25" customHeight="1" x14ac:dyDescent="0.25"/>
    <row r="8240" ht="14.25" customHeight="1" x14ac:dyDescent="0.25"/>
    <row r="8241" ht="14.25" customHeight="1" x14ac:dyDescent="0.25"/>
    <row r="8242" ht="14.25" customHeight="1" x14ac:dyDescent="0.25"/>
    <row r="8243" ht="14.25" customHeight="1" x14ac:dyDescent="0.25"/>
    <row r="8244" ht="14.25" customHeight="1" x14ac:dyDescent="0.25"/>
    <row r="8245" ht="14.25" customHeight="1" x14ac:dyDescent="0.25"/>
    <row r="8246" ht="14.25" customHeight="1" x14ac:dyDescent="0.25"/>
    <row r="8247" ht="14.25" customHeight="1" x14ac:dyDescent="0.25"/>
    <row r="8248" ht="14.25" customHeight="1" x14ac:dyDescent="0.25"/>
    <row r="8249" ht="14.25" customHeight="1" x14ac:dyDescent="0.25"/>
    <row r="8250" ht="14.25" customHeight="1" x14ac:dyDescent="0.25"/>
    <row r="8251" ht="14.25" customHeight="1" x14ac:dyDescent="0.25"/>
    <row r="8252" ht="14.25" customHeight="1" x14ac:dyDescent="0.25"/>
    <row r="8253" ht="14.25" customHeight="1" x14ac:dyDescent="0.25"/>
    <row r="8254" ht="14.25" customHeight="1" x14ac:dyDescent="0.25"/>
    <row r="8255" ht="14.25" customHeight="1" x14ac:dyDescent="0.25"/>
    <row r="8256" ht="14.25" customHeight="1" x14ac:dyDescent="0.25"/>
    <row r="8257" ht="14.25" customHeight="1" x14ac:dyDescent="0.25"/>
    <row r="8258" ht="14.25" customHeight="1" x14ac:dyDescent="0.25"/>
    <row r="8259" ht="14.25" customHeight="1" x14ac:dyDescent="0.25"/>
    <row r="8260" ht="14.25" customHeight="1" x14ac:dyDescent="0.25"/>
    <row r="8261" ht="14.25" customHeight="1" x14ac:dyDescent="0.25"/>
    <row r="8262" ht="14.25" customHeight="1" x14ac:dyDescent="0.25"/>
    <row r="8263" ht="14.25" customHeight="1" x14ac:dyDescent="0.25"/>
    <row r="8264" ht="14.25" customHeight="1" x14ac:dyDescent="0.25"/>
    <row r="8265" ht="14.25" customHeight="1" x14ac:dyDescent="0.25"/>
    <row r="8266" ht="14.25" customHeight="1" x14ac:dyDescent="0.25"/>
    <row r="8267" ht="14.25" customHeight="1" x14ac:dyDescent="0.25"/>
    <row r="8268" ht="14.25" customHeight="1" x14ac:dyDescent="0.25"/>
    <row r="8269" ht="14.25" customHeight="1" x14ac:dyDescent="0.25"/>
    <row r="8270" ht="14.25" customHeight="1" x14ac:dyDescent="0.25"/>
    <row r="8271" ht="14.25" customHeight="1" x14ac:dyDescent="0.25"/>
    <row r="8272" ht="14.25" customHeight="1" x14ac:dyDescent="0.25"/>
    <row r="8273" ht="14.25" customHeight="1" x14ac:dyDescent="0.25"/>
    <row r="8274" ht="14.25" customHeight="1" x14ac:dyDescent="0.25"/>
    <row r="8275" ht="14.25" customHeight="1" x14ac:dyDescent="0.25"/>
    <row r="8276" ht="14.25" customHeight="1" x14ac:dyDescent="0.25"/>
    <row r="8277" ht="14.25" customHeight="1" x14ac:dyDescent="0.25"/>
    <row r="8278" ht="14.25" customHeight="1" x14ac:dyDescent="0.25"/>
    <row r="8279" ht="14.25" customHeight="1" x14ac:dyDescent="0.25"/>
    <row r="8280" ht="14.25" customHeight="1" x14ac:dyDescent="0.25"/>
    <row r="8281" ht="14.25" customHeight="1" x14ac:dyDescent="0.25"/>
    <row r="8282" ht="14.25" customHeight="1" x14ac:dyDescent="0.25"/>
    <row r="8283" ht="14.25" customHeight="1" x14ac:dyDescent="0.25"/>
    <row r="8284" ht="14.25" customHeight="1" x14ac:dyDescent="0.25"/>
    <row r="8285" ht="14.25" customHeight="1" x14ac:dyDescent="0.25"/>
    <row r="8286" ht="14.25" customHeight="1" x14ac:dyDescent="0.25"/>
    <row r="8287" ht="14.25" customHeight="1" x14ac:dyDescent="0.25"/>
    <row r="8288" ht="14.25" customHeight="1" x14ac:dyDescent="0.25"/>
    <row r="8289" ht="14.25" customHeight="1" x14ac:dyDescent="0.25"/>
    <row r="8290" ht="14.25" customHeight="1" x14ac:dyDescent="0.25"/>
    <row r="8291" ht="14.25" customHeight="1" x14ac:dyDescent="0.25"/>
    <row r="8292" ht="14.25" customHeight="1" x14ac:dyDescent="0.25"/>
    <row r="8293" ht="14.25" customHeight="1" x14ac:dyDescent="0.25"/>
    <row r="8294" ht="14.25" customHeight="1" x14ac:dyDescent="0.25"/>
    <row r="8295" ht="14.25" customHeight="1" x14ac:dyDescent="0.25"/>
    <row r="8296" ht="14.25" customHeight="1" x14ac:dyDescent="0.25"/>
    <row r="8297" ht="14.25" customHeight="1" x14ac:dyDescent="0.25"/>
    <row r="8298" ht="14.25" customHeight="1" x14ac:dyDescent="0.25"/>
    <row r="8299" ht="14.25" customHeight="1" x14ac:dyDescent="0.25"/>
    <row r="8300" ht="14.25" customHeight="1" x14ac:dyDescent="0.25"/>
    <row r="8301" ht="14.25" customHeight="1" x14ac:dyDescent="0.25"/>
    <row r="8302" ht="14.25" customHeight="1" x14ac:dyDescent="0.25"/>
    <row r="8303" ht="14.25" customHeight="1" x14ac:dyDescent="0.25"/>
    <row r="8304" ht="14.25" customHeight="1" x14ac:dyDescent="0.25"/>
    <row r="8305" ht="14.25" customHeight="1" x14ac:dyDescent="0.25"/>
    <row r="8306" ht="14.25" customHeight="1" x14ac:dyDescent="0.25"/>
    <row r="8307" ht="14.25" customHeight="1" x14ac:dyDescent="0.25"/>
    <row r="8308" ht="14.25" customHeight="1" x14ac:dyDescent="0.25"/>
    <row r="8309" ht="14.25" customHeight="1" x14ac:dyDescent="0.25"/>
    <row r="8310" ht="14.25" customHeight="1" x14ac:dyDescent="0.25"/>
    <row r="8311" ht="14.25" customHeight="1" x14ac:dyDescent="0.25"/>
    <row r="8312" ht="14.25" customHeight="1" x14ac:dyDescent="0.25"/>
    <row r="8313" ht="14.25" customHeight="1" x14ac:dyDescent="0.25"/>
    <row r="8314" ht="14.25" customHeight="1" x14ac:dyDescent="0.25"/>
    <row r="8315" ht="14.25" customHeight="1" x14ac:dyDescent="0.25"/>
    <row r="8316" ht="14.25" customHeight="1" x14ac:dyDescent="0.25"/>
    <row r="8317" ht="14.25" customHeight="1" x14ac:dyDescent="0.25"/>
    <row r="8318" ht="14.25" customHeight="1" x14ac:dyDescent="0.25"/>
    <row r="8319" ht="14.25" customHeight="1" x14ac:dyDescent="0.25"/>
    <row r="8320" ht="14.25" customHeight="1" x14ac:dyDescent="0.25"/>
    <row r="8321" ht="14.25" customHeight="1" x14ac:dyDescent="0.25"/>
    <row r="8322" ht="14.25" customHeight="1" x14ac:dyDescent="0.25"/>
    <row r="8323" ht="14.25" customHeight="1" x14ac:dyDescent="0.25"/>
    <row r="8324" ht="14.25" customHeight="1" x14ac:dyDescent="0.25"/>
    <row r="8325" ht="14.25" customHeight="1" x14ac:dyDescent="0.25"/>
    <row r="8326" ht="14.25" customHeight="1" x14ac:dyDescent="0.25"/>
    <row r="8327" ht="14.25" customHeight="1" x14ac:dyDescent="0.25"/>
    <row r="8328" ht="14.25" customHeight="1" x14ac:dyDescent="0.25"/>
    <row r="8329" ht="14.25" customHeight="1" x14ac:dyDescent="0.25"/>
    <row r="8330" ht="14.25" customHeight="1" x14ac:dyDescent="0.25"/>
    <row r="8331" ht="14.25" customHeight="1" x14ac:dyDescent="0.25"/>
    <row r="8332" ht="14.25" customHeight="1" x14ac:dyDescent="0.25"/>
    <row r="8333" ht="14.25" customHeight="1" x14ac:dyDescent="0.25"/>
    <row r="8334" ht="14.25" customHeight="1" x14ac:dyDescent="0.25"/>
    <row r="8335" ht="14.25" customHeight="1" x14ac:dyDescent="0.25"/>
    <row r="8336" ht="14.25" customHeight="1" x14ac:dyDescent="0.25"/>
    <row r="8337" ht="14.25" customHeight="1" x14ac:dyDescent="0.25"/>
    <row r="8338" ht="14.25" customHeight="1" x14ac:dyDescent="0.25"/>
    <row r="8339" ht="14.25" customHeight="1" x14ac:dyDescent="0.25"/>
    <row r="8340" ht="14.25" customHeight="1" x14ac:dyDescent="0.25"/>
    <row r="8341" ht="14.25" customHeight="1" x14ac:dyDescent="0.25"/>
    <row r="8342" ht="14.25" customHeight="1" x14ac:dyDescent="0.25"/>
    <row r="8343" ht="14.25" customHeight="1" x14ac:dyDescent="0.25"/>
    <row r="8344" ht="14.25" customHeight="1" x14ac:dyDescent="0.25"/>
    <row r="8345" ht="14.25" customHeight="1" x14ac:dyDescent="0.25"/>
    <row r="8346" ht="14.25" customHeight="1" x14ac:dyDescent="0.25"/>
    <row r="8347" ht="14.25" customHeight="1" x14ac:dyDescent="0.25"/>
    <row r="8348" ht="14.25" customHeight="1" x14ac:dyDescent="0.25"/>
    <row r="8349" ht="14.25" customHeight="1" x14ac:dyDescent="0.25"/>
    <row r="8350" ht="14.25" customHeight="1" x14ac:dyDescent="0.25"/>
    <row r="8351" ht="14.25" customHeight="1" x14ac:dyDescent="0.25"/>
    <row r="8352" ht="14.25" customHeight="1" x14ac:dyDescent="0.25"/>
    <row r="8353" ht="14.25" customHeight="1" x14ac:dyDescent="0.25"/>
    <row r="8354" ht="14.25" customHeight="1" x14ac:dyDescent="0.25"/>
    <row r="8355" ht="14.25" customHeight="1" x14ac:dyDescent="0.25"/>
    <row r="8356" ht="14.25" customHeight="1" x14ac:dyDescent="0.25"/>
    <row r="8357" ht="14.25" customHeight="1" x14ac:dyDescent="0.25"/>
    <row r="8358" ht="14.25" customHeight="1" x14ac:dyDescent="0.25"/>
    <row r="8359" ht="14.25" customHeight="1" x14ac:dyDescent="0.25"/>
    <row r="8360" ht="14.25" customHeight="1" x14ac:dyDescent="0.25"/>
    <row r="8361" ht="14.25" customHeight="1" x14ac:dyDescent="0.25"/>
    <row r="8362" ht="14.25" customHeight="1" x14ac:dyDescent="0.25"/>
    <row r="8363" ht="14.25" customHeight="1" x14ac:dyDescent="0.25"/>
    <row r="8364" ht="14.25" customHeight="1" x14ac:dyDescent="0.25"/>
    <row r="8365" ht="14.25" customHeight="1" x14ac:dyDescent="0.25"/>
    <row r="8366" ht="14.25" customHeight="1" x14ac:dyDescent="0.25"/>
    <row r="8367" ht="14.25" customHeight="1" x14ac:dyDescent="0.25"/>
    <row r="8368" ht="14.25" customHeight="1" x14ac:dyDescent="0.25"/>
    <row r="8369" ht="14.25" customHeight="1" x14ac:dyDescent="0.25"/>
    <row r="8370" ht="14.25" customHeight="1" x14ac:dyDescent="0.25"/>
    <row r="8371" ht="14.25" customHeight="1" x14ac:dyDescent="0.25"/>
    <row r="8372" ht="14.25" customHeight="1" x14ac:dyDescent="0.25"/>
    <row r="8373" ht="14.25" customHeight="1" x14ac:dyDescent="0.25"/>
    <row r="8374" ht="14.25" customHeight="1" x14ac:dyDescent="0.25"/>
    <row r="8375" ht="14.25" customHeight="1" x14ac:dyDescent="0.25"/>
    <row r="8376" ht="14.25" customHeight="1" x14ac:dyDescent="0.25"/>
    <row r="8377" ht="14.25" customHeight="1" x14ac:dyDescent="0.25"/>
    <row r="8378" ht="14.25" customHeight="1" x14ac:dyDescent="0.25"/>
    <row r="8379" ht="14.25" customHeight="1" x14ac:dyDescent="0.25"/>
    <row r="8380" ht="14.25" customHeight="1" x14ac:dyDescent="0.25"/>
    <row r="8381" ht="14.25" customHeight="1" x14ac:dyDescent="0.25"/>
    <row r="8382" ht="14.25" customHeight="1" x14ac:dyDescent="0.25"/>
    <row r="8383" ht="14.25" customHeight="1" x14ac:dyDescent="0.25"/>
    <row r="8384" ht="14.25" customHeight="1" x14ac:dyDescent="0.25"/>
    <row r="8385" ht="14.25" customHeight="1" x14ac:dyDescent="0.25"/>
    <row r="8386" ht="14.25" customHeight="1" x14ac:dyDescent="0.25"/>
    <row r="8387" ht="14.25" customHeight="1" x14ac:dyDescent="0.25"/>
    <row r="8388" ht="14.25" customHeight="1" x14ac:dyDescent="0.25"/>
    <row r="8389" ht="14.25" customHeight="1" x14ac:dyDescent="0.25"/>
    <row r="8390" ht="14.25" customHeight="1" x14ac:dyDescent="0.25"/>
    <row r="8391" ht="14.25" customHeight="1" x14ac:dyDescent="0.25"/>
    <row r="8392" ht="14.25" customHeight="1" x14ac:dyDescent="0.25"/>
    <row r="8393" ht="14.25" customHeight="1" x14ac:dyDescent="0.25"/>
    <row r="8394" ht="14.25" customHeight="1" x14ac:dyDescent="0.25"/>
    <row r="8395" ht="14.25" customHeight="1" x14ac:dyDescent="0.25"/>
    <row r="8396" ht="14.25" customHeight="1" x14ac:dyDescent="0.25"/>
    <row r="8397" ht="14.25" customHeight="1" x14ac:dyDescent="0.25"/>
    <row r="8398" ht="14.25" customHeight="1" x14ac:dyDescent="0.25"/>
    <row r="8399" ht="14.25" customHeight="1" x14ac:dyDescent="0.25"/>
    <row r="8400" ht="14.25" customHeight="1" x14ac:dyDescent="0.25"/>
    <row r="8401" ht="14.25" customHeight="1" x14ac:dyDescent="0.25"/>
    <row r="8402" ht="14.25" customHeight="1" x14ac:dyDescent="0.25"/>
    <row r="8403" ht="14.25" customHeight="1" x14ac:dyDescent="0.25"/>
    <row r="8404" ht="14.25" customHeight="1" x14ac:dyDescent="0.25"/>
    <row r="8405" ht="14.25" customHeight="1" x14ac:dyDescent="0.25"/>
    <row r="8406" ht="14.25" customHeight="1" x14ac:dyDescent="0.25"/>
    <row r="8407" ht="14.25" customHeight="1" x14ac:dyDescent="0.25"/>
    <row r="8408" ht="14.25" customHeight="1" x14ac:dyDescent="0.25"/>
    <row r="8409" ht="14.25" customHeight="1" x14ac:dyDescent="0.25"/>
    <row r="8410" ht="14.25" customHeight="1" x14ac:dyDescent="0.25"/>
    <row r="8411" ht="14.25" customHeight="1" x14ac:dyDescent="0.25"/>
    <row r="8412" ht="14.25" customHeight="1" x14ac:dyDescent="0.25"/>
    <row r="8413" ht="14.25" customHeight="1" x14ac:dyDescent="0.25"/>
    <row r="8414" ht="14.25" customHeight="1" x14ac:dyDescent="0.25"/>
    <row r="8415" ht="14.25" customHeight="1" x14ac:dyDescent="0.25"/>
    <row r="8416" ht="14.25" customHeight="1" x14ac:dyDescent="0.25"/>
    <row r="8417" ht="14.25" customHeight="1" x14ac:dyDescent="0.25"/>
    <row r="8418" ht="14.25" customHeight="1" x14ac:dyDescent="0.25"/>
    <row r="8419" ht="14.25" customHeight="1" x14ac:dyDescent="0.25"/>
    <row r="8420" ht="14.25" customHeight="1" x14ac:dyDescent="0.25"/>
    <row r="8421" ht="14.25" customHeight="1" x14ac:dyDescent="0.25"/>
    <row r="8422" ht="14.25" customHeight="1" x14ac:dyDescent="0.25"/>
    <row r="8423" ht="14.25" customHeight="1" x14ac:dyDescent="0.25"/>
    <row r="8424" ht="14.25" customHeight="1" x14ac:dyDescent="0.25"/>
    <row r="8425" ht="14.25" customHeight="1" x14ac:dyDescent="0.25"/>
    <row r="8426" ht="14.25" customHeight="1" x14ac:dyDescent="0.25"/>
    <row r="8427" ht="14.25" customHeight="1" x14ac:dyDescent="0.25"/>
    <row r="8428" ht="14.25" customHeight="1" x14ac:dyDescent="0.25"/>
    <row r="8429" ht="14.25" customHeight="1" x14ac:dyDescent="0.25"/>
    <row r="8430" ht="14.25" customHeight="1" x14ac:dyDescent="0.25"/>
    <row r="8431" ht="14.25" customHeight="1" x14ac:dyDescent="0.25"/>
    <row r="8432" ht="14.25" customHeight="1" x14ac:dyDescent="0.25"/>
    <row r="8433" ht="14.25" customHeight="1" x14ac:dyDescent="0.25"/>
    <row r="8434" ht="14.25" customHeight="1" x14ac:dyDescent="0.25"/>
    <row r="8435" ht="14.25" customHeight="1" x14ac:dyDescent="0.25"/>
    <row r="8436" ht="14.25" customHeight="1" x14ac:dyDescent="0.25"/>
    <row r="8437" ht="14.25" customHeight="1" x14ac:dyDescent="0.25"/>
    <row r="8438" ht="14.25" customHeight="1" x14ac:dyDescent="0.25"/>
    <row r="8439" ht="14.25" customHeight="1" x14ac:dyDescent="0.25"/>
    <row r="8440" ht="14.25" customHeight="1" x14ac:dyDescent="0.25"/>
    <row r="8441" ht="14.25" customHeight="1" x14ac:dyDescent="0.25"/>
    <row r="8442" ht="14.25" customHeight="1" x14ac:dyDescent="0.25"/>
    <row r="8443" ht="14.25" customHeight="1" x14ac:dyDescent="0.25"/>
    <row r="8444" ht="14.25" customHeight="1" x14ac:dyDescent="0.25"/>
    <row r="8445" ht="14.25" customHeight="1" x14ac:dyDescent="0.25"/>
    <row r="8446" ht="14.25" customHeight="1" x14ac:dyDescent="0.25"/>
    <row r="8447" ht="14.25" customHeight="1" x14ac:dyDescent="0.25"/>
    <row r="8448" ht="14.25" customHeight="1" x14ac:dyDescent="0.25"/>
    <row r="8449" ht="14.25" customHeight="1" x14ac:dyDescent="0.25"/>
    <row r="8450" ht="14.25" customHeight="1" x14ac:dyDescent="0.25"/>
    <row r="8451" ht="14.25" customHeight="1" x14ac:dyDescent="0.25"/>
    <row r="8452" ht="14.25" customHeight="1" x14ac:dyDescent="0.25"/>
    <row r="8453" ht="14.25" customHeight="1" x14ac:dyDescent="0.25"/>
    <row r="8454" ht="14.25" customHeight="1" x14ac:dyDescent="0.25"/>
    <row r="8455" ht="14.25" customHeight="1" x14ac:dyDescent="0.25"/>
    <row r="8456" ht="14.25" customHeight="1" x14ac:dyDescent="0.25"/>
    <row r="8457" ht="14.25" customHeight="1" x14ac:dyDescent="0.25"/>
    <row r="8458" ht="14.25" customHeight="1" x14ac:dyDescent="0.25"/>
    <row r="8459" ht="14.25" customHeight="1" x14ac:dyDescent="0.25"/>
    <row r="8460" ht="14.25" customHeight="1" x14ac:dyDescent="0.25"/>
    <row r="8461" ht="14.25" customHeight="1" x14ac:dyDescent="0.25"/>
    <row r="8462" ht="14.25" customHeight="1" x14ac:dyDescent="0.25"/>
    <row r="8463" ht="14.25" customHeight="1" x14ac:dyDescent="0.25"/>
    <row r="8464" ht="14.25" customHeight="1" x14ac:dyDescent="0.25"/>
    <row r="8465" ht="14.25" customHeight="1" x14ac:dyDescent="0.25"/>
    <row r="8466" ht="14.25" customHeight="1" x14ac:dyDescent="0.25"/>
    <row r="8467" ht="14.25" customHeight="1" x14ac:dyDescent="0.25"/>
    <row r="8468" ht="14.25" customHeight="1" x14ac:dyDescent="0.25"/>
    <row r="8469" ht="14.25" customHeight="1" x14ac:dyDescent="0.25"/>
    <row r="8470" ht="14.25" customHeight="1" x14ac:dyDescent="0.25"/>
    <row r="8471" ht="14.25" customHeight="1" x14ac:dyDescent="0.25"/>
    <row r="8472" ht="14.25" customHeight="1" x14ac:dyDescent="0.25"/>
    <row r="8473" ht="14.25" customHeight="1" x14ac:dyDescent="0.25"/>
    <row r="8474" ht="14.25" customHeight="1" x14ac:dyDescent="0.25"/>
    <row r="8475" ht="14.25" customHeight="1" x14ac:dyDescent="0.25"/>
    <row r="8476" ht="14.25" customHeight="1" x14ac:dyDescent="0.25"/>
    <row r="8477" ht="14.25" customHeight="1" x14ac:dyDescent="0.25"/>
    <row r="8478" ht="14.25" customHeight="1" x14ac:dyDescent="0.25"/>
    <row r="8479" ht="14.25" customHeight="1" x14ac:dyDescent="0.25"/>
    <row r="8480" ht="14.25" customHeight="1" x14ac:dyDescent="0.25"/>
    <row r="8481" ht="14.25" customHeight="1" x14ac:dyDescent="0.25"/>
    <row r="8482" ht="14.25" customHeight="1" x14ac:dyDescent="0.25"/>
    <row r="8483" ht="14.25" customHeight="1" x14ac:dyDescent="0.25"/>
    <row r="8484" ht="14.25" customHeight="1" x14ac:dyDescent="0.25"/>
    <row r="8485" ht="14.25" customHeight="1" x14ac:dyDescent="0.25"/>
    <row r="8486" ht="14.25" customHeight="1" x14ac:dyDescent="0.25"/>
    <row r="8487" ht="14.25" customHeight="1" x14ac:dyDescent="0.25"/>
    <row r="8488" ht="14.25" customHeight="1" x14ac:dyDescent="0.25"/>
    <row r="8489" ht="14.25" customHeight="1" x14ac:dyDescent="0.25"/>
    <row r="8490" ht="14.25" customHeight="1" x14ac:dyDescent="0.25"/>
    <row r="8491" ht="14.25" customHeight="1" x14ac:dyDescent="0.25"/>
    <row r="8492" ht="14.25" customHeight="1" x14ac:dyDescent="0.25"/>
    <row r="8493" ht="14.25" customHeight="1" x14ac:dyDescent="0.25"/>
    <row r="8494" ht="14.25" customHeight="1" x14ac:dyDescent="0.25"/>
    <row r="8495" ht="14.25" customHeight="1" x14ac:dyDescent="0.25"/>
    <row r="8496" ht="14.25" customHeight="1" x14ac:dyDescent="0.25"/>
    <row r="8497" ht="14.25" customHeight="1" x14ac:dyDescent="0.25"/>
    <row r="8498" ht="14.25" customHeight="1" x14ac:dyDescent="0.25"/>
    <row r="8499" ht="14.25" customHeight="1" x14ac:dyDescent="0.25"/>
    <row r="8500" ht="14.25" customHeight="1" x14ac:dyDescent="0.25"/>
    <row r="8501" ht="14.25" customHeight="1" x14ac:dyDescent="0.25"/>
    <row r="8502" ht="14.25" customHeight="1" x14ac:dyDescent="0.25"/>
    <row r="8503" ht="14.25" customHeight="1" x14ac:dyDescent="0.25"/>
    <row r="8504" ht="14.25" customHeight="1" x14ac:dyDescent="0.25"/>
    <row r="8505" ht="14.25" customHeight="1" x14ac:dyDescent="0.25"/>
    <row r="8506" ht="14.25" customHeight="1" x14ac:dyDescent="0.25"/>
    <row r="8507" ht="14.25" customHeight="1" x14ac:dyDescent="0.25"/>
    <row r="8508" ht="14.25" customHeight="1" x14ac:dyDescent="0.25"/>
    <row r="8509" ht="14.25" customHeight="1" x14ac:dyDescent="0.25"/>
    <row r="8510" ht="14.25" customHeight="1" x14ac:dyDescent="0.25"/>
    <row r="8511" ht="14.25" customHeight="1" x14ac:dyDescent="0.25"/>
    <row r="8512" ht="14.25" customHeight="1" x14ac:dyDescent="0.25"/>
    <row r="8513" ht="14.25" customHeight="1" x14ac:dyDescent="0.25"/>
    <row r="8514" ht="14.25" customHeight="1" x14ac:dyDescent="0.25"/>
    <row r="8515" ht="14.25" customHeight="1" x14ac:dyDescent="0.25"/>
    <row r="8516" ht="14.25" customHeight="1" x14ac:dyDescent="0.25"/>
    <row r="8517" ht="14.25" customHeight="1" x14ac:dyDescent="0.25"/>
    <row r="8518" ht="14.25" customHeight="1" x14ac:dyDescent="0.25"/>
    <row r="8519" ht="14.25" customHeight="1" x14ac:dyDescent="0.25"/>
    <row r="8520" ht="14.25" customHeight="1" x14ac:dyDescent="0.25"/>
    <row r="8521" ht="14.25" customHeight="1" x14ac:dyDescent="0.25"/>
    <row r="8522" ht="14.25" customHeight="1" x14ac:dyDescent="0.25"/>
    <row r="8523" ht="14.25" customHeight="1" x14ac:dyDescent="0.25"/>
    <row r="8524" ht="14.25" customHeight="1" x14ac:dyDescent="0.25"/>
    <row r="8525" ht="14.25" customHeight="1" x14ac:dyDescent="0.25"/>
    <row r="8526" ht="14.25" customHeight="1" x14ac:dyDescent="0.25"/>
    <row r="8527" ht="14.25" customHeight="1" x14ac:dyDescent="0.25"/>
    <row r="8528" ht="14.25" customHeight="1" x14ac:dyDescent="0.25"/>
    <row r="8529" ht="14.25" customHeight="1" x14ac:dyDescent="0.25"/>
    <row r="8530" ht="14.25" customHeight="1" x14ac:dyDescent="0.25"/>
    <row r="8531" ht="14.25" customHeight="1" x14ac:dyDescent="0.25"/>
    <row r="8532" ht="14.25" customHeight="1" x14ac:dyDescent="0.25"/>
    <row r="8533" ht="14.25" customHeight="1" x14ac:dyDescent="0.25"/>
    <row r="8534" ht="14.25" customHeight="1" x14ac:dyDescent="0.25"/>
    <row r="8535" ht="14.25" customHeight="1" x14ac:dyDescent="0.25"/>
    <row r="8536" ht="14.25" customHeight="1" x14ac:dyDescent="0.25"/>
    <row r="8537" ht="14.25" customHeight="1" x14ac:dyDescent="0.25"/>
    <row r="8538" ht="14.25" customHeight="1" x14ac:dyDescent="0.25"/>
    <row r="8539" ht="14.25" customHeight="1" x14ac:dyDescent="0.25"/>
    <row r="8540" ht="14.25" customHeight="1" x14ac:dyDescent="0.25"/>
    <row r="8541" ht="14.25" customHeight="1" x14ac:dyDescent="0.25"/>
    <row r="8542" ht="14.25" customHeight="1" x14ac:dyDescent="0.25"/>
    <row r="8543" ht="14.25" customHeight="1" x14ac:dyDescent="0.25"/>
    <row r="8544" ht="14.25" customHeight="1" x14ac:dyDescent="0.25"/>
    <row r="8545" ht="14.25" customHeight="1" x14ac:dyDescent="0.25"/>
    <row r="8546" ht="14.25" customHeight="1" x14ac:dyDescent="0.25"/>
    <row r="8547" ht="14.25" customHeight="1" x14ac:dyDescent="0.25"/>
    <row r="8548" ht="14.25" customHeight="1" x14ac:dyDescent="0.25"/>
    <row r="8549" ht="14.25" customHeight="1" x14ac:dyDescent="0.25"/>
    <row r="8550" ht="14.25" customHeight="1" x14ac:dyDescent="0.25"/>
    <row r="8551" ht="14.25" customHeight="1" x14ac:dyDescent="0.25"/>
    <row r="8552" ht="14.25" customHeight="1" x14ac:dyDescent="0.25"/>
    <row r="8553" ht="14.25" customHeight="1" x14ac:dyDescent="0.25"/>
    <row r="8554" ht="14.25" customHeight="1" x14ac:dyDescent="0.25"/>
    <row r="8555" ht="14.25" customHeight="1" x14ac:dyDescent="0.25"/>
    <row r="8556" ht="14.25" customHeight="1" x14ac:dyDescent="0.25"/>
    <row r="8557" ht="14.25" customHeight="1" x14ac:dyDescent="0.25"/>
    <row r="8558" ht="14.25" customHeight="1" x14ac:dyDescent="0.25"/>
    <row r="8559" ht="14.25" customHeight="1" x14ac:dyDescent="0.25"/>
    <row r="8560" ht="14.25" customHeight="1" x14ac:dyDescent="0.25"/>
    <row r="8561" ht="14.25" customHeight="1" x14ac:dyDescent="0.25"/>
    <row r="8562" ht="14.25" customHeight="1" x14ac:dyDescent="0.25"/>
    <row r="8563" ht="14.25" customHeight="1" x14ac:dyDescent="0.25"/>
    <row r="8564" ht="14.25" customHeight="1" x14ac:dyDescent="0.25"/>
    <row r="8565" ht="14.25" customHeight="1" x14ac:dyDescent="0.25"/>
    <row r="8566" ht="14.25" customHeight="1" x14ac:dyDescent="0.25"/>
    <row r="8567" ht="14.25" customHeight="1" x14ac:dyDescent="0.25"/>
    <row r="8568" ht="14.25" customHeight="1" x14ac:dyDescent="0.25"/>
    <row r="8569" ht="14.25" customHeight="1" x14ac:dyDescent="0.25"/>
    <row r="8570" ht="14.25" customHeight="1" x14ac:dyDescent="0.25"/>
    <row r="8571" ht="14.25" customHeight="1" x14ac:dyDescent="0.25"/>
    <row r="8572" ht="14.25" customHeight="1" x14ac:dyDescent="0.25"/>
    <row r="8573" ht="14.25" customHeight="1" x14ac:dyDescent="0.25"/>
    <row r="8574" ht="14.25" customHeight="1" x14ac:dyDescent="0.25"/>
    <row r="8575" ht="14.25" customHeight="1" x14ac:dyDescent="0.25"/>
    <row r="8576" ht="14.25" customHeight="1" x14ac:dyDescent="0.25"/>
    <row r="8577" ht="14.25" customHeight="1" x14ac:dyDescent="0.25"/>
    <row r="8578" ht="14.25" customHeight="1" x14ac:dyDescent="0.25"/>
    <row r="8579" ht="14.25" customHeight="1" x14ac:dyDescent="0.25"/>
    <row r="8580" ht="14.25" customHeight="1" x14ac:dyDescent="0.25"/>
    <row r="8581" ht="14.25" customHeight="1" x14ac:dyDescent="0.25"/>
    <row r="8582" ht="14.25" customHeight="1" x14ac:dyDescent="0.25"/>
    <row r="8583" ht="14.25" customHeight="1" x14ac:dyDescent="0.25"/>
    <row r="8584" ht="14.25" customHeight="1" x14ac:dyDescent="0.25"/>
    <row r="8585" ht="14.25" customHeight="1" x14ac:dyDescent="0.25"/>
    <row r="8586" ht="14.25" customHeight="1" x14ac:dyDescent="0.25"/>
    <row r="8587" ht="14.25" customHeight="1" x14ac:dyDescent="0.25"/>
    <row r="8588" ht="14.25" customHeight="1" x14ac:dyDescent="0.25"/>
    <row r="8589" ht="14.25" customHeight="1" x14ac:dyDescent="0.25"/>
    <row r="8590" ht="14.25" customHeight="1" x14ac:dyDescent="0.25"/>
    <row r="8591" ht="14.25" customHeight="1" x14ac:dyDescent="0.25"/>
    <row r="8592" ht="14.25" customHeight="1" x14ac:dyDescent="0.25"/>
    <row r="8593" ht="14.25" customHeight="1" x14ac:dyDescent="0.25"/>
    <row r="8594" ht="14.25" customHeight="1" x14ac:dyDescent="0.25"/>
    <row r="8595" ht="14.25" customHeight="1" x14ac:dyDescent="0.25"/>
    <row r="8596" ht="14.25" customHeight="1" x14ac:dyDescent="0.25"/>
    <row r="8597" ht="14.25" customHeight="1" x14ac:dyDescent="0.25"/>
    <row r="8598" ht="14.25" customHeight="1" x14ac:dyDescent="0.25"/>
    <row r="8599" ht="14.25" customHeight="1" x14ac:dyDescent="0.25"/>
    <row r="8600" ht="14.25" customHeight="1" x14ac:dyDescent="0.25"/>
    <row r="8601" ht="14.25" customHeight="1" x14ac:dyDescent="0.25"/>
    <row r="8602" ht="14.25" customHeight="1" x14ac:dyDescent="0.25"/>
    <row r="8603" ht="14.25" customHeight="1" x14ac:dyDescent="0.25"/>
    <row r="8604" ht="14.25" customHeight="1" x14ac:dyDescent="0.25"/>
    <row r="8605" ht="14.25" customHeight="1" x14ac:dyDescent="0.25"/>
    <row r="8606" ht="14.25" customHeight="1" x14ac:dyDescent="0.25"/>
    <row r="8607" ht="14.25" customHeight="1" x14ac:dyDescent="0.25"/>
    <row r="8608" ht="14.25" customHeight="1" x14ac:dyDescent="0.25"/>
    <row r="8609" ht="14.25" customHeight="1" x14ac:dyDescent="0.25"/>
    <row r="8610" ht="14.25" customHeight="1" x14ac:dyDescent="0.25"/>
    <row r="8611" ht="14.25" customHeight="1" x14ac:dyDescent="0.25"/>
    <row r="8612" ht="14.25" customHeight="1" x14ac:dyDescent="0.25"/>
    <row r="8613" ht="14.25" customHeight="1" x14ac:dyDescent="0.25"/>
    <row r="8614" ht="14.25" customHeight="1" x14ac:dyDescent="0.25"/>
    <row r="8615" ht="14.25" customHeight="1" x14ac:dyDescent="0.25"/>
    <row r="8616" ht="14.25" customHeight="1" x14ac:dyDescent="0.25"/>
    <row r="8617" ht="14.25" customHeight="1" x14ac:dyDescent="0.25"/>
    <row r="8618" ht="14.25" customHeight="1" x14ac:dyDescent="0.25"/>
    <row r="8619" ht="14.25" customHeight="1" x14ac:dyDescent="0.25"/>
    <row r="8620" ht="14.25" customHeight="1" x14ac:dyDescent="0.25"/>
    <row r="8621" ht="14.25" customHeight="1" x14ac:dyDescent="0.25"/>
    <row r="8622" ht="14.25" customHeight="1" x14ac:dyDescent="0.25"/>
    <row r="8623" ht="14.25" customHeight="1" x14ac:dyDescent="0.25"/>
    <row r="8624" ht="14.25" customHeight="1" x14ac:dyDescent="0.25"/>
    <row r="8625" ht="14.25" customHeight="1" x14ac:dyDescent="0.25"/>
    <row r="8626" ht="14.25" customHeight="1" x14ac:dyDescent="0.25"/>
    <row r="8627" ht="14.25" customHeight="1" x14ac:dyDescent="0.25"/>
    <row r="8628" ht="14.25" customHeight="1" x14ac:dyDescent="0.25"/>
    <row r="8629" ht="14.25" customHeight="1" x14ac:dyDescent="0.25"/>
    <row r="8630" ht="14.25" customHeight="1" x14ac:dyDescent="0.25"/>
    <row r="8631" ht="14.25" customHeight="1" x14ac:dyDescent="0.25"/>
    <row r="8632" ht="14.25" customHeight="1" x14ac:dyDescent="0.25"/>
    <row r="8633" ht="14.25" customHeight="1" x14ac:dyDescent="0.25"/>
    <row r="8634" ht="14.25" customHeight="1" x14ac:dyDescent="0.25"/>
    <row r="8635" ht="14.25" customHeight="1" x14ac:dyDescent="0.25"/>
    <row r="8636" ht="14.25" customHeight="1" x14ac:dyDescent="0.25"/>
    <row r="8637" ht="14.25" customHeight="1" x14ac:dyDescent="0.25"/>
    <row r="8638" ht="14.25" customHeight="1" x14ac:dyDescent="0.25"/>
    <row r="8639" ht="14.25" customHeight="1" x14ac:dyDescent="0.25"/>
    <row r="8640" ht="14.25" customHeight="1" x14ac:dyDescent="0.25"/>
    <row r="8641" ht="14.25" customHeight="1" x14ac:dyDescent="0.25"/>
    <row r="8642" ht="14.25" customHeight="1" x14ac:dyDescent="0.25"/>
    <row r="8643" ht="14.25" customHeight="1" x14ac:dyDescent="0.25"/>
    <row r="8644" ht="14.25" customHeight="1" x14ac:dyDescent="0.25"/>
    <row r="8645" ht="14.25" customHeight="1" x14ac:dyDescent="0.25"/>
    <row r="8646" ht="14.25" customHeight="1" x14ac:dyDescent="0.25"/>
    <row r="8647" ht="14.25" customHeight="1" x14ac:dyDescent="0.25"/>
    <row r="8648" ht="14.25" customHeight="1" x14ac:dyDescent="0.25"/>
    <row r="8649" ht="14.25" customHeight="1" x14ac:dyDescent="0.25"/>
    <row r="8650" ht="14.25" customHeight="1" x14ac:dyDescent="0.25"/>
    <row r="8651" ht="14.25" customHeight="1" x14ac:dyDescent="0.25"/>
    <row r="8652" ht="14.25" customHeight="1" x14ac:dyDescent="0.25"/>
    <row r="8653" ht="14.25" customHeight="1" x14ac:dyDescent="0.25"/>
    <row r="8654" ht="14.25" customHeight="1" x14ac:dyDescent="0.25"/>
    <row r="8655" ht="14.25" customHeight="1" x14ac:dyDescent="0.25"/>
    <row r="8656" ht="14.25" customHeight="1" x14ac:dyDescent="0.25"/>
    <row r="8657" ht="14.25" customHeight="1" x14ac:dyDescent="0.25"/>
    <row r="8658" ht="14.25" customHeight="1" x14ac:dyDescent="0.25"/>
    <row r="8659" ht="14.25" customHeight="1" x14ac:dyDescent="0.25"/>
    <row r="8660" ht="14.25" customHeight="1" x14ac:dyDescent="0.25"/>
    <row r="8661" ht="14.25" customHeight="1" x14ac:dyDescent="0.25"/>
    <row r="8662" ht="14.25" customHeight="1" x14ac:dyDescent="0.25"/>
    <row r="8663" ht="14.25" customHeight="1" x14ac:dyDescent="0.25"/>
    <row r="8664" ht="14.25" customHeight="1" x14ac:dyDescent="0.25"/>
    <row r="8665" ht="14.25" customHeight="1" x14ac:dyDescent="0.25"/>
    <row r="8666" ht="14.25" customHeight="1" x14ac:dyDescent="0.25"/>
    <row r="8667" ht="14.25" customHeight="1" x14ac:dyDescent="0.25"/>
    <row r="8668" ht="14.25" customHeight="1" x14ac:dyDescent="0.25"/>
    <row r="8669" ht="14.25" customHeight="1" x14ac:dyDescent="0.25"/>
    <row r="8670" ht="14.25" customHeight="1" x14ac:dyDescent="0.25"/>
    <row r="8671" ht="14.25" customHeight="1" x14ac:dyDescent="0.25"/>
    <row r="8672" ht="14.25" customHeight="1" x14ac:dyDescent="0.25"/>
    <row r="8673" ht="14.25" customHeight="1" x14ac:dyDescent="0.25"/>
    <row r="8674" ht="14.25" customHeight="1" x14ac:dyDescent="0.25"/>
    <row r="8675" ht="14.25" customHeight="1" x14ac:dyDescent="0.25"/>
    <row r="8676" ht="14.25" customHeight="1" x14ac:dyDescent="0.25"/>
    <row r="8677" ht="14.25" customHeight="1" x14ac:dyDescent="0.25"/>
    <row r="8678" ht="14.25" customHeight="1" x14ac:dyDescent="0.25"/>
    <row r="8679" ht="14.25" customHeight="1" x14ac:dyDescent="0.25"/>
    <row r="8680" ht="14.25" customHeight="1" x14ac:dyDescent="0.25"/>
    <row r="8681" ht="14.25" customHeight="1" x14ac:dyDescent="0.25"/>
    <row r="8682" ht="14.25" customHeight="1" x14ac:dyDescent="0.25"/>
    <row r="8683" ht="14.25" customHeight="1" x14ac:dyDescent="0.25"/>
    <row r="8684" ht="14.25" customHeight="1" x14ac:dyDescent="0.25"/>
    <row r="8685" ht="14.25" customHeight="1" x14ac:dyDescent="0.25"/>
    <row r="8686" ht="14.25" customHeight="1" x14ac:dyDescent="0.25"/>
    <row r="8687" ht="14.25" customHeight="1" x14ac:dyDescent="0.25"/>
    <row r="8688" ht="14.25" customHeight="1" x14ac:dyDescent="0.25"/>
    <row r="8689" ht="14.25" customHeight="1" x14ac:dyDescent="0.25"/>
    <row r="8690" ht="14.25" customHeight="1" x14ac:dyDescent="0.25"/>
    <row r="8691" ht="14.25" customHeight="1" x14ac:dyDescent="0.25"/>
    <row r="8692" ht="14.25" customHeight="1" x14ac:dyDescent="0.25"/>
    <row r="8693" ht="14.25" customHeight="1" x14ac:dyDescent="0.25"/>
    <row r="8694" ht="14.25" customHeight="1" x14ac:dyDescent="0.25"/>
    <row r="8695" ht="14.25" customHeight="1" x14ac:dyDescent="0.25"/>
    <row r="8696" ht="14.25" customHeight="1" x14ac:dyDescent="0.25"/>
    <row r="8697" ht="14.25" customHeight="1" x14ac:dyDescent="0.25"/>
    <row r="8698" ht="14.25" customHeight="1" x14ac:dyDescent="0.25"/>
    <row r="8699" ht="14.25" customHeight="1" x14ac:dyDescent="0.25"/>
    <row r="8700" ht="14.25" customHeight="1" x14ac:dyDescent="0.25"/>
    <row r="8701" ht="14.25" customHeight="1" x14ac:dyDescent="0.25"/>
    <row r="8702" ht="14.25" customHeight="1" x14ac:dyDescent="0.25"/>
    <row r="8703" ht="14.25" customHeight="1" x14ac:dyDescent="0.25"/>
    <row r="8704" ht="14.25" customHeight="1" x14ac:dyDescent="0.25"/>
    <row r="8705" ht="14.25" customHeight="1" x14ac:dyDescent="0.25"/>
    <row r="8706" ht="14.25" customHeight="1" x14ac:dyDescent="0.25"/>
    <row r="8707" ht="14.25" customHeight="1" x14ac:dyDescent="0.25"/>
    <row r="8708" ht="14.25" customHeight="1" x14ac:dyDescent="0.25"/>
    <row r="8709" ht="14.25" customHeight="1" x14ac:dyDescent="0.25"/>
    <row r="8710" ht="14.25" customHeight="1" x14ac:dyDescent="0.25"/>
    <row r="8711" ht="14.25" customHeight="1" x14ac:dyDescent="0.25"/>
    <row r="8712" ht="14.25" customHeight="1" x14ac:dyDescent="0.25"/>
    <row r="8713" ht="14.25" customHeight="1" x14ac:dyDescent="0.25"/>
    <row r="8714" ht="14.25" customHeight="1" x14ac:dyDescent="0.25"/>
    <row r="8715" ht="14.25" customHeight="1" x14ac:dyDescent="0.25"/>
    <row r="8716" ht="14.25" customHeight="1" x14ac:dyDescent="0.25"/>
    <row r="8717" ht="14.25" customHeight="1" x14ac:dyDescent="0.25"/>
    <row r="8718" ht="14.25" customHeight="1" x14ac:dyDescent="0.25"/>
    <row r="8719" ht="14.25" customHeight="1" x14ac:dyDescent="0.25"/>
    <row r="8720" ht="14.25" customHeight="1" x14ac:dyDescent="0.25"/>
    <row r="8721" ht="14.25" customHeight="1" x14ac:dyDescent="0.25"/>
    <row r="8722" ht="14.25" customHeight="1" x14ac:dyDescent="0.25"/>
    <row r="8723" ht="14.25" customHeight="1" x14ac:dyDescent="0.25"/>
    <row r="8724" ht="14.25" customHeight="1" x14ac:dyDescent="0.25"/>
    <row r="8725" ht="14.25" customHeight="1" x14ac:dyDescent="0.25"/>
    <row r="8726" ht="14.25" customHeight="1" x14ac:dyDescent="0.25"/>
    <row r="8727" ht="14.25" customHeight="1" x14ac:dyDescent="0.25"/>
    <row r="8728" ht="14.25" customHeight="1" x14ac:dyDescent="0.25"/>
    <row r="8729" ht="14.25" customHeight="1" x14ac:dyDescent="0.25"/>
    <row r="8730" ht="14.25" customHeight="1" x14ac:dyDescent="0.25"/>
    <row r="8731" ht="14.25" customHeight="1" x14ac:dyDescent="0.25"/>
    <row r="8732" ht="14.25" customHeight="1" x14ac:dyDescent="0.25"/>
    <row r="8733" ht="14.25" customHeight="1" x14ac:dyDescent="0.25"/>
    <row r="8734" ht="14.25" customHeight="1" x14ac:dyDescent="0.25"/>
    <row r="8735" ht="14.25" customHeight="1" x14ac:dyDescent="0.25"/>
    <row r="8736" ht="14.25" customHeight="1" x14ac:dyDescent="0.25"/>
    <row r="8737" ht="14.25" customHeight="1" x14ac:dyDescent="0.25"/>
    <row r="8738" ht="14.25" customHeight="1" x14ac:dyDescent="0.25"/>
    <row r="8739" ht="14.25" customHeight="1" x14ac:dyDescent="0.25"/>
    <row r="8740" ht="14.25" customHeight="1" x14ac:dyDescent="0.25"/>
    <row r="8741" ht="14.25" customHeight="1" x14ac:dyDescent="0.25"/>
    <row r="8742" ht="14.25" customHeight="1" x14ac:dyDescent="0.25"/>
    <row r="8743" ht="14.25" customHeight="1" x14ac:dyDescent="0.25"/>
    <row r="8744" ht="14.25" customHeight="1" x14ac:dyDescent="0.25"/>
    <row r="8745" ht="14.25" customHeight="1" x14ac:dyDescent="0.25"/>
    <row r="8746" ht="14.25" customHeight="1" x14ac:dyDescent="0.25"/>
    <row r="8747" ht="14.25" customHeight="1" x14ac:dyDescent="0.25"/>
    <row r="8748" ht="14.25" customHeight="1" x14ac:dyDescent="0.25"/>
    <row r="8749" ht="14.25" customHeight="1" x14ac:dyDescent="0.25"/>
    <row r="8750" ht="14.25" customHeight="1" x14ac:dyDescent="0.25"/>
    <row r="8751" ht="14.25" customHeight="1" x14ac:dyDescent="0.25"/>
    <row r="8752" ht="14.25" customHeight="1" x14ac:dyDescent="0.25"/>
    <row r="8753" ht="14.25" customHeight="1" x14ac:dyDescent="0.25"/>
    <row r="8754" ht="14.25" customHeight="1" x14ac:dyDescent="0.25"/>
    <row r="8755" ht="14.25" customHeight="1" x14ac:dyDescent="0.25"/>
    <row r="8756" ht="14.25" customHeight="1" x14ac:dyDescent="0.25"/>
    <row r="8757" ht="14.25" customHeight="1" x14ac:dyDescent="0.25"/>
    <row r="8758" ht="14.25" customHeight="1" x14ac:dyDescent="0.25"/>
    <row r="8759" ht="14.25" customHeight="1" x14ac:dyDescent="0.25"/>
    <row r="8760" ht="14.25" customHeight="1" x14ac:dyDescent="0.25"/>
    <row r="8761" ht="14.25" customHeight="1" x14ac:dyDescent="0.25"/>
    <row r="8762" ht="14.25" customHeight="1" x14ac:dyDescent="0.25"/>
    <row r="8763" ht="14.25" customHeight="1" x14ac:dyDescent="0.25"/>
    <row r="8764" ht="14.25" customHeight="1" x14ac:dyDescent="0.25"/>
    <row r="8765" ht="14.25" customHeight="1" x14ac:dyDescent="0.25"/>
    <row r="8766" ht="14.25" customHeight="1" x14ac:dyDescent="0.25"/>
    <row r="8767" ht="14.25" customHeight="1" x14ac:dyDescent="0.25"/>
    <row r="8768" ht="14.25" customHeight="1" x14ac:dyDescent="0.25"/>
    <row r="8769" ht="14.25" customHeight="1" x14ac:dyDescent="0.25"/>
    <row r="8770" ht="14.25" customHeight="1" x14ac:dyDescent="0.25"/>
    <row r="8771" ht="14.25" customHeight="1" x14ac:dyDescent="0.25"/>
    <row r="8772" ht="14.25" customHeight="1" x14ac:dyDescent="0.25"/>
    <row r="8773" ht="14.25" customHeight="1" x14ac:dyDescent="0.25"/>
    <row r="8774" ht="14.25" customHeight="1" x14ac:dyDescent="0.25"/>
    <row r="8775" ht="14.25" customHeight="1" x14ac:dyDescent="0.25"/>
    <row r="8776" ht="14.25" customHeight="1" x14ac:dyDescent="0.25"/>
    <row r="8777" ht="14.25" customHeight="1" x14ac:dyDescent="0.25"/>
    <row r="8778" ht="14.25" customHeight="1" x14ac:dyDescent="0.25"/>
    <row r="8779" ht="14.25" customHeight="1" x14ac:dyDescent="0.25"/>
    <row r="8780" ht="14.25" customHeight="1" x14ac:dyDescent="0.25"/>
    <row r="8781" ht="14.25" customHeight="1" x14ac:dyDescent="0.25"/>
    <row r="8782" ht="14.25" customHeight="1" x14ac:dyDescent="0.25"/>
    <row r="8783" ht="14.25" customHeight="1" x14ac:dyDescent="0.25"/>
    <row r="8784" ht="14.25" customHeight="1" x14ac:dyDescent="0.25"/>
    <row r="8785" ht="14.25" customHeight="1" x14ac:dyDescent="0.25"/>
    <row r="8786" ht="14.25" customHeight="1" x14ac:dyDescent="0.25"/>
    <row r="8787" ht="14.25" customHeight="1" x14ac:dyDescent="0.25"/>
    <row r="8788" ht="14.25" customHeight="1" x14ac:dyDescent="0.25"/>
    <row r="8789" ht="14.25" customHeight="1" x14ac:dyDescent="0.25"/>
    <row r="8790" ht="14.25" customHeight="1" x14ac:dyDescent="0.25"/>
    <row r="8791" ht="14.25" customHeight="1" x14ac:dyDescent="0.25"/>
    <row r="8792" ht="14.25" customHeight="1" x14ac:dyDescent="0.25"/>
    <row r="8793" ht="14.25" customHeight="1" x14ac:dyDescent="0.25"/>
    <row r="8794" ht="14.25" customHeight="1" x14ac:dyDescent="0.25"/>
    <row r="8795" ht="14.25" customHeight="1" x14ac:dyDescent="0.25"/>
    <row r="8796" ht="14.25" customHeight="1" x14ac:dyDescent="0.25"/>
    <row r="8797" ht="14.25" customHeight="1" x14ac:dyDescent="0.25"/>
    <row r="8798" ht="14.25" customHeight="1" x14ac:dyDescent="0.25"/>
    <row r="8799" ht="14.25" customHeight="1" x14ac:dyDescent="0.25"/>
    <row r="8800" ht="14.25" customHeight="1" x14ac:dyDescent="0.25"/>
    <row r="8801" ht="14.25" customHeight="1" x14ac:dyDescent="0.25"/>
    <row r="8802" ht="14.25" customHeight="1" x14ac:dyDescent="0.25"/>
    <row r="8803" ht="14.25" customHeight="1" x14ac:dyDescent="0.25"/>
    <row r="8804" ht="14.25" customHeight="1" x14ac:dyDescent="0.25"/>
    <row r="8805" ht="14.25" customHeight="1" x14ac:dyDescent="0.25"/>
    <row r="8806" ht="14.25" customHeight="1" x14ac:dyDescent="0.25"/>
    <row r="8807" ht="14.25" customHeight="1" x14ac:dyDescent="0.25"/>
    <row r="8808" ht="14.25" customHeight="1" x14ac:dyDescent="0.25"/>
    <row r="8809" ht="14.25" customHeight="1" x14ac:dyDescent="0.25"/>
    <row r="8810" ht="14.25" customHeight="1" x14ac:dyDescent="0.25"/>
    <row r="8811" ht="14.25" customHeight="1" x14ac:dyDescent="0.25"/>
    <row r="8812" ht="14.25" customHeight="1" x14ac:dyDescent="0.25"/>
    <row r="8813" ht="14.25" customHeight="1" x14ac:dyDescent="0.25"/>
    <row r="8814" ht="14.25" customHeight="1" x14ac:dyDescent="0.25"/>
    <row r="8815" ht="14.25" customHeight="1" x14ac:dyDescent="0.25"/>
    <row r="8816" ht="14.25" customHeight="1" x14ac:dyDescent="0.25"/>
    <row r="8817" ht="14.25" customHeight="1" x14ac:dyDescent="0.25"/>
    <row r="8818" ht="14.25" customHeight="1" x14ac:dyDescent="0.25"/>
    <row r="8819" ht="14.25" customHeight="1" x14ac:dyDescent="0.25"/>
    <row r="8820" ht="14.25" customHeight="1" x14ac:dyDescent="0.25"/>
    <row r="8821" ht="14.25" customHeight="1" x14ac:dyDescent="0.25"/>
    <row r="8822" ht="14.25" customHeight="1" x14ac:dyDescent="0.25"/>
    <row r="8823" ht="14.25" customHeight="1" x14ac:dyDescent="0.25"/>
    <row r="8824" ht="14.25" customHeight="1" x14ac:dyDescent="0.25"/>
    <row r="8825" ht="14.25" customHeight="1" x14ac:dyDescent="0.25"/>
    <row r="8826" ht="14.25" customHeight="1" x14ac:dyDescent="0.25"/>
    <row r="8827" ht="14.25" customHeight="1" x14ac:dyDescent="0.25"/>
    <row r="8828" ht="14.25" customHeight="1" x14ac:dyDescent="0.25"/>
    <row r="8829" ht="14.25" customHeight="1" x14ac:dyDescent="0.25"/>
    <row r="8830" ht="14.25" customHeight="1" x14ac:dyDescent="0.25"/>
    <row r="8831" ht="14.25" customHeight="1" x14ac:dyDescent="0.25"/>
    <row r="8832" ht="14.25" customHeight="1" x14ac:dyDescent="0.25"/>
    <row r="8833" ht="14.25" customHeight="1" x14ac:dyDescent="0.25"/>
    <row r="8834" ht="14.25" customHeight="1" x14ac:dyDescent="0.25"/>
    <row r="8835" ht="14.25" customHeight="1" x14ac:dyDescent="0.25"/>
    <row r="8836" ht="14.25" customHeight="1" x14ac:dyDescent="0.25"/>
    <row r="8837" ht="14.25" customHeight="1" x14ac:dyDescent="0.25"/>
    <row r="8838" ht="14.25" customHeight="1" x14ac:dyDescent="0.25"/>
    <row r="8839" ht="14.25" customHeight="1" x14ac:dyDescent="0.25"/>
    <row r="8840" ht="14.25" customHeight="1" x14ac:dyDescent="0.25"/>
    <row r="8841" ht="14.25" customHeight="1" x14ac:dyDescent="0.25"/>
    <row r="8842" ht="14.25" customHeight="1" x14ac:dyDescent="0.25"/>
    <row r="8843" ht="14.25" customHeight="1" x14ac:dyDescent="0.25"/>
    <row r="8844" ht="14.25" customHeight="1" x14ac:dyDescent="0.25"/>
    <row r="8845" ht="14.25" customHeight="1" x14ac:dyDescent="0.25"/>
    <row r="8846" ht="14.25" customHeight="1" x14ac:dyDescent="0.25"/>
    <row r="8847" ht="14.25" customHeight="1" x14ac:dyDescent="0.25"/>
    <row r="8848" ht="14.25" customHeight="1" x14ac:dyDescent="0.25"/>
    <row r="8849" ht="14.25" customHeight="1" x14ac:dyDescent="0.25"/>
    <row r="8850" ht="14.25" customHeight="1" x14ac:dyDescent="0.25"/>
    <row r="8851" ht="14.25" customHeight="1" x14ac:dyDescent="0.25"/>
    <row r="8852" ht="14.25" customHeight="1" x14ac:dyDescent="0.25"/>
    <row r="8853" ht="14.25" customHeight="1" x14ac:dyDescent="0.25"/>
    <row r="8854" ht="14.25" customHeight="1" x14ac:dyDescent="0.25"/>
    <row r="8855" ht="14.25" customHeight="1" x14ac:dyDescent="0.25"/>
    <row r="8856" ht="14.25" customHeight="1" x14ac:dyDescent="0.25"/>
    <row r="8857" ht="14.25" customHeight="1" x14ac:dyDescent="0.25"/>
    <row r="8858" ht="14.25" customHeight="1" x14ac:dyDescent="0.25"/>
    <row r="8859" ht="14.25" customHeight="1" x14ac:dyDescent="0.25"/>
    <row r="8860" ht="14.25" customHeight="1" x14ac:dyDescent="0.25"/>
    <row r="8861" ht="14.25" customHeight="1" x14ac:dyDescent="0.25"/>
    <row r="8862" ht="14.25" customHeight="1" x14ac:dyDescent="0.25"/>
    <row r="8863" ht="14.25" customHeight="1" x14ac:dyDescent="0.25"/>
    <row r="8864" ht="14.25" customHeight="1" x14ac:dyDescent="0.25"/>
    <row r="8865" ht="14.25" customHeight="1" x14ac:dyDescent="0.25"/>
    <row r="8866" ht="14.25" customHeight="1" x14ac:dyDescent="0.25"/>
    <row r="8867" ht="14.25" customHeight="1" x14ac:dyDescent="0.25"/>
    <row r="8868" ht="14.25" customHeight="1" x14ac:dyDescent="0.25"/>
    <row r="8869" ht="14.25" customHeight="1" x14ac:dyDescent="0.25"/>
    <row r="8870" ht="14.25" customHeight="1" x14ac:dyDescent="0.25"/>
    <row r="8871" ht="14.25" customHeight="1" x14ac:dyDescent="0.25"/>
    <row r="8872" ht="14.25" customHeight="1" x14ac:dyDescent="0.25"/>
    <row r="8873" ht="14.25" customHeight="1" x14ac:dyDescent="0.25"/>
    <row r="8874" ht="14.25" customHeight="1" x14ac:dyDescent="0.25"/>
    <row r="8875" ht="14.25" customHeight="1" x14ac:dyDescent="0.25"/>
    <row r="8876" ht="14.25" customHeight="1" x14ac:dyDescent="0.25"/>
    <row r="8877" ht="14.25" customHeight="1" x14ac:dyDescent="0.25"/>
    <row r="8878" ht="14.25" customHeight="1" x14ac:dyDescent="0.25"/>
    <row r="8879" ht="14.25" customHeight="1" x14ac:dyDescent="0.25"/>
    <row r="8880" ht="14.25" customHeight="1" x14ac:dyDescent="0.25"/>
    <row r="8881" ht="14.25" customHeight="1" x14ac:dyDescent="0.25"/>
    <row r="8882" ht="14.25" customHeight="1" x14ac:dyDescent="0.25"/>
    <row r="8883" ht="14.25" customHeight="1" x14ac:dyDescent="0.25"/>
    <row r="8884" ht="14.25" customHeight="1" x14ac:dyDescent="0.25"/>
    <row r="8885" ht="14.25" customHeight="1" x14ac:dyDescent="0.25"/>
    <row r="8886" ht="14.25" customHeight="1" x14ac:dyDescent="0.25"/>
    <row r="8887" ht="14.25" customHeight="1" x14ac:dyDescent="0.25"/>
    <row r="8888" ht="14.25" customHeight="1" x14ac:dyDescent="0.25"/>
    <row r="8889" ht="14.25" customHeight="1" x14ac:dyDescent="0.25"/>
    <row r="8890" ht="14.25" customHeight="1" x14ac:dyDescent="0.25"/>
    <row r="8891" ht="14.25" customHeight="1" x14ac:dyDescent="0.25"/>
    <row r="8892" ht="14.25" customHeight="1" x14ac:dyDescent="0.25"/>
    <row r="8893" ht="14.25" customHeight="1" x14ac:dyDescent="0.25"/>
    <row r="8894" ht="14.25" customHeight="1" x14ac:dyDescent="0.25"/>
    <row r="8895" ht="14.25" customHeight="1" x14ac:dyDescent="0.25"/>
    <row r="8896" ht="14.25" customHeight="1" x14ac:dyDescent="0.25"/>
    <row r="8897" ht="14.25" customHeight="1" x14ac:dyDescent="0.25"/>
    <row r="8898" ht="14.25" customHeight="1" x14ac:dyDescent="0.25"/>
    <row r="8899" ht="14.25" customHeight="1" x14ac:dyDescent="0.25"/>
    <row r="8900" ht="14.25" customHeight="1" x14ac:dyDescent="0.25"/>
    <row r="8901" ht="14.25" customHeight="1" x14ac:dyDescent="0.25"/>
    <row r="8902" ht="14.25" customHeight="1" x14ac:dyDescent="0.25"/>
    <row r="8903" ht="14.25" customHeight="1" x14ac:dyDescent="0.25"/>
    <row r="8904" ht="14.25" customHeight="1" x14ac:dyDescent="0.25"/>
    <row r="8905" ht="14.25" customHeight="1" x14ac:dyDescent="0.25"/>
    <row r="8906" ht="14.25" customHeight="1" x14ac:dyDescent="0.25"/>
    <row r="8907" ht="14.25" customHeight="1" x14ac:dyDescent="0.25"/>
    <row r="8908" ht="14.25" customHeight="1" x14ac:dyDescent="0.25"/>
    <row r="8909" ht="14.25" customHeight="1" x14ac:dyDescent="0.25"/>
    <row r="8910" ht="14.25" customHeight="1" x14ac:dyDescent="0.25"/>
    <row r="8911" ht="14.25" customHeight="1" x14ac:dyDescent="0.25"/>
    <row r="8912" ht="14.25" customHeight="1" x14ac:dyDescent="0.25"/>
    <row r="8913" ht="14.25" customHeight="1" x14ac:dyDescent="0.25"/>
    <row r="8914" ht="14.25" customHeight="1" x14ac:dyDescent="0.25"/>
    <row r="8915" ht="14.25" customHeight="1" x14ac:dyDescent="0.25"/>
    <row r="8916" ht="14.25" customHeight="1" x14ac:dyDescent="0.25"/>
    <row r="8917" ht="14.25" customHeight="1" x14ac:dyDescent="0.25"/>
    <row r="8918" ht="14.25" customHeight="1" x14ac:dyDescent="0.25"/>
    <row r="8919" ht="14.25" customHeight="1" x14ac:dyDescent="0.25"/>
    <row r="8920" ht="14.25" customHeight="1" x14ac:dyDescent="0.25"/>
    <row r="8921" ht="14.25" customHeight="1" x14ac:dyDescent="0.25"/>
    <row r="8922" ht="14.25" customHeight="1" x14ac:dyDescent="0.25"/>
    <row r="8923" ht="14.25" customHeight="1" x14ac:dyDescent="0.25"/>
    <row r="8924" ht="14.25" customHeight="1" x14ac:dyDescent="0.25"/>
    <row r="8925" ht="14.25" customHeight="1" x14ac:dyDescent="0.25"/>
    <row r="8926" ht="14.25" customHeight="1" x14ac:dyDescent="0.25"/>
    <row r="8927" ht="14.25" customHeight="1" x14ac:dyDescent="0.25"/>
    <row r="8928" ht="14.25" customHeight="1" x14ac:dyDescent="0.25"/>
    <row r="8929" ht="14.25" customHeight="1" x14ac:dyDescent="0.25"/>
    <row r="8930" ht="14.25" customHeight="1" x14ac:dyDescent="0.25"/>
    <row r="8931" ht="14.25" customHeight="1" x14ac:dyDescent="0.25"/>
    <row r="8932" ht="14.25" customHeight="1" x14ac:dyDescent="0.25"/>
    <row r="8933" ht="14.25" customHeight="1" x14ac:dyDescent="0.25"/>
    <row r="8934" ht="14.25" customHeight="1" x14ac:dyDescent="0.25"/>
    <row r="8935" ht="14.25" customHeight="1" x14ac:dyDescent="0.25"/>
    <row r="8936" ht="14.25" customHeight="1" x14ac:dyDescent="0.25"/>
    <row r="8937" ht="14.25" customHeight="1" x14ac:dyDescent="0.25"/>
    <row r="8938" ht="14.25" customHeight="1" x14ac:dyDescent="0.25"/>
    <row r="8939" ht="14.25" customHeight="1" x14ac:dyDescent="0.25"/>
    <row r="8940" ht="14.25" customHeight="1" x14ac:dyDescent="0.25"/>
    <row r="8941" ht="14.25" customHeight="1" x14ac:dyDescent="0.25"/>
    <row r="8942" ht="14.25" customHeight="1" x14ac:dyDescent="0.25"/>
    <row r="8943" ht="14.25" customHeight="1" x14ac:dyDescent="0.25"/>
    <row r="8944" ht="14.25" customHeight="1" x14ac:dyDescent="0.25"/>
    <row r="8945" ht="14.25" customHeight="1" x14ac:dyDescent="0.25"/>
    <row r="8946" ht="14.25" customHeight="1" x14ac:dyDescent="0.25"/>
    <row r="8947" ht="14.25" customHeight="1" x14ac:dyDescent="0.25"/>
    <row r="8948" ht="14.25" customHeight="1" x14ac:dyDescent="0.25"/>
    <row r="8949" ht="14.25" customHeight="1" x14ac:dyDescent="0.25"/>
    <row r="8950" ht="14.25" customHeight="1" x14ac:dyDescent="0.25"/>
    <row r="8951" ht="14.25" customHeight="1" x14ac:dyDescent="0.25"/>
    <row r="8952" ht="14.25" customHeight="1" x14ac:dyDescent="0.25"/>
    <row r="8953" ht="14.25" customHeight="1" x14ac:dyDescent="0.25"/>
    <row r="8954" ht="14.25" customHeight="1" x14ac:dyDescent="0.25"/>
    <row r="8955" ht="14.25" customHeight="1" x14ac:dyDescent="0.25"/>
    <row r="8956" ht="14.25" customHeight="1" x14ac:dyDescent="0.25"/>
    <row r="8957" ht="14.25" customHeight="1" x14ac:dyDescent="0.25"/>
    <row r="8958" ht="14.25" customHeight="1" x14ac:dyDescent="0.25"/>
    <row r="8959" ht="14.25" customHeight="1" x14ac:dyDescent="0.25"/>
    <row r="8960" ht="14.25" customHeight="1" x14ac:dyDescent="0.25"/>
    <row r="8961" ht="14.25" customHeight="1" x14ac:dyDescent="0.25"/>
    <row r="8962" ht="14.25" customHeight="1" x14ac:dyDescent="0.25"/>
    <row r="8963" ht="14.25" customHeight="1" x14ac:dyDescent="0.25"/>
    <row r="8964" ht="14.25" customHeight="1" x14ac:dyDescent="0.25"/>
    <row r="8965" ht="14.25" customHeight="1" x14ac:dyDescent="0.25"/>
    <row r="8966" ht="14.25" customHeight="1" x14ac:dyDescent="0.25"/>
    <row r="8967" ht="14.25" customHeight="1" x14ac:dyDescent="0.25"/>
    <row r="8968" ht="14.25" customHeight="1" x14ac:dyDescent="0.25"/>
    <row r="8969" ht="14.25" customHeight="1" x14ac:dyDescent="0.25"/>
    <row r="8970" ht="14.25" customHeight="1" x14ac:dyDescent="0.25"/>
    <row r="8971" ht="14.25" customHeight="1" x14ac:dyDescent="0.25"/>
    <row r="8972" ht="14.25" customHeight="1" x14ac:dyDescent="0.25"/>
    <row r="8973" ht="14.25" customHeight="1" x14ac:dyDescent="0.25"/>
    <row r="8974" ht="14.25" customHeight="1" x14ac:dyDescent="0.25"/>
    <row r="8975" ht="14.25" customHeight="1" x14ac:dyDescent="0.25"/>
    <row r="8976" ht="14.25" customHeight="1" x14ac:dyDescent="0.25"/>
    <row r="8977" ht="14.25" customHeight="1" x14ac:dyDescent="0.25"/>
    <row r="8978" ht="14.25" customHeight="1" x14ac:dyDescent="0.25"/>
    <row r="8979" ht="14.25" customHeight="1" x14ac:dyDescent="0.25"/>
    <row r="8980" ht="14.25" customHeight="1" x14ac:dyDescent="0.25"/>
    <row r="8981" ht="14.25" customHeight="1" x14ac:dyDescent="0.25"/>
    <row r="8982" ht="14.25" customHeight="1" x14ac:dyDescent="0.25"/>
    <row r="8983" ht="14.25" customHeight="1" x14ac:dyDescent="0.25"/>
    <row r="8984" ht="14.25" customHeight="1" x14ac:dyDescent="0.25"/>
    <row r="8985" ht="14.25" customHeight="1" x14ac:dyDescent="0.25"/>
    <row r="8986" ht="14.25" customHeight="1" x14ac:dyDescent="0.25"/>
    <row r="8987" ht="14.25" customHeight="1" x14ac:dyDescent="0.25"/>
    <row r="8988" ht="14.25" customHeight="1" x14ac:dyDescent="0.25"/>
    <row r="8989" ht="14.25" customHeight="1" x14ac:dyDescent="0.25"/>
    <row r="8990" ht="14.25" customHeight="1" x14ac:dyDescent="0.25"/>
    <row r="8991" ht="14.25" customHeight="1" x14ac:dyDescent="0.25"/>
    <row r="8992" ht="14.25" customHeight="1" x14ac:dyDescent="0.25"/>
    <row r="8993" ht="14.25" customHeight="1" x14ac:dyDescent="0.25"/>
    <row r="8994" ht="14.25" customHeight="1" x14ac:dyDescent="0.25"/>
    <row r="8995" ht="14.25" customHeight="1" x14ac:dyDescent="0.25"/>
    <row r="8996" ht="14.25" customHeight="1" x14ac:dyDescent="0.25"/>
    <row r="8997" ht="14.25" customHeight="1" x14ac:dyDescent="0.25"/>
    <row r="8998" ht="14.25" customHeight="1" x14ac:dyDescent="0.25"/>
    <row r="8999" ht="14.25" customHeight="1" x14ac:dyDescent="0.25"/>
    <row r="9000" ht="14.25" customHeight="1" x14ac:dyDescent="0.25"/>
    <row r="9001" ht="14.25" customHeight="1" x14ac:dyDescent="0.25"/>
    <row r="9002" ht="14.25" customHeight="1" x14ac:dyDescent="0.25"/>
    <row r="9003" ht="14.25" customHeight="1" x14ac:dyDescent="0.25"/>
    <row r="9004" ht="14.25" customHeight="1" x14ac:dyDescent="0.25"/>
    <row r="9005" ht="14.25" customHeight="1" x14ac:dyDescent="0.25"/>
    <row r="9006" ht="14.25" customHeight="1" x14ac:dyDescent="0.25"/>
    <row r="9007" ht="14.25" customHeight="1" x14ac:dyDescent="0.25"/>
    <row r="9008" ht="14.25" customHeight="1" x14ac:dyDescent="0.25"/>
    <row r="9009" ht="14.25" customHeight="1" x14ac:dyDescent="0.25"/>
    <row r="9010" ht="14.25" customHeight="1" x14ac:dyDescent="0.25"/>
    <row r="9011" ht="14.25" customHeight="1" x14ac:dyDescent="0.25"/>
    <row r="9012" ht="14.25" customHeight="1" x14ac:dyDescent="0.25"/>
    <row r="9013" ht="14.25" customHeight="1" x14ac:dyDescent="0.25"/>
    <row r="9014" ht="14.25" customHeight="1" x14ac:dyDescent="0.25"/>
    <row r="9015" ht="14.25" customHeight="1" x14ac:dyDescent="0.25"/>
    <row r="9016" ht="14.25" customHeight="1" x14ac:dyDescent="0.25"/>
    <row r="9017" ht="14.25" customHeight="1" x14ac:dyDescent="0.25"/>
    <row r="9018" ht="14.25" customHeight="1" x14ac:dyDescent="0.25"/>
    <row r="9019" ht="14.25" customHeight="1" x14ac:dyDescent="0.25"/>
    <row r="9020" ht="14.25" customHeight="1" x14ac:dyDescent="0.25"/>
    <row r="9021" ht="14.25" customHeight="1" x14ac:dyDescent="0.25"/>
    <row r="9022" ht="14.25" customHeight="1" x14ac:dyDescent="0.25"/>
    <row r="9023" ht="14.25" customHeight="1" x14ac:dyDescent="0.25"/>
    <row r="9024" ht="14.25" customHeight="1" x14ac:dyDescent="0.25"/>
    <row r="9025" ht="14.25" customHeight="1" x14ac:dyDescent="0.25"/>
    <row r="9026" ht="14.25" customHeight="1" x14ac:dyDescent="0.25"/>
    <row r="9027" ht="14.25" customHeight="1" x14ac:dyDescent="0.25"/>
    <row r="9028" ht="14.25" customHeight="1" x14ac:dyDescent="0.25"/>
    <row r="9029" ht="14.25" customHeight="1" x14ac:dyDescent="0.25"/>
    <row r="9030" ht="14.25" customHeight="1" x14ac:dyDescent="0.25"/>
    <row r="9031" ht="14.25" customHeight="1" x14ac:dyDescent="0.25"/>
    <row r="9032" ht="14.25" customHeight="1" x14ac:dyDescent="0.25"/>
    <row r="9033" ht="14.25" customHeight="1" x14ac:dyDescent="0.25"/>
    <row r="9034" ht="14.25" customHeight="1" x14ac:dyDescent="0.25"/>
    <row r="9035" ht="14.25" customHeight="1" x14ac:dyDescent="0.25"/>
    <row r="9036" ht="14.25" customHeight="1" x14ac:dyDescent="0.25"/>
    <row r="9037" ht="14.25" customHeight="1" x14ac:dyDescent="0.25"/>
    <row r="9038" ht="14.25" customHeight="1" x14ac:dyDescent="0.25"/>
    <row r="9039" ht="14.25" customHeight="1" x14ac:dyDescent="0.25"/>
    <row r="9040" ht="14.25" customHeight="1" x14ac:dyDescent="0.25"/>
    <row r="9041" ht="14.25" customHeight="1" x14ac:dyDescent="0.25"/>
    <row r="9042" ht="14.25" customHeight="1" x14ac:dyDescent="0.25"/>
    <row r="9043" ht="14.25" customHeight="1" x14ac:dyDescent="0.25"/>
    <row r="9044" ht="14.25" customHeight="1" x14ac:dyDescent="0.25"/>
    <row r="9045" ht="14.25" customHeight="1" x14ac:dyDescent="0.25"/>
    <row r="9046" ht="14.25" customHeight="1" x14ac:dyDescent="0.25"/>
    <row r="9047" ht="14.25" customHeight="1" x14ac:dyDescent="0.25"/>
    <row r="9048" ht="14.25" customHeight="1" x14ac:dyDescent="0.25"/>
    <row r="9049" ht="14.25" customHeight="1" x14ac:dyDescent="0.25"/>
    <row r="9050" ht="14.25" customHeight="1" x14ac:dyDescent="0.25"/>
    <row r="9051" ht="14.25" customHeight="1" x14ac:dyDescent="0.25"/>
    <row r="9052" ht="14.25" customHeight="1" x14ac:dyDescent="0.25"/>
    <row r="9053" ht="14.25" customHeight="1" x14ac:dyDescent="0.25"/>
    <row r="9054" ht="14.25" customHeight="1" x14ac:dyDescent="0.25"/>
    <row r="9055" ht="14.25" customHeight="1" x14ac:dyDescent="0.25"/>
    <row r="9056" ht="14.25" customHeight="1" x14ac:dyDescent="0.25"/>
    <row r="9057" ht="14.25" customHeight="1" x14ac:dyDescent="0.25"/>
    <row r="9058" ht="14.25" customHeight="1" x14ac:dyDescent="0.25"/>
    <row r="9059" ht="14.25" customHeight="1" x14ac:dyDescent="0.25"/>
    <row r="9060" ht="14.25" customHeight="1" x14ac:dyDescent="0.25"/>
    <row r="9061" ht="14.25" customHeight="1" x14ac:dyDescent="0.25"/>
    <row r="9062" ht="14.25" customHeight="1" x14ac:dyDescent="0.25"/>
    <row r="9063" ht="14.25" customHeight="1" x14ac:dyDescent="0.25"/>
    <row r="9064" ht="14.25" customHeight="1" x14ac:dyDescent="0.25"/>
    <row r="9065" ht="14.25" customHeight="1" x14ac:dyDescent="0.25"/>
    <row r="9066" ht="14.25" customHeight="1" x14ac:dyDescent="0.25"/>
    <row r="9067" ht="14.25" customHeight="1" x14ac:dyDescent="0.25"/>
    <row r="9068" ht="14.25" customHeight="1" x14ac:dyDescent="0.25"/>
    <row r="9069" ht="14.25" customHeight="1" x14ac:dyDescent="0.25"/>
    <row r="9070" ht="14.25" customHeight="1" x14ac:dyDescent="0.25"/>
    <row r="9071" ht="14.25" customHeight="1" x14ac:dyDescent="0.25"/>
    <row r="9072" ht="14.25" customHeight="1" x14ac:dyDescent="0.25"/>
    <row r="9073" ht="14.25" customHeight="1" x14ac:dyDescent="0.25"/>
    <row r="9074" ht="14.25" customHeight="1" x14ac:dyDescent="0.25"/>
    <row r="9075" ht="14.25" customHeight="1" x14ac:dyDescent="0.25"/>
    <row r="9076" ht="14.25" customHeight="1" x14ac:dyDescent="0.25"/>
    <row r="9077" ht="14.25" customHeight="1" x14ac:dyDescent="0.25"/>
    <row r="9078" ht="14.25" customHeight="1" x14ac:dyDescent="0.25"/>
    <row r="9079" ht="14.25" customHeight="1" x14ac:dyDescent="0.25"/>
    <row r="9080" ht="14.25" customHeight="1" x14ac:dyDescent="0.25"/>
    <row r="9081" ht="14.25" customHeight="1" x14ac:dyDescent="0.25"/>
    <row r="9082" ht="14.25" customHeight="1" x14ac:dyDescent="0.25"/>
    <row r="9083" ht="14.25" customHeight="1" x14ac:dyDescent="0.25"/>
    <row r="9084" ht="14.25" customHeight="1" x14ac:dyDescent="0.25"/>
    <row r="9085" ht="14.25" customHeight="1" x14ac:dyDescent="0.25"/>
    <row r="9086" ht="14.25" customHeight="1" x14ac:dyDescent="0.25"/>
    <row r="9087" ht="14.25" customHeight="1" x14ac:dyDescent="0.25"/>
    <row r="9088" ht="14.25" customHeight="1" x14ac:dyDescent="0.25"/>
    <row r="9089" ht="14.25" customHeight="1" x14ac:dyDescent="0.25"/>
    <row r="9090" ht="14.25" customHeight="1" x14ac:dyDescent="0.25"/>
    <row r="9091" ht="14.25" customHeight="1" x14ac:dyDescent="0.25"/>
    <row r="9092" ht="14.25" customHeight="1" x14ac:dyDescent="0.25"/>
    <row r="9093" ht="14.25" customHeight="1" x14ac:dyDescent="0.25"/>
    <row r="9094" ht="14.25" customHeight="1" x14ac:dyDescent="0.25"/>
    <row r="9095" ht="14.25" customHeight="1" x14ac:dyDescent="0.25"/>
    <row r="9096" ht="14.25" customHeight="1" x14ac:dyDescent="0.25"/>
    <row r="9097" ht="14.25" customHeight="1" x14ac:dyDescent="0.25"/>
    <row r="9098" ht="14.25" customHeight="1" x14ac:dyDescent="0.25"/>
    <row r="9099" ht="14.25" customHeight="1" x14ac:dyDescent="0.25"/>
    <row r="9100" ht="14.25" customHeight="1" x14ac:dyDescent="0.25"/>
    <row r="9101" ht="14.25" customHeight="1" x14ac:dyDescent="0.25"/>
    <row r="9102" ht="14.25" customHeight="1" x14ac:dyDescent="0.25"/>
    <row r="9103" ht="14.25" customHeight="1" x14ac:dyDescent="0.25"/>
    <row r="9104" ht="14.25" customHeight="1" x14ac:dyDescent="0.25"/>
    <row r="9105" ht="14.25" customHeight="1" x14ac:dyDescent="0.25"/>
    <row r="9106" ht="14.25" customHeight="1" x14ac:dyDescent="0.25"/>
    <row r="9107" ht="14.25" customHeight="1" x14ac:dyDescent="0.25"/>
    <row r="9108" ht="14.25" customHeight="1" x14ac:dyDescent="0.25"/>
    <row r="9109" ht="14.25" customHeight="1" x14ac:dyDescent="0.25"/>
    <row r="9110" ht="14.25" customHeight="1" x14ac:dyDescent="0.25"/>
    <row r="9111" ht="14.25" customHeight="1" x14ac:dyDescent="0.25"/>
    <row r="9112" ht="14.25" customHeight="1" x14ac:dyDescent="0.25"/>
    <row r="9113" ht="14.25" customHeight="1" x14ac:dyDescent="0.25"/>
    <row r="9114" ht="14.25" customHeight="1" x14ac:dyDescent="0.25"/>
    <row r="9115" ht="14.25" customHeight="1" x14ac:dyDescent="0.25"/>
    <row r="9116" ht="14.25" customHeight="1" x14ac:dyDescent="0.25"/>
    <row r="9117" ht="14.25" customHeight="1" x14ac:dyDescent="0.25"/>
    <row r="9118" ht="14.25" customHeight="1" x14ac:dyDescent="0.25"/>
    <row r="9119" ht="14.25" customHeight="1" x14ac:dyDescent="0.25"/>
    <row r="9120" ht="14.25" customHeight="1" x14ac:dyDescent="0.25"/>
    <row r="9121" ht="14.25" customHeight="1" x14ac:dyDescent="0.25"/>
    <row r="9122" ht="14.25" customHeight="1" x14ac:dyDescent="0.25"/>
    <row r="9123" ht="14.25" customHeight="1" x14ac:dyDescent="0.25"/>
    <row r="9124" ht="14.25" customHeight="1" x14ac:dyDescent="0.25"/>
    <row r="9125" ht="14.25" customHeight="1" x14ac:dyDescent="0.25"/>
    <row r="9126" ht="14.25" customHeight="1" x14ac:dyDescent="0.25"/>
    <row r="9127" ht="14.25" customHeight="1" x14ac:dyDescent="0.25"/>
    <row r="9128" ht="14.25" customHeight="1" x14ac:dyDescent="0.25"/>
    <row r="9129" ht="14.25" customHeight="1" x14ac:dyDescent="0.25"/>
    <row r="9130" ht="14.25" customHeight="1" x14ac:dyDescent="0.25"/>
    <row r="9131" ht="14.25" customHeight="1" x14ac:dyDescent="0.25"/>
    <row r="9132" ht="14.25" customHeight="1" x14ac:dyDescent="0.25"/>
    <row r="9133" ht="14.25" customHeight="1" x14ac:dyDescent="0.25"/>
    <row r="9134" ht="14.25" customHeight="1" x14ac:dyDescent="0.25"/>
    <row r="9135" ht="14.25" customHeight="1" x14ac:dyDescent="0.25"/>
    <row r="9136" ht="14.25" customHeight="1" x14ac:dyDescent="0.25"/>
    <row r="9137" ht="14.25" customHeight="1" x14ac:dyDescent="0.25"/>
    <row r="9138" ht="14.25" customHeight="1" x14ac:dyDescent="0.25"/>
    <row r="9139" ht="14.25" customHeight="1" x14ac:dyDescent="0.25"/>
    <row r="9140" ht="14.25" customHeight="1" x14ac:dyDescent="0.25"/>
    <row r="9141" ht="14.25" customHeight="1" x14ac:dyDescent="0.25"/>
    <row r="9142" ht="14.25" customHeight="1" x14ac:dyDescent="0.25"/>
    <row r="9143" ht="14.25" customHeight="1" x14ac:dyDescent="0.25"/>
    <row r="9144" ht="14.25" customHeight="1" x14ac:dyDescent="0.25"/>
    <row r="9145" ht="14.25" customHeight="1" x14ac:dyDescent="0.25"/>
    <row r="9146" ht="14.25" customHeight="1" x14ac:dyDescent="0.25"/>
    <row r="9147" ht="14.25" customHeight="1" x14ac:dyDescent="0.25"/>
    <row r="9148" ht="14.25" customHeight="1" x14ac:dyDescent="0.25"/>
    <row r="9149" ht="14.25" customHeight="1" x14ac:dyDescent="0.25"/>
    <row r="9150" ht="14.25" customHeight="1" x14ac:dyDescent="0.25"/>
    <row r="9151" ht="14.25" customHeight="1" x14ac:dyDescent="0.25"/>
    <row r="9152" ht="14.25" customHeight="1" x14ac:dyDescent="0.25"/>
    <row r="9153" ht="14.25" customHeight="1" x14ac:dyDescent="0.25"/>
    <row r="9154" ht="14.25" customHeight="1" x14ac:dyDescent="0.25"/>
    <row r="9155" ht="14.25" customHeight="1" x14ac:dyDescent="0.25"/>
    <row r="9156" ht="14.25" customHeight="1" x14ac:dyDescent="0.25"/>
    <row r="9157" ht="14.25" customHeight="1" x14ac:dyDescent="0.25"/>
    <row r="9158" ht="14.25" customHeight="1" x14ac:dyDescent="0.25"/>
    <row r="9159" ht="14.25" customHeight="1" x14ac:dyDescent="0.25"/>
    <row r="9160" ht="14.25" customHeight="1" x14ac:dyDescent="0.25"/>
    <row r="9161" ht="14.25" customHeight="1" x14ac:dyDescent="0.25"/>
    <row r="9162" ht="14.25" customHeight="1" x14ac:dyDescent="0.25"/>
    <row r="9163" ht="14.25" customHeight="1" x14ac:dyDescent="0.25"/>
    <row r="9164" ht="14.25" customHeight="1" x14ac:dyDescent="0.25"/>
    <row r="9165" ht="14.25" customHeight="1" x14ac:dyDescent="0.25"/>
    <row r="9166" ht="14.25" customHeight="1" x14ac:dyDescent="0.25"/>
    <row r="9167" ht="14.25" customHeight="1" x14ac:dyDescent="0.25"/>
    <row r="9168" ht="14.25" customHeight="1" x14ac:dyDescent="0.25"/>
    <row r="9169" ht="14.25" customHeight="1" x14ac:dyDescent="0.25"/>
    <row r="9170" ht="14.25" customHeight="1" x14ac:dyDescent="0.25"/>
    <row r="9171" ht="14.25" customHeight="1" x14ac:dyDescent="0.25"/>
    <row r="9172" ht="14.25" customHeight="1" x14ac:dyDescent="0.25"/>
    <row r="9173" ht="14.25" customHeight="1" x14ac:dyDescent="0.25"/>
    <row r="9174" ht="14.25" customHeight="1" x14ac:dyDescent="0.25"/>
    <row r="9175" ht="14.25" customHeight="1" x14ac:dyDescent="0.25"/>
    <row r="9176" ht="14.25" customHeight="1" x14ac:dyDescent="0.25"/>
    <row r="9177" ht="14.25" customHeight="1" x14ac:dyDescent="0.25"/>
    <row r="9178" ht="14.25" customHeight="1" x14ac:dyDescent="0.25"/>
    <row r="9179" ht="14.25" customHeight="1" x14ac:dyDescent="0.25"/>
    <row r="9180" ht="14.25" customHeight="1" x14ac:dyDescent="0.25"/>
    <row r="9181" ht="14.25" customHeight="1" x14ac:dyDescent="0.25"/>
    <row r="9182" ht="14.25" customHeight="1" x14ac:dyDescent="0.25"/>
    <row r="9183" ht="14.25" customHeight="1" x14ac:dyDescent="0.25"/>
    <row r="9184" ht="14.25" customHeight="1" x14ac:dyDescent="0.25"/>
    <row r="9185" ht="14.25" customHeight="1" x14ac:dyDescent="0.25"/>
    <row r="9186" ht="14.25" customHeight="1" x14ac:dyDescent="0.25"/>
    <row r="9187" ht="14.25" customHeight="1" x14ac:dyDescent="0.25"/>
    <row r="9188" ht="14.25" customHeight="1" x14ac:dyDescent="0.25"/>
    <row r="9189" ht="14.25" customHeight="1" x14ac:dyDescent="0.25"/>
    <row r="9190" ht="14.25" customHeight="1" x14ac:dyDescent="0.25"/>
    <row r="9191" ht="14.25" customHeight="1" x14ac:dyDescent="0.25"/>
    <row r="9192" ht="14.25" customHeight="1" x14ac:dyDescent="0.25"/>
    <row r="9193" ht="14.25" customHeight="1" x14ac:dyDescent="0.25"/>
    <row r="9194" ht="14.25" customHeight="1" x14ac:dyDescent="0.25"/>
    <row r="9195" ht="14.25" customHeight="1" x14ac:dyDescent="0.25"/>
    <row r="9196" ht="14.25" customHeight="1" x14ac:dyDescent="0.25"/>
    <row r="9197" ht="14.25" customHeight="1" x14ac:dyDescent="0.25"/>
    <row r="9198" ht="14.25" customHeight="1" x14ac:dyDescent="0.25"/>
    <row r="9199" ht="14.25" customHeight="1" x14ac:dyDescent="0.25"/>
    <row r="9200" ht="14.25" customHeight="1" x14ac:dyDescent="0.25"/>
    <row r="9201" ht="14.25" customHeight="1" x14ac:dyDescent="0.25"/>
    <row r="9202" ht="14.25" customHeight="1" x14ac:dyDescent="0.25"/>
    <row r="9203" ht="14.25" customHeight="1" x14ac:dyDescent="0.25"/>
    <row r="9204" ht="14.25" customHeight="1" x14ac:dyDescent="0.25"/>
    <row r="9205" ht="14.25" customHeight="1" x14ac:dyDescent="0.25"/>
    <row r="9206" ht="14.25" customHeight="1" x14ac:dyDescent="0.25"/>
    <row r="9207" ht="14.25" customHeight="1" x14ac:dyDescent="0.25"/>
    <row r="9208" ht="14.25" customHeight="1" x14ac:dyDescent="0.25"/>
    <row r="9209" ht="14.25" customHeight="1" x14ac:dyDescent="0.25"/>
    <row r="9210" ht="14.25" customHeight="1" x14ac:dyDescent="0.25"/>
    <row r="9211" ht="14.25" customHeight="1" x14ac:dyDescent="0.25"/>
    <row r="9212" ht="14.25" customHeight="1" x14ac:dyDescent="0.25"/>
    <row r="9213" ht="14.25" customHeight="1" x14ac:dyDescent="0.25"/>
    <row r="9214" ht="14.25" customHeight="1" x14ac:dyDescent="0.25"/>
    <row r="9215" ht="14.25" customHeight="1" x14ac:dyDescent="0.25"/>
    <row r="9216" ht="14.25" customHeight="1" x14ac:dyDescent="0.25"/>
    <row r="9217" ht="14.25" customHeight="1" x14ac:dyDescent="0.25"/>
    <row r="9218" ht="14.25" customHeight="1" x14ac:dyDescent="0.25"/>
    <row r="9219" ht="14.25" customHeight="1" x14ac:dyDescent="0.25"/>
    <row r="9220" ht="14.25" customHeight="1" x14ac:dyDescent="0.25"/>
    <row r="9221" ht="14.25" customHeight="1" x14ac:dyDescent="0.25"/>
    <row r="9222" ht="14.25" customHeight="1" x14ac:dyDescent="0.25"/>
    <row r="9223" ht="14.25" customHeight="1" x14ac:dyDescent="0.25"/>
    <row r="9224" ht="14.25" customHeight="1" x14ac:dyDescent="0.25"/>
    <row r="9225" ht="14.25" customHeight="1" x14ac:dyDescent="0.25"/>
    <row r="9226" ht="14.25" customHeight="1" x14ac:dyDescent="0.25"/>
    <row r="9227" ht="14.25" customHeight="1" x14ac:dyDescent="0.25"/>
    <row r="9228" ht="14.25" customHeight="1" x14ac:dyDescent="0.25"/>
    <row r="9229" ht="14.25" customHeight="1" x14ac:dyDescent="0.25"/>
    <row r="9230" ht="14.25" customHeight="1" x14ac:dyDescent="0.25"/>
    <row r="9231" ht="14.25" customHeight="1" x14ac:dyDescent="0.25"/>
    <row r="9232" ht="14.25" customHeight="1" x14ac:dyDescent="0.25"/>
    <row r="9233" ht="14.25" customHeight="1" x14ac:dyDescent="0.25"/>
    <row r="9234" ht="14.25" customHeight="1" x14ac:dyDescent="0.25"/>
    <row r="9235" ht="14.25" customHeight="1" x14ac:dyDescent="0.25"/>
    <row r="9236" ht="14.25" customHeight="1" x14ac:dyDescent="0.25"/>
    <row r="9237" ht="14.25" customHeight="1" x14ac:dyDescent="0.25"/>
    <row r="9238" ht="14.25" customHeight="1" x14ac:dyDescent="0.25"/>
    <row r="9239" ht="14.25" customHeight="1" x14ac:dyDescent="0.25"/>
    <row r="9240" ht="14.25" customHeight="1" x14ac:dyDescent="0.25"/>
    <row r="9241" ht="14.25" customHeight="1" x14ac:dyDescent="0.25"/>
    <row r="9242" ht="14.25" customHeight="1" x14ac:dyDescent="0.25"/>
    <row r="9243" ht="14.25" customHeight="1" x14ac:dyDescent="0.25"/>
    <row r="9244" ht="14.25" customHeight="1" x14ac:dyDescent="0.25"/>
    <row r="9245" ht="14.25" customHeight="1" x14ac:dyDescent="0.25"/>
    <row r="9246" ht="14.25" customHeight="1" x14ac:dyDescent="0.25"/>
    <row r="9247" ht="14.25" customHeight="1" x14ac:dyDescent="0.25"/>
    <row r="9248" ht="14.25" customHeight="1" x14ac:dyDescent="0.25"/>
    <row r="9249" ht="14.25" customHeight="1" x14ac:dyDescent="0.25"/>
    <row r="9250" ht="14.25" customHeight="1" x14ac:dyDescent="0.25"/>
    <row r="9251" ht="14.25" customHeight="1" x14ac:dyDescent="0.25"/>
    <row r="9252" ht="14.25" customHeight="1" x14ac:dyDescent="0.25"/>
    <row r="9253" ht="14.25" customHeight="1" x14ac:dyDescent="0.25"/>
    <row r="9254" ht="14.25" customHeight="1" x14ac:dyDescent="0.25"/>
    <row r="9255" ht="14.25" customHeight="1" x14ac:dyDescent="0.25"/>
    <row r="9256" ht="14.25" customHeight="1" x14ac:dyDescent="0.25"/>
    <row r="9257" ht="14.25" customHeight="1" x14ac:dyDescent="0.25"/>
    <row r="9258" ht="14.25" customHeight="1" x14ac:dyDescent="0.25"/>
    <row r="9259" ht="14.25" customHeight="1" x14ac:dyDescent="0.25"/>
    <row r="9260" ht="14.25" customHeight="1" x14ac:dyDescent="0.25"/>
    <row r="9261" ht="14.25" customHeight="1" x14ac:dyDescent="0.25"/>
    <row r="9262" ht="14.25" customHeight="1" x14ac:dyDescent="0.25"/>
    <row r="9263" ht="14.25" customHeight="1" x14ac:dyDescent="0.25"/>
    <row r="9264" ht="14.25" customHeight="1" x14ac:dyDescent="0.25"/>
    <row r="9265" ht="14.25" customHeight="1" x14ac:dyDescent="0.25"/>
    <row r="9266" ht="14.25" customHeight="1" x14ac:dyDescent="0.25"/>
    <row r="9267" ht="14.25" customHeight="1" x14ac:dyDescent="0.25"/>
    <row r="9268" ht="14.25" customHeight="1" x14ac:dyDescent="0.25"/>
    <row r="9269" ht="14.25" customHeight="1" x14ac:dyDescent="0.25"/>
    <row r="9270" ht="14.25" customHeight="1" x14ac:dyDescent="0.25"/>
    <row r="9271" ht="14.25" customHeight="1" x14ac:dyDescent="0.25"/>
    <row r="9272" ht="14.25" customHeight="1" x14ac:dyDescent="0.25"/>
    <row r="9273" ht="14.25" customHeight="1" x14ac:dyDescent="0.25"/>
    <row r="9274" ht="14.25" customHeight="1" x14ac:dyDescent="0.25"/>
    <row r="9275" ht="14.25" customHeight="1" x14ac:dyDescent="0.25"/>
    <row r="9276" ht="14.25" customHeight="1" x14ac:dyDescent="0.25"/>
    <row r="9277" ht="14.25" customHeight="1" x14ac:dyDescent="0.25"/>
    <row r="9278" ht="14.25" customHeight="1" x14ac:dyDescent="0.25"/>
    <row r="9279" ht="14.25" customHeight="1" x14ac:dyDescent="0.25"/>
    <row r="9280" ht="14.25" customHeight="1" x14ac:dyDescent="0.25"/>
    <row r="9281" ht="14.25" customHeight="1" x14ac:dyDescent="0.25"/>
    <row r="9282" ht="14.25" customHeight="1" x14ac:dyDescent="0.25"/>
    <row r="9283" ht="14.25" customHeight="1" x14ac:dyDescent="0.25"/>
    <row r="9284" ht="14.25" customHeight="1" x14ac:dyDescent="0.25"/>
    <row r="9285" ht="14.25" customHeight="1" x14ac:dyDescent="0.25"/>
    <row r="9286" ht="14.25" customHeight="1" x14ac:dyDescent="0.25"/>
    <row r="9287" ht="14.25" customHeight="1" x14ac:dyDescent="0.25"/>
    <row r="9288" ht="14.25" customHeight="1" x14ac:dyDescent="0.25"/>
    <row r="9289" ht="14.25" customHeight="1" x14ac:dyDescent="0.25"/>
    <row r="9290" ht="14.25" customHeight="1" x14ac:dyDescent="0.25"/>
    <row r="9291" ht="14.25" customHeight="1" x14ac:dyDescent="0.25"/>
    <row r="9292" ht="14.25" customHeight="1" x14ac:dyDescent="0.25"/>
    <row r="9293" ht="14.25" customHeight="1" x14ac:dyDescent="0.25"/>
    <row r="9294" ht="14.25" customHeight="1" x14ac:dyDescent="0.25"/>
    <row r="9295" ht="14.25" customHeight="1" x14ac:dyDescent="0.25"/>
    <row r="9296" ht="14.25" customHeight="1" x14ac:dyDescent="0.25"/>
    <row r="9297" ht="14.25" customHeight="1" x14ac:dyDescent="0.25"/>
    <row r="9298" ht="14.25" customHeight="1" x14ac:dyDescent="0.25"/>
    <row r="9299" ht="14.25" customHeight="1" x14ac:dyDescent="0.25"/>
    <row r="9300" ht="14.25" customHeight="1" x14ac:dyDescent="0.25"/>
    <row r="9301" ht="14.25" customHeight="1" x14ac:dyDescent="0.25"/>
    <row r="9302" ht="14.25" customHeight="1" x14ac:dyDescent="0.25"/>
    <row r="9303" ht="14.25" customHeight="1" x14ac:dyDescent="0.25"/>
    <row r="9304" ht="14.25" customHeight="1" x14ac:dyDescent="0.25"/>
    <row r="9305" ht="14.25" customHeight="1" x14ac:dyDescent="0.25"/>
    <row r="9306" ht="14.25" customHeight="1" x14ac:dyDescent="0.25"/>
    <row r="9307" ht="14.25" customHeight="1" x14ac:dyDescent="0.25"/>
    <row r="9308" ht="14.25" customHeight="1" x14ac:dyDescent="0.25"/>
    <row r="9309" ht="14.25" customHeight="1" x14ac:dyDescent="0.25"/>
    <row r="9310" ht="14.25" customHeight="1" x14ac:dyDescent="0.25"/>
    <row r="9311" ht="14.25" customHeight="1" x14ac:dyDescent="0.25"/>
    <row r="9312" ht="14.25" customHeight="1" x14ac:dyDescent="0.25"/>
    <row r="9313" ht="14.25" customHeight="1" x14ac:dyDescent="0.25"/>
    <row r="9314" ht="14.25" customHeight="1" x14ac:dyDescent="0.25"/>
    <row r="9315" ht="14.25" customHeight="1" x14ac:dyDescent="0.25"/>
    <row r="9316" ht="14.25" customHeight="1" x14ac:dyDescent="0.25"/>
    <row r="9317" ht="14.25" customHeight="1" x14ac:dyDescent="0.25"/>
    <row r="9318" ht="14.25" customHeight="1" x14ac:dyDescent="0.25"/>
    <row r="9319" ht="14.25" customHeight="1" x14ac:dyDescent="0.25"/>
    <row r="9320" ht="14.25" customHeight="1" x14ac:dyDescent="0.25"/>
    <row r="9321" ht="14.25" customHeight="1" x14ac:dyDescent="0.25"/>
    <row r="9322" ht="14.25" customHeight="1" x14ac:dyDescent="0.25"/>
    <row r="9323" ht="14.25" customHeight="1" x14ac:dyDescent="0.25"/>
    <row r="9324" ht="14.25" customHeight="1" x14ac:dyDescent="0.25"/>
    <row r="9325" ht="14.25" customHeight="1" x14ac:dyDescent="0.25"/>
    <row r="9326" ht="14.25" customHeight="1" x14ac:dyDescent="0.25"/>
    <row r="9327" ht="14.25" customHeight="1" x14ac:dyDescent="0.25"/>
    <row r="9328" ht="14.25" customHeight="1" x14ac:dyDescent="0.25"/>
    <row r="9329" ht="14.25" customHeight="1" x14ac:dyDescent="0.25"/>
    <row r="9330" ht="14.25" customHeight="1" x14ac:dyDescent="0.25"/>
    <row r="9331" ht="14.25" customHeight="1" x14ac:dyDescent="0.25"/>
    <row r="9332" ht="14.25" customHeight="1" x14ac:dyDescent="0.25"/>
    <row r="9333" ht="14.25" customHeight="1" x14ac:dyDescent="0.25"/>
    <row r="9334" ht="14.25" customHeight="1" x14ac:dyDescent="0.25"/>
    <row r="9335" ht="14.25" customHeight="1" x14ac:dyDescent="0.25"/>
    <row r="9336" ht="14.25" customHeight="1" x14ac:dyDescent="0.25"/>
    <row r="9337" ht="14.25" customHeight="1" x14ac:dyDescent="0.25"/>
    <row r="9338" ht="14.25" customHeight="1" x14ac:dyDescent="0.25"/>
    <row r="9339" ht="14.25" customHeight="1" x14ac:dyDescent="0.25"/>
    <row r="9340" ht="14.25" customHeight="1" x14ac:dyDescent="0.25"/>
    <row r="9341" ht="14.25" customHeight="1" x14ac:dyDescent="0.25"/>
    <row r="9342" ht="14.25" customHeight="1" x14ac:dyDescent="0.25"/>
    <row r="9343" ht="14.25" customHeight="1" x14ac:dyDescent="0.25"/>
    <row r="9344" ht="14.25" customHeight="1" x14ac:dyDescent="0.25"/>
    <row r="9345" ht="14.25" customHeight="1" x14ac:dyDescent="0.25"/>
    <row r="9346" ht="14.25" customHeight="1" x14ac:dyDescent="0.25"/>
    <row r="9347" ht="14.25" customHeight="1" x14ac:dyDescent="0.25"/>
    <row r="9348" ht="14.25" customHeight="1" x14ac:dyDescent="0.25"/>
    <row r="9349" ht="14.25" customHeight="1" x14ac:dyDescent="0.25"/>
    <row r="9350" ht="14.25" customHeight="1" x14ac:dyDescent="0.25"/>
    <row r="9351" ht="14.25" customHeight="1" x14ac:dyDescent="0.25"/>
    <row r="9352" ht="14.25" customHeight="1" x14ac:dyDescent="0.25"/>
    <row r="9353" ht="14.25" customHeight="1" x14ac:dyDescent="0.25"/>
    <row r="9354" ht="14.25" customHeight="1" x14ac:dyDescent="0.25"/>
    <row r="9355" ht="14.25" customHeight="1" x14ac:dyDescent="0.25"/>
    <row r="9356" ht="14.25" customHeight="1" x14ac:dyDescent="0.25"/>
    <row r="9357" ht="14.25" customHeight="1" x14ac:dyDescent="0.25"/>
    <row r="9358" ht="14.25" customHeight="1" x14ac:dyDescent="0.25"/>
    <row r="9359" ht="14.25" customHeight="1" x14ac:dyDescent="0.25"/>
    <row r="9360" ht="14.25" customHeight="1" x14ac:dyDescent="0.25"/>
    <row r="9361" ht="14.25" customHeight="1" x14ac:dyDescent="0.25"/>
    <row r="9362" ht="14.25" customHeight="1" x14ac:dyDescent="0.25"/>
    <row r="9363" ht="14.25" customHeight="1" x14ac:dyDescent="0.25"/>
    <row r="9364" ht="14.25" customHeight="1" x14ac:dyDescent="0.25"/>
    <row r="9365" ht="14.25" customHeight="1" x14ac:dyDescent="0.25"/>
    <row r="9366" ht="14.25" customHeight="1" x14ac:dyDescent="0.25"/>
    <row r="9367" ht="14.25" customHeight="1" x14ac:dyDescent="0.25"/>
    <row r="9368" ht="14.25" customHeight="1" x14ac:dyDescent="0.25"/>
    <row r="9369" ht="14.25" customHeight="1" x14ac:dyDescent="0.25"/>
    <row r="9370" ht="14.25" customHeight="1" x14ac:dyDescent="0.25"/>
    <row r="9371" ht="14.25" customHeight="1" x14ac:dyDescent="0.25"/>
    <row r="9372" ht="14.25" customHeight="1" x14ac:dyDescent="0.25"/>
    <row r="9373" ht="14.25" customHeight="1" x14ac:dyDescent="0.25"/>
    <row r="9374" ht="14.25" customHeight="1" x14ac:dyDescent="0.25"/>
    <row r="9375" ht="14.25" customHeight="1" x14ac:dyDescent="0.25"/>
    <row r="9376" ht="14.25" customHeight="1" x14ac:dyDescent="0.25"/>
    <row r="9377" ht="14.25" customHeight="1" x14ac:dyDescent="0.25"/>
    <row r="9378" ht="14.25" customHeight="1" x14ac:dyDescent="0.25"/>
    <row r="9379" ht="14.25" customHeight="1" x14ac:dyDescent="0.25"/>
    <row r="9380" ht="14.25" customHeight="1" x14ac:dyDescent="0.25"/>
    <row r="9381" ht="14.25" customHeight="1" x14ac:dyDescent="0.25"/>
    <row r="9382" ht="14.25" customHeight="1" x14ac:dyDescent="0.25"/>
    <row r="9383" ht="14.25" customHeight="1" x14ac:dyDescent="0.25"/>
    <row r="9384" ht="14.25" customHeight="1" x14ac:dyDescent="0.25"/>
    <row r="9385" ht="14.25" customHeight="1" x14ac:dyDescent="0.25"/>
    <row r="9386" ht="14.25" customHeight="1" x14ac:dyDescent="0.25"/>
    <row r="9387" ht="14.25" customHeight="1" x14ac:dyDescent="0.25"/>
    <row r="9388" ht="14.25" customHeight="1" x14ac:dyDescent="0.25"/>
    <row r="9389" ht="14.25" customHeight="1" x14ac:dyDescent="0.25"/>
    <row r="9390" ht="14.25" customHeight="1" x14ac:dyDescent="0.25"/>
    <row r="9391" ht="14.25" customHeight="1" x14ac:dyDescent="0.25"/>
    <row r="9392" ht="14.25" customHeight="1" x14ac:dyDescent="0.25"/>
    <row r="9393" ht="14.25" customHeight="1" x14ac:dyDescent="0.25"/>
    <row r="9394" ht="14.25" customHeight="1" x14ac:dyDescent="0.25"/>
    <row r="9395" ht="14.25" customHeight="1" x14ac:dyDescent="0.25"/>
    <row r="9396" ht="14.25" customHeight="1" x14ac:dyDescent="0.25"/>
    <row r="9397" ht="14.25" customHeight="1" x14ac:dyDescent="0.25"/>
    <row r="9398" ht="14.25" customHeight="1" x14ac:dyDescent="0.25"/>
    <row r="9399" ht="14.25" customHeight="1" x14ac:dyDescent="0.25"/>
    <row r="9400" ht="14.25" customHeight="1" x14ac:dyDescent="0.25"/>
    <row r="9401" ht="14.25" customHeight="1" x14ac:dyDescent="0.25"/>
    <row r="9402" ht="14.25" customHeight="1" x14ac:dyDescent="0.25"/>
    <row r="9403" ht="14.25" customHeight="1" x14ac:dyDescent="0.25"/>
    <row r="9404" ht="14.25" customHeight="1" x14ac:dyDescent="0.25"/>
    <row r="9405" ht="14.25" customHeight="1" x14ac:dyDescent="0.25"/>
    <row r="9406" ht="14.25" customHeight="1" x14ac:dyDescent="0.25"/>
    <row r="9407" ht="14.25" customHeight="1" x14ac:dyDescent="0.25"/>
    <row r="9408" ht="14.25" customHeight="1" x14ac:dyDescent="0.25"/>
    <row r="9409" ht="14.25" customHeight="1" x14ac:dyDescent="0.25"/>
    <row r="9410" ht="14.25" customHeight="1" x14ac:dyDescent="0.25"/>
    <row r="9411" ht="14.25" customHeight="1" x14ac:dyDescent="0.25"/>
    <row r="9412" ht="14.25" customHeight="1" x14ac:dyDescent="0.25"/>
    <row r="9413" ht="14.25" customHeight="1" x14ac:dyDescent="0.25"/>
    <row r="9414" ht="14.25" customHeight="1" x14ac:dyDescent="0.25"/>
    <row r="9415" ht="14.25" customHeight="1" x14ac:dyDescent="0.25"/>
    <row r="9416" ht="14.25" customHeight="1" x14ac:dyDescent="0.25"/>
    <row r="9417" ht="14.25" customHeight="1" x14ac:dyDescent="0.25"/>
    <row r="9418" ht="14.25" customHeight="1" x14ac:dyDescent="0.25"/>
    <row r="9419" ht="14.25" customHeight="1" x14ac:dyDescent="0.25"/>
    <row r="9420" ht="14.25" customHeight="1" x14ac:dyDescent="0.25"/>
    <row r="9421" ht="14.25" customHeight="1" x14ac:dyDescent="0.25"/>
    <row r="9422" ht="14.25" customHeight="1" x14ac:dyDescent="0.25"/>
    <row r="9423" ht="14.25" customHeight="1" x14ac:dyDescent="0.25"/>
    <row r="9424" ht="14.25" customHeight="1" x14ac:dyDescent="0.25"/>
    <row r="9425" ht="14.25" customHeight="1" x14ac:dyDescent="0.25"/>
    <row r="9426" ht="14.25" customHeight="1" x14ac:dyDescent="0.25"/>
    <row r="9427" ht="14.25" customHeight="1" x14ac:dyDescent="0.25"/>
    <row r="9428" ht="14.25" customHeight="1" x14ac:dyDescent="0.25"/>
    <row r="9429" ht="14.25" customHeight="1" x14ac:dyDescent="0.25"/>
    <row r="9430" ht="14.25" customHeight="1" x14ac:dyDescent="0.25"/>
    <row r="9431" ht="14.25" customHeight="1" x14ac:dyDescent="0.25"/>
    <row r="9432" ht="14.25" customHeight="1" x14ac:dyDescent="0.25"/>
    <row r="9433" ht="14.25" customHeight="1" x14ac:dyDescent="0.25"/>
    <row r="9434" ht="14.25" customHeight="1" x14ac:dyDescent="0.25"/>
    <row r="9435" ht="14.25" customHeight="1" x14ac:dyDescent="0.25"/>
    <row r="9436" ht="14.25" customHeight="1" x14ac:dyDescent="0.25"/>
    <row r="9437" ht="14.25" customHeight="1" x14ac:dyDescent="0.25"/>
    <row r="9438" ht="14.25" customHeight="1" x14ac:dyDescent="0.25"/>
    <row r="9439" ht="14.25" customHeight="1" x14ac:dyDescent="0.25"/>
    <row r="9440" ht="14.25" customHeight="1" x14ac:dyDescent="0.25"/>
    <row r="9441" ht="14.25" customHeight="1" x14ac:dyDescent="0.25"/>
    <row r="9442" ht="14.25" customHeight="1" x14ac:dyDescent="0.25"/>
    <row r="9443" ht="14.25" customHeight="1" x14ac:dyDescent="0.25"/>
    <row r="9444" ht="14.25" customHeight="1" x14ac:dyDescent="0.25"/>
    <row r="9445" ht="14.25" customHeight="1" x14ac:dyDescent="0.25"/>
    <row r="9446" ht="14.25" customHeight="1" x14ac:dyDescent="0.25"/>
    <row r="9447" ht="14.25" customHeight="1" x14ac:dyDescent="0.25"/>
    <row r="9448" ht="14.25" customHeight="1" x14ac:dyDescent="0.25"/>
    <row r="9449" ht="14.25" customHeight="1" x14ac:dyDescent="0.25"/>
    <row r="9450" ht="14.25" customHeight="1" x14ac:dyDescent="0.25"/>
    <row r="9451" ht="14.25" customHeight="1" x14ac:dyDescent="0.25"/>
    <row r="9452" ht="14.25" customHeight="1" x14ac:dyDescent="0.25"/>
    <row r="9453" ht="14.25" customHeight="1" x14ac:dyDescent="0.25"/>
    <row r="9454" ht="14.25" customHeight="1" x14ac:dyDescent="0.25"/>
    <row r="9455" ht="14.25" customHeight="1" x14ac:dyDescent="0.25"/>
    <row r="9456" ht="14.25" customHeight="1" x14ac:dyDescent="0.25"/>
    <row r="9457" ht="14.25" customHeight="1" x14ac:dyDescent="0.25"/>
    <row r="9458" ht="14.25" customHeight="1" x14ac:dyDescent="0.25"/>
    <row r="9459" ht="14.25" customHeight="1" x14ac:dyDescent="0.25"/>
    <row r="9460" ht="14.25" customHeight="1" x14ac:dyDescent="0.25"/>
    <row r="9461" ht="14.25" customHeight="1" x14ac:dyDescent="0.25"/>
    <row r="9462" ht="14.25" customHeight="1" x14ac:dyDescent="0.25"/>
    <row r="9463" ht="14.25" customHeight="1" x14ac:dyDescent="0.25"/>
    <row r="9464" ht="14.25" customHeight="1" x14ac:dyDescent="0.25"/>
    <row r="9465" ht="14.25" customHeight="1" x14ac:dyDescent="0.25"/>
    <row r="9466" ht="14.25" customHeight="1" x14ac:dyDescent="0.25"/>
    <row r="9467" ht="14.25" customHeight="1" x14ac:dyDescent="0.25"/>
    <row r="9468" ht="14.25" customHeight="1" x14ac:dyDescent="0.25"/>
    <row r="9469" ht="14.25" customHeight="1" x14ac:dyDescent="0.25"/>
    <row r="9470" ht="14.25" customHeight="1" x14ac:dyDescent="0.25"/>
    <row r="9471" ht="14.25" customHeight="1" x14ac:dyDescent="0.25"/>
    <row r="9472" ht="14.25" customHeight="1" x14ac:dyDescent="0.25"/>
    <row r="9473" ht="14.25" customHeight="1" x14ac:dyDescent="0.25"/>
    <row r="9474" ht="14.25" customHeight="1" x14ac:dyDescent="0.25"/>
    <row r="9475" ht="14.25" customHeight="1" x14ac:dyDescent="0.25"/>
    <row r="9476" ht="14.25" customHeight="1" x14ac:dyDescent="0.25"/>
    <row r="9477" ht="14.25" customHeight="1" x14ac:dyDescent="0.25"/>
    <row r="9478" ht="14.25" customHeight="1" x14ac:dyDescent="0.25"/>
    <row r="9479" ht="14.25" customHeight="1" x14ac:dyDescent="0.25"/>
    <row r="9480" ht="14.25" customHeight="1" x14ac:dyDescent="0.25"/>
    <row r="9481" ht="14.25" customHeight="1" x14ac:dyDescent="0.25"/>
    <row r="9482" ht="14.25" customHeight="1" x14ac:dyDescent="0.25"/>
    <row r="9483" ht="14.25" customHeight="1" x14ac:dyDescent="0.25"/>
    <row r="9484" ht="14.25" customHeight="1" x14ac:dyDescent="0.25"/>
    <row r="9485" ht="14.25" customHeight="1" x14ac:dyDescent="0.25"/>
    <row r="9486" ht="14.25" customHeight="1" x14ac:dyDescent="0.25"/>
    <row r="9487" ht="14.25" customHeight="1" x14ac:dyDescent="0.25"/>
    <row r="9488" ht="14.25" customHeight="1" x14ac:dyDescent="0.25"/>
    <row r="9489" ht="14.25" customHeight="1" x14ac:dyDescent="0.25"/>
    <row r="9490" ht="14.25" customHeight="1" x14ac:dyDescent="0.25"/>
    <row r="9491" ht="14.25" customHeight="1" x14ac:dyDescent="0.25"/>
    <row r="9492" ht="14.25" customHeight="1" x14ac:dyDescent="0.25"/>
    <row r="9493" ht="14.25" customHeight="1" x14ac:dyDescent="0.25"/>
    <row r="9494" ht="14.25" customHeight="1" x14ac:dyDescent="0.25"/>
    <row r="9495" ht="14.25" customHeight="1" x14ac:dyDescent="0.25"/>
    <row r="9496" ht="14.25" customHeight="1" x14ac:dyDescent="0.25"/>
    <row r="9497" ht="14.25" customHeight="1" x14ac:dyDescent="0.25"/>
    <row r="9498" ht="14.25" customHeight="1" x14ac:dyDescent="0.25"/>
    <row r="9499" ht="14.25" customHeight="1" x14ac:dyDescent="0.25"/>
    <row r="9500" ht="14.25" customHeight="1" x14ac:dyDescent="0.25"/>
    <row r="9501" ht="14.25" customHeight="1" x14ac:dyDescent="0.25"/>
    <row r="9502" ht="14.25" customHeight="1" x14ac:dyDescent="0.25"/>
    <row r="9503" ht="14.25" customHeight="1" x14ac:dyDescent="0.25"/>
    <row r="9504" ht="14.25" customHeight="1" x14ac:dyDescent="0.25"/>
    <row r="9505" ht="14.25" customHeight="1" x14ac:dyDescent="0.25"/>
    <row r="9506" ht="14.25" customHeight="1" x14ac:dyDescent="0.25"/>
    <row r="9507" ht="14.25" customHeight="1" x14ac:dyDescent="0.25"/>
    <row r="9508" ht="14.25" customHeight="1" x14ac:dyDescent="0.25"/>
    <row r="9509" ht="14.25" customHeight="1" x14ac:dyDescent="0.25"/>
    <row r="9510" ht="14.25" customHeight="1" x14ac:dyDescent="0.25"/>
    <row r="9511" ht="14.25" customHeight="1" x14ac:dyDescent="0.25"/>
    <row r="9512" ht="14.25" customHeight="1" x14ac:dyDescent="0.25"/>
    <row r="9513" ht="14.25" customHeight="1" x14ac:dyDescent="0.25"/>
    <row r="9514" ht="14.25" customHeight="1" x14ac:dyDescent="0.25"/>
    <row r="9515" ht="14.25" customHeight="1" x14ac:dyDescent="0.25"/>
    <row r="9516" ht="14.25" customHeight="1" x14ac:dyDescent="0.25"/>
    <row r="9517" ht="14.25" customHeight="1" x14ac:dyDescent="0.25"/>
    <row r="9518" ht="14.25" customHeight="1" x14ac:dyDescent="0.25"/>
    <row r="9519" ht="14.25" customHeight="1" x14ac:dyDescent="0.25"/>
    <row r="9520" ht="14.25" customHeight="1" x14ac:dyDescent="0.25"/>
    <row r="9521" ht="14.25" customHeight="1" x14ac:dyDescent="0.25"/>
    <row r="9522" ht="14.25" customHeight="1" x14ac:dyDescent="0.25"/>
    <row r="9523" ht="14.25" customHeight="1" x14ac:dyDescent="0.25"/>
    <row r="9524" ht="14.25" customHeight="1" x14ac:dyDescent="0.25"/>
    <row r="9525" ht="14.25" customHeight="1" x14ac:dyDescent="0.25"/>
    <row r="9526" ht="14.25" customHeight="1" x14ac:dyDescent="0.25"/>
    <row r="9527" ht="14.25" customHeight="1" x14ac:dyDescent="0.25"/>
    <row r="9528" ht="14.25" customHeight="1" x14ac:dyDescent="0.25"/>
    <row r="9529" ht="14.25" customHeight="1" x14ac:dyDescent="0.25"/>
    <row r="9530" ht="14.25" customHeight="1" x14ac:dyDescent="0.25"/>
    <row r="9531" ht="14.25" customHeight="1" x14ac:dyDescent="0.25"/>
    <row r="9532" ht="14.25" customHeight="1" x14ac:dyDescent="0.25"/>
    <row r="9533" ht="14.25" customHeight="1" x14ac:dyDescent="0.25"/>
    <row r="9534" ht="14.25" customHeight="1" x14ac:dyDescent="0.25"/>
    <row r="9535" ht="14.25" customHeight="1" x14ac:dyDescent="0.25"/>
    <row r="9536" ht="14.25" customHeight="1" x14ac:dyDescent="0.25"/>
    <row r="9537" ht="14.25" customHeight="1" x14ac:dyDescent="0.25"/>
    <row r="9538" ht="14.25" customHeight="1" x14ac:dyDescent="0.25"/>
    <row r="9539" ht="14.25" customHeight="1" x14ac:dyDescent="0.25"/>
    <row r="9540" ht="14.25" customHeight="1" x14ac:dyDescent="0.25"/>
    <row r="9541" ht="14.25" customHeight="1" x14ac:dyDescent="0.25"/>
    <row r="9542" ht="14.25" customHeight="1" x14ac:dyDescent="0.25"/>
    <row r="9543" ht="14.25" customHeight="1" x14ac:dyDescent="0.25"/>
    <row r="9544" ht="14.25" customHeight="1" x14ac:dyDescent="0.25"/>
    <row r="9545" ht="14.25" customHeight="1" x14ac:dyDescent="0.25"/>
    <row r="9546" ht="14.25" customHeight="1" x14ac:dyDescent="0.25"/>
    <row r="9547" ht="14.25" customHeight="1" x14ac:dyDescent="0.25"/>
    <row r="9548" ht="14.25" customHeight="1" x14ac:dyDescent="0.25"/>
    <row r="9549" ht="14.25" customHeight="1" x14ac:dyDescent="0.25"/>
    <row r="9550" ht="14.25" customHeight="1" x14ac:dyDescent="0.25"/>
    <row r="9551" ht="14.25" customHeight="1" x14ac:dyDescent="0.25"/>
    <row r="9552" ht="14.25" customHeight="1" x14ac:dyDescent="0.25"/>
    <row r="9553" ht="14.25" customHeight="1" x14ac:dyDescent="0.25"/>
    <row r="9554" ht="14.25" customHeight="1" x14ac:dyDescent="0.25"/>
    <row r="9555" ht="14.25" customHeight="1" x14ac:dyDescent="0.25"/>
    <row r="9556" ht="14.25" customHeight="1" x14ac:dyDescent="0.25"/>
    <row r="9557" ht="14.25" customHeight="1" x14ac:dyDescent="0.25"/>
    <row r="9558" ht="14.25" customHeight="1" x14ac:dyDescent="0.25"/>
    <row r="9559" ht="14.25" customHeight="1" x14ac:dyDescent="0.25"/>
    <row r="9560" ht="14.25" customHeight="1" x14ac:dyDescent="0.25"/>
    <row r="9561" ht="14.25" customHeight="1" x14ac:dyDescent="0.25"/>
    <row r="9562" ht="14.25" customHeight="1" x14ac:dyDescent="0.25"/>
    <row r="9563" ht="14.25" customHeight="1" x14ac:dyDescent="0.25"/>
    <row r="9564" ht="14.25" customHeight="1" x14ac:dyDescent="0.25"/>
    <row r="9565" ht="14.25" customHeight="1" x14ac:dyDescent="0.25"/>
    <row r="9566" ht="14.25" customHeight="1" x14ac:dyDescent="0.25"/>
    <row r="9567" ht="14.25" customHeight="1" x14ac:dyDescent="0.25"/>
    <row r="9568" ht="14.25" customHeight="1" x14ac:dyDescent="0.25"/>
    <row r="9569" ht="14.25" customHeight="1" x14ac:dyDescent="0.25"/>
    <row r="9570" ht="14.25" customHeight="1" x14ac:dyDescent="0.25"/>
    <row r="9571" ht="14.25" customHeight="1" x14ac:dyDescent="0.25"/>
    <row r="9572" ht="14.25" customHeight="1" x14ac:dyDescent="0.25"/>
    <row r="9573" ht="14.25" customHeight="1" x14ac:dyDescent="0.25"/>
    <row r="9574" ht="14.25" customHeight="1" x14ac:dyDescent="0.25"/>
    <row r="9575" ht="14.25" customHeight="1" x14ac:dyDescent="0.25"/>
    <row r="9576" ht="14.25" customHeight="1" x14ac:dyDescent="0.25"/>
    <row r="9577" ht="14.25" customHeight="1" x14ac:dyDescent="0.25"/>
    <row r="9578" ht="14.25" customHeight="1" x14ac:dyDescent="0.25"/>
    <row r="9579" ht="14.25" customHeight="1" x14ac:dyDescent="0.25"/>
    <row r="9580" ht="14.25" customHeight="1" x14ac:dyDescent="0.25"/>
    <row r="9581" ht="14.25" customHeight="1" x14ac:dyDescent="0.25"/>
    <row r="9582" ht="14.25" customHeight="1" x14ac:dyDescent="0.25"/>
    <row r="9583" ht="14.25" customHeight="1" x14ac:dyDescent="0.25"/>
    <row r="9584" ht="14.25" customHeight="1" x14ac:dyDescent="0.25"/>
    <row r="9585" ht="14.25" customHeight="1" x14ac:dyDescent="0.25"/>
    <row r="9586" ht="14.25" customHeight="1" x14ac:dyDescent="0.25"/>
    <row r="9587" ht="14.25" customHeight="1" x14ac:dyDescent="0.25"/>
    <row r="9588" ht="14.25" customHeight="1" x14ac:dyDescent="0.25"/>
    <row r="9589" ht="14.25" customHeight="1" x14ac:dyDescent="0.25"/>
    <row r="9590" ht="14.25" customHeight="1" x14ac:dyDescent="0.25"/>
    <row r="9591" ht="14.25" customHeight="1" x14ac:dyDescent="0.25"/>
    <row r="9592" ht="14.25" customHeight="1" x14ac:dyDescent="0.25"/>
    <row r="9593" ht="14.25" customHeight="1" x14ac:dyDescent="0.25"/>
    <row r="9594" ht="14.25" customHeight="1" x14ac:dyDescent="0.25"/>
    <row r="9595" ht="14.25" customHeight="1" x14ac:dyDescent="0.25"/>
    <row r="9596" ht="14.25" customHeight="1" x14ac:dyDescent="0.25"/>
    <row r="9597" ht="14.25" customHeight="1" x14ac:dyDescent="0.25"/>
    <row r="9598" ht="14.25" customHeight="1" x14ac:dyDescent="0.25"/>
    <row r="9599" ht="14.25" customHeight="1" x14ac:dyDescent="0.25"/>
    <row r="9600" ht="14.25" customHeight="1" x14ac:dyDescent="0.25"/>
    <row r="9601" ht="14.25" customHeight="1" x14ac:dyDescent="0.25"/>
    <row r="9602" ht="14.25" customHeight="1" x14ac:dyDescent="0.25"/>
    <row r="9603" ht="14.25" customHeight="1" x14ac:dyDescent="0.25"/>
    <row r="9604" ht="14.25" customHeight="1" x14ac:dyDescent="0.25"/>
    <row r="9605" ht="14.25" customHeight="1" x14ac:dyDescent="0.25"/>
    <row r="9606" ht="14.25" customHeight="1" x14ac:dyDescent="0.25"/>
    <row r="9607" ht="14.25" customHeight="1" x14ac:dyDescent="0.25"/>
    <row r="9608" ht="14.25" customHeight="1" x14ac:dyDescent="0.25"/>
    <row r="9609" ht="14.25" customHeight="1" x14ac:dyDescent="0.25"/>
    <row r="9610" ht="14.25" customHeight="1" x14ac:dyDescent="0.25"/>
    <row r="9611" ht="14.25" customHeight="1" x14ac:dyDescent="0.25"/>
    <row r="9612" ht="14.25" customHeight="1" x14ac:dyDescent="0.25"/>
    <row r="9613" ht="14.25" customHeight="1" x14ac:dyDescent="0.25"/>
    <row r="9614" ht="14.25" customHeight="1" x14ac:dyDescent="0.25"/>
    <row r="9615" ht="14.25" customHeight="1" x14ac:dyDescent="0.25"/>
    <row r="9616" ht="14.25" customHeight="1" x14ac:dyDescent="0.25"/>
    <row r="9617" ht="14.25" customHeight="1" x14ac:dyDescent="0.25"/>
    <row r="9618" ht="14.25" customHeight="1" x14ac:dyDescent="0.25"/>
    <row r="9619" ht="14.25" customHeight="1" x14ac:dyDescent="0.25"/>
    <row r="9620" ht="14.25" customHeight="1" x14ac:dyDescent="0.25"/>
    <row r="9621" ht="14.25" customHeight="1" x14ac:dyDescent="0.25"/>
    <row r="9622" ht="14.25" customHeight="1" x14ac:dyDescent="0.25"/>
    <row r="9623" ht="14.25" customHeight="1" x14ac:dyDescent="0.25"/>
    <row r="9624" ht="14.25" customHeight="1" x14ac:dyDescent="0.25"/>
    <row r="9625" ht="14.25" customHeight="1" x14ac:dyDescent="0.25"/>
    <row r="9626" ht="14.25" customHeight="1" x14ac:dyDescent="0.25"/>
    <row r="9627" ht="14.25" customHeight="1" x14ac:dyDescent="0.25"/>
    <row r="9628" ht="14.25" customHeight="1" x14ac:dyDescent="0.25"/>
    <row r="9629" ht="14.25" customHeight="1" x14ac:dyDescent="0.25"/>
    <row r="9630" ht="14.25" customHeight="1" x14ac:dyDescent="0.25"/>
    <row r="9631" ht="14.25" customHeight="1" x14ac:dyDescent="0.25"/>
    <row r="9632" ht="14.25" customHeight="1" x14ac:dyDescent="0.25"/>
    <row r="9633" ht="14.25" customHeight="1" x14ac:dyDescent="0.25"/>
    <row r="9634" ht="14.25" customHeight="1" x14ac:dyDescent="0.25"/>
    <row r="9635" ht="14.25" customHeight="1" x14ac:dyDescent="0.25"/>
    <row r="9636" ht="14.25" customHeight="1" x14ac:dyDescent="0.25"/>
    <row r="9637" ht="14.25" customHeight="1" x14ac:dyDescent="0.25"/>
    <row r="9638" ht="14.25" customHeight="1" x14ac:dyDescent="0.25"/>
    <row r="9639" ht="14.25" customHeight="1" x14ac:dyDescent="0.25"/>
    <row r="9640" ht="14.25" customHeight="1" x14ac:dyDescent="0.25"/>
    <row r="9641" ht="14.25" customHeight="1" x14ac:dyDescent="0.25"/>
    <row r="9642" ht="14.25" customHeight="1" x14ac:dyDescent="0.25"/>
    <row r="9643" ht="14.25" customHeight="1" x14ac:dyDescent="0.25"/>
    <row r="9644" ht="14.25" customHeight="1" x14ac:dyDescent="0.25"/>
    <row r="9645" ht="14.25" customHeight="1" x14ac:dyDescent="0.25"/>
    <row r="9646" ht="14.25" customHeight="1" x14ac:dyDescent="0.25"/>
    <row r="9647" ht="14.25" customHeight="1" x14ac:dyDescent="0.25"/>
    <row r="9648" ht="14.25" customHeight="1" x14ac:dyDescent="0.25"/>
    <row r="9649" ht="14.25" customHeight="1" x14ac:dyDescent="0.25"/>
    <row r="9650" ht="14.25" customHeight="1" x14ac:dyDescent="0.25"/>
    <row r="9651" ht="14.25" customHeight="1" x14ac:dyDescent="0.25"/>
    <row r="9652" ht="14.25" customHeight="1" x14ac:dyDescent="0.25"/>
    <row r="9653" ht="14.25" customHeight="1" x14ac:dyDescent="0.25"/>
    <row r="9654" ht="14.25" customHeight="1" x14ac:dyDescent="0.25"/>
    <row r="9655" ht="14.25" customHeight="1" x14ac:dyDescent="0.25"/>
    <row r="9656" ht="14.25" customHeight="1" x14ac:dyDescent="0.25"/>
    <row r="9657" ht="14.25" customHeight="1" x14ac:dyDescent="0.25"/>
    <row r="9658" ht="14.25" customHeight="1" x14ac:dyDescent="0.25"/>
    <row r="9659" ht="14.25" customHeight="1" x14ac:dyDescent="0.25"/>
    <row r="9660" ht="14.25" customHeight="1" x14ac:dyDescent="0.25"/>
    <row r="9661" ht="14.25" customHeight="1" x14ac:dyDescent="0.25"/>
    <row r="9662" ht="14.25" customHeight="1" x14ac:dyDescent="0.25"/>
    <row r="9663" ht="14.25" customHeight="1" x14ac:dyDescent="0.25"/>
    <row r="9664" ht="14.25" customHeight="1" x14ac:dyDescent="0.25"/>
    <row r="9665" ht="14.25" customHeight="1" x14ac:dyDescent="0.25"/>
    <row r="9666" ht="14.25" customHeight="1" x14ac:dyDescent="0.25"/>
    <row r="9667" ht="14.25" customHeight="1" x14ac:dyDescent="0.25"/>
    <row r="9668" ht="14.25" customHeight="1" x14ac:dyDescent="0.25"/>
    <row r="9669" ht="14.25" customHeight="1" x14ac:dyDescent="0.25"/>
    <row r="9670" ht="14.25" customHeight="1" x14ac:dyDescent="0.25"/>
    <row r="9671" ht="14.25" customHeight="1" x14ac:dyDescent="0.25"/>
    <row r="9672" ht="14.25" customHeight="1" x14ac:dyDescent="0.25"/>
    <row r="9673" ht="14.25" customHeight="1" x14ac:dyDescent="0.25"/>
    <row r="9674" ht="14.25" customHeight="1" x14ac:dyDescent="0.25"/>
    <row r="9675" ht="14.25" customHeight="1" x14ac:dyDescent="0.25"/>
    <row r="9676" ht="14.25" customHeight="1" x14ac:dyDescent="0.25"/>
    <row r="9677" ht="14.25" customHeight="1" x14ac:dyDescent="0.25"/>
    <row r="9678" ht="14.25" customHeight="1" x14ac:dyDescent="0.25"/>
    <row r="9679" ht="14.25" customHeight="1" x14ac:dyDescent="0.25"/>
    <row r="9680" ht="14.25" customHeight="1" x14ac:dyDescent="0.25"/>
    <row r="9681" ht="14.25" customHeight="1" x14ac:dyDescent="0.25"/>
    <row r="9682" ht="14.25" customHeight="1" x14ac:dyDescent="0.25"/>
    <row r="9683" ht="14.25" customHeight="1" x14ac:dyDescent="0.25"/>
    <row r="9684" ht="14.25" customHeight="1" x14ac:dyDescent="0.25"/>
    <row r="9685" ht="14.25" customHeight="1" x14ac:dyDescent="0.25"/>
    <row r="9686" ht="14.25" customHeight="1" x14ac:dyDescent="0.25"/>
    <row r="9687" ht="14.25" customHeight="1" x14ac:dyDescent="0.25"/>
    <row r="9688" ht="14.25" customHeight="1" x14ac:dyDescent="0.25"/>
    <row r="9689" ht="14.25" customHeight="1" x14ac:dyDescent="0.25"/>
    <row r="9690" ht="14.25" customHeight="1" x14ac:dyDescent="0.25"/>
    <row r="9691" ht="14.25" customHeight="1" x14ac:dyDescent="0.25"/>
    <row r="9692" ht="14.25" customHeight="1" x14ac:dyDescent="0.25"/>
    <row r="9693" ht="14.25" customHeight="1" x14ac:dyDescent="0.25"/>
    <row r="9694" ht="14.25" customHeight="1" x14ac:dyDescent="0.25"/>
    <row r="9695" ht="14.25" customHeight="1" x14ac:dyDescent="0.25"/>
    <row r="9696" ht="14.25" customHeight="1" x14ac:dyDescent="0.25"/>
    <row r="9697" ht="14.25" customHeight="1" x14ac:dyDescent="0.25"/>
    <row r="9698" ht="14.25" customHeight="1" x14ac:dyDescent="0.25"/>
    <row r="9699" ht="14.25" customHeight="1" x14ac:dyDescent="0.25"/>
    <row r="9700" ht="14.25" customHeight="1" x14ac:dyDescent="0.25"/>
    <row r="9701" ht="14.25" customHeight="1" x14ac:dyDescent="0.25"/>
    <row r="9702" ht="14.25" customHeight="1" x14ac:dyDescent="0.25"/>
    <row r="9703" ht="14.25" customHeight="1" x14ac:dyDescent="0.25"/>
    <row r="9704" ht="14.25" customHeight="1" x14ac:dyDescent="0.25"/>
    <row r="9705" ht="14.25" customHeight="1" x14ac:dyDescent="0.25"/>
    <row r="9706" ht="14.25" customHeight="1" x14ac:dyDescent="0.25"/>
    <row r="9707" ht="14.25" customHeight="1" x14ac:dyDescent="0.25"/>
    <row r="9708" ht="14.25" customHeight="1" x14ac:dyDescent="0.25"/>
    <row r="9709" ht="14.25" customHeight="1" x14ac:dyDescent="0.25"/>
    <row r="9710" ht="14.25" customHeight="1" x14ac:dyDescent="0.25"/>
    <row r="9711" ht="14.25" customHeight="1" x14ac:dyDescent="0.25"/>
    <row r="9712" ht="14.25" customHeight="1" x14ac:dyDescent="0.25"/>
    <row r="9713" ht="14.25" customHeight="1" x14ac:dyDescent="0.25"/>
    <row r="9714" ht="14.25" customHeight="1" x14ac:dyDescent="0.25"/>
    <row r="9715" ht="14.25" customHeight="1" x14ac:dyDescent="0.25"/>
    <row r="9716" ht="14.25" customHeight="1" x14ac:dyDescent="0.25"/>
    <row r="9717" ht="14.25" customHeight="1" x14ac:dyDescent="0.25"/>
    <row r="9718" ht="14.25" customHeight="1" x14ac:dyDescent="0.25"/>
    <row r="9719" ht="14.25" customHeight="1" x14ac:dyDescent="0.25"/>
    <row r="9720" ht="14.25" customHeight="1" x14ac:dyDescent="0.25"/>
    <row r="9721" ht="14.25" customHeight="1" x14ac:dyDescent="0.25"/>
    <row r="9722" ht="14.25" customHeight="1" x14ac:dyDescent="0.25"/>
    <row r="9723" ht="14.25" customHeight="1" x14ac:dyDescent="0.25"/>
    <row r="9724" ht="14.25" customHeight="1" x14ac:dyDescent="0.25"/>
    <row r="9725" ht="14.25" customHeight="1" x14ac:dyDescent="0.25"/>
    <row r="9726" ht="14.25" customHeight="1" x14ac:dyDescent="0.25"/>
    <row r="9727" ht="14.25" customHeight="1" x14ac:dyDescent="0.25"/>
    <row r="9728" ht="14.25" customHeight="1" x14ac:dyDescent="0.25"/>
    <row r="9729" ht="14.25" customHeight="1" x14ac:dyDescent="0.25"/>
    <row r="9730" ht="14.25" customHeight="1" x14ac:dyDescent="0.25"/>
    <row r="9731" ht="14.25" customHeight="1" x14ac:dyDescent="0.25"/>
    <row r="9732" ht="14.25" customHeight="1" x14ac:dyDescent="0.25"/>
    <row r="9733" ht="14.25" customHeight="1" x14ac:dyDescent="0.25"/>
    <row r="9734" ht="14.25" customHeight="1" x14ac:dyDescent="0.25"/>
    <row r="9735" ht="14.25" customHeight="1" x14ac:dyDescent="0.25"/>
    <row r="9736" ht="14.25" customHeight="1" x14ac:dyDescent="0.25"/>
    <row r="9737" ht="14.25" customHeight="1" x14ac:dyDescent="0.25"/>
    <row r="9738" ht="14.25" customHeight="1" x14ac:dyDescent="0.25"/>
    <row r="9739" ht="14.25" customHeight="1" x14ac:dyDescent="0.25"/>
    <row r="9740" ht="14.25" customHeight="1" x14ac:dyDescent="0.25"/>
    <row r="9741" ht="14.25" customHeight="1" x14ac:dyDescent="0.25"/>
    <row r="9742" ht="14.25" customHeight="1" x14ac:dyDescent="0.25"/>
    <row r="9743" ht="14.25" customHeight="1" x14ac:dyDescent="0.25"/>
    <row r="9744" ht="14.25" customHeight="1" x14ac:dyDescent="0.25"/>
    <row r="9745" ht="14.25" customHeight="1" x14ac:dyDescent="0.25"/>
    <row r="9746" ht="14.25" customHeight="1" x14ac:dyDescent="0.25"/>
    <row r="9747" ht="14.25" customHeight="1" x14ac:dyDescent="0.25"/>
    <row r="9748" ht="14.25" customHeight="1" x14ac:dyDescent="0.25"/>
    <row r="9749" ht="14.25" customHeight="1" x14ac:dyDescent="0.25"/>
    <row r="9750" ht="14.25" customHeight="1" x14ac:dyDescent="0.25"/>
    <row r="9751" ht="14.25" customHeight="1" x14ac:dyDescent="0.25"/>
    <row r="9752" ht="14.25" customHeight="1" x14ac:dyDescent="0.25"/>
    <row r="9753" ht="14.25" customHeight="1" x14ac:dyDescent="0.25"/>
    <row r="9754" ht="14.25" customHeight="1" x14ac:dyDescent="0.25"/>
    <row r="9755" ht="14.25" customHeight="1" x14ac:dyDescent="0.25"/>
    <row r="9756" ht="14.25" customHeight="1" x14ac:dyDescent="0.25"/>
    <row r="9757" ht="14.25" customHeight="1" x14ac:dyDescent="0.25"/>
    <row r="9758" ht="14.25" customHeight="1" x14ac:dyDescent="0.25"/>
    <row r="9759" ht="14.25" customHeight="1" x14ac:dyDescent="0.25"/>
    <row r="9760" ht="14.25" customHeight="1" x14ac:dyDescent="0.25"/>
    <row r="9761" ht="14.25" customHeight="1" x14ac:dyDescent="0.25"/>
    <row r="9762" ht="14.25" customHeight="1" x14ac:dyDescent="0.25"/>
    <row r="9763" ht="14.25" customHeight="1" x14ac:dyDescent="0.25"/>
    <row r="9764" ht="14.25" customHeight="1" x14ac:dyDescent="0.25"/>
    <row r="9765" ht="14.25" customHeight="1" x14ac:dyDescent="0.25"/>
    <row r="9766" ht="14.25" customHeight="1" x14ac:dyDescent="0.25"/>
    <row r="9767" ht="14.25" customHeight="1" x14ac:dyDescent="0.25"/>
    <row r="9768" ht="14.25" customHeight="1" x14ac:dyDescent="0.25"/>
    <row r="9769" ht="14.25" customHeight="1" x14ac:dyDescent="0.25"/>
    <row r="9770" ht="14.25" customHeight="1" x14ac:dyDescent="0.25"/>
    <row r="9771" ht="14.25" customHeight="1" x14ac:dyDescent="0.25"/>
    <row r="9772" ht="14.25" customHeight="1" x14ac:dyDescent="0.25"/>
    <row r="9773" ht="14.25" customHeight="1" x14ac:dyDescent="0.25"/>
    <row r="9774" ht="14.25" customHeight="1" x14ac:dyDescent="0.25"/>
    <row r="9775" ht="14.25" customHeight="1" x14ac:dyDescent="0.25"/>
    <row r="9776" ht="14.25" customHeight="1" x14ac:dyDescent="0.25"/>
    <row r="9777" ht="14.25" customHeight="1" x14ac:dyDescent="0.25"/>
    <row r="9778" ht="14.25" customHeight="1" x14ac:dyDescent="0.25"/>
    <row r="9779" ht="14.25" customHeight="1" x14ac:dyDescent="0.25"/>
    <row r="9780" ht="14.25" customHeight="1" x14ac:dyDescent="0.25"/>
    <row r="9781" ht="14.25" customHeight="1" x14ac:dyDescent="0.25"/>
    <row r="9782" ht="14.25" customHeight="1" x14ac:dyDescent="0.25"/>
    <row r="9783" ht="14.25" customHeight="1" x14ac:dyDescent="0.25"/>
    <row r="9784" ht="14.25" customHeight="1" x14ac:dyDescent="0.25"/>
    <row r="9785" ht="14.25" customHeight="1" x14ac:dyDescent="0.25"/>
    <row r="9786" ht="14.25" customHeight="1" x14ac:dyDescent="0.25"/>
    <row r="9787" ht="14.25" customHeight="1" x14ac:dyDescent="0.25"/>
    <row r="9788" ht="14.25" customHeight="1" x14ac:dyDescent="0.25"/>
    <row r="9789" ht="14.25" customHeight="1" x14ac:dyDescent="0.25"/>
    <row r="9790" ht="14.25" customHeight="1" x14ac:dyDescent="0.25"/>
    <row r="9791" ht="14.25" customHeight="1" x14ac:dyDescent="0.25"/>
    <row r="9792" ht="14.25" customHeight="1" x14ac:dyDescent="0.25"/>
    <row r="9793" ht="14.25" customHeight="1" x14ac:dyDescent="0.25"/>
    <row r="9794" ht="14.25" customHeight="1" x14ac:dyDescent="0.25"/>
    <row r="9795" ht="14.25" customHeight="1" x14ac:dyDescent="0.25"/>
    <row r="9796" ht="14.25" customHeight="1" x14ac:dyDescent="0.25"/>
    <row r="9797" ht="14.25" customHeight="1" x14ac:dyDescent="0.25"/>
    <row r="9798" ht="14.25" customHeight="1" x14ac:dyDescent="0.25"/>
    <row r="9799" ht="14.25" customHeight="1" x14ac:dyDescent="0.25"/>
    <row r="9800" ht="14.25" customHeight="1" x14ac:dyDescent="0.25"/>
    <row r="9801" ht="14.25" customHeight="1" x14ac:dyDescent="0.25"/>
    <row r="9802" ht="14.25" customHeight="1" x14ac:dyDescent="0.25"/>
    <row r="9803" ht="14.25" customHeight="1" x14ac:dyDescent="0.25"/>
    <row r="9804" ht="14.25" customHeight="1" x14ac:dyDescent="0.25"/>
    <row r="9805" ht="14.25" customHeight="1" x14ac:dyDescent="0.25"/>
    <row r="9806" ht="14.25" customHeight="1" x14ac:dyDescent="0.25"/>
    <row r="9807" ht="14.25" customHeight="1" x14ac:dyDescent="0.25"/>
    <row r="9808" ht="14.25" customHeight="1" x14ac:dyDescent="0.25"/>
    <row r="9809" ht="14.25" customHeight="1" x14ac:dyDescent="0.25"/>
    <row r="9810" ht="14.25" customHeight="1" x14ac:dyDescent="0.25"/>
    <row r="9811" ht="14.25" customHeight="1" x14ac:dyDescent="0.25"/>
    <row r="9812" ht="14.25" customHeight="1" x14ac:dyDescent="0.25"/>
    <row r="9813" ht="14.25" customHeight="1" x14ac:dyDescent="0.25"/>
    <row r="9814" ht="14.25" customHeight="1" x14ac:dyDescent="0.25"/>
    <row r="9815" ht="14.25" customHeight="1" x14ac:dyDescent="0.25"/>
    <row r="9816" ht="14.25" customHeight="1" x14ac:dyDescent="0.25"/>
    <row r="9817" ht="14.25" customHeight="1" x14ac:dyDescent="0.25"/>
    <row r="9818" ht="14.25" customHeight="1" x14ac:dyDescent="0.25"/>
    <row r="9819" ht="14.25" customHeight="1" x14ac:dyDescent="0.25"/>
    <row r="9820" ht="14.25" customHeight="1" x14ac:dyDescent="0.25"/>
    <row r="9821" ht="14.25" customHeight="1" x14ac:dyDescent="0.25"/>
    <row r="9822" ht="14.25" customHeight="1" x14ac:dyDescent="0.25"/>
    <row r="9823" ht="14.25" customHeight="1" x14ac:dyDescent="0.25"/>
    <row r="9824" ht="14.25" customHeight="1" x14ac:dyDescent="0.25"/>
    <row r="9825" ht="14.25" customHeight="1" x14ac:dyDescent="0.25"/>
    <row r="9826" ht="14.25" customHeight="1" x14ac:dyDescent="0.25"/>
    <row r="9827" ht="14.25" customHeight="1" x14ac:dyDescent="0.25"/>
    <row r="9828" ht="14.25" customHeight="1" x14ac:dyDescent="0.25"/>
    <row r="9829" ht="14.25" customHeight="1" x14ac:dyDescent="0.25"/>
    <row r="9830" ht="14.25" customHeight="1" x14ac:dyDescent="0.25"/>
    <row r="9831" ht="14.25" customHeight="1" x14ac:dyDescent="0.25"/>
    <row r="9832" ht="14.25" customHeight="1" x14ac:dyDescent="0.25"/>
    <row r="9833" ht="14.25" customHeight="1" x14ac:dyDescent="0.25"/>
    <row r="9834" ht="14.25" customHeight="1" x14ac:dyDescent="0.25"/>
    <row r="9835" ht="14.25" customHeight="1" x14ac:dyDescent="0.25"/>
    <row r="9836" ht="14.25" customHeight="1" x14ac:dyDescent="0.25"/>
    <row r="9837" ht="14.25" customHeight="1" x14ac:dyDescent="0.25"/>
    <row r="9838" ht="14.25" customHeight="1" x14ac:dyDescent="0.25"/>
    <row r="9839" ht="14.25" customHeight="1" x14ac:dyDescent="0.25"/>
    <row r="9840" ht="14.25" customHeight="1" x14ac:dyDescent="0.25"/>
    <row r="9841" ht="14.25" customHeight="1" x14ac:dyDescent="0.25"/>
    <row r="9842" ht="14.25" customHeight="1" x14ac:dyDescent="0.25"/>
    <row r="9843" ht="14.25" customHeight="1" x14ac:dyDescent="0.25"/>
    <row r="9844" ht="14.25" customHeight="1" x14ac:dyDescent="0.25"/>
    <row r="9845" ht="14.25" customHeight="1" x14ac:dyDescent="0.25"/>
    <row r="9846" ht="14.25" customHeight="1" x14ac:dyDescent="0.25"/>
    <row r="9847" ht="14.25" customHeight="1" x14ac:dyDescent="0.25"/>
    <row r="9848" ht="14.25" customHeight="1" x14ac:dyDescent="0.25"/>
    <row r="9849" ht="14.25" customHeight="1" x14ac:dyDescent="0.25"/>
    <row r="9850" ht="14.25" customHeight="1" x14ac:dyDescent="0.25"/>
    <row r="9851" ht="14.25" customHeight="1" x14ac:dyDescent="0.25"/>
    <row r="9852" ht="14.25" customHeight="1" x14ac:dyDescent="0.25"/>
    <row r="9853" ht="14.25" customHeight="1" x14ac:dyDescent="0.25"/>
    <row r="9854" ht="14.25" customHeight="1" x14ac:dyDescent="0.25"/>
    <row r="9855" ht="14.25" customHeight="1" x14ac:dyDescent="0.25"/>
    <row r="9856" ht="14.25" customHeight="1" x14ac:dyDescent="0.25"/>
    <row r="9857" ht="14.25" customHeight="1" x14ac:dyDescent="0.25"/>
    <row r="9858" ht="14.25" customHeight="1" x14ac:dyDescent="0.25"/>
    <row r="9859" ht="14.25" customHeight="1" x14ac:dyDescent="0.25"/>
    <row r="9860" ht="14.25" customHeight="1" x14ac:dyDescent="0.25"/>
    <row r="9861" ht="14.25" customHeight="1" x14ac:dyDescent="0.25"/>
    <row r="9862" ht="14.25" customHeight="1" x14ac:dyDescent="0.25"/>
    <row r="9863" ht="14.25" customHeight="1" x14ac:dyDescent="0.25"/>
    <row r="9864" ht="14.25" customHeight="1" x14ac:dyDescent="0.25"/>
    <row r="9865" ht="14.25" customHeight="1" x14ac:dyDescent="0.25"/>
    <row r="9866" ht="14.25" customHeight="1" x14ac:dyDescent="0.25"/>
    <row r="9867" ht="14.25" customHeight="1" x14ac:dyDescent="0.25"/>
    <row r="9868" ht="14.25" customHeight="1" x14ac:dyDescent="0.25"/>
    <row r="9869" ht="14.25" customHeight="1" x14ac:dyDescent="0.25"/>
    <row r="9870" ht="14.25" customHeight="1" x14ac:dyDescent="0.25"/>
    <row r="9871" ht="14.25" customHeight="1" x14ac:dyDescent="0.25"/>
    <row r="9872" ht="14.25" customHeight="1" x14ac:dyDescent="0.25"/>
    <row r="9873" ht="14.25" customHeight="1" x14ac:dyDescent="0.25"/>
    <row r="9874" ht="14.25" customHeight="1" x14ac:dyDescent="0.25"/>
    <row r="9875" ht="14.25" customHeight="1" x14ac:dyDescent="0.25"/>
    <row r="9876" ht="14.25" customHeight="1" x14ac:dyDescent="0.25"/>
    <row r="9877" ht="14.25" customHeight="1" x14ac:dyDescent="0.25"/>
    <row r="9878" ht="14.25" customHeight="1" x14ac:dyDescent="0.25"/>
    <row r="9879" ht="14.25" customHeight="1" x14ac:dyDescent="0.25"/>
    <row r="9880" ht="14.25" customHeight="1" x14ac:dyDescent="0.25"/>
    <row r="9881" ht="14.25" customHeight="1" x14ac:dyDescent="0.25"/>
    <row r="9882" ht="14.25" customHeight="1" x14ac:dyDescent="0.25"/>
    <row r="9883" ht="14.25" customHeight="1" x14ac:dyDescent="0.25"/>
    <row r="9884" ht="14.25" customHeight="1" x14ac:dyDescent="0.25"/>
    <row r="9885" ht="14.25" customHeight="1" x14ac:dyDescent="0.25"/>
    <row r="9886" ht="14.25" customHeight="1" x14ac:dyDescent="0.25"/>
    <row r="9887" ht="14.25" customHeight="1" x14ac:dyDescent="0.25"/>
    <row r="9888" ht="14.25" customHeight="1" x14ac:dyDescent="0.25"/>
    <row r="9889" ht="14.25" customHeight="1" x14ac:dyDescent="0.25"/>
    <row r="9890" ht="14.25" customHeight="1" x14ac:dyDescent="0.25"/>
    <row r="9891" ht="14.25" customHeight="1" x14ac:dyDescent="0.25"/>
    <row r="9892" ht="14.25" customHeight="1" x14ac:dyDescent="0.25"/>
    <row r="9893" ht="14.25" customHeight="1" x14ac:dyDescent="0.25"/>
    <row r="9894" ht="14.25" customHeight="1" x14ac:dyDescent="0.25"/>
    <row r="9895" ht="14.25" customHeight="1" x14ac:dyDescent="0.25"/>
    <row r="9896" ht="14.25" customHeight="1" x14ac:dyDescent="0.25"/>
    <row r="9897" ht="14.25" customHeight="1" x14ac:dyDescent="0.25"/>
    <row r="9898" ht="14.25" customHeight="1" x14ac:dyDescent="0.25"/>
    <row r="9899" ht="14.25" customHeight="1" x14ac:dyDescent="0.25"/>
    <row r="9900" ht="14.25" customHeight="1" x14ac:dyDescent="0.25"/>
    <row r="9901" ht="14.25" customHeight="1" x14ac:dyDescent="0.25"/>
    <row r="9902" ht="14.25" customHeight="1" x14ac:dyDescent="0.25"/>
    <row r="9903" ht="14.25" customHeight="1" x14ac:dyDescent="0.25"/>
    <row r="9904" ht="14.25" customHeight="1" x14ac:dyDescent="0.25"/>
    <row r="9905" ht="14.25" customHeight="1" x14ac:dyDescent="0.25"/>
    <row r="9906" ht="14.25" customHeight="1" x14ac:dyDescent="0.25"/>
    <row r="9907" ht="14.25" customHeight="1" x14ac:dyDescent="0.25"/>
    <row r="9908" ht="14.25" customHeight="1" x14ac:dyDescent="0.25"/>
    <row r="9909" ht="14.25" customHeight="1" x14ac:dyDescent="0.25"/>
    <row r="9910" ht="14.25" customHeight="1" x14ac:dyDescent="0.25"/>
    <row r="9911" ht="14.25" customHeight="1" x14ac:dyDescent="0.25"/>
    <row r="9912" ht="14.25" customHeight="1" x14ac:dyDescent="0.25"/>
    <row r="9913" ht="14.25" customHeight="1" x14ac:dyDescent="0.25"/>
    <row r="9914" ht="14.25" customHeight="1" x14ac:dyDescent="0.25"/>
    <row r="9915" ht="14.25" customHeight="1" x14ac:dyDescent="0.25"/>
    <row r="9916" ht="14.25" customHeight="1" x14ac:dyDescent="0.25"/>
    <row r="9917" ht="14.25" customHeight="1" x14ac:dyDescent="0.25"/>
    <row r="9918" ht="14.25" customHeight="1" x14ac:dyDescent="0.25"/>
    <row r="9919" ht="14.25" customHeight="1" x14ac:dyDescent="0.25"/>
    <row r="9920" ht="14.25" customHeight="1" x14ac:dyDescent="0.25"/>
    <row r="9921" ht="14.25" customHeight="1" x14ac:dyDescent="0.25"/>
    <row r="9922" ht="14.25" customHeight="1" x14ac:dyDescent="0.25"/>
    <row r="9923" ht="14.25" customHeight="1" x14ac:dyDescent="0.25"/>
    <row r="9924" ht="14.25" customHeight="1" x14ac:dyDescent="0.25"/>
    <row r="9925" ht="14.25" customHeight="1" x14ac:dyDescent="0.25"/>
    <row r="9926" ht="14.25" customHeight="1" x14ac:dyDescent="0.25"/>
    <row r="9927" ht="14.25" customHeight="1" x14ac:dyDescent="0.25"/>
    <row r="9928" ht="14.25" customHeight="1" x14ac:dyDescent="0.25"/>
    <row r="9929" ht="14.25" customHeight="1" x14ac:dyDescent="0.25"/>
    <row r="9930" ht="14.25" customHeight="1" x14ac:dyDescent="0.25"/>
    <row r="9931" ht="14.25" customHeight="1" x14ac:dyDescent="0.25"/>
    <row r="9932" ht="14.25" customHeight="1" x14ac:dyDescent="0.25"/>
    <row r="9933" ht="14.25" customHeight="1" x14ac:dyDescent="0.25"/>
    <row r="9934" ht="14.25" customHeight="1" x14ac:dyDescent="0.25"/>
    <row r="9935" ht="14.25" customHeight="1" x14ac:dyDescent="0.25"/>
    <row r="9936" ht="14.25" customHeight="1" x14ac:dyDescent="0.25"/>
    <row r="9937" ht="14.25" customHeight="1" x14ac:dyDescent="0.25"/>
    <row r="9938" ht="14.25" customHeight="1" x14ac:dyDescent="0.25"/>
    <row r="9939" ht="14.25" customHeight="1" x14ac:dyDescent="0.25"/>
    <row r="9940" ht="14.25" customHeight="1" x14ac:dyDescent="0.25"/>
    <row r="9941" ht="14.25" customHeight="1" x14ac:dyDescent="0.25"/>
    <row r="9942" ht="14.25" customHeight="1" x14ac:dyDescent="0.25"/>
    <row r="9943" ht="14.25" customHeight="1" x14ac:dyDescent="0.25"/>
    <row r="9944" ht="14.25" customHeight="1" x14ac:dyDescent="0.25"/>
    <row r="9945" ht="14.25" customHeight="1" x14ac:dyDescent="0.25"/>
    <row r="9946" ht="14.25" customHeight="1" x14ac:dyDescent="0.25"/>
    <row r="9947" ht="14.25" customHeight="1" x14ac:dyDescent="0.25"/>
    <row r="9948" ht="14.25" customHeight="1" x14ac:dyDescent="0.25"/>
    <row r="9949" ht="14.25" customHeight="1" x14ac:dyDescent="0.25"/>
    <row r="9950" ht="14.25" customHeight="1" x14ac:dyDescent="0.25"/>
    <row r="9951" ht="14.25" customHeight="1" x14ac:dyDescent="0.25"/>
    <row r="9952" ht="14.25" customHeight="1" x14ac:dyDescent="0.25"/>
    <row r="9953" ht="14.25" customHeight="1" x14ac:dyDescent="0.25"/>
    <row r="9954" ht="14.25" customHeight="1" x14ac:dyDescent="0.25"/>
    <row r="9955" ht="14.25" customHeight="1" x14ac:dyDescent="0.25"/>
    <row r="9956" ht="14.25" customHeight="1" x14ac:dyDescent="0.25"/>
    <row r="9957" ht="14.25" customHeight="1" x14ac:dyDescent="0.25"/>
    <row r="9958" ht="14.25" customHeight="1" x14ac:dyDescent="0.25"/>
    <row r="9959" ht="14.25" customHeight="1" x14ac:dyDescent="0.25"/>
    <row r="9960" ht="14.25" customHeight="1" x14ac:dyDescent="0.25"/>
    <row r="9961" ht="14.25" customHeight="1" x14ac:dyDescent="0.25"/>
    <row r="9962" ht="14.25" customHeight="1" x14ac:dyDescent="0.25"/>
    <row r="9963" ht="14.25" customHeight="1" x14ac:dyDescent="0.25"/>
    <row r="9964" ht="14.25" customHeight="1" x14ac:dyDescent="0.25"/>
    <row r="9965" ht="14.25" customHeight="1" x14ac:dyDescent="0.25"/>
    <row r="9966" ht="14.25" customHeight="1" x14ac:dyDescent="0.25"/>
    <row r="9967" ht="14.25" customHeight="1" x14ac:dyDescent="0.25"/>
    <row r="9968" ht="14.25" customHeight="1" x14ac:dyDescent="0.25"/>
    <row r="9969" ht="14.25" customHeight="1" x14ac:dyDescent="0.25"/>
    <row r="9970" ht="14.25" customHeight="1" x14ac:dyDescent="0.25"/>
    <row r="9971" ht="14.25" customHeight="1" x14ac:dyDescent="0.25"/>
    <row r="9972" ht="14.25" customHeight="1" x14ac:dyDescent="0.25"/>
    <row r="9973" ht="14.25" customHeight="1" x14ac:dyDescent="0.25"/>
    <row r="9974" ht="14.25" customHeight="1" x14ac:dyDescent="0.25"/>
    <row r="9975" ht="14.25" customHeight="1" x14ac:dyDescent="0.25"/>
    <row r="9976" ht="14.25" customHeight="1" x14ac:dyDescent="0.25"/>
    <row r="9977" ht="14.25" customHeight="1" x14ac:dyDescent="0.25"/>
    <row r="9978" ht="14.25" customHeight="1" x14ac:dyDescent="0.25"/>
    <row r="9979" ht="14.25" customHeight="1" x14ac:dyDescent="0.25"/>
    <row r="9980" ht="14.25" customHeight="1" x14ac:dyDescent="0.25"/>
    <row r="9981" ht="14.25" customHeight="1" x14ac:dyDescent="0.25"/>
    <row r="9982" ht="14.25" customHeight="1" x14ac:dyDescent="0.25"/>
    <row r="9983" ht="14.25" customHeight="1" x14ac:dyDescent="0.25"/>
    <row r="9984" ht="14.25" customHeight="1" x14ac:dyDescent="0.25"/>
    <row r="9985" ht="14.25" customHeight="1" x14ac:dyDescent="0.25"/>
    <row r="9986" ht="14.25" customHeight="1" x14ac:dyDescent="0.25"/>
    <row r="9987" ht="14.25" customHeight="1" x14ac:dyDescent="0.25"/>
    <row r="9988" ht="14.25" customHeight="1" x14ac:dyDescent="0.25"/>
    <row r="9989" ht="14.25" customHeight="1" x14ac:dyDescent="0.25"/>
    <row r="9990" ht="14.25" customHeight="1" x14ac:dyDescent="0.25"/>
    <row r="9991" ht="14.25" customHeight="1" x14ac:dyDescent="0.25"/>
    <row r="9992" ht="14.25" customHeight="1" x14ac:dyDescent="0.25"/>
    <row r="9993" ht="14.25" customHeight="1" x14ac:dyDescent="0.25"/>
    <row r="9994" ht="14.25" customHeight="1" x14ac:dyDescent="0.25"/>
    <row r="9995" ht="14.25" customHeight="1" x14ac:dyDescent="0.25"/>
    <row r="9996" ht="14.25" customHeight="1" x14ac:dyDescent="0.25"/>
    <row r="9997" ht="14.25" customHeight="1" x14ac:dyDescent="0.25"/>
    <row r="9998" ht="14.25" customHeight="1" x14ac:dyDescent="0.25"/>
    <row r="9999" ht="14.25" customHeight="1" x14ac:dyDescent="0.25"/>
    <row r="10000" ht="14.25" customHeight="1" x14ac:dyDescent="0.25"/>
    <row r="10001" ht="14.25" customHeight="1" x14ac:dyDescent="0.25"/>
    <row r="10002" ht="14.25" customHeight="1" x14ac:dyDescent="0.25"/>
    <row r="10003" ht="14.25" customHeight="1" x14ac:dyDescent="0.25"/>
    <row r="10004" ht="14.25" customHeight="1" x14ac:dyDescent="0.25"/>
    <row r="10005" ht="14.25" customHeight="1" x14ac:dyDescent="0.25"/>
    <row r="10006" ht="14.25" customHeight="1" x14ac:dyDescent="0.25"/>
    <row r="10007" ht="14.25" customHeight="1" x14ac:dyDescent="0.25"/>
    <row r="10008" ht="14.25" customHeight="1" x14ac:dyDescent="0.25"/>
    <row r="10009" ht="14.25" customHeight="1" x14ac:dyDescent="0.25"/>
    <row r="10010" ht="14.25" customHeight="1" x14ac:dyDescent="0.25"/>
    <row r="10011" ht="14.25" customHeight="1" x14ac:dyDescent="0.25"/>
    <row r="10012" ht="14.25" customHeight="1" x14ac:dyDescent="0.25"/>
    <row r="10013" ht="14.25" customHeight="1" x14ac:dyDescent="0.25"/>
    <row r="10014" ht="14.25" customHeight="1" x14ac:dyDescent="0.25"/>
    <row r="10015" ht="14.25" customHeight="1" x14ac:dyDescent="0.25"/>
    <row r="10016" ht="14.25" customHeight="1" x14ac:dyDescent="0.25"/>
    <row r="10017" ht="14.25" customHeight="1" x14ac:dyDescent="0.25"/>
    <row r="10018" ht="14.25" customHeight="1" x14ac:dyDescent="0.25"/>
    <row r="10019" ht="14.25" customHeight="1" x14ac:dyDescent="0.25"/>
    <row r="10020" ht="14.25" customHeight="1" x14ac:dyDescent="0.25"/>
    <row r="10021" ht="14.25" customHeight="1" x14ac:dyDescent="0.25"/>
    <row r="10022" ht="14.25" customHeight="1" x14ac:dyDescent="0.25"/>
    <row r="10023" ht="14.25" customHeight="1" x14ac:dyDescent="0.25"/>
    <row r="10024" ht="14.25" customHeight="1" x14ac:dyDescent="0.25"/>
    <row r="10025" ht="14.25" customHeight="1" x14ac:dyDescent="0.25"/>
    <row r="10026" ht="14.25" customHeight="1" x14ac:dyDescent="0.25"/>
    <row r="10027" ht="14.25" customHeight="1" x14ac:dyDescent="0.25"/>
    <row r="10028" ht="14.25" customHeight="1" x14ac:dyDescent="0.25"/>
    <row r="10029" ht="14.25" customHeight="1" x14ac:dyDescent="0.25"/>
    <row r="10030" ht="14.25" customHeight="1" x14ac:dyDescent="0.25"/>
    <row r="10031" ht="14.25" customHeight="1" x14ac:dyDescent="0.25"/>
    <row r="10032" ht="14.25" customHeight="1" x14ac:dyDescent="0.25"/>
    <row r="10033" ht="14.25" customHeight="1" x14ac:dyDescent="0.25"/>
    <row r="10034" ht="14.25" customHeight="1" x14ac:dyDescent="0.25"/>
    <row r="10035" ht="14.25" customHeight="1" x14ac:dyDescent="0.25"/>
    <row r="10036" ht="14.25" customHeight="1" x14ac:dyDescent="0.25"/>
    <row r="10037" ht="14.25" customHeight="1" x14ac:dyDescent="0.25"/>
    <row r="10038" ht="14.25" customHeight="1" x14ac:dyDescent="0.25"/>
    <row r="10039" ht="14.25" customHeight="1" x14ac:dyDescent="0.25"/>
    <row r="10040" ht="14.25" customHeight="1" x14ac:dyDescent="0.25"/>
    <row r="10041" ht="14.25" customHeight="1" x14ac:dyDescent="0.25"/>
    <row r="10042" ht="14.25" customHeight="1" x14ac:dyDescent="0.25"/>
    <row r="10043" ht="14.25" customHeight="1" x14ac:dyDescent="0.25"/>
    <row r="10044" ht="14.25" customHeight="1" x14ac:dyDescent="0.25"/>
    <row r="10045" ht="14.25" customHeight="1" x14ac:dyDescent="0.25"/>
    <row r="10046" ht="14.25" customHeight="1" x14ac:dyDescent="0.25"/>
    <row r="10047" ht="14.25" customHeight="1" x14ac:dyDescent="0.25"/>
    <row r="10048" ht="14.25" customHeight="1" x14ac:dyDescent="0.25"/>
    <row r="10049" ht="14.25" customHeight="1" x14ac:dyDescent="0.25"/>
    <row r="10050" ht="14.25" customHeight="1" x14ac:dyDescent="0.25"/>
    <row r="10051" ht="14.25" customHeight="1" x14ac:dyDescent="0.25"/>
    <row r="10052" ht="14.25" customHeight="1" x14ac:dyDescent="0.25"/>
    <row r="10053" ht="14.25" customHeight="1" x14ac:dyDescent="0.25"/>
    <row r="10054" ht="14.25" customHeight="1" x14ac:dyDescent="0.25"/>
    <row r="10055" ht="14.25" customHeight="1" x14ac:dyDescent="0.25"/>
    <row r="10056" ht="14.25" customHeight="1" x14ac:dyDescent="0.25"/>
    <row r="10057" ht="14.25" customHeight="1" x14ac:dyDescent="0.25"/>
    <row r="10058" ht="14.25" customHeight="1" x14ac:dyDescent="0.25"/>
    <row r="10059" ht="14.25" customHeight="1" x14ac:dyDescent="0.25"/>
    <row r="10060" ht="14.25" customHeight="1" x14ac:dyDescent="0.25"/>
    <row r="10061" ht="14.25" customHeight="1" x14ac:dyDescent="0.25"/>
    <row r="10062" ht="14.25" customHeight="1" x14ac:dyDescent="0.25"/>
    <row r="10063" ht="14.25" customHeight="1" x14ac:dyDescent="0.25"/>
    <row r="10064" ht="14.25" customHeight="1" x14ac:dyDescent="0.25"/>
    <row r="10065" ht="14.25" customHeight="1" x14ac:dyDescent="0.25"/>
    <row r="10066" ht="14.25" customHeight="1" x14ac:dyDescent="0.25"/>
    <row r="10067" ht="14.25" customHeight="1" x14ac:dyDescent="0.25"/>
    <row r="10068" ht="14.25" customHeight="1" x14ac:dyDescent="0.25"/>
    <row r="10069" ht="14.25" customHeight="1" x14ac:dyDescent="0.25"/>
    <row r="10070" ht="14.25" customHeight="1" x14ac:dyDescent="0.25"/>
    <row r="10071" ht="14.25" customHeight="1" x14ac:dyDescent="0.25"/>
    <row r="10072" ht="14.25" customHeight="1" x14ac:dyDescent="0.25"/>
    <row r="10073" ht="14.25" customHeight="1" x14ac:dyDescent="0.25"/>
    <row r="10074" ht="14.25" customHeight="1" x14ac:dyDescent="0.25"/>
    <row r="10075" ht="14.25" customHeight="1" x14ac:dyDescent="0.25"/>
    <row r="10076" ht="14.25" customHeight="1" x14ac:dyDescent="0.25"/>
    <row r="10077" ht="14.25" customHeight="1" x14ac:dyDescent="0.25"/>
    <row r="10078" ht="14.25" customHeight="1" x14ac:dyDescent="0.25"/>
    <row r="10079" ht="14.25" customHeight="1" x14ac:dyDescent="0.25"/>
    <row r="10080" ht="14.25" customHeight="1" x14ac:dyDescent="0.25"/>
    <row r="10081" ht="14.25" customHeight="1" x14ac:dyDescent="0.25"/>
    <row r="10082" ht="14.25" customHeight="1" x14ac:dyDescent="0.25"/>
    <row r="10083" ht="14.25" customHeight="1" x14ac:dyDescent="0.25"/>
    <row r="10084" ht="14.25" customHeight="1" x14ac:dyDescent="0.25"/>
    <row r="10085" ht="14.25" customHeight="1" x14ac:dyDescent="0.25"/>
    <row r="10086" ht="14.25" customHeight="1" x14ac:dyDescent="0.25"/>
    <row r="10087" ht="14.25" customHeight="1" x14ac:dyDescent="0.25"/>
    <row r="10088" ht="14.25" customHeight="1" x14ac:dyDescent="0.25"/>
    <row r="10089" ht="14.25" customHeight="1" x14ac:dyDescent="0.25"/>
    <row r="10090" ht="14.25" customHeight="1" x14ac:dyDescent="0.25"/>
    <row r="10091" ht="14.25" customHeight="1" x14ac:dyDescent="0.25"/>
    <row r="10092" ht="14.25" customHeight="1" x14ac:dyDescent="0.25"/>
    <row r="10093" ht="14.25" customHeight="1" x14ac:dyDescent="0.25"/>
    <row r="10094" ht="14.25" customHeight="1" x14ac:dyDescent="0.25"/>
    <row r="10095" ht="14.25" customHeight="1" x14ac:dyDescent="0.25"/>
    <row r="10096" ht="14.25" customHeight="1" x14ac:dyDescent="0.25"/>
    <row r="10097" ht="14.25" customHeight="1" x14ac:dyDescent="0.25"/>
    <row r="10098" ht="14.25" customHeight="1" x14ac:dyDescent="0.25"/>
    <row r="10099" ht="14.25" customHeight="1" x14ac:dyDescent="0.25"/>
    <row r="10100" ht="14.25" customHeight="1" x14ac:dyDescent="0.25"/>
    <row r="10101" ht="14.25" customHeight="1" x14ac:dyDescent="0.25"/>
    <row r="10102" ht="14.25" customHeight="1" x14ac:dyDescent="0.25"/>
    <row r="10103" ht="14.25" customHeight="1" x14ac:dyDescent="0.25"/>
    <row r="10104" ht="14.25" customHeight="1" x14ac:dyDescent="0.25"/>
    <row r="10105" ht="14.25" customHeight="1" x14ac:dyDescent="0.25"/>
    <row r="10106" ht="14.25" customHeight="1" x14ac:dyDescent="0.25"/>
    <row r="10107" ht="14.25" customHeight="1" x14ac:dyDescent="0.25"/>
    <row r="10108" ht="14.25" customHeight="1" x14ac:dyDescent="0.25"/>
    <row r="10109" ht="14.25" customHeight="1" x14ac:dyDescent="0.25"/>
    <row r="10110" ht="14.25" customHeight="1" x14ac:dyDescent="0.25"/>
    <row r="10111" ht="14.25" customHeight="1" x14ac:dyDescent="0.25"/>
    <row r="10112" ht="14.25" customHeight="1" x14ac:dyDescent="0.25"/>
    <row r="10113" ht="14.25" customHeight="1" x14ac:dyDescent="0.25"/>
    <row r="10114" ht="14.25" customHeight="1" x14ac:dyDescent="0.25"/>
    <row r="10115" ht="14.25" customHeight="1" x14ac:dyDescent="0.25"/>
    <row r="10116" ht="14.25" customHeight="1" x14ac:dyDescent="0.25"/>
    <row r="10117" ht="14.25" customHeight="1" x14ac:dyDescent="0.25"/>
    <row r="10118" ht="14.25" customHeight="1" x14ac:dyDescent="0.25"/>
    <row r="10119" ht="14.25" customHeight="1" x14ac:dyDescent="0.25"/>
    <row r="10120" ht="14.25" customHeight="1" x14ac:dyDescent="0.25"/>
    <row r="10121" ht="14.25" customHeight="1" x14ac:dyDescent="0.25"/>
    <row r="10122" ht="14.25" customHeight="1" x14ac:dyDescent="0.25"/>
    <row r="10123" ht="14.25" customHeight="1" x14ac:dyDescent="0.25"/>
    <row r="10124" ht="14.25" customHeight="1" x14ac:dyDescent="0.25"/>
    <row r="10125" ht="14.25" customHeight="1" x14ac:dyDescent="0.25"/>
    <row r="10126" ht="14.25" customHeight="1" x14ac:dyDescent="0.25"/>
    <row r="10127" ht="14.25" customHeight="1" x14ac:dyDescent="0.25"/>
    <row r="10128" ht="14.25" customHeight="1" x14ac:dyDescent="0.25"/>
    <row r="10129" ht="14.25" customHeight="1" x14ac:dyDescent="0.25"/>
    <row r="10130" ht="14.25" customHeight="1" x14ac:dyDescent="0.25"/>
    <row r="10131" ht="14.25" customHeight="1" x14ac:dyDescent="0.25"/>
    <row r="10132" ht="14.25" customHeight="1" x14ac:dyDescent="0.25"/>
    <row r="10133" ht="14.25" customHeight="1" x14ac:dyDescent="0.25"/>
    <row r="10134" ht="14.25" customHeight="1" x14ac:dyDescent="0.25"/>
    <row r="10135" ht="14.25" customHeight="1" x14ac:dyDescent="0.25"/>
    <row r="10136" ht="14.25" customHeight="1" x14ac:dyDescent="0.25"/>
    <row r="10137" ht="14.25" customHeight="1" x14ac:dyDescent="0.25"/>
    <row r="10138" ht="14.25" customHeight="1" x14ac:dyDescent="0.25"/>
    <row r="10139" ht="14.25" customHeight="1" x14ac:dyDescent="0.25"/>
    <row r="10140" ht="14.25" customHeight="1" x14ac:dyDescent="0.25"/>
    <row r="10141" ht="14.25" customHeight="1" x14ac:dyDescent="0.25"/>
    <row r="10142" ht="14.25" customHeight="1" x14ac:dyDescent="0.25"/>
    <row r="10143" ht="14.25" customHeight="1" x14ac:dyDescent="0.25"/>
    <row r="10144" ht="14.25" customHeight="1" x14ac:dyDescent="0.25"/>
    <row r="10145" ht="14.25" customHeight="1" x14ac:dyDescent="0.25"/>
    <row r="10146" ht="14.25" customHeight="1" x14ac:dyDescent="0.25"/>
    <row r="10147" ht="14.25" customHeight="1" x14ac:dyDescent="0.25"/>
    <row r="10148" ht="14.25" customHeight="1" x14ac:dyDescent="0.25"/>
    <row r="10149" ht="14.25" customHeight="1" x14ac:dyDescent="0.25"/>
    <row r="10150" ht="14.25" customHeight="1" x14ac:dyDescent="0.25"/>
    <row r="10151" ht="14.25" customHeight="1" x14ac:dyDescent="0.25"/>
    <row r="10152" ht="14.25" customHeight="1" x14ac:dyDescent="0.25"/>
    <row r="10153" ht="14.25" customHeight="1" x14ac:dyDescent="0.25"/>
    <row r="10154" ht="14.25" customHeight="1" x14ac:dyDescent="0.25"/>
    <row r="10155" ht="14.25" customHeight="1" x14ac:dyDescent="0.25"/>
    <row r="10156" ht="14.25" customHeight="1" x14ac:dyDescent="0.25"/>
    <row r="10157" ht="14.25" customHeight="1" x14ac:dyDescent="0.25"/>
    <row r="10158" ht="14.25" customHeight="1" x14ac:dyDescent="0.25"/>
    <row r="10159" ht="14.25" customHeight="1" x14ac:dyDescent="0.25"/>
    <row r="10160" ht="14.25" customHeight="1" x14ac:dyDescent="0.25"/>
    <row r="10161" ht="14.25" customHeight="1" x14ac:dyDescent="0.25"/>
    <row r="10162" ht="14.25" customHeight="1" x14ac:dyDescent="0.25"/>
    <row r="10163" ht="14.25" customHeight="1" x14ac:dyDescent="0.25"/>
    <row r="10164" ht="14.25" customHeight="1" x14ac:dyDescent="0.25"/>
    <row r="10165" ht="14.25" customHeight="1" x14ac:dyDescent="0.25"/>
    <row r="10166" ht="14.25" customHeight="1" x14ac:dyDescent="0.25"/>
    <row r="10167" ht="14.25" customHeight="1" x14ac:dyDescent="0.25"/>
    <row r="10168" ht="14.25" customHeight="1" x14ac:dyDescent="0.25"/>
    <row r="10169" ht="14.25" customHeight="1" x14ac:dyDescent="0.25"/>
    <row r="10170" ht="14.25" customHeight="1" x14ac:dyDescent="0.25"/>
    <row r="10171" ht="14.25" customHeight="1" x14ac:dyDescent="0.25"/>
    <row r="10172" ht="14.25" customHeight="1" x14ac:dyDescent="0.25"/>
    <row r="10173" ht="14.25" customHeight="1" x14ac:dyDescent="0.25"/>
    <row r="10174" ht="14.25" customHeight="1" x14ac:dyDescent="0.25"/>
    <row r="10175" ht="14.25" customHeight="1" x14ac:dyDescent="0.25"/>
    <row r="10176" ht="14.25" customHeight="1" x14ac:dyDescent="0.25"/>
    <row r="10177" ht="14.25" customHeight="1" x14ac:dyDescent="0.25"/>
    <row r="10178" ht="14.25" customHeight="1" x14ac:dyDescent="0.25"/>
    <row r="10179" ht="14.25" customHeight="1" x14ac:dyDescent="0.25"/>
    <row r="10180" ht="14.25" customHeight="1" x14ac:dyDescent="0.25"/>
    <row r="10181" ht="14.25" customHeight="1" x14ac:dyDescent="0.25"/>
    <row r="10182" ht="14.25" customHeight="1" x14ac:dyDescent="0.25"/>
    <row r="10183" ht="14.25" customHeight="1" x14ac:dyDescent="0.25"/>
    <row r="10184" ht="14.25" customHeight="1" x14ac:dyDescent="0.25"/>
    <row r="10185" ht="14.25" customHeight="1" x14ac:dyDescent="0.25"/>
    <row r="10186" ht="14.25" customHeight="1" x14ac:dyDescent="0.25"/>
    <row r="10187" ht="14.25" customHeight="1" x14ac:dyDescent="0.25"/>
    <row r="10188" ht="14.25" customHeight="1" x14ac:dyDescent="0.25"/>
    <row r="10189" ht="14.25" customHeight="1" x14ac:dyDescent="0.25"/>
    <row r="10190" ht="14.25" customHeight="1" x14ac:dyDescent="0.25"/>
    <row r="10191" ht="14.25" customHeight="1" x14ac:dyDescent="0.25"/>
    <row r="10192" ht="14.25" customHeight="1" x14ac:dyDescent="0.25"/>
    <row r="10193" ht="14.25" customHeight="1" x14ac:dyDescent="0.25"/>
    <row r="10194" ht="14.25" customHeight="1" x14ac:dyDescent="0.25"/>
    <row r="10195" ht="14.25" customHeight="1" x14ac:dyDescent="0.25"/>
    <row r="10196" ht="14.25" customHeight="1" x14ac:dyDescent="0.25"/>
    <row r="10197" ht="14.25" customHeight="1" x14ac:dyDescent="0.25"/>
    <row r="10198" ht="14.25" customHeight="1" x14ac:dyDescent="0.25"/>
    <row r="10199" ht="14.25" customHeight="1" x14ac:dyDescent="0.25"/>
    <row r="10200" ht="14.25" customHeight="1" x14ac:dyDescent="0.25"/>
    <row r="10201" ht="14.25" customHeight="1" x14ac:dyDescent="0.25"/>
    <row r="10202" ht="14.25" customHeight="1" x14ac:dyDescent="0.25"/>
    <row r="10203" ht="14.25" customHeight="1" x14ac:dyDescent="0.25"/>
    <row r="10204" ht="14.25" customHeight="1" x14ac:dyDescent="0.25"/>
    <row r="10205" ht="14.25" customHeight="1" x14ac:dyDescent="0.25"/>
    <row r="10206" ht="14.25" customHeight="1" x14ac:dyDescent="0.25"/>
    <row r="10207" ht="14.25" customHeight="1" x14ac:dyDescent="0.25"/>
    <row r="10208" ht="14.25" customHeight="1" x14ac:dyDescent="0.25"/>
    <row r="10209" ht="14.25" customHeight="1" x14ac:dyDescent="0.25"/>
    <row r="10210" ht="14.25" customHeight="1" x14ac:dyDescent="0.25"/>
    <row r="10211" ht="14.25" customHeight="1" x14ac:dyDescent="0.25"/>
    <row r="10212" ht="14.25" customHeight="1" x14ac:dyDescent="0.25"/>
    <row r="10213" ht="14.25" customHeight="1" x14ac:dyDescent="0.25"/>
    <row r="10214" ht="14.25" customHeight="1" x14ac:dyDescent="0.25"/>
    <row r="10215" ht="14.25" customHeight="1" x14ac:dyDescent="0.25"/>
    <row r="10216" ht="14.25" customHeight="1" x14ac:dyDescent="0.25"/>
    <row r="10217" ht="14.25" customHeight="1" x14ac:dyDescent="0.25"/>
    <row r="10218" ht="14.25" customHeight="1" x14ac:dyDescent="0.25"/>
    <row r="10219" ht="14.25" customHeight="1" x14ac:dyDescent="0.25"/>
    <row r="10220" ht="14.25" customHeight="1" x14ac:dyDescent="0.25"/>
    <row r="10221" ht="14.25" customHeight="1" x14ac:dyDescent="0.25"/>
    <row r="10222" ht="14.25" customHeight="1" x14ac:dyDescent="0.25"/>
    <row r="10223" ht="14.25" customHeight="1" x14ac:dyDescent="0.25"/>
    <row r="10224" ht="14.25" customHeight="1" x14ac:dyDescent="0.25"/>
    <row r="10225" ht="14.25" customHeight="1" x14ac:dyDescent="0.25"/>
    <row r="10226" ht="14.25" customHeight="1" x14ac:dyDescent="0.25"/>
    <row r="10227" ht="14.25" customHeight="1" x14ac:dyDescent="0.25"/>
    <row r="10228" ht="14.25" customHeight="1" x14ac:dyDescent="0.25"/>
    <row r="10229" ht="14.25" customHeight="1" x14ac:dyDescent="0.25"/>
    <row r="10230" ht="14.25" customHeight="1" x14ac:dyDescent="0.25"/>
    <row r="10231" ht="14.25" customHeight="1" x14ac:dyDescent="0.25"/>
    <row r="10232" ht="14.25" customHeight="1" x14ac:dyDescent="0.25"/>
    <row r="10233" ht="14.25" customHeight="1" x14ac:dyDescent="0.25"/>
    <row r="10234" ht="14.25" customHeight="1" x14ac:dyDescent="0.25"/>
    <row r="10235" ht="14.25" customHeight="1" x14ac:dyDescent="0.25"/>
    <row r="10236" ht="14.25" customHeight="1" x14ac:dyDescent="0.25"/>
    <row r="10237" ht="14.25" customHeight="1" x14ac:dyDescent="0.25"/>
    <row r="10238" ht="14.25" customHeight="1" x14ac:dyDescent="0.25"/>
    <row r="10239" ht="14.25" customHeight="1" x14ac:dyDescent="0.25"/>
    <row r="10240" ht="14.25" customHeight="1" x14ac:dyDescent="0.25"/>
    <row r="10241" ht="14.25" customHeight="1" x14ac:dyDescent="0.25"/>
    <row r="10242" ht="14.25" customHeight="1" x14ac:dyDescent="0.25"/>
    <row r="10243" ht="14.25" customHeight="1" x14ac:dyDescent="0.25"/>
    <row r="10244" ht="14.25" customHeight="1" x14ac:dyDescent="0.25"/>
    <row r="10245" ht="14.25" customHeight="1" x14ac:dyDescent="0.25"/>
    <row r="10246" ht="14.25" customHeight="1" x14ac:dyDescent="0.25"/>
    <row r="10247" ht="14.25" customHeight="1" x14ac:dyDescent="0.25"/>
    <row r="10248" ht="14.25" customHeight="1" x14ac:dyDescent="0.25"/>
    <row r="10249" ht="14.25" customHeight="1" x14ac:dyDescent="0.25"/>
    <row r="10250" ht="14.25" customHeight="1" x14ac:dyDescent="0.25"/>
    <row r="10251" ht="14.25" customHeight="1" x14ac:dyDescent="0.25"/>
    <row r="10252" ht="14.25" customHeight="1" x14ac:dyDescent="0.25"/>
    <row r="10253" ht="14.25" customHeight="1" x14ac:dyDescent="0.25"/>
    <row r="10254" ht="14.25" customHeight="1" x14ac:dyDescent="0.25"/>
    <row r="10255" ht="14.25" customHeight="1" x14ac:dyDescent="0.25"/>
    <row r="10256" ht="14.25" customHeight="1" x14ac:dyDescent="0.25"/>
    <row r="10257" ht="14.25" customHeight="1" x14ac:dyDescent="0.25"/>
    <row r="10258" ht="14.25" customHeight="1" x14ac:dyDescent="0.25"/>
    <row r="10259" ht="14.25" customHeight="1" x14ac:dyDescent="0.25"/>
    <row r="10260" ht="14.25" customHeight="1" x14ac:dyDescent="0.25"/>
    <row r="10261" ht="14.25" customHeight="1" x14ac:dyDescent="0.25"/>
    <row r="10262" ht="14.25" customHeight="1" x14ac:dyDescent="0.25"/>
    <row r="10263" ht="14.25" customHeight="1" x14ac:dyDescent="0.25"/>
    <row r="10264" ht="14.25" customHeight="1" x14ac:dyDescent="0.25"/>
    <row r="10265" ht="14.25" customHeight="1" x14ac:dyDescent="0.25"/>
    <row r="10266" ht="14.25" customHeight="1" x14ac:dyDescent="0.25"/>
    <row r="10267" ht="14.25" customHeight="1" x14ac:dyDescent="0.25"/>
    <row r="10268" ht="14.25" customHeight="1" x14ac:dyDescent="0.25"/>
    <row r="10269" ht="14.25" customHeight="1" x14ac:dyDescent="0.25"/>
    <row r="10270" ht="14.25" customHeight="1" x14ac:dyDescent="0.25"/>
    <row r="10271" ht="14.25" customHeight="1" x14ac:dyDescent="0.25"/>
    <row r="10272" ht="14.25" customHeight="1" x14ac:dyDescent="0.25"/>
    <row r="10273" ht="14.25" customHeight="1" x14ac:dyDescent="0.25"/>
    <row r="10274" ht="14.25" customHeight="1" x14ac:dyDescent="0.25"/>
    <row r="10275" ht="14.25" customHeight="1" x14ac:dyDescent="0.25"/>
    <row r="10276" ht="14.25" customHeight="1" x14ac:dyDescent="0.25"/>
    <row r="10277" ht="14.25" customHeight="1" x14ac:dyDescent="0.25"/>
    <row r="10278" ht="14.25" customHeight="1" x14ac:dyDescent="0.25"/>
    <row r="10279" ht="14.25" customHeight="1" x14ac:dyDescent="0.25"/>
    <row r="10280" ht="14.25" customHeight="1" x14ac:dyDescent="0.25"/>
    <row r="10281" ht="14.25" customHeight="1" x14ac:dyDescent="0.25"/>
    <row r="10282" ht="14.25" customHeight="1" x14ac:dyDescent="0.25"/>
    <row r="10283" ht="14.25" customHeight="1" x14ac:dyDescent="0.25"/>
    <row r="10284" ht="14.25" customHeight="1" x14ac:dyDescent="0.25"/>
    <row r="10285" ht="14.25" customHeight="1" x14ac:dyDescent="0.25"/>
    <row r="10286" ht="14.25" customHeight="1" x14ac:dyDescent="0.25"/>
    <row r="10287" ht="14.25" customHeight="1" x14ac:dyDescent="0.25"/>
    <row r="10288" ht="14.25" customHeight="1" x14ac:dyDescent="0.25"/>
    <row r="10289" ht="14.25" customHeight="1" x14ac:dyDescent="0.25"/>
    <row r="10290" ht="14.25" customHeight="1" x14ac:dyDescent="0.25"/>
    <row r="10291" ht="14.25" customHeight="1" x14ac:dyDescent="0.25"/>
    <row r="10292" ht="14.25" customHeight="1" x14ac:dyDescent="0.25"/>
    <row r="10293" ht="14.25" customHeight="1" x14ac:dyDescent="0.25"/>
    <row r="10294" ht="14.25" customHeight="1" x14ac:dyDescent="0.25"/>
    <row r="10295" ht="14.25" customHeight="1" x14ac:dyDescent="0.25"/>
    <row r="10296" ht="14.25" customHeight="1" x14ac:dyDescent="0.25"/>
    <row r="10297" ht="14.25" customHeight="1" x14ac:dyDescent="0.25"/>
    <row r="10298" ht="14.25" customHeight="1" x14ac:dyDescent="0.25"/>
    <row r="10299" ht="14.25" customHeight="1" x14ac:dyDescent="0.25"/>
    <row r="10300" ht="14.25" customHeight="1" x14ac:dyDescent="0.25"/>
    <row r="10301" ht="14.25" customHeight="1" x14ac:dyDescent="0.25"/>
    <row r="10302" ht="14.25" customHeight="1" x14ac:dyDescent="0.25"/>
    <row r="10303" ht="14.25" customHeight="1" x14ac:dyDescent="0.25"/>
    <row r="10304" ht="14.25" customHeight="1" x14ac:dyDescent="0.25"/>
    <row r="10305" ht="14.25" customHeight="1" x14ac:dyDescent="0.25"/>
    <row r="10306" ht="14.25" customHeight="1" x14ac:dyDescent="0.25"/>
    <row r="10307" ht="14.25" customHeight="1" x14ac:dyDescent="0.25"/>
    <row r="10308" ht="14.25" customHeight="1" x14ac:dyDescent="0.25"/>
    <row r="10309" ht="14.25" customHeight="1" x14ac:dyDescent="0.25"/>
    <row r="10310" ht="14.25" customHeight="1" x14ac:dyDescent="0.25"/>
    <row r="10311" ht="14.25" customHeight="1" x14ac:dyDescent="0.25"/>
    <row r="10312" ht="14.25" customHeight="1" x14ac:dyDescent="0.25"/>
    <row r="10313" ht="14.25" customHeight="1" x14ac:dyDescent="0.25"/>
    <row r="10314" ht="14.25" customHeight="1" x14ac:dyDescent="0.25"/>
    <row r="10315" ht="14.25" customHeight="1" x14ac:dyDescent="0.25"/>
    <row r="10316" ht="14.25" customHeight="1" x14ac:dyDescent="0.25"/>
    <row r="10317" ht="14.25" customHeight="1" x14ac:dyDescent="0.25"/>
    <row r="10318" ht="14.25" customHeight="1" x14ac:dyDescent="0.25"/>
    <row r="10319" ht="14.25" customHeight="1" x14ac:dyDescent="0.25"/>
    <row r="10320" ht="14.25" customHeight="1" x14ac:dyDescent="0.25"/>
    <row r="10321" ht="14.25" customHeight="1" x14ac:dyDescent="0.25"/>
    <row r="10322" ht="14.25" customHeight="1" x14ac:dyDescent="0.25"/>
    <row r="10323" ht="14.25" customHeight="1" x14ac:dyDescent="0.25"/>
    <row r="10324" ht="14.25" customHeight="1" x14ac:dyDescent="0.25"/>
    <row r="10325" ht="14.25" customHeight="1" x14ac:dyDescent="0.25"/>
    <row r="10326" ht="14.25" customHeight="1" x14ac:dyDescent="0.25"/>
    <row r="10327" ht="14.25" customHeight="1" x14ac:dyDescent="0.25"/>
    <row r="10328" ht="14.25" customHeight="1" x14ac:dyDescent="0.25"/>
    <row r="10329" ht="14.25" customHeight="1" x14ac:dyDescent="0.25"/>
    <row r="10330" ht="14.25" customHeight="1" x14ac:dyDescent="0.25"/>
    <row r="10331" ht="14.25" customHeight="1" x14ac:dyDescent="0.25"/>
    <row r="10332" ht="14.25" customHeight="1" x14ac:dyDescent="0.25"/>
    <row r="10333" ht="14.25" customHeight="1" x14ac:dyDescent="0.25"/>
    <row r="10334" ht="14.25" customHeight="1" x14ac:dyDescent="0.25"/>
    <row r="10335" ht="14.25" customHeight="1" x14ac:dyDescent="0.25"/>
    <row r="10336" ht="14.25" customHeight="1" x14ac:dyDescent="0.25"/>
    <row r="10337" ht="14.25" customHeight="1" x14ac:dyDescent="0.25"/>
    <row r="10338" ht="14.25" customHeight="1" x14ac:dyDescent="0.25"/>
    <row r="10339" ht="14.25" customHeight="1" x14ac:dyDescent="0.25"/>
    <row r="10340" ht="14.25" customHeight="1" x14ac:dyDescent="0.25"/>
    <row r="10341" ht="14.25" customHeight="1" x14ac:dyDescent="0.25"/>
    <row r="10342" ht="14.25" customHeight="1" x14ac:dyDescent="0.25"/>
    <row r="10343" ht="14.25" customHeight="1" x14ac:dyDescent="0.25"/>
    <row r="10344" ht="14.25" customHeight="1" x14ac:dyDescent="0.25"/>
    <row r="10345" ht="14.25" customHeight="1" x14ac:dyDescent="0.25"/>
    <row r="10346" ht="14.25" customHeight="1" x14ac:dyDescent="0.25"/>
    <row r="10347" ht="14.25" customHeight="1" x14ac:dyDescent="0.25"/>
    <row r="10348" ht="14.25" customHeight="1" x14ac:dyDescent="0.25"/>
    <row r="10349" ht="14.25" customHeight="1" x14ac:dyDescent="0.25"/>
    <row r="10350" ht="14.25" customHeight="1" x14ac:dyDescent="0.25"/>
    <row r="10351" ht="14.25" customHeight="1" x14ac:dyDescent="0.25"/>
    <row r="10352" ht="14.25" customHeight="1" x14ac:dyDescent="0.25"/>
    <row r="10353" ht="14.25" customHeight="1" x14ac:dyDescent="0.25"/>
    <row r="10354" ht="14.25" customHeight="1" x14ac:dyDescent="0.25"/>
    <row r="10355" ht="14.25" customHeight="1" x14ac:dyDescent="0.25"/>
    <row r="10356" ht="14.25" customHeight="1" x14ac:dyDescent="0.25"/>
    <row r="10357" ht="14.25" customHeight="1" x14ac:dyDescent="0.25"/>
    <row r="10358" ht="14.25" customHeight="1" x14ac:dyDescent="0.25"/>
    <row r="10359" ht="14.25" customHeight="1" x14ac:dyDescent="0.25"/>
    <row r="10360" ht="14.25" customHeight="1" x14ac:dyDescent="0.25"/>
    <row r="10361" ht="14.25" customHeight="1" x14ac:dyDescent="0.25"/>
    <row r="10362" ht="14.25" customHeight="1" x14ac:dyDescent="0.25"/>
    <row r="10363" ht="14.25" customHeight="1" x14ac:dyDescent="0.25"/>
    <row r="10364" ht="14.25" customHeight="1" x14ac:dyDescent="0.25"/>
    <row r="10365" ht="14.25" customHeight="1" x14ac:dyDescent="0.25"/>
    <row r="10366" ht="14.25" customHeight="1" x14ac:dyDescent="0.25"/>
    <row r="10367" ht="14.25" customHeight="1" x14ac:dyDescent="0.25"/>
    <row r="10368" ht="14.25" customHeight="1" x14ac:dyDescent="0.25"/>
    <row r="10369" ht="14.25" customHeight="1" x14ac:dyDescent="0.25"/>
    <row r="10370" ht="14.25" customHeight="1" x14ac:dyDescent="0.25"/>
    <row r="10371" ht="14.25" customHeight="1" x14ac:dyDescent="0.25"/>
    <row r="10372" ht="14.25" customHeight="1" x14ac:dyDescent="0.25"/>
    <row r="10373" ht="14.25" customHeight="1" x14ac:dyDescent="0.25"/>
    <row r="10374" ht="14.25" customHeight="1" x14ac:dyDescent="0.25"/>
    <row r="10375" ht="14.25" customHeight="1" x14ac:dyDescent="0.25"/>
    <row r="10376" ht="14.25" customHeight="1" x14ac:dyDescent="0.25"/>
    <row r="10377" ht="14.25" customHeight="1" x14ac:dyDescent="0.25"/>
    <row r="10378" ht="14.25" customHeight="1" x14ac:dyDescent="0.25"/>
    <row r="10379" ht="14.25" customHeight="1" x14ac:dyDescent="0.25"/>
    <row r="10380" ht="14.25" customHeight="1" x14ac:dyDescent="0.25"/>
    <row r="10381" ht="14.25" customHeight="1" x14ac:dyDescent="0.25"/>
    <row r="10382" ht="14.25" customHeight="1" x14ac:dyDescent="0.25"/>
    <row r="10383" ht="14.25" customHeight="1" x14ac:dyDescent="0.25"/>
    <row r="10384" ht="14.25" customHeight="1" x14ac:dyDescent="0.25"/>
    <row r="10385" ht="14.25" customHeight="1" x14ac:dyDescent="0.25"/>
    <row r="10386" ht="14.25" customHeight="1" x14ac:dyDescent="0.25"/>
    <row r="10387" ht="14.25" customHeight="1" x14ac:dyDescent="0.25"/>
    <row r="10388" ht="14.25" customHeight="1" x14ac:dyDescent="0.25"/>
    <row r="10389" ht="14.25" customHeight="1" x14ac:dyDescent="0.25"/>
    <row r="10390" ht="14.25" customHeight="1" x14ac:dyDescent="0.25"/>
    <row r="10391" ht="14.25" customHeight="1" x14ac:dyDescent="0.25"/>
    <row r="10392" ht="14.25" customHeight="1" x14ac:dyDescent="0.25"/>
    <row r="10393" ht="14.25" customHeight="1" x14ac:dyDescent="0.25"/>
    <row r="10394" ht="14.25" customHeight="1" x14ac:dyDescent="0.25"/>
    <row r="10395" ht="14.25" customHeight="1" x14ac:dyDescent="0.25"/>
    <row r="10396" ht="14.25" customHeight="1" x14ac:dyDescent="0.25"/>
    <row r="10397" ht="14.25" customHeight="1" x14ac:dyDescent="0.25"/>
    <row r="10398" ht="14.25" customHeight="1" x14ac:dyDescent="0.25"/>
    <row r="10399" ht="14.25" customHeight="1" x14ac:dyDescent="0.25"/>
    <row r="10400" ht="14.25" customHeight="1" x14ac:dyDescent="0.25"/>
    <row r="10401" ht="14.25" customHeight="1" x14ac:dyDescent="0.25"/>
    <row r="10402" ht="14.25" customHeight="1" x14ac:dyDescent="0.25"/>
    <row r="10403" ht="14.25" customHeight="1" x14ac:dyDescent="0.25"/>
    <row r="10404" ht="14.25" customHeight="1" x14ac:dyDescent="0.25"/>
    <row r="10405" ht="14.25" customHeight="1" x14ac:dyDescent="0.25"/>
    <row r="10406" ht="14.25" customHeight="1" x14ac:dyDescent="0.25"/>
    <row r="10407" ht="14.25" customHeight="1" x14ac:dyDescent="0.25"/>
    <row r="10408" ht="14.25" customHeight="1" x14ac:dyDescent="0.25"/>
    <row r="10409" ht="14.25" customHeight="1" x14ac:dyDescent="0.25"/>
    <row r="10410" ht="14.25" customHeight="1" x14ac:dyDescent="0.25"/>
    <row r="10411" ht="14.25" customHeight="1" x14ac:dyDescent="0.25"/>
    <row r="10412" ht="14.25" customHeight="1" x14ac:dyDescent="0.25"/>
    <row r="10413" ht="14.25" customHeight="1" x14ac:dyDescent="0.25"/>
    <row r="10414" ht="14.25" customHeight="1" x14ac:dyDescent="0.25"/>
    <row r="10415" ht="14.25" customHeight="1" x14ac:dyDescent="0.25"/>
    <row r="10416" ht="14.25" customHeight="1" x14ac:dyDescent="0.25"/>
    <row r="10417" ht="14.25" customHeight="1" x14ac:dyDescent="0.25"/>
    <row r="10418" ht="14.25" customHeight="1" x14ac:dyDescent="0.25"/>
    <row r="10419" ht="14.25" customHeight="1" x14ac:dyDescent="0.25"/>
    <row r="10420" ht="14.25" customHeight="1" x14ac:dyDescent="0.25"/>
    <row r="10421" ht="14.25" customHeight="1" x14ac:dyDescent="0.25"/>
    <row r="10422" ht="14.25" customHeight="1" x14ac:dyDescent="0.25"/>
    <row r="10423" ht="14.25" customHeight="1" x14ac:dyDescent="0.25"/>
    <row r="10424" ht="14.25" customHeight="1" x14ac:dyDescent="0.25"/>
    <row r="10425" ht="14.25" customHeight="1" x14ac:dyDescent="0.25"/>
    <row r="10426" ht="14.25" customHeight="1" x14ac:dyDescent="0.25"/>
    <row r="10427" ht="14.25" customHeight="1" x14ac:dyDescent="0.25"/>
    <row r="10428" ht="14.25" customHeight="1" x14ac:dyDescent="0.25"/>
    <row r="10429" ht="14.25" customHeight="1" x14ac:dyDescent="0.25"/>
    <row r="10430" ht="14.25" customHeight="1" x14ac:dyDescent="0.25"/>
    <row r="10431" ht="14.25" customHeight="1" x14ac:dyDescent="0.25"/>
    <row r="10432" ht="14.25" customHeight="1" x14ac:dyDescent="0.25"/>
    <row r="10433" ht="14.25" customHeight="1" x14ac:dyDescent="0.25"/>
    <row r="10434" ht="14.25" customHeight="1" x14ac:dyDescent="0.25"/>
    <row r="10435" ht="14.25" customHeight="1" x14ac:dyDescent="0.25"/>
    <row r="10436" ht="14.25" customHeight="1" x14ac:dyDescent="0.25"/>
    <row r="10437" ht="14.25" customHeight="1" x14ac:dyDescent="0.25"/>
    <row r="10438" ht="14.25" customHeight="1" x14ac:dyDescent="0.25"/>
    <row r="10439" ht="14.25" customHeight="1" x14ac:dyDescent="0.25"/>
    <row r="10440" ht="14.25" customHeight="1" x14ac:dyDescent="0.25"/>
    <row r="10441" ht="14.25" customHeight="1" x14ac:dyDescent="0.25"/>
    <row r="10442" ht="14.25" customHeight="1" x14ac:dyDescent="0.25"/>
    <row r="10443" ht="14.25" customHeight="1" x14ac:dyDescent="0.25"/>
    <row r="10444" ht="14.25" customHeight="1" x14ac:dyDescent="0.25"/>
    <row r="10445" ht="14.25" customHeight="1" x14ac:dyDescent="0.25"/>
    <row r="10446" ht="14.25" customHeight="1" x14ac:dyDescent="0.25"/>
    <row r="10447" ht="14.25" customHeight="1" x14ac:dyDescent="0.25"/>
    <row r="10448" ht="14.25" customHeight="1" x14ac:dyDescent="0.25"/>
    <row r="10449" ht="14.25" customHeight="1" x14ac:dyDescent="0.25"/>
    <row r="10450" ht="14.25" customHeight="1" x14ac:dyDescent="0.25"/>
    <row r="10451" ht="14.25" customHeight="1" x14ac:dyDescent="0.25"/>
    <row r="10452" ht="14.25" customHeight="1" x14ac:dyDescent="0.25"/>
    <row r="10453" ht="14.25" customHeight="1" x14ac:dyDescent="0.25"/>
    <row r="10454" ht="14.25" customHeight="1" x14ac:dyDescent="0.25"/>
    <row r="10455" ht="14.25" customHeight="1" x14ac:dyDescent="0.25"/>
    <row r="10456" ht="14.25" customHeight="1" x14ac:dyDescent="0.25"/>
    <row r="10457" ht="14.25" customHeight="1" x14ac:dyDescent="0.25"/>
    <row r="10458" ht="14.25" customHeight="1" x14ac:dyDescent="0.25"/>
    <row r="10459" ht="14.25" customHeight="1" x14ac:dyDescent="0.25"/>
    <row r="10460" ht="14.25" customHeight="1" x14ac:dyDescent="0.25"/>
    <row r="10461" ht="14.25" customHeight="1" x14ac:dyDescent="0.25"/>
    <row r="10462" ht="14.25" customHeight="1" x14ac:dyDescent="0.25"/>
    <row r="10463" ht="14.25" customHeight="1" x14ac:dyDescent="0.25"/>
    <row r="10464" ht="14.25" customHeight="1" x14ac:dyDescent="0.25"/>
    <row r="10465" ht="14.25" customHeight="1" x14ac:dyDescent="0.25"/>
    <row r="10466" ht="14.25" customHeight="1" x14ac:dyDescent="0.25"/>
    <row r="10467" ht="14.25" customHeight="1" x14ac:dyDescent="0.25"/>
    <row r="10468" ht="14.25" customHeight="1" x14ac:dyDescent="0.25"/>
    <row r="10469" ht="14.25" customHeight="1" x14ac:dyDescent="0.25"/>
    <row r="10470" ht="14.25" customHeight="1" x14ac:dyDescent="0.25"/>
    <row r="10471" ht="14.25" customHeight="1" x14ac:dyDescent="0.25"/>
    <row r="10472" ht="14.25" customHeight="1" x14ac:dyDescent="0.25"/>
    <row r="10473" ht="14.25" customHeight="1" x14ac:dyDescent="0.25"/>
    <row r="10474" ht="14.25" customHeight="1" x14ac:dyDescent="0.25"/>
    <row r="10475" ht="14.25" customHeight="1" x14ac:dyDescent="0.25"/>
    <row r="10476" ht="14.25" customHeight="1" x14ac:dyDescent="0.25"/>
    <row r="10477" ht="14.25" customHeight="1" x14ac:dyDescent="0.25"/>
    <row r="10478" ht="14.25" customHeight="1" x14ac:dyDescent="0.25"/>
    <row r="10479" ht="14.25" customHeight="1" x14ac:dyDescent="0.25"/>
    <row r="10480" ht="14.25" customHeight="1" x14ac:dyDescent="0.25"/>
    <row r="10481" ht="14.25" customHeight="1" x14ac:dyDescent="0.25"/>
    <row r="10482" ht="14.25" customHeight="1" x14ac:dyDescent="0.25"/>
    <row r="10483" ht="14.25" customHeight="1" x14ac:dyDescent="0.25"/>
    <row r="10484" ht="14.25" customHeight="1" x14ac:dyDescent="0.25"/>
    <row r="10485" ht="14.25" customHeight="1" x14ac:dyDescent="0.25"/>
    <row r="10486" ht="14.25" customHeight="1" x14ac:dyDescent="0.25"/>
    <row r="10487" ht="14.25" customHeight="1" x14ac:dyDescent="0.25"/>
    <row r="10488" ht="14.25" customHeight="1" x14ac:dyDescent="0.25"/>
    <row r="10489" ht="14.25" customHeight="1" x14ac:dyDescent="0.25"/>
    <row r="10490" ht="14.25" customHeight="1" x14ac:dyDescent="0.25"/>
    <row r="10491" ht="14.25" customHeight="1" x14ac:dyDescent="0.25"/>
    <row r="10492" ht="14.25" customHeight="1" x14ac:dyDescent="0.25"/>
    <row r="10493" ht="14.25" customHeight="1" x14ac:dyDescent="0.25"/>
    <row r="10494" ht="14.25" customHeight="1" x14ac:dyDescent="0.25"/>
    <row r="10495" ht="14.25" customHeight="1" x14ac:dyDescent="0.25"/>
    <row r="10496" ht="14.25" customHeight="1" x14ac:dyDescent="0.25"/>
    <row r="10497" ht="14.25" customHeight="1" x14ac:dyDescent="0.25"/>
    <row r="10498" ht="14.25" customHeight="1" x14ac:dyDescent="0.25"/>
    <row r="10499" ht="14.25" customHeight="1" x14ac:dyDescent="0.25"/>
    <row r="10500" ht="14.25" customHeight="1" x14ac:dyDescent="0.25"/>
    <row r="10501" ht="14.25" customHeight="1" x14ac:dyDescent="0.25"/>
    <row r="10502" ht="14.25" customHeight="1" x14ac:dyDescent="0.25"/>
    <row r="10503" ht="14.25" customHeight="1" x14ac:dyDescent="0.25"/>
    <row r="10504" ht="14.25" customHeight="1" x14ac:dyDescent="0.25"/>
    <row r="10505" ht="14.25" customHeight="1" x14ac:dyDescent="0.25"/>
    <row r="10506" ht="14.25" customHeight="1" x14ac:dyDescent="0.25"/>
    <row r="10507" ht="14.25" customHeight="1" x14ac:dyDescent="0.25"/>
    <row r="10508" ht="14.25" customHeight="1" x14ac:dyDescent="0.25"/>
    <row r="10509" ht="14.25" customHeight="1" x14ac:dyDescent="0.25"/>
    <row r="10510" ht="14.25" customHeight="1" x14ac:dyDescent="0.25"/>
    <row r="10511" ht="14.25" customHeight="1" x14ac:dyDescent="0.25"/>
    <row r="10512" ht="14.25" customHeight="1" x14ac:dyDescent="0.25"/>
    <row r="10513" ht="14.25" customHeight="1" x14ac:dyDescent="0.25"/>
    <row r="10514" ht="14.25" customHeight="1" x14ac:dyDescent="0.25"/>
    <row r="10515" ht="14.25" customHeight="1" x14ac:dyDescent="0.25"/>
    <row r="10516" ht="14.25" customHeight="1" x14ac:dyDescent="0.25"/>
    <row r="10517" ht="14.25" customHeight="1" x14ac:dyDescent="0.25"/>
    <row r="10518" ht="14.25" customHeight="1" x14ac:dyDescent="0.25"/>
    <row r="10519" ht="14.25" customHeight="1" x14ac:dyDescent="0.25"/>
    <row r="10520" ht="14.25" customHeight="1" x14ac:dyDescent="0.25"/>
    <row r="10521" ht="14.25" customHeight="1" x14ac:dyDescent="0.25"/>
    <row r="10522" ht="14.25" customHeight="1" x14ac:dyDescent="0.25"/>
    <row r="10523" ht="14.25" customHeight="1" x14ac:dyDescent="0.25"/>
    <row r="10524" ht="14.25" customHeight="1" x14ac:dyDescent="0.25"/>
    <row r="10525" ht="14.25" customHeight="1" x14ac:dyDescent="0.25"/>
    <row r="10526" ht="14.25" customHeight="1" x14ac:dyDescent="0.25"/>
    <row r="10527" ht="14.25" customHeight="1" x14ac:dyDescent="0.25"/>
    <row r="10528" ht="14.25" customHeight="1" x14ac:dyDescent="0.25"/>
    <row r="10529" ht="14.25" customHeight="1" x14ac:dyDescent="0.25"/>
    <row r="10530" ht="14.25" customHeight="1" x14ac:dyDescent="0.25"/>
    <row r="10531" ht="14.25" customHeight="1" x14ac:dyDescent="0.25"/>
    <row r="10532" ht="14.25" customHeight="1" x14ac:dyDescent="0.25"/>
    <row r="10533" ht="14.25" customHeight="1" x14ac:dyDescent="0.25"/>
    <row r="10534" ht="14.25" customHeight="1" x14ac:dyDescent="0.25"/>
    <row r="10535" ht="14.25" customHeight="1" x14ac:dyDescent="0.25"/>
    <row r="10536" ht="14.25" customHeight="1" x14ac:dyDescent="0.25"/>
    <row r="10537" ht="14.25" customHeight="1" x14ac:dyDescent="0.25"/>
    <row r="10538" ht="14.25" customHeight="1" x14ac:dyDescent="0.25"/>
    <row r="10539" ht="14.25" customHeight="1" x14ac:dyDescent="0.25"/>
    <row r="10540" ht="14.25" customHeight="1" x14ac:dyDescent="0.25"/>
    <row r="10541" ht="14.25" customHeight="1" x14ac:dyDescent="0.25"/>
    <row r="10542" ht="14.25" customHeight="1" x14ac:dyDescent="0.25"/>
    <row r="10543" ht="14.25" customHeight="1" x14ac:dyDescent="0.25"/>
    <row r="10544" ht="14.25" customHeight="1" x14ac:dyDescent="0.25"/>
    <row r="10545" ht="14.25" customHeight="1" x14ac:dyDescent="0.25"/>
    <row r="10546" ht="14.25" customHeight="1" x14ac:dyDescent="0.25"/>
    <row r="10547" ht="14.25" customHeight="1" x14ac:dyDescent="0.25"/>
    <row r="10548" ht="14.25" customHeight="1" x14ac:dyDescent="0.25"/>
    <row r="10549" ht="14.25" customHeight="1" x14ac:dyDescent="0.25"/>
    <row r="10550" ht="14.25" customHeight="1" x14ac:dyDescent="0.25"/>
    <row r="10551" ht="14.25" customHeight="1" x14ac:dyDescent="0.25"/>
    <row r="10552" ht="14.25" customHeight="1" x14ac:dyDescent="0.25"/>
    <row r="10553" ht="14.25" customHeight="1" x14ac:dyDescent="0.25"/>
    <row r="10554" ht="14.25" customHeight="1" x14ac:dyDescent="0.25"/>
    <row r="10555" ht="14.25" customHeight="1" x14ac:dyDescent="0.25"/>
    <row r="10556" ht="14.25" customHeight="1" x14ac:dyDescent="0.25"/>
    <row r="10557" ht="14.25" customHeight="1" x14ac:dyDescent="0.25"/>
    <row r="10558" ht="14.25" customHeight="1" x14ac:dyDescent="0.25"/>
    <row r="10559" ht="14.25" customHeight="1" x14ac:dyDescent="0.25"/>
    <row r="10560" ht="14.25" customHeight="1" x14ac:dyDescent="0.25"/>
    <row r="10561" ht="14.25" customHeight="1" x14ac:dyDescent="0.25"/>
    <row r="10562" ht="14.25" customHeight="1" x14ac:dyDescent="0.25"/>
    <row r="10563" ht="14.25" customHeight="1" x14ac:dyDescent="0.25"/>
    <row r="10564" ht="14.25" customHeight="1" x14ac:dyDescent="0.25"/>
    <row r="10565" ht="14.25" customHeight="1" x14ac:dyDescent="0.25"/>
    <row r="10566" ht="14.25" customHeight="1" x14ac:dyDescent="0.25"/>
    <row r="10567" ht="14.25" customHeight="1" x14ac:dyDescent="0.25"/>
    <row r="10568" ht="14.25" customHeight="1" x14ac:dyDescent="0.25"/>
    <row r="10569" ht="14.25" customHeight="1" x14ac:dyDescent="0.25"/>
    <row r="10570" ht="14.25" customHeight="1" x14ac:dyDescent="0.25"/>
    <row r="10571" ht="14.25" customHeight="1" x14ac:dyDescent="0.25"/>
    <row r="10572" ht="14.25" customHeight="1" x14ac:dyDescent="0.25"/>
    <row r="10573" ht="14.25" customHeight="1" x14ac:dyDescent="0.25"/>
    <row r="10574" ht="14.25" customHeight="1" x14ac:dyDescent="0.25"/>
    <row r="10575" ht="14.25" customHeight="1" x14ac:dyDescent="0.25"/>
    <row r="10576" ht="14.25" customHeight="1" x14ac:dyDescent="0.25"/>
    <row r="10577" ht="14.25" customHeight="1" x14ac:dyDescent="0.25"/>
    <row r="10578" ht="14.25" customHeight="1" x14ac:dyDescent="0.25"/>
    <row r="10579" ht="14.25" customHeight="1" x14ac:dyDescent="0.25"/>
    <row r="10580" ht="14.25" customHeight="1" x14ac:dyDescent="0.25"/>
    <row r="10581" ht="14.25" customHeight="1" x14ac:dyDescent="0.25"/>
    <row r="10582" ht="14.25" customHeight="1" x14ac:dyDescent="0.25"/>
    <row r="10583" ht="14.25" customHeight="1" x14ac:dyDescent="0.25"/>
    <row r="10584" ht="14.25" customHeight="1" x14ac:dyDescent="0.25"/>
    <row r="10585" ht="14.25" customHeight="1" x14ac:dyDescent="0.25"/>
    <row r="10586" ht="14.25" customHeight="1" x14ac:dyDescent="0.25"/>
    <row r="10587" ht="14.25" customHeight="1" x14ac:dyDescent="0.25"/>
    <row r="10588" ht="14.25" customHeight="1" x14ac:dyDescent="0.25"/>
    <row r="10589" ht="14.25" customHeight="1" x14ac:dyDescent="0.25"/>
    <row r="10590" ht="14.25" customHeight="1" x14ac:dyDescent="0.25"/>
    <row r="10591" ht="14.25" customHeight="1" x14ac:dyDescent="0.25"/>
    <row r="10592" ht="14.25" customHeight="1" x14ac:dyDescent="0.25"/>
    <row r="10593" ht="14.25" customHeight="1" x14ac:dyDescent="0.25"/>
    <row r="10594" ht="14.25" customHeight="1" x14ac:dyDescent="0.25"/>
    <row r="10595" ht="14.25" customHeight="1" x14ac:dyDescent="0.25"/>
    <row r="10596" ht="14.25" customHeight="1" x14ac:dyDescent="0.25"/>
    <row r="10597" ht="14.25" customHeight="1" x14ac:dyDescent="0.25"/>
    <row r="10598" ht="14.25" customHeight="1" x14ac:dyDescent="0.25"/>
    <row r="10599" ht="14.25" customHeight="1" x14ac:dyDescent="0.25"/>
    <row r="10600" ht="14.25" customHeight="1" x14ac:dyDescent="0.25"/>
    <row r="10601" ht="14.25" customHeight="1" x14ac:dyDescent="0.25"/>
    <row r="10602" ht="14.25" customHeight="1" x14ac:dyDescent="0.25"/>
    <row r="10603" ht="14.25" customHeight="1" x14ac:dyDescent="0.25"/>
    <row r="10604" ht="14.25" customHeight="1" x14ac:dyDescent="0.25"/>
    <row r="10605" ht="14.25" customHeight="1" x14ac:dyDescent="0.25"/>
    <row r="10606" ht="14.25" customHeight="1" x14ac:dyDescent="0.25"/>
    <row r="10607" ht="14.25" customHeight="1" x14ac:dyDescent="0.25"/>
    <row r="10608" ht="14.25" customHeight="1" x14ac:dyDescent="0.25"/>
    <row r="10609" ht="14.25" customHeight="1" x14ac:dyDescent="0.25"/>
    <row r="10610" ht="14.25" customHeight="1" x14ac:dyDescent="0.25"/>
    <row r="10611" ht="14.25" customHeight="1" x14ac:dyDescent="0.25"/>
    <row r="10612" ht="14.25" customHeight="1" x14ac:dyDescent="0.25"/>
    <row r="10613" ht="14.25" customHeight="1" x14ac:dyDescent="0.25"/>
    <row r="10614" ht="14.25" customHeight="1" x14ac:dyDescent="0.25"/>
    <row r="10615" ht="14.25" customHeight="1" x14ac:dyDescent="0.25"/>
    <row r="10616" ht="14.25" customHeight="1" x14ac:dyDescent="0.25"/>
    <row r="10617" ht="14.25" customHeight="1" x14ac:dyDescent="0.25"/>
    <row r="10618" ht="14.25" customHeight="1" x14ac:dyDescent="0.25"/>
    <row r="10619" ht="14.25" customHeight="1" x14ac:dyDescent="0.25"/>
    <row r="10620" ht="14.25" customHeight="1" x14ac:dyDescent="0.25"/>
    <row r="10621" ht="14.25" customHeight="1" x14ac:dyDescent="0.25"/>
    <row r="10622" ht="14.25" customHeight="1" x14ac:dyDescent="0.25"/>
    <row r="10623" ht="14.25" customHeight="1" x14ac:dyDescent="0.25"/>
    <row r="10624" ht="14.25" customHeight="1" x14ac:dyDescent="0.25"/>
    <row r="10625" ht="14.25" customHeight="1" x14ac:dyDescent="0.25"/>
    <row r="10626" ht="14.25" customHeight="1" x14ac:dyDescent="0.25"/>
    <row r="10627" ht="14.25" customHeight="1" x14ac:dyDescent="0.25"/>
    <row r="10628" ht="14.25" customHeight="1" x14ac:dyDescent="0.25"/>
    <row r="10629" ht="14.25" customHeight="1" x14ac:dyDescent="0.25"/>
    <row r="10630" ht="14.25" customHeight="1" x14ac:dyDescent="0.25"/>
    <row r="10631" ht="14.25" customHeight="1" x14ac:dyDescent="0.25"/>
    <row r="10632" ht="14.25" customHeight="1" x14ac:dyDescent="0.25"/>
    <row r="10633" ht="14.25" customHeight="1" x14ac:dyDescent="0.25"/>
    <row r="10634" ht="14.25" customHeight="1" x14ac:dyDescent="0.25"/>
    <row r="10635" ht="14.25" customHeight="1" x14ac:dyDescent="0.25"/>
    <row r="10636" ht="14.25" customHeight="1" x14ac:dyDescent="0.25"/>
    <row r="10637" ht="14.25" customHeight="1" x14ac:dyDescent="0.25"/>
    <row r="10638" ht="14.25" customHeight="1" x14ac:dyDescent="0.25"/>
    <row r="10639" ht="14.25" customHeight="1" x14ac:dyDescent="0.25"/>
    <row r="10640" ht="14.25" customHeight="1" x14ac:dyDescent="0.25"/>
    <row r="10641" ht="14.25" customHeight="1" x14ac:dyDescent="0.25"/>
    <row r="10642" ht="14.25" customHeight="1" x14ac:dyDescent="0.25"/>
    <row r="10643" ht="14.25" customHeight="1" x14ac:dyDescent="0.25"/>
    <row r="10644" ht="14.25" customHeight="1" x14ac:dyDescent="0.25"/>
    <row r="10645" ht="14.25" customHeight="1" x14ac:dyDescent="0.25"/>
    <row r="10646" ht="14.25" customHeight="1" x14ac:dyDescent="0.25"/>
    <row r="10647" ht="14.25" customHeight="1" x14ac:dyDescent="0.25"/>
    <row r="10648" ht="14.25" customHeight="1" x14ac:dyDescent="0.25"/>
    <row r="10649" ht="14.25" customHeight="1" x14ac:dyDescent="0.25"/>
    <row r="10650" ht="14.25" customHeight="1" x14ac:dyDescent="0.25"/>
    <row r="10651" ht="14.25" customHeight="1" x14ac:dyDescent="0.25"/>
    <row r="10652" ht="14.25" customHeight="1" x14ac:dyDescent="0.25"/>
    <row r="10653" ht="14.25" customHeight="1" x14ac:dyDescent="0.25"/>
    <row r="10654" ht="14.25" customHeight="1" x14ac:dyDescent="0.25"/>
    <row r="10655" ht="14.25" customHeight="1" x14ac:dyDescent="0.25"/>
    <row r="10656" ht="14.25" customHeight="1" x14ac:dyDescent="0.25"/>
    <row r="10657" ht="14.25" customHeight="1" x14ac:dyDescent="0.25"/>
    <row r="10658" ht="14.25" customHeight="1" x14ac:dyDescent="0.25"/>
    <row r="10659" ht="14.25" customHeight="1" x14ac:dyDescent="0.25"/>
    <row r="10660" ht="14.25" customHeight="1" x14ac:dyDescent="0.25"/>
    <row r="10661" ht="14.25" customHeight="1" x14ac:dyDescent="0.25"/>
    <row r="10662" ht="14.25" customHeight="1" x14ac:dyDescent="0.25"/>
    <row r="10663" ht="14.25" customHeight="1" x14ac:dyDescent="0.25"/>
    <row r="10664" ht="14.25" customHeight="1" x14ac:dyDescent="0.25"/>
    <row r="10665" ht="14.25" customHeight="1" x14ac:dyDescent="0.25"/>
    <row r="10666" ht="14.25" customHeight="1" x14ac:dyDescent="0.25"/>
    <row r="10667" ht="14.25" customHeight="1" x14ac:dyDescent="0.25"/>
    <row r="10668" ht="14.25" customHeight="1" x14ac:dyDescent="0.25"/>
    <row r="10669" ht="14.25" customHeight="1" x14ac:dyDescent="0.25"/>
    <row r="10670" ht="14.25" customHeight="1" x14ac:dyDescent="0.25"/>
    <row r="10671" ht="14.25" customHeight="1" x14ac:dyDescent="0.25"/>
    <row r="10672" ht="14.25" customHeight="1" x14ac:dyDescent="0.25"/>
    <row r="10673" ht="14.25" customHeight="1" x14ac:dyDescent="0.25"/>
    <row r="10674" ht="14.25" customHeight="1" x14ac:dyDescent="0.25"/>
    <row r="10675" ht="14.25" customHeight="1" x14ac:dyDescent="0.25"/>
    <row r="10676" ht="14.25" customHeight="1" x14ac:dyDescent="0.25"/>
    <row r="10677" ht="14.25" customHeight="1" x14ac:dyDescent="0.25"/>
    <row r="10678" ht="14.25" customHeight="1" x14ac:dyDescent="0.25"/>
    <row r="10679" ht="14.25" customHeight="1" x14ac:dyDescent="0.25"/>
    <row r="10680" ht="14.25" customHeight="1" x14ac:dyDescent="0.25"/>
    <row r="10681" ht="14.25" customHeight="1" x14ac:dyDescent="0.25"/>
    <row r="10682" ht="14.25" customHeight="1" x14ac:dyDescent="0.25"/>
    <row r="10683" ht="14.25" customHeight="1" x14ac:dyDescent="0.25"/>
    <row r="10684" ht="14.25" customHeight="1" x14ac:dyDescent="0.25"/>
    <row r="10685" ht="14.25" customHeight="1" x14ac:dyDescent="0.25"/>
    <row r="10686" ht="14.25" customHeight="1" x14ac:dyDescent="0.25"/>
    <row r="10687" ht="14.25" customHeight="1" x14ac:dyDescent="0.25"/>
    <row r="10688" ht="14.25" customHeight="1" x14ac:dyDescent="0.25"/>
    <row r="10689" ht="14.25" customHeight="1" x14ac:dyDescent="0.25"/>
    <row r="10690" ht="14.25" customHeight="1" x14ac:dyDescent="0.25"/>
    <row r="10691" ht="14.25" customHeight="1" x14ac:dyDescent="0.25"/>
    <row r="10692" ht="14.25" customHeight="1" x14ac:dyDescent="0.25"/>
    <row r="10693" ht="14.25" customHeight="1" x14ac:dyDescent="0.25"/>
    <row r="10694" ht="14.25" customHeight="1" x14ac:dyDescent="0.25"/>
    <row r="10695" ht="14.25" customHeight="1" x14ac:dyDescent="0.25"/>
    <row r="10696" ht="14.25" customHeight="1" x14ac:dyDescent="0.25"/>
    <row r="10697" ht="14.25" customHeight="1" x14ac:dyDescent="0.25"/>
    <row r="10698" ht="14.25" customHeight="1" x14ac:dyDescent="0.25"/>
    <row r="10699" ht="14.25" customHeight="1" x14ac:dyDescent="0.25"/>
    <row r="10700" ht="14.25" customHeight="1" x14ac:dyDescent="0.25"/>
    <row r="10701" ht="14.25" customHeight="1" x14ac:dyDescent="0.25"/>
    <row r="10702" ht="14.25" customHeight="1" x14ac:dyDescent="0.25"/>
    <row r="10703" ht="14.25" customHeight="1" x14ac:dyDescent="0.25"/>
    <row r="10704" ht="14.25" customHeight="1" x14ac:dyDescent="0.25"/>
    <row r="10705" ht="14.25" customHeight="1" x14ac:dyDescent="0.25"/>
    <row r="10706" ht="14.25" customHeight="1" x14ac:dyDescent="0.25"/>
    <row r="10707" ht="14.25" customHeight="1" x14ac:dyDescent="0.25"/>
    <row r="10708" ht="14.25" customHeight="1" x14ac:dyDescent="0.25"/>
    <row r="10709" ht="14.25" customHeight="1" x14ac:dyDescent="0.25"/>
    <row r="10710" ht="14.25" customHeight="1" x14ac:dyDescent="0.25"/>
    <row r="10711" ht="14.25" customHeight="1" x14ac:dyDescent="0.25"/>
    <row r="10712" ht="14.25" customHeight="1" x14ac:dyDescent="0.25"/>
    <row r="10713" ht="14.25" customHeight="1" x14ac:dyDescent="0.25"/>
    <row r="10714" ht="14.25" customHeight="1" x14ac:dyDescent="0.25"/>
    <row r="10715" ht="14.25" customHeight="1" x14ac:dyDescent="0.25"/>
    <row r="10716" ht="14.25" customHeight="1" x14ac:dyDescent="0.25"/>
    <row r="10717" ht="14.25" customHeight="1" x14ac:dyDescent="0.25"/>
    <row r="10718" ht="14.25" customHeight="1" x14ac:dyDescent="0.25"/>
    <row r="10719" ht="14.25" customHeight="1" x14ac:dyDescent="0.25"/>
    <row r="10720" ht="14.25" customHeight="1" x14ac:dyDescent="0.25"/>
    <row r="10721" ht="14.25" customHeight="1" x14ac:dyDescent="0.25"/>
    <row r="10722" ht="14.25" customHeight="1" x14ac:dyDescent="0.25"/>
    <row r="10723" ht="14.25" customHeight="1" x14ac:dyDescent="0.25"/>
    <row r="10724" ht="14.25" customHeight="1" x14ac:dyDescent="0.25"/>
    <row r="10725" ht="14.25" customHeight="1" x14ac:dyDescent="0.25"/>
    <row r="10726" ht="14.25" customHeight="1" x14ac:dyDescent="0.25"/>
    <row r="10727" ht="14.25" customHeight="1" x14ac:dyDescent="0.25"/>
    <row r="10728" ht="14.25" customHeight="1" x14ac:dyDescent="0.25"/>
    <row r="10729" ht="14.25" customHeight="1" x14ac:dyDescent="0.25"/>
    <row r="10730" ht="14.25" customHeight="1" x14ac:dyDescent="0.25"/>
    <row r="10731" ht="14.25" customHeight="1" x14ac:dyDescent="0.25"/>
    <row r="10732" ht="14.25" customHeight="1" x14ac:dyDescent="0.25"/>
    <row r="10733" ht="14.25" customHeight="1" x14ac:dyDescent="0.25"/>
    <row r="10734" ht="14.25" customHeight="1" x14ac:dyDescent="0.25"/>
    <row r="10735" ht="14.25" customHeight="1" x14ac:dyDescent="0.25"/>
    <row r="10736" ht="14.25" customHeight="1" x14ac:dyDescent="0.25"/>
    <row r="10737" ht="14.25" customHeight="1" x14ac:dyDescent="0.25"/>
    <row r="10738" ht="14.25" customHeight="1" x14ac:dyDescent="0.25"/>
    <row r="10739" ht="14.25" customHeight="1" x14ac:dyDescent="0.25"/>
    <row r="10740" ht="14.25" customHeight="1" x14ac:dyDescent="0.25"/>
    <row r="10741" ht="14.25" customHeight="1" x14ac:dyDescent="0.25"/>
    <row r="10742" ht="14.25" customHeight="1" x14ac:dyDescent="0.25"/>
    <row r="10743" ht="14.25" customHeight="1" x14ac:dyDescent="0.25"/>
    <row r="10744" ht="14.25" customHeight="1" x14ac:dyDescent="0.25"/>
    <row r="10745" ht="14.25" customHeight="1" x14ac:dyDescent="0.25"/>
    <row r="10746" ht="14.25" customHeight="1" x14ac:dyDescent="0.25"/>
    <row r="10747" ht="14.25" customHeight="1" x14ac:dyDescent="0.25"/>
    <row r="10748" ht="14.25" customHeight="1" x14ac:dyDescent="0.25"/>
    <row r="10749" ht="14.25" customHeight="1" x14ac:dyDescent="0.25"/>
    <row r="10750" ht="14.25" customHeight="1" x14ac:dyDescent="0.25"/>
    <row r="10751" ht="14.25" customHeight="1" x14ac:dyDescent="0.25"/>
    <row r="10752" ht="14.25" customHeight="1" x14ac:dyDescent="0.25"/>
    <row r="10753" ht="14.25" customHeight="1" x14ac:dyDescent="0.25"/>
    <row r="10754" ht="14.25" customHeight="1" x14ac:dyDescent="0.25"/>
    <row r="10755" ht="14.25" customHeight="1" x14ac:dyDescent="0.25"/>
    <row r="10756" ht="14.25" customHeight="1" x14ac:dyDescent="0.25"/>
    <row r="10757" ht="14.25" customHeight="1" x14ac:dyDescent="0.25"/>
    <row r="10758" ht="14.25" customHeight="1" x14ac:dyDescent="0.25"/>
    <row r="10759" ht="14.25" customHeight="1" x14ac:dyDescent="0.25"/>
    <row r="10760" ht="14.25" customHeight="1" x14ac:dyDescent="0.25"/>
    <row r="10761" ht="14.25" customHeight="1" x14ac:dyDescent="0.25"/>
    <row r="10762" ht="14.25" customHeight="1" x14ac:dyDescent="0.25"/>
    <row r="10763" ht="14.25" customHeight="1" x14ac:dyDescent="0.25"/>
    <row r="10764" ht="14.25" customHeight="1" x14ac:dyDescent="0.25"/>
    <row r="10765" ht="14.25" customHeight="1" x14ac:dyDescent="0.25"/>
    <row r="10766" ht="14.25" customHeight="1" x14ac:dyDescent="0.25"/>
    <row r="10767" ht="14.25" customHeight="1" x14ac:dyDescent="0.25"/>
    <row r="10768" ht="14.25" customHeight="1" x14ac:dyDescent="0.25"/>
    <row r="10769" ht="14.25" customHeight="1" x14ac:dyDescent="0.25"/>
    <row r="10770" ht="14.25" customHeight="1" x14ac:dyDescent="0.25"/>
    <row r="10771" ht="14.25" customHeight="1" x14ac:dyDescent="0.25"/>
    <row r="10772" ht="14.25" customHeight="1" x14ac:dyDescent="0.25"/>
    <row r="10773" ht="14.25" customHeight="1" x14ac:dyDescent="0.25"/>
    <row r="10774" ht="14.25" customHeight="1" x14ac:dyDescent="0.25"/>
    <row r="10775" ht="14.25" customHeight="1" x14ac:dyDescent="0.25"/>
    <row r="10776" ht="14.25" customHeight="1" x14ac:dyDescent="0.25"/>
    <row r="10777" ht="14.25" customHeight="1" x14ac:dyDescent="0.25"/>
    <row r="10778" ht="14.25" customHeight="1" x14ac:dyDescent="0.25"/>
    <row r="10779" ht="14.25" customHeight="1" x14ac:dyDescent="0.25"/>
    <row r="10780" ht="14.25" customHeight="1" x14ac:dyDescent="0.25"/>
    <row r="10781" ht="14.25" customHeight="1" x14ac:dyDescent="0.25"/>
    <row r="10782" ht="14.25" customHeight="1" x14ac:dyDescent="0.25"/>
    <row r="10783" ht="14.25" customHeight="1" x14ac:dyDescent="0.25"/>
    <row r="10784" ht="14.25" customHeight="1" x14ac:dyDescent="0.25"/>
    <row r="10785" ht="14.25" customHeight="1" x14ac:dyDescent="0.25"/>
    <row r="10786" ht="14.25" customHeight="1" x14ac:dyDescent="0.25"/>
    <row r="10787" ht="14.25" customHeight="1" x14ac:dyDescent="0.25"/>
    <row r="10788" ht="14.25" customHeight="1" x14ac:dyDescent="0.25"/>
    <row r="10789" ht="14.25" customHeight="1" x14ac:dyDescent="0.25"/>
    <row r="10790" ht="14.25" customHeight="1" x14ac:dyDescent="0.25"/>
    <row r="10791" ht="14.25" customHeight="1" x14ac:dyDescent="0.25"/>
    <row r="10792" ht="14.25" customHeight="1" x14ac:dyDescent="0.25"/>
    <row r="10793" ht="14.25" customHeight="1" x14ac:dyDescent="0.25"/>
    <row r="10794" ht="14.25" customHeight="1" x14ac:dyDescent="0.25"/>
    <row r="10795" ht="14.25" customHeight="1" x14ac:dyDescent="0.25"/>
    <row r="10796" ht="14.25" customHeight="1" x14ac:dyDescent="0.25"/>
    <row r="10797" ht="14.25" customHeight="1" x14ac:dyDescent="0.25"/>
    <row r="10798" ht="14.25" customHeight="1" x14ac:dyDescent="0.25"/>
    <row r="10799" ht="14.25" customHeight="1" x14ac:dyDescent="0.25"/>
    <row r="10800" ht="14.25" customHeight="1" x14ac:dyDescent="0.25"/>
    <row r="10801" ht="14.25" customHeight="1" x14ac:dyDescent="0.25"/>
    <row r="10802" ht="14.25" customHeight="1" x14ac:dyDescent="0.25"/>
    <row r="10803" ht="14.25" customHeight="1" x14ac:dyDescent="0.25"/>
    <row r="10804" ht="14.25" customHeight="1" x14ac:dyDescent="0.25"/>
    <row r="10805" ht="14.25" customHeight="1" x14ac:dyDescent="0.25"/>
    <row r="10806" ht="14.25" customHeight="1" x14ac:dyDescent="0.25"/>
    <row r="10807" ht="14.25" customHeight="1" x14ac:dyDescent="0.25"/>
    <row r="10808" ht="14.25" customHeight="1" x14ac:dyDescent="0.25"/>
    <row r="10809" ht="14.25" customHeight="1" x14ac:dyDescent="0.25"/>
    <row r="10810" ht="14.25" customHeight="1" x14ac:dyDescent="0.25"/>
    <row r="10811" ht="14.25" customHeight="1" x14ac:dyDescent="0.25"/>
    <row r="10812" ht="14.25" customHeight="1" x14ac:dyDescent="0.25"/>
    <row r="10813" ht="14.25" customHeight="1" x14ac:dyDescent="0.25"/>
    <row r="10814" ht="14.25" customHeight="1" x14ac:dyDescent="0.25"/>
    <row r="10815" ht="14.25" customHeight="1" x14ac:dyDescent="0.25"/>
    <row r="10816" ht="14.25" customHeight="1" x14ac:dyDescent="0.25"/>
    <row r="10817" ht="14.25" customHeight="1" x14ac:dyDescent="0.25"/>
    <row r="10818" ht="14.25" customHeight="1" x14ac:dyDescent="0.25"/>
    <row r="10819" ht="14.25" customHeight="1" x14ac:dyDescent="0.25"/>
    <row r="10820" ht="14.25" customHeight="1" x14ac:dyDescent="0.25"/>
    <row r="10821" ht="14.25" customHeight="1" x14ac:dyDescent="0.25"/>
    <row r="10822" ht="14.25" customHeight="1" x14ac:dyDescent="0.25"/>
    <row r="10823" ht="14.25" customHeight="1" x14ac:dyDescent="0.25"/>
    <row r="10824" ht="14.25" customHeight="1" x14ac:dyDescent="0.25"/>
    <row r="10825" ht="14.25" customHeight="1" x14ac:dyDescent="0.25"/>
    <row r="10826" ht="14.25" customHeight="1" x14ac:dyDescent="0.25"/>
    <row r="10827" ht="14.25" customHeight="1" x14ac:dyDescent="0.25"/>
    <row r="10828" ht="14.25" customHeight="1" x14ac:dyDescent="0.25"/>
    <row r="10829" ht="14.25" customHeight="1" x14ac:dyDescent="0.25"/>
    <row r="10830" ht="14.25" customHeight="1" x14ac:dyDescent="0.25"/>
    <row r="10831" ht="14.25" customHeight="1" x14ac:dyDescent="0.25"/>
    <row r="10832" ht="14.25" customHeight="1" x14ac:dyDescent="0.25"/>
    <row r="10833" ht="14.25" customHeight="1" x14ac:dyDescent="0.25"/>
    <row r="10834" ht="14.25" customHeight="1" x14ac:dyDescent="0.25"/>
    <row r="10835" ht="14.25" customHeight="1" x14ac:dyDescent="0.25"/>
    <row r="10836" ht="14.25" customHeight="1" x14ac:dyDescent="0.25"/>
    <row r="10837" ht="14.25" customHeight="1" x14ac:dyDescent="0.25"/>
    <row r="10838" ht="14.25" customHeight="1" x14ac:dyDescent="0.25"/>
    <row r="10839" ht="14.25" customHeight="1" x14ac:dyDescent="0.25"/>
    <row r="10840" ht="14.25" customHeight="1" x14ac:dyDescent="0.25"/>
    <row r="10841" ht="14.25" customHeight="1" x14ac:dyDescent="0.25"/>
    <row r="10842" ht="14.25" customHeight="1" x14ac:dyDescent="0.25"/>
    <row r="10843" ht="14.25" customHeight="1" x14ac:dyDescent="0.25"/>
    <row r="10844" ht="14.25" customHeight="1" x14ac:dyDescent="0.25"/>
    <row r="10845" ht="14.25" customHeight="1" x14ac:dyDescent="0.25"/>
    <row r="10846" ht="14.25" customHeight="1" x14ac:dyDescent="0.25"/>
    <row r="10847" ht="14.25" customHeight="1" x14ac:dyDescent="0.25"/>
    <row r="10848" ht="14.25" customHeight="1" x14ac:dyDescent="0.25"/>
    <row r="10849" ht="14.25" customHeight="1" x14ac:dyDescent="0.25"/>
    <row r="10850" ht="14.25" customHeight="1" x14ac:dyDescent="0.25"/>
    <row r="10851" ht="14.25" customHeight="1" x14ac:dyDescent="0.25"/>
    <row r="10852" ht="14.25" customHeight="1" x14ac:dyDescent="0.25"/>
    <row r="10853" ht="14.25" customHeight="1" x14ac:dyDescent="0.25"/>
    <row r="10854" ht="14.25" customHeight="1" x14ac:dyDescent="0.25"/>
    <row r="10855" ht="14.25" customHeight="1" x14ac:dyDescent="0.25"/>
    <row r="10856" ht="14.25" customHeight="1" x14ac:dyDescent="0.25"/>
    <row r="10857" ht="14.25" customHeight="1" x14ac:dyDescent="0.25"/>
    <row r="10858" ht="14.25" customHeight="1" x14ac:dyDescent="0.25"/>
    <row r="10859" ht="14.25" customHeight="1" x14ac:dyDescent="0.25"/>
    <row r="10860" ht="14.25" customHeight="1" x14ac:dyDescent="0.25"/>
    <row r="10861" ht="14.25" customHeight="1" x14ac:dyDescent="0.25"/>
    <row r="10862" ht="14.25" customHeight="1" x14ac:dyDescent="0.25"/>
    <row r="10863" ht="14.25" customHeight="1" x14ac:dyDescent="0.25"/>
    <row r="10864" ht="14.25" customHeight="1" x14ac:dyDescent="0.25"/>
    <row r="10865" ht="14.25" customHeight="1" x14ac:dyDescent="0.25"/>
    <row r="10866" ht="14.25" customHeight="1" x14ac:dyDescent="0.25"/>
    <row r="10867" ht="14.25" customHeight="1" x14ac:dyDescent="0.25"/>
    <row r="10868" ht="14.25" customHeight="1" x14ac:dyDescent="0.25"/>
    <row r="10869" ht="14.25" customHeight="1" x14ac:dyDescent="0.25"/>
    <row r="10870" ht="14.25" customHeight="1" x14ac:dyDescent="0.25"/>
    <row r="10871" ht="14.25" customHeight="1" x14ac:dyDescent="0.25"/>
    <row r="10872" ht="14.25" customHeight="1" x14ac:dyDescent="0.25"/>
    <row r="10873" ht="14.25" customHeight="1" x14ac:dyDescent="0.25"/>
    <row r="10874" ht="14.25" customHeight="1" x14ac:dyDescent="0.25"/>
    <row r="10875" ht="14.25" customHeight="1" x14ac:dyDescent="0.25"/>
    <row r="10876" ht="14.25" customHeight="1" x14ac:dyDescent="0.25"/>
    <row r="10877" ht="14.25" customHeight="1" x14ac:dyDescent="0.25"/>
    <row r="10878" ht="14.25" customHeight="1" x14ac:dyDescent="0.25"/>
    <row r="10879" ht="14.25" customHeight="1" x14ac:dyDescent="0.25"/>
    <row r="10880" ht="14.25" customHeight="1" x14ac:dyDescent="0.25"/>
    <row r="10881" ht="14.25" customHeight="1" x14ac:dyDescent="0.25"/>
    <row r="10882" ht="14.25" customHeight="1" x14ac:dyDescent="0.25"/>
    <row r="10883" ht="14.25" customHeight="1" x14ac:dyDescent="0.25"/>
    <row r="10884" ht="14.25" customHeight="1" x14ac:dyDescent="0.25"/>
    <row r="10885" ht="14.25" customHeight="1" x14ac:dyDescent="0.25"/>
    <row r="10886" ht="14.25" customHeight="1" x14ac:dyDescent="0.25"/>
    <row r="10887" ht="14.25" customHeight="1" x14ac:dyDescent="0.25"/>
    <row r="10888" ht="14.25" customHeight="1" x14ac:dyDescent="0.25"/>
    <row r="10889" ht="14.25" customHeight="1" x14ac:dyDescent="0.25"/>
    <row r="10890" ht="14.25" customHeight="1" x14ac:dyDescent="0.25"/>
    <row r="10891" ht="14.25" customHeight="1" x14ac:dyDescent="0.25"/>
    <row r="10892" ht="14.25" customHeight="1" x14ac:dyDescent="0.25"/>
    <row r="10893" ht="14.25" customHeight="1" x14ac:dyDescent="0.25"/>
    <row r="10894" ht="14.25" customHeight="1" x14ac:dyDescent="0.25"/>
    <row r="10895" ht="14.25" customHeight="1" x14ac:dyDescent="0.25"/>
    <row r="10896" ht="14.25" customHeight="1" x14ac:dyDescent="0.25"/>
    <row r="10897" ht="14.25" customHeight="1" x14ac:dyDescent="0.25"/>
    <row r="10898" ht="14.25" customHeight="1" x14ac:dyDescent="0.25"/>
    <row r="10899" ht="14.25" customHeight="1" x14ac:dyDescent="0.25"/>
    <row r="10900" ht="14.25" customHeight="1" x14ac:dyDescent="0.25"/>
    <row r="10901" ht="14.25" customHeight="1" x14ac:dyDescent="0.25"/>
    <row r="10902" ht="14.25" customHeight="1" x14ac:dyDescent="0.25"/>
    <row r="10903" ht="14.25" customHeight="1" x14ac:dyDescent="0.25"/>
    <row r="10904" ht="14.25" customHeight="1" x14ac:dyDescent="0.25"/>
    <row r="10905" ht="14.25" customHeight="1" x14ac:dyDescent="0.25"/>
    <row r="10906" ht="14.25" customHeight="1" x14ac:dyDescent="0.25"/>
    <row r="10907" ht="14.25" customHeight="1" x14ac:dyDescent="0.25"/>
    <row r="10908" ht="14.25" customHeight="1" x14ac:dyDescent="0.25"/>
    <row r="10909" ht="14.25" customHeight="1" x14ac:dyDescent="0.25"/>
    <row r="10910" ht="14.25" customHeight="1" x14ac:dyDescent="0.25"/>
    <row r="10911" ht="14.25" customHeight="1" x14ac:dyDescent="0.25"/>
    <row r="10912" ht="14.25" customHeight="1" x14ac:dyDescent="0.25"/>
    <row r="10913" ht="14.25" customHeight="1" x14ac:dyDescent="0.25"/>
    <row r="10914" ht="14.25" customHeight="1" x14ac:dyDescent="0.25"/>
    <row r="10915" ht="14.25" customHeight="1" x14ac:dyDescent="0.25"/>
    <row r="10916" ht="14.25" customHeight="1" x14ac:dyDescent="0.25"/>
    <row r="10917" ht="14.25" customHeight="1" x14ac:dyDescent="0.25"/>
    <row r="10918" ht="14.25" customHeight="1" x14ac:dyDescent="0.25"/>
    <row r="10919" ht="14.25" customHeight="1" x14ac:dyDescent="0.25"/>
    <row r="10920" ht="14.25" customHeight="1" x14ac:dyDescent="0.25"/>
    <row r="10921" ht="14.25" customHeight="1" x14ac:dyDescent="0.25"/>
    <row r="10922" ht="14.25" customHeight="1" x14ac:dyDescent="0.25"/>
    <row r="10923" ht="14.25" customHeight="1" x14ac:dyDescent="0.25"/>
    <row r="10924" ht="14.25" customHeight="1" x14ac:dyDescent="0.25"/>
    <row r="10925" ht="14.25" customHeight="1" x14ac:dyDescent="0.25"/>
    <row r="10926" ht="14.25" customHeight="1" x14ac:dyDescent="0.25"/>
    <row r="10927" ht="14.25" customHeight="1" x14ac:dyDescent="0.25"/>
    <row r="10928" ht="14.25" customHeight="1" x14ac:dyDescent="0.25"/>
    <row r="10929" ht="14.25" customHeight="1" x14ac:dyDescent="0.25"/>
    <row r="10930" ht="14.25" customHeight="1" x14ac:dyDescent="0.25"/>
    <row r="10931" ht="14.25" customHeight="1" x14ac:dyDescent="0.25"/>
    <row r="10932" ht="14.25" customHeight="1" x14ac:dyDescent="0.25"/>
    <row r="10933" ht="14.25" customHeight="1" x14ac:dyDescent="0.25"/>
    <row r="10934" ht="14.25" customHeight="1" x14ac:dyDescent="0.25"/>
    <row r="10935" ht="14.25" customHeight="1" x14ac:dyDescent="0.25"/>
    <row r="10936" ht="14.25" customHeight="1" x14ac:dyDescent="0.25"/>
    <row r="10937" ht="14.25" customHeight="1" x14ac:dyDescent="0.25"/>
    <row r="10938" ht="14.25" customHeight="1" x14ac:dyDescent="0.25"/>
    <row r="10939" ht="14.25" customHeight="1" x14ac:dyDescent="0.25"/>
    <row r="10940" ht="14.25" customHeight="1" x14ac:dyDescent="0.25"/>
    <row r="10941" ht="14.25" customHeight="1" x14ac:dyDescent="0.25"/>
    <row r="10942" ht="14.25" customHeight="1" x14ac:dyDescent="0.25"/>
    <row r="10943" ht="14.25" customHeight="1" x14ac:dyDescent="0.25"/>
    <row r="10944" ht="14.25" customHeight="1" x14ac:dyDescent="0.25"/>
    <row r="10945" ht="14.25" customHeight="1" x14ac:dyDescent="0.25"/>
    <row r="10946" ht="14.25" customHeight="1" x14ac:dyDescent="0.25"/>
    <row r="10947" ht="14.25" customHeight="1" x14ac:dyDescent="0.25"/>
    <row r="10948" ht="14.25" customHeight="1" x14ac:dyDescent="0.25"/>
    <row r="10949" ht="14.25" customHeight="1" x14ac:dyDescent="0.25"/>
    <row r="10950" ht="14.25" customHeight="1" x14ac:dyDescent="0.25"/>
    <row r="10951" ht="14.25" customHeight="1" x14ac:dyDescent="0.25"/>
    <row r="10952" ht="14.25" customHeight="1" x14ac:dyDescent="0.25"/>
    <row r="10953" ht="14.25" customHeight="1" x14ac:dyDescent="0.25"/>
    <row r="10954" ht="14.25" customHeight="1" x14ac:dyDescent="0.25"/>
    <row r="10955" ht="14.25" customHeight="1" x14ac:dyDescent="0.25"/>
    <row r="10956" ht="14.25" customHeight="1" x14ac:dyDescent="0.25"/>
    <row r="10957" ht="14.25" customHeight="1" x14ac:dyDescent="0.25"/>
    <row r="10958" ht="14.25" customHeight="1" x14ac:dyDescent="0.25"/>
    <row r="10959" ht="14.25" customHeight="1" x14ac:dyDescent="0.25"/>
    <row r="10960" ht="14.25" customHeight="1" x14ac:dyDescent="0.25"/>
    <row r="10961" ht="14.25" customHeight="1" x14ac:dyDescent="0.25"/>
    <row r="10962" ht="14.25" customHeight="1" x14ac:dyDescent="0.25"/>
    <row r="10963" ht="14.25" customHeight="1" x14ac:dyDescent="0.25"/>
    <row r="10964" ht="14.25" customHeight="1" x14ac:dyDescent="0.25"/>
    <row r="10965" ht="14.25" customHeight="1" x14ac:dyDescent="0.25"/>
    <row r="10966" ht="14.25" customHeight="1" x14ac:dyDescent="0.25"/>
    <row r="10967" ht="14.25" customHeight="1" x14ac:dyDescent="0.25"/>
    <row r="10968" ht="14.25" customHeight="1" x14ac:dyDescent="0.25"/>
    <row r="10969" ht="14.25" customHeight="1" x14ac:dyDescent="0.25"/>
    <row r="10970" ht="14.25" customHeight="1" x14ac:dyDescent="0.25"/>
    <row r="10971" ht="14.25" customHeight="1" x14ac:dyDescent="0.25"/>
    <row r="10972" ht="14.25" customHeight="1" x14ac:dyDescent="0.25"/>
    <row r="10973" ht="14.25" customHeight="1" x14ac:dyDescent="0.25"/>
    <row r="10974" ht="14.25" customHeight="1" x14ac:dyDescent="0.25"/>
    <row r="10975" ht="14.25" customHeight="1" x14ac:dyDescent="0.25"/>
    <row r="10976" ht="14.25" customHeight="1" x14ac:dyDescent="0.25"/>
    <row r="10977" ht="14.25" customHeight="1" x14ac:dyDescent="0.25"/>
    <row r="10978" ht="14.25" customHeight="1" x14ac:dyDescent="0.25"/>
    <row r="10979" ht="14.25" customHeight="1" x14ac:dyDescent="0.25"/>
    <row r="10980" ht="14.25" customHeight="1" x14ac:dyDescent="0.25"/>
    <row r="10981" ht="14.25" customHeight="1" x14ac:dyDescent="0.25"/>
    <row r="10982" ht="14.25" customHeight="1" x14ac:dyDescent="0.25"/>
    <row r="10983" ht="14.25" customHeight="1" x14ac:dyDescent="0.25"/>
    <row r="10984" ht="14.25" customHeight="1" x14ac:dyDescent="0.25"/>
    <row r="10985" ht="14.25" customHeight="1" x14ac:dyDescent="0.25"/>
    <row r="10986" ht="14.25" customHeight="1" x14ac:dyDescent="0.25"/>
    <row r="10987" ht="14.25" customHeight="1" x14ac:dyDescent="0.25"/>
    <row r="10988" ht="14.25" customHeight="1" x14ac:dyDescent="0.25"/>
    <row r="10989" ht="14.25" customHeight="1" x14ac:dyDescent="0.25"/>
    <row r="10990" ht="14.25" customHeight="1" x14ac:dyDescent="0.25"/>
    <row r="10991" ht="14.25" customHeight="1" x14ac:dyDescent="0.25"/>
    <row r="10992" ht="14.25" customHeight="1" x14ac:dyDescent="0.25"/>
    <row r="10993" ht="14.25" customHeight="1" x14ac:dyDescent="0.25"/>
    <row r="10994" ht="14.25" customHeight="1" x14ac:dyDescent="0.25"/>
    <row r="10995" ht="14.25" customHeight="1" x14ac:dyDescent="0.25"/>
    <row r="10996" ht="14.25" customHeight="1" x14ac:dyDescent="0.25"/>
    <row r="10997" ht="14.25" customHeight="1" x14ac:dyDescent="0.25"/>
    <row r="10998" ht="14.25" customHeight="1" x14ac:dyDescent="0.25"/>
    <row r="10999" ht="14.25" customHeight="1" x14ac:dyDescent="0.25"/>
    <row r="11000" ht="14.25" customHeight="1" x14ac:dyDescent="0.25"/>
    <row r="11001" ht="14.25" customHeight="1" x14ac:dyDescent="0.25"/>
    <row r="11002" ht="14.25" customHeight="1" x14ac:dyDescent="0.25"/>
    <row r="11003" ht="14.25" customHeight="1" x14ac:dyDescent="0.25"/>
    <row r="11004" ht="14.25" customHeight="1" x14ac:dyDescent="0.25"/>
    <row r="11005" ht="14.25" customHeight="1" x14ac:dyDescent="0.25"/>
    <row r="11006" ht="14.25" customHeight="1" x14ac:dyDescent="0.25"/>
    <row r="11007" ht="14.25" customHeight="1" x14ac:dyDescent="0.25"/>
    <row r="11008" ht="14.25" customHeight="1" x14ac:dyDescent="0.25"/>
    <row r="11009" ht="14.25" customHeight="1" x14ac:dyDescent="0.25"/>
    <row r="11010" ht="14.25" customHeight="1" x14ac:dyDescent="0.25"/>
    <row r="11011" ht="14.25" customHeight="1" x14ac:dyDescent="0.25"/>
    <row r="11012" ht="14.25" customHeight="1" x14ac:dyDescent="0.25"/>
    <row r="11013" ht="14.25" customHeight="1" x14ac:dyDescent="0.25"/>
    <row r="11014" ht="14.25" customHeight="1" x14ac:dyDescent="0.25"/>
    <row r="11015" ht="14.25" customHeight="1" x14ac:dyDescent="0.25"/>
    <row r="11016" ht="14.25" customHeight="1" x14ac:dyDescent="0.25"/>
    <row r="11017" ht="14.25" customHeight="1" x14ac:dyDescent="0.25"/>
    <row r="11018" ht="14.25" customHeight="1" x14ac:dyDescent="0.25"/>
    <row r="11019" ht="14.25" customHeight="1" x14ac:dyDescent="0.25"/>
    <row r="11020" ht="14.25" customHeight="1" x14ac:dyDescent="0.25"/>
    <row r="11021" ht="14.25" customHeight="1" x14ac:dyDescent="0.25"/>
    <row r="11022" ht="14.25" customHeight="1" x14ac:dyDescent="0.25"/>
    <row r="11023" ht="14.25" customHeight="1" x14ac:dyDescent="0.25"/>
    <row r="11024" ht="14.25" customHeight="1" x14ac:dyDescent="0.25"/>
    <row r="11025" ht="14.25" customHeight="1" x14ac:dyDescent="0.25"/>
    <row r="11026" ht="14.25" customHeight="1" x14ac:dyDescent="0.25"/>
    <row r="11027" ht="14.25" customHeight="1" x14ac:dyDescent="0.25"/>
    <row r="11028" ht="14.25" customHeight="1" x14ac:dyDescent="0.25"/>
    <row r="11029" ht="14.25" customHeight="1" x14ac:dyDescent="0.25"/>
    <row r="11030" ht="14.25" customHeight="1" x14ac:dyDescent="0.25"/>
    <row r="11031" ht="14.25" customHeight="1" x14ac:dyDescent="0.25"/>
    <row r="11032" ht="14.25" customHeight="1" x14ac:dyDescent="0.25"/>
    <row r="11033" ht="14.25" customHeight="1" x14ac:dyDescent="0.25"/>
    <row r="11034" ht="14.25" customHeight="1" x14ac:dyDescent="0.25"/>
    <row r="11035" ht="14.25" customHeight="1" x14ac:dyDescent="0.25"/>
    <row r="11036" ht="14.25" customHeight="1" x14ac:dyDescent="0.25"/>
    <row r="11037" ht="14.25" customHeight="1" x14ac:dyDescent="0.25"/>
    <row r="11038" ht="14.25" customHeight="1" x14ac:dyDescent="0.25"/>
    <row r="11039" ht="14.25" customHeight="1" x14ac:dyDescent="0.25"/>
    <row r="11040" ht="14.25" customHeight="1" x14ac:dyDescent="0.25"/>
    <row r="11041" ht="14.25" customHeight="1" x14ac:dyDescent="0.25"/>
    <row r="11042" ht="14.25" customHeight="1" x14ac:dyDescent="0.25"/>
    <row r="11043" ht="14.25" customHeight="1" x14ac:dyDescent="0.25"/>
    <row r="11044" ht="14.25" customHeight="1" x14ac:dyDescent="0.25"/>
    <row r="11045" ht="14.25" customHeight="1" x14ac:dyDescent="0.25"/>
    <row r="11046" ht="14.25" customHeight="1" x14ac:dyDescent="0.25"/>
    <row r="11047" ht="14.25" customHeight="1" x14ac:dyDescent="0.25"/>
    <row r="11048" ht="14.25" customHeight="1" x14ac:dyDescent="0.25"/>
    <row r="11049" ht="14.25" customHeight="1" x14ac:dyDescent="0.25"/>
    <row r="11050" ht="14.25" customHeight="1" x14ac:dyDescent="0.25"/>
    <row r="11051" ht="14.25" customHeight="1" x14ac:dyDescent="0.25"/>
    <row r="11052" ht="14.25" customHeight="1" x14ac:dyDescent="0.25"/>
    <row r="11053" ht="14.25" customHeight="1" x14ac:dyDescent="0.25"/>
    <row r="11054" ht="14.25" customHeight="1" x14ac:dyDescent="0.25"/>
    <row r="11055" ht="14.25" customHeight="1" x14ac:dyDescent="0.25"/>
    <row r="11056" ht="14.25" customHeight="1" x14ac:dyDescent="0.25"/>
    <row r="11057" ht="14.25" customHeight="1" x14ac:dyDescent="0.25"/>
    <row r="11058" ht="14.25" customHeight="1" x14ac:dyDescent="0.25"/>
    <row r="11059" ht="14.25" customHeight="1" x14ac:dyDescent="0.25"/>
    <row r="11060" ht="14.25" customHeight="1" x14ac:dyDescent="0.25"/>
    <row r="11061" ht="14.25" customHeight="1" x14ac:dyDescent="0.25"/>
    <row r="11062" ht="14.25" customHeight="1" x14ac:dyDescent="0.25"/>
    <row r="11063" ht="14.25" customHeight="1" x14ac:dyDescent="0.25"/>
    <row r="11064" ht="14.25" customHeight="1" x14ac:dyDescent="0.25"/>
    <row r="11065" ht="14.25" customHeight="1" x14ac:dyDescent="0.25"/>
    <row r="11066" ht="14.25" customHeight="1" x14ac:dyDescent="0.25"/>
    <row r="11067" ht="14.25" customHeight="1" x14ac:dyDescent="0.25"/>
    <row r="11068" ht="14.25" customHeight="1" x14ac:dyDescent="0.25"/>
    <row r="11069" ht="14.25" customHeight="1" x14ac:dyDescent="0.25"/>
    <row r="11070" ht="14.25" customHeight="1" x14ac:dyDescent="0.25"/>
    <row r="11071" ht="14.25" customHeight="1" x14ac:dyDescent="0.25"/>
    <row r="11072" ht="14.25" customHeight="1" x14ac:dyDescent="0.25"/>
    <row r="11073" ht="14.25" customHeight="1" x14ac:dyDescent="0.25"/>
    <row r="11074" ht="14.25" customHeight="1" x14ac:dyDescent="0.25"/>
    <row r="11075" ht="14.25" customHeight="1" x14ac:dyDescent="0.25"/>
    <row r="11076" ht="14.25" customHeight="1" x14ac:dyDescent="0.25"/>
    <row r="11077" ht="14.25" customHeight="1" x14ac:dyDescent="0.25"/>
    <row r="11078" ht="14.25" customHeight="1" x14ac:dyDescent="0.25"/>
    <row r="11079" ht="14.25" customHeight="1" x14ac:dyDescent="0.25"/>
    <row r="11080" ht="14.25" customHeight="1" x14ac:dyDescent="0.25"/>
    <row r="11081" ht="14.25" customHeight="1" x14ac:dyDescent="0.25"/>
    <row r="11082" ht="14.25" customHeight="1" x14ac:dyDescent="0.25"/>
    <row r="11083" ht="14.25" customHeight="1" x14ac:dyDescent="0.25"/>
    <row r="11084" ht="14.25" customHeight="1" x14ac:dyDescent="0.25"/>
    <row r="11085" ht="14.25" customHeight="1" x14ac:dyDescent="0.25"/>
    <row r="11086" ht="14.25" customHeight="1" x14ac:dyDescent="0.25"/>
    <row r="11087" ht="14.25" customHeight="1" x14ac:dyDescent="0.25"/>
    <row r="11088" ht="14.25" customHeight="1" x14ac:dyDescent="0.25"/>
    <row r="11089" ht="14.25" customHeight="1" x14ac:dyDescent="0.25"/>
    <row r="11090" ht="14.25" customHeight="1" x14ac:dyDescent="0.25"/>
    <row r="11091" ht="14.25" customHeight="1" x14ac:dyDescent="0.25"/>
    <row r="11092" ht="14.25" customHeight="1" x14ac:dyDescent="0.25"/>
    <row r="11093" ht="14.25" customHeight="1" x14ac:dyDescent="0.25"/>
    <row r="11094" ht="14.25" customHeight="1" x14ac:dyDescent="0.25"/>
    <row r="11095" ht="14.25" customHeight="1" x14ac:dyDescent="0.25"/>
    <row r="11096" ht="14.25" customHeight="1" x14ac:dyDescent="0.25"/>
    <row r="11097" ht="14.25" customHeight="1" x14ac:dyDescent="0.25"/>
    <row r="11098" ht="14.25" customHeight="1" x14ac:dyDescent="0.25"/>
    <row r="11099" ht="14.25" customHeight="1" x14ac:dyDescent="0.25"/>
    <row r="11100" ht="14.25" customHeight="1" x14ac:dyDescent="0.25"/>
    <row r="11101" ht="14.25" customHeight="1" x14ac:dyDescent="0.25"/>
    <row r="11102" ht="14.25" customHeight="1" x14ac:dyDescent="0.25"/>
    <row r="11103" ht="14.25" customHeight="1" x14ac:dyDescent="0.25"/>
    <row r="11104" ht="14.25" customHeight="1" x14ac:dyDescent="0.25"/>
    <row r="11105" ht="14.25" customHeight="1" x14ac:dyDescent="0.25"/>
    <row r="11106" ht="14.25" customHeight="1" x14ac:dyDescent="0.25"/>
    <row r="11107" ht="14.25" customHeight="1" x14ac:dyDescent="0.25"/>
    <row r="11108" ht="14.25" customHeight="1" x14ac:dyDescent="0.25"/>
    <row r="11109" ht="14.25" customHeight="1" x14ac:dyDescent="0.25"/>
    <row r="11110" ht="14.25" customHeight="1" x14ac:dyDescent="0.25"/>
    <row r="11111" ht="14.25" customHeight="1" x14ac:dyDescent="0.25"/>
    <row r="11112" ht="14.25" customHeight="1" x14ac:dyDescent="0.25"/>
    <row r="11113" ht="14.25" customHeight="1" x14ac:dyDescent="0.25"/>
    <row r="11114" ht="14.25" customHeight="1" x14ac:dyDescent="0.25"/>
    <row r="11115" ht="14.25" customHeight="1" x14ac:dyDescent="0.25"/>
    <row r="11116" ht="14.25" customHeight="1" x14ac:dyDescent="0.25"/>
    <row r="11117" ht="14.25" customHeight="1" x14ac:dyDescent="0.25"/>
    <row r="11118" ht="14.25" customHeight="1" x14ac:dyDescent="0.25"/>
    <row r="11119" ht="14.25" customHeight="1" x14ac:dyDescent="0.25"/>
    <row r="11120" ht="14.25" customHeight="1" x14ac:dyDescent="0.25"/>
    <row r="11121" ht="14.25" customHeight="1" x14ac:dyDescent="0.25"/>
    <row r="11122" ht="14.25" customHeight="1" x14ac:dyDescent="0.25"/>
    <row r="11123" ht="14.25" customHeight="1" x14ac:dyDescent="0.25"/>
    <row r="11124" ht="14.25" customHeight="1" x14ac:dyDescent="0.25"/>
    <row r="11125" ht="14.25" customHeight="1" x14ac:dyDescent="0.25"/>
    <row r="11126" ht="14.25" customHeight="1" x14ac:dyDescent="0.25"/>
    <row r="11127" ht="14.25" customHeight="1" x14ac:dyDescent="0.25"/>
    <row r="11128" ht="14.25" customHeight="1" x14ac:dyDescent="0.25"/>
    <row r="11129" ht="14.25" customHeight="1" x14ac:dyDescent="0.25"/>
    <row r="11130" ht="14.25" customHeight="1" x14ac:dyDescent="0.25"/>
    <row r="11131" ht="14.25" customHeight="1" x14ac:dyDescent="0.25"/>
    <row r="11132" ht="14.25" customHeight="1" x14ac:dyDescent="0.25"/>
    <row r="11133" ht="14.25" customHeight="1" x14ac:dyDescent="0.25"/>
    <row r="11134" ht="14.25" customHeight="1" x14ac:dyDescent="0.25"/>
    <row r="11135" ht="14.25" customHeight="1" x14ac:dyDescent="0.25"/>
    <row r="11136" ht="14.25" customHeight="1" x14ac:dyDescent="0.25"/>
    <row r="11137" ht="14.25" customHeight="1" x14ac:dyDescent="0.25"/>
    <row r="11138" ht="14.25" customHeight="1" x14ac:dyDescent="0.25"/>
    <row r="11139" ht="14.25" customHeight="1" x14ac:dyDescent="0.25"/>
    <row r="11140" ht="14.25" customHeight="1" x14ac:dyDescent="0.25"/>
    <row r="11141" ht="14.25" customHeight="1" x14ac:dyDescent="0.25"/>
    <row r="11142" ht="14.25" customHeight="1" x14ac:dyDescent="0.25"/>
    <row r="11143" ht="14.25" customHeight="1" x14ac:dyDescent="0.25"/>
    <row r="11144" ht="14.25" customHeight="1" x14ac:dyDescent="0.25"/>
    <row r="11145" ht="14.25" customHeight="1" x14ac:dyDescent="0.25"/>
    <row r="11146" ht="14.25" customHeight="1" x14ac:dyDescent="0.25"/>
    <row r="11147" ht="14.25" customHeight="1" x14ac:dyDescent="0.25"/>
    <row r="11148" ht="14.25" customHeight="1" x14ac:dyDescent="0.25"/>
    <row r="11149" ht="14.25" customHeight="1" x14ac:dyDescent="0.25"/>
    <row r="11150" ht="14.25" customHeight="1" x14ac:dyDescent="0.25"/>
    <row r="11151" ht="14.25" customHeight="1" x14ac:dyDescent="0.25"/>
    <row r="11152" ht="14.25" customHeight="1" x14ac:dyDescent="0.25"/>
    <row r="11153" ht="14.25" customHeight="1" x14ac:dyDescent="0.25"/>
    <row r="11154" ht="14.25" customHeight="1" x14ac:dyDescent="0.25"/>
    <row r="11155" ht="14.25" customHeight="1" x14ac:dyDescent="0.25"/>
    <row r="11156" ht="14.25" customHeight="1" x14ac:dyDescent="0.25"/>
    <row r="11157" ht="14.25" customHeight="1" x14ac:dyDescent="0.25"/>
    <row r="11158" ht="14.25" customHeight="1" x14ac:dyDescent="0.25"/>
    <row r="11159" ht="14.25" customHeight="1" x14ac:dyDescent="0.25"/>
    <row r="11160" ht="14.25" customHeight="1" x14ac:dyDescent="0.25"/>
    <row r="11161" ht="14.25" customHeight="1" x14ac:dyDescent="0.25"/>
    <row r="11162" ht="14.25" customHeight="1" x14ac:dyDescent="0.25"/>
    <row r="11163" ht="14.25" customHeight="1" x14ac:dyDescent="0.25"/>
    <row r="11164" ht="14.25" customHeight="1" x14ac:dyDescent="0.25"/>
    <row r="11165" ht="14.25" customHeight="1" x14ac:dyDescent="0.25"/>
    <row r="11166" ht="14.25" customHeight="1" x14ac:dyDescent="0.25"/>
    <row r="11167" ht="14.25" customHeight="1" x14ac:dyDescent="0.25"/>
    <row r="11168" ht="14.25" customHeight="1" x14ac:dyDescent="0.25"/>
    <row r="11169" ht="14.25" customHeight="1" x14ac:dyDescent="0.25"/>
    <row r="11170" ht="14.25" customHeight="1" x14ac:dyDescent="0.25"/>
    <row r="11171" ht="14.25" customHeight="1" x14ac:dyDescent="0.25"/>
    <row r="11172" ht="14.25" customHeight="1" x14ac:dyDescent="0.25"/>
    <row r="11173" ht="14.25" customHeight="1" x14ac:dyDescent="0.25"/>
    <row r="11174" ht="14.25" customHeight="1" x14ac:dyDescent="0.25"/>
    <row r="11175" ht="14.25" customHeight="1" x14ac:dyDescent="0.25"/>
    <row r="11176" ht="14.25" customHeight="1" x14ac:dyDescent="0.25"/>
    <row r="11177" ht="14.25" customHeight="1" x14ac:dyDescent="0.25"/>
    <row r="11178" ht="14.25" customHeight="1" x14ac:dyDescent="0.25"/>
    <row r="11179" ht="14.25" customHeight="1" x14ac:dyDescent="0.25"/>
    <row r="11180" ht="14.25" customHeight="1" x14ac:dyDescent="0.25"/>
    <row r="11181" ht="14.25" customHeight="1" x14ac:dyDescent="0.25"/>
    <row r="11182" ht="14.25" customHeight="1" x14ac:dyDescent="0.25"/>
    <row r="11183" ht="14.25" customHeight="1" x14ac:dyDescent="0.25"/>
    <row r="11184" ht="14.25" customHeight="1" x14ac:dyDescent="0.25"/>
    <row r="11185" ht="14.25" customHeight="1" x14ac:dyDescent="0.25"/>
    <row r="11186" ht="14.25" customHeight="1" x14ac:dyDescent="0.25"/>
    <row r="11187" ht="14.25" customHeight="1" x14ac:dyDescent="0.25"/>
    <row r="11188" ht="14.25" customHeight="1" x14ac:dyDescent="0.25"/>
    <row r="11189" ht="14.25" customHeight="1" x14ac:dyDescent="0.25"/>
    <row r="11190" ht="14.25" customHeight="1" x14ac:dyDescent="0.25"/>
    <row r="11191" ht="14.25" customHeight="1" x14ac:dyDescent="0.25"/>
    <row r="11192" ht="14.25" customHeight="1" x14ac:dyDescent="0.25"/>
    <row r="11193" ht="14.25" customHeight="1" x14ac:dyDescent="0.25"/>
    <row r="11194" ht="14.25" customHeight="1" x14ac:dyDescent="0.25"/>
    <row r="11195" ht="14.25" customHeight="1" x14ac:dyDescent="0.25"/>
    <row r="11196" ht="14.25" customHeight="1" x14ac:dyDescent="0.25"/>
    <row r="11197" ht="14.25" customHeight="1" x14ac:dyDescent="0.25"/>
    <row r="11198" ht="14.25" customHeight="1" x14ac:dyDescent="0.25"/>
    <row r="11199" ht="14.25" customHeight="1" x14ac:dyDescent="0.25"/>
    <row r="11200" ht="14.25" customHeight="1" x14ac:dyDescent="0.25"/>
    <row r="11201" ht="14.25" customHeight="1" x14ac:dyDescent="0.25"/>
    <row r="11202" ht="14.25" customHeight="1" x14ac:dyDescent="0.25"/>
    <row r="11203" ht="14.25" customHeight="1" x14ac:dyDescent="0.25"/>
    <row r="11204" ht="14.25" customHeight="1" x14ac:dyDescent="0.25"/>
    <row r="11205" ht="14.25" customHeight="1" x14ac:dyDescent="0.25"/>
    <row r="11206" ht="14.25" customHeight="1" x14ac:dyDescent="0.25"/>
    <row r="11207" ht="14.25" customHeight="1" x14ac:dyDescent="0.25"/>
    <row r="11208" ht="14.25" customHeight="1" x14ac:dyDescent="0.25"/>
    <row r="11209" ht="14.25" customHeight="1" x14ac:dyDescent="0.25"/>
    <row r="11210" ht="14.25" customHeight="1" x14ac:dyDescent="0.25"/>
    <row r="11211" ht="14.25" customHeight="1" x14ac:dyDescent="0.25"/>
    <row r="11212" ht="14.25" customHeight="1" x14ac:dyDescent="0.25"/>
    <row r="11213" ht="14.25" customHeight="1" x14ac:dyDescent="0.25"/>
    <row r="11214" ht="14.25" customHeight="1" x14ac:dyDescent="0.25"/>
    <row r="11215" ht="14.25" customHeight="1" x14ac:dyDescent="0.25"/>
    <row r="11216" ht="14.25" customHeight="1" x14ac:dyDescent="0.25"/>
    <row r="11217" ht="14.25" customHeight="1" x14ac:dyDescent="0.25"/>
    <row r="11218" ht="14.25" customHeight="1" x14ac:dyDescent="0.25"/>
    <row r="11219" ht="14.25" customHeight="1" x14ac:dyDescent="0.25"/>
    <row r="11220" ht="14.25" customHeight="1" x14ac:dyDescent="0.25"/>
    <row r="11221" ht="14.25" customHeight="1" x14ac:dyDescent="0.25"/>
    <row r="11222" ht="14.25" customHeight="1" x14ac:dyDescent="0.25"/>
    <row r="11223" ht="14.25" customHeight="1" x14ac:dyDescent="0.25"/>
    <row r="11224" ht="14.25" customHeight="1" x14ac:dyDescent="0.25"/>
    <row r="11225" ht="14.25" customHeight="1" x14ac:dyDescent="0.25"/>
    <row r="11226" ht="14.25" customHeight="1" x14ac:dyDescent="0.25"/>
    <row r="11227" ht="14.25" customHeight="1" x14ac:dyDescent="0.25"/>
    <row r="11228" ht="14.25" customHeight="1" x14ac:dyDescent="0.25"/>
    <row r="11229" ht="14.25" customHeight="1" x14ac:dyDescent="0.25"/>
    <row r="11230" ht="14.25" customHeight="1" x14ac:dyDescent="0.25"/>
    <row r="11231" ht="14.25" customHeight="1" x14ac:dyDescent="0.25"/>
    <row r="11232" ht="14.25" customHeight="1" x14ac:dyDescent="0.25"/>
    <row r="11233" ht="14.25" customHeight="1" x14ac:dyDescent="0.25"/>
    <row r="11234" ht="14.25" customHeight="1" x14ac:dyDescent="0.25"/>
    <row r="11235" ht="14.25" customHeight="1" x14ac:dyDescent="0.25"/>
    <row r="11236" ht="14.25" customHeight="1" x14ac:dyDescent="0.25"/>
    <row r="11237" ht="14.25" customHeight="1" x14ac:dyDescent="0.25"/>
    <row r="11238" ht="14.25" customHeight="1" x14ac:dyDescent="0.25"/>
    <row r="11239" ht="14.25" customHeight="1" x14ac:dyDescent="0.25"/>
    <row r="11240" ht="14.25" customHeight="1" x14ac:dyDescent="0.25"/>
    <row r="11241" ht="14.25" customHeight="1" x14ac:dyDescent="0.25"/>
    <row r="11242" ht="14.25" customHeight="1" x14ac:dyDescent="0.25"/>
    <row r="11243" ht="14.25" customHeight="1" x14ac:dyDescent="0.25"/>
    <row r="11244" ht="14.25" customHeight="1" x14ac:dyDescent="0.25"/>
    <row r="11245" ht="14.25" customHeight="1" x14ac:dyDescent="0.25"/>
    <row r="11246" ht="14.25" customHeight="1" x14ac:dyDescent="0.25"/>
    <row r="11247" ht="14.25" customHeight="1" x14ac:dyDescent="0.25"/>
    <row r="11248" ht="14.25" customHeight="1" x14ac:dyDescent="0.25"/>
    <row r="11249" ht="14.25" customHeight="1" x14ac:dyDescent="0.25"/>
    <row r="11250" ht="14.25" customHeight="1" x14ac:dyDescent="0.25"/>
    <row r="11251" ht="14.25" customHeight="1" x14ac:dyDescent="0.25"/>
    <row r="11252" ht="14.25" customHeight="1" x14ac:dyDescent="0.25"/>
    <row r="11253" ht="14.25" customHeight="1" x14ac:dyDescent="0.25"/>
    <row r="11254" ht="14.25" customHeight="1" x14ac:dyDescent="0.25"/>
    <row r="11255" ht="14.25" customHeight="1" x14ac:dyDescent="0.25"/>
    <row r="11256" ht="14.25" customHeight="1" x14ac:dyDescent="0.25"/>
    <row r="11257" ht="14.25" customHeight="1" x14ac:dyDescent="0.25"/>
    <row r="11258" ht="14.25" customHeight="1" x14ac:dyDescent="0.25"/>
    <row r="11259" ht="14.25" customHeight="1" x14ac:dyDescent="0.25"/>
    <row r="11260" ht="14.25" customHeight="1" x14ac:dyDescent="0.25"/>
    <row r="11261" ht="14.25" customHeight="1" x14ac:dyDescent="0.25"/>
    <row r="11262" ht="14.25" customHeight="1" x14ac:dyDescent="0.25"/>
    <row r="11263" ht="14.25" customHeight="1" x14ac:dyDescent="0.25"/>
    <row r="11264" ht="14.25" customHeight="1" x14ac:dyDescent="0.25"/>
    <row r="11265" ht="14.25" customHeight="1" x14ac:dyDescent="0.25"/>
    <row r="11266" ht="14.25" customHeight="1" x14ac:dyDescent="0.25"/>
    <row r="11267" ht="14.25" customHeight="1" x14ac:dyDescent="0.25"/>
    <row r="11268" ht="14.25" customHeight="1" x14ac:dyDescent="0.25"/>
    <row r="11269" ht="14.25" customHeight="1" x14ac:dyDescent="0.25"/>
    <row r="11270" ht="14.25" customHeight="1" x14ac:dyDescent="0.25"/>
    <row r="11271" ht="14.25" customHeight="1" x14ac:dyDescent="0.25"/>
    <row r="11272" ht="14.25" customHeight="1" x14ac:dyDescent="0.25"/>
    <row r="11273" ht="14.25" customHeight="1" x14ac:dyDescent="0.25"/>
    <row r="11274" ht="14.25" customHeight="1" x14ac:dyDescent="0.25"/>
    <row r="11275" ht="14.25" customHeight="1" x14ac:dyDescent="0.25"/>
    <row r="11276" ht="14.25" customHeight="1" x14ac:dyDescent="0.25"/>
    <row r="11277" ht="14.25" customHeight="1" x14ac:dyDescent="0.25"/>
    <row r="11278" ht="14.25" customHeight="1" x14ac:dyDescent="0.25"/>
    <row r="11279" ht="14.25" customHeight="1" x14ac:dyDescent="0.25"/>
    <row r="11280" ht="14.25" customHeight="1" x14ac:dyDescent="0.25"/>
    <row r="11281" ht="14.25" customHeight="1" x14ac:dyDescent="0.25"/>
    <row r="11282" ht="14.25" customHeight="1" x14ac:dyDescent="0.25"/>
    <row r="11283" ht="14.25" customHeight="1" x14ac:dyDescent="0.25"/>
    <row r="11284" ht="14.25" customHeight="1" x14ac:dyDescent="0.25"/>
    <row r="11285" ht="14.25" customHeight="1" x14ac:dyDescent="0.25"/>
    <row r="11286" ht="14.25" customHeight="1" x14ac:dyDescent="0.25"/>
    <row r="11287" ht="14.25" customHeight="1" x14ac:dyDescent="0.25"/>
    <row r="11288" ht="14.25" customHeight="1" x14ac:dyDescent="0.25"/>
    <row r="11289" ht="14.25" customHeight="1" x14ac:dyDescent="0.25"/>
    <row r="11290" ht="14.25" customHeight="1" x14ac:dyDescent="0.25"/>
    <row r="11291" ht="14.25" customHeight="1" x14ac:dyDescent="0.25"/>
    <row r="11292" ht="14.25" customHeight="1" x14ac:dyDescent="0.25"/>
    <row r="11293" ht="14.25" customHeight="1" x14ac:dyDescent="0.25"/>
    <row r="11294" ht="14.25" customHeight="1" x14ac:dyDescent="0.25"/>
    <row r="11295" ht="14.25" customHeight="1" x14ac:dyDescent="0.25"/>
    <row r="11296" ht="14.25" customHeight="1" x14ac:dyDescent="0.25"/>
    <row r="11297" ht="14.25" customHeight="1" x14ac:dyDescent="0.25"/>
    <row r="11298" ht="14.25" customHeight="1" x14ac:dyDescent="0.25"/>
    <row r="11299" ht="14.25" customHeight="1" x14ac:dyDescent="0.25"/>
    <row r="11300" ht="14.25" customHeight="1" x14ac:dyDescent="0.25"/>
    <row r="11301" ht="14.25" customHeight="1" x14ac:dyDescent="0.25"/>
    <row r="11302" ht="14.25" customHeight="1" x14ac:dyDescent="0.25"/>
    <row r="11303" ht="14.25" customHeight="1" x14ac:dyDescent="0.25"/>
    <row r="11304" ht="14.25" customHeight="1" x14ac:dyDescent="0.25"/>
    <row r="11305" ht="14.25" customHeight="1" x14ac:dyDescent="0.25"/>
    <row r="11306" ht="14.25" customHeight="1" x14ac:dyDescent="0.25"/>
    <row r="11307" ht="14.25" customHeight="1" x14ac:dyDescent="0.25"/>
    <row r="11308" ht="14.25" customHeight="1" x14ac:dyDescent="0.25"/>
    <row r="11309" ht="14.25" customHeight="1" x14ac:dyDescent="0.25"/>
    <row r="11310" ht="14.25" customHeight="1" x14ac:dyDescent="0.25"/>
    <row r="11311" ht="14.25" customHeight="1" x14ac:dyDescent="0.25"/>
    <row r="11312" ht="14.25" customHeight="1" x14ac:dyDescent="0.25"/>
    <row r="11313" ht="14.25" customHeight="1" x14ac:dyDescent="0.25"/>
    <row r="11314" ht="14.25" customHeight="1" x14ac:dyDescent="0.25"/>
    <row r="11315" ht="14.25" customHeight="1" x14ac:dyDescent="0.25"/>
    <row r="11316" ht="14.25" customHeight="1" x14ac:dyDescent="0.25"/>
    <row r="11317" ht="14.25" customHeight="1" x14ac:dyDescent="0.25"/>
    <row r="11318" ht="14.25" customHeight="1" x14ac:dyDescent="0.25"/>
    <row r="11319" ht="14.25" customHeight="1" x14ac:dyDescent="0.25"/>
    <row r="11320" ht="14.25" customHeight="1" x14ac:dyDescent="0.25"/>
    <row r="11321" ht="14.25" customHeight="1" x14ac:dyDescent="0.25"/>
    <row r="11322" ht="14.25" customHeight="1" x14ac:dyDescent="0.25"/>
    <row r="11323" ht="14.25" customHeight="1" x14ac:dyDescent="0.25"/>
    <row r="11324" ht="14.25" customHeight="1" x14ac:dyDescent="0.25"/>
    <row r="11325" ht="14.25" customHeight="1" x14ac:dyDescent="0.25"/>
    <row r="11326" ht="14.25" customHeight="1" x14ac:dyDescent="0.25"/>
    <row r="11327" ht="14.25" customHeight="1" x14ac:dyDescent="0.25"/>
    <row r="11328" ht="14.25" customHeight="1" x14ac:dyDescent="0.25"/>
    <row r="11329" ht="14.25" customHeight="1" x14ac:dyDescent="0.25"/>
    <row r="11330" ht="14.25" customHeight="1" x14ac:dyDescent="0.25"/>
    <row r="11331" ht="14.25" customHeight="1" x14ac:dyDescent="0.25"/>
    <row r="11332" ht="14.25" customHeight="1" x14ac:dyDescent="0.25"/>
    <row r="11333" ht="14.25" customHeight="1" x14ac:dyDescent="0.25"/>
    <row r="11334" ht="14.25" customHeight="1" x14ac:dyDescent="0.25"/>
    <row r="11335" ht="14.25" customHeight="1" x14ac:dyDescent="0.25"/>
    <row r="11336" ht="14.25" customHeight="1" x14ac:dyDescent="0.25"/>
    <row r="11337" ht="14.25" customHeight="1" x14ac:dyDescent="0.25"/>
    <row r="11338" ht="14.25" customHeight="1" x14ac:dyDescent="0.25"/>
    <row r="11339" ht="14.25" customHeight="1" x14ac:dyDescent="0.25"/>
    <row r="11340" ht="14.25" customHeight="1" x14ac:dyDescent="0.25"/>
    <row r="11341" ht="14.25" customHeight="1" x14ac:dyDescent="0.25"/>
    <row r="11342" ht="14.25" customHeight="1" x14ac:dyDescent="0.25"/>
    <row r="11343" ht="14.25" customHeight="1" x14ac:dyDescent="0.25"/>
    <row r="11344" ht="14.25" customHeight="1" x14ac:dyDescent="0.25"/>
    <row r="11345" ht="14.25" customHeight="1" x14ac:dyDescent="0.25"/>
    <row r="11346" ht="14.25" customHeight="1" x14ac:dyDescent="0.25"/>
    <row r="11347" ht="14.25" customHeight="1" x14ac:dyDescent="0.25"/>
    <row r="11348" ht="14.25" customHeight="1" x14ac:dyDescent="0.25"/>
    <row r="11349" ht="14.25" customHeight="1" x14ac:dyDescent="0.25"/>
    <row r="11350" ht="14.25" customHeight="1" x14ac:dyDescent="0.25"/>
    <row r="11351" ht="14.25" customHeight="1" x14ac:dyDescent="0.25"/>
    <row r="11352" ht="14.25" customHeight="1" x14ac:dyDescent="0.25"/>
    <row r="11353" ht="14.25" customHeight="1" x14ac:dyDescent="0.25"/>
    <row r="11354" ht="14.25" customHeight="1" x14ac:dyDescent="0.25"/>
    <row r="11355" ht="14.25" customHeight="1" x14ac:dyDescent="0.25"/>
    <row r="11356" ht="14.25" customHeight="1" x14ac:dyDescent="0.25"/>
    <row r="11357" ht="14.25" customHeight="1" x14ac:dyDescent="0.25"/>
    <row r="11358" ht="14.25" customHeight="1" x14ac:dyDescent="0.25"/>
    <row r="11359" ht="14.25" customHeight="1" x14ac:dyDescent="0.25"/>
    <row r="11360" ht="14.25" customHeight="1" x14ac:dyDescent="0.25"/>
    <row r="11361" ht="14.25" customHeight="1" x14ac:dyDescent="0.25"/>
    <row r="11362" ht="14.25" customHeight="1" x14ac:dyDescent="0.25"/>
    <row r="11363" ht="14.25" customHeight="1" x14ac:dyDescent="0.25"/>
    <row r="11364" ht="14.25" customHeight="1" x14ac:dyDescent="0.25"/>
    <row r="11365" ht="14.25" customHeight="1" x14ac:dyDescent="0.25"/>
    <row r="11366" ht="14.25" customHeight="1" x14ac:dyDescent="0.25"/>
    <row r="11367" ht="14.25" customHeight="1" x14ac:dyDescent="0.25"/>
    <row r="11368" ht="14.25" customHeight="1" x14ac:dyDescent="0.25"/>
    <row r="11369" ht="14.25" customHeight="1" x14ac:dyDescent="0.25"/>
    <row r="11370" ht="14.25" customHeight="1" x14ac:dyDescent="0.25"/>
    <row r="11371" ht="14.25" customHeight="1" x14ac:dyDescent="0.25"/>
    <row r="11372" ht="14.25" customHeight="1" x14ac:dyDescent="0.25"/>
    <row r="11373" ht="14.25" customHeight="1" x14ac:dyDescent="0.25"/>
    <row r="11374" ht="14.25" customHeight="1" x14ac:dyDescent="0.25"/>
    <row r="11375" ht="14.25" customHeight="1" x14ac:dyDescent="0.25"/>
    <row r="11376" ht="14.25" customHeight="1" x14ac:dyDescent="0.25"/>
    <row r="11377" ht="14.25" customHeight="1" x14ac:dyDescent="0.25"/>
    <row r="11378" ht="14.25" customHeight="1" x14ac:dyDescent="0.25"/>
    <row r="11379" ht="14.25" customHeight="1" x14ac:dyDescent="0.25"/>
    <row r="11380" ht="14.25" customHeight="1" x14ac:dyDescent="0.25"/>
    <row r="11381" ht="14.25" customHeight="1" x14ac:dyDescent="0.25"/>
    <row r="11382" ht="14.25" customHeight="1" x14ac:dyDescent="0.25"/>
    <row r="11383" ht="14.25" customHeight="1" x14ac:dyDescent="0.25"/>
    <row r="11384" ht="14.25" customHeight="1" x14ac:dyDescent="0.25"/>
    <row r="11385" ht="14.25" customHeight="1" x14ac:dyDescent="0.25"/>
    <row r="11386" ht="14.25" customHeight="1" x14ac:dyDescent="0.25"/>
    <row r="11387" ht="14.25" customHeight="1" x14ac:dyDescent="0.25"/>
    <row r="11388" ht="14.25" customHeight="1" x14ac:dyDescent="0.25"/>
    <row r="11389" ht="14.25" customHeight="1" x14ac:dyDescent="0.25"/>
    <row r="11390" ht="14.25" customHeight="1" x14ac:dyDescent="0.25"/>
    <row r="11391" ht="14.25" customHeight="1" x14ac:dyDescent="0.25"/>
    <row r="11392" ht="14.25" customHeight="1" x14ac:dyDescent="0.25"/>
    <row r="11393" ht="14.25" customHeight="1" x14ac:dyDescent="0.25"/>
    <row r="11394" ht="14.25" customHeight="1" x14ac:dyDescent="0.25"/>
    <row r="11395" ht="14.25" customHeight="1" x14ac:dyDescent="0.25"/>
    <row r="11396" ht="14.25" customHeight="1" x14ac:dyDescent="0.25"/>
    <row r="11397" ht="14.25" customHeight="1" x14ac:dyDescent="0.25"/>
    <row r="11398" ht="14.25" customHeight="1" x14ac:dyDescent="0.25"/>
    <row r="11399" ht="14.25" customHeight="1" x14ac:dyDescent="0.25"/>
    <row r="11400" ht="14.25" customHeight="1" x14ac:dyDescent="0.25"/>
    <row r="11401" ht="14.25" customHeight="1" x14ac:dyDescent="0.25"/>
    <row r="11402" ht="14.25" customHeight="1" x14ac:dyDescent="0.25"/>
    <row r="11403" ht="14.25" customHeight="1" x14ac:dyDescent="0.25"/>
    <row r="11404" ht="14.25" customHeight="1" x14ac:dyDescent="0.25"/>
    <row r="11405" ht="14.25" customHeight="1" x14ac:dyDescent="0.25"/>
    <row r="11406" ht="14.25" customHeight="1" x14ac:dyDescent="0.25"/>
    <row r="11407" ht="14.25" customHeight="1" x14ac:dyDescent="0.25"/>
    <row r="11408" ht="14.25" customHeight="1" x14ac:dyDescent="0.25"/>
    <row r="11409" ht="14.25" customHeight="1" x14ac:dyDescent="0.25"/>
    <row r="11410" ht="14.25" customHeight="1" x14ac:dyDescent="0.25"/>
    <row r="11411" ht="14.25" customHeight="1" x14ac:dyDescent="0.25"/>
    <row r="11412" ht="14.25" customHeight="1" x14ac:dyDescent="0.25"/>
    <row r="11413" ht="14.25" customHeight="1" x14ac:dyDescent="0.25"/>
    <row r="11414" ht="14.25" customHeight="1" x14ac:dyDescent="0.25"/>
    <row r="11415" ht="14.25" customHeight="1" x14ac:dyDescent="0.25"/>
    <row r="11416" ht="14.25" customHeight="1" x14ac:dyDescent="0.25"/>
    <row r="11417" ht="14.25" customHeight="1" x14ac:dyDescent="0.25"/>
    <row r="11418" ht="14.25" customHeight="1" x14ac:dyDescent="0.25"/>
    <row r="11419" ht="14.25" customHeight="1" x14ac:dyDescent="0.25"/>
    <row r="11420" ht="14.25" customHeight="1" x14ac:dyDescent="0.25"/>
    <row r="11421" ht="14.25" customHeight="1" x14ac:dyDescent="0.25"/>
    <row r="11422" ht="14.25" customHeight="1" x14ac:dyDescent="0.25"/>
    <row r="11423" ht="14.25" customHeight="1" x14ac:dyDescent="0.25"/>
    <row r="11424" ht="14.25" customHeight="1" x14ac:dyDescent="0.25"/>
    <row r="11425" ht="14.25" customHeight="1" x14ac:dyDescent="0.25"/>
    <row r="11426" ht="14.25" customHeight="1" x14ac:dyDescent="0.25"/>
    <row r="11427" ht="14.25" customHeight="1" x14ac:dyDescent="0.25"/>
    <row r="11428" ht="14.25" customHeight="1" x14ac:dyDescent="0.25"/>
    <row r="11429" ht="14.25" customHeight="1" x14ac:dyDescent="0.25"/>
    <row r="11430" ht="14.25" customHeight="1" x14ac:dyDescent="0.25"/>
    <row r="11431" ht="14.25" customHeight="1" x14ac:dyDescent="0.25"/>
    <row r="11432" ht="14.25" customHeight="1" x14ac:dyDescent="0.25"/>
    <row r="11433" ht="14.25" customHeight="1" x14ac:dyDescent="0.25"/>
    <row r="11434" ht="14.25" customHeight="1" x14ac:dyDescent="0.25"/>
    <row r="11435" ht="14.25" customHeight="1" x14ac:dyDescent="0.25"/>
    <row r="11436" ht="14.25" customHeight="1" x14ac:dyDescent="0.25"/>
    <row r="11437" ht="14.25" customHeight="1" x14ac:dyDescent="0.25"/>
    <row r="11438" ht="14.25" customHeight="1" x14ac:dyDescent="0.25"/>
    <row r="11439" ht="14.25" customHeight="1" x14ac:dyDescent="0.25"/>
    <row r="11440" ht="14.25" customHeight="1" x14ac:dyDescent="0.25"/>
    <row r="11441" ht="14.25" customHeight="1" x14ac:dyDescent="0.25"/>
    <row r="11442" ht="14.25" customHeight="1" x14ac:dyDescent="0.25"/>
    <row r="11443" ht="14.25" customHeight="1" x14ac:dyDescent="0.25"/>
    <row r="11444" ht="14.25" customHeight="1" x14ac:dyDescent="0.25"/>
    <row r="11445" ht="14.25" customHeight="1" x14ac:dyDescent="0.25"/>
    <row r="11446" ht="14.25" customHeight="1" x14ac:dyDescent="0.25"/>
    <row r="11447" ht="14.25" customHeight="1" x14ac:dyDescent="0.25"/>
    <row r="11448" ht="14.25" customHeight="1" x14ac:dyDescent="0.25"/>
    <row r="11449" ht="14.25" customHeight="1" x14ac:dyDescent="0.25"/>
    <row r="11450" ht="14.25" customHeight="1" x14ac:dyDescent="0.25"/>
    <row r="11451" ht="14.25" customHeight="1" x14ac:dyDescent="0.25"/>
    <row r="11452" ht="14.25" customHeight="1" x14ac:dyDescent="0.25"/>
    <row r="11453" ht="14.25" customHeight="1" x14ac:dyDescent="0.25"/>
    <row r="11454" ht="14.25" customHeight="1" x14ac:dyDescent="0.25"/>
    <row r="11455" ht="14.25" customHeight="1" x14ac:dyDescent="0.25"/>
    <row r="11456" ht="14.25" customHeight="1" x14ac:dyDescent="0.25"/>
    <row r="11457" ht="14.25" customHeight="1" x14ac:dyDescent="0.25"/>
    <row r="11458" ht="14.25" customHeight="1" x14ac:dyDescent="0.25"/>
    <row r="11459" ht="14.25" customHeight="1" x14ac:dyDescent="0.25"/>
    <row r="11460" ht="14.25" customHeight="1" x14ac:dyDescent="0.25"/>
    <row r="11461" ht="14.25" customHeight="1" x14ac:dyDescent="0.25"/>
    <row r="11462" ht="14.25" customHeight="1" x14ac:dyDescent="0.25"/>
    <row r="11463" ht="14.25" customHeight="1" x14ac:dyDescent="0.25"/>
    <row r="11464" ht="14.25" customHeight="1" x14ac:dyDescent="0.25"/>
    <row r="11465" ht="14.25" customHeight="1" x14ac:dyDescent="0.25"/>
    <row r="11466" ht="14.25" customHeight="1" x14ac:dyDescent="0.25"/>
    <row r="11467" ht="14.25" customHeight="1" x14ac:dyDescent="0.25"/>
    <row r="11468" ht="14.25" customHeight="1" x14ac:dyDescent="0.25"/>
    <row r="11469" ht="14.25" customHeight="1" x14ac:dyDescent="0.25"/>
    <row r="11470" ht="14.25" customHeight="1" x14ac:dyDescent="0.25"/>
    <row r="11471" ht="14.25" customHeight="1" x14ac:dyDescent="0.25"/>
    <row r="11472" ht="14.25" customHeight="1" x14ac:dyDescent="0.25"/>
    <row r="11473" ht="14.25" customHeight="1" x14ac:dyDescent="0.25"/>
    <row r="11474" ht="14.25" customHeight="1" x14ac:dyDescent="0.25"/>
    <row r="11475" ht="14.25" customHeight="1" x14ac:dyDescent="0.25"/>
    <row r="11476" ht="14.25" customHeight="1" x14ac:dyDescent="0.25"/>
    <row r="11477" ht="14.25" customHeight="1" x14ac:dyDescent="0.25"/>
    <row r="11478" ht="14.25" customHeight="1" x14ac:dyDescent="0.25"/>
    <row r="11479" ht="14.25" customHeight="1" x14ac:dyDescent="0.25"/>
    <row r="11480" ht="14.25" customHeight="1" x14ac:dyDescent="0.25"/>
    <row r="11481" ht="14.25" customHeight="1" x14ac:dyDescent="0.25"/>
    <row r="11482" ht="14.25" customHeight="1" x14ac:dyDescent="0.25"/>
    <row r="11483" ht="14.25" customHeight="1" x14ac:dyDescent="0.25"/>
    <row r="11484" ht="14.25" customHeight="1" x14ac:dyDescent="0.25"/>
    <row r="11485" ht="14.25" customHeight="1" x14ac:dyDescent="0.25"/>
    <row r="11486" ht="14.25" customHeight="1" x14ac:dyDescent="0.25"/>
    <row r="11487" ht="14.25" customHeight="1" x14ac:dyDescent="0.25"/>
    <row r="11488" ht="14.25" customHeight="1" x14ac:dyDescent="0.25"/>
    <row r="11489" ht="14.25" customHeight="1" x14ac:dyDescent="0.25"/>
    <row r="11490" ht="14.25" customHeight="1" x14ac:dyDescent="0.25"/>
    <row r="11491" ht="14.25" customHeight="1" x14ac:dyDescent="0.25"/>
    <row r="11492" ht="14.25" customHeight="1" x14ac:dyDescent="0.25"/>
    <row r="11493" ht="14.25" customHeight="1" x14ac:dyDescent="0.25"/>
    <row r="11494" ht="14.25" customHeight="1" x14ac:dyDescent="0.25"/>
    <row r="11495" ht="14.25" customHeight="1" x14ac:dyDescent="0.25"/>
    <row r="11496" ht="14.25" customHeight="1" x14ac:dyDescent="0.25"/>
    <row r="11497" ht="14.25" customHeight="1" x14ac:dyDescent="0.25"/>
    <row r="11498" ht="14.25" customHeight="1" x14ac:dyDescent="0.25"/>
    <row r="11499" ht="14.25" customHeight="1" x14ac:dyDescent="0.25"/>
    <row r="11500" ht="14.25" customHeight="1" x14ac:dyDescent="0.25"/>
    <row r="11501" ht="14.25" customHeight="1" x14ac:dyDescent="0.25"/>
    <row r="11502" ht="14.25" customHeight="1" x14ac:dyDescent="0.25"/>
    <row r="11503" ht="14.25" customHeight="1" x14ac:dyDescent="0.25"/>
    <row r="11504" ht="14.25" customHeight="1" x14ac:dyDescent="0.25"/>
    <row r="11505" ht="14.25" customHeight="1" x14ac:dyDescent="0.25"/>
    <row r="11506" ht="14.25" customHeight="1" x14ac:dyDescent="0.25"/>
    <row r="11507" ht="14.25" customHeight="1" x14ac:dyDescent="0.25"/>
    <row r="11508" ht="14.25" customHeight="1" x14ac:dyDescent="0.25"/>
    <row r="11509" ht="14.25" customHeight="1" x14ac:dyDescent="0.25"/>
    <row r="11510" ht="14.25" customHeight="1" x14ac:dyDescent="0.25"/>
    <row r="11511" ht="14.25" customHeight="1" x14ac:dyDescent="0.25"/>
    <row r="11512" ht="14.25" customHeight="1" x14ac:dyDescent="0.25"/>
    <row r="11513" ht="14.25" customHeight="1" x14ac:dyDescent="0.25"/>
    <row r="11514" ht="14.25" customHeight="1" x14ac:dyDescent="0.25"/>
    <row r="11515" ht="14.25" customHeight="1" x14ac:dyDescent="0.25"/>
    <row r="11516" ht="14.25" customHeight="1" x14ac:dyDescent="0.25"/>
    <row r="11517" ht="14.25" customHeight="1" x14ac:dyDescent="0.25"/>
    <row r="11518" ht="14.25" customHeight="1" x14ac:dyDescent="0.25"/>
    <row r="11519" ht="14.25" customHeight="1" x14ac:dyDescent="0.25"/>
    <row r="11520" ht="14.25" customHeight="1" x14ac:dyDescent="0.25"/>
    <row r="11521" ht="14.25" customHeight="1" x14ac:dyDescent="0.25"/>
    <row r="11522" ht="14.25" customHeight="1" x14ac:dyDescent="0.25"/>
    <row r="11523" ht="14.25" customHeight="1" x14ac:dyDescent="0.25"/>
    <row r="11524" ht="14.25" customHeight="1" x14ac:dyDescent="0.25"/>
    <row r="11525" ht="14.25" customHeight="1" x14ac:dyDescent="0.25"/>
    <row r="11526" ht="14.25" customHeight="1" x14ac:dyDescent="0.25"/>
    <row r="11527" ht="14.25" customHeight="1" x14ac:dyDescent="0.25"/>
    <row r="11528" ht="14.25" customHeight="1" x14ac:dyDescent="0.25"/>
    <row r="11529" ht="14.25" customHeight="1" x14ac:dyDescent="0.25"/>
    <row r="11530" ht="14.25" customHeight="1" x14ac:dyDescent="0.25"/>
    <row r="11531" ht="14.25" customHeight="1" x14ac:dyDescent="0.25"/>
    <row r="11532" ht="14.25" customHeight="1" x14ac:dyDescent="0.25"/>
    <row r="11533" ht="14.25" customHeight="1" x14ac:dyDescent="0.25"/>
    <row r="11534" ht="14.25" customHeight="1" x14ac:dyDescent="0.25"/>
    <row r="11535" ht="14.25" customHeight="1" x14ac:dyDescent="0.25"/>
    <row r="11536" ht="14.25" customHeight="1" x14ac:dyDescent="0.25"/>
    <row r="11537" ht="14.25" customHeight="1" x14ac:dyDescent="0.25"/>
    <row r="11538" ht="14.25" customHeight="1" x14ac:dyDescent="0.25"/>
    <row r="11539" ht="14.25" customHeight="1" x14ac:dyDescent="0.25"/>
    <row r="11540" ht="14.25" customHeight="1" x14ac:dyDescent="0.25"/>
    <row r="11541" ht="14.25" customHeight="1" x14ac:dyDescent="0.25"/>
    <row r="11542" ht="14.25" customHeight="1" x14ac:dyDescent="0.25"/>
    <row r="11543" ht="14.25" customHeight="1" x14ac:dyDescent="0.25"/>
    <row r="11544" ht="14.25" customHeight="1" x14ac:dyDescent="0.25"/>
    <row r="11545" ht="14.25" customHeight="1" x14ac:dyDescent="0.25"/>
    <row r="11546" ht="14.25" customHeight="1" x14ac:dyDescent="0.25"/>
    <row r="11547" ht="14.25" customHeight="1" x14ac:dyDescent="0.25"/>
    <row r="11548" ht="14.25" customHeight="1" x14ac:dyDescent="0.25"/>
    <row r="11549" ht="14.25" customHeight="1" x14ac:dyDescent="0.25"/>
    <row r="11550" ht="14.25" customHeight="1" x14ac:dyDescent="0.25"/>
    <row r="11551" ht="14.25" customHeight="1" x14ac:dyDescent="0.25"/>
    <row r="11552" ht="14.25" customHeight="1" x14ac:dyDescent="0.25"/>
    <row r="11553" ht="14.25" customHeight="1" x14ac:dyDescent="0.25"/>
    <row r="11554" ht="14.25" customHeight="1" x14ac:dyDescent="0.25"/>
    <row r="11555" ht="14.25" customHeight="1" x14ac:dyDescent="0.25"/>
    <row r="11556" ht="14.25" customHeight="1" x14ac:dyDescent="0.25"/>
    <row r="11557" ht="14.25" customHeight="1" x14ac:dyDescent="0.25"/>
    <row r="11558" ht="14.25" customHeight="1" x14ac:dyDescent="0.25"/>
    <row r="11559" ht="14.25" customHeight="1" x14ac:dyDescent="0.25"/>
    <row r="11560" ht="14.25" customHeight="1" x14ac:dyDescent="0.25"/>
    <row r="11561" ht="14.25" customHeight="1" x14ac:dyDescent="0.25"/>
    <row r="11562" ht="14.25" customHeight="1" x14ac:dyDescent="0.25"/>
    <row r="11563" ht="14.25" customHeight="1" x14ac:dyDescent="0.25"/>
    <row r="11564" ht="14.25" customHeight="1" x14ac:dyDescent="0.25"/>
    <row r="11565" ht="14.25" customHeight="1" x14ac:dyDescent="0.25"/>
    <row r="11566" ht="14.25" customHeight="1" x14ac:dyDescent="0.25"/>
    <row r="11567" ht="14.25" customHeight="1" x14ac:dyDescent="0.25"/>
    <row r="11568" ht="14.25" customHeight="1" x14ac:dyDescent="0.25"/>
    <row r="11569" ht="14.25" customHeight="1" x14ac:dyDescent="0.25"/>
    <row r="11570" ht="14.25" customHeight="1" x14ac:dyDescent="0.25"/>
    <row r="11571" ht="14.25" customHeight="1" x14ac:dyDescent="0.25"/>
    <row r="11572" ht="14.25" customHeight="1" x14ac:dyDescent="0.25"/>
    <row r="11573" ht="14.25" customHeight="1" x14ac:dyDescent="0.25"/>
    <row r="11574" ht="14.25" customHeight="1" x14ac:dyDescent="0.25"/>
    <row r="11575" ht="14.25" customHeight="1" x14ac:dyDescent="0.25"/>
    <row r="11576" ht="14.25" customHeight="1" x14ac:dyDescent="0.25"/>
    <row r="11577" ht="14.25" customHeight="1" x14ac:dyDescent="0.25"/>
    <row r="11578" ht="14.25" customHeight="1" x14ac:dyDescent="0.25"/>
    <row r="11579" ht="14.25" customHeight="1" x14ac:dyDescent="0.25"/>
    <row r="11580" ht="14.25" customHeight="1" x14ac:dyDescent="0.25"/>
    <row r="11581" ht="14.25" customHeight="1" x14ac:dyDescent="0.25"/>
    <row r="11582" ht="14.25" customHeight="1" x14ac:dyDescent="0.25"/>
    <row r="11583" ht="14.25" customHeight="1" x14ac:dyDescent="0.25"/>
    <row r="11584" ht="14.25" customHeight="1" x14ac:dyDescent="0.25"/>
    <row r="11585" ht="14.25" customHeight="1" x14ac:dyDescent="0.25"/>
    <row r="11586" ht="14.25" customHeight="1" x14ac:dyDescent="0.25"/>
    <row r="11587" ht="14.25" customHeight="1" x14ac:dyDescent="0.25"/>
    <row r="11588" ht="14.25" customHeight="1" x14ac:dyDescent="0.25"/>
    <row r="11589" ht="14.25" customHeight="1" x14ac:dyDescent="0.25"/>
    <row r="11590" ht="14.25" customHeight="1" x14ac:dyDescent="0.25"/>
    <row r="11591" ht="14.25" customHeight="1" x14ac:dyDescent="0.25"/>
    <row r="11592" ht="14.25" customHeight="1" x14ac:dyDescent="0.25"/>
    <row r="11593" ht="14.25" customHeight="1" x14ac:dyDescent="0.25"/>
    <row r="11594" ht="14.25" customHeight="1" x14ac:dyDescent="0.25"/>
    <row r="11595" ht="14.25" customHeight="1" x14ac:dyDescent="0.25"/>
    <row r="11596" ht="14.25" customHeight="1" x14ac:dyDescent="0.25"/>
    <row r="11597" ht="14.25" customHeight="1" x14ac:dyDescent="0.25"/>
    <row r="11598" ht="14.25" customHeight="1" x14ac:dyDescent="0.25"/>
    <row r="11599" ht="14.25" customHeight="1" x14ac:dyDescent="0.25"/>
    <row r="11600" ht="14.25" customHeight="1" x14ac:dyDescent="0.25"/>
    <row r="11601" ht="14.25" customHeight="1" x14ac:dyDescent="0.25"/>
    <row r="11602" ht="14.25" customHeight="1" x14ac:dyDescent="0.25"/>
    <row r="11603" ht="14.25" customHeight="1" x14ac:dyDescent="0.25"/>
    <row r="11604" ht="14.25" customHeight="1" x14ac:dyDescent="0.25"/>
    <row r="11605" ht="14.25" customHeight="1" x14ac:dyDescent="0.25"/>
    <row r="11606" ht="14.25" customHeight="1" x14ac:dyDescent="0.25"/>
    <row r="11607" ht="14.25" customHeight="1" x14ac:dyDescent="0.25"/>
    <row r="11608" ht="14.25" customHeight="1" x14ac:dyDescent="0.25"/>
    <row r="11609" ht="14.25" customHeight="1" x14ac:dyDescent="0.25"/>
    <row r="11610" ht="14.25" customHeight="1" x14ac:dyDescent="0.25"/>
    <row r="11611" ht="14.25" customHeight="1" x14ac:dyDescent="0.25"/>
    <row r="11612" ht="14.25" customHeight="1" x14ac:dyDescent="0.25"/>
    <row r="11613" ht="14.25" customHeight="1" x14ac:dyDescent="0.25"/>
    <row r="11614" ht="14.25" customHeight="1" x14ac:dyDescent="0.25"/>
    <row r="11615" ht="14.25" customHeight="1" x14ac:dyDescent="0.25"/>
    <row r="11616" ht="14.25" customHeight="1" x14ac:dyDescent="0.25"/>
    <row r="11617" ht="14.25" customHeight="1" x14ac:dyDescent="0.25"/>
    <row r="11618" ht="14.25" customHeight="1" x14ac:dyDescent="0.25"/>
    <row r="11619" ht="14.25" customHeight="1" x14ac:dyDescent="0.25"/>
    <row r="11620" ht="14.25" customHeight="1" x14ac:dyDescent="0.25"/>
    <row r="11621" ht="14.25" customHeight="1" x14ac:dyDescent="0.25"/>
    <row r="11622" ht="14.25" customHeight="1" x14ac:dyDescent="0.25"/>
    <row r="11623" ht="14.25" customHeight="1" x14ac:dyDescent="0.25"/>
    <row r="11624" ht="14.25" customHeight="1" x14ac:dyDescent="0.25"/>
    <row r="11625" ht="14.25" customHeight="1" x14ac:dyDescent="0.25"/>
    <row r="11626" ht="14.25" customHeight="1" x14ac:dyDescent="0.25"/>
    <row r="11627" ht="14.25" customHeight="1" x14ac:dyDescent="0.25"/>
    <row r="11628" ht="14.25" customHeight="1" x14ac:dyDescent="0.25"/>
    <row r="11629" ht="14.25" customHeight="1" x14ac:dyDescent="0.25"/>
    <row r="11630" ht="14.25" customHeight="1" x14ac:dyDescent="0.25"/>
    <row r="11631" ht="14.25" customHeight="1" x14ac:dyDescent="0.25"/>
    <row r="11632" ht="14.25" customHeight="1" x14ac:dyDescent="0.25"/>
    <row r="11633" ht="14.25" customHeight="1" x14ac:dyDescent="0.25"/>
    <row r="11634" ht="14.25" customHeight="1" x14ac:dyDescent="0.25"/>
    <row r="11635" ht="14.25" customHeight="1" x14ac:dyDescent="0.25"/>
    <row r="11636" ht="14.25" customHeight="1" x14ac:dyDescent="0.25"/>
    <row r="11637" ht="14.25" customHeight="1" x14ac:dyDescent="0.25"/>
    <row r="11638" ht="14.25" customHeight="1" x14ac:dyDescent="0.25"/>
    <row r="11639" ht="14.25" customHeight="1" x14ac:dyDescent="0.25"/>
    <row r="11640" ht="14.25" customHeight="1" x14ac:dyDescent="0.25"/>
    <row r="11641" ht="14.25" customHeight="1" x14ac:dyDescent="0.25"/>
    <row r="11642" ht="14.25" customHeight="1" x14ac:dyDescent="0.25"/>
    <row r="11643" ht="14.25" customHeight="1" x14ac:dyDescent="0.25"/>
    <row r="11644" ht="14.25" customHeight="1" x14ac:dyDescent="0.25"/>
    <row r="11645" ht="14.25" customHeight="1" x14ac:dyDescent="0.25"/>
    <row r="11646" ht="14.25" customHeight="1" x14ac:dyDescent="0.25"/>
    <row r="11647" ht="14.25" customHeight="1" x14ac:dyDescent="0.25"/>
    <row r="11648" ht="14.25" customHeight="1" x14ac:dyDescent="0.25"/>
    <row r="11649" ht="14.25" customHeight="1" x14ac:dyDescent="0.25"/>
    <row r="11650" ht="14.25" customHeight="1" x14ac:dyDescent="0.25"/>
    <row r="11651" ht="14.25" customHeight="1" x14ac:dyDescent="0.25"/>
    <row r="11652" ht="14.25" customHeight="1" x14ac:dyDescent="0.25"/>
    <row r="11653" ht="14.25" customHeight="1" x14ac:dyDescent="0.25"/>
    <row r="11654" ht="14.25" customHeight="1" x14ac:dyDescent="0.25"/>
    <row r="11655" ht="14.25" customHeight="1" x14ac:dyDescent="0.25"/>
    <row r="11656" ht="14.25" customHeight="1" x14ac:dyDescent="0.25"/>
    <row r="11657" ht="14.25" customHeight="1" x14ac:dyDescent="0.25"/>
    <row r="11658" ht="14.25" customHeight="1" x14ac:dyDescent="0.25"/>
    <row r="11659" ht="14.25" customHeight="1" x14ac:dyDescent="0.25"/>
    <row r="11660" ht="14.25" customHeight="1" x14ac:dyDescent="0.25"/>
    <row r="11661" ht="14.25" customHeight="1" x14ac:dyDescent="0.25"/>
    <row r="11662" ht="14.25" customHeight="1" x14ac:dyDescent="0.25"/>
    <row r="11663" ht="14.25" customHeight="1" x14ac:dyDescent="0.25"/>
    <row r="11664" ht="14.25" customHeight="1" x14ac:dyDescent="0.25"/>
    <row r="11665" ht="14.25" customHeight="1" x14ac:dyDescent="0.25"/>
    <row r="11666" ht="14.25" customHeight="1" x14ac:dyDescent="0.25"/>
    <row r="11667" ht="14.25" customHeight="1" x14ac:dyDescent="0.25"/>
    <row r="11668" ht="14.25" customHeight="1" x14ac:dyDescent="0.25"/>
    <row r="11669" ht="14.25" customHeight="1" x14ac:dyDescent="0.25"/>
    <row r="11670" ht="14.25" customHeight="1" x14ac:dyDescent="0.25"/>
    <row r="11671" ht="14.25" customHeight="1" x14ac:dyDescent="0.25"/>
    <row r="11672" ht="14.25" customHeight="1" x14ac:dyDescent="0.25"/>
    <row r="11673" ht="14.25" customHeight="1" x14ac:dyDescent="0.25"/>
    <row r="11674" ht="14.25" customHeight="1" x14ac:dyDescent="0.25"/>
    <row r="11675" ht="14.25" customHeight="1" x14ac:dyDescent="0.25"/>
    <row r="11676" ht="14.25" customHeight="1" x14ac:dyDescent="0.25"/>
    <row r="11677" ht="14.25" customHeight="1" x14ac:dyDescent="0.25"/>
    <row r="11678" ht="14.25" customHeight="1" x14ac:dyDescent="0.25"/>
    <row r="11679" ht="14.25" customHeight="1" x14ac:dyDescent="0.25"/>
    <row r="11680" ht="14.25" customHeight="1" x14ac:dyDescent="0.25"/>
    <row r="11681" ht="14.25" customHeight="1" x14ac:dyDescent="0.25"/>
    <row r="11682" ht="14.25" customHeight="1" x14ac:dyDescent="0.25"/>
    <row r="11683" ht="14.25" customHeight="1" x14ac:dyDescent="0.25"/>
    <row r="11684" ht="14.25" customHeight="1" x14ac:dyDescent="0.25"/>
    <row r="11685" ht="14.25" customHeight="1" x14ac:dyDescent="0.25"/>
    <row r="11686" ht="14.25" customHeight="1" x14ac:dyDescent="0.25"/>
    <row r="11687" ht="14.25" customHeight="1" x14ac:dyDescent="0.25"/>
    <row r="11688" ht="14.25" customHeight="1" x14ac:dyDescent="0.25"/>
    <row r="11689" ht="14.25" customHeight="1" x14ac:dyDescent="0.25"/>
    <row r="11690" ht="14.25" customHeight="1" x14ac:dyDescent="0.25"/>
    <row r="11691" ht="14.25" customHeight="1" x14ac:dyDescent="0.25"/>
    <row r="11692" ht="14.25" customHeight="1" x14ac:dyDescent="0.25"/>
    <row r="11693" ht="14.25" customHeight="1" x14ac:dyDescent="0.25"/>
    <row r="11694" ht="14.25" customHeight="1" x14ac:dyDescent="0.25"/>
    <row r="11695" ht="14.25" customHeight="1" x14ac:dyDescent="0.25"/>
    <row r="11696" ht="14.25" customHeight="1" x14ac:dyDescent="0.25"/>
    <row r="11697" ht="14.25" customHeight="1" x14ac:dyDescent="0.25"/>
    <row r="11698" ht="14.25" customHeight="1" x14ac:dyDescent="0.25"/>
    <row r="11699" ht="14.25" customHeight="1" x14ac:dyDescent="0.25"/>
    <row r="11700" ht="14.25" customHeight="1" x14ac:dyDescent="0.25"/>
    <row r="11701" ht="14.25" customHeight="1" x14ac:dyDescent="0.25"/>
    <row r="11702" ht="14.25" customHeight="1" x14ac:dyDescent="0.25"/>
    <row r="11703" ht="14.25" customHeight="1" x14ac:dyDescent="0.25"/>
    <row r="11704" ht="14.25" customHeight="1" x14ac:dyDescent="0.25"/>
    <row r="11705" ht="14.25" customHeight="1" x14ac:dyDescent="0.25"/>
    <row r="11706" ht="14.25" customHeight="1" x14ac:dyDescent="0.25"/>
    <row r="11707" ht="14.25" customHeight="1" x14ac:dyDescent="0.25"/>
    <row r="11708" ht="14.25" customHeight="1" x14ac:dyDescent="0.25"/>
    <row r="11709" ht="14.25" customHeight="1" x14ac:dyDescent="0.25"/>
    <row r="11710" ht="14.25" customHeight="1" x14ac:dyDescent="0.25"/>
    <row r="11711" ht="14.25" customHeight="1" x14ac:dyDescent="0.25"/>
    <row r="11712" ht="14.25" customHeight="1" x14ac:dyDescent="0.25"/>
    <row r="11713" ht="14.25" customHeight="1" x14ac:dyDescent="0.25"/>
    <row r="11714" ht="14.25" customHeight="1" x14ac:dyDescent="0.25"/>
    <row r="11715" ht="14.25" customHeight="1" x14ac:dyDescent="0.25"/>
    <row r="11716" ht="14.25" customHeight="1" x14ac:dyDescent="0.25"/>
    <row r="11717" ht="14.25" customHeight="1" x14ac:dyDescent="0.25"/>
    <row r="11718" ht="14.25" customHeight="1" x14ac:dyDescent="0.25"/>
    <row r="11719" ht="14.25" customHeight="1" x14ac:dyDescent="0.25"/>
    <row r="11720" ht="14.25" customHeight="1" x14ac:dyDescent="0.25"/>
    <row r="11721" ht="14.25" customHeight="1" x14ac:dyDescent="0.25"/>
    <row r="11722" ht="14.25" customHeight="1" x14ac:dyDescent="0.25"/>
    <row r="11723" ht="14.25" customHeight="1" x14ac:dyDescent="0.25"/>
    <row r="11724" ht="14.25" customHeight="1" x14ac:dyDescent="0.25"/>
    <row r="11725" ht="14.25" customHeight="1" x14ac:dyDescent="0.25"/>
    <row r="11726" ht="14.25" customHeight="1" x14ac:dyDescent="0.25"/>
    <row r="11727" ht="14.25" customHeight="1" x14ac:dyDescent="0.25"/>
    <row r="11728" ht="14.25" customHeight="1" x14ac:dyDescent="0.25"/>
    <row r="11729" ht="14.25" customHeight="1" x14ac:dyDescent="0.25"/>
    <row r="11730" ht="14.25" customHeight="1" x14ac:dyDescent="0.25"/>
    <row r="11731" ht="14.25" customHeight="1" x14ac:dyDescent="0.25"/>
    <row r="11732" ht="14.25" customHeight="1" x14ac:dyDescent="0.25"/>
    <row r="11733" ht="14.25" customHeight="1" x14ac:dyDescent="0.25"/>
    <row r="11734" ht="14.25" customHeight="1" x14ac:dyDescent="0.25"/>
    <row r="11735" ht="14.25" customHeight="1" x14ac:dyDescent="0.25"/>
    <row r="11736" ht="14.25" customHeight="1" x14ac:dyDescent="0.25"/>
    <row r="11737" ht="14.25" customHeight="1" x14ac:dyDescent="0.25"/>
    <row r="11738" ht="14.25" customHeight="1" x14ac:dyDescent="0.25"/>
    <row r="11739" ht="14.25" customHeight="1" x14ac:dyDescent="0.25"/>
    <row r="11740" ht="14.25" customHeight="1" x14ac:dyDescent="0.25"/>
    <row r="11741" ht="14.25" customHeight="1" x14ac:dyDescent="0.25"/>
    <row r="11742" ht="14.25" customHeight="1" x14ac:dyDescent="0.25"/>
    <row r="11743" ht="14.25" customHeight="1" x14ac:dyDescent="0.25"/>
    <row r="11744" ht="14.25" customHeight="1" x14ac:dyDescent="0.25"/>
    <row r="11745" ht="14.25" customHeight="1" x14ac:dyDescent="0.25"/>
    <row r="11746" ht="14.25" customHeight="1" x14ac:dyDescent="0.25"/>
    <row r="11747" ht="14.25" customHeight="1" x14ac:dyDescent="0.25"/>
    <row r="11748" ht="14.25" customHeight="1" x14ac:dyDescent="0.25"/>
    <row r="11749" ht="14.25" customHeight="1" x14ac:dyDescent="0.25"/>
    <row r="11750" ht="14.25" customHeight="1" x14ac:dyDescent="0.25"/>
    <row r="11751" ht="14.25" customHeight="1" x14ac:dyDescent="0.25"/>
    <row r="11752" ht="14.25" customHeight="1" x14ac:dyDescent="0.25"/>
    <row r="11753" ht="14.25" customHeight="1" x14ac:dyDescent="0.25"/>
    <row r="11754" ht="14.25" customHeight="1" x14ac:dyDescent="0.25"/>
    <row r="11755" ht="14.25" customHeight="1" x14ac:dyDescent="0.25"/>
    <row r="11756" ht="14.25" customHeight="1" x14ac:dyDescent="0.25"/>
    <row r="11757" ht="14.25" customHeight="1" x14ac:dyDescent="0.25"/>
    <row r="11758" ht="14.25" customHeight="1" x14ac:dyDescent="0.25"/>
    <row r="11759" ht="14.25" customHeight="1" x14ac:dyDescent="0.25"/>
    <row r="11760" ht="14.25" customHeight="1" x14ac:dyDescent="0.25"/>
    <row r="11761" ht="14.25" customHeight="1" x14ac:dyDescent="0.25"/>
    <row r="11762" ht="14.25" customHeight="1" x14ac:dyDescent="0.25"/>
    <row r="11763" ht="14.25" customHeight="1" x14ac:dyDescent="0.25"/>
    <row r="11764" ht="14.25" customHeight="1" x14ac:dyDescent="0.25"/>
    <row r="11765" ht="14.25" customHeight="1" x14ac:dyDescent="0.25"/>
    <row r="11766" ht="14.25" customHeight="1" x14ac:dyDescent="0.25"/>
    <row r="11767" ht="14.25" customHeight="1" x14ac:dyDescent="0.25"/>
    <row r="11768" ht="14.25" customHeight="1" x14ac:dyDescent="0.25"/>
    <row r="11769" ht="14.25" customHeight="1" x14ac:dyDescent="0.25"/>
    <row r="11770" ht="14.25" customHeight="1" x14ac:dyDescent="0.25"/>
    <row r="11771" ht="14.25" customHeight="1" x14ac:dyDescent="0.25"/>
    <row r="11772" ht="14.25" customHeight="1" x14ac:dyDescent="0.25"/>
    <row r="11773" ht="14.25" customHeight="1" x14ac:dyDescent="0.25"/>
    <row r="11774" ht="14.25" customHeight="1" x14ac:dyDescent="0.25"/>
    <row r="11775" ht="14.25" customHeight="1" x14ac:dyDescent="0.25"/>
    <row r="11776" ht="14.25" customHeight="1" x14ac:dyDescent="0.25"/>
    <row r="11777" ht="14.25" customHeight="1" x14ac:dyDescent="0.25"/>
    <row r="11778" ht="14.25" customHeight="1" x14ac:dyDescent="0.25"/>
    <row r="11779" ht="14.25" customHeight="1" x14ac:dyDescent="0.25"/>
    <row r="11780" ht="14.25" customHeight="1" x14ac:dyDescent="0.25"/>
    <row r="11781" ht="14.25" customHeight="1" x14ac:dyDescent="0.25"/>
    <row r="11782" ht="14.25" customHeight="1" x14ac:dyDescent="0.25"/>
    <row r="11783" ht="14.25" customHeight="1" x14ac:dyDescent="0.25"/>
    <row r="11784" ht="14.25" customHeight="1" x14ac:dyDescent="0.25"/>
    <row r="11785" ht="14.25" customHeight="1" x14ac:dyDescent="0.25"/>
    <row r="11786" ht="14.25" customHeight="1" x14ac:dyDescent="0.25"/>
    <row r="11787" ht="14.25" customHeight="1" x14ac:dyDescent="0.25"/>
    <row r="11788" ht="14.25" customHeight="1" x14ac:dyDescent="0.25"/>
    <row r="11789" ht="14.25" customHeight="1" x14ac:dyDescent="0.25"/>
    <row r="11790" ht="14.25" customHeight="1" x14ac:dyDescent="0.25"/>
    <row r="11791" ht="14.25" customHeight="1" x14ac:dyDescent="0.25"/>
    <row r="11792" ht="14.25" customHeight="1" x14ac:dyDescent="0.25"/>
    <row r="11793" ht="14.25" customHeight="1" x14ac:dyDescent="0.25"/>
    <row r="11794" ht="14.25" customHeight="1" x14ac:dyDescent="0.25"/>
    <row r="11795" ht="14.25" customHeight="1" x14ac:dyDescent="0.25"/>
    <row r="11796" ht="14.25" customHeight="1" x14ac:dyDescent="0.25"/>
    <row r="11797" ht="14.25" customHeight="1" x14ac:dyDescent="0.25"/>
    <row r="11798" ht="14.25" customHeight="1" x14ac:dyDescent="0.25"/>
    <row r="11799" ht="14.25" customHeight="1" x14ac:dyDescent="0.25"/>
    <row r="11800" ht="14.25" customHeight="1" x14ac:dyDescent="0.25"/>
    <row r="11801" ht="14.25" customHeight="1" x14ac:dyDescent="0.25"/>
    <row r="11802" ht="14.25" customHeight="1" x14ac:dyDescent="0.25"/>
    <row r="11803" ht="14.25" customHeight="1" x14ac:dyDescent="0.25"/>
    <row r="11804" ht="14.25" customHeight="1" x14ac:dyDescent="0.25"/>
    <row r="11805" ht="14.25" customHeight="1" x14ac:dyDescent="0.25"/>
    <row r="11806" ht="14.25" customHeight="1" x14ac:dyDescent="0.25"/>
    <row r="11807" ht="14.25" customHeight="1" x14ac:dyDescent="0.25"/>
    <row r="11808" ht="14.25" customHeight="1" x14ac:dyDescent="0.25"/>
    <row r="11809" ht="14.25" customHeight="1" x14ac:dyDescent="0.25"/>
    <row r="11810" ht="14.25" customHeight="1" x14ac:dyDescent="0.25"/>
    <row r="11811" ht="14.25" customHeight="1" x14ac:dyDescent="0.25"/>
    <row r="11812" ht="14.25" customHeight="1" x14ac:dyDescent="0.25"/>
    <row r="11813" ht="14.25" customHeight="1" x14ac:dyDescent="0.25"/>
    <row r="11814" ht="14.25" customHeight="1" x14ac:dyDescent="0.25"/>
    <row r="11815" ht="14.25" customHeight="1" x14ac:dyDescent="0.25"/>
    <row r="11816" ht="14.25" customHeight="1" x14ac:dyDescent="0.25"/>
    <row r="11817" ht="14.25" customHeight="1" x14ac:dyDescent="0.25"/>
    <row r="11818" ht="14.25" customHeight="1" x14ac:dyDescent="0.25"/>
    <row r="11819" ht="14.25" customHeight="1" x14ac:dyDescent="0.25"/>
    <row r="11820" ht="14.25" customHeight="1" x14ac:dyDescent="0.25"/>
    <row r="11821" ht="14.25" customHeight="1" x14ac:dyDescent="0.25"/>
    <row r="11822" ht="14.25" customHeight="1" x14ac:dyDescent="0.25"/>
    <row r="11823" ht="14.25" customHeight="1" x14ac:dyDescent="0.25"/>
    <row r="11824" ht="14.25" customHeight="1" x14ac:dyDescent="0.25"/>
    <row r="11825" ht="14.25" customHeight="1" x14ac:dyDescent="0.25"/>
    <row r="11826" ht="14.25" customHeight="1" x14ac:dyDescent="0.25"/>
    <row r="11827" ht="14.25" customHeight="1" x14ac:dyDescent="0.25"/>
    <row r="11828" ht="14.25" customHeight="1" x14ac:dyDescent="0.25"/>
    <row r="11829" ht="14.25" customHeight="1" x14ac:dyDescent="0.25"/>
    <row r="11830" ht="14.25" customHeight="1" x14ac:dyDescent="0.25"/>
    <row r="11831" ht="14.25" customHeight="1" x14ac:dyDescent="0.25"/>
    <row r="11832" ht="14.25" customHeight="1" x14ac:dyDescent="0.25"/>
    <row r="11833" ht="14.25" customHeight="1" x14ac:dyDescent="0.25"/>
    <row r="11834" ht="14.25" customHeight="1" x14ac:dyDescent="0.25"/>
    <row r="11835" ht="14.25" customHeight="1" x14ac:dyDescent="0.25"/>
    <row r="11836" ht="14.25" customHeight="1" x14ac:dyDescent="0.25"/>
    <row r="11837" ht="14.25" customHeight="1" x14ac:dyDescent="0.25"/>
    <row r="11838" ht="14.25" customHeight="1" x14ac:dyDescent="0.25"/>
    <row r="11839" ht="14.25" customHeight="1" x14ac:dyDescent="0.25"/>
    <row r="11840" ht="14.25" customHeight="1" x14ac:dyDescent="0.25"/>
    <row r="11841" ht="14.25" customHeight="1" x14ac:dyDescent="0.25"/>
    <row r="11842" ht="14.25" customHeight="1" x14ac:dyDescent="0.25"/>
    <row r="11843" ht="14.25" customHeight="1" x14ac:dyDescent="0.25"/>
    <row r="11844" ht="14.25" customHeight="1" x14ac:dyDescent="0.25"/>
    <row r="11845" ht="14.25" customHeight="1" x14ac:dyDescent="0.25"/>
    <row r="11846" ht="14.25" customHeight="1" x14ac:dyDescent="0.25"/>
    <row r="11847" ht="14.25" customHeight="1" x14ac:dyDescent="0.25"/>
    <row r="11848" ht="14.25" customHeight="1" x14ac:dyDescent="0.25"/>
    <row r="11849" ht="14.25" customHeight="1" x14ac:dyDescent="0.25"/>
    <row r="11850" ht="14.25" customHeight="1" x14ac:dyDescent="0.25"/>
    <row r="11851" ht="14.25" customHeight="1" x14ac:dyDescent="0.25"/>
    <row r="11852" ht="14.25" customHeight="1" x14ac:dyDescent="0.25"/>
    <row r="11853" ht="14.25" customHeight="1" x14ac:dyDescent="0.25"/>
    <row r="11854" ht="14.25" customHeight="1" x14ac:dyDescent="0.25"/>
    <row r="11855" ht="14.25" customHeight="1" x14ac:dyDescent="0.25"/>
    <row r="11856" ht="14.25" customHeight="1" x14ac:dyDescent="0.25"/>
    <row r="11857" ht="14.25" customHeight="1" x14ac:dyDescent="0.25"/>
    <row r="11858" ht="14.25" customHeight="1" x14ac:dyDescent="0.25"/>
    <row r="11859" ht="14.25" customHeight="1" x14ac:dyDescent="0.25"/>
    <row r="11860" ht="14.25" customHeight="1" x14ac:dyDescent="0.25"/>
    <row r="11861" ht="14.25" customHeight="1" x14ac:dyDescent="0.25"/>
    <row r="11862" ht="14.25" customHeight="1" x14ac:dyDescent="0.25"/>
    <row r="11863" ht="14.25" customHeight="1" x14ac:dyDescent="0.25"/>
    <row r="11864" ht="14.25" customHeight="1" x14ac:dyDescent="0.25"/>
    <row r="11865" ht="14.25" customHeight="1" x14ac:dyDescent="0.25"/>
    <row r="11866" ht="14.25" customHeight="1" x14ac:dyDescent="0.25"/>
    <row r="11867" ht="14.25" customHeight="1" x14ac:dyDescent="0.25"/>
    <row r="11868" ht="14.25" customHeight="1" x14ac:dyDescent="0.25"/>
    <row r="11869" ht="14.25" customHeight="1" x14ac:dyDescent="0.25"/>
    <row r="11870" ht="14.25" customHeight="1" x14ac:dyDescent="0.25"/>
    <row r="11871" ht="14.25" customHeight="1" x14ac:dyDescent="0.25"/>
    <row r="11872" ht="14.25" customHeight="1" x14ac:dyDescent="0.25"/>
    <row r="11873" ht="14.25" customHeight="1" x14ac:dyDescent="0.25"/>
    <row r="11874" ht="14.25" customHeight="1" x14ac:dyDescent="0.25"/>
    <row r="11875" ht="14.25" customHeight="1" x14ac:dyDescent="0.25"/>
    <row r="11876" ht="14.25" customHeight="1" x14ac:dyDescent="0.25"/>
    <row r="11877" ht="14.25" customHeight="1" x14ac:dyDescent="0.25"/>
    <row r="11878" ht="14.25" customHeight="1" x14ac:dyDescent="0.25"/>
    <row r="11879" ht="14.25" customHeight="1" x14ac:dyDescent="0.25"/>
    <row r="11880" ht="14.25" customHeight="1" x14ac:dyDescent="0.25"/>
    <row r="11881" ht="14.25" customHeight="1" x14ac:dyDescent="0.25"/>
    <row r="11882" ht="14.25" customHeight="1" x14ac:dyDescent="0.25"/>
    <row r="11883" ht="14.25" customHeight="1" x14ac:dyDescent="0.25"/>
    <row r="11884" ht="14.25" customHeight="1" x14ac:dyDescent="0.25"/>
    <row r="11885" ht="14.25" customHeight="1" x14ac:dyDescent="0.25"/>
    <row r="11886" ht="14.25" customHeight="1" x14ac:dyDescent="0.25"/>
    <row r="11887" ht="14.25" customHeight="1" x14ac:dyDescent="0.25"/>
    <row r="11888" ht="14.25" customHeight="1" x14ac:dyDescent="0.25"/>
    <row r="11889" ht="14.25" customHeight="1" x14ac:dyDescent="0.25"/>
    <row r="11890" ht="14.25" customHeight="1" x14ac:dyDescent="0.25"/>
    <row r="11891" ht="14.25" customHeight="1" x14ac:dyDescent="0.25"/>
    <row r="11892" ht="14.25" customHeight="1" x14ac:dyDescent="0.25"/>
    <row r="11893" ht="14.25" customHeight="1" x14ac:dyDescent="0.25"/>
    <row r="11894" ht="14.25" customHeight="1" x14ac:dyDescent="0.25"/>
    <row r="11895" ht="14.25" customHeight="1" x14ac:dyDescent="0.25"/>
    <row r="11896" ht="14.25" customHeight="1" x14ac:dyDescent="0.25"/>
    <row r="11897" ht="14.25" customHeight="1" x14ac:dyDescent="0.25"/>
    <row r="11898" ht="14.25" customHeight="1" x14ac:dyDescent="0.25"/>
    <row r="11899" ht="14.25" customHeight="1" x14ac:dyDescent="0.25"/>
    <row r="11900" ht="14.25" customHeight="1" x14ac:dyDescent="0.25"/>
    <row r="11901" ht="14.25" customHeight="1" x14ac:dyDescent="0.25"/>
    <row r="11902" ht="14.25" customHeight="1" x14ac:dyDescent="0.25"/>
    <row r="11903" ht="14.25" customHeight="1" x14ac:dyDescent="0.25"/>
    <row r="11904" ht="14.25" customHeight="1" x14ac:dyDescent="0.25"/>
    <row r="11905" ht="14.25" customHeight="1" x14ac:dyDescent="0.25"/>
    <row r="11906" ht="14.25" customHeight="1" x14ac:dyDescent="0.25"/>
    <row r="11907" ht="14.25" customHeight="1" x14ac:dyDescent="0.25"/>
    <row r="11908" ht="14.25" customHeight="1" x14ac:dyDescent="0.25"/>
    <row r="11909" ht="14.25" customHeight="1" x14ac:dyDescent="0.25"/>
    <row r="11910" ht="14.25" customHeight="1" x14ac:dyDescent="0.25"/>
    <row r="11911" ht="14.25" customHeight="1" x14ac:dyDescent="0.25"/>
    <row r="11912" ht="14.25" customHeight="1" x14ac:dyDescent="0.25"/>
    <row r="11913" ht="14.25" customHeight="1" x14ac:dyDescent="0.25"/>
    <row r="11914" ht="14.25" customHeight="1" x14ac:dyDescent="0.25"/>
    <row r="11915" ht="14.25" customHeight="1" x14ac:dyDescent="0.25"/>
    <row r="11916" ht="14.25" customHeight="1" x14ac:dyDescent="0.25"/>
    <row r="11917" ht="14.25" customHeight="1" x14ac:dyDescent="0.25"/>
    <row r="11918" ht="14.25" customHeight="1" x14ac:dyDescent="0.25"/>
    <row r="11919" ht="14.25" customHeight="1" x14ac:dyDescent="0.25"/>
    <row r="11920" ht="14.25" customHeight="1" x14ac:dyDescent="0.25"/>
    <row r="11921" ht="14.25" customHeight="1" x14ac:dyDescent="0.25"/>
    <row r="11922" ht="14.25" customHeight="1" x14ac:dyDescent="0.25"/>
    <row r="11923" ht="14.25" customHeight="1" x14ac:dyDescent="0.25"/>
    <row r="11924" ht="14.25" customHeight="1" x14ac:dyDescent="0.25"/>
    <row r="11925" ht="14.25" customHeight="1" x14ac:dyDescent="0.25"/>
    <row r="11926" ht="14.25" customHeight="1" x14ac:dyDescent="0.25"/>
    <row r="11927" ht="14.25" customHeight="1" x14ac:dyDescent="0.25"/>
    <row r="11928" ht="14.25" customHeight="1" x14ac:dyDescent="0.25"/>
    <row r="11929" ht="14.25" customHeight="1" x14ac:dyDescent="0.25"/>
    <row r="11930" ht="14.25" customHeight="1" x14ac:dyDescent="0.25"/>
    <row r="11931" ht="14.25" customHeight="1" x14ac:dyDescent="0.25"/>
    <row r="11932" ht="14.25" customHeight="1" x14ac:dyDescent="0.25"/>
    <row r="11933" ht="14.25" customHeight="1" x14ac:dyDescent="0.25"/>
    <row r="11934" ht="14.25" customHeight="1" x14ac:dyDescent="0.25"/>
    <row r="11935" ht="14.25" customHeight="1" x14ac:dyDescent="0.25"/>
    <row r="11936" ht="14.25" customHeight="1" x14ac:dyDescent="0.25"/>
    <row r="11937" ht="14.25" customHeight="1" x14ac:dyDescent="0.25"/>
    <row r="11938" ht="14.25" customHeight="1" x14ac:dyDescent="0.25"/>
    <row r="11939" ht="14.25" customHeight="1" x14ac:dyDescent="0.25"/>
    <row r="11940" ht="14.25" customHeight="1" x14ac:dyDescent="0.25"/>
    <row r="11941" ht="14.25" customHeight="1" x14ac:dyDescent="0.25"/>
    <row r="11942" ht="14.25" customHeight="1" x14ac:dyDescent="0.25"/>
    <row r="11943" ht="14.25" customHeight="1" x14ac:dyDescent="0.25"/>
    <row r="11944" ht="14.25" customHeight="1" x14ac:dyDescent="0.25"/>
    <row r="11945" ht="14.25" customHeight="1" x14ac:dyDescent="0.25"/>
    <row r="11946" ht="14.25" customHeight="1" x14ac:dyDescent="0.25"/>
    <row r="11947" ht="14.25" customHeight="1" x14ac:dyDescent="0.25"/>
    <row r="11948" ht="14.25" customHeight="1" x14ac:dyDescent="0.25"/>
    <row r="11949" ht="14.25" customHeight="1" x14ac:dyDescent="0.25"/>
    <row r="11950" ht="14.25" customHeight="1" x14ac:dyDescent="0.25"/>
    <row r="11951" ht="14.25" customHeight="1" x14ac:dyDescent="0.25"/>
    <row r="11952" ht="14.25" customHeight="1" x14ac:dyDescent="0.25"/>
    <row r="11953" ht="14.25" customHeight="1" x14ac:dyDescent="0.25"/>
    <row r="11954" ht="14.25" customHeight="1" x14ac:dyDescent="0.25"/>
    <row r="11955" ht="14.25" customHeight="1" x14ac:dyDescent="0.25"/>
    <row r="11956" ht="14.25" customHeight="1" x14ac:dyDescent="0.25"/>
    <row r="11957" ht="14.25" customHeight="1" x14ac:dyDescent="0.25"/>
    <row r="11958" ht="14.25" customHeight="1" x14ac:dyDescent="0.25"/>
    <row r="11959" ht="14.25" customHeight="1" x14ac:dyDescent="0.25"/>
    <row r="11960" ht="14.25" customHeight="1" x14ac:dyDescent="0.25"/>
    <row r="11961" ht="14.25" customHeight="1" x14ac:dyDescent="0.25"/>
    <row r="11962" ht="14.25" customHeight="1" x14ac:dyDescent="0.25"/>
    <row r="11963" ht="14.25" customHeight="1" x14ac:dyDescent="0.25"/>
    <row r="11964" ht="14.25" customHeight="1" x14ac:dyDescent="0.25"/>
    <row r="11965" ht="14.25" customHeight="1" x14ac:dyDescent="0.25"/>
    <row r="11966" ht="14.25" customHeight="1" x14ac:dyDescent="0.25"/>
    <row r="11967" ht="14.25" customHeight="1" x14ac:dyDescent="0.25"/>
    <row r="11968" ht="14.25" customHeight="1" x14ac:dyDescent="0.25"/>
    <row r="11969" ht="14.25" customHeight="1" x14ac:dyDescent="0.25"/>
    <row r="11970" ht="14.25" customHeight="1" x14ac:dyDescent="0.25"/>
    <row r="11971" ht="14.25" customHeight="1" x14ac:dyDescent="0.25"/>
    <row r="11972" ht="14.25" customHeight="1" x14ac:dyDescent="0.25"/>
    <row r="11973" ht="14.25" customHeight="1" x14ac:dyDescent="0.25"/>
    <row r="11974" ht="14.25" customHeight="1" x14ac:dyDescent="0.25"/>
    <row r="11975" ht="14.25" customHeight="1" x14ac:dyDescent="0.25"/>
    <row r="11976" ht="14.25" customHeight="1" x14ac:dyDescent="0.25"/>
    <row r="11977" ht="14.25" customHeight="1" x14ac:dyDescent="0.25"/>
    <row r="11978" ht="14.25" customHeight="1" x14ac:dyDescent="0.25"/>
    <row r="11979" ht="14.25" customHeight="1" x14ac:dyDescent="0.25"/>
    <row r="11980" ht="14.25" customHeight="1" x14ac:dyDescent="0.25"/>
    <row r="11981" ht="14.25" customHeight="1" x14ac:dyDescent="0.25"/>
    <row r="11982" ht="14.25" customHeight="1" x14ac:dyDescent="0.25"/>
    <row r="11983" ht="14.25" customHeight="1" x14ac:dyDescent="0.25"/>
    <row r="11984" ht="14.25" customHeight="1" x14ac:dyDescent="0.25"/>
    <row r="11985" ht="14.25" customHeight="1" x14ac:dyDescent="0.25"/>
    <row r="11986" ht="14.25" customHeight="1" x14ac:dyDescent="0.25"/>
    <row r="11987" ht="14.25" customHeight="1" x14ac:dyDescent="0.25"/>
    <row r="11988" ht="14.25" customHeight="1" x14ac:dyDescent="0.25"/>
    <row r="11989" ht="14.25" customHeight="1" x14ac:dyDescent="0.25"/>
    <row r="11990" ht="14.25" customHeight="1" x14ac:dyDescent="0.25"/>
    <row r="11991" ht="14.25" customHeight="1" x14ac:dyDescent="0.25"/>
    <row r="11992" ht="14.25" customHeight="1" x14ac:dyDescent="0.25"/>
    <row r="11993" ht="14.25" customHeight="1" x14ac:dyDescent="0.25"/>
    <row r="11994" ht="14.25" customHeight="1" x14ac:dyDescent="0.25"/>
    <row r="11995" ht="14.25" customHeight="1" x14ac:dyDescent="0.25"/>
    <row r="11996" ht="14.25" customHeight="1" x14ac:dyDescent="0.25"/>
    <row r="11997" ht="14.25" customHeight="1" x14ac:dyDescent="0.25"/>
    <row r="11998" ht="14.25" customHeight="1" x14ac:dyDescent="0.25"/>
    <row r="11999" ht="14.25" customHeight="1" x14ac:dyDescent="0.25"/>
    <row r="12000" ht="14.25" customHeight="1" x14ac:dyDescent="0.25"/>
    <row r="12001" ht="14.25" customHeight="1" x14ac:dyDescent="0.25"/>
    <row r="12002" ht="14.25" customHeight="1" x14ac:dyDescent="0.25"/>
    <row r="12003" ht="14.25" customHeight="1" x14ac:dyDescent="0.25"/>
    <row r="12004" ht="14.25" customHeight="1" x14ac:dyDescent="0.25"/>
    <row r="12005" ht="14.25" customHeight="1" x14ac:dyDescent="0.25"/>
    <row r="12006" ht="14.25" customHeight="1" x14ac:dyDescent="0.25"/>
    <row r="12007" ht="14.25" customHeight="1" x14ac:dyDescent="0.25"/>
    <row r="12008" ht="14.25" customHeight="1" x14ac:dyDescent="0.25"/>
    <row r="12009" ht="14.25" customHeight="1" x14ac:dyDescent="0.25"/>
    <row r="12010" ht="14.25" customHeight="1" x14ac:dyDescent="0.25"/>
    <row r="12011" ht="14.25" customHeight="1" x14ac:dyDescent="0.25"/>
    <row r="12012" ht="14.25" customHeight="1" x14ac:dyDescent="0.25"/>
    <row r="12013" ht="14.25" customHeight="1" x14ac:dyDescent="0.25"/>
    <row r="12014" ht="14.25" customHeight="1" x14ac:dyDescent="0.25"/>
    <row r="12015" ht="14.25" customHeight="1" x14ac:dyDescent="0.25"/>
    <row r="12016" ht="14.25" customHeight="1" x14ac:dyDescent="0.25"/>
    <row r="12017" ht="14.25" customHeight="1" x14ac:dyDescent="0.25"/>
    <row r="12018" ht="14.25" customHeight="1" x14ac:dyDescent="0.25"/>
    <row r="12019" ht="14.25" customHeight="1" x14ac:dyDescent="0.25"/>
    <row r="12020" ht="14.25" customHeight="1" x14ac:dyDescent="0.25"/>
    <row r="12021" ht="14.25" customHeight="1" x14ac:dyDescent="0.25"/>
    <row r="12022" ht="14.25" customHeight="1" x14ac:dyDescent="0.25"/>
    <row r="12023" ht="14.25" customHeight="1" x14ac:dyDescent="0.25"/>
    <row r="12024" ht="14.25" customHeight="1" x14ac:dyDescent="0.25"/>
    <row r="12025" ht="14.25" customHeight="1" x14ac:dyDescent="0.25"/>
    <row r="12026" ht="14.25" customHeight="1" x14ac:dyDescent="0.25"/>
    <row r="12027" ht="14.25" customHeight="1" x14ac:dyDescent="0.25"/>
    <row r="12028" ht="14.25" customHeight="1" x14ac:dyDescent="0.25"/>
    <row r="12029" ht="14.25" customHeight="1" x14ac:dyDescent="0.25"/>
    <row r="12030" ht="14.25" customHeight="1" x14ac:dyDescent="0.25"/>
    <row r="12031" ht="14.25" customHeight="1" x14ac:dyDescent="0.25"/>
    <row r="12032" ht="14.25" customHeight="1" x14ac:dyDescent="0.25"/>
    <row r="12033" ht="14.25" customHeight="1" x14ac:dyDescent="0.25"/>
    <row r="12034" ht="14.25" customHeight="1" x14ac:dyDescent="0.25"/>
    <row r="12035" ht="14.25" customHeight="1" x14ac:dyDescent="0.25"/>
    <row r="12036" ht="14.25" customHeight="1" x14ac:dyDescent="0.25"/>
    <row r="12037" ht="14.25" customHeight="1" x14ac:dyDescent="0.25"/>
    <row r="12038" ht="14.25" customHeight="1" x14ac:dyDescent="0.25"/>
    <row r="12039" ht="14.25" customHeight="1" x14ac:dyDescent="0.25"/>
    <row r="12040" ht="14.25" customHeight="1" x14ac:dyDescent="0.25"/>
    <row r="12041" ht="14.25" customHeight="1" x14ac:dyDescent="0.25"/>
    <row r="12042" ht="14.25" customHeight="1" x14ac:dyDescent="0.25"/>
    <row r="12043" ht="14.25" customHeight="1" x14ac:dyDescent="0.25"/>
    <row r="12044" ht="14.25" customHeight="1" x14ac:dyDescent="0.25"/>
    <row r="12045" ht="14.25" customHeight="1" x14ac:dyDescent="0.25"/>
    <row r="12046" ht="14.25" customHeight="1" x14ac:dyDescent="0.25"/>
    <row r="12047" ht="14.25" customHeight="1" x14ac:dyDescent="0.25"/>
    <row r="12048" ht="14.25" customHeight="1" x14ac:dyDescent="0.25"/>
    <row r="12049" ht="14.25" customHeight="1" x14ac:dyDescent="0.25"/>
    <row r="12050" ht="14.25" customHeight="1" x14ac:dyDescent="0.25"/>
    <row r="12051" ht="14.25" customHeight="1" x14ac:dyDescent="0.25"/>
    <row r="12052" ht="14.25" customHeight="1" x14ac:dyDescent="0.25"/>
    <row r="12053" ht="14.25" customHeight="1" x14ac:dyDescent="0.25"/>
    <row r="12054" ht="14.25" customHeight="1" x14ac:dyDescent="0.25"/>
    <row r="12055" ht="14.25" customHeight="1" x14ac:dyDescent="0.25"/>
    <row r="12056" ht="14.25" customHeight="1" x14ac:dyDescent="0.25"/>
    <row r="12057" ht="14.25" customHeight="1" x14ac:dyDescent="0.25"/>
    <row r="12058" ht="14.25" customHeight="1" x14ac:dyDescent="0.25"/>
    <row r="12059" ht="14.25" customHeight="1" x14ac:dyDescent="0.25"/>
    <row r="12060" ht="14.25" customHeight="1" x14ac:dyDescent="0.25"/>
    <row r="12061" ht="14.25" customHeight="1" x14ac:dyDescent="0.25"/>
    <row r="12062" ht="14.25" customHeight="1" x14ac:dyDescent="0.25"/>
    <row r="12063" ht="14.25" customHeight="1" x14ac:dyDescent="0.25"/>
    <row r="12064" ht="14.25" customHeight="1" x14ac:dyDescent="0.25"/>
    <row r="12065" ht="14.25" customHeight="1" x14ac:dyDescent="0.25"/>
    <row r="12066" ht="14.25" customHeight="1" x14ac:dyDescent="0.25"/>
    <row r="12067" ht="14.25" customHeight="1" x14ac:dyDescent="0.25"/>
    <row r="12068" ht="14.25" customHeight="1" x14ac:dyDescent="0.25"/>
    <row r="12069" ht="14.25" customHeight="1" x14ac:dyDescent="0.25"/>
    <row r="12070" ht="14.25" customHeight="1" x14ac:dyDescent="0.25"/>
    <row r="12071" ht="14.25" customHeight="1" x14ac:dyDescent="0.25"/>
    <row r="12072" ht="14.25" customHeight="1" x14ac:dyDescent="0.25"/>
    <row r="12073" ht="14.25" customHeight="1" x14ac:dyDescent="0.25"/>
    <row r="12074" ht="14.25" customHeight="1" x14ac:dyDescent="0.25"/>
    <row r="12075" ht="14.25" customHeight="1" x14ac:dyDescent="0.25"/>
    <row r="12076" ht="14.25" customHeight="1" x14ac:dyDescent="0.25"/>
    <row r="12077" ht="14.25" customHeight="1" x14ac:dyDescent="0.25"/>
    <row r="12078" ht="14.25" customHeight="1" x14ac:dyDescent="0.25"/>
    <row r="12079" ht="14.25" customHeight="1" x14ac:dyDescent="0.25"/>
    <row r="12080" ht="14.25" customHeight="1" x14ac:dyDescent="0.25"/>
    <row r="12081" ht="14.25" customHeight="1" x14ac:dyDescent="0.25"/>
    <row r="12082" ht="14.25" customHeight="1" x14ac:dyDescent="0.25"/>
    <row r="12083" ht="14.25" customHeight="1" x14ac:dyDescent="0.25"/>
    <row r="12084" ht="14.25" customHeight="1" x14ac:dyDescent="0.25"/>
    <row r="12085" ht="14.25" customHeight="1" x14ac:dyDescent="0.25"/>
    <row r="12086" ht="14.25" customHeight="1" x14ac:dyDescent="0.25"/>
    <row r="12087" ht="14.25" customHeight="1" x14ac:dyDescent="0.25"/>
    <row r="12088" ht="14.25" customHeight="1" x14ac:dyDescent="0.25"/>
    <row r="12089" ht="14.25" customHeight="1" x14ac:dyDescent="0.25"/>
    <row r="12090" ht="14.25" customHeight="1" x14ac:dyDescent="0.25"/>
    <row r="12091" ht="14.25" customHeight="1" x14ac:dyDescent="0.25"/>
    <row r="12092" ht="14.25" customHeight="1" x14ac:dyDescent="0.25"/>
    <row r="12093" ht="14.25" customHeight="1" x14ac:dyDescent="0.25"/>
    <row r="12094" ht="14.25" customHeight="1" x14ac:dyDescent="0.25"/>
    <row r="12095" ht="14.25" customHeight="1" x14ac:dyDescent="0.25"/>
    <row r="12096" ht="14.25" customHeight="1" x14ac:dyDescent="0.25"/>
    <row r="12097" ht="14.25" customHeight="1" x14ac:dyDescent="0.25"/>
    <row r="12098" ht="14.25" customHeight="1" x14ac:dyDescent="0.25"/>
    <row r="12099" ht="14.25" customHeight="1" x14ac:dyDescent="0.25"/>
    <row r="12100" ht="14.25" customHeight="1" x14ac:dyDescent="0.25"/>
    <row r="12101" ht="14.25" customHeight="1" x14ac:dyDescent="0.25"/>
    <row r="12102" ht="14.25" customHeight="1" x14ac:dyDescent="0.25"/>
    <row r="12103" ht="14.25" customHeight="1" x14ac:dyDescent="0.25"/>
    <row r="12104" ht="14.25" customHeight="1" x14ac:dyDescent="0.25"/>
    <row r="12105" ht="14.25" customHeight="1" x14ac:dyDescent="0.25"/>
    <row r="12106" ht="14.25" customHeight="1" x14ac:dyDescent="0.25"/>
    <row r="12107" ht="14.25" customHeight="1" x14ac:dyDescent="0.25"/>
    <row r="12108" ht="14.25" customHeight="1" x14ac:dyDescent="0.25"/>
    <row r="12109" ht="14.25" customHeight="1" x14ac:dyDescent="0.25"/>
    <row r="12110" ht="14.25" customHeight="1" x14ac:dyDescent="0.25"/>
    <row r="12111" ht="14.25" customHeight="1" x14ac:dyDescent="0.25"/>
    <row r="12112" ht="14.25" customHeight="1" x14ac:dyDescent="0.25"/>
    <row r="12113" ht="14.25" customHeight="1" x14ac:dyDescent="0.25"/>
    <row r="12114" ht="14.25" customHeight="1" x14ac:dyDescent="0.25"/>
    <row r="12115" ht="14.25" customHeight="1" x14ac:dyDescent="0.25"/>
    <row r="12116" ht="14.25" customHeight="1" x14ac:dyDescent="0.25"/>
    <row r="12117" ht="14.25" customHeight="1" x14ac:dyDescent="0.25"/>
    <row r="12118" ht="14.25" customHeight="1" x14ac:dyDescent="0.25"/>
    <row r="12119" ht="14.25" customHeight="1" x14ac:dyDescent="0.25"/>
    <row r="12120" ht="14.25" customHeight="1" x14ac:dyDescent="0.25"/>
    <row r="12121" ht="14.25" customHeight="1" x14ac:dyDescent="0.25"/>
    <row r="12122" ht="14.25" customHeight="1" x14ac:dyDescent="0.25"/>
    <row r="12123" ht="14.25" customHeight="1" x14ac:dyDescent="0.25"/>
    <row r="12124" ht="14.25" customHeight="1" x14ac:dyDescent="0.25"/>
    <row r="12125" ht="14.25" customHeight="1" x14ac:dyDescent="0.25"/>
    <row r="12126" ht="14.25" customHeight="1" x14ac:dyDescent="0.25"/>
    <row r="12127" ht="14.25" customHeight="1" x14ac:dyDescent="0.25"/>
    <row r="12128" ht="14.25" customHeight="1" x14ac:dyDescent="0.25"/>
    <row r="12129" ht="14.25" customHeight="1" x14ac:dyDescent="0.25"/>
    <row r="12130" ht="14.25" customHeight="1" x14ac:dyDescent="0.25"/>
    <row r="12131" ht="14.25" customHeight="1" x14ac:dyDescent="0.25"/>
    <row r="12132" ht="14.25" customHeight="1" x14ac:dyDescent="0.25"/>
    <row r="12133" ht="14.25" customHeight="1" x14ac:dyDescent="0.25"/>
    <row r="12134" ht="14.25" customHeight="1" x14ac:dyDescent="0.25"/>
    <row r="12135" ht="14.25" customHeight="1" x14ac:dyDescent="0.25"/>
    <row r="12136" ht="14.25" customHeight="1" x14ac:dyDescent="0.25"/>
    <row r="12137" ht="14.25" customHeight="1" x14ac:dyDescent="0.25"/>
    <row r="12138" ht="14.25" customHeight="1" x14ac:dyDescent="0.25"/>
    <row r="12139" ht="14.25" customHeight="1" x14ac:dyDescent="0.25"/>
    <row r="12140" ht="14.25" customHeight="1" x14ac:dyDescent="0.25"/>
    <row r="12141" ht="14.25" customHeight="1" x14ac:dyDescent="0.25"/>
    <row r="12142" ht="14.25" customHeight="1" x14ac:dyDescent="0.25"/>
    <row r="12143" ht="14.25" customHeight="1" x14ac:dyDescent="0.25"/>
    <row r="12144" ht="14.25" customHeight="1" x14ac:dyDescent="0.25"/>
    <row r="12145" ht="14.25" customHeight="1" x14ac:dyDescent="0.25"/>
    <row r="12146" ht="14.25" customHeight="1" x14ac:dyDescent="0.25"/>
    <row r="12147" ht="14.25" customHeight="1" x14ac:dyDescent="0.25"/>
    <row r="12148" ht="14.25" customHeight="1" x14ac:dyDescent="0.25"/>
    <row r="12149" ht="14.25" customHeight="1" x14ac:dyDescent="0.25"/>
    <row r="12150" ht="14.25" customHeight="1" x14ac:dyDescent="0.25"/>
    <row r="12151" ht="14.25" customHeight="1" x14ac:dyDescent="0.25"/>
    <row r="12152" ht="14.25" customHeight="1" x14ac:dyDescent="0.25"/>
    <row r="12153" ht="14.25" customHeight="1" x14ac:dyDescent="0.25"/>
    <row r="12154" ht="14.25" customHeight="1" x14ac:dyDescent="0.25"/>
    <row r="12155" ht="14.25" customHeight="1" x14ac:dyDescent="0.25"/>
    <row r="12156" ht="14.25" customHeight="1" x14ac:dyDescent="0.25"/>
    <row r="12157" ht="14.25" customHeight="1" x14ac:dyDescent="0.25"/>
    <row r="12158" ht="14.25" customHeight="1" x14ac:dyDescent="0.25"/>
    <row r="12159" ht="14.25" customHeight="1" x14ac:dyDescent="0.25"/>
    <row r="12160" ht="14.25" customHeight="1" x14ac:dyDescent="0.25"/>
    <row r="12161" ht="14.25" customHeight="1" x14ac:dyDescent="0.25"/>
    <row r="12162" ht="14.25" customHeight="1" x14ac:dyDescent="0.25"/>
    <row r="12163" ht="14.25" customHeight="1" x14ac:dyDescent="0.25"/>
    <row r="12164" ht="14.25" customHeight="1" x14ac:dyDescent="0.25"/>
    <row r="12165" ht="14.25" customHeight="1" x14ac:dyDescent="0.25"/>
    <row r="12166" ht="14.25" customHeight="1" x14ac:dyDescent="0.25"/>
    <row r="12167" ht="14.25" customHeight="1" x14ac:dyDescent="0.25"/>
    <row r="12168" ht="14.25" customHeight="1" x14ac:dyDescent="0.25"/>
    <row r="12169" ht="14.25" customHeight="1" x14ac:dyDescent="0.25"/>
    <row r="12170" ht="14.25" customHeight="1" x14ac:dyDescent="0.25"/>
    <row r="12171" ht="14.25" customHeight="1" x14ac:dyDescent="0.25"/>
    <row r="12172" ht="14.25" customHeight="1" x14ac:dyDescent="0.25"/>
    <row r="12173" ht="14.25" customHeight="1" x14ac:dyDescent="0.25"/>
    <row r="12174" ht="14.25" customHeight="1" x14ac:dyDescent="0.25"/>
    <row r="12175" ht="14.25" customHeight="1" x14ac:dyDescent="0.25"/>
    <row r="12176" ht="14.25" customHeight="1" x14ac:dyDescent="0.25"/>
    <row r="12177" ht="14.25" customHeight="1" x14ac:dyDescent="0.25"/>
    <row r="12178" ht="14.25" customHeight="1" x14ac:dyDescent="0.25"/>
    <row r="12179" ht="14.25" customHeight="1" x14ac:dyDescent="0.25"/>
    <row r="12180" ht="14.25" customHeight="1" x14ac:dyDescent="0.25"/>
    <row r="12181" ht="14.25" customHeight="1" x14ac:dyDescent="0.25"/>
    <row r="12182" ht="14.25" customHeight="1" x14ac:dyDescent="0.25"/>
    <row r="12183" ht="14.25" customHeight="1" x14ac:dyDescent="0.25"/>
    <row r="12184" ht="14.25" customHeight="1" x14ac:dyDescent="0.25"/>
    <row r="12185" ht="14.25" customHeight="1" x14ac:dyDescent="0.25"/>
    <row r="12186" ht="14.25" customHeight="1" x14ac:dyDescent="0.25"/>
    <row r="12187" ht="14.25" customHeight="1" x14ac:dyDescent="0.25"/>
    <row r="12188" ht="14.25" customHeight="1" x14ac:dyDescent="0.25"/>
    <row r="12189" ht="14.25" customHeight="1" x14ac:dyDescent="0.25"/>
    <row r="12190" ht="14.25" customHeight="1" x14ac:dyDescent="0.25"/>
    <row r="12191" ht="14.25" customHeight="1" x14ac:dyDescent="0.25"/>
    <row r="12192" ht="14.25" customHeight="1" x14ac:dyDescent="0.25"/>
    <row r="12193" ht="14.25" customHeight="1" x14ac:dyDescent="0.25"/>
    <row r="12194" ht="14.25" customHeight="1" x14ac:dyDescent="0.25"/>
    <row r="12195" ht="14.25" customHeight="1" x14ac:dyDescent="0.25"/>
    <row r="12196" ht="14.25" customHeight="1" x14ac:dyDescent="0.25"/>
    <row r="12197" ht="14.25" customHeight="1" x14ac:dyDescent="0.25"/>
    <row r="12198" ht="14.25" customHeight="1" x14ac:dyDescent="0.25"/>
    <row r="12199" ht="14.25" customHeight="1" x14ac:dyDescent="0.25"/>
    <row r="12200" ht="14.25" customHeight="1" x14ac:dyDescent="0.25"/>
    <row r="12201" ht="14.25" customHeight="1" x14ac:dyDescent="0.25"/>
    <row r="12202" ht="14.25" customHeight="1" x14ac:dyDescent="0.25"/>
    <row r="12203" ht="14.25" customHeight="1" x14ac:dyDescent="0.25"/>
    <row r="12204" ht="14.25" customHeight="1" x14ac:dyDescent="0.25"/>
    <row r="12205" ht="14.25" customHeight="1" x14ac:dyDescent="0.25"/>
    <row r="12206" ht="14.25" customHeight="1" x14ac:dyDescent="0.25"/>
    <row r="12207" ht="14.25" customHeight="1" x14ac:dyDescent="0.25"/>
    <row r="12208" ht="14.25" customHeight="1" x14ac:dyDescent="0.25"/>
    <row r="12209" ht="14.25" customHeight="1" x14ac:dyDescent="0.25"/>
    <row r="12210" ht="14.25" customHeight="1" x14ac:dyDescent="0.25"/>
    <row r="12211" ht="14.25" customHeight="1" x14ac:dyDescent="0.25"/>
    <row r="12212" ht="14.25" customHeight="1" x14ac:dyDescent="0.25"/>
    <row r="12213" ht="14.25" customHeight="1" x14ac:dyDescent="0.25"/>
    <row r="12214" ht="14.25" customHeight="1" x14ac:dyDescent="0.25"/>
    <row r="12215" ht="14.25" customHeight="1" x14ac:dyDescent="0.25"/>
    <row r="12216" ht="14.25" customHeight="1" x14ac:dyDescent="0.25"/>
    <row r="12217" ht="14.25" customHeight="1" x14ac:dyDescent="0.25"/>
    <row r="12218" ht="14.25" customHeight="1" x14ac:dyDescent="0.25"/>
    <row r="12219" ht="14.25" customHeight="1" x14ac:dyDescent="0.25"/>
    <row r="12220" ht="14.25" customHeight="1" x14ac:dyDescent="0.25"/>
    <row r="12221" ht="14.25" customHeight="1" x14ac:dyDescent="0.25"/>
    <row r="12222" ht="14.25" customHeight="1" x14ac:dyDescent="0.25"/>
    <row r="12223" ht="14.25" customHeight="1" x14ac:dyDescent="0.25"/>
    <row r="12224" ht="14.25" customHeight="1" x14ac:dyDescent="0.25"/>
    <row r="12225" ht="14.25" customHeight="1" x14ac:dyDescent="0.25"/>
    <row r="12226" ht="14.25" customHeight="1" x14ac:dyDescent="0.25"/>
    <row r="12227" ht="14.25" customHeight="1" x14ac:dyDescent="0.25"/>
    <row r="12228" ht="14.25" customHeight="1" x14ac:dyDescent="0.25"/>
    <row r="12229" ht="14.25" customHeight="1" x14ac:dyDescent="0.25"/>
    <row r="12230" ht="14.25" customHeight="1" x14ac:dyDescent="0.25"/>
    <row r="12231" ht="14.25" customHeight="1" x14ac:dyDescent="0.25"/>
    <row r="12232" ht="14.25" customHeight="1" x14ac:dyDescent="0.25"/>
    <row r="12233" ht="14.25" customHeight="1" x14ac:dyDescent="0.25"/>
    <row r="12234" ht="14.25" customHeight="1" x14ac:dyDescent="0.25"/>
    <row r="12235" ht="14.25" customHeight="1" x14ac:dyDescent="0.25"/>
    <row r="12236" ht="14.25" customHeight="1" x14ac:dyDescent="0.25"/>
    <row r="12237" ht="14.25" customHeight="1" x14ac:dyDescent="0.25"/>
    <row r="12238" ht="14.25" customHeight="1" x14ac:dyDescent="0.25"/>
    <row r="12239" ht="14.25" customHeight="1" x14ac:dyDescent="0.25"/>
    <row r="12240" ht="14.25" customHeight="1" x14ac:dyDescent="0.25"/>
    <row r="12241" ht="14.25" customHeight="1" x14ac:dyDescent="0.25"/>
    <row r="12242" ht="14.25" customHeight="1" x14ac:dyDescent="0.25"/>
    <row r="12243" ht="14.25" customHeight="1" x14ac:dyDescent="0.25"/>
    <row r="12244" ht="14.25" customHeight="1" x14ac:dyDescent="0.25"/>
    <row r="12245" ht="14.25" customHeight="1" x14ac:dyDescent="0.25"/>
    <row r="12246" ht="14.25" customHeight="1" x14ac:dyDescent="0.25"/>
    <row r="12247" ht="14.25" customHeight="1" x14ac:dyDescent="0.25"/>
    <row r="12248" ht="14.25" customHeight="1" x14ac:dyDescent="0.25"/>
    <row r="12249" ht="14.25" customHeight="1" x14ac:dyDescent="0.25"/>
    <row r="12250" ht="14.25" customHeight="1" x14ac:dyDescent="0.25"/>
    <row r="12251" ht="14.25" customHeight="1" x14ac:dyDescent="0.25"/>
    <row r="12252" ht="14.25" customHeight="1" x14ac:dyDescent="0.25"/>
    <row r="12253" ht="14.25" customHeight="1" x14ac:dyDescent="0.25"/>
    <row r="12254" ht="14.25" customHeight="1" x14ac:dyDescent="0.25"/>
    <row r="12255" ht="14.25" customHeight="1" x14ac:dyDescent="0.25"/>
    <row r="12256" ht="14.25" customHeight="1" x14ac:dyDescent="0.25"/>
    <row r="12257" ht="14.25" customHeight="1" x14ac:dyDescent="0.25"/>
    <row r="12258" ht="14.25" customHeight="1" x14ac:dyDescent="0.25"/>
    <row r="12259" ht="14.25" customHeight="1" x14ac:dyDescent="0.25"/>
    <row r="12260" ht="14.25" customHeight="1" x14ac:dyDescent="0.25"/>
    <row r="12261" ht="14.25" customHeight="1" x14ac:dyDescent="0.25"/>
    <row r="12262" ht="14.25" customHeight="1" x14ac:dyDescent="0.25"/>
    <row r="12263" ht="14.25" customHeight="1" x14ac:dyDescent="0.25"/>
    <row r="12264" ht="14.25" customHeight="1" x14ac:dyDescent="0.25"/>
    <row r="12265" ht="14.25" customHeight="1" x14ac:dyDescent="0.25"/>
    <row r="12266" ht="14.25" customHeight="1" x14ac:dyDescent="0.25"/>
    <row r="12267" ht="14.25" customHeight="1" x14ac:dyDescent="0.25"/>
    <row r="12268" ht="14.25" customHeight="1" x14ac:dyDescent="0.25"/>
    <row r="12269" ht="14.25" customHeight="1" x14ac:dyDescent="0.25"/>
    <row r="12270" ht="14.25" customHeight="1" x14ac:dyDescent="0.25"/>
    <row r="12271" ht="14.25" customHeight="1" x14ac:dyDescent="0.25"/>
    <row r="12272" ht="14.25" customHeight="1" x14ac:dyDescent="0.25"/>
    <row r="12273" ht="14.25" customHeight="1" x14ac:dyDescent="0.25"/>
    <row r="12274" ht="14.25" customHeight="1" x14ac:dyDescent="0.25"/>
    <row r="12275" ht="14.25" customHeight="1" x14ac:dyDescent="0.25"/>
    <row r="12276" ht="14.25" customHeight="1" x14ac:dyDescent="0.25"/>
    <row r="12277" ht="14.25" customHeight="1" x14ac:dyDescent="0.25"/>
    <row r="12278" ht="14.25" customHeight="1" x14ac:dyDescent="0.25"/>
    <row r="12279" ht="14.25" customHeight="1" x14ac:dyDescent="0.25"/>
    <row r="12280" ht="14.25" customHeight="1" x14ac:dyDescent="0.25"/>
    <row r="12281" ht="14.25" customHeight="1" x14ac:dyDescent="0.25"/>
    <row r="12282" ht="14.25" customHeight="1" x14ac:dyDescent="0.25"/>
    <row r="12283" ht="14.25" customHeight="1" x14ac:dyDescent="0.25"/>
    <row r="12284" ht="14.25" customHeight="1" x14ac:dyDescent="0.25"/>
    <row r="12285" ht="14.25" customHeight="1" x14ac:dyDescent="0.25"/>
    <row r="12286" ht="14.25" customHeight="1" x14ac:dyDescent="0.25"/>
    <row r="12287" ht="14.25" customHeight="1" x14ac:dyDescent="0.25"/>
    <row r="12288" ht="14.25" customHeight="1" x14ac:dyDescent="0.25"/>
    <row r="12289" ht="14.25" customHeight="1" x14ac:dyDescent="0.25"/>
    <row r="12290" ht="14.25" customHeight="1" x14ac:dyDescent="0.25"/>
    <row r="12291" ht="14.25" customHeight="1" x14ac:dyDescent="0.25"/>
    <row r="12292" ht="14.25" customHeight="1" x14ac:dyDescent="0.25"/>
    <row r="12293" ht="14.25" customHeight="1" x14ac:dyDescent="0.25"/>
    <row r="12294" ht="14.25" customHeight="1" x14ac:dyDescent="0.25"/>
    <row r="12295" ht="14.25" customHeight="1" x14ac:dyDescent="0.25"/>
    <row r="12296" ht="14.25" customHeight="1" x14ac:dyDescent="0.25"/>
    <row r="12297" ht="14.25" customHeight="1" x14ac:dyDescent="0.25"/>
    <row r="12298" ht="14.25" customHeight="1" x14ac:dyDescent="0.25"/>
    <row r="12299" ht="14.25" customHeight="1" x14ac:dyDescent="0.25"/>
    <row r="12300" ht="14.25" customHeight="1" x14ac:dyDescent="0.25"/>
    <row r="12301" ht="14.25" customHeight="1" x14ac:dyDescent="0.25"/>
    <row r="12302" ht="14.25" customHeight="1" x14ac:dyDescent="0.25"/>
    <row r="12303" ht="14.25" customHeight="1" x14ac:dyDescent="0.25"/>
    <row r="12304" ht="14.25" customHeight="1" x14ac:dyDescent="0.25"/>
    <row r="12305" ht="14.25" customHeight="1" x14ac:dyDescent="0.25"/>
    <row r="12306" ht="14.25" customHeight="1" x14ac:dyDescent="0.25"/>
    <row r="12307" ht="14.25" customHeight="1" x14ac:dyDescent="0.25"/>
    <row r="12308" ht="14.25" customHeight="1" x14ac:dyDescent="0.25"/>
    <row r="12309" ht="14.25" customHeight="1" x14ac:dyDescent="0.25"/>
    <row r="12310" ht="14.25" customHeight="1" x14ac:dyDescent="0.25"/>
    <row r="12311" ht="14.25" customHeight="1" x14ac:dyDescent="0.25"/>
    <row r="12312" ht="14.25" customHeight="1" x14ac:dyDescent="0.25"/>
    <row r="12313" ht="14.25" customHeight="1" x14ac:dyDescent="0.25"/>
    <row r="12314" ht="14.25" customHeight="1" x14ac:dyDescent="0.25"/>
    <row r="12315" ht="14.25" customHeight="1" x14ac:dyDescent="0.25"/>
    <row r="12316" ht="14.25" customHeight="1" x14ac:dyDescent="0.25"/>
    <row r="12317" ht="14.25" customHeight="1" x14ac:dyDescent="0.25"/>
    <row r="12318" ht="14.25" customHeight="1" x14ac:dyDescent="0.25"/>
    <row r="12319" ht="14.25" customHeight="1" x14ac:dyDescent="0.25"/>
    <row r="12320" ht="14.25" customHeight="1" x14ac:dyDescent="0.25"/>
    <row r="12321" ht="14.25" customHeight="1" x14ac:dyDescent="0.25"/>
    <row r="12322" ht="14.25" customHeight="1" x14ac:dyDescent="0.25"/>
    <row r="12323" ht="14.25" customHeight="1" x14ac:dyDescent="0.25"/>
    <row r="12324" ht="14.25" customHeight="1" x14ac:dyDescent="0.25"/>
    <row r="12325" ht="14.25" customHeight="1" x14ac:dyDescent="0.25"/>
    <row r="12326" ht="14.25" customHeight="1" x14ac:dyDescent="0.25"/>
    <row r="12327" ht="14.25" customHeight="1" x14ac:dyDescent="0.25"/>
    <row r="12328" ht="14.25" customHeight="1" x14ac:dyDescent="0.25"/>
    <row r="12329" ht="14.25" customHeight="1" x14ac:dyDescent="0.25"/>
    <row r="12330" ht="14.25" customHeight="1" x14ac:dyDescent="0.25"/>
    <row r="12331" ht="14.25" customHeight="1" x14ac:dyDescent="0.25"/>
    <row r="12332" ht="14.25" customHeight="1" x14ac:dyDescent="0.25"/>
    <row r="12333" ht="14.25" customHeight="1" x14ac:dyDescent="0.25"/>
    <row r="12334" ht="14.25" customHeight="1" x14ac:dyDescent="0.25"/>
    <row r="12335" ht="14.25" customHeight="1" x14ac:dyDescent="0.25"/>
    <row r="12336" ht="14.25" customHeight="1" x14ac:dyDescent="0.25"/>
    <row r="12337" ht="14.25" customHeight="1" x14ac:dyDescent="0.25"/>
    <row r="12338" ht="14.25" customHeight="1" x14ac:dyDescent="0.25"/>
    <row r="12339" ht="14.25" customHeight="1" x14ac:dyDescent="0.25"/>
    <row r="12340" ht="14.25" customHeight="1" x14ac:dyDescent="0.25"/>
    <row r="12341" ht="14.25" customHeight="1" x14ac:dyDescent="0.25"/>
    <row r="12342" ht="14.25" customHeight="1" x14ac:dyDescent="0.25"/>
    <row r="12343" ht="14.25" customHeight="1" x14ac:dyDescent="0.25"/>
    <row r="12344" ht="14.25" customHeight="1" x14ac:dyDescent="0.25"/>
    <row r="12345" ht="14.25" customHeight="1" x14ac:dyDescent="0.25"/>
    <row r="12346" ht="14.25" customHeight="1" x14ac:dyDescent="0.25"/>
    <row r="12347" ht="14.25" customHeight="1" x14ac:dyDescent="0.25"/>
    <row r="12348" ht="14.25" customHeight="1" x14ac:dyDescent="0.25"/>
    <row r="12349" ht="14.25" customHeight="1" x14ac:dyDescent="0.25"/>
    <row r="12350" ht="14.25" customHeight="1" x14ac:dyDescent="0.25"/>
    <row r="12351" ht="14.25" customHeight="1" x14ac:dyDescent="0.25"/>
    <row r="12352" ht="14.25" customHeight="1" x14ac:dyDescent="0.25"/>
    <row r="12353" ht="14.25" customHeight="1" x14ac:dyDescent="0.25"/>
    <row r="12354" ht="14.25" customHeight="1" x14ac:dyDescent="0.25"/>
    <row r="12355" ht="14.25" customHeight="1" x14ac:dyDescent="0.25"/>
    <row r="12356" ht="14.25" customHeight="1" x14ac:dyDescent="0.25"/>
    <row r="12357" ht="14.25" customHeight="1" x14ac:dyDescent="0.25"/>
    <row r="12358" ht="14.25" customHeight="1" x14ac:dyDescent="0.25"/>
    <row r="12359" ht="14.25" customHeight="1" x14ac:dyDescent="0.25"/>
    <row r="12360" ht="14.25" customHeight="1" x14ac:dyDescent="0.25"/>
    <row r="12361" ht="14.25" customHeight="1" x14ac:dyDescent="0.25"/>
    <row r="12362" ht="14.25" customHeight="1" x14ac:dyDescent="0.25"/>
    <row r="12363" ht="14.25" customHeight="1" x14ac:dyDescent="0.25"/>
    <row r="12364" ht="14.25" customHeight="1" x14ac:dyDescent="0.25"/>
    <row r="12365" ht="14.25" customHeight="1" x14ac:dyDescent="0.25"/>
    <row r="12366" ht="14.25" customHeight="1" x14ac:dyDescent="0.25"/>
    <row r="12367" ht="14.25" customHeight="1" x14ac:dyDescent="0.25"/>
    <row r="12368" ht="14.25" customHeight="1" x14ac:dyDescent="0.25"/>
    <row r="12369" ht="14.25" customHeight="1" x14ac:dyDescent="0.25"/>
    <row r="12370" ht="14.25" customHeight="1" x14ac:dyDescent="0.25"/>
    <row r="12371" ht="14.25" customHeight="1" x14ac:dyDescent="0.25"/>
    <row r="12372" ht="14.25" customHeight="1" x14ac:dyDescent="0.25"/>
    <row r="12373" ht="14.25" customHeight="1" x14ac:dyDescent="0.25"/>
    <row r="12374" ht="14.25" customHeight="1" x14ac:dyDescent="0.25"/>
    <row r="12375" ht="14.25" customHeight="1" x14ac:dyDescent="0.25"/>
    <row r="12376" ht="14.25" customHeight="1" x14ac:dyDescent="0.25"/>
    <row r="12377" ht="14.25" customHeight="1" x14ac:dyDescent="0.25"/>
    <row r="12378" ht="14.25" customHeight="1" x14ac:dyDescent="0.25"/>
    <row r="12379" ht="14.25" customHeight="1" x14ac:dyDescent="0.25"/>
    <row r="12380" ht="14.25" customHeight="1" x14ac:dyDescent="0.25"/>
    <row r="12381" ht="14.25" customHeight="1" x14ac:dyDescent="0.25"/>
    <row r="12382" ht="14.25" customHeight="1" x14ac:dyDescent="0.25"/>
    <row r="12383" ht="14.25" customHeight="1" x14ac:dyDescent="0.25"/>
    <row r="12384" ht="14.25" customHeight="1" x14ac:dyDescent="0.25"/>
    <row r="12385" ht="14.25" customHeight="1" x14ac:dyDescent="0.25"/>
    <row r="12386" ht="14.25" customHeight="1" x14ac:dyDescent="0.25"/>
    <row r="12387" ht="14.25" customHeight="1" x14ac:dyDescent="0.25"/>
    <row r="12388" ht="14.25" customHeight="1" x14ac:dyDescent="0.25"/>
    <row r="12389" ht="14.25" customHeight="1" x14ac:dyDescent="0.25"/>
    <row r="12390" ht="14.25" customHeight="1" x14ac:dyDescent="0.25"/>
    <row r="12391" ht="14.25" customHeight="1" x14ac:dyDescent="0.25"/>
    <row r="12392" ht="14.25" customHeight="1" x14ac:dyDescent="0.25"/>
    <row r="12393" ht="14.25" customHeight="1" x14ac:dyDescent="0.25"/>
    <row r="12394" ht="14.25" customHeight="1" x14ac:dyDescent="0.25"/>
    <row r="12395" ht="14.25" customHeight="1" x14ac:dyDescent="0.25"/>
    <row r="12396" ht="14.25" customHeight="1" x14ac:dyDescent="0.25"/>
    <row r="12397" ht="14.25" customHeight="1" x14ac:dyDescent="0.25"/>
    <row r="12398" ht="14.25" customHeight="1" x14ac:dyDescent="0.25"/>
    <row r="12399" ht="14.25" customHeight="1" x14ac:dyDescent="0.25"/>
    <row r="12400" ht="14.25" customHeight="1" x14ac:dyDescent="0.25"/>
    <row r="12401" ht="14.25" customHeight="1" x14ac:dyDescent="0.25"/>
    <row r="12402" ht="14.25" customHeight="1" x14ac:dyDescent="0.25"/>
    <row r="12403" ht="14.25" customHeight="1" x14ac:dyDescent="0.25"/>
    <row r="12404" ht="14.25" customHeight="1" x14ac:dyDescent="0.25"/>
    <row r="12405" ht="14.25" customHeight="1" x14ac:dyDescent="0.25"/>
    <row r="12406" ht="14.25" customHeight="1" x14ac:dyDescent="0.25"/>
    <row r="12407" ht="14.25" customHeight="1" x14ac:dyDescent="0.25"/>
    <row r="12408" ht="14.25" customHeight="1" x14ac:dyDescent="0.25"/>
    <row r="12409" ht="14.25" customHeight="1" x14ac:dyDescent="0.25"/>
    <row r="12410" ht="14.25" customHeight="1" x14ac:dyDescent="0.25"/>
    <row r="12411" ht="14.25" customHeight="1" x14ac:dyDescent="0.25"/>
    <row r="12412" ht="14.25" customHeight="1" x14ac:dyDescent="0.25"/>
    <row r="12413" ht="14.25" customHeight="1" x14ac:dyDescent="0.25"/>
    <row r="12414" ht="14.25" customHeight="1" x14ac:dyDescent="0.25"/>
    <row r="12415" ht="14.25" customHeight="1" x14ac:dyDescent="0.25"/>
    <row r="12416" ht="14.25" customHeight="1" x14ac:dyDescent="0.25"/>
    <row r="12417" ht="14.25" customHeight="1" x14ac:dyDescent="0.25"/>
    <row r="12418" ht="14.25" customHeight="1" x14ac:dyDescent="0.25"/>
    <row r="12419" ht="14.25" customHeight="1" x14ac:dyDescent="0.25"/>
    <row r="12420" ht="14.25" customHeight="1" x14ac:dyDescent="0.25"/>
    <row r="12421" ht="14.25" customHeight="1" x14ac:dyDescent="0.25"/>
    <row r="12422" ht="14.25" customHeight="1" x14ac:dyDescent="0.25"/>
    <row r="12423" ht="14.25" customHeight="1" x14ac:dyDescent="0.25"/>
    <row r="12424" ht="14.25" customHeight="1" x14ac:dyDescent="0.25"/>
    <row r="12425" ht="14.25" customHeight="1" x14ac:dyDescent="0.25"/>
    <row r="12426" ht="14.25" customHeight="1" x14ac:dyDescent="0.25"/>
    <row r="12427" ht="14.25" customHeight="1" x14ac:dyDescent="0.25"/>
    <row r="12428" ht="14.25" customHeight="1" x14ac:dyDescent="0.25"/>
    <row r="12429" ht="14.25" customHeight="1" x14ac:dyDescent="0.25"/>
    <row r="12430" ht="14.25" customHeight="1" x14ac:dyDescent="0.25"/>
    <row r="12431" ht="14.25" customHeight="1" x14ac:dyDescent="0.25"/>
    <row r="12432" ht="14.25" customHeight="1" x14ac:dyDescent="0.25"/>
    <row r="12433" ht="14.25" customHeight="1" x14ac:dyDescent="0.25"/>
    <row r="12434" ht="14.25" customHeight="1" x14ac:dyDescent="0.25"/>
    <row r="12435" ht="14.25" customHeight="1" x14ac:dyDescent="0.25"/>
    <row r="12436" ht="14.25" customHeight="1" x14ac:dyDescent="0.25"/>
    <row r="12437" ht="14.25" customHeight="1" x14ac:dyDescent="0.25"/>
    <row r="12438" ht="14.25" customHeight="1" x14ac:dyDescent="0.25"/>
    <row r="12439" ht="14.25" customHeight="1" x14ac:dyDescent="0.25"/>
    <row r="12440" ht="14.25" customHeight="1" x14ac:dyDescent="0.25"/>
    <row r="12441" ht="14.25" customHeight="1" x14ac:dyDescent="0.25"/>
    <row r="12442" ht="14.25" customHeight="1" x14ac:dyDescent="0.25"/>
    <row r="12443" ht="14.25" customHeight="1" x14ac:dyDescent="0.25"/>
    <row r="12444" ht="14.25" customHeight="1" x14ac:dyDescent="0.25"/>
    <row r="12445" ht="14.25" customHeight="1" x14ac:dyDescent="0.25"/>
    <row r="12446" ht="14.25" customHeight="1" x14ac:dyDescent="0.25"/>
    <row r="12447" ht="14.25" customHeight="1" x14ac:dyDescent="0.25"/>
    <row r="12448" ht="14.25" customHeight="1" x14ac:dyDescent="0.25"/>
    <row r="12449" ht="14.25" customHeight="1" x14ac:dyDescent="0.25"/>
    <row r="12450" ht="14.25" customHeight="1" x14ac:dyDescent="0.25"/>
    <row r="12451" ht="14.25" customHeight="1" x14ac:dyDescent="0.25"/>
    <row r="12452" ht="14.25" customHeight="1" x14ac:dyDescent="0.25"/>
    <row r="12453" ht="14.25" customHeight="1" x14ac:dyDescent="0.25"/>
    <row r="12454" ht="14.25" customHeight="1" x14ac:dyDescent="0.25"/>
    <row r="12455" ht="14.25" customHeight="1" x14ac:dyDescent="0.25"/>
    <row r="12456" ht="14.25" customHeight="1" x14ac:dyDescent="0.25"/>
    <row r="12457" ht="14.25" customHeight="1" x14ac:dyDescent="0.25"/>
    <row r="12458" ht="14.25" customHeight="1" x14ac:dyDescent="0.25"/>
    <row r="12459" ht="14.25" customHeight="1" x14ac:dyDescent="0.25"/>
    <row r="12460" ht="14.25" customHeight="1" x14ac:dyDescent="0.25"/>
    <row r="12461" ht="14.25" customHeight="1" x14ac:dyDescent="0.25"/>
    <row r="12462" ht="14.25" customHeight="1" x14ac:dyDescent="0.25"/>
    <row r="12463" ht="14.25" customHeight="1" x14ac:dyDescent="0.25"/>
    <row r="12464" ht="14.25" customHeight="1" x14ac:dyDescent="0.25"/>
    <row r="12465" ht="14.25" customHeight="1" x14ac:dyDescent="0.25"/>
    <row r="12466" ht="14.25" customHeight="1" x14ac:dyDescent="0.25"/>
    <row r="12467" ht="14.25" customHeight="1" x14ac:dyDescent="0.25"/>
    <row r="12468" ht="14.25" customHeight="1" x14ac:dyDescent="0.25"/>
    <row r="12469" ht="14.25" customHeight="1" x14ac:dyDescent="0.25"/>
    <row r="12470" ht="14.25" customHeight="1" x14ac:dyDescent="0.25"/>
    <row r="12471" ht="14.25" customHeight="1" x14ac:dyDescent="0.25"/>
    <row r="12472" ht="14.25" customHeight="1" x14ac:dyDescent="0.25"/>
    <row r="12473" ht="14.25" customHeight="1" x14ac:dyDescent="0.25"/>
    <row r="12474" ht="14.25" customHeight="1" x14ac:dyDescent="0.25"/>
    <row r="12475" ht="14.25" customHeight="1" x14ac:dyDescent="0.25"/>
    <row r="12476" ht="14.25" customHeight="1" x14ac:dyDescent="0.25"/>
    <row r="12477" ht="14.25" customHeight="1" x14ac:dyDescent="0.25"/>
    <row r="12478" ht="14.25" customHeight="1" x14ac:dyDescent="0.25"/>
    <row r="12479" ht="14.25" customHeight="1" x14ac:dyDescent="0.25"/>
    <row r="12480" ht="14.25" customHeight="1" x14ac:dyDescent="0.25"/>
    <row r="12481" ht="14.25" customHeight="1" x14ac:dyDescent="0.25"/>
    <row r="12482" ht="14.25" customHeight="1" x14ac:dyDescent="0.25"/>
    <row r="12483" ht="14.25" customHeight="1" x14ac:dyDescent="0.25"/>
    <row r="12484" ht="14.25" customHeight="1" x14ac:dyDescent="0.25"/>
    <row r="12485" ht="14.25" customHeight="1" x14ac:dyDescent="0.25"/>
    <row r="12486" ht="14.25" customHeight="1" x14ac:dyDescent="0.25"/>
    <row r="12487" ht="14.25" customHeight="1" x14ac:dyDescent="0.25"/>
    <row r="12488" ht="14.25" customHeight="1" x14ac:dyDescent="0.25"/>
    <row r="12489" ht="14.25" customHeight="1" x14ac:dyDescent="0.25"/>
    <row r="12490" ht="14.25" customHeight="1" x14ac:dyDescent="0.25"/>
    <row r="12491" ht="14.25" customHeight="1" x14ac:dyDescent="0.25"/>
    <row r="12492" ht="14.25" customHeight="1" x14ac:dyDescent="0.25"/>
    <row r="12493" ht="14.25" customHeight="1" x14ac:dyDescent="0.25"/>
    <row r="12494" ht="14.25" customHeight="1" x14ac:dyDescent="0.25"/>
    <row r="12495" ht="14.25" customHeight="1" x14ac:dyDescent="0.25"/>
    <row r="12496" ht="14.25" customHeight="1" x14ac:dyDescent="0.25"/>
    <row r="12497" ht="14.25" customHeight="1" x14ac:dyDescent="0.25"/>
    <row r="12498" ht="14.25" customHeight="1" x14ac:dyDescent="0.25"/>
    <row r="12499" ht="14.25" customHeight="1" x14ac:dyDescent="0.25"/>
    <row r="12500" ht="14.25" customHeight="1" x14ac:dyDescent="0.25"/>
    <row r="12501" ht="14.25" customHeight="1" x14ac:dyDescent="0.25"/>
    <row r="12502" ht="14.25" customHeight="1" x14ac:dyDescent="0.25"/>
    <row r="12503" ht="14.25" customHeight="1" x14ac:dyDescent="0.25"/>
    <row r="12504" ht="14.25" customHeight="1" x14ac:dyDescent="0.25"/>
    <row r="12505" ht="14.25" customHeight="1" x14ac:dyDescent="0.25"/>
    <row r="12506" ht="14.25" customHeight="1" x14ac:dyDescent="0.25"/>
    <row r="12507" ht="14.25" customHeight="1" x14ac:dyDescent="0.25"/>
    <row r="12508" ht="14.25" customHeight="1" x14ac:dyDescent="0.25"/>
    <row r="12509" ht="14.25" customHeight="1" x14ac:dyDescent="0.25"/>
    <row r="12510" ht="14.25" customHeight="1" x14ac:dyDescent="0.25"/>
    <row r="12511" ht="14.25" customHeight="1" x14ac:dyDescent="0.25"/>
    <row r="12512" ht="14.25" customHeight="1" x14ac:dyDescent="0.25"/>
    <row r="12513" ht="14.25" customHeight="1" x14ac:dyDescent="0.25"/>
    <row r="12514" ht="14.25" customHeight="1" x14ac:dyDescent="0.25"/>
    <row r="12515" ht="14.25" customHeight="1" x14ac:dyDescent="0.25"/>
    <row r="12516" ht="14.25" customHeight="1" x14ac:dyDescent="0.25"/>
    <row r="12517" ht="14.25" customHeight="1" x14ac:dyDescent="0.25"/>
    <row r="12518" ht="14.25" customHeight="1" x14ac:dyDescent="0.25"/>
    <row r="12519" ht="14.25" customHeight="1" x14ac:dyDescent="0.25"/>
    <row r="12520" ht="14.25" customHeight="1" x14ac:dyDescent="0.25"/>
    <row r="12521" ht="14.25" customHeight="1" x14ac:dyDescent="0.25"/>
    <row r="12522" ht="14.25" customHeight="1" x14ac:dyDescent="0.25"/>
    <row r="12523" ht="14.25" customHeight="1" x14ac:dyDescent="0.25"/>
    <row r="12524" ht="14.25" customHeight="1" x14ac:dyDescent="0.25"/>
    <row r="12525" ht="14.25" customHeight="1" x14ac:dyDescent="0.25"/>
    <row r="12526" ht="14.25" customHeight="1" x14ac:dyDescent="0.25"/>
    <row r="12527" ht="14.25" customHeight="1" x14ac:dyDescent="0.25"/>
    <row r="12528" ht="14.25" customHeight="1" x14ac:dyDescent="0.25"/>
    <row r="12529" ht="14.25" customHeight="1" x14ac:dyDescent="0.25"/>
    <row r="12530" ht="14.25" customHeight="1" x14ac:dyDescent="0.25"/>
    <row r="12531" ht="14.25" customHeight="1" x14ac:dyDescent="0.25"/>
    <row r="12532" ht="14.25" customHeight="1" x14ac:dyDescent="0.25"/>
    <row r="12533" ht="14.25" customHeight="1" x14ac:dyDescent="0.25"/>
    <row r="12534" ht="14.25" customHeight="1" x14ac:dyDescent="0.25"/>
    <row r="12535" ht="14.25" customHeight="1" x14ac:dyDescent="0.25"/>
    <row r="12536" ht="14.25" customHeight="1" x14ac:dyDescent="0.25"/>
    <row r="12537" ht="14.25" customHeight="1" x14ac:dyDescent="0.25"/>
    <row r="12538" ht="14.25" customHeight="1" x14ac:dyDescent="0.25"/>
    <row r="12539" ht="14.25" customHeight="1" x14ac:dyDescent="0.25"/>
    <row r="12540" ht="14.25" customHeight="1" x14ac:dyDescent="0.25"/>
    <row r="12541" ht="14.25" customHeight="1" x14ac:dyDescent="0.25"/>
    <row r="12542" ht="14.25" customHeight="1" x14ac:dyDescent="0.25"/>
    <row r="12543" ht="14.25" customHeight="1" x14ac:dyDescent="0.25"/>
    <row r="12544" ht="14.25" customHeight="1" x14ac:dyDescent="0.25"/>
    <row r="12545" ht="14.25" customHeight="1" x14ac:dyDescent="0.25"/>
    <row r="12546" ht="14.25" customHeight="1" x14ac:dyDescent="0.25"/>
    <row r="12547" ht="14.25" customHeight="1" x14ac:dyDescent="0.25"/>
    <row r="12548" ht="14.25" customHeight="1" x14ac:dyDescent="0.25"/>
    <row r="12549" ht="14.25" customHeight="1" x14ac:dyDescent="0.25"/>
    <row r="12550" ht="14.25" customHeight="1" x14ac:dyDescent="0.25"/>
    <row r="12551" ht="14.25" customHeight="1" x14ac:dyDescent="0.25"/>
    <row r="12552" ht="14.25" customHeight="1" x14ac:dyDescent="0.25"/>
    <row r="12553" ht="14.25" customHeight="1" x14ac:dyDescent="0.25"/>
    <row r="12554" ht="14.25" customHeight="1" x14ac:dyDescent="0.25"/>
    <row r="12555" ht="14.25" customHeight="1" x14ac:dyDescent="0.25"/>
    <row r="12556" ht="14.25" customHeight="1" x14ac:dyDescent="0.25"/>
    <row r="12557" ht="14.25" customHeight="1" x14ac:dyDescent="0.25"/>
    <row r="12558" ht="14.25" customHeight="1" x14ac:dyDescent="0.25"/>
    <row r="12559" ht="14.25" customHeight="1" x14ac:dyDescent="0.25"/>
    <row r="12560" ht="14.25" customHeight="1" x14ac:dyDescent="0.25"/>
    <row r="12561" ht="14.25" customHeight="1" x14ac:dyDescent="0.25"/>
    <row r="12562" ht="14.25" customHeight="1" x14ac:dyDescent="0.25"/>
    <row r="12563" ht="14.25" customHeight="1" x14ac:dyDescent="0.25"/>
    <row r="12564" ht="14.25" customHeight="1" x14ac:dyDescent="0.25"/>
    <row r="12565" ht="14.25" customHeight="1" x14ac:dyDescent="0.25"/>
    <row r="12566" ht="14.25" customHeight="1" x14ac:dyDescent="0.25"/>
    <row r="12567" ht="14.25" customHeight="1" x14ac:dyDescent="0.25"/>
    <row r="12568" ht="14.25" customHeight="1" x14ac:dyDescent="0.25"/>
    <row r="12569" ht="14.25" customHeight="1" x14ac:dyDescent="0.25"/>
    <row r="12570" ht="14.25" customHeight="1" x14ac:dyDescent="0.25"/>
    <row r="12571" ht="14.25" customHeight="1" x14ac:dyDescent="0.25"/>
    <row r="12572" ht="14.25" customHeight="1" x14ac:dyDescent="0.25"/>
    <row r="12573" ht="14.25" customHeight="1" x14ac:dyDescent="0.25"/>
    <row r="12574" ht="14.25" customHeight="1" x14ac:dyDescent="0.25"/>
    <row r="12575" ht="14.25" customHeight="1" x14ac:dyDescent="0.25"/>
    <row r="12576" ht="14.25" customHeight="1" x14ac:dyDescent="0.25"/>
    <row r="12577" ht="14.25" customHeight="1" x14ac:dyDescent="0.25"/>
    <row r="12578" ht="14.25" customHeight="1" x14ac:dyDescent="0.25"/>
    <row r="12579" ht="14.25" customHeight="1" x14ac:dyDescent="0.25"/>
    <row r="12580" ht="14.25" customHeight="1" x14ac:dyDescent="0.25"/>
    <row r="12581" ht="14.25" customHeight="1" x14ac:dyDescent="0.25"/>
    <row r="12582" ht="14.25" customHeight="1" x14ac:dyDescent="0.25"/>
    <row r="12583" ht="14.25" customHeight="1" x14ac:dyDescent="0.25"/>
    <row r="12584" ht="14.25" customHeight="1" x14ac:dyDescent="0.25"/>
    <row r="12585" ht="14.25" customHeight="1" x14ac:dyDescent="0.25"/>
    <row r="12586" ht="14.25" customHeight="1" x14ac:dyDescent="0.25"/>
    <row r="12587" ht="14.25" customHeight="1" x14ac:dyDescent="0.25"/>
    <row r="12588" ht="14.25" customHeight="1" x14ac:dyDescent="0.25"/>
    <row r="12589" ht="14.25" customHeight="1" x14ac:dyDescent="0.25"/>
    <row r="12590" ht="14.25" customHeight="1" x14ac:dyDescent="0.25"/>
    <row r="12591" ht="14.25" customHeight="1" x14ac:dyDescent="0.25"/>
    <row r="12592" ht="14.25" customHeight="1" x14ac:dyDescent="0.25"/>
    <row r="12593" ht="14.25" customHeight="1" x14ac:dyDescent="0.25"/>
    <row r="12594" ht="14.25" customHeight="1" x14ac:dyDescent="0.25"/>
    <row r="12595" ht="14.25" customHeight="1" x14ac:dyDescent="0.25"/>
    <row r="12596" ht="14.25" customHeight="1" x14ac:dyDescent="0.25"/>
    <row r="12597" ht="14.25" customHeight="1" x14ac:dyDescent="0.25"/>
    <row r="12598" ht="14.25" customHeight="1" x14ac:dyDescent="0.25"/>
    <row r="12599" ht="14.25" customHeight="1" x14ac:dyDescent="0.25"/>
    <row r="12600" ht="14.25" customHeight="1" x14ac:dyDescent="0.25"/>
    <row r="12601" ht="14.25" customHeight="1" x14ac:dyDescent="0.25"/>
    <row r="12602" ht="14.25" customHeight="1" x14ac:dyDescent="0.25"/>
    <row r="12603" ht="14.25" customHeight="1" x14ac:dyDescent="0.25"/>
    <row r="12604" ht="14.25" customHeight="1" x14ac:dyDescent="0.25"/>
    <row r="12605" ht="14.25" customHeight="1" x14ac:dyDescent="0.25"/>
    <row r="12606" ht="14.25" customHeight="1" x14ac:dyDescent="0.25"/>
    <row r="12607" ht="14.25" customHeight="1" x14ac:dyDescent="0.25"/>
    <row r="12608" ht="14.25" customHeight="1" x14ac:dyDescent="0.25"/>
    <row r="12609" ht="14.25" customHeight="1" x14ac:dyDescent="0.25"/>
    <row r="12610" ht="14.25" customHeight="1" x14ac:dyDescent="0.25"/>
    <row r="12611" ht="14.25" customHeight="1" x14ac:dyDescent="0.25"/>
    <row r="12612" ht="14.25" customHeight="1" x14ac:dyDescent="0.25"/>
    <row r="12613" ht="14.25" customHeight="1" x14ac:dyDescent="0.25"/>
    <row r="12614" ht="14.25" customHeight="1" x14ac:dyDescent="0.25"/>
    <row r="12615" ht="14.25" customHeight="1" x14ac:dyDescent="0.25"/>
    <row r="12616" ht="14.25" customHeight="1" x14ac:dyDescent="0.25"/>
    <row r="12617" ht="14.25" customHeight="1" x14ac:dyDescent="0.25"/>
    <row r="12618" ht="14.25" customHeight="1" x14ac:dyDescent="0.25"/>
    <row r="12619" ht="14.25" customHeight="1" x14ac:dyDescent="0.25"/>
    <row r="12620" ht="14.25" customHeight="1" x14ac:dyDescent="0.25"/>
    <row r="12621" ht="14.25" customHeight="1" x14ac:dyDescent="0.25"/>
    <row r="12622" ht="14.25" customHeight="1" x14ac:dyDescent="0.25"/>
    <row r="12623" ht="14.25" customHeight="1" x14ac:dyDescent="0.25"/>
    <row r="12624" ht="14.25" customHeight="1" x14ac:dyDescent="0.25"/>
    <row r="12625" ht="14.25" customHeight="1" x14ac:dyDescent="0.25"/>
    <row r="12626" ht="14.25" customHeight="1" x14ac:dyDescent="0.25"/>
    <row r="12627" ht="14.25" customHeight="1" x14ac:dyDescent="0.25"/>
    <row r="12628" ht="14.25" customHeight="1" x14ac:dyDescent="0.25"/>
    <row r="12629" ht="14.25" customHeight="1" x14ac:dyDescent="0.25"/>
    <row r="12630" ht="14.25" customHeight="1" x14ac:dyDescent="0.25"/>
    <row r="12631" ht="14.25" customHeight="1" x14ac:dyDescent="0.25"/>
    <row r="12632" ht="14.25" customHeight="1" x14ac:dyDescent="0.25"/>
    <row r="12633" ht="14.25" customHeight="1" x14ac:dyDescent="0.25"/>
    <row r="12634" ht="14.25" customHeight="1" x14ac:dyDescent="0.25"/>
    <row r="12635" ht="14.25" customHeight="1" x14ac:dyDescent="0.25"/>
    <row r="12636" ht="14.25" customHeight="1" x14ac:dyDescent="0.25"/>
    <row r="12637" ht="14.25" customHeight="1" x14ac:dyDescent="0.25"/>
    <row r="12638" ht="14.25" customHeight="1" x14ac:dyDescent="0.25"/>
    <row r="12639" ht="14.25" customHeight="1" x14ac:dyDescent="0.25"/>
    <row r="12640" ht="14.25" customHeight="1" x14ac:dyDescent="0.25"/>
    <row r="12641" ht="14.25" customHeight="1" x14ac:dyDescent="0.25"/>
    <row r="12642" ht="14.25" customHeight="1" x14ac:dyDescent="0.25"/>
    <row r="12643" ht="14.25" customHeight="1" x14ac:dyDescent="0.25"/>
    <row r="12644" ht="14.25" customHeight="1" x14ac:dyDescent="0.25"/>
    <row r="12645" ht="14.25" customHeight="1" x14ac:dyDescent="0.25"/>
    <row r="12646" ht="14.25" customHeight="1" x14ac:dyDescent="0.25"/>
    <row r="12647" ht="14.25" customHeight="1" x14ac:dyDescent="0.25"/>
    <row r="12648" ht="14.25" customHeight="1" x14ac:dyDescent="0.25"/>
    <row r="12649" ht="14.25" customHeight="1" x14ac:dyDescent="0.25"/>
    <row r="12650" ht="14.25" customHeight="1" x14ac:dyDescent="0.25"/>
    <row r="12651" ht="14.25" customHeight="1" x14ac:dyDescent="0.25"/>
    <row r="12652" ht="14.25" customHeight="1" x14ac:dyDescent="0.25"/>
    <row r="12653" ht="14.25" customHeight="1" x14ac:dyDescent="0.25"/>
    <row r="12654" ht="14.25" customHeight="1" x14ac:dyDescent="0.25"/>
    <row r="12655" ht="14.25" customHeight="1" x14ac:dyDescent="0.25"/>
    <row r="12656" ht="14.25" customHeight="1" x14ac:dyDescent="0.25"/>
    <row r="12657" ht="14.25" customHeight="1" x14ac:dyDescent="0.25"/>
    <row r="12658" ht="14.25" customHeight="1" x14ac:dyDescent="0.25"/>
    <row r="12659" ht="14.25" customHeight="1" x14ac:dyDescent="0.25"/>
    <row r="12660" ht="14.25" customHeight="1" x14ac:dyDescent="0.25"/>
    <row r="12661" ht="14.25" customHeight="1" x14ac:dyDescent="0.25"/>
    <row r="12662" ht="14.25" customHeight="1" x14ac:dyDescent="0.25"/>
    <row r="12663" ht="14.25" customHeight="1" x14ac:dyDescent="0.25"/>
    <row r="12664" ht="14.25" customHeight="1" x14ac:dyDescent="0.25"/>
    <row r="12665" ht="14.25" customHeight="1" x14ac:dyDescent="0.25"/>
    <row r="12666" ht="14.25" customHeight="1" x14ac:dyDescent="0.25"/>
    <row r="12667" ht="14.25" customHeight="1" x14ac:dyDescent="0.25"/>
    <row r="12668" ht="14.25" customHeight="1" x14ac:dyDescent="0.25"/>
    <row r="12669" ht="14.25" customHeight="1" x14ac:dyDescent="0.25"/>
    <row r="12670" ht="14.25" customHeight="1" x14ac:dyDescent="0.25"/>
    <row r="12671" ht="14.25" customHeight="1" x14ac:dyDescent="0.25"/>
    <row r="12672" ht="14.25" customHeight="1" x14ac:dyDescent="0.25"/>
    <row r="12673" ht="14.25" customHeight="1" x14ac:dyDescent="0.25"/>
    <row r="12674" ht="14.25" customHeight="1" x14ac:dyDescent="0.25"/>
    <row r="12675" ht="14.25" customHeight="1" x14ac:dyDescent="0.25"/>
    <row r="12676" ht="14.25" customHeight="1" x14ac:dyDescent="0.25"/>
    <row r="12677" ht="14.25" customHeight="1" x14ac:dyDescent="0.25"/>
    <row r="12678" ht="14.25" customHeight="1" x14ac:dyDescent="0.25"/>
    <row r="12679" ht="14.25" customHeight="1" x14ac:dyDescent="0.25"/>
    <row r="12680" ht="14.25" customHeight="1" x14ac:dyDescent="0.25"/>
    <row r="12681" ht="14.25" customHeight="1" x14ac:dyDescent="0.25"/>
    <row r="12682" ht="14.25" customHeight="1" x14ac:dyDescent="0.25"/>
    <row r="12683" ht="14.25" customHeight="1" x14ac:dyDescent="0.25"/>
    <row r="12684" ht="14.25" customHeight="1" x14ac:dyDescent="0.25"/>
    <row r="12685" ht="14.25" customHeight="1" x14ac:dyDescent="0.25"/>
    <row r="12686" ht="14.25" customHeight="1" x14ac:dyDescent="0.25"/>
    <row r="12687" ht="14.25" customHeight="1" x14ac:dyDescent="0.25"/>
    <row r="12688" ht="14.25" customHeight="1" x14ac:dyDescent="0.25"/>
    <row r="12689" ht="14.25" customHeight="1" x14ac:dyDescent="0.25"/>
    <row r="12690" ht="14.25" customHeight="1" x14ac:dyDescent="0.25"/>
    <row r="12691" ht="14.25" customHeight="1" x14ac:dyDescent="0.25"/>
    <row r="12692" ht="14.25" customHeight="1" x14ac:dyDescent="0.25"/>
    <row r="12693" ht="14.25" customHeight="1" x14ac:dyDescent="0.25"/>
    <row r="12694" ht="14.25" customHeight="1" x14ac:dyDescent="0.25"/>
    <row r="12695" ht="14.25" customHeight="1" x14ac:dyDescent="0.25"/>
    <row r="12696" ht="14.25" customHeight="1" x14ac:dyDescent="0.25"/>
    <row r="12697" ht="14.25" customHeight="1" x14ac:dyDescent="0.25"/>
    <row r="12698" ht="14.25" customHeight="1" x14ac:dyDescent="0.25"/>
    <row r="12699" ht="14.25" customHeight="1" x14ac:dyDescent="0.25"/>
    <row r="12700" ht="14.25" customHeight="1" x14ac:dyDescent="0.25"/>
    <row r="12701" ht="14.25" customHeight="1" x14ac:dyDescent="0.25"/>
    <row r="12702" ht="14.25" customHeight="1" x14ac:dyDescent="0.25"/>
    <row r="12703" ht="14.25" customHeight="1" x14ac:dyDescent="0.25"/>
    <row r="12704" ht="14.25" customHeight="1" x14ac:dyDescent="0.25"/>
    <row r="12705" ht="14.25" customHeight="1" x14ac:dyDescent="0.25"/>
    <row r="12706" ht="14.25" customHeight="1" x14ac:dyDescent="0.25"/>
    <row r="12707" ht="14.25" customHeight="1" x14ac:dyDescent="0.25"/>
    <row r="12708" ht="14.25" customHeight="1" x14ac:dyDescent="0.25"/>
    <row r="12709" ht="14.25" customHeight="1" x14ac:dyDescent="0.25"/>
    <row r="12710" ht="14.25" customHeight="1" x14ac:dyDescent="0.25"/>
    <row r="12711" ht="14.25" customHeight="1" x14ac:dyDescent="0.25"/>
    <row r="12712" ht="14.25" customHeight="1" x14ac:dyDescent="0.25"/>
    <row r="12713" ht="14.25" customHeight="1" x14ac:dyDescent="0.25"/>
    <row r="12714" ht="14.25" customHeight="1" x14ac:dyDescent="0.25"/>
    <row r="12715" ht="14.25" customHeight="1" x14ac:dyDescent="0.25"/>
    <row r="12716" ht="14.25" customHeight="1" x14ac:dyDescent="0.25"/>
    <row r="12717" ht="14.25" customHeight="1" x14ac:dyDescent="0.25"/>
    <row r="12718" ht="14.25" customHeight="1" x14ac:dyDescent="0.25"/>
    <row r="12719" ht="14.25" customHeight="1" x14ac:dyDescent="0.25"/>
    <row r="12720" ht="14.25" customHeight="1" x14ac:dyDescent="0.25"/>
    <row r="12721" ht="14.25" customHeight="1" x14ac:dyDescent="0.25"/>
    <row r="12722" ht="14.25" customHeight="1" x14ac:dyDescent="0.25"/>
    <row r="12723" ht="14.25" customHeight="1" x14ac:dyDescent="0.25"/>
    <row r="12724" ht="14.25" customHeight="1" x14ac:dyDescent="0.25"/>
    <row r="12725" ht="14.25" customHeight="1" x14ac:dyDescent="0.25"/>
    <row r="12726" ht="14.25" customHeight="1" x14ac:dyDescent="0.25"/>
    <row r="12727" ht="14.25" customHeight="1" x14ac:dyDescent="0.25"/>
    <row r="12728" ht="14.25" customHeight="1" x14ac:dyDescent="0.25"/>
    <row r="12729" ht="14.25" customHeight="1" x14ac:dyDescent="0.25"/>
    <row r="12730" ht="14.25" customHeight="1" x14ac:dyDescent="0.25"/>
    <row r="12731" ht="14.25" customHeight="1" x14ac:dyDescent="0.25"/>
    <row r="12732" ht="14.25" customHeight="1" x14ac:dyDescent="0.25"/>
    <row r="12733" ht="14.25" customHeight="1" x14ac:dyDescent="0.25"/>
    <row r="12734" ht="14.25" customHeight="1" x14ac:dyDescent="0.25"/>
    <row r="12735" ht="14.25" customHeight="1" x14ac:dyDescent="0.25"/>
    <row r="12736" ht="14.25" customHeight="1" x14ac:dyDescent="0.25"/>
    <row r="12737" ht="14.25" customHeight="1" x14ac:dyDescent="0.25"/>
    <row r="12738" ht="14.25" customHeight="1" x14ac:dyDescent="0.25"/>
    <row r="12739" ht="14.25" customHeight="1" x14ac:dyDescent="0.25"/>
    <row r="12740" ht="14.25" customHeight="1" x14ac:dyDescent="0.25"/>
    <row r="12741" ht="14.25" customHeight="1" x14ac:dyDescent="0.25"/>
    <row r="12742" ht="14.25" customHeight="1" x14ac:dyDescent="0.25"/>
    <row r="12743" ht="14.25" customHeight="1" x14ac:dyDescent="0.25"/>
    <row r="12744" ht="14.25" customHeight="1" x14ac:dyDescent="0.25"/>
    <row r="12745" ht="14.25" customHeight="1" x14ac:dyDescent="0.25"/>
    <row r="12746" ht="14.25" customHeight="1" x14ac:dyDescent="0.25"/>
    <row r="12747" ht="14.25" customHeight="1" x14ac:dyDescent="0.25"/>
    <row r="12748" ht="14.25" customHeight="1" x14ac:dyDescent="0.25"/>
    <row r="12749" ht="14.25" customHeight="1" x14ac:dyDescent="0.25"/>
    <row r="12750" ht="14.25" customHeight="1" x14ac:dyDescent="0.25"/>
    <row r="12751" ht="14.25" customHeight="1" x14ac:dyDescent="0.25"/>
    <row r="12752" ht="14.25" customHeight="1" x14ac:dyDescent="0.25"/>
    <row r="12753" ht="14.25" customHeight="1" x14ac:dyDescent="0.25"/>
    <row r="12754" ht="14.25" customHeight="1" x14ac:dyDescent="0.25"/>
    <row r="12755" ht="14.25" customHeight="1" x14ac:dyDescent="0.25"/>
    <row r="12756" ht="14.25" customHeight="1" x14ac:dyDescent="0.25"/>
    <row r="12757" ht="14.25" customHeight="1" x14ac:dyDescent="0.25"/>
    <row r="12758" ht="14.25" customHeight="1" x14ac:dyDescent="0.25"/>
    <row r="12759" ht="14.25" customHeight="1" x14ac:dyDescent="0.25"/>
    <row r="12760" ht="14.25" customHeight="1" x14ac:dyDescent="0.25"/>
    <row r="12761" ht="14.25" customHeight="1" x14ac:dyDescent="0.25"/>
    <row r="12762" ht="14.25" customHeight="1" x14ac:dyDescent="0.25"/>
    <row r="12763" ht="14.25" customHeight="1" x14ac:dyDescent="0.25"/>
    <row r="12764" ht="14.25" customHeight="1" x14ac:dyDescent="0.25"/>
    <row r="12765" ht="14.25" customHeight="1" x14ac:dyDescent="0.25"/>
    <row r="12766" ht="14.25" customHeight="1" x14ac:dyDescent="0.25"/>
    <row r="12767" ht="14.25" customHeight="1" x14ac:dyDescent="0.25"/>
    <row r="12768" ht="14.25" customHeight="1" x14ac:dyDescent="0.25"/>
    <row r="12769" ht="14.25" customHeight="1" x14ac:dyDescent="0.25"/>
    <row r="12770" ht="14.25" customHeight="1" x14ac:dyDescent="0.25"/>
    <row r="12771" ht="14.25" customHeight="1" x14ac:dyDescent="0.25"/>
    <row r="12772" ht="14.25" customHeight="1" x14ac:dyDescent="0.25"/>
    <row r="12773" ht="14.25" customHeight="1" x14ac:dyDescent="0.25"/>
    <row r="12774" ht="14.25" customHeight="1" x14ac:dyDescent="0.25"/>
    <row r="12775" ht="14.25" customHeight="1" x14ac:dyDescent="0.25"/>
    <row r="12776" ht="14.25" customHeight="1" x14ac:dyDescent="0.25"/>
    <row r="12777" ht="14.25" customHeight="1" x14ac:dyDescent="0.25"/>
    <row r="12778" ht="14.25" customHeight="1" x14ac:dyDescent="0.25"/>
    <row r="12779" ht="14.25" customHeight="1" x14ac:dyDescent="0.25"/>
    <row r="12780" ht="14.25" customHeight="1" x14ac:dyDescent="0.25"/>
    <row r="12781" ht="14.25" customHeight="1" x14ac:dyDescent="0.25"/>
    <row r="12782" ht="14.25" customHeight="1" x14ac:dyDescent="0.25"/>
    <row r="12783" ht="14.25" customHeight="1" x14ac:dyDescent="0.25"/>
    <row r="12784" ht="14.25" customHeight="1" x14ac:dyDescent="0.25"/>
    <row r="12785" ht="14.25" customHeight="1" x14ac:dyDescent="0.25"/>
    <row r="12786" ht="14.25" customHeight="1" x14ac:dyDescent="0.25"/>
    <row r="12787" ht="14.25" customHeight="1" x14ac:dyDescent="0.25"/>
    <row r="12788" ht="14.25" customHeight="1" x14ac:dyDescent="0.25"/>
    <row r="12789" ht="14.25" customHeight="1" x14ac:dyDescent="0.25"/>
    <row r="12790" ht="14.25" customHeight="1" x14ac:dyDescent="0.25"/>
    <row r="12791" ht="14.25" customHeight="1" x14ac:dyDescent="0.25"/>
    <row r="12792" ht="14.25" customHeight="1" x14ac:dyDescent="0.25"/>
    <row r="12793" ht="14.25" customHeight="1" x14ac:dyDescent="0.25"/>
    <row r="12794" ht="14.25" customHeight="1" x14ac:dyDescent="0.25"/>
    <row r="12795" ht="14.25" customHeight="1" x14ac:dyDescent="0.25"/>
    <row r="12796" ht="14.25" customHeight="1" x14ac:dyDescent="0.25"/>
    <row r="12797" ht="14.25" customHeight="1" x14ac:dyDescent="0.25"/>
    <row r="12798" ht="14.25" customHeight="1" x14ac:dyDescent="0.25"/>
    <row r="12799" ht="14.25" customHeight="1" x14ac:dyDescent="0.25"/>
    <row r="12800" ht="14.25" customHeight="1" x14ac:dyDescent="0.25"/>
    <row r="12801" ht="14.25" customHeight="1" x14ac:dyDescent="0.25"/>
    <row r="12802" ht="14.25" customHeight="1" x14ac:dyDescent="0.25"/>
    <row r="12803" ht="14.25" customHeight="1" x14ac:dyDescent="0.25"/>
    <row r="12804" ht="14.25" customHeight="1" x14ac:dyDescent="0.25"/>
    <row r="12805" ht="14.25" customHeight="1" x14ac:dyDescent="0.25"/>
    <row r="12806" ht="14.25" customHeight="1" x14ac:dyDescent="0.25"/>
    <row r="12807" ht="14.25" customHeight="1" x14ac:dyDescent="0.25"/>
    <row r="12808" ht="14.25" customHeight="1" x14ac:dyDescent="0.25"/>
    <row r="12809" ht="14.25" customHeight="1" x14ac:dyDescent="0.25"/>
    <row r="12810" ht="14.25" customHeight="1" x14ac:dyDescent="0.25"/>
    <row r="12811" ht="14.25" customHeight="1" x14ac:dyDescent="0.25"/>
    <row r="12812" ht="14.25" customHeight="1" x14ac:dyDescent="0.25"/>
    <row r="12813" ht="14.25" customHeight="1" x14ac:dyDescent="0.25"/>
    <row r="12814" ht="14.25" customHeight="1" x14ac:dyDescent="0.25"/>
    <row r="12815" ht="14.25" customHeight="1" x14ac:dyDescent="0.25"/>
    <row r="12816" ht="14.25" customHeight="1" x14ac:dyDescent="0.25"/>
    <row r="12817" ht="14.25" customHeight="1" x14ac:dyDescent="0.25"/>
    <row r="12818" ht="14.25" customHeight="1" x14ac:dyDescent="0.25"/>
    <row r="12819" ht="14.25" customHeight="1" x14ac:dyDescent="0.25"/>
    <row r="12820" ht="14.25" customHeight="1" x14ac:dyDescent="0.25"/>
    <row r="12821" ht="14.25" customHeight="1" x14ac:dyDescent="0.25"/>
    <row r="12822" ht="14.25" customHeight="1" x14ac:dyDescent="0.25"/>
    <row r="12823" ht="14.25" customHeight="1" x14ac:dyDescent="0.25"/>
    <row r="12824" ht="14.25" customHeight="1" x14ac:dyDescent="0.25"/>
    <row r="12825" ht="14.25" customHeight="1" x14ac:dyDescent="0.25"/>
    <row r="12826" ht="14.25" customHeight="1" x14ac:dyDescent="0.25"/>
    <row r="12827" ht="14.25" customHeight="1" x14ac:dyDescent="0.25"/>
    <row r="12828" ht="14.25" customHeight="1" x14ac:dyDescent="0.25"/>
    <row r="12829" ht="14.25" customHeight="1" x14ac:dyDescent="0.25"/>
    <row r="12830" ht="14.25" customHeight="1" x14ac:dyDescent="0.25"/>
    <row r="12831" ht="14.25" customHeight="1" x14ac:dyDescent="0.25"/>
    <row r="12832" ht="14.25" customHeight="1" x14ac:dyDescent="0.25"/>
    <row r="12833" ht="14.25" customHeight="1" x14ac:dyDescent="0.25"/>
    <row r="12834" ht="14.25" customHeight="1" x14ac:dyDescent="0.25"/>
    <row r="12835" ht="14.25" customHeight="1" x14ac:dyDescent="0.25"/>
    <row r="12836" ht="14.25" customHeight="1" x14ac:dyDescent="0.25"/>
    <row r="12837" ht="14.25" customHeight="1" x14ac:dyDescent="0.25"/>
    <row r="12838" ht="14.25" customHeight="1" x14ac:dyDescent="0.25"/>
    <row r="12839" ht="14.25" customHeight="1" x14ac:dyDescent="0.25"/>
    <row r="12840" ht="14.25" customHeight="1" x14ac:dyDescent="0.25"/>
    <row r="12841" ht="14.25" customHeight="1" x14ac:dyDescent="0.25"/>
    <row r="12842" ht="14.25" customHeight="1" x14ac:dyDescent="0.25"/>
    <row r="12843" ht="14.25" customHeight="1" x14ac:dyDescent="0.25"/>
    <row r="12844" ht="14.25" customHeight="1" x14ac:dyDescent="0.25"/>
    <row r="12845" ht="14.25" customHeight="1" x14ac:dyDescent="0.25"/>
    <row r="12846" ht="14.25" customHeight="1" x14ac:dyDescent="0.25"/>
    <row r="12847" ht="14.25" customHeight="1" x14ac:dyDescent="0.25"/>
    <row r="12848" ht="14.25" customHeight="1" x14ac:dyDescent="0.25"/>
    <row r="12849" ht="14.25" customHeight="1" x14ac:dyDescent="0.25"/>
    <row r="12850" ht="14.25" customHeight="1" x14ac:dyDescent="0.25"/>
    <row r="12851" ht="14.25" customHeight="1" x14ac:dyDescent="0.25"/>
    <row r="12852" ht="14.25" customHeight="1" x14ac:dyDescent="0.25"/>
    <row r="12853" ht="14.25" customHeight="1" x14ac:dyDescent="0.25"/>
    <row r="12854" ht="14.25" customHeight="1" x14ac:dyDescent="0.25"/>
    <row r="12855" ht="14.25" customHeight="1" x14ac:dyDescent="0.25"/>
    <row r="12856" ht="14.25" customHeight="1" x14ac:dyDescent="0.25"/>
    <row r="12857" ht="14.25" customHeight="1" x14ac:dyDescent="0.25"/>
    <row r="12858" ht="14.25" customHeight="1" x14ac:dyDescent="0.25"/>
    <row r="12859" ht="14.25" customHeight="1" x14ac:dyDescent="0.25"/>
    <row r="12860" ht="14.25" customHeight="1" x14ac:dyDescent="0.25"/>
    <row r="12861" ht="14.25" customHeight="1" x14ac:dyDescent="0.25"/>
    <row r="12862" ht="14.25" customHeight="1" x14ac:dyDescent="0.25"/>
    <row r="12863" ht="14.25" customHeight="1" x14ac:dyDescent="0.25"/>
    <row r="12864" ht="14.25" customHeight="1" x14ac:dyDescent="0.25"/>
    <row r="12865" ht="14.25" customHeight="1" x14ac:dyDescent="0.25"/>
    <row r="12866" ht="14.25" customHeight="1" x14ac:dyDescent="0.25"/>
    <row r="12867" ht="14.25" customHeight="1" x14ac:dyDescent="0.25"/>
    <row r="12868" ht="14.25" customHeight="1" x14ac:dyDescent="0.25"/>
    <row r="12869" ht="14.25" customHeight="1" x14ac:dyDescent="0.25"/>
    <row r="12870" ht="14.25" customHeight="1" x14ac:dyDescent="0.25"/>
    <row r="12871" ht="14.25" customHeight="1" x14ac:dyDescent="0.25"/>
    <row r="12872" ht="14.25" customHeight="1" x14ac:dyDescent="0.25"/>
    <row r="12873" ht="14.25" customHeight="1" x14ac:dyDescent="0.25"/>
    <row r="12874" ht="14.25" customHeight="1" x14ac:dyDescent="0.25"/>
    <row r="12875" ht="14.25" customHeight="1" x14ac:dyDescent="0.25"/>
    <row r="12876" ht="14.25" customHeight="1" x14ac:dyDescent="0.25"/>
    <row r="12877" ht="14.25" customHeight="1" x14ac:dyDescent="0.25"/>
    <row r="12878" ht="14.25" customHeight="1" x14ac:dyDescent="0.25"/>
    <row r="12879" ht="14.25" customHeight="1" x14ac:dyDescent="0.25"/>
    <row r="12880" ht="14.25" customHeight="1" x14ac:dyDescent="0.25"/>
    <row r="12881" ht="14.25" customHeight="1" x14ac:dyDescent="0.25"/>
    <row r="12882" ht="14.25" customHeight="1" x14ac:dyDescent="0.25"/>
    <row r="12883" ht="14.25" customHeight="1" x14ac:dyDescent="0.25"/>
    <row r="12884" ht="14.25" customHeight="1" x14ac:dyDescent="0.25"/>
    <row r="12885" ht="14.25" customHeight="1" x14ac:dyDescent="0.25"/>
    <row r="12886" ht="14.25" customHeight="1" x14ac:dyDescent="0.25"/>
    <row r="12887" ht="14.25" customHeight="1" x14ac:dyDescent="0.25"/>
    <row r="12888" ht="14.25" customHeight="1" x14ac:dyDescent="0.25"/>
    <row r="12889" ht="14.25" customHeight="1" x14ac:dyDescent="0.25"/>
    <row r="12890" ht="14.25" customHeight="1" x14ac:dyDescent="0.25"/>
    <row r="12891" ht="14.25" customHeight="1" x14ac:dyDescent="0.25"/>
    <row r="12892" ht="14.25" customHeight="1" x14ac:dyDescent="0.25"/>
    <row r="12893" ht="14.25" customHeight="1" x14ac:dyDescent="0.25"/>
    <row r="12894" ht="14.25" customHeight="1" x14ac:dyDescent="0.25"/>
    <row r="12895" ht="14.25" customHeight="1" x14ac:dyDescent="0.25"/>
    <row r="12896" ht="14.25" customHeight="1" x14ac:dyDescent="0.25"/>
    <row r="12897" ht="14.25" customHeight="1" x14ac:dyDescent="0.25"/>
    <row r="12898" ht="14.25" customHeight="1" x14ac:dyDescent="0.25"/>
    <row r="12899" ht="14.25" customHeight="1" x14ac:dyDescent="0.25"/>
    <row r="12900" ht="14.25" customHeight="1" x14ac:dyDescent="0.25"/>
    <row r="12901" ht="14.25" customHeight="1" x14ac:dyDescent="0.25"/>
    <row r="12902" ht="14.25" customHeight="1" x14ac:dyDescent="0.25"/>
    <row r="12903" ht="14.25" customHeight="1" x14ac:dyDescent="0.25"/>
    <row r="12904" ht="14.25" customHeight="1" x14ac:dyDescent="0.25"/>
    <row r="12905" ht="14.25" customHeight="1" x14ac:dyDescent="0.25"/>
    <row r="12906" ht="14.25" customHeight="1" x14ac:dyDescent="0.25"/>
    <row r="12907" ht="14.25" customHeight="1" x14ac:dyDescent="0.25"/>
    <row r="12908" ht="14.25" customHeight="1" x14ac:dyDescent="0.25"/>
    <row r="12909" ht="14.25" customHeight="1" x14ac:dyDescent="0.25"/>
    <row r="12910" ht="14.25" customHeight="1" x14ac:dyDescent="0.25"/>
    <row r="12911" ht="14.25" customHeight="1" x14ac:dyDescent="0.25"/>
    <row r="12912" ht="14.25" customHeight="1" x14ac:dyDescent="0.25"/>
    <row r="12913" ht="14.25" customHeight="1" x14ac:dyDescent="0.25"/>
    <row r="12914" ht="14.25" customHeight="1" x14ac:dyDescent="0.25"/>
    <row r="12915" ht="14.25" customHeight="1" x14ac:dyDescent="0.25"/>
    <row r="12916" ht="14.25" customHeight="1" x14ac:dyDescent="0.25"/>
    <row r="12917" ht="14.25" customHeight="1" x14ac:dyDescent="0.25"/>
    <row r="12918" ht="14.25" customHeight="1" x14ac:dyDescent="0.25"/>
    <row r="12919" ht="14.25" customHeight="1" x14ac:dyDescent="0.25"/>
    <row r="12920" ht="14.25" customHeight="1" x14ac:dyDescent="0.25"/>
    <row r="12921" ht="14.25" customHeight="1" x14ac:dyDescent="0.25"/>
    <row r="12922" ht="14.25" customHeight="1" x14ac:dyDescent="0.25"/>
    <row r="12923" ht="14.25" customHeight="1" x14ac:dyDescent="0.25"/>
    <row r="12924" ht="14.25" customHeight="1" x14ac:dyDescent="0.25"/>
    <row r="12925" ht="14.25" customHeight="1" x14ac:dyDescent="0.25"/>
    <row r="12926" ht="14.25" customHeight="1" x14ac:dyDescent="0.25"/>
    <row r="12927" ht="14.25" customHeight="1" x14ac:dyDescent="0.25"/>
    <row r="12928" ht="14.25" customHeight="1" x14ac:dyDescent="0.25"/>
    <row r="12929" ht="14.25" customHeight="1" x14ac:dyDescent="0.25"/>
    <row r="12930" ht="14.25" customHeight="1" x14ac:dyDescent="0.25"/>
    <row r="12931" ht="14.25" customHeight="1" x14ac:dyDescent="0.25"/>
    <row r="12932" ht="14.25" customHeight="1" x14ac:dyDescent="0.25"/>
    <row r="12933" ht="14.25" customHeight="1" x14ac:dyDescent="0.25"/>
    <row r="12934" ht="14.25" customHeight="1" x14ac:dyDescent="0.25"/>
    <row r="12935" ht="14.25" customHeight="1" x14ac:dyDescent="0.25"/>
    <row r="12936" ht="14.25" customHeight="1" x14ac:dyDescent="0.25"/>
    <row r="12937" ht="14.25" customHeight="1" x14ac:dyDescent="0.25"/>
    <row r="12938" ht="14.25" customHeight="1" x14ac:dyDescent="0.25"/>
    <row r="12939" ht="14.25" customHeight="1" x14ac:dyDescent="0.25"/>
    <row r="12940" ht="14.25" customHeight="1" x14ac:dyDescent="0.25"/>
    <row r="12941" ht="14.25" customHeight="1" x14ac:dyDescent="0.25"/>
    <row r="12942" ht="14.25" customHeight="1" x14ac:dyDescent="0.25"/>
    <row r="12943" ht="14.25" customHeight="1" x14ac:dyDescent="0.25"/>
    <row r="12944" ht="14.25" customHeight="1" x14ac:dyDescent="0.25"/>
    <row r="12945" ht="14.25" customHeight="1" x14ac:dyDescent="0.25"/>
    <row r="12946" ht="14.25" customHeight="1" x14ac:dyDescent="0.25"/>
    <row r="12947" ht="14.25" customHeight="1" x14ac:dyDescent="0.25"/>
    <row r="12948" ht="14.25" customHeight="1" x14ac:dyDescent="0.25"/>
    <row r="12949" ht="14.25" customHeight="1" x14ac:dyDescent="0.25"/>
    <row r="12950" ht="14.25" customHeight="1" x14ac:dyDescent="0.25"/>
    <row r="12951" ht="14.25" customHeight="1" x14ac:dyDescent="0.25"/>
    <row r="12952" ht="14.25" customHeight="1" x14ac:dyDescent="0.25"/>
    <row r="12953" ht="14.25" customHeight="1" x14ac:dyDescent="0.25"/>
    <row r="12954" ht="14.25" customHeight="1" x14ac:dyDescent="0.25"/>
    <row r="12955" ht="14.25" customHeight="1" x14ac:dyDescent="0.25"/>
    <row r="12956" ht="14.25" customHeight="1" x14ac:dyDescent="0.25"/>
    <row r="12957" ht="14.25" customHeight="1" x14ac:dyDescent="0.25"/>
    <row r="12958" ht="14.25" customHeight="1" x14ac:dyDescent="0.25"/>
    <row r="12959" ht="14.25" customHeight="1" x14ac:dyDescent="0.25"/>
    <row r="12960" ht="14.25" customHeight="1" x14ac:dyDescent="0.25"/>
    <row r="12961" ht="14.25" customHeight="1" x14ac:dyDescent="0.25"/>
    <row r="12962" ht="14.25" customHeight="1" x14ac:dyDescent="0.25"/>
    <row r="12963" ht="14.25" customHeight="1" x14ac:dyDescent="0.25"/>
    <row r="12964" ht="14.25" customHeight="1" x14ac:dyDescent="0.25"/>
    <row r="12965" ht="14.25" customHeight="1" x14ac:dyDescent="0.25"/>
    <row r="12966" ht="14.25" customHeight="1" x14ac:dyDescent="0.25"/>
    <row r="12967" ht="14.25" customHeight="1" x14ac:dyDescent="0.25"/>
    <row r="12968" ht="14.25" customHeight="1" x14ac:dyDescent="0.25"/>
    <row r="12969" ht="14.25" customHeight="1" x14ac:dyDescent="0.25"/>
    <row r="12970" ht="14.25" customHeight="1" x14ac:dyDescent="0.25"/>
    <row r="12971" ht="14.25" customHeight="1" x14ac:dyDescent="0.25"/>
    <row r="12972" ht="14.25" customHeight="1" x14ac:dyDescent="0.25"/>
    <row r="12973" ht="14.25" customHeight="1" x14ac:dyDescent="0.25"/>
    <row r="12974" ht="14.25" customHeight="1" x14ac:dyDescent="0.25"/>
    <row r="12975" ht="14.25" customHeight="1" x14ac:dyDescent="0.25"/>
    <row r="12976" ht="14.25" customHeight="1" x14ac:dyDescent="0.25"/>
    <row r="12977" ht="14.25" customHeight="1" x14ac:dyDescent="0.25"/>
    <row r="12978" ht="14.25" customHeight="1" x14ac:dyDescent="0.25"/>
    <row r="12979" ht="14.25" customHeight="1" x14ac:dyDescent="0.25"/>
    <row r="12980" ht="14.25" customHeight="1" x14ac:dyDescent="0.25"/>
    <row r="12981" ht="14.25" customHeight="1" x14ac:dyDescent="0.25"/>
    <row r="12982" ht="14.25" customHeight="1" x14ac:dyDescent="0.25"/>
    <row r="12983" ht="14.25" customHeight="1" x14ac:dyDescent="0.25"/>
    <row r="12984" ht="14.25" customHeight="1" x14ac:dyDescent="0.25"/>
    <row r="12985" ht="14.25" customHeight="1" x14ac:dyDescent="0.25"/>
    <row r="12986" ht="14.25" customHeight="1" x14ac:dyDescent="0.25"/>
    <row r="12987" ht="14.25" customHeight="1" x14ac:dyDescent="0.25"/>
    <row r="12988" ht="14.25" customHeight="1" x14ac:dyDescent="0.25"/>
    <row r="12989" ht="14.25" customHeight="1" x14ac:dyDescent="0.25"/>
    <row r="12990" ht="14.25" customHeight="1" x14ac:dyDescent="0.25"/>
    <row r="12991" ht="14.25" customHeight="1" x14ac:dyDescent="0.25"/>
    <row r="12992" ht="14.25" customHeight="1" x14ac:dyDescent="0.25"/>
    <row r="12993" ht="14.25" customHeight="1" x14ac:dyDescent="0.25"/>
    <row r="12994" ht="14.25" customHeight="1" x14ac:dyDescent="0.25"/>
    <row r="12995" ht="14.25" customHeight="1" x14ac:dyDescent="0.25"/>
    <row r="12996" ht="14.25" customHeight="1" x14ac:dyDescent="0.25"/>
    <row r="12997" ht="14.25" customHeight="1" x14ac:dyDescent="0.25"/>
    <row r="12998" ht="14.25" customHeight="1" x14ac:dyDescent="0.25"/>
    <row r="12999" ht="14.25" customHeight="1" x14ac:dyDescent="0.25"/>
    <row r="13000" ht="14.25" customHeight="1" x14ac:dyDescent="0.25"/>
    <row r="13001" ht="14.25" customHeight="1" x14ac:dyDescent="0.25"/>
    <row r="13002" ht="14.25" customHeight="1" x14ac:dyDescent="0.25"/>
    <row r="13003" ht="14.25" customHeight="1" x14ac:dyDescent="0.25"/>
    <row r="13004" ht="14.25" customHeight="1" x14ac:dyDescent="0.25"/>
    <row r="13005" ht="14.25" customHeight="1" x14ac:dyDescent="0.25"/>
    <row r="13006" ht="14.25" customHeight="1" x14ac:dyDescent="0.25"/>
    <row r="13007" ht="14.25" customHeight="1" x14ac:dyDescent="0.25"/>
    <row r="13008" ht="14.25" customHeight="1" x14ac:dyDescent="0.25"/>
    <row r="13009" ht="14.25" customHeight="1" x14ac:dyDescent="0.25"/>
    <row r="13010" ht="14.25" customHeight="1" x14ac:dyDescent="0.25"/>
    <row r="13011" ht="14.25" customHeight="1" x14ac:dyDescent="0.25"/>
    <row r="13012" ht="14.25" customHeight="1" x14ac:dyDescent="0.25"/>
    <row r="13013" ht="14.25" customHeight="1" x14ac:dyDescent="0.25"/>
    <row r="13014" ht="14.25" customHeight="1" x14ac:dyDescent="0.25"/>
    <row r="13015" ht="14.25" customHeight="1" x14ac:dyDescent="0.25"/>
    <row r="13016" ht="14.25" customHeight="1" x14ac:dyDescent="0.25"/>
    <row r="13017" ht="14.25" customHeight="1" x14ac:dyDescent="0.25"/>
    <row r="13018" ht="14.25" customHeight="1" x14ac:dyDescent="0.25"/>
    <row r="13019" ht="14.25" customHeight="1" x14ac:dyDescent="0.25"/>
    <row r="13020" ht="14.25" customHeight="1" x14ac:dyDescent="0.25"/>
    <row r="13021" ht="14.25" customHeight="1" x14ac:dyDescent="0.25"/>
    <row r="13022" ht="14.25" customHeight="1" x14ac:dyDescent="0.25"/>
    <row r="13023" ht="14.25" customHeight="1" x14ac:dyDescent="0.25"/>
    <row r="13024" ht="14.25" customHeight="1" x14ac:dyDescent="0.25"/>
    <row r="13025" ht="14.25" customHeight="1" x14ac:dyDescent="0.25"/>
    <row r="13026" ht="14.25" customHeight="1" x14ac:dyDescent="0.25"/>
    <row r="13027" ht="14.25" customHeight="1" x14ac:dyDescent="0.25"/>
    <row r="13028" ht="14.25" customHeight="1" x14ac:dyDescent="0.25"/>
    <row r="13029" ht="14.25" customHeight="1" x14ac:dyDescent="0.25"/>
    <row r="13030" ht="14.25" customHeight="1" x14ac:dyDescent="0.25"/>
    <row r="13031" ht="14.25" customHeight="1" x14ac:dyDescent="0.25"/>
    <row r="13032" ht="14.25" customHeight="1" x14ac:dyDescent="0.25"/>
    <row r="13033" ht="14.25" customHeight="1" x14ac:dyDescent="0.25"/>
    <row r="13034" ht="14.25" customHeight="1" x14ac:dyDescent="0.25"/>
    <row r="13035" ht="14.25" customHeight="1" x14ac:dyDescent="0.25"/>
    <row r="13036" ht="14.25" customHeight="1" x14ac:dyDescent="0.25"/>
    <row r="13037" ht="14.25" customHeight="1" x14ac:dyDescent="0.25"/>
    <row r="13038" ht="14.25" customHeight="1" x14ac:dyDescent="0.25"/>
    <row r="13039" ht="14.25" customHeight="1" x14ac:dyDescent="0.25"/>
    <row r="13040" ht="14.25" customHeight="1" x14ac:dyDescent="0.25"/>
    <row r="13041" ht="14.25" customHeight="1" x14ac:dyDescent="0.25"/>
    <row r="13042" ht="14.25" customHeight="1" x14ac:dyDescent="0.25"/>
    <row r="13043" ht="14.25" customHeight="1" x14ac:dyDescent="0.25"/>
    <row r="13044" ht="14.25" customHeight="1" x14ac:dyDescent="0.25"/>
    <row r="13045" ht="14.25" customHeight="1" x14ac:dyDescent="0.25"/>
    <row r="13046" ht="14.25" customHeight="1" x14ac:dyDescent="0.25"/>
    <row r="13047" ht="14.25" customHeight="1" x14ac:dyDescent="0.25"/>
    <row r="13048" ht="14.25" customHeight="1" x14ac:dyDescent="0.25"/>
    <row r="13049" ht="14.25" customHeight="1" x14ac:dyDescent="0.25"/>
    <row r="13050" ht="14.25" customHeight="1" x14ac:dyDescent="0.25"/>
    <row r="13051" ht="14.25" customHeight="1" x14ac:dyDescent="0.25"/>
    <row r="13052" ht="14.25" customHeight="1" x14ac:dyDescent="0.25"/>
    <row r="13053" ht="14.25" customHeight="1" x14ac:dyDescent="0.25"/>
    <row r="13054" ht="14.25" customHeight="1" x14ac:dyDescent="0.25"/>
    <row r="13055" ht="14.25" customHeight="1" x14ac:dyDescent="0.25"/>
    <row r="13056" ht="14.25" customHeight="1" x14ac:dyDescent="0.25"/>
    <row r="13057" ht="14.25" customHeight="1" x14ac:dyDescent="0.25"/>
    <row r="13058" ht="14.25" customHeight="1" x14ac:dyDescent="0.25"/>
    <row r="13059" ht="14.25" customHeight="1" x14ac:dyDescent="0.25"/>
    <row r="13060" ht="14.25" customHeight="1" x14ac:dyDescent="0.25"/>
    <row r="13061" ht="14.25" customHeight="1" x14ac:dyDescent="0.25"/>
    <row r="13062" ht="14.25" customHeight="1" x14ac:dyDescent="0.25"/>
    <row r="13063" ht="14.25" customHeight="1" x14ac:dyDescent="0.25"/>
    <row r="13064" ht="14.25" customHeight="1" x14ac:dyDescent="0.25"/>
    <row r="13065" ht="14.25" customHeight="1" x14ac:dyDescent="0.25"/>
    <row r="13066" ht="14.25" customHeight="1" x14ac:dyDescent="0.25"/>
    <row r="13067" ht="14.25" customHeight="1" x14ac:dyDescent="0.25"/>
    <row r="13068" ht="14.25" customHeight="1" x14ac:dyDescent="0.25"/>
    <row r="13069" ht="14.25" customHeight="1" x14ac:dyDescent="0.25"/>
    <row r="13070" ht="14.25" customHeight="1" x14ac:dyDescent="0.25"/>
    <row r="13071" ht="14.25" customHeight="1" x14ac:dyDescent="0.25"/>
    <row r="13072" ht="14.25" customHeight="1" x14ac:dyDescent="0.25"/>
    <row r="13073" ht="14.25" customHeight="1" x14ac:dyDescent="0.25"/>
    <row r="13074" ht="14.25" customHeight="1" x14ac:dyDescent="0.25"/>
    <row r="13075" ht="14.25" customHeight="1" x14ac:dyDescent="0.25"/>
    <row r="13076" ht="14.25" customHeight="1" x14ac:dyDescent="0.25"/>
    <row r="13077" ht="14.25" customHeight="1" x14ac:dyDescent="0.25"/>
    <row r="13078" ht="14.25" customHeight="1" x14ac:dyDescent="0.25"/>
    <row r="13079" ht="14.25" customHeight="1" x14ac:dyDescent="0.25"/>
    <row r="13080" ht="14.25" customHeight="1" x14ac:dyDescent="0.25"/>
    <row r="13081" ht="14.25" customHeight="1" x14ac:dyDescent="0.25"/>
    <row r="13082" ht="14.25" customHeight="1" x14ac:dyDescent="0.25"/>
    <row r="13083" ht="14.25" customHeight="1" x14ac:dyDescent="0.25"/>
    <row r="13084" ht="14.25" customHeight="1" x14ac:dyDescent="0.25"/>
    <row r="13085" ht="14.25" customHeight="1" x14ac:dyDescent="0.25"/>
    <row r="13086" ht="14.25" customHeight="1" x14ac:dyDescent="0.25"/>
    <row r="13087" ht="14.25" customHeight="1" x14ac:dyDescent="0.25"/>
    <row r="13088" ht="14.25" customHeight="1" x14ac:dyDescent="0.25"/>
    <row r="13089" ht="14.25" customHeight="1" x14ac:dyDescent="0.25"/>
    <row r="13090" ht="14.25" customHeight="1" x14ac:dyDescent="0.25"/>
    <row r="13091" ht="14.25" customHeight="1" x14ac:dyDescent="0.25"/>
    <row r="13092" ht="14.25" customHeight="1" x14ac:dyDescent="0.25"/>
    <row r="13093" ht="14.25" customHeight="1" x14ac:dyDescent="0.25"/>
    <row r="13094" ht="14.25" customHeight="1" x14ac:dyDescent="0.25"/>
    <row r="13095" ht="14.25" customHeight="1" x14ac:dyDescent="0.25"/>
    <row r="13096" ht="14.25" customHeight="1" x14ac:dyDescent="0.25"/>
    <row r="13097" ht="14.25" customHeight="1" x14ac:dyDescent="0.25"/>
    <row r="13098" ht="14.25" customHeight="1" x14ac:dyDescent="0.25"/>
    <row r="13099" ht="14.25" customHeight="1" x14ac:dyDescent="0.25"/>
    <row r="13100" ht="14.25" customHeight="1" x14ac:dyDescent="0.25"/>
    <row r="13101" ht="14.25" customHeight="1" x14ac:dyDescent="0.25"/>
    <row r="13102" ht="14.25" customHeight="1" x14ac:dyDescent="0.25"/>
    <row r="13103" ht="14.25" customHeight="1" x14ac:dyDescent="0.25"/>
    <row r="13104" ht="14.25" customHeight="1" x14ac:dyDescent="0.25"/>
    <row r="13105" ht="14.25" customHeight="1" x14ac:dyDescent="0.25"/>
    <row r="13106" ht="14.25" customHeight="1" x14ac:dyDescent="0.25"/>
    <row r="13107" ht="14.25" customHeight="1" x14ac:dyDescent="0.25"/>
    <row r="13108" ht="14.25" customHeight="1" x14ac:dyDescent="0.25"/>
    <row r="13109" ht="14.25" customHeight="1" x14ac:dyDescent="0.25"/>
    <row r="13110" ht="14.25" customHeight="1" x14ac:dyDescent="0.25"/>
    <row r="13111" ht="14.25" customHeight="1" x14ac:dyDescent="0.25"/>
    <row r="13112" ht="14.25" customHeight="1" x14ac:dyDescent="0.25"/>
    <row r="13113" ht="14.25" customHeight="1" x14ac:dyDescent="0.25"/>
    <row r="13114" ht="14.25" customHeight="1" x14ac:dyDescent="0.25"/>
    <row r="13115" ht="14.25" customHeight="1" x14ac:dyDescent="0.25"/>
    <row r="13116" ht="14.25" customHeight="1" x14ac:dyDescent="0.25"/>
    <row r="13117" ht="14.25" customHeight="1" x14ac:dyDescent="0.25"/>
    <row r="13118" ht="14.25" customHeight="1" x14ac:dyDescent="0.25"/>
    <row r="13119" ht="14.25" customHeight="1" x14ac:dyDescent="0.25"/>
    <row r="13120" ht="14.25" customHeight="1" x14ac:dyDescent="0.25"/>
    <row r="13121" ht="14.25" customHeight="1" x14ac:dyDescent="0.25"/>
    <row r="13122" ht="14.25" customHeight="1" x14ac:dyDescent="0.25"/>
    <row r="13123" ht="14.25" customHeight="1" x14ac:dyDescent="0.25"/>
    <row r="13124" ht="14.25" customHeight="1" x14ac:dyDescent="0.25"/>
    <row r="13125" ht="14.25" customHeight="1" x14ac:dyDescent="0.25"/>
    <row r="13126" ht="14.25" customHeight="1" x14ac:dyDescent="0.25"/>
    <row r="13127" ht="14.25" customHeight="1" x14ac:dyDescent="0.25"/>
    <row r="13128" ht="14.25" customHeight="1" x14ac:dyDescent="0.25"/>
    <row r="13129" ht="14.25" customHeight="1" x14ac:dyDescent="0.25"/>
    <row r="13130" ht="14.25" customHeight="1" x14ac:dyDescent="0.25"/>
    <row r="13131" ht="14.25" customHeight="1" x14ac:dyDescent="0.25"/>
    <row r="13132" ht="14.25" customHeight="1" x14ac:dyDescent="0.25"/>
    <row r="13133" ht="14.25" customHeight="1" x14ac:dyDescent="0.25"/>
    <row r="13134" ht="14.25" customHeight="1" x14ac:dyDescent="0.25"/>
    <row r="13135" ht="14.25" customHeight="1" x14ac:dyDescent="0.25"/>
    <row r="13136" ht="14.25" customHeight="1" x14ac:dyDescent="0.25"/>
    <row r="13137" ht="14.25" customHeight="1" x14ac:dyDescent="0.25"/>
    <row r="13138" ht="14.25" customHeight="1" x14ac:dyDescent="0.25"/>
    <row r="13139" ht="14.25" customHeight="1" x14ac:dyDescent="0.25"/>
    <row r="13140" ht="14.25" customHeight="1" x14ac:dyDescent="0.25"/>
    <row r="13141" ht="14.25" customHeight="1" x14ac:dyDescent="0.25"/>
    <row r="13142" ht="14.25" customHeight="1" x14ac:dyDescent="0.25"/>
    <row r="13143" ht="14.25" customHeight="1" x14ac:dyDescent="0.25"/>
    <row r="13144" ht="14.25" customHeight="1" x14ac:dyDescent="0.25"/>
    <row r="13145" ht="14.25" customHeight="1" x14ac:dyDescent="0.25"/>
    <row r="13146" ht="14.25" customHeight="1" x14ac:dyDescent="0.25"/>
    <row r="13147" ht="14.25" customHeight="1" x14ac:dyDescent="0.25"/>
    <row r="13148" ht="14.25" customHeight="1" x14ac:dyDescent="0.25"/>
    <row r="13149" ht="14.25" customHeight="1" x14ac:dyDescent="0.25"/>
    <row r="13150" ht="14.25" customHeight="1" x14ac:dyDescent="0.25"/>
    <row r="13151" ht="14.25" customHeight="1" x14ac:dyDescent="0.25"/>
    <row r="13152" ht="14.25" customHeight="1" x14ac:dyDescent="0.25"/>
    <row r="13153" ht="14.25" customHeight="1" x14ac:dyDescent="0.25"/>
    <row r="13154" ht="14.25" customHeight="1" x14ac:dyDescent="0.25"/>
    <row r="13155" ht="14.25" customHeight="1" x14ac:dyDescent="0.25"/>
    <row r="13156" ht="14.25" customHeight="1" x14ac:dyDescent="0.25"/>
    <row r="13157" ht="14.25" customHeight="1" x14ac:dyDescent="0.25"/>
    <row r="13158" ht="14.25" customHeight="1" x14ac:dyDescent="0.25"/>
    <row r="13159" ht="14.25" customHeight="1" x14ac:dyDescent="0.25"/>
    <row r="13160" ht="14.25" customHeight="1" x14ac:dyDescent="0.25"/>
    <row r="13161" ht="14.25" customHeight="1" x14ac:dyDescent="0.25"/>
    <row r="13162" ht="14.25" customHeight="1" x14ac:dyDescent="0.25"/>
    <row r="13163" ht="14.25" customHeight="1" x14ac:dyDescent="0.25"/>
    <row r="13164" ht="14.25" customHeight="1" x14ac:dyDescent="0.25"/>
    <row r="13165" ht="14.25" customHeight="1" x14ac:dyDescent="0.25"/>
    <row r="13166" ht="14.25" customHeight="1" x14ac:dyDescent="0.25"/>
    <row r="13167" ht="14.25" customHeight="1" x14ac:dyDescent="0.25"/>
    <row r="13168" ht="14.25" customHeight="1" x14ac:dyDescent="0.25"/>
    <row r="13169" ht="14.25" customHeight="1" x14ac:dyDescent="0.25"/>
    <row r="13170" ht="14.25" customHeight="1" x14ac:dyDescent="0.25"/>
    <row r="13171" ht="14.25" customHeight="1" x14ac:dyDescent="0.25"/>
    <row r="13172" ht="14.25" customHeight="1" x14ac:dyDescent="0.25"/>
    <row r="13173" ht="14.25" customHeight="1" x14ac:dyDescent="0.25"/>
    <row r="13174" ht="14.25" customHeight="1" x14ac:dyDescent="0.25"/>
    <row r="13175" ht="14.25" customHeight="1" x14ac:dyDescent="0.25"/>
    <row r="13176" ht="14.25" customHeight="1" x14ac:dyDescent="0.25"/>
    <row r="13177" ht="14.25" customHeight="1" x14ac:dyDescent="0.25"/>
    <row r="13178" ht="14.25" customHeight="1" x14ac:dyDescent="0.25"/>
    <row r="13179" ht="14.25" customHeight="1" x14ac:dyDescent="0.25"/>
    <row r="13180" ht="14.25" customHeight="1" x14ac:dyDescent="0.25"/>
    <row r="13181" ht="14.25" customHeight="1" x14ac:dyDescent="0.25"/>
    <row r="13182" ht="14.25" customHeight="1" x14ac:dyDescent="0.25"/>
    <row r="13183" ht="14.25" customHeight="1" x14ac:dyDescent="0.25"/>
    <row r="13184" ht="14.25" customHeight="1" x14ac:dyDescent="0.25"/>
    <row r="13185" ht="14.25" customHeight="1" x14ac:dyDescent="0.25"/>
    <row r="13186" ht="14.25" customHeight="1" x14ac:dyDescent="0.25"/>
    <row r="13187" ht="14.25" customHeight="1" x14ac:dyDescent="0.25"/>
    <row r="13188" ht="14.25" customHeight="1" x14ac:dyDescent="0.25"/>
    <row r="13189" ht="14.25" customHeight="1" x14ac:dyDescent="0.25"/>
    <row r="13190" ht="14.25" customHeight="1" x14ac:dyDescent="0.25"/>
    <row r="13191" ht="14.25" customHeight="1" x14ac:dyDescent="0.25"/>
    <row r="13192" ht="14.25" customHeight="1" x14ac:dyDescent="0.25"/>
    <row r="13193" ht="14.25" customHeight="1" x14ac:dyDescent="0.25"/>
    <row r="13194" ht="14.25" customHeight="1" x14ac:dyDescent="0.25"/>
    <row r="13195" ht="14.25" customHeight="1" x14ac:dyDescent="0.25"/>
    <row r="13196" ht="14.25" customHeight="1" x14ac:dyDescent="0.25"/>
    <row r="13197" ht="14.25" customHeight="1" x14ac:dyDescent="0.25"/>
    <row r="13198" ht="14.25" customHeight="1" x14ac:dyDescent="0.25"/>
    <row r="13199" ht="14.25" customHeight="1" x14ac:dyDescent="0.25"/>
    <row r="13200" ht="14.25" customHeight="1" x14ac:dyDescent="0.25"/>
    <row r="13201" ht="14.25" customHeight="1" x14ac:dyDescent="0.25"/>
    <row r="13202" ht="14.25" customHeight="1" x14ac:dyDescent="0.25"/>
    <row r="13203" ht="14.25" customHeight="1" x14ac:dyDescent="0.25"/>
    <row r="13204" ht="14.25" customHeight="1" x14ac:dyDescent="0.25"/>
    <row r="13205" ht="14.25" customHeight="1" x14ac:dyDescent="0.25"/>
    <row r="13206" ht="14.25" customHeight="1" x14ac:dyDescent="0.25"/>
    <row r="13207" ht="14.25" customHeight="1" x14ac:dyDescent="0.25"/>
    <row r="13208" ht="14.25" customHeight="1" x14ac:dyDescent="0.25"/>
    <row r="13209" ht="14.25" customHeight="1" x14ac:dyDescent="0.25"/>
    <row r="13210" ht="14.25" customHeight="1" x14ac:dyDescent="0.25"/>
    <row r="13211" ht="14.25" customHeight="1" x14ac:dyDescent="0.25"/>
    <row r="13212" ht="14.25" customHeight="1" x14ac:dyDescent="0.25"/>
    <row r="13213" ht="14.25" customHeight="1" x14ac:dyDescent="0.25"/>
    <row r="13214" ht="14.25" customHeight="1" x14ac:dyDescent="0.25"/>
    <row r="13215" ht="14.25" customHeight="1" x14ac:dyDescent="0.25"/>
    <row r="13216" ht="14.25" customHeight="1" x14ac:dyDescent="0.25"/>
    <row r="13217" ht="14.25" customHeight="1" x14ac:dyDescent="0.25"/>
    <row r="13218" ht="14.25" customHeight="1" x14ac:dyDescent="0.25"/>
    <row r="13219" ht="14.25" customHeight="1" x14ac:dyDescent="0.25"/>
    <row r="13220" ht="14.25" customHeight="1" x14ac:dyDescent="0.25"/>
    <row r="13221" ht="14.25" customHeight="1" x14ac:dyDescent="0.25"/>
    <row r="13222" ht="14.25" customHeight="1" x14ac:dyDescent="0.25"/>
    <row r="13223" ht="14.25" customHeight="1" x14ac:dyDescent="0.25"/>
    <row r="13224" ht="14.25" customHeight="1" x14ac:dyDescent="0.25"/>
    <row r="13225" ht="14.25" customHeight="1" x14ac:dyDescent="0.25"/>
    <row r="13226" ht="14.25" customHeight="1" x14ac:dyDescent="0.25"/>
    <row r="13227" ht="14.25" customHeight="1" x14ac:dyDescent="0.25"/>
    <row r="13228" ht="14.25" customHeight="1" x14ac:dyDescent="0.25"/>
    <row r="13229" ht="14.25" customHeight="1" x14ac:dyDescent="0.25"/>
    <row r="13230" ht="14.25" customHeight="1" x14ac:dyDescent="0.25"/>
    <row r="13231" ht="14.25" customHeight="1" x14ac:dyDescent="0.25"/>
    <row r="13232" ht="14.25" customHeight="1" x14ac:dyDescent="0.25"/>
    <row r="13233" ht="14.25" customHeight="1" x14ac:dyDescent="0.25"/>
    <row r="13234" ht="14.25" customHeight="1" x14ac:dyDescent="0.25"/>
    <row r="13235" ht="14.25" customHeight="1" x14ac:dyDescent="0.25"/>
    <row r="13236" ht="14.25" customHeight="1" x14ac:dyDescent="0.25"/>
    <row r="13237" ht="14.25" customHeight="1" x14ac:dyDescent="0.25"/>
    <row r="13238" ht="14.25" customHeight="1" x14ac:dyDescent="0.25"/>
    <row r="13239" ht="14.25" customHeight="1" x14ac:dyDescent="0.25"/>
    <row r="13240" ht="14.25" customHeight="1" x14ac:dyDescent="0.25"/>
    <row r="13241" ht="14.25" customHeight="1" x14ac:dyDescent="0.25"/>
    <row r="13242" ht="14.25" customHeight="1" x14ac:dyDescent="0.25"/>
    <row r="13243" ht="14.25" customHeight="1" x14ac:dyDescent="0.25"/>
    <row r="13244" ht="14.25" customHeight="1" x14ac:dyDescent="0.25"/>
    <row r="13245" ht="14.25" customHeight="1" x14ac:dyDescent="0.25"/>
    <row r="13246" ht="14.25" customHeight="1" x14ac:dyDescent="0.25"/>
    <row r="13247" ht="14.25" customHeight="1" x14ac:dyDescent="0.25"/>
    <row r="13248" ht="14.25" customHeight="1" x14ac:dyDescent="0.25"/>
    <row r="13249" ht="14.25" customHeight="1" x14ac:dyDescent="0.25"/>
    <row r="13250" ht="14.25" customHeight="1" x14ac:dyDescent="0.25"/>
    <row r="13251" ht="14.25" customHeight="1" x14ac:dyDescent="0.25"/>
    <row r="13252" ht="14.25" customHeight="1" x14ac:dyDescent="0.25"/>
    <row r="13253" ht="14.25" customHeight="1" x14ac:dyDescent="0.25"/>
    <row r="13254" ht="14.25" customHeight="1" x14ac:dyDescent="0.25"/>
    <row r="13255" ht="14.25" customHeight="1" x14ac:dyDescent="0.25"/>
    <row r="13256" ht="14.25" customHeight="1" x14ac:dyDescent="0.25"/>
    <row r="13257" ht="14.25" customHeight="1" x14ac:dyDescent="0.25"/>
    <row r="13258" ht="14.25" customHeight="1" x14ac:dyDescent="0.25"/>
    <row r="13259" ht="14.25" customHeight="1" x14ac:dyDescent="0.25"/>
    <row r="13260" ht="14.25" customHeight="1" x14ac:dyDescent="0.25"/>
    <row r="13261" ht="14.25" customHeight="1" x14ac:dyDescent="0.25"/>
    <row r="13262" ht="14.25" customHeight="1" x14ac:dyDescent="0.25"/>
    <row r="13263" ht="14.25" customHeight="1" x14ac:dyDescent="0.25"/>
    <row r="13264" ht="14.25" customHeight="1" x14ac:dyDescent="0.25"/>
    <row r="13265" ht="14.25" customHeight="1" x14ac:dyDescent="0.25"/>
    <row r="13266" ht="14.25" customHeight="1" x14ac:dyDescent="0.25"/>
    <row r="13267" ht="14.25" customHeight="1" x14ac:dyDescent="0.25"/>
    <row r="13268" ht="14.25" customHeight="1" x14ac:dyDescent="0.25"/>
    <row r="13269" ht="14.25" customHeight="1" x14ac:dyDescent="0.25"/>
    <row r="13270" ht="14.25" customHeight="1" x14ac:dyDescent="0.25"/>
    <row r="13271" ht="14.25" customHeight="1" x14ac:dyDescent="0.25"/>
    <row r="13272" ht="14.25" customHeight="1" x14ac:dyDescent="0.25"/>
    <row r="13273" ht="14.25" customHeight="1" x14ac:dyDescent="0.25"/>
    <row r="13274" ht="14.25" customHeight="1" x14ac:dyDescent="0.25"/>
    <row r="13275" ht="14.25" customHeight="1" x14ac:dyDescent="0.25"/>
    <row r="13276" ht="14.25" customHeight="1" x14ac:dyDescent="0.25"/>
    <row r="13277" ht="14.25" customHeight="1" x14ac:dyDescent="0.25"/>
    <row r="13278" ht="14.25" customHeight="1" x14ac:dyDescent="0.25"/>
    <row r="13279" ht="14.25" customHeight="1" x14ac:dyDescent="0.25"/>
    <row r="13280" ht="14.25" customHeight="1" x14ac:dyDescent="0.25"/>
    <row r="13281" ht="14.25" customHeight="1" x14ac:dyDescent="0.25"/>
    <row r="13282" ht="14.25" customHeight="1" x14ac:dyDescent="0.25"/>
    <row r="13283" ht="14.25" customHeight="1" x14ac:dyDescent="0.25"/>
    <row r="13284" ht="14.25" customHeight="1" x14ac:dyDescent="0.25"/>
    <row r="13285" ht="14.25" customHeight="1" x14ac:dyDescent="0.25"/>
    <row r="13286" ht="14.25" customHeight="1" x14ac:dyDescent="0.25"/>
    <row r="13287" ht="14.25" customHeight="1" x14ac:dyDescent="0.25"/>
    <row r="13288" ht="14.25" customHeight="1" x14ac:dyDescent="0.25"/>
    <row r="13289" ht="14.25" customHeight="1" x14ac:dyDescent="0.25"/>
    <row r="13290" ht="14.25" customHeight="1" x14ac:dyDescent="0.25"/>
    <row r="13291" ht="14.25" customHeight="1" x14ac:dyDescent="0.25"/>
    <row r="13292" ht="14.25" customHeight="1" x14ac:dyDescent="0.25"/>
    <row r="13293" ht="14.25" customHeight="1" x14ac:dyDescent="0.25"/>
    <row r="13294" ht="14.25" customHeight="1" x14ac:dyDescent="0.25"/>
    <row r="13295" ht="14.25" customHeight="1" x14ac:dyDescent="0.25"/>
    <row r="13296" ht="14.25" customHeight="1" x14ac:dyDescent="0.25"/>
    <row r="13297" ht="14.25" customHeight="1" x14ac:dyDescent="0.25"/>
    <row r="13298" ht="14.25" customHeight="1" x14ac:dyDescent="0.25"/>
    <row r="13299" ht="14.25" customHeight="1" x14ac:dyDescent="0.25"/>
    <row r="13300" ht="14.25" customHeight="1" x14ac:dyDescent="0.25"/>
    <row r="13301" ht="14.25" customHeight="1" x14ac:dyDescent="0.25"/>
    <row r="13302" ht="14.25" customHeight="1" x14ac:dyDescent="0.25"/>
    <row r="13303" ht="14.25" customHeight="1" x14ac:dyDescent="0.25"/>
    <row r="13304" ht="14.25" customHeight="1" x14ac:dyDescent="0.25"/>
    <row r="13305" ht="14.25" customHeight="1" x14ac:dyDescent="0.25"/>
    <row r="13306" ht="14.25" customHeight="1" x14ac:dyDescent="0.25"/>
    <row r="13307" ht="14.25" customHeight="1" x14ac:dyDescent="0.25"/>
    <row r="13308" ht="14.25" customHeight="1" x14ac:dyDescent="0.25"/>
    <row r="13309" ht="14.25" customHeight="1" x14ac:dyDescent="0.25"/>
    <row r="13310" ht="14.25" customHeight="1" x14ac:dyDescent="0.25"/>
    <row r="13311" ht="14.25" customHeight="1" x14ac:dyDescent="0.25"/>
    <row r="13312" ht="14.25" customHeight="1" x14ac:dyDescent="0.25"/>
    <row r="13313" ht="14.25" customHeight="1" x14ac:dyDescent="0.25"/>
    <row r="13314" ht="14.25" customHeight="1" x14ac:dyDescent="0.25"/>
    <row r="13315" ht="14.25" customHeight="1" x14ac:dyDescent="0.25"/>
    <row r="13316" ht="14.25" customHeight="1" x14ac:dyDescent="0.25"/>
    <row r="13317" ht="14.25" customHeight="1" x14ac:dyDescent="0.25"/>
    <row r="13318" ht="14.25" customHeight="1" x14ac:dyDescent="0.25"/>
    <row r="13319" ht="14.25" customHeight="1" x14ac:dyDescent="0.25"/>
    <row r="13320" ht="14.25" customHeight="1" x14ac:dyDescent="0.25"/>
    <row r="13321" ht="14.25" customHeight="1" x14ac:dyDescent="0.25"/>
    <row r="13322" ht="14.25" customHeight="1" x14ac:dyDescent="0.25"/>
    <row r="13323" ht="14.25" customHeight="1" x14ac:dyDescent="0.25"/>
    <row r="13324" ht="14.25" customHeight="1" x14ac:dyDescent="0.25"/>
    <row r="13325" ht="14.25" customHeight="1" x14ac:dyDescent="0.25"/>
    <row r="13326" ht="14.25" customHeight="1" x14ac:dyDescent="0.25"/>
    <row r="13327" ht="14.25" customHeight="1" x14ac:dyDescent="0.25"/>
    <row r="13328" ht="14.25" customHeight="1" x14ac:dyDescent="0.25"/>
    <row r="13329" ht="14.25" customHeight="1" x14ac:dyDescent="0.25"/>
    <row r="13330" ht="14.25" customHeight="1" x14ac:dyDescent="0.25"/>
    <row r="13331" ht="14.25" customHeight="1" x14ac:dyDescent="0.25"/>
    <row r="13332" ht="14.25" customHeight="1" x14ac:dyDescent="0.25"/>
    <row r="13333" ht="14.25" customHeight="1" x14ac:dyDescent="0.25"/>
    <row r="13334" ht="14.25" customHeight="1" x14ac:dyDescent="0.25"/>
    <row r="13335" ht="14.25" customHeight="1" x14ac:dyDescent="0.25"/>
    <row r="13336" ht="14.25" customHeight="1" x14ac:dyDescent="0.25"/>
    <row r="13337" ht="14.25" customHeight="1" x14ac:dyDescent="0.25"/>
    <row r="13338" ht="14.25" customHeight="1" x14ac:dyDescent="0.25"/>
    <row r="13339" ht="14.25" customHeight="1" x14ac:dyDescent="0.25"/>
    <row r="13340" ht="14.25" customHeight="1" x14ac:dyDescent="0.25"/>
    <row r="13341" ht="14.25" customHeight="1" x14ac:dyDescent="0.25"/>
    <row r="13342" ht="14.25" customHeight="1" x14ac:dyDescent="0.25"/>
    <row r="13343" ht="14.25" customHeight="1" x14ac:dyDescent="0.25"/>
    <row r="13344" ht="14.25" customHeight="1" x14ac:dyDescent="0.25"/>
    <row r="13345" ht="14.25" customHeight="1" x14ac:dyDescent="0.25"/>
    <row r="13346" ht="14.25" customHeight="1" x14ac:dyDescent="0.25"/>
    <row r="13347" ht="14.25" customHeight="1" x14ac:dyDescent="0.25"/>
    <row r="13348" ht="14.25" customHeight="1" x14ac:dyDescent="0.25"/>
    <row r="13349" ht="14.25" customHeight="1" x14ac:dyDescent="0.25"/>
    <row r="13350" ht="14.25" customHeight="1" x14ac:dyDescent="0.25"/>
    <row r="13351" ht="14.25" customHeight="1" x14ac:dyDescent="0.25"/>
    <row r="13352" ht="14.25" customHeight="1" x14ac:dyDescent="0.25"/>
    <row r="13353" ht="14.25" customHeight="1" x14ac:dyDescent="0.25"/>
    <row r="13354" ht="14.25" customHeight="1" x14ac:dyDescent="0.25"/>
    <row r="13355" ht="14.25" customHeight="1" x14ac:dyDescent="0.25"/>
    <row r="13356" ht="14.25" customHeight="1" x14ac:dyDescent="0.25"/>
    <row r="13357" ht="14.25" customHeight="1" x14ac:dyDescent="0.25"/>
    <row r="13358" ht="14.25" customHeight="1" x14ac:dyDescent="0.25"/>
    <row r="13359" ht="14.25" customHeight="1" x14ac:dyDescent="0.25"/>
    <row r="13360" ht="14.25" customHeight="1" x14ac:dyDescent="0.25"/>
    <row r="13361" ht="14.25" customHeight="1" x14ac:dyDescent="0.25"/>
    <row r="13362" ht="14.25" customHeight="1" x14ac:dyDescent="0.25"/>
    <row r="13363" ht="14.25" customHeight="1" x14ac:dyDescent="0.25"/>
    <row r="13364" ht="14.25" customHeight="1" x14ac:dyDescent="0.25"/>
    <row r="13365" ht="14.25" customHeight="1" x14ac:dyDescent="0.25"/>
    <row r="13366" ht="14.25" customHeight="1" x14ac:dyDescent="0.25"/>
    <row r="13367" ht="14.25" customHeight="1" x14ac:dyDescent="0.25"/>
    <row r="13368" ht="14.25" customHeight="1" x14ac:dyDescent="0.25"/>
    <row r="13369" ht="14.25" customHeight="1" x14ac:dyDescent="0.25"/>
    <row r="13370" ht="14.25" customHeight="1" x14ac:dyDescent="0.25"/>
    <row r="13371" ht="14.25" customHeight="1" x14ac:dyDescent="0.25"/>
    <row r="13372" ht="14.25" customHeight="1" x14ac:dyDescent="0.25"/>
    <row r="13373" ht="14.25" customHeight="1" x14ac:dyDescent="0.25"/>
    <row r="13374" ht="14.25" customHeight="1" x14ac:dyDescent="0.25"/>
    <row r="13375" ht="14.25" customHeight="1" x14ac:dyDescent="0.25"/>
    <row r="13376" ht="14.25" customHeight="1" x14ac:dyDescent="0.25"/>
    <row r="13377" ht="14.25" customHeight="1" x14ac:dyDescent="0.25"/>
    <row r="13378" ht="14.25" customHeight="1" x14ac:dyDescent="0.25"/>
    <row r="13379" ht="14.25" customHeight="1" x14ac:dyDescent="0.25"/>
    <row r="13380" ht="14.25" customHeight="1" x14ac:dyDescent="0.25"/>
    <row r="13381" ht="14.25" customHeight="1" x14ac:dyDescent="0.25"/>
    <row r="13382" ht="14.25" customHeight="1" x14ac:dyDescent="0.25"/>
    <row r="13383" ht="14.25" customHeight="1" x14ac:dyDescent="0.25"/>
    <row r="13384" ht="14.25" customHeight="1" x14ac:dyDescent="0.25"/>
    <row r="13385" ht="14.25" customHeight="1" x14ac:dyDescent="0.25"/>
    <row r="13386" ht="14.25" customHeight="1" x14ac:dyDescent="0.25"/>
    <row r="13387" ht="14.25" customHeight="1" x14ac:dyDescent="0.25"/>
    <row r="13388" ht="14.25" customHeight="1" x14ac:dyDescent="0.25"/>
    <row r="13389" ht="14.25" customHeight="1" x14ac:dyDescent="0.25"/>
    <row r="13390" ht="14.25" customHeight="1" x14ac:dyDescent="0.25"/>
    <row r="13391" ht="14.25" customHeight="1" x14ac:dyDescent="0.25"/>
    <row r="13392" ht="14.25" customHeight="1" x14ac:dyDescent="0.25"/>
    <row r="13393" ht="14.25" customHeight="1" x14ac:dyDescent="0.25"/>
    <row r="13394" ht="14.25" customHeight="1" x14ac:dyDescent="0.25"/>
    <row r="13395" ht="14.25" customHeight="1" x14ac:dyDescent="0.25"/>
    <row r="13396" ht="14.25" customHeight="1" x14ac:dyDescent="0.25"/>
    <row r="13397" ht="14.25" customHeight="1" x14ac:dyDescent="0.25"/>
    <row r="13398" ht="14.25" customHeight="1" x14ac:dyDescent="0.25"/>
    <row r="13399" ht="14.25" customHeight="1" x14ac:dyDescent="0.25"/>
    <row r="13400" ht="14.25" customHeight="1" x14ac:dyDescent="0.25"/>
    <row r="13401" ht="14.25" customHeight="1" x14ac:dyDescent="0.25"/>
    <row r="13402" ht="14.25" customHeight="1" x14ac:dyDescent="0.25"/>
    <row r="13403" ht="14.25" customHeight="1" x14ac:dyDescent="0.25"/>
    <row r="13404" ht="14.25" customHeight="1" x14ac:dyDescent="0.25"/>
    <row r="13405" ht="14.25" customHeight="1" x14ac:dyDescent="0.25"/>
    <row r="13406" ht="14.25" customHeight="1" x14ac:dyDescent="0.25"/>
    <row r="13407" ht="14.25" customHeight="1" x14ac:dyDescent="0.25"/>
    <row r="13408" ht="14.25" customHeight="1" x14ac:dyDescent="0.25"/>
    <row r="13409" ht="14.25" customHeight="1" x14ac:dyDescent="0.25"/>
    <row r="13410" ht="14.25" customHeight="1" x14ac:dyDescent="0.25"/>
    <row r="13411" ht="14.25" customHeight="1" x14ac:dyDescent="0.25"/>
    <row r="13412" ht="14.25" customHeight="1" x14ac:dyDescent="0.25"/>
    <row r="13413" ht="14.25" customHeight="1" x14ac:dyDescent="0.25"/>
    <row r="13414" ht="14.25" customHeight="1" x14ac:dyDescent="0.25"/>
    <row r="13415" ht="14.25" customHeight="1" x14ac:dyDescent="0.25"/>
    <row r="13416" ht="14.25" customHeight="1" x14ac:dyDescent="0.25"/>
    <row r="13417" ht="14.25" customHeight="1" x14ac:dyDescent="0.25"/>
    <row r="13418" ht="14.25" customHeight="1" x14ac:dyDescent="0.25"/>
    <row r="13419" ht="14.25" customHeight="1" x14ac:dyDescent="0.25"/>
    <row r="13420" ht="14.25" customHeight="1" x14ac:dyDescent="0.25"/>
    <row r="13421" ht="14.25" customHeight="1" x14ac:dyDescent="0.25"/>
    <row r="13422" ht="14.25" customHeight="1" x14ac:dyDescent="0.25"/>
    <row r="13423" ht="14.25" customHeight="1" x14ac:dyDescent="0.25"/>
    <row r="13424" ht="14.25" customHeight="1" x14ac:dyDescent="0.25"/>
    <row r="13425" ht="14.25" customHeight="1" x14ac:dyDescent="0.25"/>
    <row r="13426" ht="14.25" customHeight="1" x14ac:dyDescent="0.25"/>
    <row r="13427" ht="14.25" customHeight="1" x14ac:dyDescent="0.25"/>
    <row r="13428" ht="14.25" customHeight="1" x14ac:dyDescent="0.25"/>
    <row r="13429" ht="14.25" customHeight="1" x14ac:dyDescent="0.25"/>
    <row r="13430" ht="14.25" customHeight="1" x14ac:dyDescent="0.25"/>
    <row r="13431" ht="14.25" customHeight="1" x14ac:dyDescent="0.25"/>
    <row r="13432" ht="14.25" customHeight="1" x14ac:dyDescent="0.25"/>
    <row r="13433" ht="14.25" customHeight="1" x14ac:dyDescent="0.25"/>
    <row r="13434" ht="14.25" customHeight="1" x14ac:dyDescent="0.25"/>
    <row r="13435" ht="14.25" customHeight="1" x14ac:dyDescent="0.25"/>
    <row r="13436" ht="14.25" customHeight="1" x14ac:dyDescent="0.25"/>
    <row r="13437" ht="14.25" customHeight="1" x14ac:dyDescent="0.25"/>
    <row r="13438" ht="14.25" customHeight="1" x14ac:dyDescent="0.25"/>
    <row r="13439" ht="14.25" customHeight="1" x14ac:dyDescent="0.25"/>
    <row r="13440" ht="14.25" customHeight="1" x14ac:dyDescent="0.25"/>
    <row r="13441" ht="14.25" customHeight="1" x14ac:dyDescent="0.25"/>
    <row r="13442" ht="14.25" customHeight="1" x14ac:dyDescent="0.25"/>
    <row r="13443" ht="14.25" customHeight="1" x14ac:dyDescent="0.25"/>
    <row r="13444" ht="14.25" customHeight="1" x14ac:dyDescent="0.25"/>
    <row r="13445" ht="14.25" customHeight="1" x14ac:dyDescent="0.25"/>
    <row r="13446" ht="14.25" customHeight="1" x14ac:dyDescent="0.25"/>
    <row r="13447" ht="14.25" customHeight="1" x14ac:dyDescent="0.25"/>
    <row r="13448" ht="14.25" customHeight="1" x14ac:dyDescent="0.25"/>
    <row r="13449" ht="14.25" customHeight="1" x14ac:dyDescent="0.25"/>
    <row r="13450" ht="14.25" customHeight="1" x14ac:dyDescent="0.25"/>
    <row r="13451" ht="14.25" customHeight="1" x14ac:dyDescent="0.25"/>
    <row r="13452" ht="14.25" customHeight="1" x14ac:dyDescent="0.25"/>
    <row r="13453" ht="14.25" customHeight="1" x14ac:dyDescent="0.25"/>
    <row r="13454" ht="14.25" customHeight="1" x14ac:dyDescent="0.25"/>
    <row r="13455" ht="14.25" customHeight="1" x14ac:dyDescent="0.25"/>
    <row r="13456" ht="14.25" customHeight="1" x14ac:dyDescent="0.25"/>
    <row r="13457" ht="14.25" customHeight="1" x14ac:dyDescent="0.25"/>
    <row r="13458" ht="14.25" customHeight="1" x14ac:dyDescent="0.25"/>
    <row r="13459" ht="14.25" customHeight="1" x14ac:dyDescent="0.25"/>
    <row r="13460" ht="14.25" customHeight="1" x14ac:dyDescent="0.25"/>
    <row r="13461" ht="14.25" customHeight="1" x14ac:dyDescent="0.25"/>
    <row r="13462" ht="14.25" customHeight="1" x14ac:dyDescent="0.25"/>
    <row r="13463" ht="14.25" customHeight="1" x14ac:dyDescent="0.25"/>
    <row r="13464" ht="14.25" customHeight="1" x14ac:dyDescent="0.25"/>
    <row r="13465" ht="14.25" customHeight="1" x14ac:dyDescent="0.25"/>
    <row r="13466" ht="14.25" customHeight="1" x14ac:dyDescent="0.25"/>
    <row r="13467" ht="14.25" customHeight="1" x14ac:dyDescent="0.25"/>
    <row r="13468" ht="14.25" customHeight="1" x14ac:dyDescent="0.25"/>
    <row r="13469" ht="14.25" customHeight="1" x14ac:dyDescent="0.25"/>
    <row r="13470" ht="14.25" customHeight="1" x14ac:dyDescent="0.25"/>
    <row r="13471" ht="14.25" customHeight="1" x14ac:dyDescent="0.25"/>
    <row r="13472" ht="14.25" customHeight="1" x14ac:dyDescent="0.25"/>
    <row r="13473" ht="14.25" customHeight="1" x14ac:dyDescent="0.25"/>
    <row r="13474" ht="14.25" customHeight="1" x14ac:dyDescent="0.25"/>
    <row r="13475" ht="14.25" customHeight="1" x14ac:dyDescent="0.25"/>
    <row r="13476" ht="14.25" customHeight="1" x14ac:dyDescent="0.25"/>
    <row r="13477" ht="14.25" customHeight="1" x14ac:dyDescent="0.25"/>
    <row r="13478" ht="14.25" customHeight="1" x14ac:dyDescent="0.25"/>
    <row r="13479" ht="14.25" customHeight="1" x14ac:dyDescent="0.25"/>
    <row r="13480" ht="14.25" customHeight="1" x14ac:dyDescent="0.25"/>
    <row r="13481" ht="14.25" customHeight="1" x14ac:dyDescent="0.25"/>
    <row r="13482" ht="14.25" customHeight="1" x14ac:dyDescent="0.25"/>
    <row r="13483" ht="14.25" customHeight="1" x14ac:dyDescent="0.25"/>
    <row r="13484" ht="14.25" customHeight="1" x14ac:dyDescent="0.25"/>
    <row r="13485" ht="14.25" customHeight="1" x14ac:dyDescent="0.25"/>
    <row r="13486" ht="14.25" customHeight="1" x14ac:dyDescent="0.25"/>
    <row r="13487" ht="14.25" customHeight="1" x14ac:dyDescent="0.25"/>
    <row r="13488" ht="14.25" customHeight="1" x14ac:dyDescent="0.25"/>
    <row r="13489" ht="14.25" customHeight="1" x14ac:dyDescent="0.25"/>
    <row r="13490" ht="14.25" customHeight="1" x14ac:dyDescent="0.25"/>
    <row r="13491" ht="14.25" customHeight="1" x14ac:dyDescent="0.25"/>
    <row r="13492" ht="14.25" customHeight="1" x14ac:dyDescent="0.25"/>
    <row r="13493" ht="14.25" customHeight="1" x14ac:dyDescent="0.25"/>
    <row r="13494" ht="14.25" customHeight="1" x14ac:dyDescent="0.25"/>
    <row r="13495" ht="14.25" customHeight="1" x14ac:dyDescent="0.25"/>
    <row r="13496" ht="14.25" customHeight="1" x14ac:dyDescent="0.25"/>
    <row r="13497" ht="14.25" customHeight="1" x14ac:dyDescent="0.25"/>
    <row r="13498" ht="14.25" customHeight="1" x14ac:dyDescent="0.25"/>
    <row r="13499" ht="14.25" customHeight="1" x14ac:dyDescent="0.25"/>
    <row r="13500" ht="14.25" customHeight="1" x14ac:dyDescent="0.25"/>
    <row r="13501" ht="14.25" customHeight="1" x14ac:dyDescent="0.25"/>
    <row r="13502" ht="14.25" customHeight="1" x14ac:dyDescent="0.25"/>
    <row r="13503" ht="14.25" customHeight="1" x14ac:dyDescent="0.25"/>
    <row r="13504" ht="14.25" customHeight="1" x14ac:dyDescent="0.25"/>
    <row r="13505" ht="14.25" customHeight="1" x14ac:dyDescent="0.25"/>
    <row r="13506" ht="14.25" customHeight="1" x14ac:dyDescent="0.25"/>
    <row r="13507" ht="14.25" customHeight="1" x14ac:dyDescent="0.25"/>
    <row r="13508" ht="14.25" customHeight="1" x14ac:dyDescent="0.25"/>
    <row r="13509" ht="14.25" customHeight="1" x14ac:dyDescent="0.25"/>
    <row r="13510" ht="14.25" customHeight="1" x14ac:dyDescent="0.25"/>
    <row r="13511" ht="14.25" customHeight="1" x14ac:dyDescent="0.25"/>
    <row r="13512" ht="14.25" customHeight="1" x14ac:dyDescent="0.25"/>
    <row r="13513" ht="14.25" customHeight="1" x14ac:dyDescent="0.25"/>
    <row r="13514" ht="14.25" customHeight="1" x14ac:dyDescent="0.25"/>
    <row r="13515" ht="14.25" customHeight="1" x14ac:dyDescent="0.25"/>
    <row r="13516" ht="14.25" customHeight="1" x14ac:dyDescent="0.25"/>
    <row r="13517" ht="14.25" customHeight="1" x14ac:dyDescent="0.25"/>
    <row r="13518" ht="14.25" customHeight="1" x14ac:dyDescent="0.25"/>
    <row r="13519" ht="14.25" customHeight="1" x14ac:dyDescent="0.25"/>
    <row r="13520" ht="14.25" customHeight="1" x14ac:dyDescent="0.25"/>
    <row r="13521" ht="14.25" customHeight="1" x14ac:dyDescent="0.25"/>
    <row r="13522" ht="14.25" customHeight="1" x14ac:dyDescent="0.25"/>
    <row r="13523" ht="14.25" customHeight="1" x14ac:dyDescent="0.25"/>
    <row r="13524" ht="14.25" customHeight="1" x14ac:dyDescent="0.25"/>
    <row r="13525" ht="14.25" customHeight="1" x14ac:dyDescent="0.25"/>
    <row r="13526" ht="14.25" customHeight="1" x14ac:dyDescent="0.25"/>
    <row r="13527" ht="14.25" customHeight="1" x14ac:dyDescent="0.25"/>
    <row r="13528" ht="14.25" customHeight="1" x14ac:dyDescent="0.25"/>
    <row r="13529" ht="14.25" customHeight="1" x14ac:dyDescent="0.25"/>
    <row r="13530" ht="14.25" customHeight="1" x14ac:dyDescent="0.25"/>
    <row r="13531" ht="14.25" customHeight="1" x14ac:dyDescent="0.25"/>
    <row r="13532" ht="14.25" customHeight="1" x14ac:dyDescent="0.25"/>
    <row r="13533" ht="14.25" customHeight="1" x14ac:dyDescent="0.25"/>
    <row r="13534" ht="14.25" customHeight="1" x14ac:dyDescent="0.25"/>
    <row r="13535" ht="14.25" customHeight="1" x14ac:dyDescent="0.25"/>
    <row r="13536" ht="14.25" customHeight="1" x14ac:dyDescent="0.25"/>
    <row r="13537" ht="14.25" customHeight="1" x14ac:dyDescent="0.25"/>
    <row r="13538" ht="14.25" customHeight="1" x14ac:dyDescent="0.25"/>
    <row r="13539" ht="14.25" customHeight="1" x14ac:dyDescent="0.25"/>
    <row r="13540" ht="14.25" customHeight="1" x14ac:dyDescent="0.25"/>
    <row r="13541" ht="14.25" customHeight="1" x14ac:dyDescent="0.25"/>
    <row r="13542" ht="14.25" customHeight="1" x14ac:dyDescent="0.25"/>
    <row r="13543" ht="14.25" customHeight="1" x14ac:dyDescent="0.25"/>
    <row r="13544" ht="14.25" customHeight="1" x14ac:dyDescent="0.25"/>
    <row r="13545" ht="14.25" customHeight="1" x14ac:dyDescent="0.25"/>
    <row r="13546" ht="14.25" customHeight="1" x14ac:dyDescent="0.25"/>
    <row r="13547" ht="14.25" customHeight="1" x14ac:dyDescent="0.25"/>
    <row r="13548" ht="14.25" customHeight="1" x14ac:dyDescent="0.25"/>
    <row r="13549" ht="14.25" customHeight="1" x14ac:dyDescent="0.25"/>
    <row r="13550" ht="14.25" customHeight="1" x14ac:dyDescent="0.25"/>
    <row r="13551" ht="14.25" customHeight="1" x14ac:dyDescent="0.25"/>
    <row r="13552" ht="14.25" customHeight="1" x14ac:dyDescent="0.25"/>
    <row r="13553" ht="14.25" customHeight="1" x14ac:dyDescent="0.25"/>
    <row r="13554" ht="14.25" customHeight="1" x14ac:dyDescent="0.25"/>
    <row r="13555" ht="14.25" customHeight="1" x14ac:dyDescent="0.25"/>
    <row r="13556" ht="14.25" customHeight="1" x14ac:dyDescent="0.25"/>
    <row r="13557" ht="14.25" customHeight="1" x14ac:dyDescent="0.25"/>
    <row r="13558" ht="14.25" customHeight="1" x14ac:dyDescent="0.25"/>
    <row r="13559" ht="14.25" customHeight="1" x14ac:dyDescent="0.25"/>
    <row r="13560" ht="14.25" customHeight="1" x14ac:dyDescent="0.25"/>
    <row r="13561" ht="14.25" customHeight="1" x14ac:dyDescent="0.25"/>
    <row r="13562" ht="14.25" customHeight="1" x14ac:dyDescent="0.25"/>
    <row r="13563" ht="14.25" customHeight="1" x14ac:dyDescent="0.25"/>
    <row r="13564" ht="14.25" customHeight="1" x14ac:dyDescent="0.25"/>
    <row r="13565" ht="14.25" customHeight="1" x14ac:dyDescent="0.25"/>
    <row r="13566" ht="14.25" customHeight="1" x14ac:dyDescent="0.25"/>
    <row r="13567" ht="14.25" customHeight="1" x14ac:dyDescent="0.25"/>
    <row r="13568" ht="14.25" customHeight="1" x14ac:dyDescent="0.25"/>
    <row r="13569" ht="14.25" customHeight="1" x14ac:dyDescent="0.25"/>
    <row r="13570" ht="14.25" customHeight="1" x14ac:dyDescent="0.25"/>
    <row r="13571" ht="14.25" customHeight="1" x14ac:dyDescent="0.25"/>
    <row r="13572" ht="14.25" customHeight="1" x14ac:dyDescent="0.25"/>
    <row r="13573" ht="14.25" customHeight="1" x14ac:dyDescent="0.25"/>
    <row r="13574" ht="14.25" customHeight="1" x14ac:dyDescent="0.25"/>
    <row r="13575" ht="14.25" customHeight="1" x14ac:dyDescent="0.25"/>
    <row r="13576" ht="14.25" customHeight="1" x14ac:dyDescent="0.25"/>
    <row r="13577" ht="14.25" customHeight="1" x14ac:dyDescent="0.25"/>
    <row r="13578" ht="14.25" customHeight="1" x14ac:dyDescent="0.25"/>
    <row r="13579" ht="14.25" customHeight="1" x14ac:dyDescent="0.25"/>
    <row r="13580" ht="14.25" customHeight="1" x14ac:dyDescent="0.25"/>
    <row r="13581" ht="14.25" customHeight="1" x14ac:dyDescent="0.25"/>
    <row r="13582" ht="14.25" customHeight="1" x14ac:dyDescent="0.25"/>
    <row r="13583" ht="14.25" customHeight="1" x14ac:dyDescent="0.25"/>
    <row r="13584" ht="14.25" customHeight="1" x14ac:dyDescent="0.25"/>
    <row r="13585" ht="14.25" customHeight="1" x14ac:dyDescent="0.25"/>
    <row r="13586" ht="14.25" customHeight="1" x14ac:dyDescent="0.25"/>
    <row r="13587" ht="14.25" customHeight="1" x14ac:dyDescent="0.25"/>
    <row r="13588" ht="14.25" customHeight="1" x14ac:dyDescent="0.25"/>
    <row r="13589" ht="14.25" customHeight="1" x14ac:dyDescent="0.25"/>
    <row r="13590" ht="14.25" customHeight="1" x14ac:dyDescent="0.25"/>
    <row r="13591" ht="14.25" customHeight="1" x14ac:dyDescent="0.25"/>
    <row r="13592" ht="14.25" customHeight="1" x14ac:dyDescent="0.25"/>
    <row r="13593" ht="14.25" customHeight="1" x14ac:dyDescent="0.25"/>
    <row r="13594" ht="14.25" customHeight="1" x14ac:dyDescent="0.25"/>
    <row r="13595" ht="14.25" customHeight="1" x14ac:dyDescent="0.25"/>
    <row r="13596" ht="14.25" customHeight="1" x14ac:dyDescent="0.25"/>
    <row r="13597" ht="14.25" customHeight="1" x14ac:dyDescent="0.25"/>
    <row r="13598" ht="14.25" customHeight="1" x14ac:dyDescent="0.25"/>
    <row r="13599" ht="14.25" customHeight="1" x14ac:dyDescent="0.25"/>
    <row r="13600" ht="14.25" customHeight="1" x14ac:dyDescent="0.25"/>
    <row r="13601" ht="14.25" customHeight="1" x14ac:dyDescent="0.25"/>
    <row r="13602" ht="14.25" customHeight="1" x14ac:dyDescent="0.25"/>
    <row r="13603" ht="14.25" customHeight="1" x14ac:dyDescent="0.25"/>
    <row r="13604" ht="14.25" customHeight="1" x14ac:dyDescent="0.25"/>
    <row r="13605" ht="14.25" customHeight="1" x14ac:dyDescent="0.25"/>
    <row r="13606" ht="14.25" customHeight="1" x14ac:dyDescent="0.25"/>
    <row r="13607" ht="14.25" customHeight="1" x14ac:dyDescent="0.25"/>
    <row r="13608" ht="14.25" customHeight="1" x14ac:dyDescent="0.25"/>
    <row r="13609" ht="14.25" customHeight="1" x14ac:dyDescent="0.25"/>
    <row r="13610" ht="14.25" customHeight="1" x14ac:dyDescent="0.25"/>
    <row r="13611" ht="14.25" customHeight="1" x14ac:dyDescent="0.25"/>
    <row r="13612" ht="14.25" customHeight="1" x14ac:dyDescent="0.25"/>
    <row r="13613" ht="14.25" customHeight="1" x14ac:dyDescent="0.25"/>
    <row r="13614" ht="14.25" customHeight="1" x14ac:dyDescent="0.25"/>
    <row r="13615" ht="14.25" customHeight="1" x14ac:dyDescent="0.25"/>
    <row r="13616" ht="14.25" customHeight="1" x14ac:dyDescent="0.25"/>
    <row r="13617" ht="14.25" customHeight="1" x14ac:dyDescent="0.25"/>
    <row r="13618" ht="14.25" customHeight="1" x14ac:dyDescent="0.25"/>
    <row r="13619" ht="14.25" customHeight="1" x14ac:dyDescent="0.25"/>
    <row r="13620" ht="14.25" customHeight="1" x14ac:dyDescent="0.25"/>
    <row r="13621" ht="14.25" customHeight="1" x14ac:dyDescent="0.25"/>
    <row r="13622" ht="14.25" customHeight="1" x14ac:dyDescent="0.25"/>
    <row r="13623" ht="14.25" customHeight="1" x14ac:dyDescent="0.25"/>
    <row r="13624" ht="14.25" customHeight="1" x14ac:dyDescent="0.25"/>
    <row r="13625" ht="14.25" customHeight="1" x14ac:dyDescent="0.25"/>
    <row r="13626" ht="14.25" customHeight="1" x14ac:dyDescent="0.25"/>
    <row r="13627" ht="14.25" customHeight="1" x14ac:dyDescent="0.25"/>
    <row r="13628" ht="14.25" customHeight="1" x14ac:dyDescent="0.25"/>
    <row r="13629" ht="14.25" customHeight="1" x14ac:dyDescent="0.25"/>
    <row r="13630" ht="14.25" customHeight="1" x14ac:dyDescent="0.25"/>
    <row r="13631" ht="14.25" customHeight="1" x14ac:dyDescent="0.25"/>
    <row r="13632" ht="14.25" customHeight="1" x14ac:dyDescent="0.25"/>
    <row r="13633" ht="14.25" customHeight="1" x14ac:dyDescent="0.25"/>
    <row r="13634" ht="14.25" customHeight="1" x14ac:dyDescent="0.25"/>
    <row r="13635" ht="14.25" customHeight="1" x14ac:dyDescent="0.25"/>
    <row r="13636" ht="14.25" customHeight="1" x14ac:dyDescent="0.25"/>
    <row r="13637" ht="14.25" customHeight="1" x14ac:dyDescent="0.25"/>
    <row r="13638" ht="14.25" customHeight="1" x14ac:dyDescent="0.25"/>
    <row r="13639" ht="14.25" customHeight="1" x14ac:dyDescent="0.25"/>
    <row r="13640" ht="14.25" customHeight="1" x14ac:dyDescent="0.25"/>
    <row r="13641" ht="14.25" customHeight="1" x14ac:dyDescent="0.25"/>
    <row r="13642" ht="14.25" customHeight="1" x14ac:dyDescent="0.25"/>
    <row r="13643" ht="14.25" customHeight="1" x14ac:dyDescent="0.25"/>
    <row r="13644" ht="14.25" customHeight="1" x14ac:dyDescent="0.25"/>
    <row r="13645" ht="14.25" customHeight="1" x14ac:dyDescent="0.25"/>
    <row r="13646" ht="14.25" customHeight="1" x14ac:dyDescent="0.25"/>
    <row r="13647" ht="14.25" customHeight="1" x14ac:dyDescent="0.25"/>
    <row r="13648" ht="14.25" customHeight="1" x14ac:dyDescent="0.25"/>
    <row r="13649" ht="14.25" customHeight="1" x14ac:dyDescent="0.25"/>
    <row r="13650" ht="14.25" customHeight="1" x14ac:dyDescent="0.25"/>
    <row r="13651" ht="14.25" customHeight="1" x14ac:dyDescent="0.25"/>
    <row r="13652" ht="14.25" customHeight="1" x14ac:dyDescent="0.25"/>
    <row r="13653" ht="14.25" customHeight="1" x14ac:dyDescent="0.25"/>
    <row r="13654" ht="14.25" customHeight="1" x14ac:dyDescent="0.25"/>
    <row r="13655" ht="14.25" customHeight="1" x14ac:dyDescent="0.25"/>
    <row r="13656" ht="14.25" customHeight="1" x14ac:dyDescent="0.25"/>
    <row r="13657" ht="14.25" customHeight="1" x14ac:dyDescent="0.25"/>
    <row r="13658" ht="14.25" customHeight="1" x14ac:dyDescent="0.25"/>
    <row r="13659" ht="14.25" customHeight="1" x14ac:dyDescent="0.25"/>
    <row r="13660" ht="14.25" customHeight="1" x14ac:dyDescent="0.25"/>
    <row r="13661" ht="14.25" customHeight="1" x14ac:dyDescent="0.25"/>
    <row r="13662" ht="14.25" customHeight="1" x14ac:dyDescent="0.25"/>
    <row r="13663" ht="14.25" customHeight="1" x14ac:dyDescent="0.25"/>
    <row r="13664" ht="14.25" customHeight="1" x14ac:dyDescent="0.25"/>
    <row r="13665" ht="14.25" customHeight="1" x14ac:dyDescent="0.25"/>
    <row r="13666" ht="14.25" customHeight="1" x14ac:dyDescent="0.25"/>
    <row r="13667" ht="14.25" customHeight="1" x14ac:dyDescent="0.25"/>
    <row r="13668" ht="14.25" customHeight="1" x14ac:dyDescent="0.25"/>
    <row r="13669" ht="14.25" customHeight="1" x14ac:dyDescent="0.25"/>
    <row r="13670" ht="14.25" customHeight="1" x14ac:dyDescent="0.25"/>
    <row r="13671" ht="14.25" customHeight="1" x14ac:dyDescent="0.25"/>
    <row r="13672" ht="14.25" customHeight="1" x14ac:dyDescent="0.25"/>
    <row r="13673" ht="14.25" customHeight="1" x14ac:dyDescent="0.25"/>
    <row r="13674" ht="14.25" customHeight="1" x14ac:dyDescent="0.25"/>
    <row r="13675" ht="14.25" customHeight="1" x14ac:dyDescent="0.25"/>
    <row r="13676" ht="14.25" customHeight="1" x14ac:dyDescent="0.25"/>
    <row r="13677" ht="14.25" customHeight="1" x14ac:dyDescent="0.25"/>
    <row r="13678" ht="14.25" customHeight="1" x14ac:dyDescent="0.25"/>
    <row r="13679" ht="14.25" customHeight="1" x14ac:dyDescent="0.25"/>
    <row r="13680" ht="14.25" customHeight="1" x14ac:dyDescent="0.25"/>
    <row r="13681" ht="14.25" customHeight="1" x14ac:dyDescent="0.25"/>
    <row r="13682" ht="14.25" customHeight="1" x14ac:dyDescent="0.25"/>
    <row r="13683" ht="14.25" customHeight="1" x14ac:dyDescent="0.25"/>
    <row r="13684" ht="14.25" customHeight="1" x14ac:dyDescent="0.25"/>
    <row r="13685" ht="14.25" customHeight="1" x14ac:dyDescent="0.25"/>
    <row r="13686" ht="14.25" customHeight="1" x14ac:dyDescent="0.25"/>
    <row r="13687" ht="14.25" customHeight="1" x14ac:dyDescent="0.25"/>
    <row r="13688" ht="14.25" customHeight="1" x14ac:dyDescent="0.25"/>
    <row r="13689" ht="14.25" customHeight="1" x14ac:dyDescent="0.25"/>
    <row r="13690" ht="14.25" customHeight="1" x14ac:dyDescent="0.25"/>
    <row r="13691" ht="14.25" customHeight="1" x14ac:dyDescent="0.25"/>
    <row r="13692" ht="14.25" customHeight="1" x14ac:dyDescent="0.25"/>
    <row r="13693" ht="14.25" customHeight="1" x14ac:dyDescent="0.25"/>
    <row r="13694" ht="14.25" customHeight="1" x14ac:dyDescent="0.25"/>
    <row r="13695" ht="14.25" customHeight="1" x14ac:dyDescent="0.25"/>
    <row r="13696" ht="14.25" customHeight="1" x14ac:dyDescent="0.25"/>
    <row r="13697" ht="14.25" customHeight="1" x14ac:dyDescent="0.25"/>
    <row r="13698" ht="14.25" customHeight="1" x14ac:dyDescent="0.25"/>
    <row r="13699" ht="14.25" customHeight="1" x14ac:dyDescent="0.25"/>
    <row r="13700" ht="14.25" customHeight="1" x14ac:dyDescent="0.25"/>
    <row r="13701" ht="14.25" customHeight="1" x14ac:dyDescent="0.25"/>
    <row r="13702" ht="14.25" customHeight="1" x14ac:dyDescent="0.25"/>
    <row r="13703" ht="14.25" customHeight="1" x14ac:dyDescent="0.25"/>
    <row r="13704" ht="14.25" customHeight="1" x14ac:dyDescent="0.25"/>
    <row r="13705" ht="14.25" customHeight="1" x14ac:dyDescent="0.25"/>
    <row r="13706" ht="14.25" customHeight="1" x14ac:dyDescent="0.25"/>
    <row r="13707" ht="14.25" customHeight="1" x14ac:dyDescent="0.25"/>
    <row r="13708" ht="14.25" customHeight="1" x14ac:dyDescent="0.25"/>
    <row r="13709" ht="14.25" customHeight="1" x14ac:dyDescent="0.25"/>
    <row r="13710" ht="14.25" customHeight="1" x14ac:dyDescent="0.25"/>
    <row r="13711" ht="14.25" customHeight="1" x14ac:dyDescent="0.25"/>
    <row r="13712" ht="14.25" customHeight="1" x14ac:dyDescent="0.25"/>
    <row r="13713" ht="14.25" customHeight="1" x14ac:dyDescent="0.25"/>
    <row r="13714" ht="14.25" customHeight="1" x14ac:dyDescent="0.25"/>
    <row r="13715" ht="14.25" customHeight="1" x14ac:dyDescent="0.25"/>
    <row r="13716" ht="14.25" customHeight="1" x14ac:dyDescent="0.25"/>
    <row r="13717" ht="14.25" customHeight="1" x14ac:dyDescent="0.25"/>
    <row r="13718" ht="14.25" customHeight="1" x14ac:dyDescent="0.25"/>
    <row r="13719" ht="14.25" customHeight="1" x14ac:dyDescent="0.25"/>
    <row r="13720" ht="14.25" customHeight="1" x14ac:dyDescent="0.25"/>
    <row r="13721" ht="14.25" customHeight="1" x14ac:dyDescent="0.25"/>
    <row r="13722" ht="14.25" customHeight="1" x14ac:dyDescent="0.25"/>
    <row r="13723" ht="14.25" customHeight="1" x14ac:dyDescent="0.25"/>
    <row r="13724" ht="14.25" customHeight="1" x14ac:dyDescent="0.25"/>
    <row r="13725" ht="14.25" customHeight="1" x14ac:dyDescent="0.25"/>
    <row r="13726" ht="14.25" customHeight="1" x14ac:dyDescent="0.25"/>
    <row r="13727" ht="14.25" customHeight="1" x14ac:dyDescent="0.25"/>
    <row r="13728" ht="14.25" customHeight="1" x14ac:dyDescent="0.25"/>
    <row r="13729" ht="14.25" customHeight="1" x14ac:dyDescent="0.25"/>
    <row r="13730" ht="14.25" customHeight="1" x14ac:dyDescent="0.25"/>
    <row r="13731" ht="14.25" customHeight="1" x14ac:dyDescent="0.25"/>
    <row r="13732" ht="14.25" customHeight="1" x14ac:dyDescent="0.25"/>
    <row r="13733" ht="14.25" customHeight="1" x14ac:dyDescent="0.25"/>
    <row r="13734" ht="14.25" customHeight="1" x14ac:dyDescent="0.25"/>
    <row r="13735" ht="14.25" customHeight="1" x14ac:dyDescent="0.25"/>
    <row r="13736" ht="14.25" customHeight="1" x14ac:dyDescent="0.25"/>
    <row r="13737" ht="14.25" customHeight="1" x14ac:dyDescent="0.25"/>
    <row r="13738" ht="14.25" customHeight="1" x14ac:dyDescent="0.25"/>
    <row r="13739" ht="14.25" customHeight="1" x14ac:dyDescent="0.25"/>
    <row r="13740" ht="14.25" customHeight="1" x14ac:dyDescent="0.25"/>
    <row r="13741" ht="14.25" customHeight="1" x14ac:dyDescent="0.25"/>
    <row r="13742" ht="14.25" customHeight="1" x14ac:dyDescent="0.25"/>
    <row r="13743" ht="14.25" customHeight="1" x14ac:dyDescent="0.25"/>
    <row r="13744" ht="14.25" customHeight="1" x14ac:dyDescent="0.25"/>
    <row r="13745" ht="14.25" customHeight="1" x14ac:dyDescent="0.25"/>
    <row r="13746" ht="14.25" customHeight="1" x14ac:dyDescent="0.25"/>
    <row r="13747" ht="14.25" customHeight="1" x14ac:dyDescent="0.25"/>
    <row r="13748" ht="14.25" customHeight="1" x14ac:dyDescent="0.25"/>
    <row r="13749" ht="14.25" customHeight="1" x14ac:dyDescent="0.25"/>
    <row r="13750" ht="14.25" customHeight="1" x14ac:dyDescent="0.25"/>
    <row r="13751" ht="14.25" customHeight="1" x14ac:dyDescent="0.25"/>
    <row r="13752" ht="14.25" customHeight="1" x14ac:dyDescent="0.25"/>
    <row r="13753" ht="14.25" customHeight="1" x14ac:dyDescent="0.25"/>
    <row r="13754" ht="14.25" customHeight="1" x14ac:dyDescent="0.25"/>
    <row r="13755" ht="14.25" customHeight="1" x14ac:dyDescent="0.25"/>
    <row r="13756" ht="14.25" customHeight="1" x14ac:dyDescent="0.25"/>
    <row r="13757" ht="14.25" customHeight="1" x14ac:dyDescent="0.25"/>
    <row r="13758" ht="14.25" customHeight="1" x14ac:dyDescent="0.25"/>
    <row r="13759" ht="14.25" customHeight="1" x14ac:dyDescent="0.25"/>
    <row r="13760" ht="14.25" customHeight="1" x14ac:dyDescent="0.25"/>
    <row r="13761" ht="14.25" customHeight="1" x14ac:dyDescent="0.25"/>
    <row r="13762" ht="14.25" customHeight="1" x14ac:dyDescent="0.25"/>
    <row r="13763" ht="14.25" customHeight="1" x14ac:dyDescent="0.25"/>
    <row r="13764" ht="14.25" customHeight="1" x14ac:dyDescent="0.25"/>
    <row r="13765" ht="14.25" customHeight="1" x14ac:dyDescent="0.25"/>
    <row r="13766" ht="14.25" customHeight="1" x14ac:dyDescent="0.25"/>
    <row r="13767" ht="14.25" customHeight="1" x14ac:dyDescent="0.25"/>
    <row r="13768" ht="14.25" customHeight="1" x14ac:dyDescent="0.25"/>
    <row r="13769" ht="14.25" customHeight="1" x14ac:dyDescent="0.25"/>
    <row r="13770" ht="14.25" customHeight="1" x14ac:dyDescent="0.25"/>
    <row r="13771" ht="14.25" customHeight="1" x14ac:dyDescent="0.25"/>
    <row r="13772" ht="14.25" customHeight="1" x14ac:dyDescent="0.25"/>
    <row r="13773" ht="14.25" customHeight="1" x14ac:dyDescent="0.25"/>
    <row r="13774" ht="14.25" customHeight="1" x14ac:dyDescent="0.25"/>
    <row r="13775" ht="14.25" customHeight="1" x14ac:dyDescent="0.25"/>
    <row r="13776" ht="14.25" customHeight="1" x14ac:dyDescent="0.25"/>
    <row r="13777" ht="14.25" customHeight="1" x14ac:dyDescent="0.25"/>
    <row r="13778" ht="14.25" customHeight="1" x14ac:dyDescent="0.25"/>
    <row r="13779" ht="14.25" customHeight="1" x14ac:dyDescent="0.25"/>
    <row r="13780" ht="14.25" customHeight="1" x14ac:dyDescent="0.25"/>
    <row r="13781" ht="14.25" customHeight="1" x14ac:dyDescent="0.25"/>
    <row r="13782" ht="14.25" customHeight="1" x14ac:dyDescent="0.25"/>
    <row r="13783" ht="14.25" customHeight="1" x14ac:dyDescent="0.25"/>
    <row r="13784" ht="14.25" customHeight="1" x14ac:dyDescent="0.25"/>
    <row r="13785" ht="14.25" customHeight="1" x14ac:dyDescent="0.25"/>
    <row r="13786" ht="14.25" customHeight="1" x14ac:dyDescent="0.25"/>
    <row r="13787" ht="14.25" customHeight="1" x14ac:dyDescent="0.25"/>
    <row r="13788" ht="14.25" customHeight="1" x14ac:dyDescent="0.25"/>
    <row r="13789" ht="14.25" customHeight="1" x14ac:dyDescent="0.25"/>
    <row r="13790" ht="14.25" customHeight="1" x14ac:dyDescent="0.25"/>
    <row r="13791" ht="14.25" customHeight="1" x14ac:dyDescent="0.25"/>
    <row r="13792" ht="14.25" customHeight="1" x14ac:dyDescent="0.25"/>
    <row r="13793" ht="14.25" customHeight="1" x14ac:dyDescent="0.25"/>
    <row r="13794" ht="14.25" customHeight="1" x14ac:dyDescent="0.25"/>
    <row r="13795" ht="14.25" customHeight="1" x14ac:dyDescent="0.25"/>
    <row r="13796" ht="14.25" customHeight="1" x14ac:dyDescent="0.25"/>
    <row r="13797" ht="14.25" customHeight="1" x14ac:dyDescent="0.25"/>
    <row r="13798" ht="14.25" customHeight="1" x14ac:dyDescent="0.25"/>
    <row r="13799" ht="14.25" customHeight="1" x14ac:dyDescent="0.25"/>
    <row r="13800" ht="14.25" customHeight="1" x14ac:dyDescent="0.25"/>
    <row r="13801" ht="14.25" customHeight="1" x14ac:dyDescent="0.25"/>
    <row r="13802" ht="14.25" customHeight="1" x14ac:dyDescent="0.25"/>
    <row r="13803" ht="14.25" customHeight="1" x14ac:dyDescent="0.25"/>
    <row r="13804" ht="14.25" customHeight="1" x14ac:dyDescent="0.25"/>
    <row r="13805" ht="14.25" customHeight="1" x14ac:dyDescent="0.25"/>
    <row r="13806" ht="14.25" customHeight="1" x14ac:dyDescent="0.25"/>
    <row r="13807" ht="14.25" customHeight="1" x14ac:dyDescent="0.25"/>
    <row r="13808" ht="14.25" customHeight="1" x14ac:dyDescent="0.25"/>
    <row r="13809" ht="14.25" customHeight="1" x14ac:dyDescent="0.25"/>
    <row r="13810" ht="14.25" customHeight="1" x14ac:dyDescent="0.25"/>
    <row r="13811" ht="14.25" customHeight="1" x14ac:dyDescent="0.25"/>
    <row r="13812" ht="14.25" customHeight="1" x14ac:dyDescent="0.25"/>
    <row r="13813" ht="14.25" customHeight="1" x14ac:dyDescent="0.25"/>
    <row r="13814" ht="14.25" customHeight="1" x14ac:dyDescent="0.25"/>
    <row r="13815" ht="14.25" customHeight="1" x14ac:dyDescent="0.25"/>
    <row r="13816" ht="14.25" customHeight="1" x14ac:dyDescent="0.25"/>
    <row r="13817" ht="14.25" customHeight="1" x14ac:dyDescent="0.25"/>
    <row r="13818" ht="14.25" customHeight="1" x14ac:dyDescent="0.25"/>
    <row r="13819" ht="14.25" customHeight="1" x14ac:dyDescent="0.25"/>
    <row r="13820" ht="14.25" customHeight="1" x14ac:dyDescent="0.25"/>
    <row r="13821" ht="14.25" customHeight="1" x14ac:dyDescent="0.25"/>
    <row r="13822" ht="14.25" customHeight="1" x14ac:dyDescent="0.25"/>
    <row r="13823" ht="14.25" customHeight="1" x14ac:dyDescent="0.25"/>
    <row r="13824" ht="14.25" customHeight="1" x14ac:dyDescent="0.25"/>
    <row r="13825" ht="14.25" customHeight="1" x14ac:dyDescent="0.25"/>
    <row r="13826" ht="14.25" customHeight="1" x14ac:dyDescent="0.25"/>
    <row r="13827" ht="14.25" customHeight="1" x14ac:dyDescent="0.25"/>
    <row r="13828" ht="14.25" customHeight="1" x14ac:dyDescent="0.25"/>
    <row r="13829" ht="14.25" customHeight="1" x14ac:dyDescent="0.25"/>
    <row r="13830" ht="14.25" customHeight="1" x14ac:dyDescent="0.25"/>
    <row r="13831" ht="14.25" customHeight="1" x14ac:dyDescent="0.25"/>
    <row r="13832" ht="14.25" customHeight="1" x14ac:dyDescent="0.25"/>
    <row r="13833" ht="14.25" customHeight="1" x14ac:dyDescent="0.25"/>
    <row r="13834" ht="14.25" customHeight="1" x14ac:dyDescent="0.25"/>
    <row r="13835" ht="14.25" customHeight="1" x14ac:dyDescent="0.25"/>
    <row r="13836" ht="14.25" customHeight="1" x14ac:dyDescent="0.25"/>
    <row r="13837" ht="14.25" customHeight="1" x14ac:dyDescent="0.25"/>
    <row r="13838" ht="14.25" customHeight="1" x14ac:dyDescent="0.25"/>
    <row r="13839" ht="14.25" customHeight="1" x14ac:dyDescent="0.25"/>
    <row r="13840" ht="14.25" customHeight="1" x14ac:dyDescent="0.25"/>
    <row r="13841" ht="14.25" customHeight="1" x14ac:dyDescent="0.25"/>
    <row r="13842" ht="14.25" customHeight="1" x14ac:dyDescent="0.25"/>
    <row r="13843" ht="14.25" customHeight="1" x14ac:dyDescent="0.25"/>
    <row r="13844" ht="14.25" customHeight="1" x14ac:dyDescent="0.25"/>
    <row r="13845" ht="14.25" customHeight="1" x14ac:dyDescent="0.25"/>
    <row r="13846" ht="14.25" customHeight="1" x14ac:dyDescent="0.25"/>
    <row r="13847" ht="14.25" customHeight="1" x14ac:dyDescent="0.25"/>
    <row r="13848" ht="14.25" customHeight="1" x14ac:dyDescent="0.25"/>
    <row r="13849" ht="14.25" customHeight="1" x14ac:dyDescent="0.25"/>
    <row r="13850" ht="14.25" customHeight="1" x14ac:dyDescent="0.25"/>
    <row r="13851" ht="14.25" customHeight="1" x14ac:dyDescent="0.25"/>
    <row r="13852" ht="14.25" customHeight="1" x14ac:dyDescent="0.25"/>
    <row r="13853" ht="14.25" customHeight="1" x14ac:dyDescent="0.25"/>
    <row r="13854" ht="14.25" customHeight="1" x14ac:dyDescent="0.25"/>
    <row r="13855" ht="14.25" customHeight="1" x14ac:dyDescent="0.25"/>
    <row r="13856" ht="14.25" customHeight="1" x14ac:dyDescent="0.25"/>
    <row r="13857" ht="14.25" customHeight="1" x14ac:dyDescent="0.25"/>
    <row r="13858" ht="14.25" customHeight="1" x14ac:dyDescent="0.25"/>
    <row r="13859" ht="14.25" customHeight="1" x14ac:dyDescent="0.25"/>
    <row r="13860" ht="14.25" customHeight="1" x14ac:dyDescent="0.25"/>
    <row r="13861" ht="14.25" customHeight="1" x14ac:dyDescent="0.25"/>
    <row r="13862" ht="14.25" customHeight="1" x14ac:dyDescent="0.25"/>
    <row r="13863" ht="14.25" customHeight="1" x14ac:dyDescent="0.25"/>
    <row r="13864" ht="14.25" customHeight="1" x14ac:dyDescent="0.25"/>
    <row r="13865" ht="14.25" customHeight="1" x14ac:dyDescent="0.25"/>
    <row r="13866" ht="14.25" customHeight="1" x14ac:dyDescent="0.25"/>
    <row r="13867" ht="14.25" customHeight="1" x14ac:dyDescent="0.25"/>
    <row r="13868" ht="14.25" customHeight="1" x14ac:dyDescent="0.25"/>
    <row r="13869" ht="14.25" customHeight="1" x14ac:dyDescent="0.25"/>
    <row r="13870" ht="14.25" customHeight="1" x14ac:dyDescent="0.25"/>
    <row r="13871" ht="14.25" customHeight="1" x14ac:dyDescent="0.25"/>
    <row r="13872" ht="14.25" customHeight="1" x14ac:dyDescent="0.25"/>
    <row r="13873" ht="14.25" customHeight="1" x14ac:dyDescent="0.25"/>
    <row r="13874" ht="14.25" customHeight="1" x14ac:dyDescent="0.25"/>
    <row r="13875" ht="14.25" customHeight="1" x14ac:dyDescent="0.25"/>
    <row r="13876" ht="14.25" customHeight="1" x14ac:dyDescent="0.25"/>
    <row r="13877" ht="14.25" customHeight="1" x14ac:dyDescent="0.25"/>
    <row r="13878" ht="14.25" customHeight="1" x14ac:dyDescent="0.25"/>
    <row r="13879" ht="14.25" customHeight="1" x14ac:dyDescent="0.25"/>
    <row r="13880" ht="14.25" customHeight="1" x14ac:dyDescent="0.25"/>
    <row r="13881" ht="14.25" customHeight="1" x14ac:dyDescent="0.25"/>
    <row r="13882" ht="14.25" customHeight="1" x14ac:dyDescent="0.25"/>
    <row r="13883" ht="14.25" customHeight="1" x14ac:dyDescent="0.25"/>
    <row r="13884" ht="14.25" customHeight="1" x14ac:dyDescent="0.25"/>
    <row r="13885" ht="14.25" customHeight="1" x14ac:dyDescent="0.25"/>
    <row r="13886" ht="14.25" customHeight="1" x14ac:dyDescent="0.25"/>
    <row r="13887" ht="14.25" customHeight="1" x14ac:dyDescent="0.25"/>
    <row r="13888" ht="14.25" customHeight="1" x14ac:dyDescent="0.25"/>
    <row r="13889" ht="14.25" customHeight="1" x14ac:dyDescent="0.25"/>
    <row r="13890" ht="14.25" customHeight="1" x14ac:dyDescent="0.25"/>
    <row r="13891" ht="14.25" customHeight="1" x14ac:dyDescent="0.25"/>
    <row r="13892" ht="14.25" customHeight="1" x14ac:dyDescent="0.25"/>
    <row r="13893" ht="14.25" customHeight="1" x14ac:dyDescent="0.25"/>
    <row r="13894" ht="14.25" customHeight="1" x14ac:dyDescent="0.25"/>
    <row r="13895" ht="14.25" customHeight="1" x14ac:dyDescent="0.25"/>
    <row r="13896" ht="14.25" customHeight="1" x14ac:dyDescent="0.25"/>
    <row r="13897" ht="14.25" customHeight="1" x14ac:dyDescent="0.25"/>
    <row r="13898" ht="14.25" customHeight="1" x14ac:dyDescent="0.25"/>
    <row r="13899" ht="14.25" customHeight="1" x14ac:dyDescent="0.25"/>
    <row r="13900" ht="14.25" customHeight="1" x14ac:dyDescent="0.25"/>
    <row r="13901" ht="14.25" customHeight="1" x14ac:dyDescent="0.25"/>
    <row r="13902" ht="14.25" customHeight="1" x14ac:dyDescent="0.25"/>
    <row r="13903" ht="14.25" customHeight="1" x14ac:dyDescent="0.25"/>
    <row r="13904" ht="14.25" customHeight="1" x14ac:dyDescent="0.25"/>
    <row r="13905" ht="14.25" customHeight="1" x14ac:dyDescent="0.25"/>
    <row r="13906" ht="14.25" customHeight="1" x14ac:dyDescent="0.25"/>
    <row r="13907" ht="14.25" customHeight="1" x14ac:dyDescent="0.25"/>
    <row r="13908" ht="14.25" customHeight="1" x14ac:dyDescent="0.25"/>
    <row r="13909" ht="14.25" customHeight="1" x14ac:dyDescent="0.25"/>
    <row r="13910" ht="14.25" customHeight="1" x14ac:dyDescent="0.25"/>
    <row r="13911" ht="14.25" customHeight="1" x14ac:dyDescent="0.25"/>
    <row r="13912" ht="14.25" customHeight="1" x14ac:dyDescent="0.25"/>
    <row r="13913" ht="14.25" customHeight="1" x14ac:dyDescent="0.25"/>
    <row r="13914" ht="14.25" customHeight="1" x14ac:dyDescent="0.25"/>
    <row r="13915" ht="14.25" customHeight="1" x14ac:dyDescent="0.25"/>
    <row r="13916" ht="14.25" customHeight="1" x14ac:dyDescent="0.25"/>
    <row r="13917" ht="14.25" customHeight="1" x14ac:dyDescent="0.25"/>
    <row r="13918" ht="14.25" customHeight="1" x14ac:dyDescent="0.25"/>
    <row r="13919" ht="14.25" customHeight="1" x14ac:dyDescent="0.25"/>
    <row r="13920" ht="14.25" customHeight="1" x14ac:dyDescent="0.25"/>
    <row r="13921" ht="14.25" customHeight="1" x14ac:dyDescent="0.25"/>
    <row r="13922" ht="14.25" customHeight="1" x14ac:dyDescent="0.25"/>
    <row r="13923" ht="14.25" customHeight="1" x14ac:dyDescent="0.25"/>
    <row r="13924" ht="14.25" customHeight="1" x14ac:dyDescent="0.25"/>
    <row r="13925" ht="14.25" customHeight="1" x14ac:dyDescent="0.25"/>
    <row r="13926" ht="14.25" customHeight="1" x14ac:dyDescent="0.25"/>
    <row r="13927" ht="14.25" customHeight="1" x14ac:dyDescent="0.25"/>
    <row r="13928" ht="14.25" customHeight="1" x14ac:dyDescent="0.25"/>
    <row r="13929" ht="14.25" customHeight="1" x14ac:dyDescent="0.25"/>
    <row r="13930" ht="14.25" customHeight="1" x14ac:dyDescent="0.25"/>
    <row r="13931" ht="14.25" customHeight="1" x14ac:dyDescent="0.25"/>
    <row r="13932" ht="14.25" customHeight="1" x14ac:dyDescent="0.25"/>
    <row r="13933" ht="14.25" customHeight="1" x14ac:dyDescent="0.25"/>
    <row r="13934" ht="14.25" customHeight="1" x14ac:dyDescent="0.25"/>
    <row r="13935" ht="14.25" customHeight="1" x14ac:dyDescent="0.25"/>
    <row r="13936" ht="14.25" customHeight="1" x14ac:dyDescent="0.25"/>
    <row r="13937" ht="14.25" customHeight="1" x14ac:dyDescent="0.25"/>
    <row r="13938" ht="14.25" customHeight="1" x14ac:dyDescent="0.25"/>
    <row r="13939" ht="14.25" customHeight="1" x14ac:dyDescent="0.25"/>
    <row r="13940" ht="14.25" customHeight="1" x14ac:dyDescent="0.25"/>
    <row r="13941" ht="14.25" customHeight="1" x14ac:dyDescent="0.25"/>
    <row r="13942" ht="14.25" customHeight="1" x14ac:dyDescent="0.25"/>
    <row r="13943" ht="14.25" customHeight="1" x14ac:dyDescent="0.25"/>
    <row r="13944" ht="14.25" customHeight="1" x14ac:dyDescent="0.25"/>
    <row r="13945" ht="14.25" customHeight="1" x14ac:dyDescent="0.25"/>
    <row r="13946" ht="14.25" customHeight="1" x14ac:dyDescent="0.25"/>
    <row r="13947" ht="14.25" customHeight="1" x14ac:dyDescent="0.25"/>
    <row r="13948" ht="14.25" customHeight="1" x14ac:dyDescent="0.25"/>
    <row r="13949" ht="14.25" customHeight="1" x14ac:dyDescent="0.25"/>
    <row r="13950" ht="14.25" customHeight="1" x14ac:dyDescent="0.25"/>
    <row r="13951" ht="14.25" customHeight="1" x14ac:dyDescent="0.25"/>
    <row r="13952" ht="14.25" customHeight="1" x14ac:dyDescent="0.25"/>
    <row r="13953" ht="14.25" customHeight="1" x14ac:dyDescent="0.25"/>
    <row r="13954" ht="14.25" customHeight="1" x14ac:dyDescent="0.25"/>
    <row r="13955" ht="14.25" customHeight="1" x14ac:dyDescent="0.25"/>
    <row r="13956" ht="14.25" customHeight="1" x14ac:dyDescent="0.25"/>
    <row r="13957" ht="14.25" customHeight="1" x14ac:dyDescent="0.25"/>
    <row r="13958" ht="14.25" customHeight="1" x14ac:dyDescent="0.25"/>
    <row r="13959" ht="14.25" customHeight="1" x14ac:dyDescent="0.25"/>
    <row r="13960" ht="14.25" customHeight="1" x14ac:dyDescent="0.25"/>
    <row r="13961" ht="14.25" customHeight="1" x14ac:dyDescent="0.25"/>
    <row r="13962" ht="14.25" customHeight="1" x14ac:dyDescent="0.25"/>
    <row r="13963" ht="14.25" customHeight="1" x14ac:dyDescent="0.25"/>
    <row r="13964" ht="14.25" customHeight="1" x14ac:dyDescent="0.25"/>
    <row r="13965" ht="14.25" customHeight="1" x14ac:dyDescent="0.25"/>
    <row r="13966" ht="14.25" customHeight="1" x14ac:dyDescent="0.25"/>
    <row r="13967" ht="14.25" customHeight="1" x14ac:dyDescent="0.25"/>
    <row r="13968" ht="14.25" customHeight="1" x14ac:dyDescent="0.25"/>
    <row r="13969" ht="14.25" customHeight="1" x14ac:dyDescent="0.25"/>
    <row r="13970" ht="14.25" customHeight="1" x14ac:dyDescent="0.25"/>
    <row r="13971" ht="14.25" customHeight="1" x14ac:dyDescent="0.25"/>
    <row r="13972" ht="14.25" customHeight="1" x14ac:dyDescent="0.25"/>
    <row r="13973" ht="14.25" customHeight="1" x14ac:dyDescent="0.25"/>
    <row r="13974" ht="14.25" customHeight="1" x14ac:dyDescent="0.25"/>
    <row r="13975" ht="14.25" customHeight="1" x14ac:dyDescent="0.25"/>
    <row r="13976" ht="14.25" customHeight="1" x14ac:dyDescent="0.25"/>
    <row r="13977" ht="14.25" customHeight="1" x14ac:dyDescent="0.25"/>
    <row r="13978" ht="14.25" customHeight="1" x14ac:dyDescent="0.25"/>
    <row r="13979" ht="14.25" customHeight="1" x14ac:dyDescent="0.25"/>
    <row r="13980" ht="14.25" customHeight="1" x14ac:dyDescent="0.25"/>
    <row r="13981" ht="14.25" customHeight="1" x14ac:dyDescent="0.25"/>
    <row r="13982" ht="14.25" customHeight="1" x14ac:dyDescent="0.25"/>
    <row r="13983" ht="14.25" customHeight="1" x14ac:dyDescent="0.25"/>
    <row r="13984" ht="14.25" customHeight="1" x14ac:dyDescent="0.25"/>
    <row r="13985" ht="14.25" customHeight="1" x14ac:dyDescent="0.25"/>
    <row r="13986" ht="14.25" customHeight="1" x14ac:dyDescent="0.25"/>
    <row r="13987" ht="14.25" customHeight="1" x14ac:dyDescent="0.25"/>
    <row r="13988" ht="14.25" customHeight="1" x14ac:dyDescent="0.25"/>
    <row r="13989" ht="14.25" customHeight="1" x14ac:dyDescent="0.25"/>
    <row r="13990" ht="14.25" customHeight="1" x14ac:dyDescent="0.25"/>
    <row r="13991" ht="14.25" customHeight="1" x14ac:dyDescent="0.25"/>
    <row r="13992" ht="14.25" customHeight="1" x14ac:dyDescent="0.25"/>
    <row r="13993" ht="14.25" customHeight="1" x14ac:dyDescent="0.25"/>
    <row r="13994" ht="14.25" customHeight="1" x14ac:dyDescent="0.25"/>
    <row r="13995" ht="14.25" customHeight="1" x14ac:dyDescent="0.25"/>
    <row r="13996" ht="14.25" customHeight="1" x14ac:dyDescent="0.25"/>
    <row r="13997" ht="14.25" customHeight="1" x14ac:dyDescent="0.25"/>
    <row r="13998" ht="14.25" customHeight="1" x14ac:dyDescent="0.25"/>
    <row r="13999" ht="14.25" customHeight="1" x14ac:dyDescent="0.25"/>
    <row r="14000" ht="14.25" customHeight="1" x14ac:dyDescent="0.25"/>
    <row r="14001" ht="14.25" customHeight="1" x14ac:dyDescent="0.25"/>
    <row r="14002" ht="14.25" customHeight="1" x14ac:dyDescent="0.25"/>
    <row r="14003" ht="14.25" customHeight="1" x14ac:dyDescent="0.25"/>
    <row r="14004" ht="14.25" customHeight="1" x14ac:dyDescent="0.25"/>
    <row r="14005" ht="14.25" customHeight="1" x14ac:dyDescent="0.25"/>
    <row r="14006" ht="14.25" customHeight="1" x14ac:dyDescent="0.25"/>
    <row r="14007" ht="14.25" customHeight="1" x14ac:dyDescent="0.25"/>
    <row r="14008" ht="14.25" customHeight="1" x14ac:dyDescent="0.25"/>
    <row r="14009" ht="14.25" customHeight="1" x14ac:dyDescent="0.25"/>
    <row r="14010" ht="14.25" customHeight="1" x14ac:dyDescent="0.25"/>
    <row r="14011" ht="14.25" customHeight="1" x14ac:dyDescent="0.25"/>
    <row r="14012" ht="14.25" customHeight="1" x14ac:dyDescent="0.25"/>
    <row r="14013" ht="14.25" customHeight="1" x14ac:dyDescent="0.25"/>
    <row r="14014" ht="14.25" customHeight="1" x14ac:dyDescent="0.25"/>
    <row r="14015" ht="14.25" customHeight="1" x14ac:dyDescent="0.25"/>
    <row r="14016" ht="14.25" customHeight="1" x14ac:dyDescent="0.25"/>
    <row r="14017" ht="14.25" customHeight="1" x14ac:dyDescent="0.25"/>
    <row r="14018" ht="14.25" customHeight="1" x14ac:dyDescent="0.25"/>
    <row r="14019" ht="14.25" customHeight="1" x14ac:dyDescent="0.25"/>
    <row r="14020" ht="14.25" customHeight="1" x14ac:dyDescent="0.25"/>
    <row r="14021" ht="14.25" customHeight="1" x14ac:dyDescent="0.25"/>
    <row r="14022" ht="14.25" customHeight="1" x14ac:dyDescent="0.25"/>
    <row r="14023" ht="14.25" customHeight="1" x14ac:dyDescent="0.25"/>
    <row r="14024" ht="14.25" customHeight="1" x14ac:dyDescent="0.25"/>
    <row r="14025" ht="14.25" customHeight="1" x14ac:dyDescent="0.25"/>
    <row r="14026" ht="14.25" customHeight="1" x14ac:dyDescent="0.25"/>
    <row r="14027" ht="14.25" customHeight="1" x14ac:dyDescent="0.25"/>
    <row r="14028" ht="14.25" customHeight="1" x14ac:dyDescent="0.25"/>
    <row r="14029" ht="14.25" customHeight="1" x14ac:dyDescent="0.25"/>
    <row r="14030" ht="14.25" customHeight="1" x14ac:dyDescent="0.25"/>
    <row r="14031" ht="14.25" customHeight="1" x14ac:dyDescent="0.25"/>
    <row r="14032" ht="14.25" customHeight="1" x14ac:dyDescent="0.25"/>
    <row r="14033" ht="14.25" customHeight="1" x14ac:dyDescent="0.25"/>
    <row r="14034" ht="14.25" customHeight="1" x14ac:dyDescent="0.25"/>
    <row r="14035" ht="14.25" customHeight="1" x14ac:dyDescent="0.25"/>
    <row r="14036" ht="14.25" customHeight="1" x14ac:dyDescent="0.25"/>
    <row r="14037" ht="14.25" customHeight="1" x14ac:dyDescent="0.25"/>
    <row r="14038" ht="14.25" customHeight="1" x14ac:dyDescent="0.25"/>
    <row r="14039" ht="14.25" customHeight="1" x14ac:dyDescent="0.25"/>
    <row r="14040" ht="14.25" customHeight="1" x14ac:dyDescent="0.25"/>
    <row r="14041" ht="14.25" customHeight="1" x14ac:dyDescent="0.25"/>
    <row r="14042" ht="14.25" customHeight="1" x14ac:dyDescent="0.25"/>
    <row r="14043" ht="14.25" customHeight="1" x14ac:dyDescent="0.25"/>
    <row r="14044" ht="14.25" customHeight="1" x14ac:dyDescent="0.25"/>
    <row r="14045" ht="14.25" customHeight="1" x14ac:dyDescent="0.25"/>
    <row r="14046" ht="14.25" customHeight="1" x14ac:dyDescent="0.25"/>
    <row r="14047" ht="14.25" customHeight="1" x14ac:dyDescent="0.25"/>
    <row r="14048" ht="14.25" customHeight="1" x14ac:dyDescent="0.25"/>
    <row r="14049" ht="14.25" customHeight="1" x14ac:dyDescent="0.25"/>
    <row r="14050" ht="14.25" customHeight="1" x14ac:dyDescent="0.25"/>
    <row r="14051" ht="14.25" customHeight="1" x14ac:dyDescent="0.25"/>
    <row r="14052" ht="14.25" customHeight="1" x14ac:dyDescent="0.25"/>
    <row r="14053" ht="14.25" customHeight="1" x14ac:dyDescent="0.25"/>
    <row r="14054" ht="14.25" customHeight="1" x14ac:dyDescent="0.25"/>
    <row r="14055" ht="14.25" customHeight="1" x14ac:dyDescent="0.25"/>
    <row r="14056" ht="14.25" customHeight="1" x14ac:dyDescent="0.25"/>
    <row r="14057" ht="14.25" customHeight="1" x14ac:dyDescent="0.25"/>
    <row r="14058" ht="14.25" customHeight="1" x14ac:dyDescent="0.25"/>
    <row r="14059" ht="14.25" customHeight="1" x14ac:dyDescent="0.25"/>
    <row r="14060" ht="14.25" customHeight="1" x14ac:dyDescent="0.25"/>
    <row r="14061" ht="14.25" customHeight="1" x14ac:dyDescent="0.25"/>
    <row r="14062" ht="14.25" customHeight="1" x14ac:dyDescent="0.25"/>
    <row r="14063" ht="14.25" customHeight="1" x14ac:dyDescent="0.25"/>
    <row r="14064" ht="14.25" customHeight="1" x14ac:dyDescent="0.25"/>
    <row r="14065" ht="14.25" customHeight="1" x14ac:dyDescent="0.25"/>
    <row r="14066" ht="14.25" customHeight="1" x14ac:dyDescent="0.25"/>
    <row r="14067" ht="14.25" customHeight="1" x14ac:dyDescent="0.25"/>
    <row r="14068" ht="14.25" customHeight="1" x14ac:dyDescent="0.25"/>
    <row r="14069" ht="14.25" customHeight="1" x14ac:dyDescent="0.25"/>
    <row r="14070" ht="14.25" customHeight="1" x14ac:dyDescent="0.25"/>
    <row r="14071" ht="14.25" customHeight="1" x14ac:dyDescent="0.25"/>
    <row r="14072" ht="14.25" customHeight="1" x14ac:dyDescent="0.25"/>
    <row r="14073" ht="14.25" customHeight="1" x14ac:dyDescent="0.25"/>
    <row r="14074" ht="14.25" customHeight="1" x14ac:dyDescent="0.25"/>
    <row r="14075" ht="14.25" customHeight="1" x14ac:dyDescent="0.25"/>
    <row r="14076" ht="14.25" customHeight="1" x14ac:dyDescent="0.25"/>
    <row r="14077" ht="14.25" customHeight="1" x14ac:dyDescent="0.25"/>
    <row r="14078" ht="14.25" customHeight="1" x14ac:dyDescent="0.25"/>
    <row r="14079" ht="14.25" customHeight="1" x14ac:dyDescent="0.25"/>
    <row r="14080" ht="14.25" customHeight="1" x14ac:dyDescent="0.25"/>
    <row r="14081" ht="14.25" customHeight="1" x14ac:dyDescent="0.25"/>
    <row r="14082" ht="14.25" customHeight="1" x14ac:dyDescent="0.25"/>
    <row r="14083" ht="14.25" customHeight="1" x14ac:dyDescent="0.25"/>
    <row r="14084" ht="14.25" customHeight="1" x14ac:dyDescent="0.25"/>
    <row r="14085" ht="14.25" customHeight="1" x14ac:dyDescent="0.25"/>
    <row r="14086" ht="14.25" customHeight="1" x14ac:dyDescent="0.25"/>
    <row r="14087" ht="14.25" customHeight="1" x14ac:dyDescent="0.25"/>
    <row r="14088" ht="14.25" customHeight="1" x14ac:dyDescent="0.25"/>
    <row r="14089" ht="14.25" customHeight="1" x14ac:dyDescent="0.25"/>
    <row r="14090" ht="14.25" customHeight="1" x14ac:dyDescent="0.25"/>
    <row r="14091" ht="14.25" customHeight="1" x14ac:dyDescent="0.25"/>
    <row r="14092" ht="14.25" customHeight="1" x14ac:dyDescent="0.25"/>
    <row r="14093" ht="14.25" customHeight="1" x14ac:dyDescent="0.25"/>
    <row r="14094" ht="14.25" customHeight="1" x14ac:dyDescent="0.25"/>
    <row r="14095" ht="14.25" customHeight="1" x14ac:dyDescent="0.25"/>
    <row r="14096" ht="14.25" customHeight="1" x14ac:dyDescent="0.25"/>
    <row r="14097" ht="14.25" customHeight="1" x14ac:dyDescent="0.25"/>
    <row r="14098" ht="14.25" customHeight="1" x14ac:dyDescent="0.25"/>
    <row r="14099" ht="14.25" customHeight="1" x14ac:dyDescent="0.25"/>
    <row r="14100" ht="14.25" customHeight="1" x14ac:dyDescent="0.25"/>
    <row r="14101" ht="14.25" customHeight="1" x14ac:dyDescent="0.25"/>
    <row r="14102" ht="14.25" customHeight="1" x14ac:dyDescent="0.25"/>
    <row r="14103" ht="14.25" customHeight="1" x14ac:dyDescent="0.25"/>
    <row r="14104" ht="14.25" customHeight="1" x14ac:dyDescent="0.25"/>
    <row r="14105" ht="14.25" customHeight="1" x14ac:dyDescent="0.25"/>
    <row r="14106" ht="14.25" customHeight="1" x14ac:dyDescent="0.25"/>
    <row r="14107" ht="14.25" customHeight="1" x14ac:dyDescent="0.25"/>
    <row r="14108" ht="14.25" customHeight="1" x14ac:dyDescent="0.25"/>
    <row r="14109" ht="14.25" customHeight="1" x14ac:dyDescent="0.25"/>
    <row r="14110" ht="14.25" customHeight="1" x14ac:dyDescent="0.25"/>
    <row r="14111" ht="14.25" customHeight="1" x14ac:dyDescent="0.25"/>
    <row r="14112" ht="14.25" customHeight="1" x14ac:dyDescent="0.25"/>
    <row r="14113" ht="14.25" customHeight="1" x14ac:dyDescent="0.25"/>
    <row r="14114" ht="14.25" customHeight="1" x14ac:dyDescent="0.25"/>
    <row r="14115" ht="14.25" customHeight="1" x14ac:dyDescent="0.25"/>
    <row r="14116" ht="14.25" customHeight="1" x14ac:dyDescent="0.25"/>
    <row r="14117" ht="14.25" customHeight="1" x14ac:dyDescent="0.25"/>
    <row r="14118" ht="14.25" customHeight="1" x14ac:dyDescent="0.25"/>
    <row r="14119" ht="14.25" customHeight="1" x14ac:dyDescent="0.25"/>
    <row r="14120" ht="14.25" customHeight="1" x14ac:dyDescent="0.25"/>
    <row r="14121" ht="14.25" customHeight="1" x14ac:dyDescent="0.25"/>
    <row r="14122" ht="14.25" customHeight="1" x14ac:dyDescent="0.25"/>
    <row r="14123" ht="14.25" customHeight="1" x14ac:dyDescent="0.25"/>
    <row r="14124" ht="14.25" customHeight="1" x14ac:dyDescent="0.25"/>
    <row r="14125" ht="14.25" customHeight="1" x14ac:dyDescent="0.25"/>
    <row r="14126" ht="14.25" customHeight="1" x14ac:dyDescent="0.25"/>
    <row r="14127" ht="14.25" customHeight="1" x14ac:dyDescent="0.25"/>
    <row r="14128" ht="14.25" customHeight="1" x14ac:dyDescent="0.25"/>
    <row r="14129" ht="14.25" customHeight="1" x14ac:dyDescent="0.25"/>
    <row r="14130" ht="14.25" customHeight="1" x14ac:dyDescent="0.25"/>
    <row r="14131" ht="14.25" customHeight="1" x14ac:dyDescent="0.25"/>
    <row r="14132" ht="14.25" customHeight="1" x14ac:dyDescent="0.25"/>
    <row r="14133" ht="14.25" customHeight="1" x14ac:dyDescent="0.25"/>
    <row r="14134" ht="14.25" customHeight="1" x14ac:dyDescent="0.25"/>
    <row r="14135" ht="14.25" customHeight="1" x14ac:dyDescent="0.25"/>
    <row r="14136" ht="14.25" customHeight="1" x14ac:dyDescent="0.25"/>
    <row r="14137" ht="14.25" customHeight="1" x14ac:dyDescent="0.25"/>
    <row r="14138" ht="14.25" customHeight="1" x14ac:dyDescent="0.25"/>
    <row r="14139" ht="14.25" customHeight="1" x14ac:dyDescent="0.25"/>
    <row r="14140" ht="14.25" customHeight="1" x14ac:dyDescent="0.25"/>
    <row r="14141" ht="14.25" customHeight="1" x14ac:dyDescent="0.25"/>
    <row r="14142" ht="14.25" customHeight="1" x14ac:dyDescent="0.25"/>
    <row r="14143" ht="14.25" customHeight="1" x14ac:dyDescent="0.25"/>
    <row r="14144" ht="14.25" customHeight="1" x14ac:dyDescent="0.25"/>
    <row r="14145" ht="14.25" customHeight="1" x14ac:dyDescent="0.25"/>
    <row r="14146" ht="14.25" customHeight="1" x14ac:dyDescent="0.25"/>
    <row r="14147" ht="14.25" customHeight="1" x14ac:dyDescent="0.25"/>
    <row r="14148" ht="14.25" customHeight="1" x14ac:dyDescent="0.25"/>
    <row r="14149" ht="14.25" customHeight="1" x14ac:dyDescent="0.25"/>
    <row r="14150" ht="14.25" customHeight="1" x14ac:dyDescent="0.25"/>
    <row r="14151" ht="14.25" customHeight="1" x14ac:dyDescent="0.25"/>
    <row r="14152" ht="14.25" customHeight="1" x14ac:dyDescent="0.25"/>
    <row r="14153" ht="14.25" customHeight="1" x14ac:dyDescent="0.25"/>
    <row r="14154" ht="14.25" customHeight="1" x14ac:dyDescent="0.25"/>
    <row r="14155" ht="14.25" customHeight="1" x14ac:dyDescent="0.25"/>
    <row r="14156" ht="14.25" customHeight="1" x14ac:dyDescent="0.25"/>
    <row r="14157" ht="14.25" customHeight="1" x14ac:dyDescent="0.25"/>
    <row r="14158" ht="14.25" customHeight="1" x14ac:dyDescent="0.25"/>
    <row r="14159" ht="14.25" customHeight="1" x14ac:dyDescent="0.25"/>
    <row r="14160" ht="14.25" customHeight="1" x14ac:dyDescent="0.25"/>
    <row r="14161" ht="14.25" customHeight="1" x14ac:dyDescent="0.25"/>
    <row r="14162" ht="14.25" customHeight="1" x14ac:dyDescent="0.25"/>
    <row r="14163" ht="14.25" customHeight="1" x14ac:dyDescent="0.25"/>
    <row r="14164" ht="14.25" customHeight="1" x14ac:dyDescent="0.25"/>
    <row r="14165" ht="14.25" customHeight="1" x14ac:dyDescent="0.25"/>
    <row r="14166" ht="14.25" customHeight="1" x14ac:dyDescent="0.25"/>
    <row r="14167" ht="14.25" customHeight="1" x14ac:dyDescent="0.25"/>
    <row r="14168" ht="14.25" customHeight="1" x14ac:dyDescent="0.25"/>
    <row r="14169" ht="14.25" customHeight="1" x14ac:dyDescent="0.25"/>
    <row r="14170" ht="14.25" customHeight="1" x14ac:dyDescent="0.25"/>
    <row r="14171" ht="14.25" customHeight="1" x14ac:dyDescent="0.25"/>
    <row r="14172" ht="14.25" customHeight="1" x14ac:dyDescent="0.25"/>
    <row r="14173" ht="14.25" customHeight="1" x14ac:dyDescent="0.25"/>
    <row r="14174" ht="14.25" customHeight="1" x14ac:dyDescent="0.25"/>
    <row r="14175" ht="14.25" customHeight="1" x14ac:dyDescent="0.25"/>
    <row r="14176" ht="14.25" customHeight="1" x14ac:dyDescent="0.25"/>
    <row r="14177" ht="14.25" customHeight="1" x14ac:dyDescent="0.25"/>
    <row r="14178" ht="14.25" customHeight="1" x14ac:dyDescent="0.25"/>
    <row r="14179" ht="14.25" customHeight="1" x14ac:dyDescent="0.25"/>
    <row r="14180" ht="14.25" customHeight="1" x14ac:dyDescent="0.25"/>
    <row r="14181" ht="14.25" customHeight="1" x14ac:dyDescent="0.25"/>
    <row r="14182" ht="14.25" customHeight="1" x14ac:dyDescent="0.25"/>
    <row r="14183" ht="14.25" customHeight="1" x14ac:dyDescent="0.25"/>
    <row r="14184" ht="14.25" customHeight="1" x14ac:dyDescent="0.25"/>
    <row r="14185" ht="14.25" customHeight="1" x14ac:dyDescent="0.25"/>
    <row r="14186" ht="14.25" customHeight="1" x14ac:dyDescent="0.25"/>
    <row r="14187" ht="14.25" customHeight="1" x14ac:dyDescent="0.25"/>
    <row r="14188" ht="14.25" customHeight="1" x14ac:dyDescent="0.25"/>
    <row r="14189" ht="14.25" customHeight="1" x14ac:dyDescent="0.25"/>
    <row r="14190" ht="14.25" customHeight="1" x14ac:dyDescent="0.25"/>
    <row r="14191" ht="14.25" customHeight="1" x14ac:dyDescent="0.25"/>
    <row r="14192" ht="14.25" customHeight="1" x14ac:dyDescent="0.25"/>
    <row r="14193" ht="14.25" customHeight="1" x14ac:dyDescent="0.25"/>
    <row r="14194" ht="14.25" customHeight="1" x14ac:dyDescent="0.25"/>
    <row r="14195" ht="14.25" customHeight="1" x14ac:dyDescent="0.25"/>
    <row r="14196" ht="14.25" customHeight="1" x14ac:dyDescent="0.25"/>
    <row r="14197" ht="14.25" customHeight="1" x14ac:dyDescent="0.25"/>
    <row r="14198" ht="14.25" customHeight="1" x14ac:dyDescent="0.25"/>
    <row r="14199" ht="14.25" customHeight="1" x14ac:dyDescent="0.25"/>
    <row r="14200" ht="14.25" customHeight="1" x14ac:dyDescent="0.25"/>
    <row r="14201" ht="14.25" customHeight="1" x14ac:dyDescent="0.25"/>
    <row r="14202" ht="14.25" customHeight="1" x14ac:dyDescent="0.25"/>
    <row r="14203" ht="14.25" customHeight="1" x14ac:dyDescent="0.25"/>
    <row r="14204" ht="14.25" customHeight="1" x14ac:dyDescent="0.25"/>
    <row r="14205" ht="14.25" customHeight="1" x14ac:dyDescent="0.25"/>
    <row r="14206" ht="14.25" customHeight="1" x14ac:dyDescent="0.25"/>
    <row r="14207" ht="14.25" customHeight="1" x14ac:dyDescent="0.25"/>
    <row r="14208" ht="14.25" customHeight="1" x14ac:dyDescent="0.25"/>
    <row r="14209" ht="14.25" customHeight="1" x14ac:dyDescent="0.25"/>
    <row r="14210" ht="14.25" customHeight="1" x14ac:dyDescent="0.25"/>
    <row r="14211" ht="14.25" customHeight="1" x14ac:dyDescent="0.25"/>
    <row r="14212" ht="14.25" customHeight="1" x14ac:dyDescent="0.25"/>
    <row r="14213" ht="14.25" customHeight="1" x14ac:dyDescent="0.25"/>
    <row r="14214" ht="14.25" customHeight="1" x14ac:dyDescent="0.25"/>
    <row r="14215" ht="14.25" customHeight="1" x14ac:dyDescent="0.25"/>
    <row r="14216" ht="14.25" customHeight="1" x14ac:dyDescent="0.25"/>
    <row r="14217" ht="14.25" customHeight="1" x14ac:dyDescent="0.25"/>
    <row r="14218" ht="14.25" customHeight="1" x14ac:dyDescent="0.25"/>
    <row r="14219" ht="14.25" customHeight="1" x14ac:dyDescent="0.25"/>
    <row r="14220" ht="14.25" customHeight="1" x14ac:dyDescent="0.25"/>
    <row r="14221" ht="14.25" customHeight="1" x14ac:dyDescent="0.25"/>
    <row r="14222" ht="14.25" customHeight="1" x14ac:dyDescent="0.25"/>
    <row r="14223" ht="14.25" customHeight="1" x14ac:dyDescent="0.25"/>
    <row r="14224" ht="14.25" customHeight="1" x14ac:dyDescent="0.25"/>
    <row r="14225" ht="14.25" customHeight="1" x14ac:dyDescent="0.25"/>
    <row r="14226" ht="14.25" customHeight="1" x14ac:dyDescent="0.25"/>
    <row r="14227" ht="14.25" customHeight="1" x14ac:dyDescent="0.25"/>
    <row r="14228" ht="14.25" customHeight="1" x14ac:dyDescent="0.25"/>
    <row r="14229" ht="14.25" customHeight="1" x14ac:dyDescent="0.25"/>
    <row r="14230" ht="14.25" customHeight="1" x14ac:dyDescent="0.25"/>
    <row r="14231" ht="14.25" customHeight="1" x14ac:dyDescent="0.25"/>
    <row r="14232" ht="14.25" customHeight="1" x14ac:dyDescent="0.25"/>
    <row r="14233" ht="14.25" customHeight="1" x14ac:dyDescent="0.25"/>
    <row r="14234" ht="14.25" customHeight="1" x14ac:dyDescent="0.25"/>
    <row r="14235" ht="14.25" customHeight="1" x14ac:dyDescent="0.25"/>
    <row r="14236" ht="14.25" customHeight="1" x14ac:dyDescent="0.25"/>
    <row r="14237" ht="14.25" customHeight="1" x14ac:dyDescent="0.25"/>
    <row r="14238" ht="14.25" customHeight="1" x14ac:dyDescent="0.25"/>
    <row r="14239" ht="14.25" customHeight="1" x14ac:dyDescent="0.25"/>
    <row r="14240" ht="14.25" customHeight="1" x14ac:dyDescent="0.25"/>
    <row r="14241" ht="14.25" customHeight="1" x14ac:dyDescent="0.25"/>
    <row r="14242" ht="14.25" customHeight="1" x14ac:dyDescent="0.25"/>
    <row r="14243" ht="14.25" customHeight="1" x14ac:dyDescent="0.25"/>
    <row r="14244" ht="14.25" customHeight="1" x14ac:dyDescent="0.25"/>
    <row r="14245" ht="14.25" customHeight="1" x14ac:dyDescent="0.25"/>
    <row r="14246" ht="14.25" customHeight="1" x14ac:dyDescent="0.25"/>
    <row r="14247" ht="14.25" customHeight="1" x14ac:dyDescent="0.25"/>
    <row r="14248" ht="14.25" customHeight="1" x14ac:dyDescent="0.25"/>
    <row r="14249" ht="14.25" customHeight="1" x14ac:dyDescent="0.25"/>
    <row r="14250" ht="14.25" customHeight="1" x14ac:dyDescent="0.25"/>
    <row r="14251" ht="14.25" customHeight="1" x14ac:dyDescent="0.25"/>
    <row r="14252" ht="14.25" customHeight="1" x14ac:dyDescent="0.25"/>
    <row r="14253" ht="14.25" customHeight="1" x14ac:dyDescent="0.25"/>
    <row r="14254" ht="14.25" customHeight="1" x14ac:dyDescent="0.25"/>
    <row r="14255" ht="14.25" customHeight="1" x14ac:dyDescent="0.25"/>
    <row r="14256" ht="14.25" customHeight="1" x14ac:dyDescent="0.25"/>
    <row r="14257" ht="14.25" customHeight="1" x14ac:dyDescent="0.25"/>
    <row r="14258" ht="14.25" customHeight="1" x14ac:dyDescent="0.25"/>
    <row r="14259" ht="14.25" customHeight="1" x14ac:dyDescent="0.25"/>
    <row r="14260" ht="14.25" customHeight="1" x14ac:dyDescent="0.25"/>
    <row r="14261" ht="14.25" customHeight="1" x14ac:dyDescent="0.25"/>
    <row r="14262" ht="14.25" customHeight="1" x14ac:dyDescent="0.25"/>
    <row r="14263" ht="14.25" customHeight="1" x14ac:dyDescent="0.25"/>
    <row r="14264" ht="14.25" customHeight="1" x14ac:dyDescent="0.25"/>
    <row r="14265" ht="14.25" customHeight="1" x14ac:dyDescent="0.25"/>
    <row r="14266" ht="14.25" customHeight="1" x14ac:dyDescent="0.25"/>
    <row r="14267" ht="14.25" customHeight="1" x14ac:dyDescent="0.25"/>
    <row r="14268" ht="14.25" customHeight="1" x14ac:dyDescent="0.25"/>
    <row r="14269" ht="14.25" customHeight="1" x14ac:dyDescent="0.25"/>
    <row r="14270" ht="14.25" customHeight="1" x14ac:dyDescent="0.25"/>
    <row r="14271" ht="14.25" customHeight="1" x14ac:dyDescent="0.25"/>
    <row r="14272" ht="14.25" customHeight="1" x14ac:dyDescent="0.25"/>
    <row r="14273" ht="14.25" customHeight="1" x14ac:dyDescent="0.25"/>
    <row r="14274" ht="14.25" customHeight="1" x14ac:dyDescent="0.25"/>
    <row r="14275" ht="14.25" customHeight="1" x14ac:dyDescent="0.25"/>
    <row r="14276" ht="14.25" customHeight="1" x14ac:dyDescent="0.25"/>
    <row r="14277" ht="14.25" customHeight="1" x14ac:dyDescent="0.25"/>
    <row r="14278" ht="14.25" customHeight="1" x14ac:dyDescent="0.25"/>
    <row r="14279" ht="14.25" customHeight="1" x14ac:dyDescent="0.25"/>
    <row r="14280" ht="14.25" customHeight="1" x14ac:dyDescent="0.25"/>
    <row r="14281" ht="14.25" customHeight="1" x14ac:dyDescent="0.25"/>
    <row r="14282" ht="14.25" customHeight="1" x14ac:dyDescent="0.25"/>
    <row r="14283" ht="14.25" customHeight="1" x14ac:dyDescent="0.25"/>
    <row r="14284" ht="14.25" customHeight="1" x14ac:dyDescent="0.25"/>
    <row r="14285" ht="14.25" customHeight="1" x14ac:dyDescent="0.25"/>
    <row r="14286" ht="14.25" customHeight="1" x14ac:dyDescent="0.25"/>
    <row r="14287" ht="14.25" customHeight="1" x14ac:dyDescent="0.25"/>
    <row r="14288" ht="14.25" customHeight="1" x14ac:dyDescent="0.25"/>
    <row r="14289" ht="14.25" customHeight="1" x14ac:dyDescent="0.25"/>
    <row r="14290" ht="14.25" customHeight="1" x14ac:dyDescent="0.25"/>
    <row r="14291" ht="14.25" customHeight="1" x14ac:dyDescent="0.25"/>
    <row r="14292" ht="14.25" customHeight="1" x14ac:dyDescent="0.25"/>
    <row r="14293" ht="14.25" customHeight="1" x14ac:dyDescent="0.25"/>
    <row r="14294" ht="14.25" customHeight="1" x14ac:dyDescent="0.25"/>
    <row r="14295" ht="14.25" customHeight="1" x14ac:dyDescent="0.25"/>
    <row r="14296" ht="14.25" customHeight="1" x14ac:dyDescent="0.25"/>
    <row r="14297" ht="14.25" customHeight="1" x14ac:dyDescent="0.25"/>
    <row r="14298" ht="14.25" customHeight="1" x14ac:dyDescent="0.25"/>
    <row r="14299" ht="14.25" customHeight="1" x14ac:dyDescent="0.25"/>
    <row r="14300" ht="14.25" customHeight="1" x14ac:dyDescent="0.25"/>
    <row r="14301" ht="14.25" customHeight="1" x14ac:dyDescent="0.25"/>
    <row r="14302" ht="14.25" customHeight="1" x14ac:dyDescent="0.25"/>
    <row r="14303" ht="14.25" customHeight="1" x14ac:dyDescent="0.25"/>
    <row r="14304" ht="14.25" customHeight="1" x14ac:dyDescent="0.25"/>
    <row r="14305" ht="14.25" customHeight="1" x14ac:dyDescent="0.25"/>
    <row r="14306" ht="14.25" customHeight="1" x14ac:dyDescent="0.25"/>
    <row r="14307" ht="14.25" customHeight="1" x14ac:dyDescent="0.25"/>
    <row r="14308" ht="14.25" customHeight="1" x14ac:dyDescent="0.25"/>
    <row r="14309" ht="14.25" customHeight="1" x14ac:dyDescent="0.25"/>
    <row r="14310" ht="14.25" customHeight="1" x14ac:dyDescent="0.25"/>
    <row r="14311" ht="14.25" customHeight="1" x14ac:dyDescent="0.25"/>
    <row r="14312" ht="14.25" customHeight="1" x14ac:dyDescent="0.25"/>
    <row r="14313" ht="14.25" customHeight="1" x14ac:dyDescent="0.25"/>
    <row r="14314" ht="14.25" customHeight="1" x14ac:dyDescent="0.25"/>
    <row r="14315" ht="14.25" customHeight="1" x14ac:dyDescent="0.25"/>
    <row r="14316" ht="14.25" customHeight="1" x14ac:dyDescent="0.25"/>
    <row r="14317" ht="14.25" customHeight="1" x14ac:dyDescent="0.25"/>
    <row r="14318" ht="14.25" customHeight="1" x14ac:dyDescent="0.25"/>
    <row r="14319" ht="14.25" customHeight="1" x14ac:dyDescent="0.25"/>
    <row r="14320" ht="14.25" customHeight="1" x14ac:dyDescent="0.25"/>
    <row r="14321" ht="14.25" customHeight="1" x14ac:dyDescent="0.25"/>
    <row r="14322" ht="14.25" customHeight="1" x14ac:dyDescent="0.25"/>
    <row r="14323" ht="14.25" customHeight="1" x14ac:dyDescent="0.25"/>
    <row r="14324" ht="14.25" customHeight="1" x14ac:dyDescent="0.25"/>
    <row r="14325" ht="14.25" customHeight="1" x14ac:dyDescent="0.25"/>
    <row r="14326" ht="14.25" customHeight="1" x14ac:dyDescent="0.25"/>
    <row r="14327" ht="14.25" customHeight="1" x14ac:dyDescent="0.25"/>
    <row r="14328" ht="14.25" customHeight="1" x14ac:dyDescent="0.25"/>
    <row r="14329" ht="14.25" customHeight="1" x14ac:dyDescent="0.25"/>
    <row r="14330" ht="14.25" customHeight="1" x14ac:dyDescent="0.25"/>
    <row r="14331" ht="14.25" customHeight="1" x14ac:dyDescent="0.25"/>
    <row r="14332" ht="14.25" customHeight="1" x14ac:dyDescent="0.25"/>
    <row r="14333" ht="14.25" customHeight="1" x14ac:dyDescent="0.25"/>
    <row r="14334" ht="14.25" customHeight="1" x14ac:dyDescent="0.25"/>
    <row r="14335" ht="14.25" customHeight="1" x14ac:dyDescent="0.25"/>
    <row r="14336" ht="14.25" customHeight="1" x14ac:dyDescent="0.25"/>
    <row r="14337" ht="14.25" customHeight="1" x14ac:dyDescent="0.25"/>
    <row r="14338" ht="14.25" customHeight="1" x14ac:dyDescent="0.25"/>
    <row r="14339" ht="14.25" customHeight="1" x14ac:dyDescent="0.25"/>
    <row r="14340" ht="14.25" customHeight="1" x14ac:dyDescent="0.25"/>
    <row r="14341" ht="14.25" customHeight="1" x14ac:dyDescent="0.25"/>
    <row r="14342" ht="14.25" customHeight="1" x14ac:dyDescent="0.25"/>
    <row r="14343" ht="14.25" customHeight="1" x14ac:dyDescent="0.25"/>
    <row r="14344" ht="14.25" customHeight="1" x14ac:dyDescent="0.25"/>
    <row r="14345" ht="14.25" customHeight="1" x14ac:dyDescent="0.25"/>
    <row r="14346" ht="14.25" customHeight="1" x14ac:dyDescent="0.25"/>
    <row r="14347" ht="14.25" customHeight="1" x14ac:dyDescent="0.25"/>
    <row r="14348" ht="14.25" customHeight="1" x14ac:dyDescent="0.25"/>
    <row r="14349" ht="14.25" customHeight="1" x14ac:dyDescent="0.25"/>
    <row r="14350" ht="14.25" customHeight="1" x14ac:dyDescent="0.25"/>
    <row r="14351" ht="14.25" customHeight="1" x14ac:dyDescent="0.25"/>
    <row r="14352" ht="14.25" customHeight="1" x14ac:dyDescent="0.25"/>
    <row r="14353" ht="14.25" customHeight="1" x14ac:dyDescent="0.25"/>
    <row r="14354" ht="14.25" customHeight="1" x14ac:dyDescent="0.25"/>
    <row r="14355" ht="14.25" customHeight="1" x14ac:dyDescent="0.25"/>
    <row r="14356" ht="14.25" customHeight="1" x14ac:dyDescent="0.25"/>
    <row r="14357" ht="14.25" customHeight="1" x14ac:dyDescent="0.25"/>
    <row r="14358" ht="14.25" customHeight="1" x14ac:dyDescent="0.25"/>
    <row r="14359" ht="14.25" customHeight="1" x14ac:dyDescent="0.25"/>
    <row r="14360" ht="14.25" customHeight="1" x14ac:dyDescent="0.25"/>
    <row r="14361" ht="14.25" customHeight="1" x14ac:dyDescent="0.25"/>
    <row r="14362" ht="14.25" customHeight="1" x14ac:dyDescent="0.25"/>
    <row r="14363" ht="14.25" customHeight="1" x14ac:dyDescent="0.25"/>
    <row r="14364" ht="14.25" customHeight="1" x14ac:dyDescent="0.25"/>
    <row r="14365" ht="14.25" customHeight="1" x14ac:dyDescent="0.25"/>
    <row r="14366" ht="14.25" customHeight="1" x14ac:dyDescent="0.25"/>
    <row r="14367" ht="14.25" customHeight="1" x14ac:dyDescent="0.25"/>
    <row r="14368" ht="14.25" customHeight="1" x14ac:dyDescent="0.25"/>
    <row r="14369" ht="14.25" customHeight="1" x14ac:dyDescent="0.25"/>
    <row r="14370" ht="14.25" customHeight="1" x14ac:dyDescent="0.25"/>
    <row r="14371" ht="14.25" customHeight="1" x14ac:dyDescent="0.25"/>
    <row r="14372" ht="14.25" customHeight="1" x14ac:dyDescent="0.25"/>
    <row r="14373" ht="14.25" customHeight="1" x14ac:dyDescent="0.25"/>
    <row r="14374" ht="14.25" customHeight="1" x14ac:dyDescent="0.25"/>
    <row r="14375" ht="14.25" customHeight="1" x14ac:dyDescent="0.25"/>
    <row r="14376" ht="14.25" customHeight="1" x14ac:dyDescent="0.25"/>
    <row r="14377" ht="14.25" customHeight="1" x14ac:dyDescent="0.25"/>
    <row r="14378" ht="14.25" customHeight="1" x14ac:dyDescent="0.25"/>
    <row r="14379" ht="14.25" customHeight="1" x14ac:dyDescent="0.25"/>
    <row r="14380" ht="14.25" customHeight="1" x14ac:dyDescent="0.25"/>
    <row r="14381" ht="14.25" customHeight="1" x14ac:dyDescent="0.25"/>
    <row r="14382" ht="14.25" customHeight="1" x14ac:dyDescent="0.25"/>
    <row r="14383" ht="14.25" customHeight="1" x14ac:dyDescent="0.25"/>
    <row r="14384" ht="14.25" customHeight="1" x14ac:dyDescent="0.25"/>
    <row r="14385" ht="14.25" customHeight="1" x14ac:dyDescent="0.25"/>
    <row r="14386" ht="14.25" customHeight="1" x14ac:dyDescent="0.25"/>
    <row r="14387" ht="14.25" customHeight="1" x14ac:dyDescent="0.25"/>
    <row r="14388" ht="14.25" customHeight="1" x14ac:dyDescent="0.25"/>
    <row r="14389" ht="14.25" customHeight="1" x14ac:dyDescent="0.25"/>
    <row r="14390" ht="14.25" customHeight="1" x14ac:dyDescent="0.25"/>
    <row r="14391" ht="14.25" customHeight="1" x14ac:dyDescent="0.25"/>
    <row r="14392" ht="14.25" customHeight="1" x14ac:dyDescent="0.25"/>
    <row r="14393" ht="14.25" customHeight="1" x14ac:dyDescent="0.25"/>
    <row r="14394" ht="14.25" customHeight="1" x14ac:dyDescent="0.25"/>
    <row r="14395" ht="14.25" customHeight="1" x14ac:dyDescent="0.25"/>
    <row r="14396" ht="14.25" customHeight="1" x14ac:dyDescent="0.25"/>
    <row r="14397" ht="14.25" customHeight="1" x14ac:dyDescent="0.25"/>
    <row r="14398" ht="14.25" customHeight="1" x14ac:dyDescent="0.25"/>
    <row r="14399" ht="14.25" customHeight="1" x14ac:dyDescent="0.25"/>
    <row r="14400" ht="14.25" customHeight="1" x14ac:dyDescent="0.25"/>
    <row r="14401" ht="14.25" customHeight="1" x14ac:dyDescent="0.25"/>
    <row r="14402" ht="14.25" customHeight="1" x14ac:dyDescent="0.25"/>
    <row r="14403" ht="14.25" customHeight="1" x14ac:dyDescent="0.25"/>
    <row r="14404" ht="14.25" customHeight="1" x14ac:dyDescent="0.25"/>
    <row r="14405" ht="14.25" customHeight="1" x14ac:dyDescent="0.25"/>
    <row r="14406" ht="14.25" customHeight="1" x14ac:dyDescent="0.25"/>
    <row r="14407" ht="14.25" customHeight="1" x14ac:dyDescent="0.25"/>
    <row r="14408" ht="14.25" customHeight="1" x14ac:dyDescent="0.25"/>
    <row r="14409" ht="14.25" customHeight="1" x14ac:dyDescent="0.25"/>
    <row r="14410" ht="14.25" customHeight="1" x14ac:dyDescent="0.25"/>
    <row r="14411" ht="14.25" customHeight="1" x14ac:dyDescent="0.25"/>
    <row r="14412" ht="14.25" customHeight="1" x14ac:dyDescent="0.25"/>
    <row r="14413" ht="14.25" customHeight="1" x14ac:dyDescent="0.25"/>
    <row r="14414" ht="14.25" customHeight="1" x14ac:dyDescent="0.25"/>
    <row r="14415" ht="14.25" customHeight="1" x14ac:dyDescent="0.25"/>
    <row r="14416" ht="14.25" customHeight="1" x14ac:dyDescent="0.25"/>
    <row r="14417" ht="14.25" customHeight="1" x14ac:dyDescent="0.25"/>
    <row r="14418" ht="14.25" customHeight="1" x14ac:dyDescent="0.25"/>
    <row r="14419" ht="14.25" customHeight="1" x14ac:dyDescent="0.25"/>
    <row r="14420" ht="14.25" customHeight="1" x14ac:dyDescent="0.25"/>
    <row r="14421" ht="14.25" customHeight="1" x14ac:dyDescent="0.25"/>
    <row r="14422" ht="14.25" customHeight="1" x14ac:dyDescent="0.25"/>
    <row r="14423" ht="14.25" customHeight="1" x14ac:dyDescent="0.25"/>
    <row r="14424" ht="14.25" customHeight="1" x14ac:dyDescent="0.25"/>
    <row r="14425" ht="14.25" customHeight="1" x14ac:dyDescent="0.25"/>
    <row r="14426" ht="14.25" customHeight="1" x14ac:dyDescent="0.25"/>
    <row r="14427" ht="14.25" customHeight="1" x14ac:dyDescent="0.25"/>
    <row r="14428" ht="14.25" customHeight="1" x14ac:dyDescent="0.25"/>
    <row r="14429" ht="14.25" customHeight="1" x14ac:dyDescent="0.25"/>
    <row r="14430" ht="14.25" customHeight="1" x14ac:dyDescent="0.25"/>
    <row r="14431" ht="14.25" customHeight="1" x14ac:dyDescent="0.25"/>
    <row r="14432" ht="14.25" customHeight="1" x14ac:dyDescent="0.25"/>
    <row r="14433" ht="14.25" customHeight="1" x14ac:dyDescent="0.25"/>
    <row r="14434" ht="14.25" customHeight="1" x14ac:dyDescent="0.25"/>
    <row r="14435" ht="14.25" customHeight="1" x14ac:dyDescent="0.25"/>
    <row r="14436" ht="14.25" customHeight="1" x14ac:dyDescent="0.25"/>
    <row r="14437" ht="14.25" customHeight="1" x14ac:dyDescent="0.25"/>
    <row r="14438" ht="14.25" customHeight="1" x14ac:dyDescent="0.25"/>
    <row r="14439" ht="14.25" customHeight="1" x14ac:dyDescent="0.25"/>
    <row r="14440" ht="14.25" customHeight="1" x14ac:dyDescent="0.25"/>
    <row r="14441" ht="14.25" customHeight="1" x14ac:dyDescent="0.25"/>
    <row r="14442" ht="14.25" customHeight="1" x14ac:dyDescent="0.25"/>
    <row r="14443" ht="14.25" customHeight="1" x14ac:dyDescent="0.25"/>
    <row r="14444" ht="14.25" customHeight="1" x14ac:dyDescent="0.25"/>
    <row r="14445" ht="14.25" customHeight="1" x14ac:dyDescent="0.25"/>
    <row r="14446" ht="14.25" customHeight="1" x14ac:dyDescent="0.25"/>
    <row r="14447" ht="14.25" customHeight="1" x14ac:dyDescent="0.25"/>
    <row r="14448" ht="14.25" customHeight="1" x14ac:dyDescent="0.25"/>
    <row r="14449" ht="14.25" customHeight="1" x14ac:dyDescent="0.25"/>
    <row r="14450" ht="14.25" customHeight="1" x14ac:dyDescent="0.25"/>
    <row r="14451" ht="14.25" customHeight="1" x14ac:dyDescent="0.25"/>
    <row r="14452" ht="14.25" customHeight="1" x14ac:dyDescent="0.25"/>
    <row r="14453" ht="14.25" customHeight="1" x14ac:dyDescent="0.25"/>
    <row r="14454" ht="14.25" customHeight="1" x14ac:dyDescent="0.25"/>
    <row r="14455" ht="14.25" customHeight="1" x14ac:dyDescent="0.25"/>
    <row r="14456" ht="14.25" customHeight="1" x14ac:dyDescent="0.25"/>
    <row r="14457" ht="14.25" customHeight="1" x14ac:dyDescent="0.25"/>
    <row r="14458" ht="14.25" customHeight="1" x14ac:dyDescent="0.25"/>
    <row r="14459" ht="14.25" customHeight="1" x14ac:dyDescent="0.25"/>
    <row r="14460" ht="14.25" customHeight="1" x14ac:dyDescent="0.25"/>
    <row r="14461" ht="14.25" customHeight="1" x14ac:dyDescent="0.25"/>
    <row r="14462" ht="14.25" customHeight="1" x14ac:dyDescent="0.25"/>
    <row r="14463" ht="14.25" customHeight="1" x14ac:dyDescent="0.25"/>
    <row r="14464" ht="14.25" customHeight="1" x14ac:dyDescent="0.25"/>
    <row r="14465" ht="14.25" customHeight="1" x14ac:dyDescent="0.25"/>
    <row r="14466" ht="14.25" customHeight="1" x14ac:dyDescent="0.25"/>
    <row r="14467" ht="14.25" customHeight="1" x14ac:dyDescent="0.25"/>
    <row r="14468" ht="14.25" customHeight="1" x14ac:dyDescent="0.25"/>
    <row r="14469" ht="14.25" customHeight="1" x14ac:dyDescent="0.25"/>
    <row r="14470" ht="14.25" customHeight="1" x14ac:dyDescent="0.25"/>
    <row r="14471" ht="14.25" customHeight="1" x14ac:dyDescent="0.25"/>
    <row r="14472" ht="14.25" customHeight="1" x14ac:dyDescent="0.25"/>
    <row r="14473" ht="14.25" customHeight="1" x14ac:dyDescent="0.25"/>
    <row r="14474" ht="14.25" customHeight="1" x14ac:dyDescent="0.25"/>
    <row r="14475" ht="14.25" customHeight="1" x14ac:dyDescent="0.25"/>
    <row r="14476" ht="14.25" customHeight="1" x14ac:dyDescent="0.25"/>
    <row r="14477" ht="14.25" customHeight="1" x14ac:dyDescent="0.25"/>
    <row r="14478" ht="14.25" customHeight="1" x14ac:dyDescent="0.25"/>
    <row r="14479" ht="14.25" customHeight="1" x14ac:dyDescent="0.25"/>
    <row r="14480" ht="14.25" customHeight="1" x14ac:dyDescent="0.25"/>
    <row r="14481" ht="14.25" customHeight="1" x14ac:dyDescent="0.25"/>
    <row r="14482" ht="14.25" customHeight="1" x14ac:dyDescent="0.25"/>
    <row r="14483" ht="14.25" customHeight="1" x14ac:dyDescent="0.25"/>
    <row r="14484" ht="14.25" customHeight="1" x14ac:dyDescent="0.25"/>
    <row r="14485" ht="14.25" customHeight="1" x14ac:dyDescent="0.25"/>
    <row r="14486" ht="14.25" customHeight="1" x14ac:dyDescent="0.25"/>
    <row r="14487" ht="14.25" customHeight="1" x14ac:dyDescent="0.25"/>
    <row r="14488" ht="14.25" customHeight="1" x14ac:dyDescent="0.25"/>
    <row r="14489" ht="14.25" customHeight="1" x14ac:dyDescent="0.25"/>
    <row r="14490" ht="14.25" customHeight="1" x14ac:dyDescent="0.25"/>
    <row r="14491" ht="14.25" customHeight="1" x14ac:dyDescent="0.25"/>
    <row r="14492" ht="14.25" customHeight="1" x14ac:dyDescent="0.25"/>
    <row r="14493" ht="14.25" customHeight="1" x14ac:dyDescent="0.25"/>
    <row r="14494" ht="14.25" customHeight="1" x14ac:dyDescent="0.25"/>
    <row r="14495" ht="14.25" customHeight="1" x14ac:dyDescent="0.25"/>
    <row r="14496" ht="14.25" customHeight="1" x14ac:dyDescent="0.25"/>
    <row r="14497" ht="14.25" customHeight="1" x14ac:dyDescent="0.25"/>
    <row r="14498" ht="14.25" customHeight="1" x14ac:dyDescent="0.25"/>
    <row r="14499" ht="14.25" customHeight="1" x14ac:dyDescent="0.25"/>
    <row r="14500" ht="14.25" customHeight="1" x14ac:dyDescent="0.25"/>
    <row r="14501" ht="14.25" customHeight="1" x14ac:dyDescent="0.25"/>
    <row r="14502" ht="14.25" customHeight="1" x14ac:dyDescent="0.25"/>
    <row r="14503" ht="14.25" customHeight="1" x14ac:dyDescent="0.25"/>
    <row r="14504" ht="14.25" customHeight="1" x14ac:dyDescent="0.25"/>
    <row r="14505" ht="14.25" customHeight="1" x14ac:dyDescent="0.25"/>
    <row r="14506" ht="14.25" customHeight="1" x14ac:dyDescent="0.25"/>
    <row r="14507" ht="14.25" customHeight="1" x14ac:dyDescent="0.25"/>
    <row r="14508" ht="14.25" customHeight="1" x14ac:dyDescent="0.25"/>
    <row r="14509" ht="14.25" customHeight="1" x14ac:dyDescent="0.25"/>
    <row r="14510" ht="14.25" customHeight="1" x14ac:dyDescent="0.25"/>
    <row r="14511" ht="14.25" customHeight="1" x14ac:dyDescent="0.25"/>
    <row r="14512" ht="14.25" customHeight="1" x14ac:dyDescent="0.25"/>
    <row r="14513" ht="14.25" customHeight="1" x14ac:dyDescent="0.25"/>
    <row r="14514" ht="14.25" customHeight="1" x14ac:dyDescent="0.25"/>
    <row r="14515" ht="14.25" customHeight="1" x14ac:dyDescent="0.25"/>
    <row r="14516" ht="14.25" customHeight="1" x14ac:dyDescent="0.25"/>
    <row r="14517" ht="14.25" customHeight="1" x14ac:dyDescent="0.25"/>
    <row r="14518" ht="14.25" customHeight="1" x14ac:dyDescent="0.25"/>
    <row r="14519" ht="14.25" customHeight="1" x14ac:dyDescent="0.25"/>
    <row r="14520" ht="14.25" customHeight="1" x14ac:dyDescent="0.25"/>
    <row r="14521" ht="14.25" customHeight="1" x14ac:dyDescent="0.25"/>
    <row r="14522" ht="14.25" customHeight="1" x14ac:dyDescent="0.25"/>
    <row r="14523" ht="14.25" customHeight="1" x14ac:dyDescent="0.25"/>
    <row r="14524" ht="14.25" customHeight="1" x14ac:dyDescent="0.25"/>
    <row r="14525" ht="14.25" customHeight="1" x14ac:dyDescent="0.25"/>
    <row r="14526" ht="14.25" customHeight="1" x14ac:dyDescent="0.25"/>
    <row r="14527" ht="14.25" customHeight="1" x14ac:dyDescent="0.25"/>
    <row r="14528" ht="14.25" customHeight="1" x14ac:dyDescent="0.25"/>
    <row r="14529" ht="14.25" customHeight="1" x14ac:dyDescent="0.25"/>
    <row r="14530" ht="14.25" customHeight="1" x14ac:dyDescent="0.25"/>
    <row r="14531" ht="14.25" customHeight="1" x14ac:dyDescent="0.25"/>
    <row r="14532" ht="14.25" customHeight="1" x14ac:dyDescent="0.25"/>
    <row r="14533" ht="14.25" customHeight="1" x14ac:dyDescent="0.25"/>
    <row r="14534" ht="14.25" customHeight="1" x14ac:dyDescent="0.25"/>
    <row r="14535" ht="14.25" customHeight="1" x14ac:dyDescent="0.25"/>
    <row r="14536" ht="14.25" customHeight="1" x14ac:dyDescent="0.25"/>
    <row r="14537" ht="14.25" customHeight="1" x14ac:dyDescent="0.25"/>
    <row r="14538" ht="14.25" customHeight="1" x14ac:dyDescent="0.25"/>
    <row r="14539" ht="14.25" customHeight="1" x14ac:dyDescent="0.25"/>
    <row r="14540" ht="14.25" customHeight="1" x14ac:dyDescent="0.25"/>
    <row r="14541" ht="14.25" customHeight="1" x14ac:dyDescent="0.25"/>
    <row r="14542" ht="14.25" customHeight="1" x14ac:dyDescent="0.25"/>
    <row r="14543" ht="14.25" customHeight="1" x14ac:dyDescent="0.25"/>
    <row r="14544" ht="14.25" customHeight="1" x14ac:dyDescent="0.25"/>
    <row r="14545" ht="14.25" customHeight="1" x14ac:dyDescent="0.25"/>
    <row r="14546" ht="14.25" customHeight="1" x14ac:dyDescent="0.25"/>
    <row r="14547" ht="14.25" customHeight="1" x14ac:dyDescent="0.25"/>
    <row r="14548" ht="14.25" customHeight="1" x14ac:dyDescent="0.25"/>
    <row r="14549" ht="14.25" customHeight="1" x14ac:dyDescent="0.25"/>
    <row r="14550" ht="14.25" customHeight="1" x14ac:dyDescent="0.25"/>
    <row r="14551" ht="14.25" customHeight="1" x14ac:dyDescent="0.25"/>
    <row r="14552" ht="14.25" customHeight="1" x14ac:dyDescent="0.25"/>
    <row r="14553" ht="14.25" customHeight="1" x14ac:dyDescent="0.25"/>
    <row r="14554" ht="14.25" customHeight="1" x14ac:dyDescent="0.25"/>
    <row r="14555" ht="14.25" customHeight="1" x14ac:dyDescent="0.25"/>
    <row r="14556" ht="14.25" customHeight="1" x14ac:dyDescent="0.25"/>
    <row r="14557" ht="14.25" customHeight="1" x14ac:dyDescent="0.25"/>
    <row r="14558" ht="14.25" customHeight="1" x14ac:dyDescent="0.25"/>
    <row r="14559" ht="14.25" customHeight="1" x14ac:dyDescent="0.25"/>
    <row r="14560" ht="14.25" customHeight="1" x14ac:dyDescent="0.25"/>
    <row r="14561" ht="14.25" customHeight="1" x14ac:dyDescent="0.25"/>
    <row r="14562" ht="14.25" customHeight="1" x14ac:dyDescent="0.25"/>
    <row r="14563" ht="14.25" customHeight="1" x14ac:dyDescent="0.25"/>
    <row r="14564" ht="14.25" customHeight="1" x14ac:dyDescent="0.25"/>
    <row r="14565" ht="14.25" customHeight="1" x14ac:dyDescent="0.25"/>
    <row r="14566" ht="14.25" customHeight="1" x14ac:dyDescent="0.25"/>
    <row r="14567" ht="14.25" customHeight="1" x14ac:dyDescent="0.25"/>
    <row r="14568" ht="14.25" customHeight="1" x14ac:dyDescent="0.25"/>
    <row r="14569" ht="14.25" customHeight="1" x14ac:dyDescent="0.25"/>
    <row r="14570" ht="14.25" customHeight="1" x14ac:dyDescent="0.25"/>
    <row r="14571" ht="14.25" customHeight="1" x14ac:dyDescent="0.25"/>
    <row r="14572" ht="14.25" customHeight="1" x14ac:dyDescent="0.25"/>
    <row r="14573" ht="14.25" customHeight="1" x14ac:dyDescent="0.25"/>
    <row r="14574" ht="14.25" customHeight="1" x14ac:dyDescent="0.25"/>
    <row r="14575" ht="14.25" customHeight="1" x14ac:dyDescent="0.25"/>
    <row r="14576" ht="14.25" customHeight="1" x14ac:dyDescent="0.25"/>
    <row r="14577" ht="14.25" customHeight="1" x14ac:dyDescent="0.25"/>
    <row r="14578" ht="14.25" customHeight="1" x14ac:dyDescent="0.25"/>
    <row r="14579" ht="14.25" customHeight="1" x14ac:dyDescent="0.25"/>
    <row r="14580" ht="14.25" customHeight="1" x14ac:dyDescent="0.25"/>
    <row r="14581" ht="14.25" customHeight="1" x14ac:dyDescent="0.25"/>
    <row r="14582" ht="14.25" customHeight="1" x14ac:dyDescent="0.25"/>
    <row r="14583" ht="14.25" customHeight="1" x14ac:dyDescent="0.25"/>
    <row r="14584" ht="14.25" customHeight="1" x14ac:dyDescent="0.25"/>
    <row r="14585" ht="14.25" customHeight="1" x14ac:dyDescent="0.25"/>
    <row r="14586" ht="14.25" customHeight="1" x14ac:dyDescent="0.25"/>
    <row r="14587" ht="14.25" customHeight="1" x14ac:dyDescent="0.25"/>
    <row r="14588" ht="14.25" customHeight="1" x14ac:dyDescent="0.25"/>
    <row r="14589" ht="14.25" customHeight="1" x14ac:dyDescent="0.25"/>
    <row r="14590" ht="14.25" customHeight="1" x14ac:dyDescent="0.25"/>
    <row r="14591" ht="14.25" customHeight="1" x14ac:dyDescent="0.25"/>
    <row r="14592" ht="14.25" customHeight="1" x14ac:dyDescent="0.25"/>
    <row r="14593" ht="14.25" customHeight="1" x14ac:dyDescent="0.25"/>
    <row r="14594" ht="14.25" customHeight="1" x14ac:dyDescent="0.25"/>
    <row r="14595" ht="14.25" customHeight="1" x14ac:dyDescent="0.25"/>
    <row r="14596" ht="14.25" customHeight="1" x14ac:dyDescent="0.25"/>
    <row r="14597" ht="14.25" customHeight="1" x14ac:dyDescent="0.25"/>
    <row r="14598" ht="14.25" customHeight="1" x14ac:dyDescent="0.25"/>
    <row r="14599" ht="14.25" customHeight="1" x14ac:dyDescent="0.25"/>
    <row r="14600" ht="14.25" customHeight="1" x14ac:dyDescent="0.25"/>
    <row r="14601" ht="14.25" customHeight="1" x14ac:dyDescent="0.25"/>
    <row r="14602" ht="14.25" customHeight="1" x14ac:dyDescent="0.25"/>
    <row r="14603" ht="14.25" customHeight="1" x14ac:dyDescent="0.25"/>
    <row r="14604" ht="14.25" customHeight="1" x14ac:dyDescent="0.25"/>
    <row r="14605" ht="14.25" customHeight="1" x14ac:dyDescent="0.25"/>
    <row r="14606" ht="14.25" customHeight="1" x14ac:dyDescent="0.25"/>
    <row r="14607" ht="14.25" customHeight="1" x14ac:dyDescent="0.25"/>
    <row r="14608" ht="14.25" customHeight="1" x14ac:dyDescent="0.25"/>
    <row r="14609" ht="14.25" customHeight="1" x14ac:dyDescent="0.25"/>
    <row r="14610" ht="14.25" customHeight="1" x14ac:dyDescent="0.25"/>
    <row r="14611" ht="14.25" customHeight="1" x14ac:dyDescent="0.25"/>
    <row r="14612" ht="14.25" customHeight="1" x14ac:dyDescent="0.25"/>
    <row r="14613" ht="14.25" customHeight="1" x14ac:dyDescent="0.25"/>
    <row r="14614" ht="14.25" customHeight="1" x14ac:dyDescent="0.25"/>
    <row r="14615" ht="14.25" customHeight="1" x14ac:dyDescent="0.25"/>
    <row r="14616" ht="14.25" customHeight="1" x14ac:dyDescent="0.25"/>
    <row r="14617" ht="14.25" customHeight="1" x14ac:dyDescent="0.25"/>
    <row r="14618" ht="14.25" customHeight="1" x14ac:dyDescent="0.25"/>
    <row r="14619" ht="14.25" customHeight="1" x14ac:dyDescent="0.25"/>
    <row r="14620" ht="14.25" customHeight="1" x14ac:dyDescent="0.25"/>
    <row r="14621" ht="14.25" customHeight="1" x14ac:dyDescent="0.25"/>
    <row r="14622" ht="14.25" customHeight="1" x14ac:dyDescent="0.25"/>
    <row r="14623" ht="14.25" customHeight="1" x14ac:dyDescent="0.25"/>
    <row r="14624" ht="14.25" customHeight="1" x14ac:dyDescent="0.25"/>
    <row r="14625" ht="14.25" customHeight="1" x14ac:dyDescent="0.25"/>
    <row r="14626" ht="14.25" customHeight="1" x14ac:dyDescent="0.25"/>
    <row r="14627" ht="14.25" customHeight="1" x14ac:dyDescent="0.25"/>
    <row r="14628" ht="14.25" customHeight="1" x14ac:dyDescent="0.25"/>
    <row r="14629" ht="14.25" customHeight="1" x14ac:dyDescent="0.25"/>
    <row r="14630" ht="14.25" customHeight="1" x14ac:dyDescent="0.25"/>
    <row r="14631" ht="14.25" customHeight="1" x14ac:dyDescent="0.25"/>
    <row r="14632" ht="14.25" customHeight="1" x14ac:dyDescent="0.25"/>
    <row r="14633" ht="14.25" customHeight="1" x14ac:dyDescent="0.25"/>
    <row r="14634" ht="14.25" customHeight="1" x14ac:dyDescent="0.25"/>
    <row r="14635" ht="14.25" customHeight="1" x14ac:dyDescent="0.25"/>
    <row r="14636" ht="14.25" customHeight="1" x14ac:dyDescent="0.25"/>
    <row r="14637" ht="14.25" customHeight="1" x14ac:dyDescent="0.25"/>
    <row r="14638" ht="14.25" customHeight="1" x14ac:dyDescent="0.25"/>
    <row r="14639" ht="14.25" customHeight="1" x14ac:dyDescent="0.25"/>
    <row r="14640" ht="14.25" customHeight="1" x14ac:dyDescent="0.25"/>
    <row r="14641" ht="14.25" customHeight="1" x14ac:dyDescent="0.25"/>
    <row r="14642" ht="14.25" customHeight="1" x14ac:dyDescent="0.25"/>
    <row r="14643" ht="14.25" customHeight="1" x14ac:dyDescent="0.25"/>
    <row r="14644" ht="14.25" customHeight="1" x14ac:dyDescent="0.25"/>
    <row r="14645" ht="14.25" customHeight="1" x14ac:dyDescent="0.25"/>
    <row r="14646" ht="14.25" customHeight="1" x14ac:dyDescent="0.25"/>
    <row r="14647" ht="14.25" customHeight="1" x14ac:dyDescent="0.25"/>
    <row r="14648" ht="14.25" customHeight="1" x14ac:dyDescent="0.25"/>
    <row r="14649" ht="14.25" customHeight="1" x14ac:dyDescent="0.25"/>
    <row r="14650" ht="14.25" customHeight="1" x14ac:dyDescent="0.25"/>
    <row r="14651" ht="14.25" customHeight="1" x14ac:dyDescent="0.25"/>
    <row r="14652" ht="14.25" customHeight="1" x14ac:dyDescent="0.25"/>
    <row r="14653" ht="14.25" customHeight="1" x14ac:dyDescent="0.25"/>
    <row r="14654" ht="14.25" customHeight="1" x14ac:dyDescent="0.25"/>
    <row r="14655" ht="14.25" customHeight="1" x14ac:dyDescent="0.25"/>
    <row r="14656" ht="14.25" customHeight="1" x14ac:dyDescent="0.25"/>
    <row r="14657" ht="14.25" customHeight="1" x14ac:dyDescent="0.25"/>
    <row r="14658" ht="14.25" customHeight="1" x14ac:dyDescent="0.25"/>
    <row r="14659" ht="14.25" customHeight="1" x14ac:dyDescent="0.25"/>
    <row r="14660" ht="14.25" customHeight="1" x14ac:dyDescent="0.25"/>
    <row r="14661" ht="14.25" customHeight="1" x14ac:dyDescent="0.25"/>
    <row r="14662" ht="14.25" customHeight="1" x14ac:dyDescent="0.25"/>
    <row r="14663" ht="14.25" customHeight="1" x14ac:dyDescent="0.25"/>
    <row r="14664" ht="14.25" customHeight="1" x14ac:dyDescent="0.25"/>
    <row r="14665" ht="14.25" customHeight="1" x14ac:dyDescent="0.25"/>
    <row r="14666" ht="14.25" customHeight="1" x14ac:dyDescent="0.25"/>
    <row r="14667" ht="14.25" customHeight="1" x14ac:dyDescent="0.25"/>
    <row r="14668" ht="14.25" customHeight="1" x14ac:dyDescent="0.25"/>
    <row r="14669" ht="14.25" customHeight="1" x14ac:dyDescent="0.25"/>
    <row r="14670" ht="14.25" customHeight="1" x14ac:dyDescent="0.25"/>
    <row r="14671" ht="14.25" customHeight="1" x14ac:dyDescent="0.25"/>
    <row r="14672" ht="14.25" customHeight="1" x14ac:dyDescent="0.25"/>
    <row r="14673" ht="14.25" customHeight="1" x14ac:dyDescent="0.25"/>
    <row r="14674" ht="14.25" customHeight="1" x14ac:dyDescent="0.25"/>
    <row r="14675" ht="14.25" customHeight="1" x14ac:dyDescent="0.25"/>
    <row r="14676" ht="14.25" customHeight="1" x14ac:dyDescent="0.25"/>
    <row r="14677" ht="14.25" customHeight="1" x14ac:dyDescent="0.25"/>
    <row r="14678" ht="14.25" customHeight="1" x14ac:dyDescent="0.25"/>
    <row r="14679" ht="14.25" customHeight="1" x14ac:dyDescent="0.25"/>
    <row r="14680" ht="14.25" customHeight="1" x14ac:dyDescent="0.25"/>
    <row r="14681" ht="14.25" customHeight="1" x14ac:dyDescent="0.25"/>
    <row r="14682" ht="14.25" customHeight="1" x14ac:dyDescent="0.25"/>
    <row r="14683" ht="14.25" customHeight="1" x14ac:dyDescent="0.25"/>
    <row r="14684" ht="14.25" customHeight="1" x14ac:dyDescent="0.25"/>
    <row r="14685" ht="14.25" customHeight="1" x14ac:dyDescent="0.25"/>
    <row r="14686" ht="14.25" customHeight="1" x14ac:dyDescent="0.25"/>
    <row r="14687" ht="14.25" customHeight="1" x14ac:dyDescent="0.25"/>
    <row r="14688" ht="14.25" customHeight="1" x14ac:dyDescent="0.25"/>
    <row r="14689" ht="14.25" customHeight="1" x14ac:dyDescent="0.25"/>
    <row r="14690" ht="14.25" customHeight="1" x14ac:dyDescent="0.25"/>
    <row r="14691" ht="14.25" customHeight="1" x14ac:dyDescent="0.25"/>
    <row r="14692" ht="14.25" customHeight="1" x14ac:dyDescent="0.25"/>
    <row r="14693" ht="14.25" customHeight="1" x14ac:dyDescent="0.25"/>
    <row r="14694" ht="14.25" customHeight="1" x14ac:dyDescent="0.25"/>
    <row r="14695" ht="14.25" customHeight="1" x14ac:dyDescent="0.25"/>
    <row r="14696" ht="14.25" customHeight="1" x14ac:dyDescent="0.25"/>
    <row r="14697" ht="14.25" customHeight="1" x14ac:dyDescent="0.25"/>
    <row r="14698" ht="14.25" customHeight="1" x14ac:dyDescent="0.25"/>
    <row r="14699" ht="14.25" customHeight="1" x14ac:dyDescent="0.25"/>
    <row r="14700" ht="14.25" customHeight="1" x14ac:dyDescent="0.25"/>
    <row r="14701" ht="14.25" customHeight="1" x14ac:dyDescent="0.25"/>
    <row r="14702" ht="14.25" customHeight="1" x14ac:dyDescent="0.25"/>
    <row r="14703" ht="14.25" customHeight="1" x14ac:dyDescent="0.25"/>
    <row r="14704" ht="14.25" customHeight="1" x14ac:dyDescent="0.25"/>
    <row r="14705" ht="14.25" customHeight="1" x14ac:dyDescent="0.25"/>
    <row r="14706" ht="14.25" customHeight="1" x14ac:dyDescent="0.25"/>
    <row r="14707" ht="14.25" customHeight="1" x14ac:dyDescent="0.25"/>
    <row r="14708" ht="14.25" customHeight="1" x14ac:dyDescent="0.25"/>
    <row r="14709" ht="14.25" customHeight="1" x14ac:dyDescent="0.25"/>
    <row r="14710" ht="14.25" customHeight="1" x14ac:dyDescent="0.25"/>
    <row r="14711" ht="14.25" customHeight="1" x14ac:dyDescent="0.25"/>
    <row r="14712" ht="14.25" customHeight="1" x14ac:dyDescent="0.25"/>
    <row r="14713" ht="14.25" customHeight="1" x14ac:dyDescent="0.25"/>
    <row r="14714" ht="14.25" customHeight="1" x14ac:dyDescent="0.25"/>
    <row r="14715" ht="14.25" customHeight="1" x14ac:dyDescent="0.25"/>
    <row r="14716" ht="14.25" customHeight="1" x14ac:dyDescent="0.25"/>
    <row r="14717" ht="14.25" customHeight="1" x14ac:dyDescent="0.25"/>
    <row r="14718" ht="14.25" customHeight="1" x14ac:dyDescent="0.25"/>
    <row r="14719" ht="14.25" customHeight="1" x14ac:dyDescent="0.25"/>
    <row r="14720" ht="14.25" customHeight="1" x14ac:dyDescent="0.25"/>
    <row r="14721" ht="14.25" customHeight="1" x14ac:dyDescent="0.25"/>
    <row r="14722" ht="14.25" customHeight="1" x14ac:dyDescent="0.25"/>
    <row r="14723" ht="14.25" customHeight="1" x14ac:dyDescent="0.25"/>
    <row r="14724" ht="14.25" customHeight="1" x14ac:dyDescent="0.25"/>
    <row r="14725" ht="14.25" customHeight="1" x14ac:dyDescent="0.25"/>
    <row r="14726" ht="14.25" customHeight="1" x14ac:dyDescent="0.25"/>
    <row r="14727" ht="14.25" customHeight="1" x14ac:dyDescent="0.25"/>
    <row r="14728" ht="14.25" customHeight="1" x14ac:dyDescent="0.25"/>
    <row r="14729" ht="14.25" customHeight="1" x14ac:dyDescent="0.25"/>
    <row r="14730" ht="14.25" customHeight="1" x14ac:dyDescent="0.25"/>
    <row r="14731" ht="14.25" customHeight="1" x14ac:dyDescent="0.25"/>
    <row r="14732" ht="14.25" customHeight="1" x14ac:dyDescent="0.25"/>
    <row r="14733" ht="14.25" customHeight="1" x14ac:dyDescent="0.25"/>
    <row r="14734" ht="14.25" customHeight="1" x14ac:dyDescent="0.25"/>
    <row r="14735" ht="14.25" customHeight="1" x14ac:dyDescent="0.25"/>
    <row r="14736" ht="14.25" customHeight="1" x14ac:dyDescent="0.25"/>
    <row r="14737" ht="14.25" customHeight="1" x14ac:dyDescent="0.25"/>
    <row r="14738" ht="14.25" customHeight="1" x14ac:dyDescent="0.25"/>
    <row r="14739" ht="14.25" customHeight="1" x14ac:dyDescent="0.25"/>
    <row r="14740" ht="14.25" customHeight="1" x14ac:dyDescent="0.25"/>
    <row r="14741" ht="14.25" customHeight="1" x14ac:dyDescent="0.25"/>
    <row r="14742" ht="14.25" customHeight="1" x14ac:dyDescent="0.25"/>
    <row r="14743" ht="14.25" customHeight="1" x14ac:dyDescent="0.25"/>
    <row r="14744" ht="14.25" customHeight="1" x14ac:dyDescent="0.25"/>
    <row r="14745" ht="14.25" customHeight="1" x14ac:dyDescent="0.25"/>
    <row r="14746" ht="14.25" customHeight="1" x14ac:dyDescent="0.25"/>
    <row r="14747" ht="14.25" customHeight="1" x14ac:dyDescent="0.25"/>
    <row r="14748" ht="14.25" customHeight="1" x14ac:dyDescent="0.25"/>
    <row r="14749" ht="14.25" customHeight="1" x14ac:dyDescent="0.25"/>
    <row r="14750" ht="14.25" customHeight="1" x14ac:dyDescent="0.25"/>
    <row r="14751" ht="14.25" customHeight="1" x14ac:dyDescent="0.25"/>
    <row r="14752" ht="14.25" customHeight="1" x14ac:dyDescent="0.25"/>
    <row r="14753" ht="14.25" customHeight="1" x14ac:dyDescent="0.25"/>
    <row r="14754" ht="14.25" customHeight="1" x14ac:dyDescent="0.25"/>
    <row r="14755" ht="14.25" customHeight="1" x14ac:dyDescent="0.25"/>
    <row r="14756" ht="14.25" customHeight="1" x14ac:dyDescent="0.25"/>
    <row r="14757" ht="14.25" customHeight="1" x14ac:dyDescent="0.25"/>
    <row r="14758" ht="14.25" customHeight="1" x14ac:dyDescent="0.25"/>
    <row r="14759" ht="14.25" customHeight="1" x14ac:dyDescent="0.25"/>
    <row r="14760" ht="14.25" customHeight="1" x14ac:dyDescent="0.25"/>
    <row r="14761" ht="14.25" customHeight="1" x14ac:dyDescent="0.25"/>
    <row r="14762" ht="14.25" customHeight="1" x14ac:dyDescent="0.25"/>
    <row r="14763" ht="14.25" customHeight="1" x14ac:dyDescent="0.25"/>
    <row r="14764" ht="14.25" customHeight="1" x14ac:dyDescent="0.25"/>
    <row r="14765" ht="14.25" customHeight="1" x14ac:dyDescent="0.25"/>
    <row r="14766" ht="14.25" customHeight="1" x14ac:dyDescent="0.25"/>
    <row r="14767" ht="14.25" customHeight="1" x14ac:dyDescent="0.25"/>
    <row r="14768" ht="14.25" customHeight="1" x14ac:dyDescent="0.25"/>
    <row r="14769" ht="14.25" customHeight="1" x14ac:dyDescent="0.25"/>
    <row r="14770" ht="14.25" customHeight="1" x14ac:dyDescent="0.25"/>
    <row r="14771" ht="14.25" customHeight="1" x14ac:dyDescent="0.25"/>
    <row r="14772" ht="14.25" customHeight="1" x14ac:dyDescent="0.25"/>
    <row r="14773" ht="14.25" customHeight="1" x14ac:dyDescent="0.25"/>
    <row r="14774" ht="14.25" customHeight="1" x14ac:dyDescent="0.25"/>
    <row r="14775" ht="14.25" customHeight="1" x14ac:dyDescent="0.25"/>
    <row r="14776" ht="14.25" customHeight="1" x14ac:dyDescent="0.25"/>
    <row r="14777" ht="14.25" customHeight="1" x14ac:dyDescent="0.25"/>
    <row r="14778" ht="14.25" customHeight="1" x14ac:dyDescent="0.25"/>
    <row r="14779" ht="14.25" customHeight="1" x14ac:dyDescent="0.25"/>
    <row r="14780" ht="14.25" customHeight="1" x14ac:dyDescent="0.25"/>
    <row r="14781" ht="14.25" customHeight="1" x14ac:dyDescent="0.25"/>
    <row r="14782" ht="14.25" customHeight="1" x14ac:dyDescent="0.25"/>
    <row r="14783" ht="14.25" customHeight="1" x14ac:dyDescent="0.25"/>
    <row r="14784" ht="14.25" customHeight="1" x14ac:dyDescent="0.25"/>
    <row r="14785" ht="14.25" customHeight="1" x14ac:dyDescent="0.25"/>
    <row r="14786" ht="14.25" customHeight="1" x14ac:dyDescent="0.25"/>
    <row r="14787" ht="14.25" customHeight="1" x14ac:dyDescent="0.25"/>
    <row r="14788" ht="14.25" customHeight="1" x14ac:dyDescent="0.25"/>
    <row r="14789" ht="14.25" customHeight="1" x14ac:dyDescent="0.25"/>
    <row r="14790" ht="14.25" customHeight="1" x14ac:dyDescent="0.25"/>
    <row r="14791" ht="14.25" customHeight="1" x14ac:dyDescent="0.25"/>
    <row r="14792" ht="14.25" customHeight="1" x14ac:dyDescent="0.25"/>
    <row r="14793" ht="14.25" customHeight="1" x14ac:dyDescent="0.25"/>
    <row r="14794" ht="14.25" customHeight="1" x14ac:dyDescent="0.25"/>
    <row r="14795" ht="14.25" customHeight="1" x14ac:dyDescent="0.25"/>
    <row r="14796" ht="14.25" customHeight="1" x14ac:dyDescent="0.25"/>
    <row r="14797" ht="14.25" customHeight="1" x14ac:dyDescent="0.25"/>
    <row r="14798" ht="14.25" customHeight="1" x14ac:dyDescent="0.25"/>
    <row r="14799" ht="14.25" customHeight="1" x14ac:dyDescent="0.25"/>
    <row r="14800" ht="14.25" customHeight="1" x14ac:dyDescent="0.25"/>
    <row r="14801" ht="14.25" customHeight="1" x14ac:dyDescent="0.25"/>
    <row r="14802" ht="14.25" customHeight="1" x14ac:dyDescent="0.25"/>
    <row r="14803" ht="14.25" customHeight="1" x14ac:dyDescent="0.25"/>
    <row r="14804" ht="14.25" customHeight="1" x14ac:dyDescent="0.25"/>
    <row r="14805" ht="14.25" customHeight="1" x14ac:dyDescent="0.25"/>
    <row r="14806" ht="14.25" customHeight="1" x14ac:dyDescent="0.25"/>
    <row r="14807" ht="14.25" customHeight="1" x14ac:dyDescent="0.25"/>
    <row r="14808" ht="14.25" customHeight="1" x14ac:dyDescent="0.25"/>
    <row r="14809" ht="14.25" customHeight="1" x14ac:dyDescent="0.25"/>
    <row r="14810" ht="14.25" customHeight="1" x14ac:dyDescent="0.25"/>
    <row r="14811" ht="14.25" customHeight="1" x14ac:dyDescent="0.25"/>
    <row r="14812" ht="14.25" customHeight="1" x14ac:dyDescent="0.25"/>
    <row r="14813" ht="14.25" customHeight="1" x14ac:dyDescent="0.25"/>
    <row r="14814" ht="14.25" customHeight="1" x14ac:dyDescent="0.25"/>
    <row r="14815" ht="14.25" customHeight="1" x14ac:dyDescent="0.25"/>
    <row r="14816" ht="14.25" customHeight="1" x14ac:dyDescent="0.25"/>
    <row r="14817" ht="14.25" customHeight="1" x14ac:dyDescent="0.25"/>
    <row r="14818" ht="14.25" customHeight="1" x14ac:dyDescent="0.25"/>
    <row r="14819" ht="14.25" customHeight="1" x14ac:dyDescent="0.25"/>
    <row r="14820" ht="14.25" customHeight="1" x14ac:dyDescent="0.25"/>
    <row r="14821" ht="14.25" customHeight="1" x14ac:dyDescent="0.25"/>
    <row r="14822" ht="14.25" customHeight="1" x14ac:dyDescent="0.25"/>
    <row r="14823" ht="14.25" customHeight="1" x14ac:dyDescent="0.25"/>
    <row r="14824" ht="14.25" customHeight="1" x14ac:dyDescent="0.25"/>
    <row r="14825" ht="14.25" customHeight="1" x14ac:dyDescent="0.25"/>
    <row r="14826" ht="14.25" customHeight="1" x14ac:dyDescent="0.25"/>
    <row r="14827" ht="14.25" customHeight="1" x14ac:dyDescent="0.25"/>
    <row r="14828" ht="14.25" customHeight="1" x14ac:dyDescent="0.25"/>
    <row r="14829" ht="14.25" customHeight="1" x14ac:dyDescent="0.25"/>
    <row r="14830" ht="14.25" customHeight="1" x14ac:dyDescent="0.25"/>
    <row r="14831" ht="14.25" customHeight="1" x14ac:dyDescent="0.25"/>
    <row r="14832" ht="14.25" customHeight="1" x14ac:dyDescent="0.25"/>
    <row r="14833" ht="14.25" customHeight="1" x14ac:dyDescent="0.25"/>
    <row r="14834" ht="14.25" customHeight="1" x14ac:dyDescent="0.25"/>
    <row r="14835" ht="14.25" customHeight="1" x14ac:dyDescent="0.25"/>
    <row r="14836" ht="14.25" customHeight="1" x14ac:dyDescent="0.25"/>
    <row r="14837" ht="14.25" customHeight="1" x14ac:dyDescent="0.25"/>
    <row r="14838" ht="14.25" customHeight="1" x14ac:dyDescent="0.25"/>
    <row r="14839" ht="14.25" customHeight="1" x14ac:dyDescent="0.25"/>
    <row r="14840" ht="14.25" customHeight="1" x14ac:dyDescent="0.25"/>
    <row r="14841" ht="14.25" customHeight="1" x14ac:dyDescent="0.25"/>
    <row r="14842" ht="14.25" customHeight="1" x14ac:dyDescent="0.25"/>
    <row r="14843" ht="14.25" customHeight="1" x14ac:dyDescent="0.25"/>
    <row r="14844" ht="14.25" customHeight="1" x14ac:dyDescent="0.25"/>
    <row r="14845" ht="14.25" customHeight="1" x14ac:dyDescent="0.25"/>
    <row r="14846" ht="14.25" customHeight="1" x14ac:dyDescent="0.25"/>
    <row r="14847" ht="14.25" customHeight="1" x14ac:dyDescent="0.25"/>
    <row r="14848" ht="14.25" customHeight="1" x14ac:dyDescent="0.25"/>
    <row r="14849" ht="14.25" customHeight="1" x14ac:dyDescent="0.25"/>
    <row r="14850" ht="14.25" customHeight="1" x14ac:dyDescent="0.25"/>
    <row r="14851" ht="14.25" customHeight="1" x14ac:dyDescent="0.25"/>
    <row r="14852" ht="14.25" customHeight="1" x14ac:dyDescent="0.25"/>
    <row r="14853" ht="14.25" customHeight="1" x14ac:dyDescent="0.25"/>
    <row r="14854" ht="14.25" customHeight="1" x14ac:dyDescent="0.25"/>
    <row r="14855" ht="14.25" customHeight="1" x14ac:dyDescent="0.25"/>
    <row r="14856" ht="14.25" customHeight="1" x14ac:dyDescent="0.25"/>
    <row r="14857" ht="14.25" customHeight="1" x14ac:dyDescent="0.25"/>
    <row r="14858" ht="14.25" customHeight="1" x14ac:dyDescent="0.25"/>
    <row r="14859" ht="14.25" customHeight="1" x14ac:dyDescent="0.25"/>
    <row r="14860" ht="14.25" customHeight="1" x14ac:dyDescent="0.25"/>
    <row r="14861" ht="14.25" customHeight="1" x14ac:dyDescent="0.25"/>
    <row r="14862" ht="14.25" customHeight="1" x14ac:dyDescent="0.25"/>
    <row r="14863" ht="14.25" customHeight="1" x14ac:dyDescent="0.25"/>
    <row r="14864" ht="14.25" customHeight="1" x14ac:dyDescent="0.25"/>
    <row r="14865" ht="14.25" customHeight="1" x14ac:dyDescent="0.25"/>
    <row r="14866" ht="14.25" customHeight="1" x14ac:dyDescent="0.25"/>
    <row r="14867" ht="14.25" customHeight="1" x14ac:dyDescent="0.25"/>
    <row r="14868" ht="14.25" customHeight="1" x14ac:dyDescent="0.25"/>
    <row r="14869" ht="14.25" customHeight="1" x14ac:dyDescent="0.25"/>
    <row r="14870" ht="14.25" customHeight="1" x14ac:dyDescent="0.25"/>
    <row r="14871" ht="14.25" customHeight="1" x14ac:dyDescent="0.25"/>
    <row r="14872" ht="14.25" customHeight="1" x14ac:dyDescent="0.25"/>
    <row r="14873" ht="14.25" customHeight="1" x14ac:dyDescent="0.25"/>
    <row r="14874" ht="14.25" customHeight="1" x14ac:dyDescent="0.25"/>
    <row r="14875" ht="14.25" customHeight="1" x14ac:dyDescent="0.25"/>
    <row r="14876" ht="14.25" customHeight="1" x14ac:dyDescent="0.25"/>
    <row r="14877" ht="14.25" customHeight="1" x14ac:dyDescent="0.25"/>
    <row r="14878" ht="14.25" customHeight="1" x14ac:dyDescent="0.25"/>
    <row r="14879" ht="14.25" customHeight="1" x14ac:dyDescent="0.25"/>
    <row r="14880" ht="14.25" customHeight="1" x14ac:dyDescent="0.25"/>
    <row r="14881" ht="14.25" customHeight="1" x14ac:dyDescent="0.25"/>
    <row r="14882" ht="14.25" customHeight="1" x14ac:dyDescent="0.25"/>
    <row r="14883" ht="14.25" customHeight="1" x14ac:dyDescent="0.25"/>
    <row r="14884" ht="14.25" customHeight="1" x14ac:dyDescent="0.25"/>
    <row r="14885" ht="14.25" customHeight="1" x14ac:dyDescent="0.25"/>
    <row r="14886" ht="14.25" customHeight="1" x14ac:dyDescent="0.25"/>
    <row r="14887" ht="14.25" customHeight="1" x14ac:dyDescent="0.25"/>
    <row r="14888" ht="14.25" customHeight="1" x14ac:dyDescent="0.25"/>
    <row r="14889" ht="14.25" customHeight="1" x14ac:dyDescent="0.25"/>
    <row r="14890" ht="14.25" customHeight="1" x14ac:dyDescent="0.25"/>
    <row r="14891" ht="14.25" customHeight="1" x14ac:dyDescent="0.25"/>
    <row r="14892" ht="14.25" customHeight="1" x14ac:dyDescent="0.25"/>
    <row r="14893" ht="14.25" customHeight="1" x14ac:dyDescent="0.25"/>
    <row r="14894" ht="14.25" customHeight="1" x14ac:dyDescent="0.25"/>
    <row r="14895" ht="14.25" customHeight="1" x14ac:dyDescent="0.25"/>
    <row r="14896" ht="14.25" customHeight="1" x14ac:dyDescent="0.25"/>
    <row r="14897" ht="14.25" customHeight="1" x14ac:dyDescent="0.25"/>
    <row r="14898" ht="14.25" customHeight="1" x14ac:dyDescent="0.25"/>
    <row r="14899" ht="14.25" customHeight="1" x14ac:dyDescent="0.25"/>
    <row r="14900" ht="14.25" customHeight="1" x14ac:dyDescent="0.25"/>
    <row r="14901" ht="14.25" customHeight="1" x14ac:dyDescent="0.25"/>
    <row r="14902" ht="14.25" customHeight="1" x14ac:dyDescent="0.25"/>
    <row r="14903" ht="14.25" customHeight="1" x14ac:dyDescent="0.25"/>
    <row r="14904" ht="14.25" customHeight="1" x14ac:dyDescent="0.25"/>
    <row r="14905" ht="14.25" customHeight="1" x14ac:dyDescent="0.25"/>
    <row r="14906" ht="14.25" customHeight="1" x14ac:dyDescent="0.25"/>
    <row r="14907" ht="14.25" customHeight="1" x14ac:dyDescent="0.25"/>
    <row r="14908" ht="14.25" customHeight="1" x14ac:dyDescent="0.25"/>
    <row r="14909" ht="14.25" customHeight="1" x14ac:dyDescent="0.25"/>
    <row r="14910" ht="14.25" customHeight="1" x14ac:dyDescent="0.25"/>
    <row r="14911" ht="14.25" customHeight="1" x14ac:dyDescent="0.25"/>
    <row r="14912" ht="14.25" customHeight="1" x14ac:dyDescent="0.25"/>
    <row r="14913" ht="14.25" customHeight="1" x14ac:dyDescent="0.25"/>
    <row r="14914" ht="14.25" customHeight="1" x14ac:dyDescent="0.25"/>
    <row r="14915" ht="14.25" customHeight="1" x14ac:dyDescent="0.25"/>
    <row r="14916" ht="14.25" customHeight="1" x14ac:dyDescent="0.25"/>
    <row r="14917" ht="14.25" customHeight="1" x14ac:dyDescent="0.25"/>
    <row r="14918" ht="14.25" customHeight="1" x14ac:dyDescent="0.25"/>
    <row r="14919" ht="14.25" customHeight="1" x14ac:dyDescent="0.25"/>
    <row r="14920" ht="14.25" customHeight="1" x14ac:dyDescent="0.25"/>
    <row r="14921" ht="14.25" customHeight="1" x14ac:dyDescent="0.25"/>
    <row r="14922" ht="14.25" customHeight="1" x14ac:dyDescent="0.25"/>
    <row r="14923" ht="14.25" customHeight="1" x14ac:dyDescent="0.25"/>
    <row r="14924" ht="14.25" customHeight="1" x14ac:dyDescent="0.25"/>
    <row r="14925" ht="14.25" customHeight="1" x14ac:dyDescent="0.25"/>
    <row r="14926" ht="14.25" customHeight="1" x14ac:dyDescent="0.25"/>
    <row r="14927" ht="14.25" customHeight="1" x14ac:dyDescent="0.25"/>
    <row r="14928" ht="14.25" customHeight="1" x14ac:dyDescent="0.25"/>
    <row r="14929" ht="14.25" customHeight="1" x14ac:dyDescent="0.25"/>
    <row r="14930" ht="14.25" customHeight="1" x14ac:dyDescent="0.25"/>
    <row r="14931" ht="14.25" customHeight="1" x14ac:dyDescent="0.25"/>
    <row r="14932" ht="14.25" customHeight="1" x14ac:dyDescent="0.25"/>
    <row r="14933" ht="14.25" customHeight="1" x14ac:dyDescent="0.25"/>
    <row r="14934" ht="14.25" customHeight="1" x14ac:dyDescent="0.25"/>
    <row r="14935" ht="14.25" customHeight="1" x14ac:dyDescent="0.25"/>
    <row r="14936" ht="14.25" customHeight="1" x14ac:dyDescent="0.25"/>
    <row r="14937" ht="14.25" customHeight="1" x14ac:dyDescent="0.25"/>
    <row r="14938" ht="14.25" customHeight="1" x14ac:dyDescent="0.25"/>
    <row r="14939" ht="14.25" customHeight="1" x14ac:dyDescent="0.25"/>
    <row r="14940" ht="14.25" customHeight="1" x14ac:dyDescent="0.25"/>
    <row r="14941" ht="14.25" customHeight="1" x14ac:dyDescent="0.25"/>
    <row r="14942" ht="14.25" customHeight="1" x14ac:dyDescent="0.25"/>
    <row r="14943" ht="14.25" customHeight="1" x14ac:dyDescent="0.25"/>
    <row r="14944" ht="14.25" customHeight="1" x14ac:dyDescent="0.25"/>
    <row r="14945" ht="14.25" customHeight="1" x14ac:dyDescent="0.25"/>
    <row r="14946" ht="14.25" customHeight="1" x14ac:dyDescent="0.25"/>
    <row r="14947" ht="14.25" customHeight="1" x14ac:dyDescent="0.25"/>
    <row r="14948" ht="14.25" customHeight="1" x14ac:dyDescent="0.25"/>
    <row r="14949" ht="14.25" customHeight="1" x14ac:dyDescent="0.25"/>
    <row r="14950" ht="14.25" customHeight="1" x14ac:dyDescent="0.25"/>
    <row r="14951" ht="14.25" customHeight="1" x14ac:dyDescent="0.25"/>
    <row r="14952" ht="14.25" customHeight="1" x14ac:dyDescent="0.25"/>
    <row r="14953" ht="14.25" customHeight="1" x14ac:dyDescent="0.25"/>
    <row r="14954" ht="14.25" customHeight="1" x14ac:dyDescent="0.25"/>
    <row r="14955" ht="14.25" customHeight="1" x14ac:dyDescent="0.25"/>
    <row r="14956" ht="14.25" customHeight="1" x14ac:dyDescent="0.25"/>
    <row r="14957" ht="14.25" customHeight="1" x14ac:dyDescent="0.25"/>
    <row r="14958" ht="14.25" customHeight="1" x14ac:dyDescent="0.25"/>
    <row r="14959" ht="14.25" customHeight="1" x14ac:dyDescent="0.25"/>
    <row r="14960" ht="14.25" customHeight="1" x14ac:dyDescent="0.25"/>
    <row r="14961" ht="14.25" customHeight="1" x14ac:dyDescent="0.25"/>
    <row r="14962" ht="14.25" customHeight="1" x14ac:dyDescent="0.25"/>
    <row r="14963" ht="14.25" customHeight="1" x14ac:dyDescent="0.25"/>
    <row r="14964" ht="14.25" customHeight="1" x14ac:dyDescent="0.25"/>
    <row r="14965" ht="14.25" customHeight="1" x14ac:dyDescent="0.25"/>
    <row r="14966" ht="14.25" customHeight="1" x14ac:dyDescent="0.25"/>
    <row r="14967" ht="14.25" customHeight="1" x14ac:dyDescent="0.25"/>
    <row r="14968" ht="14.25" customHeight="1" x14ac:dyDescent="0.25"/>
    <row r="14969" ht="14.25" customHeight="1" x14ac:dyDescent="0.25"/>
    <row r="14970" ht="14.25" customHeight="1" x14ac:dyDescent="0.25"/>
    <row r="14971" ht="14.25" customHeight="1" x14ac:dyDescent="0.25"/>
    <row r="14972" ht="14.25" customHeight="1" x14ac:dyDescent="0.25"/>
    <row r="14973" ht="14.25" customHeight="1" x14ac:dyDescent="0.25"/>
    <row r="14974" ht="14.25" customHeight="1" x14ac:dyDescent="0.25"/>
    <row r="14975" ht="14.25" customHeight="1" x14ac:dyDescent="0.25"/>
    <row r="14976" ht="14.25" customHeight="1" x14ac:dyDescent="0.25"/>
    <row r="14977" ht="14.25" customHeight="1" x14ac:dyDescent="0.25"/>
    <row r="14978" ht="14.25" customHeight="1" x14ac:dyDescent="0.25"/>
    <row r="14979" ht="14.25" customHeight="1" x14ac:dyDescent="0.25"/>
    <row r="14980" ht="14.25" customHeight="1" x14ac:dyDescent="0.25"/>
    <row r="14981" ht="14.25" customHeight="1" x14ac:dyDescent="0.25"/>
    <row r="14982" ht="14.25" customHeight="1" x14ac:dyDescent="0.25"/>
    <row r="14983" ht="14.25" customHeight="1" x14ac:dyDescent="0.25"/>
    <row r="14984" ht="14.25" customHeight="1" x14ac:dyDescent="0.25"/>
    <row r="14985" ht="14.25" customHeight="1" x14ac:dyDescent="0.25"/>
    <row r="14986" ht="14.25" customHeight="1" x14ac:dyDescent="0.25"/>
    <row r="14987" ht="14.25" customHeight="1" x14ac:dyDescent="0.25"/>
    <row r="14988" ht="14.25" customHeight="1" x14ac:dyDescent="0.25"/>
    <row r="14989" ht="14.25" customHeight="1" x14ac:dyDescent="0.25"/>
    <row r="14990" ht="14.25" customHeight="1" x14ac:dyDescent="0.25"/>
    <row r="14991" ht="14.25" customHeight="1" x14ac:dyDescent="0.25"/>
    <row r="14992" ht="14.25" customHeight="1" x14ac:dyDescent="0.25"/>
    <row r="14993" ht="14.25" customHeight="1" x14ac:dyDescent="0.25"/>
    <row r="14994" ht="14.25" customHeight="1" x14ac:dyDescent="0.25"/>
    <row r="14995" ht="14.25" customHeight="1" x14ac:dyDescent="0.25"/>
    <row r="14996" ht="14.25" customHeight="1" x14ac:dyDescent="0.25"/>
    <row r="14997" ht="14.25" customHeight="1" x14ac:dyDescent="0.25"/>
    <row r="14998" ht="14.25" customHeight="1" x14ac:dyDescent="0.25"/>
    <row r="14999" ht="14.25" customHeight="1" x14ac:dyDescent="0.25"/>
    <row r="15000" ht="14.25" customHeight="1" x14ac:dyDescent="0.25"/>
    <row r="15001" ht="14.25" customHeight="1" x14ac:dyDescent="0.25"/>
    <row r="15002" ht="14.25" customHeight="1" x14ac:dyDescent="0.25"/>
    <row r="15003" ht="14.25" customHeight="1" x14ac:dyDescent="0.25"/>
    <row r="15004" ht="14.25" customHeight="1" x14ac:dyDescent="0.25"/>
    <row r="15005" ht="14.25" customHeight="1" x14ac:dyDescent="0.25"/>
    <row r="15006" ht="14.25" customHeight="1" x14ac:dyDescent="0.25"/>
    <row r="15007" ht="14.25" customHeight="1" x14ac:dyDescent="0.25"/>
    <row r="15008" ht="14.25" customHeight="1" x14ac:dyDescent="0.25"/>
    <row r="15009" ht="14.25" customHeight="1" x14ac:dyDescent="0.25"/>
    <row r="15010" ht="14.25" customHeight="1" x14ac:dyDescent="0.25"/>
    <row r="15011" ht="14.25" customHeight="1" x14ac:dyDescent="0.25"/>
    <row r="15012" ht="14.25" customHeight="1" x14ac:dyDescent="0.25"/>
    <row r="15013" ht="14.25" customHeight="1" x14ac:dyDescent="0.25"/>
    <row r="15014" ht="14.25" customHeight="1" x14ac:dyDescent="0.25"/>
    <row r="15015" ht="14.25" customHeight="1" x14ac:dyDescent="0.25"/>
    <row r="15016" ht="14.25" customHeight="1" x14ac:dyDescent="0.25"/>
    <row r="15017" ht="14.25" customHeight="1" x14ac:dyDescent="0.25"/>
    <row r="15018" ht="14.25" customHeight="1" x14ac:dyDescent="0.25"/>
    <row r="15019" ht="14.25" customHeight="1" x14ac:dyDescent="0.25"/>
    <row r="15020" ht="14.25" customHeight="1" x14ac:dyDescent="0.25"/>
    <row r="15021" ht="14.25" customHeight="1" x14ac:dyDescent="0.25"/>
    <row r="15022" ht="14.25" customHeight="1" x14ac:dyDescent="0.25"/>
    <row r="15023" ht="14.25" customHeight="1" x14ac:dyDescent="0.25"/>
    <row r="15024" ht="14.25" customHeight="1" x14ac:dyDescent="0.25"/>
    <row r="15025" ht="14.25" customHeight="1" x14ac:dyDescent="0.25"/>
    <row r="15026" ht="14.25" customHeight="1" x14ac:dyDescent="0.25"/>
    <row r="15027" ht="14.25" customHeight="1" x14ac:dyDescent="0.25"/>
    <row r="15028" ht="14.25" customHeight="1" x14ac:dyDescent="0.25"/>
    <row r="15029" ht="14.25" customHeight="1" x14ac:dyDescent="0.25"/>
    <row r="15030" ht="14.25" customHeight="1" x14ac:dyDescent="0.25"/>
    <row r="15031" ht="14.25" customHeight="1" x14ac:dyDescent="0.25"/>
    <row r="15032" ht="14.25" customHeight="1" x14ac:dyDescent="0.25"/>
    <row r="15033" ht="14.25" customHeight="1" x14ac:dyDescent="0.25"/>
    <row r="15034" ht="14.25" customHeight="1" x14ac:dyDescent="0.25"/>
    <row r="15035" ht="14.25" customHeight="1" x14ac:dyDescent="0.25"/>
    <row r="15036" ht="14.25" customHeight="1" x14ac:dyDescent="0.25"/>
    <row r="15037" ht="14.25" customHeight="1" x14ac:dyDescent="0.25"/>
    <row r="15038" ht="14.25" customHeight="1" x14ac:dyDescent="0.25"/>
    <row r="15039" ht="14.25" customHeight="1" x14ac:dyDescent="0.25"/>
    <row r="15040" ht="14.25" customHeight="1" x14ac:dyDescent="0.25"/>
    <row r="15041" ht="14.25" customHeight="1" x14ac:dyDescent="0.25"/>
    <row r="15042" ht="14.25" customHeight="1" x14ac:dyDescent="0.25"/>
    <row r="15043" ht="14.25" customHeight="1" x14ac:dyDescent="0.25"/>
    <row r="15044" ht="14.25" customHeight="1" x14ac:dyDescent="0.25"/>
    <row r="15045" ht="14.25" customHeight="1" x14ac:dyDescent="0.25"/>
    <row r="15046" ht="14.25" customHeight="1" x14ac:dyDescent="0.25"/>
    <row r="15047" ht="14.25" customHeight="1" x14ac:dyDescent="0.25"/>
    <row r="15048" ht="14.25" customHeight="1" x14ac:dyDescent="0.25"/>
    <row r="15049" ht="14.25" customHeight="1" x14ac:dyDescent="0.25"/>
    <row r="15050" ht="14.25" customHeight="1" x14ac:dyDescent="0.25"/>
    <row r="15051" ht="14.25" customHeight="1" x14ac:dyDescent="0.25"/>
    <row r="15052" ht="14.25" customHeight="1" x14ac:dyDescent="0.25"/>
    <row r="15053" ht="14.25" customHeight="1" x14ac:dyDescent="0.25"/>
    <row r="15054" ht="14.25" customHeight="1" x14ac:dyDescent="0.25"/>
    <row r="15055" ht="14.25" customHeight="1" x14ac:dyDescent="0.25"/>
    <row r="15056" ht="14.25" customHeight="1" x14ac:dyDescent="0.25"/>
    <row r="15057" ht="14.25" customHeight="1" x14ac:dyDescent="0.25"/>
    <row r="15058" ht="14.25" customHeight="1" x14ac:dyDescent="0.25"/>
    <row r="15059" ht="14.25" customHeight="1" x14ac:dyDescent="0.25"/>
    <row r="15060" ht="14.25" customHeight="1" x14ac:dyDescent="0.25"/>
    <row r="15061" ht="14.25" customHeight="1" x14ac:dyDescent="0.25"/>
    <row r="15062" ht="14.25" customHeight="1" x14ac:dyDescent="0.25"/>
    <row r="15063" ht="14.25" customHeight="1" x14ac:dyDescent="0.25"/>
    <row r="15064" ht="14.25" customHeight="1" x14ac:dyDescent="0.25"/>
    <row r="15065" ht="14.25" customHeight="1" x14ac:dyDescent="0.25"/>
    <row r="15066" ht="14.25" customHeight="1" x14ac:dyDescent="0.25"/>
    <row r="15067" ht="14.25" customHeight="1" x14ac:dyDescent="0.25"/>
    <row r="15068" ht="14.25" customHeight="1" x14ac:dyDescent="0.25"/>
    <row r="15069" ht="14.25" customHeight="1" x14ac:dyDescent="0.25"/>
    <row r="15070" ht="14.25" customHeight="1" x14ac:dyDescent="0.25"/>
    <row r="15071" ht="14.25" customHeight="1" x14ac:dyDescent="0.25"/>
    <row r="15072" ht="14.25" customHeight="1" x14ac:dyDescent="0.25"/>
    <row r="15073" ht="14.25" customHeight="1" x14ac:dyDescent="0.25"/>
    <row r="15074" ht="14.25" customHeight="1" x14ac:dyDescent="0.25"/>
    <row r="15075" ht="14.25" customHeight="1" x14ac:dyDescent="0.25"/>
    <row r="15076" ht="14.25" customHeight="1" x14ac:dyDescent="0.25"/>
    <row r="15077" ht="14.25" customHeight="1" x14ac:dyDescent="0.25"/>
    <row r="15078" ht="14.25" customHeight="1" x14ac:dyDescent="0.25"/>
    <row r="15079" ht="14.25" customHeight="1" x14ac:dyDescent="0.25"/>
    <row r="15080" ht="14.25" customHeight="1" x14ac:dyDescent="0.25"/>
    <row r="15081" ht="14.25" customHeight="1" x14ac:dyDescent="0.25"/>
    <row r="15082" ht="14.25" customHeight="1" x14ac:dyDescent="0.25"/>
    <row r="15083" ht="14.25" customHeight="1" x14ac:dyDescent="0.25"/>
    <row r="15084" ht="14.25" customHeight="1" x14ac:dyDescent="0.25"/>
    <row r="15085" ht="14.25" customHeight="1" x14ac:dyDescent="0.25"/>
    <row r="15086" ht="14.25" customHeight="1" x14ac:dyDescent="0.25"/>
    <row r="15087" ht="14.25" customHeight="1" x14ac:dyDescent="0.25"/>
    <row r="15088" ht="14.25" customHeight="1" x14ac:dyDescent="0.25"/>
    <row r="15089" ht="14.25" customHeight="1" x14ac:dyDescent="0.25"/>
    <row r="15090" ht="14.25" customHeight="1" x14ac:dyDescent="0.25"/>
    <row r="15091" ht="14.25" customHeight="1" x14ac:dyDescent="0.25"/>
    <row r="15092" ht="14.25" customHeight="1" x14ac:dyDescent="0.25"/>
    <row r="15093" ht="14.25" customHeight="1" x14ac:dyDescent="0.25"/>
    <row r="15094" ht="14.25" customHeight="1" x14ac:dyDescent="0.25"/>
    <row r="15095" ht="14.25" customHeight="1" x14ac:dyDescent="0.25"/>
    <row r="15096" ht="14.25" customHeight="1" x14ac:dyDescent="0.25"/>
    <row r="15097" ht="14.25" customHeight="1" x14ac:dyDescent="0.25"/>
    <row r="15098" ht="14.25" customHeight="1" x14ac:dyDescent="0.25"/>
    <row r="15099" ht="14.25" customHeight="1" x14ac:dyDescent="0.25"/>
    <row r="15100" ht="14.25" customHeight="1" x14ac:dyDescent="0.25"/>
    <row r="15101" ht="14.25" customHeight="1" x14ac:dyDescent="0.25"/>
    <row r="15102" ht="14.25" customHeight="1" x14ac:dyDescent="0.25"/>
    <row r="15103" ht="14.25" customHeight="1" x14ac:dyDescent="0.25"/>
    <row r="15104" ht="14.25" customHeight="1" x14ac:dyDescent="0.25"/>
    <row r="15105" ht="14.25" customHeight="1" x14ac:dyDescent="0.25"/>
    <row r="15106" ht="14.25" customHeight="1" x14ac:dyDescent="0.25"/>
    <row r="15107" ht="14.25" customHeight="1" x14ac:dyDescent="0.25"/>
    <row r="15108" ht="14.25" customHeight="1" x14ac:dyDescent="0.25"/>
    <row r="15109" ht="14.25" customHeight="1" x14ac:dyDescent="0.25"/>
    <row r="15110" ht="14.25" customHeight="1" x14ac:dyDescent="0.25"/>
    <row r="15111" ht="14.25" customHeight="1" x14ac:dyDescent="0.25"/>
    <row r="15112" ht="14.25" customHeight="1" x14ac:dyDescent="0.25"/>
    <row r="15113" ht="14.25" customHeight="1" x14ac:dyDescent="0.25"/>
    <row r="15114" ht="14.25" customHeight="1" x14ac:dyDescent="0.25"/>
    <row r="15115" ht="14.25" customHeight="1" x14ac:dyDescent="0.25"/>
    <row r="15116" ht="14.25" customHeight="1" x14ac:dyDescent="0.25"/>
    <row r="15117" ht="14.25" customHeight="1" x14ac:dyDescent="0.25"/>
    <row r="15118" ht="14.25" customHeight="1" x14ac:dyDescent="0.25"/>
    <row r="15119" ht="14.25" customHeight="1" x14ac:dyDescent="0.25"/>
    <row r="15120" ht="14.25" customHeight="1" x14ac:dyDescent="0.25"/>
    <row r="15121" ht="14.25" customHeight="1" x14ac:dyDescent="0.25"/>
    <row r="15122" ht="14.25" customHeight="1" x14ac:dyDescent="0.25"/>
    <row r="15123" ht="14.25" customHeight="1" x14ac:dyDescent="0.25"/>
    <row r="15124" ht="14.25" customHeight="1" x14ac:dyDescent="0.25"/>
    <row r="15125" ht="14.25" customHeight="1" x14ac:dyDescent="0.25"/>
    <row r="15126" ht="14.25" customHeight="1" x14ac:dyDescent="0.25"/>
    <row r="15127" ht="14.25" customHeight="1" x14ac:dyDescent="0.25"/>
    <row r="15128" ht="14.25" customHeight="1" x14ac:dyDescent="0.25"/>
    <row r="15129" ht="14.25" customHeight="1" x14ac:dyDescent="0.25"/>
    <row r="15130" ht="14.25" customHeight="1" x14ac:dyDescent="0.25"/>
    <row r="15131" ht="14.25" customHeight="1" x14ac:dyDescent="0.25"/>
    <row r="15132" ht="14.25" customHeight="1" x14ac:dyDescent="0.25"/>
    <row r="15133" ht="14.25" customHeight="1" x14ac:dyDescent="0.25"/>
    <row r="15134" ht="14.25" customHeight="1" x14ac:dyDescent="0.25"/>
    <row r="15135" ht="14.25" customHeight="1" x14ac:dyDescent="0.25"/>
    <row r="15136" ht="14.25" customHeight="1" x14ac:dyDescent="0.25"/>
    <row r="15137" ht="14.25" customHeight="1" x14ac:dyDescent="0.25"/>
    <row r="15138" ht="14.25" customHeight="1" x14ac:dyDescent="0.25"/>
    <row r="15139" ht="14.25" customHeight="1" x14ac:dyDescent="0.25"/>
    <row r="15140" ht="14.25" customHeight="1" x14ac:dyDescent="0.25"/>
    <row r="15141" ht="14.25" customHeight="1" x14ac:dyDescent="0.25"/>
    <row r="15142" ht="14.25" customHeight="1" x14ac:dyDescent="0.25"/>
    <row r="15143" ht="14.25" customHeight="1" x14ac:dyDescent="0.25"/>
    <row r="15144" ht="14.25" customHeight="1" x14ac:dyDescent="0.25"/>
    <row r="15145" ht="14.25" customHeight="1" x14ac:dyDescent="0.25"/>
    <row r="15146" ht="14.25" customHeight="1" x14ac:dyDescent="0.25"/>
    <row r="15147" ht="14.25" customHeight="1" x14ac:dyDescent="0.25"/>
    <row r="15148" ht="14.25" customHeight="1" x14ac:dyDescent="0.25"/>
    <row r="15149" ht="14.25" customHeight="1" x14ac:dyDescent="0.25"/>
    <row r="15150" ht="14.25" customHeight="1" x14ac:dyDescent="0.25"/>
    <row r="15151" ht="14.25" customHeight="1" x14ac:dyDescent="0.25"/>
    <row r="15152" ht="14.25" customHeight="1" x14ac:dyDescent="0.25"/>
    <row r="15153" ht="14.25" customHeight="1" x14ac:dyDescent="0.25"/>
    <row r="15154" ht="14.25" customHeight="1" x14ac:dyDescent="0.25"/>
    <row r="15155" ht="14.25" customHeight="1" x14ac:dyDescent="0.25"/>
    <row r="15156" ht="14.25" customHeight="1" x14ac:dyDescent="0.25"/>
    <row r="15157" ht="14.25" customHeight="1" x14ac:dyDescent="0.25"/>
    <row r="15158" ht="14.25" customHeight="1" x14ac:dyDescent="0.25"/>
    <row r="15159" ht="14.25" customHeight="1" x14ac:dyDescent="0.25"/>
    <row r="15160" ht="14.25" customHeight="1" x14ac:dyDescent="0.25"/>
    <row r="15161" ht="14.25" customHeight="1" x14ac:dyDescent="0.25"/>
    <row r="15162" ht="14.25" customHeight="1" x14ac:dyDescent="0.25"/>
    <row r="15163" ht="14.25" customHeight="1" x14ac:dyDescent="0.25"/>
    <row r="15164" ht="14.25" customHeight="1" x14ac:dyDescent="0.25"/>
    <row r="15165" ht="14.25" customHeight="1" x14ac:dyDescent="0.25"/>
    <row r="15166" ht="14.25" customHeight="1" x14ac:dyDescent="0.25"/>
    <row r="15167" ht="14.25" customHeight="1" x14ac:dyDescent="0.25"/>
    <row r="15168" ht="14.25" customHeight="1" x14ac:dyDescent="0.25"/>
    <row r="15169" ht="14.25" customHeight="1" x14ac:dyDescent="0.25"/>
    <row r="15170" ht="14.25" customHeight="1" x14ac:dyDescent="0.25"/>
    <row r="15171" ht="14.25" customHeight="1" x14ac:dyDescent="0.25"/>
    <row r="15172" ht="14.25" customHeight="1" x14ac:dyDescent="0.25"/>
    <row r="15173" ht="14.25" customHeight="1" x14ac:dyDescent="0.25"/>
    <row r="15174" ht="14.25" customHeight="1" x14ac:dyDescent="0.25"/>
    <row r="15175" ht="14.25" customHeight="1" x14ac:dyDescent="0.25"/>
    <row r="15176" ht="14.25" customHeight="1" x14ac:dyDescent="0.25"/>
    <row r="15177" ht="14.25" customHeight="1" x14ac:dyDescent="0.25"/>
    <row r="15178" ht="14.25" customHeight="1" x14ac:dyDescent="0.25"/>
    <row r="15179" ht="14.25" customHeight="1" x14ac:dyDescent="0.25"/>
    <row r="15180" ht="14.25" customHeight="1" x14ac:dyDescent="0.25"/>
    <row r="15181" ht="14.25" customHeight="1" x14ac:dyDescent="0.25"/>
    <row r="15182" ht="14.25" customHeight="1" x14ac:dyDescent="0.25"/>
    <row r="15183" ht="14.25" customHeight="1" x14ac:dyDescent="0.25"/>
    <row r="15184" ht="14.25" customHeight="1" x14ac:dyDescent="0.25"/>
    <row r="15185" ht="14.25" customHeight="1" x14ac:dyDescent="0.25"/>
    <row r="15186" ht="14.25" customHeight="1" x14ac:dyDescent="0.25"/>
    <row r="15187" ht="14.25" customHeight="1" x14ac:dyDescent="0.25"/>
    <row r="15188" ht="14.25" customHeight="1" x14ac:dyDescent="0.25"/>
    <row r="15189" ht="14.25" customHeight="1" x14ac:dyDescent="0.25"/>
    <row r="15190" ht="14.25" customHeight="1" x14ac:dyDescent="0.25"/>
    <row r="15191" ht="14.25" customHeight="1" x14ac:dyDescent="0.25"/>
    <row r="15192" ht="14.25" customHeight="1" x14ac:dyDescent="0.25"/>
    <row r="15193" ht="14.25" customHeight="1" x14ac:dyDescent="0.25"/>
    <row r="15194" ht="14.25" customHeight="1" x14ac:dyDescent="0.25"/>
    <row r="15195" ht="14.25" customHeight="1" x14ac:dyDescent="0.25"/>
    <row r="15196" ht="14.25" customHeight="1" x14ac:dyDescent="0.25"/>
    <row r="15197" ht="14.25" customHeight="1" x14ac:dyDescent="0.25"/>
    <row r="15198" ht="14.25" customHeight="1" x14ac:dyDescent="0.25"/>
    <row r="15199" ht="14.25" customHeight="1" x14ac:dyDescent="0.25"/>
    <row r="15200" ht="14.25" customHeight="1" x14ac:dyDescent="0.25"/>
    <row r="15201" ht="14.25" customHeight="1" x14ac:dyDescent="0.25"/>
    <row r="15202" ht="14.25" customHeight="1" x14ac:dyDescent="0.25"/>
    <row r="15203" ht="14.25" customHeight="1" x14ac:dyDescent="0.25"/>
    <row r="15204" ht="14.25" customHeight="1" x14ac:dyDescent="0.25"/>
    <row r="15205" ht="14.25" customHeight="1" x14ac:dyDescent="0.25"/>
    <row r="15206" ht="14.25" customHeight="1" x14ac:dyDescent="0.25"/>
    <row r="15207" ht="14.25" customHeight="1" x14ac:dyDescent="0.25"/>
    <row r="15208" ht="14.25" customHeight="1" x14ac:dyDescent="0.25"/>
    <row r="15209" ht="14.25" customHeight="1" x14ac:dyDescent="0.25"/>
    <row r="15210" ht="14.25" customHeight="1" x14ac:dyDescent="0.25"/>
    <row r="15211" ht="14.25" customHeight="1" x14ac:dyDescent="0.25"/>
    <row r="15212" ht="14.25" customHeight="1" x14ac:dyDescent="0.25"/>
    <row r="15213" ht="14.25" customHeight="1" x14ac:dyDescent="0.25"/>
    <row r="15214" ht="14.25" customHeight="1" x14ac:dyDescent="0.25"/>
    <row r="15215" ht="14.25" customHeight="1" x14ac:dyDescent="0.25"/>
    <row r="15216" ht="14.25" customHeight="1" x14ac:dyDescent="0.25"/>
    <row r="15217" ht="14.25" customHeight="1" x14ac:dyDescent="0.25"/>
    <row r="15218" ht="14.25" customHeight="1" x14ac:dyDescent="0.25"/>
    <row r="15219" ht="14.25" customHeight="1" x14ac:dyDescent="0.25"/>
    <row r="15220" ht="14.25" customHeight="1" x14ac:dyDescent="0.25"/>
    <row r="15221" ht="14.25" customHeight="1" x14ac:dyDescent="0.25"/>
    <row r="15222" ht="14.25" customHeight="1" x14ac:dyDescent="0.25"/>
    <row r="15223" ht="14.25" customHeight="1" x14ac:dyDescent="0.25"/>
    <row r="15224" ht="14.25" customHeight="1" x14ac:dyDescent="0.25"/>
    <row r="15225" ht="14.25" customHeight="1" x14ac:dyDescent="0.25"/>
    <row r="15226" ht="14.25" customHeight="1" x14ac:dyDescent="0.25"/>
    <row r="15227" ht="14.25" customHeight="1" x14ac:dyDescent="0.25"/>
    <row r="15228" ht="14.25" customHeight="1" x14ac:dyDescent="0.25"/>
    <row r="15229" ht="14.25" customHeight="1" x14ac:dyDescent="0.25"/>
    <row r="15230" ht="14.25" customHeight="1" x14ac:dyDescent="0.25"/>
    <row r="15231" ht="14.25" customHeight="1" x14ac:dyDescent="0.25"/>
    <row r="15232" ht="14.25" customHeight="1" x14ac:dyDescent="0.25"/>
    <row r="15233" ht="14.25" customHeight="1" x14ac:dyDescent="0.25"/>
    <row r="15234" ht="14.25" customHeight="1" x14ac:dyDescent="0.25"/>
    <row r="15235" ht="14.25" customHeight="1" x14ac:dyDescent="0.25"/>
    <row r="15236" ht="14.25" customHeight="1" x14ac:dyDescent="0.25"/>
    <row r="15237" ht="14.25" customHeight="1" x14ac:dyDescent="0.25"/>
    <row r="15238" ht="14.25" customHeight="1" x14ac:dyDescent="0.25"/>
    <row r="15239" ht="14.25" customHeight="1" x14ac:dyDescent="0.25"/>
    <row r="15240" ht="14.25" customHeight="1" x14ac:dyDescent="0.25"/>
    <row r="15241" ht="14.25" customHeight="1" x14ac:dyDescent="0.25"/>
    <row r="15242" ht="14.25" customHeight="1" x14ac:dyDescent="0.25"/>
    <row r="15243" ht="14.25" customHeight="1" x14ac:dyDescent="0.25"/>
    <row r="15244" ht="14.25" customHeight="1" x14ac:dyDescent="0.25"/>
    <row r="15245" ht="14.25" customHeight="1" x14ac:dyDescent="0.25"/>
    <row r="15246" ht="14.25" customHeight="1" x14ac:dyDescent="0.25"/>
    <row r="15247" ht="14.25" customHeight="1" x14ac:dyDescent="0.25"/>
    <row r="15248" ht="14.25" customHeight="1" x14ac:dyDescent="0.25"/>
    <row r="15249" ht="14.25" customHeight="1" x14ac:dyDescent="0.25"/>
    <row r="15250" ht="14.25" customHeight="1" x14ac:dyDescent="0.25"/>
    <row r="15251" ht="14.25" customHeight="1" x14ac:dyDescent="0.25"/>
    <row r="15252" ht="14.25" customHeight="1" x14ac:dyDescent="0.25"/>
    <row r="15253" ht="14.25" customHeight="1" x14ac:dyDescent="0.25"/>
    <row r="15254" ht="14.25" customHeight="1" x14ac:dyDescent="0.25"/>
    <row r="15255" ht="14.25" customHeight="1" x14ac:dyDescent="0.25"/>
    <row r="15256" ht="14.25" customHeight="1" x14ac:dyDescent="0.25"/>
    <row r="15257" ht="14.25" customHeight="1" x14ac:dyDescent="0.25"/>
    <row r="15258" ht="14.25" customHeight="1" x14ac:dyDescent="0.25"/>
    <row r="15259" ht="14.25" customHeight="1" x14ac:dyDescent="0.25"/>
    <row r="15260" ht="14.25" customHeight="1" x14ac:dyDescent="0.25"/>
    <row r="15261" ht="14.25" customHeight="1" x14ac:dyDescent="0.25"/>
    <row r="15262" ht="14.25" customHeight="1" x14ac:dyDescent="0.25"/>
    <row r="15263" ht="14.25" customHeight="1" x14ac:dyDescent="0.25"/>
    <row r="15264" ht="14.25" customHeight="1" x14ac:dyDescent="0.25"/>
    <row r="15265" ht="14.25" customHeight="1" x14ac:dyDescent="0.25"/>
    <row r="15266" ht="14.25" customHeight="1" x14ac:dyDescent="0.25"/>
    <row r="15267" ht="14.25" customHeight="1" x14ac:dyDescent="0.25"/>
    <row r="15268" ht="14.25" customHeight="1" x14ac:dyDescent="0.25"/>
    <row r="15269" ht="14.25" customHeight="1" x14ac:dyDescent="0.25"/>
    <row r="15270" ht="14.25" customHeight="1" x14ac:dyDescent="0.25"/>
    <row r="15271" ht="14.25" customHeight="1" x14ac:dyDescent="0.25"/>
    <row r="15272" ht="14.25" customHeight="1" x14ac:dyDescent="0.25"/>
    <row r="15273" ht="14.25" customHeight="1" x14ac:dyDescent="0.25"/>
    <row r="15274" ht="14.25" customHeight="1" x14ac:dyDescent="0.25"/>
    <row r="15275" ht="14.25" customHeight="1" x14ac:dyDescent="0.25"/>
    <row r="15276" ht="14.25" customHeight="1" x14ac:dyDescent="0.25"/>
    <row r="15277" ht="14.25" customHeight="1" x14ac:dyDescent="0.25"/>
    <row r="15278" ht="14.25" customHeight="1" x14ac:dyDescent="0.25"/>
    <row r="15279" ht="14.25" customHeight="1" x14ac:dyDescent="0.25"/>
    <row r="15280" ht="14.25" customHeight="1" x14ac:dyDescent="0.25"/>
    <row r="15281" ht="14.25" customHeight="1" x14ac:dyDescent="0.25"/>
    <row r="15282" ht="14.25" customHeight="1" x14ac:dyDescent="0.25"/>
    <row r="15283" ht="14.25" customHeight="1" x14ac:dyDescent="0.25"/>
    <row r="15284" ht="14.25" customHeight="1" x14ac:dyDescent="0.25"/>
    <row r="15285" ht="14.25" customHeight="1" x14ac:dyDescent="0.25"/>
    <row r="15286" ht="14.25" customHeight="1" x14ac:dyDescent="0.25"/>
    <row r="15287" ht="14.25" customHeight="1" x14ac:dyDescent="0.25"/>
    <row r="15288" ht="14.25" customHeight="1" x14ac:dyDescent="0.25"/>
    <row r="15289" ht="14.25" customHeight="1" x14ac:dyDescent="0.25"/>
    <row r="15290" ht="14.25" customHeight="1" x14ac:dyDescent="0.25"/>
    <row r="15291" ht="14.25" customHeight="1" x14ac:dyDescent="0.25"/>
    <row r="15292" ht="14.25" customHeight="1" x14ac:dyDescent="0.25"/>
    <row r="15293" ht="14.25" customHeight="1" x14ac:dyDescent="0.25"/>
    <row r="15294" ht="14.25" customHeight="1" x14ac:dyDescent="0.25"/>
    <row r="15295" ht="14.25" customHeight="1" x14ac:dyDescent="0.25"/>
    <row r="15296" ht="14.25" customHeight="1" x14ac:dyDescent="0.25"/>
    <row r="15297" ht="14.25" customHeight="1" x14ac:dyDescent="0.25"/>
    <row r="15298" ht="14.25" customHeight="1" x14ac:dyDescent="0.25"/>
    <row r="15299" ht="14.25" customHeight="1" x14ac:dyDescent="0.25"/>
    <row r="15300" ht="14.25" customHeight="1" x14ac:dyDescent="0.25"/>
    <row r="15301" ht="14.25" customHeight="1" x14ac:dyDescent="0.25"/>
    <row r="15302" ht="14.25" customHeight="1" x14ac:dyDescent="0.25"/>
    <row r="15303" ht="14.25" customHeight="1" x14ac:dyDescent="0.25"/>
    <row r="15304" ht="14.25" customHeight="1" x14ac:dyDescent="0.25"/>
    <row r="15305" ht="14.25" customHeight="1" x14ac:dyDescent="0.25"/>
    <row r="15306" ht="14.25" customHeight="1" x14ac:dyDescent="0.25"/>
    <row r="15307" ht="14.25" customHeight="1" x14ac:dyDescent="0.25"/>
    <row r="15308" ht="14.25" customHeight="1" x14ac:dyDescent="0.25"/>
    <row r="15309" ht="14.25" customHeight="1" x14ac:dyDescent="0.25"/>
    <row r="15310" ht="14.25" customHeight="1" x14ac:dyDescent="0.25"/>
    <row r="15311" ht="14.25" customHeight="1" x14ac:dyDescent="0.25"/>
    <row r="15312" ht="14.25" customHeight="1" x14ac:dyDescent="0.25"/>
    <row r="15313" ht="14.25" customHeight="1" x14ac:dyDescent="0.25"/>
    <row r="15314" ht="14.25" customHeight="1" x14ac:dyDescent="0.25"/>
    <row r="15315" ht="14.25" customHeight="1" x14ac:dyDescent="0.25"/>
    <row r="15316" ht="14.25" customHeight="1" x14ac:dyDescent="0.25"/>
    <row r="15317" ht="14.25" customHeight="1" x14ac:dyDescent="0.25"/>
    <row r="15318" ht="14.25" customHeight="1" x14ac:dyDescent="0.25"/>
    <row r="15319" ht="14.25" customHeight="1" x14ac:dyDescent="0.25"/>
    <row r="15320" ht="14.25" customHeight="1" x14ac:dyDescent="0.25"/>
    <row r="15321" ht="14.25" customHeight="1" x14ac:dyDescent="0.25"/>
    <row r="15322" ht="14.25" customHeight="1" x14ac:dyDescent="0.25"/>
    <row r="15323" ht="14.25" customHeight="1" x14ac:dyDescent="0.25"/>
    <row r="15324" ht="14.25" customHeight="1" x14ac:dyDescent="0.25"/>
    <row r="15325" ht="14.25" customHeight="1" x14ac:dyDescent="0.25"/>
    <row r="15326" ht="14.25" customHeight="1" x14ac:dyDescent="0.25"/>
    <row r="15327" ht="14.25" customHeight="1" x14ac:dyDescent="0.25"/>
    <row r="15328" ht="14.25" customHeight="1" x14ac:dyDescent="0.25"/>
    <row r="15329" ht="14.25" customHeight="1" x14ac:dyDescent="0.25"/>
    <row r="15330" ht="14.25" customHeight="1" x14ac:dyDescent="0.25"/>
    <row r="15331" ht="14.25" customHeight="1" x14ac:dyDescent="0.25"/>
    <row r="15332" ht="14.25" customHeight="1" x14ac:dyDescent="0.25"/>
    <row r="15333" ht="14.25" customHeight="1" x14ac:dyDescent="0.25"/>
    <row r="15334" ht="14.25" customHeight="1" x14ac:dyDescent="0.25"/>
    <row r="15335" ht="14.25" customHeight="1" x14ac:dyDescent="0.25"/>
    <row r="15336" ht="14.25" customHeight="1" x14ac:dyDescent="0.25"/>
    <row r="15337" ht="14.25" customHeight="1" x14ac:dyDescent="0.25"/>
    <row r="15338" ht="14.25" customHeight="1" x14ac:dyDescent="0.25"/>
    <row r="15339" ht="14.25" customHeight="1" x14ac:dyDescent="0.25"/>
    <row r="15340" ht="14.25" customHeight="1" x14ac:dyDescent="0.25"/>
    <row r="15341" ht="14.25" customHeight="1" x14ac:dyDescent="0.25"/>
    <row r="15342" ht="14.25" customHeight="1" x14ac:dyDescent="0.25"/>
    <row r="15343" ht="14.25" customHeight="1" x14ac:dyDescent="0.25"/>
    <row r="15344" ht="14.25" customHeight="1" x14ac:dyDescent="0.25"/>
    <row r="15345" ht="14.25" customHeight="1" x14ac:dyDescent="0.25"/>
    <row r="15346" ht="14.25" customHeight="1" x14ac:dyDescent="0.25"/>
    <row r="15347" ht="14.25" customHeight="1" x14ac:dyDescent="0.25"/>
    <row r="15348" ht="14.25" customHeight="1" x14ac:dyDescent="0.25"/>
    <row r="15349" ht="14.25" customHeight="1" x14ac:dyDescent="0.25"/>
    <row r="15350" ht="14.25" customHeight="1" x14ac:dyDescent="0.25"/>
    <row r="15351" ht="14.25" customHeight="1" x14ac:dyDescent="0.25"/>
    <row r="15352" ht="14.25" customHeight="1" x14ac:dyDescent="0.25"/>
    <row r="15353" ht="14.25" customHeight="1" x14ac:dyDescent="0.25"/>
    <row r="15354" ht="14.25" customHeight="1" x14ac:dyDescent="0.25"/>
    <row r="15355" ht="14.25" customHeight="1" x14ac:dyDescent="0.25"/>
    <row r="15356" ht="14.25" customHeight="1" x14ac:dyDescent="0.25"/>
    <row r="15357" ht="14.25" customHeight="1" x14ac:dyDescent="0.25"/>
    <row r="15358" ht="14.25" customHeight="1" x14ac:dyDescent="0.25"/>
    <row r="15359" ht="14.25" customHeight="1" x14ac:dyDescent="0.25"/>
    <row r="15360" ht="14.25" customHeight="1" x14ac:dyDescent="0.25"/>
    <row r="15361" ht="14.25" customHeight="1" x14ac:dyDescent="0.25"/>
    <row r="15362" ht="14.25" customHeight="1" x14ac:dyDescent="0.25"/>
    <row r="15363" ht="14.25" customHeight="1" x14ac:dyDescent="0.25"/>
    <row r="15364" ht="14.25" customHeight="1" x14ac:dyDescent="0.25"/>
    <row r="15365" ht="14.25" customHeight="1" x14ac:dyDescent="0.25"/>
    <row r="15366" ht="14.25" customHeight="1" x14ac:dyDescent="0.25"/>
    <row r="15367" ht="14.25" customHeight="1" x14ac:dyDescent="0.25"/>
    <row r="15368" ht="14.25" customHeight="1" x14ac:dyDescent="0.25"/>
    <row r="15369" ht="14.25" customHeight="1" x14ac:dyDescent="0.25"/>
    <row r="15370" ht="14.25" customHeight="1" x14ac:dyDescent="0.25"/>
    <row r="15371" ht="14.25" customHeight="1" x14ac:dyDescent="0.25"/>
    <row r="15372" ht="14.25" customHeight="1" x14ac:dyDescent="0.25"/>
    <row r="15373" ht="14.25" customHeight="1" x14ac:dyDescent="0.25"/>
    <row r="15374" ht="14.25" customHeight="1" x14ac:dyDescent="0.25"/>
    <row r="15375" ht="14.25" customHeight="1" x14ac:dyDescent="0.25"/>
    <row r="15376" ht="14.25" customHeight="1" x14ac:dyDescent="0.25"/>
    <row r="15377" ht="14.25" customHeight="1" x14ac:dyDescent="0.25"/>
    <row r="15378" ht="14.25" customHeight="1" x14ac:dyDescent="0.25"/>
    <row r="15379" ht="14.25" customHeight="1" x14ac:dyDescent="0.25"/>
    <row r="15380" ht="14.25" customHeight="1" x14ac:dyDescent="0.25"/>
    <row r="15381" ht="14.25" customHeight="1" x14ac:dyDescent="0.25"/>
    <row r="15382" ht="14.25" customHeight="1" x14ac:dyDescent="0.25"/>
    <row r="15383" ht="14.25" customHeight="1" x14ac:dyDescent="0.25"/>
    <row r="15384" ht="14.25" customHeight="1" x14ac:dyDescent="0.25"/>
    <row r="15385" ht="14.25" customHeight="1" x14ac:dyDescent="0.25"/>
    <row r="15386" ht="14.25" customHeight="1" x14ac:dyDescent="0.25"/>
    <row r="15387" ht="14.25" customHeight="1" x14ac:dyDescent="0.25"/>
    <row r="15388" ht="14.25" customHeight="1" x14ac:dyDescent="0.25"/>
    <row r="15389" ht="14.25" customHeight="1" x14ac:dyDescent="0.25"/>
    <row r="15390" ht="14.25" customHeight="1" x14ac:dyDescent="0.25"/>
    <row r="15391" ht="14.25" customHeight="1" x14ac:dyDescent="0.25"/>
    <row r="15392" ht="14.25" customHeight="1" x14ac:dyDescent="0.25"/>
    <row r="15393" ht="14.25" customHeight="1" x14ac:dyDescent="0.25"/>
    <row r="15394" ht="14.25" customHeight="1" x14ac:dyDescent="0.25"/>
    <row r="15395" ht="14.25" customHeight="1" x14ac:dyDescent="0.25"/>
    <row r="15396" ht="14.25" customHeight="1" x14ac:dyDescent="0.25"/>
    <row r="15397" ht="14.25" customHeight="1" x14ac:dyDescent="0.25"/>
    <row r="15398" ht="14.25" customHeight="1" x14ac:dyDescent="0.25"/>
    <row r="15399" ht="14.25" customHeight="1" x14ac:dyDescent="0.25"/>
    <row r="15400" ht="14.25" customHeight="1" x14ac:dyDescent="0.25"/>
    <row r="15401" ht="14.25" customHeight="1" x14ac:dyDescent="0.25"/>
    <row r="15402" ht="14.25" customHeight="1" x14ac:dyDescent="0.25"/>
    <row r="15403" ht="14.25" customHeight="1" x14ac:dyDescent="0.25"/>
    <row r="15404" ht="14.25" customHeight="1" x14ac:dyDescent="0.25"/>
    <row r="15405" ht="14.25" customHeight="1" x14ac:dyDescent="0.25"/>
    <row r="15406" ht="14.25" customHeight="1" x14ac:dyDescent="0.25"/>
    <row r="15407" ht="14.25" customHeight="1" x14ac:dyDescent="0.25"/>
    <row r="15408" ht="14.25" customHeight="1" x14ac:dyDescent="0.25"/>
    <row r="15409" ht="14.25" customHeight="1" x14ac:dyDescent="0.25"/>
    <row r="15410" ht="14.25" customHeight="1" x14ac:dyDescent="0.25"/>
    <row r="15411" ht="14.25" customHeight="1" x14ac:dyDescent="0.25"/>
    <row r="15412" ht="14.25" customHeight="1" x14ac:dyDescent="0.25"/>
    <row r="15413" ht="14.25" customHeight="1" x14ac:dyDescent="0.25"/>
    <row r="15414" ht="14.25" customHeight="1" x14ac:dyDescent="0.25"/>
    <row r="15415" ht="14.25" customHeight="1" x14ac:dyDescent="0.25"/>
    <row r="15416" ht="14.25" customHeight="1" x14ac:dyDescent="0.25"/>
    <row r="15417" ht="14.25" customHeight="1" x14ac:dyDescent="0.25"/>
    <row r="15418" ht="14.25" customHeight="1" x14ac:dyDescent="0.25"/>
    <row r="15419" ht="14.25" customHeight="1" x14ac:dyDescent="0.25"/>
    <row r="15420" ht="14.25" customHeight="1" x14ac:dyDescent="0.25"/>
    <row r="15421" ht="14.25" customHeight="1" x14ac:dyDescent="0.25"/>
    <row r="15422" ht="14.25" customHeight="1" x14ac:dyDescent="0.25"/>
    <row r="15423" ht="14.25" customHeight="1" x14ac:dyDescent="0.25"/>
    <row r="15424" ht="14.25" customHeight="1" x14ac:dyDescent="0.25"/>
    <row r="15425" ht="14.25" customHeight="1" x14ac:dyDescent="0.25"/>
    <row r="15426" ht="14.25" customHeight="1" x14ac:dyDescent="0.25"/>
    <row r="15427" ht="14.25" customHeight="1" x14ac:dyDescent="0.25"/>
    <row r="15428" ht="14.25" customHeight="1" x14ac:dyDescent="0.25"/>
    <row r="15429" ht="14.25" customHeight="1" x14ac:dyDescent="0.25"/>
    <row r="15430" ht="14.25" customHeight="1" x14ac:dyDescent="0.25"/>
    <row r="15431" ht="14.25" customHeight="1" x14ac:dyDescent="0.25"/>
    <row r="15432" ht="14.25" customHeight="1" x14ac:dyDescent="0.25"/>
    <row r="15433" ht="14.25" customHeight="1" x14ac:dyDescent="0.25"/>
    <row r="15434" ht="14.25" customHeight="1" x14ac:dyDescent="0.25"/>
    <row r="15435" ht="14.25" customHeight="1" x14ac:dyDescent="0.25"/>
    <row r="15436" ht="14.25" customHeight="1" x14ac:dyDescent="0.25"/>
    <row r="15437" ht="14.25" customHeight="1" x14ac:dyDescent="0.25"/>
    <row r="15438" ht="14.25" customHeight="1" x14ac:dyDescent="0.25"/>
    <row r="15439" ht="14.25" customHeight="1" x14ac:dyDescent="0.25"/>
    <row r="15440" ht="14.25" customHeight="1" x14ac:dyDescent="0.25"/>
    <row r="15441" ht="14.25" customHeight="1" x14ac:dyDescent="0.25"/>
    <row r="15442" ht="14.25" customHeight="1" x14ac:dyDescent="0.25"/>
    <row r="15443" ht="14.25" customHeight="1" x14ac:dyDescent="0.25"/>
    <row r="15444" ht="14.25" customHeight="1" x14ac:dyDescent="0.25"/>
    <row r="15445" ht="14.25" customHeight="1" x14ac:dyDescent="0.25"/>
    <row r="15446" ht="14.25" customHeight="1" x14ac:dyDescent="0.25"/>
    <row r="15447" ht="14.25" customHeight="1" x14ac:dyDescent="0.25"/>
    <row r="15448" ht="14.25" customHeight="1" x14ac:dyDescent="0.25"/>
    <row r="15449" ht="14.25" customHeight="1" x14ac:dyDescent="0.25"/>
    <row r="15450" ht="14.25" customHeight="1" x14ac:dyDescent="0.25"/>
    <row r="15451" ht="14.25" customHeight="1" x14ac:dyDescent="0.25"/>
    <row r="15452" ht="14.25" customHeight="1" x14ac:dyDescent="0.25"/>
    <row r="15453" ht="14.25" customHeight="1" x14ac:dyDescent="0.25"/>
    <row r="15454" ht="14.25" customHeight="1" x14ac:dyDescent="0.25"/>
    <row r="15455" ht="14.25" customHeight="1" x14ac:dyDescent="0.25"/>
    <row r="15456" ht="14.25" customHeight="1" x14ac:dyDescent="0.25"/>
    <row r="15457" ht="14.25" customHeight="1" x14ac:dyDescent="0.25"/>
    <row r="15458" ht="14.25" customHeight="1" x14ac:dyDescent="0.25"/>
    <row r="15459" ht="14.25" customHeight="1" x14ac:dyDescent="0.25"/>
    <row r="15460" ht="14.25" customHeight="1" x14ac:dyDescent="0.25"/>
    <row r="15461" ht="14.25" customHeight="1" x14ac:dyDescent="0.25"/>
    <row r="15462" ht="14.25" customHeight="1" x14ac:dyDescent="0.25"/>
    <row r="15463" ht="14.25" customHeight="1" x14ac:dyDescent="0.25"/>
    <row r="15464" ht="14.25" customHeight="1" x14ac:dyDescent="0.25"/>
    <row r="15465" ht="14.25" customHeight="1" x14ac:dyDescent="0.25"/>
    <row r="15466" ht="14.25" customHeight="1" x14ac:dyDescent="0.25"/>
    <row r="15467" ht="14.25" customHeight="1" x14ac:dyDescent="0.25"/>
    <row r="15468" ht="14.25" customHeight="1" x14ac:dyDescent="0.25"/>
    <row r="15469" ht="14.25" customHeight="1" x14ac:dyDescent="0.25"/>
    <row r="15470" ht="14.25" customHeight="1" x14ac:dyDescent="0.25"/>
    <row r="15471" ht="14.25" customHeight="1" x14ac:dyDescent="0.25"/>
    <row r="15472" ht="14.25" customHeight="1" x14ac:dyDescent="0.25"/>
    <row r="15473" ht="14.25" customHeight="1" x14ac:dyDescent="0.25"/>
    <row r="15474" ht="14.25" customHeight="1" x14ac:dyDescent="0.25"/>
    <row r="15475" ht="14.25" customHeight="1" x14ac:dyDescent="0.25"/>
    <row r="15476" ht="14.25" customHeight="1" x14ac:dyDescent="0.25"/>
    <row r="15477" ht="14.25" customHeight="1" x14ac:dyDescent="0.25"/>
    <row r="15478" ht="14.25" customHeight="1" x14ac:dyDescent="0.25"/>
    <row r="15479" ht="14.25" customHeight="1" x14ac:dyDescent="0.25"/>
    <row r="15480" ht="14.25" customHeight="1" x14ac:dyDescent="0.25"/>
    <row r="15481" ht="14.25" customHeight="1" x14ac:dyDescent="0.25"/>
    <row r="15482" ht="14.25" customHeight="1" x14ac:dyDescent="0.25"/>
    <row r="15483" ht="14.25" customHeight="1" x14ac:dyDescent="0.25"/>
    <row r="15484" ht="14.25" customHeight="1" x14ac:dyDescent="0.25"/>
    <row r="15485" ht="14.25" customHeight="1" x14ac:dyDescent="0.25"/>
    <row r="15486" ht="14.25" customHeight="1" x14ac:dyDescent="0.25"/>
    <row r="15487" ht="14.25" customHeight="1" x14ac:dyDescent="0.25"/>
    <row r="15488" ht="14.25" customHeight="1" x14ac:dyDescent="0.25"/>
    <row r="15489" ht="14.25" customHeight="1" x14ac:dyDescent="0.25"/>
    <row r="15490" ht="14.25" customHeight="1" x14ac:dyDescent="0.25"/>
    <row r="15491" ht="14.25" customHeight="1" x14ac:dyDescent="0.25"/>
    <row r="15492" ht="14.25" customHeight="1" x14ac:dyDescent="0.25"/>
    <row r="15493" ht="14.25" customHeight="1" x14ac:dyDescent="0.25"/>
    <row r="15494" ht="14.25" customHeight="1" x14ac:dyDescent="0.25"/>
    <row r="15495" ht="14.25" customHeight="1" x14ac:dyDescent="0.25"/>
    <row r="15496" ht="14.25" customHeight="1" x14ac:dyDescent="0.25"/>
    <row r="15497" ht="14.25" customHeight="1" x14ac:dyDescent="0.25"/>
    <row r="15498" ht="14.25" customHeight="1" x14ac:dyDescent="0.25"/>
    <row r="15499" ht="14.25" customHeight="1" x14ac:dyDescent="0.25"/>
    <row r="15500" ht="14.25" customHeight="1" x14ac:dyDescent="0.25"/>
    <row r="15501" ht="14.25" customHeight="1" x14ac:dyDescent="0.25"/>
    <row r="15502" ht="14.25" customHeight="1" x14ac:dyDescent="0.25"/>
    <row r="15503" ht="14.25" customHeight="1" x14ac:dyDescent="0.25"/>
    <row r="15504" ht="14.25" customHeight="1" x14ac:dyDescent="0.25"/>
    <row r="15505" ht="14.25" customHeight="1" x14ac:dyDescent="0.25"/>
    <row r="15506" ht="14.25" customHeight="1" x14ac:dyDescent="0.25"/>
    <row r="15507" ht="14.25" customHeight="1" x14ac:dyDescent="0.25"/>
    <row r="15508" ht="14.25" customHeight="1" x14ac:dyDescent="0.25"/>
    <row r="15509" ht="14.25" customHeight="1" x14ac:dyDescent="0.25"/>
    <row r="15510" ht="14.25" customHeight="1" x14ac:dyDescent="0.25"/>
    <row r="15511" ht="14.25" customHeight="1" x14ac:dyDescent="0.25"/>
    <row r="15512" ht="14.25" customHeight="1" x14ac:dyDescent="0.25"/>
    <row r="15513" ht="14.25" customHeight="1" x14ac:dyDescent="0.25"/>
    <row r="15514" ht="14.25" customHeight="1" x14ac:dyDescent="0.25"/>
    <row r="15515" ht="14.25" customHeight="1" x14ac:dyDescent="0.25"/>
    <row r="15516" ht="14.25" customHeight="1" x14ac:dyDescent="0.25"/>
    <row r="15517" ht="14.25" customHeight="1" x14ac:dyDescent="0.25"/>
    <row r="15518" ht="14.25" customHeight="1" x14ac:dyDescent="0.25"/>
    <row r="15519" ht="14.25" customHeight="1" x14ac:dyDescent="0.25"/>
    <row r="15520" ht="14.25" customHeight="1" x14ac:dyDescent="0.25"/>
    <row r="15521" ht="14.25" customHeight="1" x14ac:dyDescent="0.25"/>
    <row r="15522" ht="14.25" customHeight="1" x14ac:dyDescent="0.25"/>
    <row r="15523" ht="14.25" customHeight="1" x14ac:dyDescent="0.25"/>
    <row r="15524" ht="14.25" customHeight="1" x14ac:dyDescent="0.25"/>
    <row r="15525" ht="14.25" customHeight="1" x14ac:dyDescent="0.25"/>
    <row r="15526" ht="14.25" customHeight="1" x14ac:dyDescent="0.25"/>
    <row r="15527" ht="14.25" customHeight="1" x14ac:dyDescent="0.25"/>
    <row r="15528" ht="14.25" customHeight="1" x14ac:dyDescent="0.25"/>
    <row r="15529" ht="14.25" customHeight="1" x14ac:dyDescent="0.25"/>
    <row r="15530" ht="14.25" customHeight="1" x14ac:dyDescent="0.25"/>
    <row r="15531" ht="14.25" customHeight="1" x14ac:dyDescent="0.25"/>
    <row r="15532" ht="14.25" customHeight="1" x14ac:dyDescent="0.25"/>
    <row r="15533" ht="14.25" customHeight="1" x14ac:dyDescent="0.25"/>
    <row r="15534" ht="14.25" customHeight="1" x14ac:dyDescent="0.25"/>
    <row r="15535" ht="14.25" customHeight="1" x14ac:dyDescent="0.25"/>
    <row r="15536" ht="14.25" customHeight="1" x14ac:dyDescent="0.25"/>
    <row r="15537" ht="14.25" customHeight="1" x14ac:dyDescent="0.25"/>
    <row r="15538" ht="14.25" customHeight="1" x14ac:dyDescent="0.25"/>
    <row r="15539" ht="14.25" customHeight="1" x14ac:dyDescent="0.25"/>
    <row r="15540" ht="14.25" customHeight="1" x14ac:dyDescent="0.25"/>
    <row r="15541" ht="14.25" customHeight="1" x14ac:dyDescent="0.25"/>
    <row r="15542" ht="14.25" customHeight="1" x14ac:dyDescent="0.25"/>
    <row r="15543" ht="14.25" customHeight="1" x14ac:dyDescent="0.25"/>
    <row r="15544" ht="14.25" customHeight="1" x14ac:dyDescent="0.25"/>
    <row r="15545" ht="14.25" customHeight="1" x14ac:dyDescent="0.25"/>
    <row r="15546" ht="14.25" customHeight="1" x14ac:dyDescent="0.25"/>
    <row r="15547" ht="14.25" customHeight="1" x14ac:dyDescent="0.25"/>
    <row r="15548" ht="14.25" customHeight="1" x14ac:dyDescent="0.25"/>
    <row r="15549" ht="14.25" customHeight="1" x14ac:dyDescent="0.25"/>
    <row r="15550" ht="14.25" customHeight="1" x14ac:dyDescent="0.25"/>
    <row r="15551" ht="14.25" customHeight="1" x14ac:dyDescent="0.25"/>
    <row r="15552" ht="14.25" customHeight="1" x14ac:dyDescent="0.25"/>
    <row r="15553" ht="14.25" customHeight="1" x14ac:dyDescent="0.25"/>
    <row r="15554" ht="14.25" customHeight="1" x14ac:dyDescent="0.25"/>
    <row r="15555" ht="14.25" customHeight="1" x14ac:dyDescent="0.25"/>
    <row r="15556" ht="14.25" customHeight="1" x14ac:dyDescent="0.25"/>
    <row r="15557" ht="14.25" customHeight="1" x14ac:dyDescent="0.25"/>
    <row r="15558" ht="14.25" customHeight="1" x14ac:dyDescent="0.25"/>
    <row r="15559" ht="14.25" customHeight="1" x14ac:dyDescent="0.25"/>
    <row r="15560" ht="14.25" customHeight="1" x14ac:dyDescent="0.25"/>
    <row r="15561" ht="14.25" customHeight="1" x14ac:dyDescent="0.25"/>
    <row r="15562" ht="14.25" customHeight="1" x14ac:dyDescent="0.25"/>
    <row r="15563" ht="14.25" customHeight="1" x14ac:dyDescent="0.25"/>
    <row r="15564" ht="14.25" customHeight="1" x14ac:dyDescent="0.25"/>
    <row r="15565" ht="14.25" customHeight="1" x14ac:dyDescent="0.25"/>
    <row r="15566" ht="14.25" customHeight="1" x14ac:dyDescent="0.25"/>
    <row r="15567" ht="14.25" customHeight="1" x14ac:dyDescent="0.25"/>
    <row r="15568" ht="14.25" customHeight="1" x14ac:dyDescent="0.25"/>
    <row r="15569" ht="14.25" customHeight="1" x14ac:dyDescent="0.25"/>
    <row r="15570" ht="14.25" customHeight="1" x14ac:dyDescent="0.25"/>
    <row r="15571" ht="14.25" customHeight="1" x14ac:dyDescent="0.25"/>
    <row r="15572" ht="14.25" customHeight="1" x14ac:dyDescent="0.25"/>
    <row r="15573" ht="14.25" customHeight="1" x14ac:dyDescent="0.25"/>
    <row r="15574" ht="14.25" customHeight="1" x14ac:dyDescent="0.25"/>
    <row r="15575" ht="14.25" customHeight="1" x14ac:dyDescent="0.25"/>
    <row r="15576" ht="14.25" customHeight="1" x14ac:dyDescent="0.25"/>
    <row r="15577" ht="14.25" customHeight="1" x14ac:dyDescent="0.25"/>
    <row r="15578" ht="14.25" customHeight="1" x14ac:dyDescent="0.25"/>
    <row r="15579" ht="14.25" customHeight="1" x14ac:dyDescent="0.25"/>
    <row r="15580" ht="14.25" customHeight="1" x14ac:dyDescent="0.25"/>
    <row r="15581" ht="14.25" customHeight="1" x14ac:dyDescent="0.25"/>
    <row r="15582" ht="14.25" customHeight="1" x14ac:dyDescent="0.25"/>
    <row r="15583" ht="14.25" customHeight="1" x14ac:dyDescent="0.25"/>
    <row r="15584" ht="14.25" customHeight="1" x14ac:dyDescent="0.25"/>
    <row r="15585" ht="14.25" customHeight="1" x14ac:dyDescent="0.25"/>
    <row r="15586" ht="14.25" customHeight="1" x14ac:dyDescent="0.25"/>
    <row r="15587" ht="14.25" customHeight="1" x14ac:dyDescent="0.25"/>
    <row r="15588" ht="14.25" customHeight="1" x14ac:dyDescent="0.25"/>
    <row r="15589" ht="14.25" customHeight="1" x14ac:dyDescent="0.25"/>
    <row r="15590" ht="14.25" customHeight="1" x14ac:dyDescent="0.25"/>
    <row r="15591" ht="14.25" customHeight="1" x14ac:dyDescent="0.25"/>
    <row r="15592" ht="14.25" customHeight="1" x14ac:dyDescent="0.25"/>
    <row r="15593" ht="14.25" customHeight="1" x14ac:dyDescent="0.25"/>
    <row r="15594" ht="14.25" customHeight="1" x14ac:dyDescent="0.25"/>
    <row r="15595" ht="14.25" customHeight="1" x14ac:dyDescent="0.25"/>
    <row r="15596" ht="14.25" customHeight="1" x14ac:dyDescent="0.25"/>
    <row r="15597" ht="14.25" customHeight="1" x14ac:dyDescent="0.25"/>
    <row r="15598" ht="14.25" customHeight="1" x14ac:dyDescent="0.25"/>
    <row r="15599" ht="14.25" customHeight="1" x14ac:dyDescent="0.25"/>
    <row r="15600" ht="14.25" customHeight="1" x14ac:dyDescent="0.25"/>
    <row r="15601" ht="14.25" customHeight="1" x14ac:dyDescent="0.25"/>
    <row r="15602" ht="14.25" customHeight="1" x14ac:dyDescent="0.25"/>
    <row r="15603" ht="14.25" customHeight="1" x14ac:dyDescent="0.25"/>
    <row r="15604" ht="14.25" customHeight="1" x14ac:dyDescent="0.25"/>
    <row r="15605" ht="14.25" customHeight="1" x14ac:dyDescent="0.25"/>
    <row r="15606" ht="14.25" customHeight="1" x14ac:dyDescent="0.25"/>
    <row r="15607" ht="14.25" customHeight="1" x14ac:dyDescent="0.25"/>
    <row r="15608" ht="14.25" customHeight="1" x14ac:dyDescent="0.25"/>
    <row r="15609" ht="14.25" customHeight="1" x14ac:dyDescent="0.25"/>
    <row r="15610" ht="14.25" customHeight="1" x14ac:dyDescent="0.25"/>
    <row r="15611" ht="14.25" customHeight="1" x14ac:dyDescent="0.25"/>
    <row r="15612" ht="14.25" customHeight="1" x14ac:dyDescent="0.25"/>
    <row r="15613" ht="14.25" customHeight="1" x14ac:dyDescent="0.25"/>
    <row r="15614" ht="14.25" customHeight="1" x14ac:dyDescent="0.25"/>
    <row r="15615" ht="14.25" customHeight="1" x14ac:dyDescent="0.25"/>
    <row r="15616" ht="14.25" customHeight="1" x14ac:dyDescent="0.25"/>
    <row r="15617" ht="14.25" customHeight="1" x14ac:dyDescent="0.25"/>
    <row r="15618" ht="14.25" customHeight="1" x14ac:dyDescent="0.25"/>
    <row r="15619" ht="14.25" customHeight="1" x14ac:dyDescent="0.25"/>
    <row r="15620" ht="14.25" customHeight="1" x14ac:dyDescent="0.25"/>
    <row r="15621" ht="14.25" customHeight="1" x14ac:dyDescent="0.25"/>
    <row r="15622" ht="14.25" customHeight="1" x14ac:dyDescent="0.25"/>
    <row r="15623" ht="14.25" customHeight="1" x14ac:dyDescent="0.25"/>
    <row r="15624" ht="14.25" customHeight="1" x14ac:dyDescent="0.25"/>
    <row r="15625" ht="14.25" customHeight="1" x14ac:dyDescent="0.25"/>
    <row r="15626" ht="14.25" customHeight="1" x14ac:dyDescent="0.25"/>
    <row r="15627" ht="14.25" customHeight="1" x14ac:dyDescent="0.25"/>
    <row r="15628" ht="14.25" customHeight="1" x14ac:dyDescent="0.25"/>
    <row r="15629" ht="14.25" customHeight="1" x14ac:dyDescent="0.25"/>
    <row r="15630" ht="14.25" customHeight="1" x14ac:dyDescent="0.25"/>
    <row r="15631" ht="14.25" customHeight="1" x14ac:dyDescent="0.25"/>
    <row r="15632" ht="14.25" customHeight="1" x14ac:dyDescent="0.25"/>
    <row r="15633" ht="14.25" customHeight="1" x14ac:dyDescent="0.25"/>
    <row r="15634" ht="14.25" customHeight="1" x14ac:dyDescent="0.25"/>
    <row r="15635" ht="14.25" customHeight="1" x14ac:dyDescent="0.25"/>
    <row r="15636" ht="14.25" customHeight="1" x14ac:dyDescent="0.25"/>
    <row r="15637" ht="14.25" customHeight="1" x14ac:dyDescent="0.25"/>
    <row r="15638" ht="14.25" customHeight="1" x14ac:dyDescent="0.25"/>
    <row r="15639" ht="14.25" customHeight="1" x14ac:dyDescent="0.25"/>
    <row r="15640" ht="14.25" customHeight="1" x14ac:dyDescent="0.25"/>
    <row r="15641" ht="14.25" customHeight="1" x14ac:dyDescent="0.25"/>
    <row r="15642" ht="14.25" customHeight="1" x14ac:dyDescent="0.25"/>
    <row r="15643" ht="14.25" customHeight="1" x14ac:dyDescent="0.25"/>
    <row r="15644" ht="14.25" customHeight="1" x14ac:dyDescent="0.25"/>
    <row r="15645" ht="14.25" customHeight="1" x14ac:dyDescent="0.25"/>
    <row r="15646" ht="14.25" customHeight="1" x14ac:dyDescent="0.25"/>
    <row r="15647" ht="14.25" customHeight="1" x14ac:dyDescent="0.25"/>
    <row r="15648" ht="14.25" customHeight="1" x14ac:dyDescent="0.25"/>
    <row r="15649" ht="14.25" customHeight="1" x14ac:dyDescent="0.25"/>
    <row r="15650" ht="14.25" customHeight="1" x14ac:dyDescent="0.25"/>
    <row r="15651" ht="14.25" customHeight="1" x14ac:dyDescent="0.25"/>
    <row r="15652" ht="14.25" customHeight="1" x14ac:dyDescent="0.25"/>
    <row r="15653" ht="14.25" customHeight="1" x14ac:dyDescent="0.25"/>
    <row r="15654" ht="14.25" customHeight="1" x14ac:dyDescent="0.25"/>
    <row r="15655" ht="14.25" customHeight="1" x14ac:dyDescent="0.25"/>
    <row r="15656" ht="14.25" customHeight="1" x14ac:dyDescent="0.25"/>
    <row r="15657" ht="14.25" customHeight="1" x14ac:dyDescent="0.25"/>
    <row r="15658" ht="14.25" customHeight="1" x14ac:dyDescent="0.25"/>
    <row r="15659" ht="14.25" customHeight="1" x14ac:dyDescent="0.25"/>
    <row r="15660" ht="14.25" customHeight="1" x14ac:dyDescent="0.25"/>
    <row r="15661" ht="14.25" customHeight="1" x14ac:dyDescent="0.25"/>
    <row r="15662" ht="14.25" customHeight="1" x14ac:dyDescent="0.25"/>
    <row r="15663" ht="14.25" customHeight="1" x14ac:dyDescent="0.25"/>
    <row r="15664" ht="14.25" customHeight="1" x14ac:dyDescent="0.25"/>
    <row r="15665" ht="14.25" customHeight="1" x14ac:dyDescent="0.25"/>
    <row r="15666" ht="14.25" customHeight="1" x14ac:dyDescent="0.25"/>
    <row r="15667" ht="14.25" customHeight="1" x14ac:dyDescent="0.25"/>
    <row r="15668" ht="14.25" customHeight="1" x14ac:dyDescent="0.25"/>
    <row r="15669" ht="14.25" customHeight="1" x14ac:dyDescent="0.25"/>
    <row r="15670" ht="14.25" customHeight="1" x14ac:dyDescent="0.25"/>
    <row r="15671" ht="14.25" customHeight="1" x14ac:dyDescent="0.25"/>
    <row r="15672" ht="14.25" customHeight="1" x14ac:dyDescent="0.25"/>
    <row r="15673" ht="14.25" customHeight="1" x14ac:dyDescent="0.25"/>
    <row r="15674" ht="14.25" customHeight="1" x14ac:dyDescent="0.25"/>
    <row r="15675" ht="14.25" customHeight="1" x14ac:dyDescent="0.25"/>
    <row r="15676" ht="14.25" customHeight="1" x14ac:dyDescent="0.25"/>
    <row r="15677" ht="14.25" customHeight="1" x14ac:dyDescent="0.25"/>
    <row r="15678" ht="14.25" customHeight="1" x14ac:dyDescent="0.25"/>
    <row r="15679" ht="14.25" customHeight="1" x14ac:dyDescent="0.25"/>
    <row r="15680" ht="14.25" customHeight="1" x14ac:dyDescent="0.25"/>
    <row r="15681" ht="14.25" customHeight="1" x14ac:dyDescent="0.25"/>
    <row r="15682" ht="14.25" customHeight="1" x14ac:dyDescent="0.25"/>
    <row r="15683" ht="14.25" customHeight="1" x14ac:dyDescent="0.25"/>
    <row r="15684" ht="14.25" customHeight="1" x14ac:dyDescent="0.25"/>
    <row r="15685" ht="14.25" customHeight="1" x14ac:dyDescent="0.25"/>
    <row r="15686" ht="14.25" customHeight="1" x14ac:dyDescent="0.25"/>
    <row r="15687" ht="14.25" customHeight="1" x14ac:dyDescent="0.25"/>
    <row r="15688" ht="14.25" customHeight="1" x14ac:dyDescent="0.25"/>
    <row r="15689" ht="14.25" customHeight="1" x14ac:dyDescent="0.25"/>
    <row r="15690" ht="14.25" customHeight="1" x14ac:dyDescent="0.25"/>
    <row r="15691" ht="14.25" customHeight="1" x14ac:dyDescent="0.25"/>
    <row r="15692" ht="14.25" customHeight="1" x14ac:dyDescent="0.25"/>
    <row r="15693" ht="14.25" customHeight="1" x14ac:dyDescent="0.25"/>
    <row r="15694" ht="14.25" customHeight="1" x14ac:dyDescent="0.25"/>
    <row r="15695" ht="14.25" customHeight="1" x14ac:dyDescent="0.25"/>
    <row r="15696" ht="14.25" customHeight="1" x14ac:dyDescent="0.25"/>
    <row r="15697" ht="14.25" customHeight="1" x14ac:dyDescent="0.25"/>
    <row r="15698" ht="14.25" customHeight="1" x14ac:dyDescent="0.25"/>
    <row r="15699" ht="14.25" customHeight="1" x14ac:dyDescent="0.25"/>
    <row r="15700" ht="14.25" customHeight="1" x14ac:dyDescent="0.25"/>
    <row r="15701" ht="14.25" customHeight="1" x14ac:dyDescent="0.25"/>
    <row r="15702" ht="14.25" customHeight="1" x14ac:dyDescent="0.25"/>
    <row r="15703" ht="14.25" customHeight="1" x14ac:dyDescent="0.25"/>
    <row r="15704" ht="14.25" customHeight="1" x14ac:dyDescent="0.25"/>
    <row r="15705" ht="14.25" customHeight="1" x14ac:dyDescent="0.25"/>
    <row r="15706" ht="14.25" customHeight="1" x14ac:dyDescent="0.25"/>
    <row r="15707" ht="14.25" customHeight="1" x14ac:dyDescent="0.25"/>
    <row r="15708" ht="14.25" customHeight="1" x14ac:dyDescent="0.25"/>
    <row r="15709" ht="14.25" customHeight="1" x14ac:dyDescent="0.25"/>
    <row r="15710" ht="14.25" customHeight="1" x14ac:dyDescent="0.25"/>
    <row r="15711" ht="14.25" customHeight="1" x14ac:dyDescent="0.25"/>
    <row r="15712" ht="14.25" customHeight="1" x14ac:dyDescent="0.25"/>
    <row r="15713" ht="14.25" customHeight="1" x14ac:dyDescent="0.25"/>
    <row r="15714" ht="14.25" customHeight="1" x14ac:dyDescent="0.25"/>
    <row r="15715" ht="14.25" customHeight="1" x14ac:dyDescent="0.25"/>
    <row r="15716" ht="14.25" customHeight="1" x14ac:dyDescent="0.25"/>
    <row r="15717" ht="14.25" customHeight="1" x14ac:dyDescent="0.25"/>
    <row r="15718" ht="14.25" customHeight="1" x14ac:dyDescent="0.25"/>
    <row r="15719" ht="14.25" customHeight="1" x14ac:dyDescent="0.25"/>
    <row r="15720" ht="14.25" customHeight="1" x14ac:dyDescent="0.25"/>
    <row r="15721" ht="14.25" customHeight="1" x14ac:dyDescent="0.25"/>
    <row r="15722" ht="14.25" customHeight="1" x14ac:dyDescent="0.25"/>
    <row r="15723" ht="14.25" customHeight="1" x14ac:dyDescent="0.25"/>
    <row r="15724" ht="14.25" customHeight="1" x14ac:dyDescent="0.25"/>
    <row r="15725" ht="14.25" customHeight="1" x14ac:dyDescent="0.25"/>
    <row r="15726" ht="14.25" customHeight="1" x14ac:dyDescent="0.25"/>
    <row r="15727" ht="14.25" customHeight="1" x14ac:dyDescent="0.25"/>
    <row r="15728" ht="14.25" customHeight="1" x14ac:dyDescent="0.25"/>
    <row r="15729" ht="14.25" customHeight="1" x14ac:dyDescent="0.25"/>
    <row r="15730" ht="14.25" customHeight="1" x14ac:dyDescent="0.25"/>
    <row r="15731" ht="14.25" customHeight="1" x14ac:dyDescent="0.25"/>
    <row r="15732" ht="14.25" customHeight="1" x14ac:dyDescent="0.25"/>
    <row r="15733" ht="14.25" customHeight="1" x14ac:dyDescent="0.25"/>
    <row r="15734" ht="14.25" customHeight="1" x14ac:dyDescent="0.25"/>
    <row r="15735" ht="14.25" customHeight="1" x14ac:dyDescent="0.25"/>
    <row r="15736" ht="14.25" customHeight="1" x14ac:dyDescent="0.25"/>
    <row r="15737" ht="14.25" customHeight="1" x14ac:dyDescent="0.25"/>
    <row r="15738" ht="14.25" customHeight="1" x14ac:dyDescent="0.25"/>
    <row r="15739" ht="14.25" customHeight="1" x14ac:dyDescent="0.25"/>
    <row r="15740" ht="14.25" customHeight="1" x14ac:dyDescent="0.25"/>
    <row r="15741" ht="14.25" customHeight="1" x14ac:dyDescent="0.25"/>
    <row r="15742" ht="14.25" customHeight="1" x14ac:dyDescent="0.25"/>
    <row r="15743" ht="14.25" customHeight="1" x14ac:dyDescent="0.25"/>
    <row r="15744" ht="14.25" customHeight="1" x14ac:dyDescent="0.25"/>
    <row r="15745" ht="14.25" customHeight="1" x14ac:dyDescent="0.25"/>
    <row r="15746" ht="14.25" customHeight="1" x14ac:dyDescent="0.25"/>
    <row r="15747" ht="14.25" customHeight="1" x14ac:dyDescent="0.25"/>
    <row r="15748" ht="14.25" customHeight="1" x14ac:dyDescent="0.25"/>
    <row r="15749" ht="14.25" customHeight="1" x14ac:dyDescent="0.25"/>
    <row r="15750" ht="14.25" customHeight="1" x14ac:dyDescent="0.25"/>
    <row r="15751" ht="14.25" customHeight="1" x14ac:dyDescent="0.25"/>
    <row r="15752" ht="14.25" customHeight="1" x14ac:dyDescent="0.25"/>
    <row r="15753" ht="14.25" customHeight="1" x14ac:dyDescent="0.25"/>
    <row r="15754" ht="14.25" customHeight="1" x14ac:dyDescent="0.25"/>
    <row r="15755" ht="14.25" customHeight="1" x14ac:dyDescent="0.25"/>
    <row r="15756" ht="14.25" customHeight="1" x14ac:dyDescent="0.25"/>
    <row r="15757" ht="14.25" customHeight="1" x14ac:dyDescent="0.25"/>
    <row r="15758" ht="14.25" customHeight="1" x14ac:dyDescent="0.25"/>
    <row r="15759" ht="14.25" customHeight="1" x14ac:dyDescent="0.25"/>
    <row r="15760" ht="14.25" customHeight="1" x14ac:dyDescent="0.25"/>
    <row r="15761" ht="14.25" customHeight="1" x14ac:dyDescent="0.25"/>
    <row r="15762" ht="14.25" customHeight="1" x14ac:dyDescent="0.25"/>
    <row r="15763" ht="14.25" customHeight="1" x14ac:dyDescent="0.25"/>
    <row r="15764" ht="14.25" customHeight="1" x14ac:dyDescent="0.25"/>
    <row r="15765" ht="14.25" customHeight="1" x14ac:dyDescent="0.25"/>
    <row r="15766" ht="14.25" customHeight="1" x14ac:dyDescent="0.25"/>
    <row r="15767" ht="14.25" customHeight="1" x14ac:dyDescent="0.25"/>
    <row r="15768" ht="14.25" customHeight="1" x14ac:dyDescent="0.25"/>
    <row r="15769" ht="14.25" customHeight="1" x14ac:dyDescent="0.25"/>
    <row r="15770" ht="14.25" customHeight="1" x14ac:dyDescent="0.25"/>
    <row r="15771" ht="14.25" customHeight="1" x14ac:dyDescent="0.25"/>
    <row r="15772" ht="14.25" customHeight="1" x14ac:dyDescent="0.25"/>
    <row r="15773" ht="14.25" customHeight="1" x14ac:dyDescent="0.25"/>
    <row r="15774" ht="14.25" customHeight="1" x14ac:dyDescent="0.25"/>
    <row r="15775" ht="14.25" customHeight="1" x14ac:dyDescent="0.25"/>
    <row r="15776" ht="14.25" customHeight="1" x14ac:dyDescent="0.25"/>
    <row r="15777" ht="14.25" customHeight="1" x14ac:dyDescent="0.25"/>
    <row r="15778" ht="14.25" customHeight="1" x14ac:dyDescent="0.25"/>
    <row r="15779" ht="14.25" customHeight="1" x14ac:dyDescent="0.25"/>
    <row r="15780" ht="14.25" customHeight="1" x14ac:dyDescent="0.25"/>
    <row r="15781" ht="14.25" customHeight="1" x14ac:dyDescent="0.25"/>
    <row r="15782" ht="14.25" customHeight="1" x14ac:dyDescent="0.25"/>
    <row r="15783" ht="14.25" customHeight="1" x14ac:dyDescent="0.25"/>
    <row r="15784" ht="14.25" customHeight="1" x14ac:dyDescent="0.25"/>
    <row r="15785" ht="14.25" customHeight="1" x14ac:dyDescent="0.25"/>
    <row r="15786" ht="14.25" customHeight="1" x14ac:dyDescent="0.25"/>
    <row r="15787" ht="14.25" customHeight="1" x14ac:dyDescent="0.25"/>
    <row r="15788" ht="14.25" customHeight="1" x14ac:dyDescent="0.25"/>
    <row r="15789" ht="14.25" customHeight="1" x14ac:dyDescent="0.25"/>
    <row r="15790" ht="14.25" customHeight="1" x14ac:dyDescent="0.25"/>
    <row r="15791" ht="14.25" customHeight="1" x14ac:dyDescent="0.25"/>
    <row r="15792" ht="14.25" customHeight="1" x14ac:dyDescent="0.25"/>
    <row r="15793" ht="14.25" customHeight="1" x14ac:dyDescent="0.25"/>
    <row r="15794" ht="14.25" customHeight="1" x14ac:dyDescent="0.25"/>
    <row r="15795" ht="14.25" customHeight="1" x14ac:dyDescent="0.25"/>
    <row r="15796" ht="14.25" customHeight="1" x14ac:dyDescent="0.25"/>
    <row r="15797" ht="14.25" customHeight="1" x14ac:dyDescent="0.25"/>
    <row r="15798" ht="14.25" customHeight="1" x14ac:dyDescent="0.25"/>
    <row r="15799" ht="14.25" customHeight="1" x14ac:dyDescent="0.25"/>
    <row r="15800" ht="14.25" customHeight="1" x14ac:dyDescent="0.25"/>
    <row r="15801" ht="14.25" customHeight="1" x14ac:dyDescent="0.25"/>
    <row r="15802" ht="14.25" customHeight="1" x14ac:dyDescent="0.25"/>
    <row r="15803" ht="14.25" customHeight="1" x14ac:dyDescent="0.25"/>
    <row r="15804" ht="14.25" customHeight="1" x14ac:dyDescent="0.25"/>
    <row r="15805" ht="14.25" customHeight="1" x14ac:dyDescent="0.25"/>
    <row r="15806" ht="14.25" customHeight="1" x14ac:dyDescent="0.25"/>
    <row r="15807" ht="14.25" customHeight="1" x14ac:dyDescent="0.25"/>
    <row r="15808" ht="14.25" customHeight="1" x14ac:dyDescent="0.25"/>
    <row r="15809" ht="14.25" customHeight="1" x14ac:dyDescent="0.25"/>
    <row r="15810" ht="14.25" customHeight="1" x14ac:dyDescent="0.25"/>
    <row r="15811" ht="14.25" customHeight="1" x14ac:dyDescent="0.25"/>
    <row r="15812" ht="14.25" customHeight="1" x14ac:dyDescent="0.25"/>
    <row r="15813" ht="14.25" customHeight="1" x14ac:dyDescent="0.25"/>
    <row r="15814" ht="14.25" customHeight="1" x14ac:dyDescent="0.25"/>
    <row r="15815" ht="14.25" customHeight="1" x14ac:dyDescent="0.25"/>
    <row r="15816" ht="14.25" customHeight="1" x14ac:dyDescent="0.25"/>
    <row r="15817" ht="14.25" customHeight="1" x14ac:dyDescent="0.25"/>
    <row r="15818" ht="14.25" customHeight="1" x14ac:dyDescent="0.25"/>
    <row r="15819" ht="14.25" customHeight="1" x14ac:dyDescent="0.25"/>
    <row r="15820" ht="14.25" customHeight="1" x14ac:dyDescent="0.25"/>
    <row r="15821" ht="14.25" customHeight="1" x14ac:dyDescent="0.25"/>
    <row r="15822" ht="14.25" customHeight="1" x14ac:dyDescent="0.25"/>
    <row r="15823" ht="14.25" customHeight="1" x14ac:dyDescent="0.25"/>
    <row r="15824" ht="14.25" customHeight="1" x14ac:dyDescent="0.25"/>
    <row r="15825" ht="14.25" customHeight="1" x14ac:dyDescent="0.25"/>
    <row r="15826" ht="14.25" customHeight="1" x14ac:dyDescent="0.25"/>
    <row r="15827" ht="14.25" customHeight="1" x14ac:dyDescent="0.25"/>
    <row r="15828" ht="14.25" customHeight="1" x14ac:dyDescent="0.25"/>
    <row r="15829" ht="14.25" customHeight="1" x14ac:dyDescent="0.25"/>
    <row r="15830" ht="14.25" customHeight="1" x14ac:dyDescent="0.25"/>
    <row r="15831" ht="14.25" customHeight="1" x14ac:dyDescent="0.25"/>
    <row r="15832" ht="14.25" customHeight="1" x14ac:dyDescent="0.25"/>
    <row r="15833" ht="14.25" customHeight="1" x14ac:dyDescent="0.25"/>
    <row r="15834" ht="14.25" customHeight="1" x14ac:dyDescent="0.25"/>
    <row r="15835" ht="14.25" customHeight="1" x14ac:dyDescent="0.25"/>
    <row r="15836" ht="14.25" customHeight="1" x14ac:dyDescent="0.25"/>
    <row r="15837" ht="14.25" customHeight="1" x14ac:dyDescent="0.25"/>
    <row r="15838" ht="14.25" customHeight="1" x14ac:dyDescent="0.25"/>
    <row r="15839" ht="14.25" customHeight="1" x14ac:dyDescent="0.25"/>
    <row r="15840" ht="14.25" customHeight="1" x14ac:dyDescent="0.25"/>
    <row r="15841" ht="14.25" customHeight="1" x14ac:dyDescent="0.25"/>
    <row r="15842" ht="14.25" customHeight="1" x14ac:dyDescent="0.25"/>
    <row r="15843" ht="14.25" customHeight="1" x14ac:dyDescent="0.25"/>
    <row r="15844" ht="14.25" customHeight="1" x14ac:dyDescent="0.25"/>
    <row r="15845" ht="14.25" customHeight="1" x14ac:dyDescent="0.25"/>
    <row r="15846" ht="14.25" customHeight="1" x14ac:dyDescent="0.25"/>
    <row r="15847" ht="14.25" customHeight="1" x14ac:dyDescent="0.25"/>
    <row r="15848" ht="14.25" customHeight="1" x14ac:dyDescent="0.25"/>
    <row r="15849" ht="14.25" customHeight="1" x14ac:dyDescent="0.25"/>
    <row r="15850" ht="14.25" customHeight="1" x14ac:dyDescent="0.25"/>
    <row r="15851" ht="14.25" customHeight="1" x14ac:dyDescent="0.25"/>
    <row r="15852" ht="14.25" customHeight="1" x14ac:dyDescent="0.25"/>
    <row r="15853" ht="14.25" customHeight="1" x14ac:dyDescent="0.25"/>
    <row r="15854" ht="14.25" customHeight="1" x14ac:dyDescent="0.25"/>
    <row r="15855" ht="14.25" customHeight="1" x14ac:dyDescent="0.25"/>
    <row r="15856" ht="14.25" customHeight="1" x14ac:dyDescent="0.25"/>
    <row r="15857" ht="14.25" customHeight="1" x14ac:dyDescent="0.25"/>
    <row r="15858" ht="14.25" customHeight="1" x14ac:dyDescent="0.25"/>
    <row r="15859" ht="14.25" customHeight="1" x14ac:dyDescent="0.25"/>
    <row r="15860" ht="14.25" customHeight="1" x14ac:dyDescent="0.25"/>
    <row r="15861" ht="14.25" customHeight="1" x14ac:dyDescent="0.25"/>
    <row r="15862" ht="14.25" customHeight="1" x14ac:dyDescent="0.25"/>
    <row r="15863" ht="14.25" customHeight="1" x14ac:dyDescent="0.25"/>
    <row r="15864" ht="14.25" customHeight="1" x14ac:dyDescent="0.25"/>
    <row r="15865" ht="14.25" customHeight="1" x14ac:dyDescent="0.25"/>
    <row r="15866" ht="14.25" customHeight="1" x14ac:dyDescent="0.25"/>
    <row r="15867" ht="14.25" customHeight="1" x14ac:dyDescent="0.25"/>
    <row r="15868" ht="14.25" customHeight="1" x14ac:dyDescent="0.25"/>
    <row r="15869" ht="14.25" customHeight="1" x14ac:dyDescent="0.25"/>
    <row r="15870" ht="14.25" customHeight="1" x14ac:dyDescent="0.25"/>
    <row r="15871" ht="14.25" customHeight="1" x14ac:dyDescent="0.25"/>
    <row r="15872" ht="14.25" customHeight="1" x14ac:dyDescent="0.25"/>
    <row r="15873" ht="14.25" customHeight="1" x14ac:dyDescent="0.25"/>
    <row r="15874" ht="14.25" customHeight="1" x14ac:dyDescent="0.25"/>
    <row r="15875" ht="14.25" customHeight="1" x14ac:dyDescent="0.25"/>
    <row r="15876" ht="14.25" customHeight="1" x14ac:dyDescent="0.25"/>
    <row r="15877" ht="14.25" customHeight="1" x14ac:dyDescent="0.25"/>
    <row r="15878" ht="14.25" customHeight="1" x14ac:dyDescent="0.25"/>
    <row r="15879" ht="14.25" customHeight="1" x14ac:dyDescent="0.25"/>
    <row r="15880" ht="14.25" customHeight="1" x14ac:dyDescent="0.25"/>
    <row r="15881" ht="14.25" customHeight="1" x14ac:dyDescent="0.25"/>
    <row r="15882" ht="14.25" customHeight="1" x14ac:dyDescent="0.25"/>
    <row r="15883" ht="14.25" customHeight="1" x14ac:dyDescent="0.25"/>
    <row r="15884" ht="14.25" customHeight="1" x14ac:dyDescent="0.25"/>
    <row r="15885" ht="14.25" customHeight="1" x14ac:dyDescent="0.25"/>
    <row r="15886" ht="14.25" customHeight="1" x14ac:dyDescent="0.25"/>
    <row r="15887" ht="14.25" customHeight="1" x14ac:dyDescent="0.25"/>
    <row r="15888" ht="14.25" customHeight="1" x14ac:dyDescent="0.25"/>
    <row r="15889" ht="14.25" customHeight="1" x14ac:dyDescent="0.25"/>
    <row r="15890" ht="14.25" customHeight="1" x14ac:dyDescent="0.25"/>
    <row r="15891" ht="14.25" customHeight="1" x14ac:dyDescent="0.25"/>
    <row r="15892" ht="14.25" customHeight="1" x14ac:dyDescent="0.25"/>
    <row r="15893" ht="14.25" customHeight="1" x14ac:dyDescent="0.25"/>
    <row r="15894" ht="14.25" customHeight="1" x14ac:dyDescent="0.25"/>
    <row r="15895" ht="14.25" customHeight="1" x14ac:dyDescent="0.25"/>
    <row r="15896" ht="14.25" customHeight="1" x14ac:dyDescent="0.25"/>
    <row r="15897" ht="14.25" customHeight="1" x14ac:dyDescent="0.25"/>
    <row r="15898" ht="14.25" customHeight="1" x14ac:dyDescent="0.25"/>
    <row r="15899" ht="14.25" customHeight="1" x14ac:dyDescent="0.25"/>
    <row r="15900" ht="14.25" customHeight="1" x14ac:dyDescent="0.25"/>
    <row r="15901" ht="14.25" customHeight="1" x14ac:dyDescent="0.25"/>
    <row r="15902" ht="14.25" customHeight="1" x14ac:dyDescent="0.25"/>
    <row r="15903" ht="14.25" customHeight="1" x14ac:dyDescent="0.25"/>
    <row r="15904" ht="14.25" customHeight="1" x14ac:dyDescent="0.25"/>
    <row r="15905" ht="14.25" customHeight="1" x14ac:dyDescent="0.25"/>
    <row r="15906" ht="14.25" customHeight="1" x14ac:dyDescent="0.25"/>
    <row r="15907" ht="14.25" customHeight="1" x14ac:dyDescent="0.25"/>
    <row r="15908" ht="14.25" customHeight="1" x14ac:dyDescent="0.25"/>
    <row r="15909" ht="14.25" customHeight="1" x14ac:dyDescent="0.25"/>
    <row r="15910" ht="14.25" customHeight="1" x14ac:dyDescent="0.25"/>
    <row r="15911" ht="14.25" customHeight="1" x14ac:dyDescent="0.25"/>
    <row r="15912" ht="14.25" customHeight="1" x14ac:dyDescent="0.25"/>
    <row r="15913" ht="14.25" customHeight="1" x14ac:dyDescent="0.25"/>
    <row r="15914" ht="14.25" customHeight="1" x14ac:dyDescent="0.25"/>
    <row r="15915" ht="14.25" customHeight="1" x14ac:dyDescent="0.25"/>
    <row r="15916" ht="14.25" customHeight="1" x14ac:dyDescent="0.25"/>
    <row r="15917" ht="14.25" customHeight="1" x14ac:dyDescent="0.25"/>
    <row r="15918" ht="14.25" customHeight="1" x14ac:dyDescent="0.25"/>
    <row r="15919" ht="14.25" customHeight="1" x14ac:dyDescent="0.25"/>
    <row r="15920" ht="14.25" customHeight="1" x14ac:dyDescent="0.25"/>
    <row r="15921" ht="14.25" customHeight="1" x14ac:dyDescent="0.25"/>
    <row r="15922" ht="14.25" customHeight="1" x14ac:dyDescent="0.25"/>
    <row r="15923" ht="14.25" customHeight="1" x14ac:dyDescent="0.25"/>
    <row r="15924" ht="14.25" customHeight="1" x14ac:dyDescent="0.25"/>
    <row r="15925" ht="14.25" customHeight="1" x14ac:dyDescent="0.25"/>
    <row r="15926" ht="14.25" customHeight="1" x14ac:dyDescent="0.25"/>
    <row r="15927" ht="14.25" customHeight="1" x14ac:dyDescent="0.25"/>
    <row r="15928" ht="14.25" customHeight="1" x14ac:dyDescent="0.25"/>
    <row r="15929" ht="14.25" customHeight="1" x14ac:dyDescent="0.25"/>
    <row r="15930" ht="14.25" customHeight="1" x14ac:dyDescent="0.25"/>
    <row r="15931" ht="14.25" customHeight="1" x14ac:dyDescent="0.25"/>
    <row r="15932" ht="14.25" customHeight="1" x14ac:dyDescent="0.25"/>
    <row r="15933" ht="14.25" customHeight="1" x14ac:dyDescent="0.25"/>
    <row r="15934" ht="14.25" customHeight="1" x14ac:dyDescent="0.25"/>
    <row r="15935" ht="14.25" customHeight="1" x14ac:dyDescent="0.25"/>
    <row r="15936" ht="14.25" customHeight="1" x14ac:dyDescent="0.25"/>
    <row r="15937" ht="14.25" customHeight="1" x14ac:dyDescent="0.25"/>
    <row r="15938" ht="14.25" customHeight="1" x14ac:dyDescent="0.25"/>
    <row r="15939" ht="14.25" customHeight="1" x14ac:dyDescent="0.25"/>
    <row r="15940" ht="14.25" customHeight="1" x14ac:dyDescent="0.25"/>
    <row r="15941" ht="14.25" customHeight="1" x14ac:dyDescent="0.25"/>
    <row r="15942" ht="14.25" customHeight="1" x14ac:dyDescent="0.25"/>
    <row r="15943" ht="14.25" customHeight="1" x14ac:dyDescent="0.25"/>
    <row r="15944" ht="14.25" customHeight="1" x14ac:dyDescent="0.25"/>
    <row r="15945" ht="14.25" customHeight="1" x14ac:dyDescent="0.25"/>
    <row r="15946" ht="14.25" customHeight="1" x14ac:dyDescent="0.25"/>
    <row r="15947" ht="14.25" customHeight="1" x14ac:dyDescent="0.25"/>
    <row r="15948" ht="14.25" customHeight="1" x14ac:dyDescent="0.25"/>
    <row r="15949" ht="14.25" customHeight="1" x14ac:dyDescent="0.25"/>
    <row r="15950" ht="14.25" customHeight="1" x14ac:dyDescent="0.25"/>
    <row r="15951" ht="14.25" customHeight="1" x14ac:dyDescent="0.25"/>
    <row r="15952" ht="14.25" customHeight="1" x14ac:dyDescent="0.25"/>
    <row r="15953" ht="14.25" customHeight="1" x14ac:dyDescent="0.25"/>
    <row r="15954" ht="14.25" customHeight="1" x14ac:dyDescent="0.25"/>
    <row r="15955" ht="14.25" customHeight="1" x14ac:dyDescent="0.25"/>
    <row r="15956" ht="14.25" customHeight="1" x14ac:dyDescent="0.25"/>
    <row r="15957" ht="14.25" customHeight="1" x14ac:dyDescent="0.25"/>
    <row r="15958" ht="14.25" customHeight="1" x14ac:dyDescent="0.25"/>
    <row r="15959" ht="14.25" customHeight="1" x14ac:dyDescent="0.25"/>
    <row r="15960" ht="14.25" customHeight="1" x14ac:dyDescent="0.25"/>
    <row r="15961" ht="14.25" customHeight="1" x14ac:dyDescent="0.25"/>
    <row r="15962" ht="14.25" customHeight="1" x14ac:dyDescent="0.25"/>
    <row r="15963" ht="14.25" customHeight="1" x14ac:dyDescent="0.25"/>
    <row r="15964" ht="14.25" customHeight="1" x14ac:dyDescent="0.25"/>
    <row r="15965" ht="14.25" customHeight="1" x14ac:dyDescent="0.25"/>
    <row r="15966" ht="14.25" customHeight="1" x14ac:dyDescent="0.25"/>
    <row r="15967" ht="14.25" customHeight="1" x14ac:dyDescent="0.25"/>
    <row r="15968" ht="14.25" customHeight="1" x14ac:dyDescent="0.25"/>
    <row r="15969" ht="14.25" customHeight="1" x14ac:dyDescent="0.25"/>
    <row r="15970" ht="14.25" customHeight="1" x14ac:dyDescent="0.25"/>
    <row r="15971" ht="14.25" customHeight="1" x14ac:dyDescent="0.25"/>
    <row r="15972" ht="14.25" customHeight="1" x14ac:dyDescent="0.25"/>
    <row r="15973" ht="14.25" customHeight="1" x14ac:dyDescent="0.25"/>
    <row r="15974" ht="14.25" customHeight="1" x14ac:dyDescent="0.25"/>
    <row r="15975" ht="14.25" customHeight="1" x14ac:dyDescent="0.25"/>
    <row r="15976" ht="14.25" customHeight="1" x14ac:dyDescent="0.25"/>
    <row r="15977" ht="14.25" customHeight="1" x14ac:dyDescent="0.25"/>
    <row r="15978" ht="14.25" customHeight="1" x14ac:dyDescent="0.25"/>
    <row r="15979" ht="14.25" customHeight="1" x14ac:dyDescent="0.25"/>
    <row r="15980" ht="14.25" customHeight="1" x14ac:dyDescent="0.25"/>
    <row r="15981" ht="14.25" customHeight="1" x14ac:dyDescent="0.25"/>
    <row r="15982" ht="14.25" customHeight="1" x14ac:dyDescent="0.25"/>
    <row r="15983" ht="14.25" customHeight="1" x14ac:dyDescent="0.25"/>
    <row r="15984" ht="14.25" customHeight="1" x14ac:dyDescent="0.25"/>
    <row r="15985" ht="14.25" customHeight="1" x14ac:dyDescent="0.25"/>
    <row r="15986" ht="14.25" customHeight="1" x14ac:dyDescent="0.25"/>
    <row r="15987" ht="14.25" customHeight="1" x14ac:dyDescent="0.25"/>
    <row r="15988" ht="14.25" customHeight="1" x14ac:dyDescent="0.25"/>
    <row r="15989" ht="14.25" customHeight="1" x14ac:dyDescent="0.25"/>
    <row r="15990" ht="14.25" customHeight="1" x14ac:dyDescent="0.25"/>
    <row r="15991" ht="14.25" customHeight="1" x14ac:dyDescent="0.25"/>
    <row r="15992" ht="14.25" customHeight="1" x14ac:dyDescent="0.25"/>
    <row r="15993" ht="14.25" customHeight="1" x14ac:dyDescent="0.25"/>
    <row r="15994" ht="14.25" customHeight="1" x14ac:dyDescent="0.25"/>
    <row r="15995" ht="14.25" customHeight="1" x14ac:dyDescent="0.25"/>
    <row r="15996" ht="14.25" customHeight="1" x14ac:dyDescent="0.25"/>
    <row r="15997" ht="14.25" customHeight="1" x14ac:dyDescent="0.25"/>
    <row r="15998" ht="14.25" customHeight="1" x14ac:dyDescent="0.25"/>
    <row r="15999" ht="14.25" customHeight="1" x14ac:dyDescent="0.25"/>
    <row r="16000" ht="14.25" customHeight="1" x14ac:dyDescent="0.25"/>
    <row r="16001" ht="14.25" customHeight="1" x14ac:dyDescent="0.25"/>
    <row r="16002" ht="14.25" customHeight="1" x14ac:dyDescent="0.25"/>
    <row r="16003" ht="14.25" customHeight="1" x14ac:dyDescent="0.25"/>
    <row r="16004" ht="14.25" customHeight="1" x14ac:dyDescent="0.25"/>
    <row r="16005" ht="14.25" customHeight="1" x14ac:dyDescent="0.25"/>
    <row r="16006" ht="14.25" customHeight="1" x14ac:dyDescent="0.25"/>
    <row r="16007" ht="14.25" customHeight="1" x14ac:dyDescent="0.25"/>
    <row r="16008" ht="14.25" customHeight="1" x14ac:dyDescent="0.25"/>
    <row r="16009" ht="14.25" customHeight="1" x14ac:dyDescent="0.25"/>
    <row r="16010" ht="14.25" customHeight="1" x14ac:dyDescent="0.25"/>
    <row r="16011" ht="14.25" customHeight="1" x14ac:dyDescent="0.25"/>
    <row r="16012" ht="14.25" customHeight="1" x14ac:dyDescent="0.25"/>
    <row r="16013" ht="14.25" customHeight="1" x14ac:dyDescent="0.25"/>
    <row r="16014" ht="14.25" customHeight="1" x14ac:dyDescent="0.25"/>
    <row r="16015" ht="14.25" customHeight="1" x14ac:dyDescent="0.25"/>
    <row r="16016" ht="14.25" customHeight="1" x14ac:dyDescent="0.25"/>
    <row r="16017" ht="14.25" customHeight="1" x14ac:dyDescent="0.25"/>
    <row r="16018" ht="14.25" customHeight="1" x14ac:dyDescent="0.25"/>
    <row r="16019" ht="14.25" customHeight="1" x14ac:dyDescent="0.25"/>
    <row r="16020" ht="14.25" customHeight="1" x14ac:dyDescent="0.25"/>
    <row r="16021" ht="14.25" customHeight="1" x14ac:dyDescent="0.25"/>
    <row r="16022" ht="14.25" customHeight="1" x14ac:dyDescent="0.25"/>
    <row r="16023" ht="14.25" customHeight="1" x14ac:dyDescent="0.25"/>
    <row r="16024" ht="14.25" customHeight="1" x14ac:dyDescent="0.25"/>
    <row r="16025" ht="14.25" customHeight="1" x14ac:dyDescent="0.25"/>
    <row r="16026" ht="14.25" customHeight="1" x14ac:dyDescent="0.25"/>
    <row r="16027" ht="14.25" customHeight="1" x14ac:dyDescent="0.25"/>
    <row r="16028" ht="14.25" customHeight="1" x14ac:dyDescent="0.25"/>
    <row r="16029" ht="14.25" customHeight="1" x14ac:dyDescent="0.25"/>
    <row r="16030" ht="14.25" customHeight="1" x14ac:dyDescent="0.25"/>
    <row r="16031" ht="14.25" customHeight="1" x14ac:dyDescent="0.25"/>
    <row r="16032" ht="14.25" customHeight="1" x14ac:dyDescent="0.25"/>
    <row r="16033" ht="14.25" customHeight="1" x14ac:dyDescent="0.25"/>
    <row r="16034" ht="14.25" customHeight="1" x14ac:dyDescent="0.25"/>
    <row r="16035" ht="14.25" customHeight="1" x14ac:dyDescent="0.25"/>
    <row r="16036" ht="14.25" customHeight="1" x14ac:dyDescent="0.25"/>
    <row r="16037" ht="14.25" customHeight="1" x14ac:dyDescent="0.25"/>
    <row r="16038" ht="14.25" customHeight="1" x14ac:dyDescent="0.25"/>
    <row r="16039" ht="14.25" customHeight="1" x14ac:dyDescent="0.25"/>
    <row r="16040" ht="14.25" customHeight="1" x14ac:dyDescent="0.25"/>
    <row r="16041" ht="14.25" customHeight="1" x14ac:dyDescent="0.25"/>
    <row r="16042" ht="14.25" customHeight="1" x14ac:dyDescent="0.25"/>
    <row r="16043" ht="14.25" customHeight="1" x14ac:dyDescent="0.25"/>
    <row r="16044" ht="14.25" customHeight="1" x14ac:dyDescent="0.25"/>
    <row r="16045" ht="14.25" customHeight="1" x14ac:dyDescent="0.25"/>
    <row r="16046" ht="14.25" customHeight="1" x14ac:dyDescent="0.25"/>
    <row r="16047" ht="14.25" customHeight="1" x14ac:dyDescent="0.25"/>
    <row r="16048" ht="14.25" customHeight="1" x14ac:dyDescent="0.25"/>
    <row r="16049" ht="14.25" customHeight="1" x14ac:dyDescent="0.25"/>
    <row r="16050" ht="14.25" customHeight="1" x14ac:dyDescent="0.25"/>
    <row r="16051" ht="14.25" customHeight="1" x14ac:dyDescent="0.25"/>
    <row r="16052" ht="14.25" customHeight="1" x14ac:dyDescent="0.25"/>
    <row r="16053" ht="14.25" customHeight="1" x14ac:dyDescent="0.25"/>
    <row r="16054" ht="14.25" customHeight="1" x14ac:dyDescent="0.25"/>
    <row r="16055" ht="14.25" customHeight="1" x14ac:dyDescent="0.25"/>
    <row r="16056" ht="14.25" customHeight="1" x14ac:dyDescent="0.25"/>
    <row r="16057" ht="14.25" customHeight="1" x14ac:dyDescent="0.25"/>
    <row r="16058" ht="14.25" customHeight="1" x14ac:dyDescent="0.25"/>
    <row r="16059" ht="14.25" customHeight="1" x14ac:dyDescent="0.25"/>
    <row r="16060" ht="14.25" customHeight="1" x14ac:dyDescent="0.25"/>
    <row r="16061" ht="14.25" customHeight="1" x14ac:dyDescent="0.25"/>
    <row r="16062" ht="14.25" customHeight="1" x14ac:dyDescent="0.25"/>
    <row r="16063" ht="14.25" customHeight="1" x14ac:dyDescent="0.25"/>
    <row r="16064" ht="14.25" customHeight="1" x14ac:dyDescent="0.25"/>
    <row r="16065" ht="14.25" customHeight="1" x14ac:dyDescent="0.25"/>
    <row r="16066" ht="14.25" customHeight="1" x14ac:dyDescent="0.25"/>
    <row r="16067" ht="14.25" customHeight="1" x14ac:dyDescent="0.25"/>
    <row r="16068" ht="14.25" customHeight="1" x14ac:dyDescent="0.25"/>
    <row r="16069" ht="14.25" customHeight="1" x14ac:dyDescent="0.25"/>
    <row r="16070" ht="14.25" customHeight="1" x14ac:dyDescent="0.25"/>
    <row r="16071" ht="14.25" customHeight="1" x14ac:dyDescent="0.25"/>
    <row r="16072" ht="14.25" customHeight="1" x14ac:dyDescent="0.25"/>
    <row r="16073" ht="14.25" customHeight="1" x14ac:dyDescent="0.25"/>
    <row r="16074" ht="14.25" customHeight="1" x14ac:dyDescent="0.25"/>
    <row r="16075" ht="14.25" customHeight="1" x14ac:dyDescent="0.25"/>
    <row r="16076" ht="14.25" customHeight="1" x14ac:dyDescent="0.25"/>
    <row r="16077" ht="14.25" customHeight="1" x14ac:dyDescent="0.25"/>
    <row r="16078" ht="14.25" customHeight="1" x14ac:dyDescent="0.25"/>
    <row r="16079" ht="14.25" customHeight="1" x14ac:dyDescent="0.25"/>
    <row r="16080" ht="14.25" customHeight="1" x14ac:dyDescent="0.25"/>
    <row r="16081" ht="14.25" customHeight="1" x14ac:dyDescent="0.25"/>
    <row r="16082" ht="14.25" customHeight="1" x14ac:dyDescent="0.25"/>
    <row r="16083" ht="14.25" customHeight="1" x14ac:dyDescent="0.25"/>
    <row r="16084" ht="14.25" customHeight="1" x14ac:dyDescent="0.25"/>
    <row r="16085" ht="14.25" customHeight="1" x14ac:dyDescent="0.25"/>
    <row r="16086" ht="14.25" customHeight="1" x14ac:dyDescent="0.25"/>
    <row r="16087" ht="14.25" customHeight="1" x14ac:dyDescent="0.25"/>
    <row r="16088" ht="14.25" customHeight="1" x14ac:dyDescent="0.25"/>
    <row r="16089" ht="14.25" customHeight="1" x14ac:dyDescent="0.25"/>
    <row r="16090" ht="14.25" customHeight="1" x14ac:dyDescent="0.25"/>
    <row r="16091" ht="14.25" customHeight="1" x14ac:dyDescent="0.25"/>
    <row r="16092" ht="14.25" customHeight="1" x14ac:dyDescent="0.25"/>
    <row r="16093" ht="14.25" customHeight="1" x14ac:dyDescent="0.25"/>
    <row r="16094" ht="14.25" customHeight="1" x14ac:dyDescent="0.25"/>
    <row r="16095" ht="14.25" customHeight="1" x14ac:dyDescent="0.25"/>
    <row r="16096" ht="14.25" customHeight="1" x14ac:dyDescent="0.25"/>
    <row r="16097" ht="14.25" customHeight="1" x14ac:dyDescent="0.25"/>
    <row r="16098" ht="14.25" customHeight="1" x14ac:dyDescent="0.25"/>
    <row r="16099" ht="14.25" customHeight="1" x14ac:dyDescent="0.25"/>
    <row r="16100" ht="14.25" customHeight="1" x14ac:dyDescent="0.25"/>
    <row r="16101" ht="14.25" customHeight="1" x14ac:dyDescent="0.25"/>
    <row r="16102" ht="14.25" customHeight="1" x14ac:dyDescent="0.25"/>
    <row r="16103" ht="14.25" customHeight="1" x14ac:dyDescent="0.25"/>
    <row r="16104" ht="14.25" customHeight="1" x14ac:dyDescent="0.25"/>
    <row r="16105" ht="14.25" customHeight="1" x14ac:dyDescent="0.25"/>
    <row r="16106" ht="14.25" customHeight="1" x14ac:dyDescent="0.25"/>
    <row r="16107" ht="14.25" customHeight="1" x14ac:dyDescent="0.25"/>
    <row r="16108" ht="14.25" customHeight="1" x14ac:dyDescent="0.25"/>
    <row r="16109" ht="14.25" customHeight="1" x14ac:dyDescent="0.25"/>
    <row r="16110" ht="14.25" customHeight="1" x14ac:dyDescent="0.25"/>
    <row r="16111" ht="14.25" customHeight="1" x14ac:dyDescent="0.25"/>
    <row r="16112" ht="14.25" customHeight="1" x14ac:dyDescent="0.25"/>
    <row r="16113" ht="14.25" customHeight="1" x14ac:dyDescent="0.25"/>
    <row r="16114" ht="14.25" customHeight="1" x14ac:dyDescent="0.25"/>
    <row r="16115" ht="14.25" customHeight="1" x14ac:dyDescent="0.25"/>
    <row r="16116" ht="14.25" customHeight="1" x14ac:dyDescent="0.25"/>
    <row r="16117" ht="14.25" customHeight="1" x14ac:dyDescent="0.25"/>
    <row r="16118" ht="14.25" customHeight="1" x14ac:dyDescent="0.25"/>
    <row r="16119" ht="14.25" customHeight="1" x14ac:dyDescent="0.25"/>
    <row r="16120" ht="14.25" customHeight="1" x14ac:dyDescent="0.25"/>
    <row r="16121" ht="14.25" customHeight="1" x14ac:dyDescent="0.25"/>
    <row r="16122" ht="14.25" customHeight="1" x14ac:dyDescent="0.25"/>
    <row r="16123" ht="14.25" customHeight="1" x14ac:dyDescent="0.25"/>
    <row r="16124" ht="14.25" customHeight="1" x14ac:dyDescent="0.25"/>
    <row r="16125" ht="14.25" customHeight="1" x14ac:dyDescent="0.25"/>
    <row r="16126" ht="14.25" customHeight="1" x14ac:dyDescent="0.25"/>
    <row r="16127" ht="14.25" customHeight="1" x14ac:dyDescent="0.25"/>
    <row r="16128" ht="14.25" customHeight="1" x14ac:dyDescent="0.25"/>
    <row r="16129" ht="14.25" customHeight="1" x14ac:dyDescent="0.25"/>
    <row r="16130" ht="14.25" customHeight="1" x14ac:dyDescent="0.25"/>
    <row r="16131" ht="14.25" customHeight="1" x14ac:dyDescent="0.25"/>
    <row r="16132" ht="14.25" customHeight="1" x14ac:dyDescent="0.25"/>
    <row r="16133" ht="14.25" customHeight="1" x14ac:dyDescent="0.25"/>
    <row r="16134" ht="14.25" customHeight="1" x14ac:dyDescent="0.25"/>
    <row r="16135" ht="14.25" customHeight="1" x14ac:dyDescent="0.25"/>
    <row r="16136" ht="14.25" customHeight="1" x14ac:dyDescent="0.25"/>
    <row r="16137" ht="14.25" customHeight="1" x14ac:dyDescent="0.25"/>
    <row r="16138" ht="14.25" customHeight="1" x14ac:dyDescent="0.25"/>
    <row r="16139" ht="14.25" customHeight="1" x14ac:dyDescent="0.25"/>
    <row r="16140" ht="14.25" customHeight="1" x14ac:dyDescent="0.25"/>
    <row r="16141" ht="14.25" customHeight="1" x14ac:dyDescent="0.25"/>
    <row r="16142" ht="14.25" customHeight="1" x14ac:dyDescent="0.25"/>
    <row r="16143" ht="14.25" customHeight="1" x14ac:dyDescent="0.25"/>
    <row r="16144" ht="14.25" customHeight="1" x14ac:dyDescent="0.25"/>
    <row r="16145" ht="14.25" customHeight="1" x14ac:dyDescent="0.25"/>
    <row r="16146" ht="14.25" customHeight="1" x14ac:dyDescent="0.25"/>
    <row r="16147" ht="14.25" customHeight="1" x14ac:dyDescent="0.25"/>
    <row r="16148" ht="14.25" customHeight="1" x14ac:dyDescent="0.25"/>
    <row r="16149" ht="14.25" customHeight="1" x14ac:dyDescent="0.25"/>
    <row r="16150" ht="14.25" customHeight="1" x14ac:dyDescent="0.25"/>
    <row r="16151" ht="14.25" customHeight="1" x14ac:dyDescent="0.25"/>
    <row r="16152" ht="14.25" customHeight="1" x14ac:dyDescent="0.25"/>
    <row r="16153" ht="14.25" customHeight="1" x14ac:dyDescent="0.25"/>
    <row r="16154" ht="14.25" customHeight="1" x14ac:dyDescent="0.25"/>
    <row r="16155" ht="14.25" customHeight="1" x14ac:dyDescent="0.25"/>
    <row r="16156" ht="14.25" customHeight="1" x14ac:dyDescent="0.25"/>
    <row r="16157" ht="14.25" customHeight="1" x14ac:dyDescent="0.25"/>
    <row r="16158" ht="14.25" customHeight="1" x14ac:dyDescent="0.25"/>
    <row r="16159" ht="14.25" customHeight="1" x14ac:dyDescent="0.25"/>
    <row r="16160" ht="14.25" customHeight="1" x14ac:dyDescent="0.25"/>
    <row r="16161" ht="14.25" customHeight="1" x14ac:dyDescent="0.25"/>
    <row r="16162" ht="14.25" customHeight="1" x14ac:dyDescent="0.25"/>
    <row r="16163" ht="14.25" customHeight="1" x14ac:dyDescent="0.25"/>
    <row r="16164" ht="14.25" customHeight="1" x14ac:dyDescent="0.25"/>
    <row r="16165" ht="14.25" customHeight="1" x14ac:dyDescent="0.25"/>
    <row r="16166" ht="14.25" customHeight="1" x14ac:dyDescent="0.25"/>
    <row r="16167" ht="14.25" customHeight="1" x14ac:dyDescent="0.25"/>
    <row r="16168" ht="14.25" customHeight="1" x14ac:dyDescent="0.25"/>
    <row r="16169" ht="14.25" customHeight="1" x14ac:dyDescent="0.25"/>
    <row r="16170" ht="14.25" customHeight="1" x14ac:dyDescent="0.25"/>
    <row r="16171" ht="14.25" customHeight="1" x14ac:dyDescent="0.25"/>
    <row r="16172" ht="14.25" customHeight="1" x14ac:dyDescent="0.25"/>
    <row r="16173" ht="14.25" customHeight="1" x14ac:dyDescent="0.25"/>
    <row r="16174" ht="14.25" customHeight="1" x14ac:dyDescent="0.25"/>
    <row r="16175" ht="14.25" customHeight="1" x14ac:dyDescent="0.25"/>
    <row r="16176" ht="14.25" customHeight="1" x14ac:dyDescent="0.25"/>
    <row r="16177" ht="14.25" customHeight="1" x14ac:dyDescent="0.25"/>
    <row r="16178" ht="14.25" customHeight="1" x14ac:dyDescent="0.25"/>
    <row r="16179" ht="14.25" customHeight="1" x14ac:dyDescent="0.25"/>
    <row r="16180" ht="14.25" customHeight="1" x14ac:dyDescent="0.25"/>
    <row r="16181" ht="14.25" customHeight="1" x14ac:dyDescent="0.25"/>
    <row r="16182" ht="14.25" customHeight="1" x14ac:dyDescent="0.25"/>
    <row r="16183" ht="14.25" customHeight="1" x14ac:dyDescent="0.25"/>
    <row r="16184" ht="14.25" customHeight="1" x14ac:dyDescent="0.25"/>
    <row r="16185" ht="14.25" customHeight="1" x14ac:dyDescent="0.25"/>
    <row r="16186" ht="14.25" customHeight="1" x14ac:dyDescent="0.25"/>
    <row r="16187" ht="14.25" customHeight="1" x14ac:dyDescent="0.25"/>
    <row r="16188" ht="14.25" customHeight="1" x14ac:dyDescent="0.25"/>
    <row r="16189" ht="14.25" customHeight="1" x14ac:dyDescent="0.25"/>
    <row r="16190" ht="14.25" customHeight="1" x14ac:dyDescent="0.25"/>
    <row r="16191" ht="14.25" customHeight="1" x14ac:dyDescent="0.25"/>
    <row r="16192" ht="14.25" customHeight="1" x14ac:dyDescent="0.25"/>
    <row r="16193" ht="14.25" customHeight="1" x14ac:dyDescent="0.25"/>
    <row r="16194" ht="14.25" customHeight="1" x14ac:dyDescent="0.25"/>
    <row r="16195" ht="14.25" customHeight="1" x14ac:dyDescent="0.25"/>
    <row r="16196" ht="14.25" customHeight="1" x14ac:dyDescent="0.25"/>
    <row r="16197" ht="14.25" customHeight="1" x14ac:dyDescent="0.25"/>
    <row r="16198" ht="14.25" customHeight="1" x14ac:dyDescent="0.25"/>
    <row r="16199" ht="14.25" customHeight="1" x14ac:dyDescent="0.25"/>
    <row r="16200" ht="14.25" customHeight="1" x14ac:dyDescent="0.25"/>
    <row r="16201" ht="14.25" customHeight="1" x14ac:dyDescent="0.25"/>
    <row r="16202" ht="14.25" customHeight="1" x14ac:dyDescent="0.25"/>
    <row r="16203" ht="14.25" customHeight="1" x14ac:dyDescent="0.25"/>
    <row r="16204" ht="14.25" customHeight="1" x14ac:dyDescent="0.25"/>
    <row r="16205" ht="14.25" customHeight="1" x14ac:dyDescent="0.25"/>
    <row r="16206" ht="14.25" customHeight="1" x14ac:dyDescent="0.25"/>
    <row r="16207" ht="14.25" customHeight="1" x14ac:dyDescent="0.25"/>
    <row r="16208" ht="14.25" customHeight="1" x14ac:dyDescent="0.25"/>
    <row r="16209" ht="14.25" customHeight="1" x14ac:dyDescent="0.25"/>
    <row r="16210" ht="14.25" customHeight="1" x14ac:dyDescent="0.25"/>
    <row r="16211" ht="14.25" customHeight="1" x14ac:dyDescent="0.25"/>
    <row r="16212" ht="14.25" customHeight="1" x14ac:dyDescent="0.25"/>
    <row r="16213" ht="14.25" customHeight="1" x14ac:dyDescent="0.25"/>
    <row r="16214" ht="14.25" customHeight="1" x14ac:dyDescent="0.25"/>
    <row r="16215" ht="14.25" customHeight="1" x14ac:dyDescent="0.25"/>
    <row r="16216" ht="14.25" customHeight="1" x14ac:dyDescent="0.25"/>
    <row r="16217" ht="14.25" customHeight="1" x14ac:dyDescent="0.25"/>
    <row r="16218" ht="14.25" customHeight="1" x14ac:dyDescent="0.25"/>
    <row r="16219" ht="14.25" customHeight="1" x14ac:dyDescent="0.25"/>
    <row r="16220" ht="14.25" customHeight="1" x14ac:dyDescent="0.25"/>
    <row r="16221" ht="14.25" customHeight="1" x14ac:dyDescent="0.25"/>
    <row r="16222" ht="14.25" customHeight="1" x14ac:dyDescent="0.25"/>
    <row r="16223" ht="14.25" customHeight="1" x14ac:dyDescent="0.25"/>
    <row r="16224" ht="14.25" customHeight="1" x14ac:dyDescent="0.25"/>
    <row r="16225" ht="14.25" customHeight="1" x14ac:dyDescent="0.25"/>
    <row r="16226" ht="14.25" customHeight="1" x14ac:dyDescent="0.25"/>
    <row r="16227" ht="14.25" customHeight="1" x14ac:dyDescent="0.25"/>
    <row r="16228" ht="14.25" customHeight="1" x14ac:dyDescent="0.25"/>
    <row r="16229" ht="14.25" customHeight="1" x14ac:dyDescent="0.25"/>
    <row r="16230" ht="14.25" customHeight="1" x14ac:dyDescent="0.25"/>
    <row r="16231" ht="14.25" customHeight="1" x14ac:dyDescent="0.25"/>
    <row r="16232" ht="14.25" customHeight="1" x14ac:dyDescent="0.25"/>
    <row r="16233" ht="14.25" customHeight="1" x14ac:dyDescent="0.25"/>
    <row r="16234" ht="14.25" customHeight="1" x14ac:dyDescent="0.25"/>
    <row r="16235" ht="14.25" customHeight="1" x14ac:dyDescent="0.25"/>
    <row r="16236" ht="14.25" customHeight="1" x14ac:dyDescent="0.25"/>
    <row r="16237" ht="14.25" customHeight="1" x14ac:dyDescent="0.25"/>
    <row r="16238" ht="14.25" customHeight="1" x14ac:dyDescent="0.25"/>
    <row r="16239" ht="14.25" customHeight="1" x14ac:dyDescent="0.25"/>
    <row r="16240" ht="14.25" customHeight="1" x14ac:dyDescent="0.25"/>
    <row r="16241" ht="14.25" customHeight="1" x14ac:dyDescent="0.25"/>
    <row r="16242" ht="14.25" customHeight="1" x14ac:dyDescent="0.25"/>
    <row r="16243" ht="14.25" customHeight="1" x14ac:dyDescent="0.25"/>
    <row r="16244" ht="14.25" customHeight="1" x14ac:dyDescent="0.25"/>
    <row r="16245" ht="14.25" customHeight="1" x14ac:dyDescent="0.25"/>
    <row r="16246" ht="14.25" customHeight="1" x14ac:dyDescent="0.25"/>
    <row r="16247" ht="14.25" customHeight="1" x14ac:dyDescent="0.25"/>
    <row r="16248" ht="14.25" customHeight="1" x14ac:dyDescent="0.25"/>
    <row r="16249" ht="14.25" customHeight="1" x14ac:dyDescent="0.25"/>
    <row r="16250" ht="14.25" customHeight="1" x14ac:dyDescent="0.25"/>
    <row r="16251" ht="14.25" customHeight="1" x14ac:dyDescent="0.25"/>
    <row r="16252" ht="14.25" customHeight="1" x14ac:dyDescent="0.25"/>
    <row r="16253" ht="14.25" customHeight="1" x14ac:dyDescent="0.25"/>
    <row r="16254" ht="14.25" customHeight="1" x14ac:dyDescent="0.25"/>
    <row r="16255" ht="14.25" customHeight="1" x14ac:dyDescent="0.25"/>
    <row r="16256" ht="14.25" customHeight="1" x14ac:dyDescent="0.25"/>
    <row r="16257" ht="14.25" customHeight="1" x14ac:dyDescent="0.25"/>
    <row r="16258" ht="14.25" customHeight="1" x14ac:dyDescent="0.25"/>
    <row r="16259" ht="14.25" customHeight="1" x14ac:dyDescent="0.25"/>
    <row r="16260" ht="14.25" customHeight="1" x14ac:dyDescent="0.25"/>
    <row r="16261" ht="14.25" customHeight="1" x14ac:dyDescent="0.25"/>
    <row r="16262" ht="14.25" customHeight="1" x14ac:dyDescent="0.25"/>
    <row r="16263" ht="14.25" customHeight="1" x14ac:dyDescent="0.25"/>
    <row r="16264" ht="14.25" customHeight="1" x14ac:dyDescent="0.25"/>
    <row r="16265" ht="14.25" customHeight="1" x14ac:dyDescent="0.25"/>
    <row r="16266" ht="14.25" customHeight="1" x14ac:dyDescent="0.25"/>
    <row r="16267" ht="14.25" customHeight="1" x14ac:dyDescent="0.25"/>
    <row r="16268" ht="14.25" customHeight="1" x14ac:dyDescent="0.25"/>
    <row r="16269" ht="14.25" customHeight="1" x14ac:dyDescent="0.25"/>
    <row r="16270" ht="14.25" customHeight="1" x14ac:dyDescent="0.25"/>
    <row r="16271" ht="14.25" customHeight="1" x14ac:dyDescent="0.25"/>
    <row r="16272" ht="14.25" customHeight="1" x14ac:dyDescent="0.25"/>
    <row r="16273" ht="14.25" customHeight="1" x14ac:dyDescent="0.25"/>
    <row r="16274" ht="14.25" customHeight="1" x14ac:dyDescent="0.25"/>
    <row r="16275" ht="14.25" customHeight="1" x14ac:dyDescent="0.25"/>
    <row r="16276" ht="14.25" customHeight="1" x14ac:dyDescent="0.25"/>
    <row r="16277" ht="14.25" customHeight="1" x14ac:dyDescent="0.25"/>
    <row r="16278" ht="14.25" customHeight="1" x14ac:dyDescent="0.25"/>
    <row r="16279" ht="14.25" customHeight="1" x14ac:dyDescent="0.25"/>
    <row r="16280" ht="14.25" customHeight="1" x14ac:dyDescent="0.25"/>
    <row r="16281" ht="14.25" customHeight="1" x14ac:dyDescent="0.25"/>
    <row r="16282" ht="14.25" customHeight="1" x14ac:dyDescent="0.25"/>
    <row r="16283" ht="14.25" customHeight="1" x14ac:dyDescent="0.25"/>
    <row r="16284" ht="14.25" customHeight="1" x14ac:dyDescent="0.25"/>
    <row r="16285" ht="14.25" customHeight="1" x14ac:dyDescent="0.25"/>
    <row r="16286" ht="14.25" customHeight="1" x14ac:dyDescent="0.25"/>
    <row r="16287" ht="14.25" customHeight="1" x14ac:dyDescent="0.25"/>
    <row r="16288" ht="14.25" customHeight="1" x14ac:dyDescent="0.25"/>
    <row r="16289" ht="14.25" customHeight="1" x14ac:dyDescent="0.25"/>
    <row r="16290" ht="14.25" customHeight="1" x14ac:dyDescent="0.25"/>
    <row r="16291" ht="14.25" customHeight="1" x14ac:dyDescent="0.25"/>
    <row r="16292" ht="14.25" customHeight="1" x14ac:dyDescent="0.25"/>
    <row r="16293" ht="14.25" customHeight="1" x14ac:dyDescent="0.25"/>
    <row r="16294" ht="14.25" customHeight="1" x14ac:dyDescent="0.25"/>
    <row r="16295" ht="14.25" customHeight="1" x14ac:dyDescent="0.25"/>
    <row r="16296" ht="14.25" customHeight="1" x14ac:dyDescent="0.25"/>
    <row r="16297" ht="14.25" customHeight="1" x14ac:dyDescent="0.25"/>
    <row r="16298" ht="14.25" customHeight="1" x14ac:dyDescent="0.25"/>
    <row r="16299" ht="14.25" customHeight="1" x14ac:dyDescent="0.25"/>
    <row r="16300" ht="14.25" customHeight="1" x14ac:dyDescent="0.25"/>
    <row r="16301" ht="14.25" customHeight="1" x14ac:dyDescent="0.25"/>
    <row r="16302" ht="14.25" customHeight="1" x14ac:dyDescent="0.25"/>
    <row r="16303" ht="14.25" customHeight="1" x14ac:dyDescent="0.25"/>
    <row r="16304" ht="14.25" customHeight="1" x14ac:dyDescent="0.25"/>
    <row r="16305" ht="14.25" customHeight="1" x14ac:dyDescent="0.25"/>
    <row r="16306" ht="14.25" customHeight="1" x14ac:dyDescent="0.25"/>
    <row r="16307" ht="14.25" customHeight="1" x14ac:dyDescent="0.25"/>
    <row r="16308" ht="14.25" customHeight="1" x14ac:dyDescent="0.25"/>
    <row r="16309" ht="14.25" customHeight="1" x14ac:dyDescent="0.25"/>
    <row r="16310" ht="14.25" customHeight="1" x14ac:dyDescent="0.25"/>
    <row r="16311" ht="14.25" customHeight="1" x14ac:dyDescent="0.25"/>
    <row r="16312" ht="14.25" customHeight="1" x14ac:dyDescent="0.25"/>
    <row r="16313" ht="14.25" customHeight="1" x14ac:dyDescent="0.25"/>
    <row r="16314" ht="14.25" customHeight="1" x14ac:dyDescent="0.25"/>
    <row r="16315" ht="14.25" customHeight="1" x14ac:dyDescent="0.25"/>
    <row r="16316" ht="14.25" customHeight="1" x14ac:dyDescent="0.25"/>
    <row r="16317" ht="14.25" customHeight="1" x14ac:dyDescent="0.25"/>
    <row r="16318" ht="14.25" customHeight="1" x14ac:dyDescent="0.25"/>
    <row r="16319" ht="14.25" customHeight="1" x14ac:dyDescent="0.25"/>
    <row r="16320" ht="14.25" customHeight="1" x14ac:dyDescent="0.25"/>
    <row r="16321" ht="14.25" customHeight="1" x14ac:dyDescent="0.25"/>
    <row r="16322" ht="14.25" customHeight="1" x14ac:dyDescent="0.25"/>
    <row r="16323" ht="14.25" customHeight="1" x14ac:dyDescent="0.25"/>
    <row r="16324" ht="14.25" customHeight="1" x14ac:dyDescent="0.25"/>
    <row r="16325" ht="14.25" customHeight="1" x14ac:dyDescent="0.25"/>
    <row r="16326" ht="14.25" customHeight="1" x14ac:dyDescent="0.25"/>
    <row r="16327" ht="14.25" customHeight="1" x14ac:dyDescent="0.25"/>
    <row r="16328" ht="14.25" customHeight="1" x14ac:dyDescent="0.25"/>
    <row r="16329" ht="14.25" customHeight="1" x14ac:dyDescent="0.25"/>
    <row r="16330" ht="14.25" customHeight="1" x14ac:dyDescent="0.25"/>
    <row r="16331" ht="14.25" customHeight="1" x14ac:dyDescent="0.25"/>
    <row r="16332" ht="14.25" customHeight="1" x14ac:dyDescent="0.25"/>
    <row r="16333" ht="14.25" customHeight="1" x14ac:dyDescent="0.25"/>
    <row r="16334" ht="14.25" customHeight="1" x14ac:dyDescent="0.25"/>
    <row r="16335" ht="14.25" customHeight="1" x14ac:dyDescent="0.25"/>
    <row r="16336" ht="14.25" customHeight="1" x14ac:dyDescent="0.25"/>
    <row r="16337" ht="14.25" customHeight="1" x14ac:dyDescent="0.25"/>
    <row r="16338" ht="14.25" customHeight="1" x14ac:dyDescent="0.25"/>
    <row r="16339" ht="14.25" customHeight="1" x14ac:dyDescent="0.25"/>
    <row r="16340" ht="14.25" customHeight="1" x14ac:dyDescent="0.25"/>
    <row r="16341" ht="14.25" customHeight="1" x14ac:dyDescent="0.25"/>
    <row r="16342" ht="14.25" customHeight="1" x14ac:dyDescent="0.25"/>
    <row r="16343" ht="14.25" customHeight="1" x14ac:dyDescent="0.25"/>
    <row r="16344" ht="14.25" customHeight="1" x14ac:dyDescent="0.25"/>
    <row r="16345" ht="14.25" customHeight="1" x14ac:dyDescent="0.25"/>
    <row r="16346" ht="14.25" customHeight="1" x14ac:dyDescent="0.25"/>
    <row r="16347" ht="14.25" customHeight="1" x14ac:dyDescent="0.25"/>
    <row r="16348" ht="14.25" customHeight="1" x14ac:dyDescent="0.25"/>
    <row r="16349" ht="14.25" customHeight="1" x14ac:dyDescent="0.25"/>
    <row r="16350" ht="14.25" customHeight="1" x14ac:dyDescent="0.25"/>
    <row r="16351" ht="14.25" customHeight="1" x14ac:dyDescent="0.25"/>
    <row r="16352" ht="14.25" customHeight="1" x14ac:dyDescent="0.25"/>
    <row r="16353" ht="14.25" customHeight="1" x14ac:dyDescent="0.25"/>
    <row r="16354" ht="14.25" customHeight="1" x14ac:dyDescent="0.25"/>
    <row r="16355" ht="14.25" customHeight="1" x14ac:dyDescent="0.25"/>
    <row r="16356" ht="14.25" customHeight="1" x14ac:dyDescent="0.25"/>
    <row r="16357" ht="14.25" customHeight="1" x14ac:dyDescent="0.25"/>
    <row r="16358" ht="14.25" customHeight="1" x14ac:dyDescent="0.25"/>
    <row r="16359" ht="14.25" customHeight="1" x14ac:dyDescent="0.25"/>
    <row r="16360" ht="14.25" customHeight="1" x14ac:dyDescent="0.25"/>
    <row r="16361" ht="14.25" customHeight="1" x14ac:dyDescent="0.25"/>
    <row r="16362" ht="14.25" customHeight="1" x14ac:dyDescent="0.25"/>
    <row r="16363" ht="14.25" customHeight="1" x14ac:dyDescent="0.25"/>
    <row r="16364" ht="14.25" customHeight="1" x14ac:dyDescent="0.25"/>
    <row r="16365" ht="14.25" customHeight="1" x14ac:dyDescent="0.25"/>
    <row r="16366" ht="14.25" customHeight="1" x14ac:dyDescent="0.25"/>
    <row r="16367" ht="14.25" customHeight="1" x14ac:dyDescent="0.25"/>
    <row r="16368" ht="14.25" customHeight="1" x14ac:dyDescent="0.25"/>
    <row r="16369" ht="14.25" customHeight="1" x14ac:dyDescent="0.25"/>
    <row r="16370" ht="14.25" customHeight="1" x14ac:dyDescent="0.25"/>
    <row r="16371" ht="14.25" customHeight="1" x14ac:dyDescent="0.25"/>
    <row r="16372" ht="14.25" customHeight="1" x14ac:dyDescent="0.25"/>
    <row r="16373" ht="14.25" customHeight="1" x14ac:dyDescent="0.25"/>
    <row r="16374" ht="14.25" customHeight="1" x14ac:dyDescent="0.25"/>
    <row r="16375" ht="14.25" customHeight="1" x14ac:dyDescent="0.25"/>
    <row r="16376" ht="14.25" customHeight="1" x14ac:dyDescent="0.25"/>
    <row r="16377" ht="14.25" customHeight="1" x14ac:dyDescent="0.25"/>
    <row r="16378" ht="14.25" customHeight="1" x14ac:dyDescent="0.25"/>
    <row r="16379" ht="14.25" customHeight="1" x14ac:dyDescent="0.25"/>
    <row r="16380" ht="14.25" customHeight="1" x14ac:dyDescent="0.25"/>
    <row r="16381" ht="14.25" customHeight="1" x14ac:dyDescent="0.25"/>
    <row r="16382" ht="14.25" customHeight="1" x14ac:dyDescent="0.25"/>
    <row r="16383" ht="14.25" customHeight="1" x14ac:dyDescent="0.25"/>
    <row r="16384" ht="14.25" customHeight="1" x14ac:dyDescent="0.25"/>
    <row r="16385" ht="14.25" customHeight="1" x14ac:dyDescent="0.25"/>
  </sheetData>
  <autoFilter ref="A1:A16385" xr:uid="{00000000-0009-0000-0000-000001000000}"/>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defaultColWidth="14.42578125" defaultRowHeight="15" customHeight="1" x14ac:dyDescent="0.25"/>
  <cols>
    <col min="1" max="1" width="36.85546875" customWidth="1"/>
    <col min="2" max="2" width="255.7109375" customWidth="1"/>
    <col min="3" max="26" width="8.7109375" customWidth="1"/>
  </cols>
  <sheetData>
    <row r="1" spans="1:2" ht="14.25" customHeight="1" x14ac:dyDescent="0.25">
      <c r="A1" s="19" t="s">
        <v>6352</v>
      </c>
      <c r="B1" s="19" t="s">
        <v>6353</v>
      </c>
    </row>
    <row r="2" spans="1:2" ht="14.25" customHeight="1" x14ac:dyDescent="0.25">
      <c r="A2" s="20" t="s">
        <v>161</v>
      </c>
      <c r="B2" s="20" t="s">
        <v>6354</v>
      </c>
    </row>
    <row r="3" spans="1:2" ht="14.25" customHeight="1" x14ac:dyDescent="0.25">
      <c r="A3" s="20" t="s">
        <v>791</v>
      </c>
      <c r="B3" s="20" t="s">
        <v>6355</v>
      </c>
    </row>
    <row r="4" spans="1:2" ht="14.25" customHeight="1" x14ac:dyDescent="0.25">
      <c r="A4" s="20" t="s">
        <v>87</v>
      </c>
      <c r="B4" s="20" t="s">
        <v>6356</v>
      </c>
    </row>
    <row r="5" spans="1:2" ht="14.25" customHeight="1" x14ac:dyDescent="0.25">
      <c r="A5" s="20" t="s">
        <v>6357</v>
      </c>
      <c r="B5" s="20" t="s">
        <v>6358</v>
      </c>
    </row>
    <row r="6" spans="1:2" ht="14.25" customHeight="1" x14ac:dyDescent="0.25">
      <c r="A6" s="20" t="s">
        <v>239</v>
      </c>
      <c r="B6" s="20" t="s">
        <v>6359</v>
      </c>
    </row>
    <row r="7" spans="1:2" ht="14.25" customHeight="1" x14ac:dyDescent="0.25">
      <c r="A7" s="20" t="s">
        <v>457</v>
      </c>
      <c r="B7" s="20" t="s">
        <v>6360</v>
      </c>
    </row>
    <row r="8" spans="1:2" ht="14.25" customHeight="1" x14ac:dyDescent="0.25">
      <c r="A8" s="20" t="s">
        <v>115</v>
      </c>
      <c r="B8" s="20" t="s">
        <v>6361</v>
      </c>
    </row>
    <row r="9" spans="1:2" ht="14.25" customHeight="1" x14ac:dyDescent="0.25">
      <c r="A9" s="20" t="s">
        <v>555</v>
      </c>
      <c r="B9" s="20" t="s">
        <v>6362</v>
      </c>
    </row>
    <row r="10" spans="1:2" ht="14.25" customHeight="1" x14ac:dyDescent="0.25">
      <c r="A10" s="20" t="s">
        <v>12</v>
      </c>
      <c r="B10" s="20" t="s">
        <v>6363</v>
      </c>
    </row>
    <row r="11" spans="1:2" ht="14.25" customHeight="1" x14ac:dyDescent="0.25">
      <c r="A11" s="20" t="s">
        <v>5652</v>
      </c>
      <c r="B11" s="20" t="s">
        <v>6364</v>
      </c>
    </row>
    <row r="12" spans="1:2" ht="14.25" customHeight="1" x14ac:dyDescent="0.25">
      <c r="A12" s="20" t="s">
        <v>409</v>
      </c>
      <c r="B12" s="20" t="s">
        <v>6365</v>
      </c>
    </row>
    <row r="13" spans="1:2" ht="14.25" customHeight="1" x14ac:dyDescent="0.25">
      <c r="A13" s="20" t="s">
        <v>108</v>
      </c>
      <c r="B13" s="20" t="s">
        <v>6366</v>
      </c>
    </row>
    <row r="14" spans="1:2" ht="14.25" customHeight="1" x14ac:dyDescent="0.25">
      <c r="A14" s="20" t="s">
        <v>172</v>
      </c>
      <c r="B14" s="20" t="s">
        <v>6367</v>
      </c>
    </row>
    <row r="15" spans="1:2" ht="14.25" customHeight="1" x14ac:dyDescent="0.25">
      <c r="A15" s="20" t="s">
        <v>97</v>
      </c>
      <c r="B15" s="20" t="s">
        <v>6368</v>
      </c>
    </row>
    <row r="16" spans="1:2" ht="14.25" customHeight="1" x14ac:dyDescent="0.25">
      <c r="A16" s="20" t="s">
        <v>297</v>
      </c>
      <c r="B16" s="20" t="s">
        <v>6369</v>
      </c>
    </row>
    <row r="17" spans="1:2" ht="14.25" customHeight="1" x14ac:dyDescent="0.25">
      <c r="A17" s="20" t="s">
        <v>211</v>
      </c>
      <c r="B17" s="20" t="s">
        <v>6370</v>
      </c>
    </row>
    <row r="18" spans="1:2" ht="14.25" customHeight="1" x14ac:dyDescent="0.25">
      <c r="A18" s="20" t="s">
        <v>162</v>
      </c>
      <c r="B18" s="20" t="s">
        <v>6371</v>
      </c>
    </row>
    <row r="19" spans="1:2" ht="14.25" customHeight="1" x14ac:dyDescent="0.25">
      <c r="A19" s="20" t="s">
        <v>1570</v>
      </c>
      <c r="B19" s="20" t="s">
        <v>6372</v>
      </c>
    </row>
    <row r="20" spans="1:2" ht="14.25" customHeight="1" x14ac:dyDescent="0.25">
      <c r="A20" s="20" t="s">
        <v>273</v>
      </c>
      <c r="B20" s="20" t="s">
        <v>6373</v>
      </c>
    </row>
    <row r="21" spans="1:2" ht="14.25" customHeight="1" x14ac:dyDescent="0.25">
      <c r="A21" s="20" t="s">
        <v>6374</v>
      </c>
      <c r="B21" s="20" t="s">
        <v>6375</v>
      </c>
    </row>
    <row r="22" spans="1:2" ht="14.25" customHeight="1" x14ac:dyDescent="0.25">
      <c r="A22" s="20" t="s">
        <v>6376</v>
      </c>
      <c r="B22" s="20" t="s">
        <v>6377</v>
      </c>
    </row>
    <row r="23" spans="1:2" ht="14.25" customHeight="1" x14ac:dyDescent="0.25">
      <c r="A23" s="20" t="s">
        <v>740</v>
      </c>
      <c r="B23" s="20" t="s">
        <v>6378</v>
      </c>
    </row>
    <row r="24" spans="1:2" ht="14.25" customHeight="1" x14ac:dyDescent="0.25">
      <c r="A24" s="20" t="s">
        <v>1383</v>
      </c>
      <c r="B24" s="20" t="s">
        <v>6379</v>
      </c>
    </row>
    <row r="25" spans="1:2" ht="14.25" customHeight="1" x14ac:dyDescent="0.25">
      <c r="A25" s="20" t="s">
        <v>1126</v>
      </c>
      <c r="B25" s="20" t="s">
        <v>6380</v>
      </c>
    </row>
    <row r="26" spans="1:2" ht="14.25" customHeight="1" x14ac:dyDescent="0.25">
      <c r="A26" s="20" t="s">
        <v>6381</v>
      </c>
      <c r="B26" s="20" t="s">
        <v>6382</v>
      </c>
    </row>
    <row r="27" spans="1:2" ht="14.25" customHeight="1" x14ac:dyDescent="0.25">
      <c r="A27" s="20" t="s">
        <v>6383</v>
      </c>
      <c r="B27" s="20" t="s">
        <v>6384</v>
      </c>
    </row>
    <row r="28" spans="1:2" ht="14.25" customHeight="1" x14ac:dyDescent="0.25">
      <c r="A28" s="20" t="s">
        <v>1136</v>
      </c>
      <c r="B28" s="20" t="s">
        <v>6385</v>
      </c>
    </row>
    <row r="29" spans="1:2" ht="14.25" customHeight="1" x14ac:dyDescent="0.25">
      <c r="A29" s="20" t="s">
        <v>121</v>
      </c>
      <c r="B29" s="20" t="s">
        <v>6386</v>
      </c>
    </row>
    <row r="30" spans="1:2" ht="14.25" customHeight="1" x14ac:dyDescent="0.25">
      <c r="A30" s="20" t="s">
        <v>6387</v>
      </c>
      <c r="B30" s="20" t="s">
        <v>6388</v>
      </c>
    </row>
    <row r="31" spans="1:2" ht="14.25" customHeight="1" x14ac:dyDescent="0.25">
      <c r="A31" s="20" t="s">
        <v>256</v>
      </c>
      <c r="B31" s="20" t="s">
        <v>6389</v>
      </c>
    </row>
    <row r="32" spans="1:2" ht="14.25" customHeight="1" x14ac:dyDescent="0.25">
      <c r="A32" s="20" t="s">
        <v>247</v>
      </c>
      <c r="B32" s="20" t="s">
        <v>6390</v>
      </c>
    </row>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sheetViews>
  <sheetFormatPr defaultColWidth="14.42578125" defaultRowHeight="15" customHeight="1" x14ac:dyDescent="0.25"/>
  <cols>
    <col min="1" max="1" width="6.7109375" customWidth="1"/>
    <col min="2" max="2" width="9" customWidth="1"/>
    <col min="3" max="3" width="35.42578125" customWidth="1"/>
    <col min="4" max="4" width="114.7109375" customWidth="1"/>
    <col min="5" max="7" width="12" customWidth="1"/>
    <col min="8" max="9" width="12.140625" customWidth="1"/>
    <col min="10" max="26" width="8.85546875" customWidth="1"/>
  </cols>
  <sheetData>
    <row r="1" spans="1:26" ht="14.25" customHeight="1" x14ac:dyDescent="0.25">
      <c r="A1" s="21" t="s">
        <v>6391</v>
      </c>
      <c r="B1" s="22" t="s">
        <v>6392</v>
      </c>
      <c r="C1" s="23" t="s">
        <v>6393</v>
      </c>
      <c r="D1" s="23" t="s">
        <v>6394</v>
      </c>
      <c r="E1" s="24" t="s">
        <v>6395</v>
      </c>
      <c r="F1" s="24" t="s">
        <v>6396</v>
      </c>
      <c r="G1" s="24" t="s">
        <v>6397</v>
      </c>
      <c r="H1" s="24" t="s">
        <v>6398</v>
      </c>
      <c r="I1" s="24" t="s">
        <v>6399</v>
      </c>
      <c r="J1" s="25"/>
      <c r="K1" s="25"/>
      <c r="L1" s="25"/>
      <c r="M1" s="25"/>
      <c r="N1" s="25"/>
      <c r="O1" s="25"/>
      <c r="P1" s="25"/>
      <c r="Q1" s="25"/>
      <c r="R1" s="25"/>
      <c r="S1" s="25"/>
      <c r="T1" s="25"/>
      <c r="U1" s="25"/>
      <c r="V1" s="25"/>
      <c r="W1" s="25"/>
      <c r="X1" s="25"/>
      <c r="Y1" s="25"/>
      <c r="Z1" s="25"/>
    </row>
    <row r="2" spans="1:26" ht="14.25" customHeight="1" x14ac:dyDescent="0.25">
      <c r="A2" s="26">
        <v>2</v>
      </c>
      <c r="B2" s="27" t="s">
        <v>6400</v>
      </c>
      <c r="C2" s="27" t="s">
        <v>6401</v>
      </c>
      <c r="D2" s="27" t="s">
        <v>6353</v>
      </c>
      <c r="E2" s="21" t="s">
        <v>6402</v>
      </c>
      <c r="F2" s="21" t="s">
        <v>6403</v>
      </c>
      <c r="G2" s="21" t="s">
        <v>6404</v>
      </c>
      <c r="H2" s="21" t="s">
        <v>6405</v>
      </c>
      <c r="I2" s="21" t="s">
        <v>6406</v>
      </c>
      <c r="J2" s="28"/>
      <c r="K2" s="28"/>
      <c r="L2" s="28"/>
      <c r="M2" s="28"/>
      <c r="N2" s="28"/>
      <c r="O2" s="28"/>
      <c r="P2" s="28"/>
      <c r="Q2" s="28"/>
      <c r="R2" s="28"/>
      <c r="S2" s="28"/>
      <c r="T2" s="28"/>
      <c r="U2" s="28"/>
      <c r="V2" s="28"/>
      <c r="W2" s="28"/>
      <c r="X2" s="28"/>
      <c r="Y2" s="28"/>
      <c r="Z2" s="28"/>
    </row>
    <row r="3" spans="1:26" ht="14.25" customHeight="1" x14ac:dyDescent="0.25">
      <c r="A3" s="26">
        <v>3</v>
      </c>
      <c r="B3" s="29" t="s">
        <v>6407</v>
      </c>
      <c r="C3" s="30"/>
      <c r="D3" s="31" t="s">
        <v>6408</v>
      </c>
      <c r="E3" s="32">
        <v>43</v>
      </c>
      <c r="F3" s="32">
        <v>16</v>
      </c>
      <c r="G3" s="32">
        <v>9</v>
      </c>
      <c r="H3" s="32">
        <v>1</v>
      </c>
      <c r="I3" s="33">
        <f t="shared" ref="I3:I54" si="0">SUM(E3:H3)</f>
        <v>69</v>
      </c>
      <c r="J3" s="25"/>
      <c r="K3" s="25"/>
      <c r="L3" s="25"/>
      <c r="M3" s="25"/>
      <c r="N3" s="25"/>
      <c r="O3" s="25"/>
      <c r="P3" s="25"/>
      <c r="Q3" s="25"/>
      <c r="R3" s="25"/>
      <c r="S3" s="25"/>
      <c r="T3" s="25"/>
      <c r="U3" s="25"/>
      <c r="V3" s="25"/>
      <c r="W3" s="25"/>
      <c r="X3" s="25"/>
      <c r="Y3" s="25"/>
      <c r="Z3" s="25"/>
    </row>
    <row r="4" spans="1:26" ht="14.25" customHeight="1" x14ac:dyDescent="0.25">
      <c r="A4" s="26">
        <v>4</v>
      </c>
      <c r="B4" s="25"/>
      <c r="C4" s="34" t="s">
        <v>174</v>
      </c>
      <c r="D4" s="35" t="s">
        <v>6409</v>
      </c>
      <c r="E4" s="26">
        <v>30</v>
      </c>
      <c r="F4" s="26">
        <v>13</v>
      </c>
      <c r="G4" s="26">
        <v>2</v>
      </c>
      <c r="H4" s="26">
        <v>0</v>
      </c>
      <c r="I4" s="26">
        <f t="shared" si="0"/>
        <v>45</v>
      </c>
      <c r="J4" s="25"/>
      <c r="K4" s="25"/>
      <c r="L4" s="25"/>
      <c r="M4" s="25"/>
      <c r="N4" s="25"/>
      <c r="O4" s="25"/>
      <c r="P4" s="25"/>
      <c r="Q4" s="25"/>
      <c r="R4" s="25"/>
      <c r="S4" s="25"/>
      <c r="T4" s="25"/>
      <c r="U4" s="25"/>
      <c r="V4" s="25"/>
      <c r="W4" s="25"/>
      <c r="X4" s="25"/>
      <c r="Y4" s="25"/>
      <c r="Z4" s="25"/>
    </row>
    <row r="5" spans="1:26" ht="14.25" customHeight="1" x14ac:dyDescent="0.25">
      <c r="A5" s="26">
        <v>5</v>
      </c>
      <c r="B5" s="25"/>
      <c r="C5" s="34" t="s">
        <v>539</v>
      </c>
      <c r="D5" s="35" t="s">
        <v>6410</v>
      </c>
      <c r="E5" s="26">
        <v>10</v>
      </c>
      <c r="F5" s="26">
        <v>3</v>
      </c>
      <c r="G5" s="26">
        <v>4</v>
      </c>
      <c r="H5" s="26">
        <v>1</v>
      </c>
      <c r="I5" s="26">
        <f t="shared" si="0"/>
        <v>18</v>
      </c>
      <c r="J5" s="25"/>
      <c r="K5" s="25"/>
      <c r="L5" s="25"/>
      <c r="M5" s="25"/>
      <c r="N5" s="25"/>
      <c r="O5" s="25"/>
      <c r="P5" s="25"/>
      <c r="Q5" s="25"/>
      <c r="R5" s="25"/>
      <c r="S5" s="25"/>
      <c r="T5" s="25"/>
      <c r="U5" s="25"/>
      <c r="V5" s="25"/>
      <c r="W5" s="25"/>
      <c r="X5" s="25"/>
      <c r="Y5" s="25"/>
      <c r="Z5" s="25"/>
    </row>
    <row r="6" spans="1:26" ht="14.25" customHeight="1" x14ac:dyDescent="0.25">
      <c r="A6" s="26">
        <v>6</v>
      </c>
      <c r="B6" s="25"/>
      <c r="C6" s="34" t="s">
        <v>6411</v>
      </c>
      <c r="D6" s="35" t="s">
        <v>6412</v>
      </c>
      <c r="E6" s="26">
        <v>3</v>
      </c>
      <c r="F6" s="26">
        <v>0</v>
      </c>
      <c r="G6" s="26">
        <v>3</v>
      </c>
      <c r="H6" s="26">
        <v>0</v>
      </c>
      <c r="I6" s="26">
        <f t="shared" si="0"/>
        <v>6</v>
      </c>
      <c r="J6" s="25"/>
      <c r="K6" s="25"/>
      <c r="L6" s="25"/>
      <c r="M6" s="25"/>
      <c r="N6" s="25"/>
      <c r="O6" s="25"/>
      <c r="P6" s="25"/>
      <c r="Q6" s="25"/>
      <c r="R6" s="25"/>
      <c r="S6" s="25"/>
      <c r="T6" s="25"/>
      <c r="U6" s="25"/>
      <c r="V6" s="25"/>
      <c r="W6" s="25"/>
      <c r="X6" s="25"/>
      <c r="Y6" s="25"/>
      <c r="Z6" s="25"/>
    </row>
    <row r="7" spans="1:26" ht="14.25" customHeight="1" x14ac:dyDescent="0.25">
      <c r="A7" s="26">
        <v>7</v>
      </c>
      <c r="B7" s="29" t="s">
        <v>6413</v>
      </c>
      <c r="C7" s="30"/>
      <c r="D7" s="31" t="s">
        <v>6414</v>
      </c>
      <c r="E7" s="32">
        <v>186</v>
      </c>
      <c r="F7" s="32">
        <v>67</v>
      </c>
      <c r="G7" s="32">
        <v>120</v>
      </c>
      <c r="H7" s="32">
        <v>60</v>
      </c>
      <c r="I7" s="32">
        <f t="shared" si="0"/>
        <v>433</v>
      </c>
      <c r="J7" s="25"/>
      <c r="K7" s="25"/>
      <c r="L7" s="25"/>
      <c r="M7" s="25"/>
      <c r="N7" s="25"/>
      <c r="O7" s="25"/>
      <c r="P7" s="25"/>
      <c r="Q7" s="25"/>
      <c r="R7" s="25"/>
      <c r="S7" s="25"/>
      <c r="T7" s="25"/>
      <c r="U7" s="25"/>
      <c r="V7" s="25"/>
      <c r="W7" s="25"/>
      <c r="X7" s="25"/>
      <c r="Y7" s="25"/>
      <c r="Z7" s="25"/>
    </row>
    <row r="8" spans="1:26" ht="14.25" customHeight="1" x14ac:dyDescent="0.25">
      <c r="A8" s="26">
        <v>8</v>
      </c>
      <c r="B8" s="25"/>
      <c r="C8" s="34" t="s">
        <v>173</v>
      </c>
      <c r="D8" s="35" t="s">
        <v>6415</v>
      </c>
      <c r="E8" s="26">
        <v>35</v>
      </c>
      <c r="F8" s="26">
        <v>8</v>
      </c>
      <c r="G8" s="26">
        <v>0</v>
      </c>
      <c r="H8" s="26">
        <v>0</v>
      </c>
      <c r="I8" s="26">
        <f t="shared" si="0"/>
        <v>43</v>
      </c>
      <c r="J8" s="25"/>
      <c r="K8" s="25"/>
      <c r="L8" s="25"/>
      <c r="M8" s="25"/>
      <c r="N8" s="25"/>
      <c r="O8" s="25"/>
      <c r="P8" s="25"/>
      <c r="Q8" s="25"/>
      <c r="R8" s="25"/>
      <c r="S8" s="25"/>
      <c r="T8" s="25"/>
      <c r="U8" s="25"/>
      <c r="V8" s="25"/>
      <c r="W8" s="25"/>
      <c r="X8" s="25"/>
      <c r="Y8" s="25"/>
      <c r="Z8" s="25"/>
    </row>
    <row r="9" spans="1:26" ht="14.25" customHeight="1" x14ac:dyDescent="0.25">
      <c r="A9" s="26">
        <v>9</v>
      </c>
      <c r="B9" s="25"/>
      <c r="C9" s="34" t="s">
        <v>303</v>
      </c>
      <c r="D9" s="35" t="s">
        <v>6416</v>
      </c>
      <c r="E9" s="26">
        <v>16</v>
      </c>
      <c r="F9" s="26">
        <v>3</v>
      </c>
      <c r="G9" s="26">
        <v>0</v>
      </c>
      <c r="H9" s="26">
        <v>0</v>
      </c>
      <c r="I9" s="26">
        <f t="shared" si="0"/>
        <v>19</v>
      </c>
      <c r="J9" s="25"/>
      <c r="K9" s="25"/>
      <c r="L9" s="25"/>
      <c r="M9" s="25"/>
      <c r="N9" s="25"/>
      <c r="O9" s="25"/>
      <c r="P9" s="25"/>
      <c r="Q9" s="25"/>
      <c r="R9" s="25"/>
      <c r="S9" s="25"/>
      <c r="T9" s="25"/>
      <c r="U9" s="25"/>
      <c r="V9" s="25"/>
      <c r="W9" s="25"/>
      <c r="X9" s="25"/>
      <c r="Y9" s="25"/>
      <c r="Z9" s="25"/>
    </row>
    <row r="10" spans="1:26" ht="14.25" customHeight="1" x14ac:dyDescent="0.25">
      <c r="A10" s="26">
        <v>10</v>
      </c>
      <c r="B10" s="25"/>
      <c r="C10" s="34" t="s">
        <v>212</v>
      </c>
      <c r="D10" s="35" t="s">
        <v>6417</v>
      </c>
      <c r="E10" s="26">
        <v>19</v>
      </c>
      <c r="F10" s="26">
        <v>19</v>
      </c>
      <c r="G10" s="26">
        <v>21</v>
      </c>
      <c r="H10" s="26">
        <v>28</v>
      </c>
      <c r="I10" s="26">
        <f t="shared" si="0"/>
        <v>87</v>
      </c>
      <c r="J10" s="25"/>
      <c r="K10" s="25"/>
      <c r="L10" s="25"/>
      <c r="M10" s="25"/>
      <c r="N10" s="25"/>
      <c r="O10" s="25"/>
      <c r="P10" s="25"/>
      <c r="Q10" s="25"/>
      <c r="R10" s="25"/>
      <c r="S10" s="25"/>
      <c r="T10" s="25"/>
      <c r="U10" s="25"/>
      <c r="V10" s="25"/>
      <c r="W10" s="25"/>
      <c r="X10" s="25"/>
      <c r="Y10" s="25"/>
      <c r="Z10" s="25"/>
    </row>
    <row r="11" spans="1:26" ht="14.25" customHeight="1" x14ac:dyDescent="0.25">
      <c r="A11" s="26">
        <v>11</v>
      </c>
      <c r="B11" s="25"/>
      <c r="C11" s="34" t="s">
        <v>147</v>
      </c>
      <c r="D11" s="35" t="s">
        <v>6418</v>
      </c>
      <c r="E11" s="26">
        <v>52</v>
      </c>
      <c r="F11" s="26">
        <v>27</v>
      </c>
      <c r="G11" s="26">
        <v>35</v>
      </c>
      <c r="H11" s="26">
        <v>16</v>
      </c>
      <c r="I11" s="26">
        <f t="shared" si="0"/>
        <v>130</v>
      </c>
      <c r="J11" s="25"/>
      <c r="K11" s="25"/>
      <c r="L11" s="25"/>
      <c r="M11" s="25"/>
      <c r="N11" s="25"/>
      <c r="O11" s="25"/>
      <c r="P11" s="25"/>
      <c r="Q11" s="25"/>
      <c r="R11" s="25"/>
      <c r="S11" s="25"/>
      <c r="T11" s="25"/>
      <c r="U11" s="25"/>
      <c r="V11" s="25"/>
      <c r="W11" s="25"/>
      <c r="X11" s="25"/>
      <c r="Y11" s="25"/>
      <c r="Z11" s="25"/>
    </row>
    <row r="12" spans="1:26" ht="14.25" customHeight="1" x14ac:dyDescent="0.25">
      <c r="A12" s="26">
        <v>12</v>
      </c>
      <c r="B12" s="25"/>
      <c r="C12" s="36" t="s">
        <v>240</v>
      </c>
      <c r="D12" s="35" t="s">
        <v>6419</v>
      </c>
      <c r="E12" s="26">
        <v>15</v>
      </c>
      <c r="F12" s="26">
        <v>4</v>
      </c>
      <c r="G12" s="26">
        <v>9</v>
      </c>
      <c r="H12" s="26">
        <v>4</v>
      </c>
      <c r="I12" s="26">
        <f t="shared" si="0"/>
        <v>32</v>
      </c>
      <c r="J12" s="25"/>
      <c r="K12" s="25"/>
      <c r="L12" s="25"/>
      <c r="M12" s="25"/>
      <c r="N12" s="25"/>
      <c r="O12" s="25"/>
      <c r="P12" s="25"/>
      <c r="Q12" s="25"/>
      <c r="R12" s="25"/>
      <c r="S12" s="25"/>
      <c r="T12" s="25"/>
      <c r="U12" s="25"/>
      <c r="V12" s="25"/>
      <c r="W12" s="25"/>
      <c r="X12" s="25"/>
      <c r="Y12" s="25"/>
      <c r="Z12" s="25"/>
    </row>
    <row r="13" spans="1:26" ht="14.25" customHeight="1" x14ac:dyDescent="0.25">
      <c r="A13" s="26">
        <v>13</v>
      </c>
      <c r="B13" s="25"/>
      <c r="C13" s="36" t="s">
        <v>248</v>
      </c>
      <c r="D13" s="35" t="s">
        <v>6420</v>
      </c>
      <c r="E13" s="26">
        <v>13</v>
      </c>
      <c r="F13" s="26">
        <v>3</v>
      </c>
      <c r="G13" s="26">
        <v>2</v>
      </c>
      <c r="H13" s="26">
        <v>9</v>
      </c>
      <c r="I13" s="26">
        <f t="shared" si="0"/>
        <v>27</v>
      </c>
      <c r="J13" s="25"/>
      <c r="K13" s="25"/>
      <c r="L13" s="25"/>
      <c r="M13" s="25"/>
      <c r="N13" s="25"/>
      <c r="O13" s="25"/>
      <c r="P13" s="25"/>
      <c r="Q13" s="25"/>
      <c r="R13" s="25"/>
      <c r="S13" s="25"/>
      <c r="T13" s="25"/>
      <c r="U13" s="25"/>
      <c r="V13" s="25"/>
      <c r="W13" s="25"/>
      <c r="X13" s="25"/>
      <c r="Y13" s="25"/>
      <c r="Z13" s="25"/>
    </row>
    <row r="14" spans="1:26" ht="14.25" customHeight="1" x14ac:dyDescent="0.25">
      <c r="A14" s="26">
        <v>14</v>
      </c>
      <c r="B14" s="25"/>
      <c r="C14" s="34" t="s">
        <v>137</v>
      </c>
      <c r="D14" s="35" t="s">
        <v>6421</v>
      </c>
      <c r="E14" s="26">
        <v>36</v>
      </c>
      <c r="F14" s="26">
        <v>3</v>
      </c>
      <c r="G14" s="26">
        <v>53</v>
      </c>
      <c r="H14" s="26">
        <v>3</v>
      </c>
      <c r="I14" s="26">
        <f t="shared" si="0"/>
        <v>95</v>
      </c>
      <c r="J14" s="25"/>
      <c r="K14" s="25"/>
      <c r="L14" s="25"/>
      <c r="M14" s="25"/>
      <c r="N14" s="25"/>
      <c r="O14" s="25"/>
      <c r="P14" s="25"/>
      <c r="Q14" s="25"/>
      <c r="R14" s="25"/>
      <c r="S14" s="25"/>
      <c r="T14" s="25"/>
      <c r="U14" s="25"/>
      <c r="V14" s="25"/>
      <c r="W14" s="25"/>
      <c r="X14" s="25"/>
      <c r="Y14" s="25"/>
      <c r="Z14" s="25"/>
    </row>
    <row r="15" spans="1:26" ht="14.25" customHeight="1" x14ac:dyDescent="0.25">
      <c r="A15" s="26">
        <v>15</v>
      </c>
      <c r="B15" s="29" t="s">
        <v>6422</v>
      </c>
      <c r="C15" s="30"/>
      <c r="D15" s="31" t="s">
        <v>6423</v>
      </c>
      <c r="E15" s="32">
        <v>97</v>
      </c>
      <c r="F15" s="32">
        <v>87</v>
      </c>
      <c r="G15" s="32">
        <v>156</v>
      </c>
      <c r="H15" s="32">
        <v>95</v>
      </c>
      <c r="I15" s="32">
        <f t="shared" si="0"/>
        <v>435</v>
      </c>
      <c r="J15" s="25"/>
      <c r="K15" s="25"/>
      <c r="L15" s="25"/>
      <c r="M15" s="25"/>
      <c r="N15" s="25"/>
      <c r="O15" s="25"/>
      <c r="P15" s="25"/>
      <c r="Q15" s="25"/>
      <c r="R15" s="25"/>
      <c r="S15" s="25"/>
      <c r="T15" s="25"/>
      <c r="U15" s="25"/>
      <c r="V15" s="25"/>
      <c r="W15" s="25"/>
      <c r="X15" s="25"/>
      <c r="Y15" s="25"/>
      <c r="Z15" s="25"/>
    </row>
    <row r="16" spans="1:26" ht="14.25" customHeight="1" x14ac:dyDescent="0.25">
      <c r="A16" s="26">
        <v>16</v>
      </c>
      <c r="B16" s="25"/>
      <c r="C16" s="34" t="s">
        <v>188</v>
      </c>
      <c r="D16" s="35" t="s">
        <v>6415</v>
      </c>
      <c r="E16" s="26">
        <v>2</v>
      </c>
      <c r="F16" s="26">
        <v>5</v>
      </c>
      <c r="G16" s="26">
        <v>0</v>
      </c>
      <c r="H16" s="26">
        <v>0</v>
      </c>
      <c r="I16" s="26">
        <f t="shared" si="0"/>
        <v>7</v>
      </c>
      <c r="J16" s="25"/>
      <c r="K16" s="25"/>
      <c r="L16" s="25"/>
      <c r="M16" s="25"/>
      <c r="N16" s="25"/>
      <c r="O16" s="25"/>
      <c r="P16" s="25"/>
      <c r="Q16" s="25"/>
      <c r="R16" s="25"/>
      <c r="S16" s="25"/>
      <c r="T16" s="25"/>
      <c r="U16" s="25"/>
      <c r="V16" s="25"/>
      <c r="W16" s="25"/>
      <c r="X16" s="25"/>
      <c r="Y16" s="25"/>
      <c r="Z16" s="25"/>
    </row>
    <row r="17" spans="1:26" ht="14.25" customHeight="1" x14ac:dyDescent="0.25">
      <c r="A17" s="26">
        <v>17</v>
      </c>
      <c r="B17" s="25"/>
      <c r="C17" s="34" t="s">
        <v>357</v>
      </c>
      <c r="D17" s="35" t="s">
        <v>6424</v>
      </c>
      <c r="E17" s="26">
        <v>24</v>
      </c>
      <c r="F17" s="26">
        <v>5</v>
      </c>
      <c r="G17" s="26">
        <v>54</v>
      </c>
      <c r="H17" s="26">
        <v>9</v>
      </c>
      <c r="I17" s="26">
        <f t="shared" si="0"/>
        <v>92</v>
      </c>
      <c r="J17" s="25"/>
      <c r="K17" s="25"/>
      <c r="L17" s="25"/>
      <c r="M17" s="25"/>
      <c r="N17" s="25"/>
      <c r="O17" s="25"/>
      <c r="P17" s="25"/>
      <c r="Q17" s="25"/>
      <c r="R17" s="25"/>
      <c r="S17" s="25"/>
      <c r="T17" s="25"/>
      <c r="U17" s="25"/>
      <c r="V17" s="25"/>
      <c r="W17" s="25"/>
      <c r="X17" s="25"/>
      <c r="Y17" s="25"/>
      <c r="Z17" s="25"/>
    </row>
    <row r="18" spans="1:26" ht="14.25" customHeight="1" x14ac:dyDescent="0.25">
      <c r="A18" s="26">
        <v>18</v>
      </c>
      <c r="B18" s="25"/>
      <c r="C18" s="34" t="s">
        <v>148</v>
      </c>
      <c r="D18" s="35" t="s">
        <v>6425</v>
      </c>
      <c r="E18" s="26">
        <v>10</v>
      </c>
      <c r="F18" s="26">
        <v>11</v>
      </c>
      <c r="G18" s="26">
        <v>15</v>
      </c>
      <c r="H18" s="26">
        <v>32</v>
      </c>
      <c r="I18" s="26">
        <f t="shared" si="0"/>
        <v>68</v>
      </c>
      <c r="J18" s="25"/>
      <c r="K18" s="25"/>
      <c r="L18" s="25"/>
      <c r="M18" s="25"/>
      <c r="N18" s="25"/>
      <c r="O18" s="25"/>
      <c r="P18" s="25"/>
      <c r="Q18" s="25"/>
      <c r="R18" s="25"/>
      <c r="S18" s="25"/>
      <c r="T18" s="25"/>
      <c r="U18" s="25"/>
      <c r="V18" s="25"/>
      <c r="W18" s="25"/>
      <c r="X18" s="25"/>
      <c r="Y18" s="25"/>
      <c r="Z18" s="25"/>
    </row>
    <row r="19" spans="1:26" ht="14.25" customHeight="1" x14ac:dyDescent="0.25">
      <c r="A19" s="26">
        <v>19</v>
      </c>
      <c r="B19" s="25"/>
      <c r="C19" s="34" t="s">
        <v>164</v>
      </c>
      <c r="D19" s="35" t="s">
        <v>6426</v>
      </c>
      <c r="E19" s="26">
        <v>1</v>
      </c>
      <c r="F19" s="26">
        <v>1</v>
      </c>
      <c r="G19" s="26">
        <v>5</v>
      </c>
      <c r="H19" s="26">
        <v>10</v>
      </c>
      <c r="I19" s="26">
        <f t="shared" si="0"/>
        <v>17</v>
      </c>
      <c r="J19" s="25"/>
      <c r="K19" s="25"/>
      <c r="L19" s="25"/>
      <c r="M19" s="25"/>
      <c r="N19" s="25"/>
      <c r="O19" s="25"/>
      <c r="P19" s="25"/>
      <c r="Q19" s="25"/>
      <c r="R19" s="25"/>
      <c r="S19" s="25"/>
      <c r="T19" s="25"/>
      <c r="U19" s="25"/>
      <c r="V19" s="25"/>
      <c r="W19" s="25"/>
      <c r="X19" s="25"/>
      <c r="Y19" s="25"/>
      <c r="Z19" s="25"/>
    </row>
    <row r="20" spans="1:26" ht="14.25" customHeight="1" x14ac:dyDescent="0.25">
      <c r="A20" s="26">
        <v>20</v>
      </c>
      <c r="B20" s="25"/>
      <c r="C20" s="34" t="s">
        <v>163</v>
      </c>
      <c r="D20" s="35" t="s">
        <v>6427</v>
      </c>
      <c r="E20" s="26">
        <v>0</v>
      </c>
      <c r="F20" s="26">
        <v>57</v>
      </c>
      <c r="G20" s="26">
        <v>71</v>
      </c>
      <c r="H20" s="26">
        <v>31</v>
      </c>
      <c r="I20" s="26">
        <f t="shared" si="0"/>
        <v>159</v>
      </c>
      <c r="J20" s="25"/>
      <c r="K20" s="25"/>
      <c r="L20" s="25"/>
      <c r="M20" s="25"/>
      <c r="N20" s="25"/>
      <c r="O20" s="25"/>
      <c r="P20" s="25"/>
      <c r="Q20" s="25"/>
      <c r="R20" s="25"/>
      <c r="S20" s="25"/>
      <c r="T20" s="25"/>
      <c r="U20" s="25"/>
      <c r="V20" s="25"/>
      <c r="W20" s="25"/>
      <c r="X20" s="25"/>
      <c r="Y20" s="25"/>
      <c r="Z20" s="25"/>
    </row>
    <row r="21" spans="1:26" ht="14.25" customHeight="1" x14ac:dyDescent="0.25">
      <c r="A21" s="26">
        <v>21</v>
      </c>
      <c r="B21" s="25"/>
      <c r="C21" s="34" t="s">
        <v>1153</v>
      </c>
      <c r="D21" s="35" t="s">
        <v>6428</v>
      </c>
      <c r="E21" s="26">
        <v>46</v>
      </c>
      <c r="F21" s="26">
        <v>0</v>
      </c>
      <c r="G21" s="26">
        <v>0</v>
      </c>
      <c r="H21" s="26">
        <v>0</v>
      </c>
      <c r="I21" s="26">
        <f t="shared" si="0"/>
        <v>46</v>
      </c>
      <c r="J21" s="25"/>
      <c r="K21" s="25"/>
      <c r="L21" s="25"/>
      <c r="M21" s="25"/>
      <c r="N21" s="25"/>
      <c r="O21" s="25"/>
      <c r="P21" s="25"/>
      <c r="Q21" s="25"/>
      <c r="R21" s="25"/>
      <c r="S21" s="25"/>
      <c r="T21" s="25"/>
      <c r="U21" s="25"/>
      <c r="V21" s="25"/>
      <c r="W21" s="25"/>
      <c r="X21" s="25"/>
      <c r="Y21" s="25"/>
      <c r="Z21" s="25"/>
    </row>
    <row r="22" spans="1:26" ht="14.25" customHeight="1" x14ac:dyDescent="0.25">
      <c r="A22" s="26">
        <v>22</v>
      </c>
      <c r="B22" s="25"/>
      <c r="C22" s="34" t="s">
        <v>623</v>
      </c>
      <c r="D22" s="35" t="s">
        <v>6429</v>
      </c>
      <c r="E22" s="26">
        <v>14</v>
      </c>
      <c r="F22" s="26">
        <v>8</v>
      </c>
      <c r="G22" s="26">
        <v>11</v>
      </c>
      <c r="H22" s="26">
        <v>13</v>
      </c>
      <c r="I22" s="26">
        <f t="shared" si="0"/>
        <v>46</v>
      </c>
      <c r="J22" s="25"/>
      <c r="K22" s="25"/>
      <c r="L22" s="25"/>
      <c r="M22" s="25"/>
      <c r="N22" s="25"/>
      <c r="O22" s="25"/>
      <c r="P22" s="25"/>
      <c r="Q22" s="25"/>
      <c r="R22" s="25"/>
      <c r="S22" s="25"/>
      <c r="T22" s="25"/>
      <c r="U22" s="25"/>
      <c r="V22" s="25"/>
      <c r="W22" s="25"/>
      <c r="X22" s="25"/>
      <c r="Y22" s="25"/>
      <c r="Z22" s="25"/>
    </row>
    <row r="23" spans="1:26" ht="14.25" customHeight="1" x14ac:dyDescent="0.25">
      <c r="A23" s="26">
        <v>23</v>
      </c>
      <c r="B23" s="29" t="s">
        <v>6430</v>
      </c>
      <c r="C23" s="30"/>
      <c r="D23" s="31" t="s">
        <v>6431</v>
      </c>
      <c r="E23" s="32">
        <v>58</v>
      </c>
      <c r="F23" s="32">
        <v>3</v>
      </c>
      <c r="G23" s="32">
        <v>18</v>
      </c>
      <c r="H23" s="32">
        <v>1</v>
      </c>
      <c r="I23" s="32">
        <f t="shared" si="0"/>
        <v>80</v>
      </c>
      <c r="J23" s="25"/>
      <c r="K23" s="25"/>
      <c r="L23" s="25"/>
      <c r="M23" s="25"/>
      <c r="N23" s="25"/>
      <c r="O23" s="25"/>
      <c r="P23" s="25"/>
      <c r="Q23" s="25"/>
      <c r="R23" s="25"/>
      <c r="S23" s="25"/>
      <c r="T23" s="25"/>
      <c r="U23" s="25"/>
      <c r="V23" s="25"/>
      <c r="W23" s="25"/>
      <c r="X23" s="25"/>
      <c r="Y23" s="25"/>
      <c r="Z23" s="25"/>
    </row>
    <row r="24" spans="1:26" ht="14.25" customHeight="1" x14ac:dyDescent="0.25">
      <c r="A24" s="26">
        <v>24</v>
      </c>
      <c r="B24" s="25"/>
      <c r="C24" s="34" t="s">
        <v>760</v>
      </c>
      <c r="D24" s="35" t="s">
        <v>6432</v>
      </c>
      <c r="E24" s="26">
        <v>15</v>
      </c>
      <c r="F24" s="26">
        <v>2</v>
      </c>
      <c r="G24" s="26">
        <v>18</v>
      </c>
      <c r="H24" s="26">
        <v>1</v>
      </c>
      <c r="I24" s="26">
        <f t="shared" si="0"/>
        <v>36</v>
      </c>
      <c r="J24" s="25"/>
      <c r="K24" s="25"/>
      <c r="L24" s="25"/>
      <c r="M24" s="25"/>
      <c r="N24" s="25"/>
      <c r="O24" s="25"/>
      <c r="P24" s="25"/>
      <c r="Q24" s="25"/>
      <c r="R24" s="25"/>
      <c r="S24" s="25"/>
      <c r="T24" s="25"/>
      <c r="U24" s="25"/>
      <c r="V24" s="25"/>
      <c r="W24" s="25"/>
      <c r="X24" s="25"/>
      <c r="Y24" s="25"/>
      <c r="Z24" s="25"/>
    </row>
    <row r="25" spans="1:26" ht="14.25" customHeight="1" x14ac:dyDescent="0.25">
      <c r="A25" s="26">
        <v>25</v>
      </c>
      <c r="B25" s="25"/>
      <c r="C25" s="34" t="s">
        <v>1326</v>
      </c>
      <c r="D25" s="35" t="s">
        <v>6433</v>
      </c>
      <c r="E25" s="26">
        <v>43</v>
      </c>
      <c r="F25" s="26">
        <v>1</v>
      </c>
      <c r="G25" s="26">
        <v>0</v>
      </c>
      <c r="H25" s="26">
        <v>0</v>
      </c>
      <c r="I25" s="26">
        <f t="shared" si="0"/>
        <v>44</v>
      </c>
      <c r="J25" s="25"/>
      <c r="K25" s="25"/>
      <c r="L25" s="25"/>
      <c r="M25" s="25"/>
      <c r="N25" s="25"/>
      <c r="O25" s="25"/>
      <c r="P25" s="25"/>
      <c r="Q25" s="25"/>
      <c r="R25" s="25"/>
      <c r="S25" s="25"/>
      <c r="T25" s="25"/>
      <c r="U25" s="25"/>
      <c r="V25" s="25"/>
      <c r="W25" s="25"/>
      <c r="X25" s="25"/>
      <c r="Y25" s="25"/>
      <c r="Z25" s="25"/>
    </row>
    <row r="26" spans="1:26" ht="14.25" customHeight="1" x14ac:dyDescent="0.25">
      <c r="A26" s="26">
        <v>26</v>
      </c>
      <c r="B26" s="29" t="s">
        <v>6434</v>
      </c>
      <c r="C26" s="30"/>
      <c r="D26" s="31" t="s">
        <v>6435</v>
      </c>
      <c r="E26" s="32">
        <v>0</v>
      </c>
      <c r="F26" s="32">
        <v>0</v>
      </c>
      <c r="G26" s="32">
        <v>56</v>
      </c>
      <c r="H26" s="32">
        <v>13</v>
      </c>
      <c r="I26" s="32">
        <f t="shared" si="0"/>
        <v>69</v>
      </c>
      <c r="J26" s="25"/>
      <c r="K26" s="25"/>
      <c r="L26" s="25"/>
      <c r="M26" s="25"/>
      <c r="N26" s="25"/>
      <c r="O26" s="25"/>
      <c r="P26" s="25"/>
      <c r="Q26" s="25"/>
      <c r="R26" s="25"/>
      <c r="S26" s="25"/>
      <c r="T26" s="25"/>
      <c r="U26" s="25"/>
      <c r="V26" s="25"/>
      <c r="W26" s="25"/>
      <c r="X26" s="25"/>
      <c r="Y26" s="25"/>
      <c r="Z26" s="25"/>
    </row>
    <row r="27" spans="1:26" ht="14.25" customHeight="1" x14ac:dyDescent="0.25">
      <c r="A27" s="26">
        <v>27</v>
      </c>
      <c r="B27" s="25"/>
      <c r="C27" s="34" t="s">
        <v>2537</v>
      </c>
      <c r="D27" s="35" t="s">
        <v>6436</v>
      </c>
      <c r="E27" s="26">
        <v>0</v>
      </c>
      <c r="F27" s="26">
        <v>0</v>
      </c>
      <c r="G27" s="26">
        <v>2</v>
      </c>
      <c r="H27" s="26"/>
      <c r="I27" s="26">
        <f t="shared" si="0"/>
        <v>2</v>
      </c>
      <c r="J27" s="25"/>
      <c r="K27" s="25"/>
      <c r="L27" s="25"/>
      <c r="M27" s="25"/>
      <c r="N27" s="25"/>
      <c r="O27" s="25"/>
      <c r="P27" s="25"/>
      <c r="Q27" s="25"/>
      <c r="R27" s="25"/>
      <c r="S27" s="25"/>
      <c r="T27" s="25"/>
      <c r="U27" s="25"/>
      <c r="V27" s="25"/>
      <c r="W27" s="25"/>
      <c r="X27" s="25"/>
      <c r="Y27" s="25"/>
      <c r="Z27" s="25"/>
    </row>
    <row r="28" spans="1:26" ht="14.25" customHeight="1" x14ac:dyDescent="0.25">
      <c r="A28" s="26">
        <v>28</v>
      </c>
      <c r="B28" s="25"/>
      <c r="C28" s="34" t="s">
        <v>1154</v>
      </c>
      <c r="D28" s="35" t="s">
        <v>6437</v>
      </c>
      <c r="E28" s="26">
        <v>0</v>
      </c>
      <c r="F28" s="26">
        <v>0</v>
      </c>
      <c r="G28" s="26">
        <v>54</v>
      </c>
      <c r="H28" s="26">
        <v>13</v>
      </c>
      <c r="I28" s="26">
        <f t="shared" si="0"/>
        <v>67</v>
      </c>
      <c r="J28" s="25"/>
      <c r="K28" s="25"/>
      <c r="L28" s="25"/>
      <c r="M28" s="25"/>
      <c r="N28" s="25"/>
      <c r="O28" s="25"/>
      <c r="P28" s="25"/>
      <c r="Q28" s="25"/>
      <c r="R28" s="25"/>
      <c r="S28" s="25"/>
      <c r="T28" s="25"/>
      <c r="U28" s="25"/>
      <c r="V28" s="25"/>
      <c r="W28" s="25"/>
      <c r="X28" s="25"/>
      <c r="Y28" s="25"/>
      <c r="Z28" s="25"/>
    </row>
    <row r="29" spans="1:26" ht="14.25" customHeight="1" x14ac:dyDescent="0.25">
      <c r="A29" s="26">
        <v>29</v>
      </c>
      <c r="B29" s="29" t="s">
        <v>6438</v>
      </c>
      <c r="C29" s="30"/>
      <c r="D29" s="31" t="s">
        <v>6439</v>
      </c>
      <c r="E29" s="32">
        <v>51</v>
      </c>
      <c r="F29" s="32">
        <v>14</v>
      </c>
      <c r="G29" s="32">
        <v>51</v>
      </c>
      <c r="H29" s="32">
        <v>20</v>
      </c>
      <c r="I29" s="32">
        <f t="shared" si="0"/>
        <v>136</v>
      </c>
      <c r="J29" s="25"/>
      <c r="K29" s="25"/>
      <c r="L29" s="25"/>
      <c r="M29" s="25"/>
      <c r="N29" s="25"/>
      <c r="O29" s="25"/>
      <c r="P29" s="25"/>
      <c r="Q29" s="25"/>
      <c r="R29" s="25"/>
      <c r="S29" s="25"/>
      <c r="T29" s="25"/>
      <c r="U29" s="25"/>
      <c r="V29" s="25"/>
      <c r="W29" s="25"/>
      <c r="X29" s="25"/>
      <c r="Y29" s="25"/>
      <c r="Z29" s="25"/>
    </row>
    <row r="30" spans="1:26" ht="14.25" customHeight="1" x14ac:dyDescent="0.25">
      <c r="A30" s="26">
        <v>30</v>
      </c>
      <c r="B30" s="25"/>
      <c r="C30" s="34" t="s">
        <v>585</v>
      </c>
      <c r="D30" s="35" t="s">
        <v>6440</v>
      </c>
      <c r="E30" s="26">
        <v>31</v>
      </c>
      <c r="F30" s="26">
        <v>3</v>
      </c>
      <c r="G30" s="26">
        <v>11</v>
      </c>
      <c r="H30" s="26">
        <v>7</v>
      </c>
      <c r="I30" s="26">
        <f t="shared" si="0"/>
        <v>52</v>
      </c>
      <c r="J30" s="25"/>
      <c r="K30" s="25"/>
      <c r="L30" s="25"/>
      <c r="M30" s="25"/>
      <c r="N30" s="25"/>
      <c r="O30" s="25"/>
      <c r="P30" s="25"/>
      <c r="Q30" s="25"/>
      <c r="R30" s="25"/>
      <c r="S30" s="25"/>
      <c r="T30" s="25"/>
      <c r="U30" s="25"/>
      <c r="V30" s="25"/>
      <c r="W30" s="25"/>
      <c r="X30" s="25"/>
      <c r="Y30" s="25"/>
      <c r="Z30" s="25"/>
    </row>
    <row r="31" spans="1:26" ht="14.25" customHeight="1" x14ac:dyDescent="0.25">
      <c r="A31" s="26">
        <v>31</v>
      </c>
      <c r="B31" s="25"/>
      <c r="C31" s="34" t="s">
        <v>474</v>
      </c>
      <c r="D31" s="35" t="s">
        <v>6441</v>
      </c>
      <c r="E31" s="26">
        <v>4</v>
      </c>
      <c r="F31" s="26">
        <v>1</v>
      </c>
      <c r="G31" s="26">
        <v>15</v>
      </c>
      <c r="H31" s="26">
        <v>2</v>
      </c>
      <c r="I31" s="26">
        <f t="shared" si="0"/>
        <v>22</v>
      </c>
      <c r="J31" s="25"/>
      <c r="K31" s="25"/>
      <c r="L31" s="25"/>
      <c r="M31" s="25"/>
      <c r="N31" s="25"/>
      <c r="O31" s="25"/>
      <c r="P31" s="25"/>
      <c r="Q31" s="25"/>
      <c r="R31" s="25"/>
      <c r="S31" s="25"/>
      <c r="T31" s="25"/>
      <c r="U31" s="25"/>
      <c r="V31" s="25"/>
      <c r="W31" s="25"/>
      <c r="X31" s="25"/>
      <c r="Y31" s="25"/>
      <c r="Z31" s="25"/>
    </row>
    <row r="32" spans="1:26" ht="14.25" customHeight="1" x14ac:dyDescent="0.25">
      <c r="A32" s="26">
        <v>32</v>
      </c>
      <c r="B32" s="25"/>
      <c r="C32" s="34" t="s">
        <v>463</v>
      </c>
      <c r="D32" s="35" t="s">
        <v>6442</v>
      </c>
      <c r="E32" s="26">
        <v>16</v>
      </c>
      <c r="F32" s="26">
        <v>10</v>
      </c>
      <c r="G32" s="26">
        <v>17</v>
      </c>
      <c r="H32" s="26">
        <v>11</v>
      </c>
      <c r="I32" s="26">
        <f t="shared" si="0"/>
        <v>54</v>
      </c>
      <c r="J32" s="25"/>
      <c r="K32" s="25"/>
      <c r="L32" s="25"/>
      <c r="M32" s="25"/>
      <c r="N32" s="25"/>
      <c r="O32" s="25"/>
      <c r="P32" s="25"/>
      <c r="Q32" s="25"/>
      <c r="R32" s="25"/>
      <c r="S32" s="25"/>
      <c r="T32" s="25"/>
      <c r="U32" s="25"/>
      <c r="V32" s="25"/>
      <c r="W32" s="25"/>
      <c r="X32" s="25"/>
      <c r="Y32" s="25"/>
      <c r="Z32" s="25"/>
    </row>
    <row r="33" spans="1:26" ht="14.25" customHeight="1" x14ac:dyDescent="0.25">
      <c r="A33" s="26">
        <v>33</v>
      </c>
      <c r="B33" s="25"/>
      <c r="C33" s="34" t="s">
        <v>1137</v>
      </c>
      <c r="D33" s="35" t="s">
        <v>6443</v>
      </c>
      <c r="E33" s="26">
        <v>0</v>
      </c>
      <c r="F33" s="26">
        <v>0</v>
      </c>
      <c r="G33" s="26">
        <v>8</v>
      </c>
      <c r="H33" s="26">
        <v>0</v>
      </c>
      <c r="I33" s="26">
        <f t="shared" si="0"/>
        <v>8</v>
      </c>
      <c r="J33" s="25"/>
      <c r="K33" s="25"/>
      <c r="L33" s="25"/>
      <c r="M33" s="25"/>
      <c r="N33" s="25"/>
      <c r="O33" s="25"/>
      <c r="P33" s="25"/>
      <c r="Q33" s="25"/>
      <c r="R33" s="25"/>
      <c r="S33" s="25"/>
      <c r="T33" s="25"/>
      <c r="U33" s="25"/>
      <c r="V33" s="25"/>
      <c r="W33" s="25"/>
      <c r="X33" s="25"/>
      <c r="Y33" s="25"/>
      <c r="Z33" s="25"/>
    </row>
    <row r="34" spans="1:26" ht="14.25" customHeight="1" x14ac:dyDescent="0.25">
      <c r="A34" s="26">
        <v>34</v>
      </c>
      <c r="B34" s="29" t="s">
        <v>6444</v>
      </c>
      <c r="C34" s="30"/>
      <c r="D34" s="31" t="s">
        <v>6445</v>
      </c>
      <c r="E34" s="32">
        <v>64</v>
      </c>
      <c r="F34" s="32">
        <v>34</v>
      </c>
      <c r="G34" s="32">
        <v>56</v>
      </c>
      <c r="H34" s="32">
        <v>37</v>
      </c>
      <c r="I34" s="32">
        <f t="shared" si="0"/>
        <v>191</v>
      </c>
      <c r="J34" s="25"/>
      <c r="K34" s="25"/>
      <c r="L34" s="25"/>
      <c r="M34" s="25"/>
      <c r="N34" s="25"/>
      <c r="O34" s="25"/>
      <c r="P34" s="25"/>
      <c r="Q34" s="25"/>
      <c r="R34" s="25"/>
      <c r="S34" s="25"/>
      <c r="T34" s="25"/>
      <c r="U34" s="25"/>
      <c r="V34" s="25"/>
      <c r="W34" s="25"/>
      <c r="X34" s="25"/>
      <c r="Y34" s="25"/>
      <c r="Z34" s="25"/>
    </row>
    <row r="35" spans="1:26" ht="14.25" customHeight="1" x14ac:dyDescent="0.25">
      <c r="A35" s="26">
        <v>35</v>
      </c>
      <c r="B35" s="25"/>
      <c r="C35" s="34" t="s">
        <v>556</v>
      </c>
      <c r="D35" s="35" t="s">
        <v>6446</v>
      </c>
      <c r="E35" s="26">
        <v>6</v>
      </c>
      <c r="F35" s="26">
        <v>1</v>
      </c>
      <c r="G35" s="26">
        <v>2</v>
      </c>
      <c r="H35" s="26">
        <v>2</v>
      </c>
      <c r="I35" s="26">
        <f t="shared" si="0"/>
        <v>11</v>
      </c>
      <c r="J35" s="25"/>
      <c r="K35" s="25"/>
      <c r="L35" s="25"/>
      <c r="M35" s="25"/>
      <c r="N35" s="25"/>
      <c r="O35" s="25"/>
      <c r="P35" s="25"/>
      <c r="Q35" s="25"/>
      <c r="R35" s="25"/>
      <c r="S35" s="25"/>
      <c r="T35" s="25"/>
      <c r="U35" s="25"/>
      <c r="V35" s="25"/>
      <c r="W35" s="25"/>
      <c r="X35" s="25"/>
      <c r="Y35" s="25"/>
      <c r="Z35" s="25"/>
    </row>
    <row r="36" spans="1:26" ht="14.25" customHeight="1" x14ac:dyDescent="0.25">
      <c r="A36" s="26">
        <v>36</v>
      </c>
      <c r="B36" s="25"/>
      <c r="C36" s="34" t="s">
        <v>429</v>
      </c>
      <c r="D36" s="35" t="s">
        <v>6447</v>
      </c>
      <c r="E36" s="26">
        <v>11</v>
      </c>
      <c r="F36" s="26">
        <v>4</v>
      </c>
      <c r="G36" s="26">
        <v>7</v>
      </c>
      <c r="H36" s="26">
        <v>8</v>
      </c>
      <c r="I36" s="26">
        <f t="shared" si="0"/>
        <v>30</v>
      </c>
      <c r="J36" s="25"/>
      <c r="K36" s="25"/>
      <c r="L36" s="25"/>
      <c r="M36" s="25"/>
      <c r="N36" s="25"/>
      <c r="O36" s="25"/>
      <c r="P36" s="25"/>
      <c r="Q36" s="25"/>
      <c r="R36" s="25"/>
      <c r="S36" s="25"/>
      <c r="T36" s="25"/>
      <c r="U36" s="25"/>
      <c r="V36" s="25"/>
      <c r="W36" s="25"/>
      <c r="X36" s="25"/>
      <c r="Y36" s="25"/>
      <c r="Z36" s="25"/>
    </row>
    <row r="37" spans="1:26" ht="14.25" customHeight="1" x14ac:dyDescent="0.25">
      <c r="A37" s="26">
        <v>37</v>
      </c>
      <c r="B37" s="25"/>
      <c r="C37" s="34" t="s">
        <v>475</v>
      </c>
      <c r="D37" s="35" t="s">
        <v>6448</v>
      </c>
      <c r="E37" s="26">
        <v>39</v>
      </c>
      <c r="F37" s="26">
        <v>14</v>
      </c>
      <c r="G37" s="26">
        <v>41</v>
      </c>
      <c r="H37" s="26">
        <v>13</v>
      </c>
      <c r="I37" s="26">
        <f t="shared" si="0"/>
        <v>107</v>
      </c>
      <c r="J37" s="25"/>
      <c r="K37" s="25"/>
      <c r="L37" s="25"/>
      <c r="M37" s="25"/>
      <c r="N37" s="25"/>
      <c r="O37" s="25"/>
      <c r="P37" s="25"/>
      <c r="Q37" s="25"/>
      <c r="R37" s="25"/>
      <c r="S37" s="25"/>
      <c r="T37" s="25"/>
      <c r="U37" s="25"/>
      <c r="V37" s="25"/>
      <c r="W37" s="25"/>
      <c r="X37" s="25"/>
      <c r="Y37" s="25"/>
      <c r="Z37" s="25"/>
    </row>
    <row r="38" spans="1:26" ht="14.25" customHeight="1" x14ac:dyDescent="0.25">
      <c r="A38" s="26">
        <v>38</v>
      </c>
      <c r="B38" s="25"/>
      <c r="C38" s="34" t="s">
        <v>487</v>
      </c>
      <c r="D38" s="35" t="s">
        <v>6449</v>
      </c>
      <c r="E38" s="26">
        <v>3</v>
      </c>
      <c r="F38" s="26">
        <v>13</v>
      </c>
      <c r="G38" s="26">
        <v>1</v>
      </c>
      <c r="H38" s="26">
        <v>11</v>
      </c>
      <c r="I38" s="26">
        <f t="shared" si="0"/>
        <v>28</v>
      </c>
      <c r="J38" s="25"/>
      <c r="K38" s="25"/>
      <c r="L38" s="25"/>
      <c r="M38" s="25"/>
      <c r="N38" s="25"/>
      <c r="O38" s="25"/>
      <c r="P38" s="25"/>
      <c r="Q38" s="25"/>
      <c r="R38" s="25"/>
      <c r="S38" s="25"/>
      <c r="T38" s="25"/>
      <c r="U38" s="25"/>
      <c r="V38" s="25"/>
      <c r="W38" s="25"/>
      <c r="X38" s="25"/>
      <c r="Y38" s="25"/>
      <c r="Z38" s="25"/>
    </row>
    <row r="39" spans="1:26" ht="14.25" customHeight="1" x14ac:dyDescent="0.25">
      <c r="A39" s="26">
        <v>39</v>
      </c>
      <c r="B39" s="25"/>
      <c r="C39" s="34" t="s">
        <v>679</v>
      </c>
      <c r="D39" s="35" t="s">
        <v>6450</v>
      </c>
      <c r="E39" s="26">
        <v>5</v>
      </c>
      <c r="F39" s="26">
        <v>2</v>
      </c>
      <c r="G39" s="26">
        <v>5</v>
      </c>
      <c r="H39" s="26">
        <v>3</v>
      </c>
      <c r="I39" s="26">
        <f t="shared" si="0"/>
        <v>15</v>
      </c>
      <c r="J39" s="25"/>
      <c r="K39" s="25"/>
      <c r="L39" s="25"/>
      <c r="M39" s="25"/>
      <c r="N39" s="25"/>
      <c r="O39" s="25"/>
      <c r="P39" s="25"/>
      <c r="Q39" s="25"/>
      <c r="R39" s="25"/>
      <c r="S39" s="25"/>
      <c r="T39" s="25"/>
      <c r="U39" s="25"/>
      <c r="V39" s="25"/>
      <c r="W39" s="25"/>
      <c r="X39" s="25"/>
      <c r="Y39" s="25"/>
      <c r="Z39" s="25"/>
    </row>
    <row r="40" spans="1:26" ht="14.25" customHeight="1" x14ac:dyDescent="0.25">
      <c r="A40" s="26">
        <v>40</v>
      </c>
      <c r="B40" s="29" t="s">
        <v>6451</v>
      </c>
      <c r="C40" s="30"/>
      <c r="D40" s="31" t="s">
        <v>6452</v>
      </c>
      <c r="E40" s="32">
        <v>115</v>
      </c>
      <c r="F40" s="32">
        <v>19</v>
      </c>
      <c r="G40" s="32">
        <v>151</v>
      </c>
      <c r="H40" s="32">
        <v>21</v>
      </c>
      <c r="I40" s="32">
        <f t="shared" si="0"/>
        <v>306</v>
      </c>
      <c r="J40" s="25"/>
      <c r="K40" s="25"/>
      <c r="L40" s="25"/>
      <c r="M40" s="25"/>
      <c r="N40" s="25"/>
      <c r="O40" s="25"/>
      <c r="P40" s="25"/>
      <c r="Q40" s="25"/>
      <c r="R40" s="25"/>
      <c r="S40" s="25"/>
      <c r="T40" s="25"/>
      <c r="U40" s="25"/>
      <c r="V40" s="25"/>
      <c r="W40" s="25"/>
      <c r="X40" s="25"/>
      <c r="Y40" s="25"/>
      <c r="Z40" s="25"/>
    </row>
    <row r="41" spans="1:26" ht="14.25" customHeight="1" x14ac:dyDescent="0.25">
      <c r="A41" s="26">
        <v>41</v>
      </c>
      <c r="B41" s="25"/>
      <c r="C41" s="34" t="s">
        <v>458</v>
      </c>
      <c r="D41" s="35" t="s">
        <v>6453</v>
      </c>
      <c r="E41" s="26">
        <v>91</v>
      </c>
      <c r="F41" s="26">
        <v>4</v>
      </c>
      <c r="G41" s="26">
        <v>121</v>
      </c>
      <c r="H41" s="26">
        <v>3</v>
      </c>
      <c r="I41" s="26">
        <f t="shared" si="0"/>
        <v>219</v>
      </c>
      <c r="J41" s="25"/>
      <c r="K41" s="25"/>
      <c r="L41" s="25"/>
      <c r="M41" s="25"/>
      <c r="N41" s="25"/>
      <c r="O41" s="25"/>
      <c r="P41" s="25"/>
      <c r="Q41" s="25"/>
      <c r="R41" s="25"/>
      <c r="S41" s="25"/>
      <c r="T41" s="25"/>
      <c r="U41" s="25"/>
      <c r="V41" s="25"/>
      <c r="W41" s="25"/>
      <c r="X41" s="25"/>
      <c r="Y41" s="25"/>
      <c r="Z41" s="25"/>
    </row>
    <row r="42" spans="1:26" ht="14.25" customHeight="1" x14ac:dyDescent="0.25">
      <c r="A42" s="26">
        <v>42</v>
      </c>
      <c r="B42" s="25"/>
      <c r="C42" s="34" t="s">
        <v>603</v>
      </c>
      <c r="D42" s="35" t="s">
        <v>6454</v>
      </c>
      <c r="E42" s="26">
        <v>24</v>
      </c>
      <c r="F42" s="26">
        <v>15</v>
      </c>
      <c r="G42" s="26">
        <v>30</v>
      </c>
      <c r="H42" s="26">
        <v>20</v>
      </c>
      <c r="I42" s="26">
        <f t="shared" si="0"/>
        <v>89</v>
      </c>
      <c r="J42" s="25"/>
      <c r="K42" s="25"/>
      <c r="L42" s="25"/>
      <c r="M42" s="25"/>
      <c r="N42" s="25"/>
      <c r="O42" s="25"/>
      <c r="P42" s="25"/>
      <c r="Q42" s="25"/>
      <c r="R42" s="25"/>
      <c r="S42" s="25"/>
      <c r="T42" s="25"/>
      <c r="U42" s="25"/>
      <c r="V42" s="25"/>
      <c r="W42" s="25"/>
      <c r="X42" s="25"/>
      <c r="Y42" s="25"/>
      <c r="Z42" s="25"/>
    </row>
    <row r="43" spans="1:26" ht="14.25" customHeight="1" x14ac:dyDescent="0.25">
      <c r="A43" s="26">
        <v>43</v>
      </c>
      <c r="B43" s="29" t="s">
        <v>6455</v>
      </c>
      <c r="C43" s="30"/>
      <c r="D43" s="31" t="s">
        <v>6456</v>
      </c>
      <c r="E43" s="32">
        <v>990</v>
      </c>
      <c r="F43" s="32">
        <v>204</v>
      </c>
      <c r="G43" s="32">
        <v>985</v>
      </c>
      <c r="H43" s="32">
        <v>172</v>
      </c>
      <c r="I43" s="32">
        <f t="shared" si="0"/>
        <v>2351</v>
      </c>
      <c r="J43" s="25"/>
      <c r="K43" s="25"/>
      <c r="L43" s="25"/>
      <c r="M43" s="25"/>
      <c r="N43" s="25"/>
      <c r="O43" s="25"/>
      <c r="P43" s="25"/>
      <c r="Q43" s="25"/>
      <c r="R43" s="25"/>
      <c r="S43" s="25"/>
      <c r="T43" s="25"/>
      <c r="U43" s="25"/>
      <c r="V43" s="25"/>
      <c r="W43" s="25"/>
      <c r="X43" s="25"/>
      <c r="Y43" s="25"/>
      <c r="Z43" s="25"/>
    </row>
    <row r="44" spans="1:26" ht="14.25" customHeight="1" x14ac:dyDescent="0.25">
      <c r="A44" s="26">
        <v>44</v>
      </c>
      <c r="B44" s="25"/>
      <c r="C44" s="34" t="s">
        <v>527</v>
      </c>
      <c r="D44" s="37" t="s">
        <v>6457</v>
      </c>
      <c r="E44" s="26">
        <v>50</v>
      </c>
      <c r="F44" s="26">
        <v>11</v>
      </c>
      <c r="G44" s="26">
        <v>12</v>
      </c>
      <c r="H44" s="26">
        <v>1</v>
      </c>
      <c r="I44" s="26">
        <f t="shared" si="0"/>
        <v>74</v>
      </c>
      <c r="J44" s="25"/>
      <c r="K44" s="25"/>
      <c r="L44" s="25"/>
      <c r="M44" s="25"/>
      <c r="N44" s="25"/>
      <c r="O44" s="25"/>
      <c r="P44" s="25"/>
      <c r="Q44" s="25"/>
      <c r="R44" s="25"/>
      <c r="S44" s="25"/>
      <c r="T44" s="25"/>
      <c r="U44" s="25"/>
      <c r="V44" s="25"/>
      <c r="W44" s="25"/>
      <c r="X44" s="25"/>
      <c r="Y44" s="25"/>
      <c r="Z44" s="25"/>
    </row>
    <row r="45" spans="1:26" ht="14.25" customHeight="1" x14ac:dyDescent="0.25">
      <c r="A45" s="26">
        <v>45</v>
      </c>
      <c r="B45" s="25"/>
      <c r="C45" s="34" t="s">
        <v>241</v>
      </c>
      <c r="D45" s="35" t="s">
        <v>6458</v>
      </c>
      <c r="E45" s="26">
        <v>59</v>
      </c>
      <c r="F45" s="26">
        <v>18</v>
      </c>
      <c r="G45" s="26">
        <v>25</v>
      </c>
      <c r="H45" s="26">
        <v>4</v>
      </c>
      <c r="I45" s="26">
        <f t="shared" si="0"/>
        <v>106</v>
      </c>
      <c r="J45" s="25"/>
      <c r="K45" s="25"/>
      <c r="L45" s="25"/>
      <c r="M45" s="25"/>
      <c r="N45" s="25"/>
      <c r="O45" s="25"/>
      <c r="P45" s="25"/>
      <c r="Q45" s="25"/>
      <c r="R45" s="25"/>
      <c r="S45" s="25"/>
      <c r="T45" s="25"/>
      <c r="U45" s="25"/>
      <c r="V45" s="25"/>
      <c r="W45" s="25"/>
      <c r="X45" s="25"/>
      <c r="Y45" s="25"/>
      <c r="Z45" s="25"/>
    </row>
    <row r="46" spans="1:26" ht="14.25" customHeight="1" x14ac:dyDescent="0.25">
      <c r="A46" s="26">
        <v>46</v>
      </c>
      <c r="B46" s="25"/>
      <c r="C46" s="34" t="s">
        <v>428</v>
      </c>
      <c r="D46" s="35" t="s">
        <v>6459</v>
      </c>
      <c r="E46" s="26">
        <v>63</v>
      </c>
      <c r="F46" s="26">
        <v>35</v>
      </c>
      <c r="G46" s="26">
        <v>32</v>
      </c>
      <c r="H46" s="26">
        <v>12</v>
      </c>
      <c r="I46" s="26">
        <f t="shared" si="0"/>
        <v>142</v>
      </c>
      <c r="J46" s="25"/>
      <c r="K46" s="25"/>
      <c r="L46" s="25"/>
      <c r="M46" s="25"/>
      <c r="N46" s="25"/>
      <c r="O46" s="25"/>
      <c r="P46" s="25"/>
      <c r="Q46" s="25"/>
      <c r="R46" s="25"/>
      <c r="S46" s="25"/>
      <c r="T46" s="25"/>
      <c r="U46" s="25"/>
      <c r="V46" s="25"/>
      <c r="W46" s="25"/>
      <c r="X46" s="25"/>
      <c r="Y46" s="25"/>
      <c r="Z46" s="25"/>
    </row>
    <row r="47" spans="1:26" ht="14.25" customHeight="1" x14ac:dyDescent="0.25">
      <c r="A47" s="26">
        <v>47</v>
      </c>
      <c r="B47" s="25"/>
      <c r="C47" s="34" t="s">
        <v>509</v>
      </c>
      <c r="D47" s="35" t="s">
        <v>6460</v>
      </c>
      <c r="E47" s="26">
        <v>18</v>
      </c>
      <c r="F47" s="26">
        <v>0</v>
      </c>
      <c r="G47" s="26">
        <v>22</v>
      </c>
      <c r="H47" s="26">
        <v>0</v>
      </c>
      <c r="I47" s="26">
        <f t="shared" si="0"/>
        <v>40</v>
      </c>
      <c r="J47" s="25"/>
      <c r="K47" s="25"/>
      <c r="L47" s="25"/>
      <c r="M47" s="25"/>
      <c r="N47" s="25"/>
      <c r="O47" s="25"/>
      <c r="P47" s="25"/>
      <c r="Q47" s="25"/>
      <c r="R47" s="25"/>
      <c r="S47" s="25"/>
      <c r="T47" s="25"/>
      <c r="U47" s="25"/>
      <c r="V47" s="25"/>
      <c r="W47" s="25"/>
      <c r="X47" s="25"/>
      <c r="Y47" s="25"/>
      <c r="Z47" s="25"/>
    </row>
    <row r="48" spans="1:26" ht="14.25" customHeight="1" x14ac:dyDescent="0.25">
      <c r="A48" s="26">
        <v>48</v>
      </c>
      <c r="B48" s="25"/>
      <c r="C48" s="34" t="s">
        <v>437</v>
      </c>
      <c r="D48" s="37" t="s">
        <v>6461</v>
      </c>
      <c r="E48" s="26">
        <v>15</v>
      </c>
      <c r="F48" s="26">
        <v>32</v>
      </c>
      <c r="G48" s="26">
        <v>15</v>
      </c>
      <c r="H48" s="26">
        <v>34</v>
      </c>
      <c r="I48" s="26">
        <f t="shared" si="0"/>
        <v>96</v>
      </c>
      <c r="J48" s="25"/>
      <c r="K48" s="25"/>
      <c r="L48" s="25"/>
      <c r="M48" s="25"/>
      <c r="N48" s="25"/>
      <c r="O48" s="25"/>
      <c r="P48" s="25"/>
      <c r="Q48" s="25"/>
      <c r="R48" s="25"/>
      <c r="S48" s="25"/>
      <c r="T48" s="25"/>
      <c r="U48" s="25"/>
      <c r="V48" s="25"/>
      <c r="W48" s="25"/>
      <c r="X48" s="25"/>
      <c r="Y48" s="25"/>
      <c r="Z48" s="25"/>
    </row>
    <row r="49" spans="1:26" ht="14.25" customHeight="1" x14ac:dyDescent="0.25">
      <c r="A49" s="26">
        <v>49</v>
      </c>
      <c r="B49" s="25"/>
      <c r="C49" s="34" t="s">
        <v>438</v>
      </c>
      <c r="D49" s="37" t="s">
        <v>6462</v>
      </c>
      <c r="E49" s="26">
        <v>60</v>
      </c>
      <c r="F49" s="26">
        <v>36</v>
      </c>
      <c r="G49" s="26">
        <v>70</v>
      </c>
      <c r="H49" s="26">
        <v>35</v>
      </c>
      <c r="I49" s="26">
        <f t="shared" si="0"/>
        <v>201</v>
      </c>
      <c r="J49" s="25"/>
      <c r="K49" s="25"/>
      <c r="L49" s="25"/>
      <c r="M49" s="25"/>
      <c r="N49" s="25"/>
      <c r="O49" s="25"/>
      <c r="P49" s="25"/>
      <c r="Q49" s="25"/>
      <c r="R49" s="25"/>
      <c r="S49" s="25"/>
      <c r="T49" s="25"/>
      <c r="U49" s="25"/>
      <c r="V49" s="25"/>
      <c r="W49" s="25"/>
      <c r="X49" s="25"/>
      <c r="Y49" s="25"/>
      <c r="Z49" s="25"/>
    </row>
    <row r="50" spans="1:26" ht="14.25" customHeight="1" x14ac:dyDescent="0.25">
      <c r="A50" s="26">
        <v>50</v>
      </c>
      <c r="B50" s="25"/>
      <c r="C50" s="34" t="s">
        <v>88</v>
      </c>
      <c r="D50" s="37" t="s">
        <v>6463</v>
      </c>
      <c r="E50" s="26">
        <v>193</v>
      </c>
      <c r="F50" s="26">
        <v>20</v>
      </c>
      <c r="G50" s="26">
        <v>203</v>
      </c>
      <c r="H50" s="26">
        <v>22</v>
      </c>
      <c r="I50" s="26">
        <f t="shared" si="0"/>
        <v>438</v>
      </c>
      <c r="J50" s="25"/>
      <c r="K50" s="25"/>
      <c r="L50" s="25"/>
      <c r="M50" s="25"/>
      <c r="N50" s="25"/>
      <c r="O50" s="25"/>
      <c r="P50" s="25"/>
      <c r="Q50" s="25"/>
      <c r="R50" s="25"/>
      <c r="S50" s="25"/>
      <c r="T50" s="25"/>
      <c r="U50" s="25"/>
      <c r="V50" s="25"/>
      <c r="W50" s="25"/>
      <c r="X50" s="25"/>
      <c r="Y50" s="25"/>
      <c r="Z50" s="25"/>
    </row>
    <row r="51" spans="1:26" ht="14.25" customHeight="1" x14ac:dyDescent="0.25">
      <c r="A51" s="26">
        <v>51</v>
      </c>
      <c r="B51" s="25"/>
      <c r="C51" s="34" t="s">
        <v>98</v>
      </c>
      <c r="D51" s="35" t="s">
        <v>6464</v>
      </c>
      <c r="E51" s="26">
        <v>384</v>
      </c>
      <c r="F51" s="26">
        <v>21</v>
      </c>
      <c r="G51" s="26">
        <v>410</v>
      </c>
      <c r="H51" s="26">
        <v>29</v>
      </c>
      <c r="I51" s="26">
        <f t="shared" si="0"/>
        <v>844</v>
      </c>
      <c r="J51" s="25"/>
      <c r="K51" s="25"/>
      <c r="L51" s="25"/>
      <c r="M51" s="25"/>
      <c r="N51" s="25"/>
      <c r="O51" s="25"/>
      <c r="P51" s="25"/>
      <c r="Q51" s="25"/>
      <c r="R51" s="25"/>
      <c r="S51" s="25"/>
      <c r="T51" s="25"/>
      <c r="U51" s="25"/>
      <c r="V51" s="25"/>
      <c r="W51" s="25"/>
      <c r="X51" s="25"/>
      <c r="Y51" s="25"/>
      <c r="Z51" s="25"/>
    </row>
    <row r="52" spans="1:26" ht="14.25" customHeight="1" x14ac:dyDescent="0.25">
      <c r="A52" s="26">
        <v>52</v>
      </c>
      <c r="B52" s="25"/>
      <c r="C52" s="34" t="s">
        <v>109</v>
      </c>
      <c r="D52" s="37" t="s">
        <v>6465</v>
      </c>
      <c r="E52" s="26">
        <v>131</v>
      </c>
      <c r="F52" s="26">
        <v>30</v>
      </c>
      <c r="G52" s="26">
        <v>154</v>
      </c>
      <c r="H52" s="26">
        <v>34</v>
      </c>
      <c r="I52" s="26">
        <f t="shared" si="0"/>
        <v>349</v>
      </c>
      <c r="J52" s="25"/>
      <c r="K52" s="25"/>
      <c r="L52" s="25"/>
      <c r="M52" s="25"/>
      <c r="N52" s="25"/>
      <c r="O52" s="25"/>
      <c r="P52" s="25"/>
      <c r="Q52" s="25"/>
      <c r="R52" s="25"/>
      <c r="S52" s="25"/>
      <c r="T52" s="25"/>
      <c r="U52" s="25"/>
      <c r="V52" s="25"/>
      <c r="W52" s="25"/>
      <c r="X52" s="25"/>
      <c r="Y52" s="25"/>
      <c r="Z52" s="25"/>
    </row>
    <row r="53" spans="1:26" ht="14.25" customHeight="1" x14ac:dyDescent="0.25">
      <c r="A53" s="26">
        <v>53</v>
      </c>
      <c r="B53" s="25"/>
      <c r="C53" s="34" t="s">
        <v>797</v>
      </c>
      <c r="D53" s="35" t="s">
        <v>6466</v>
      </c>
      <c r="E53" s="26">
        <v>12</v>
      </c>
      <c r="F53" s="26">
        <v>0</v>
      </c>
      <c r="G53" s="26">
        <v>35</v>
      </c>
      <c r="H53" s="26">
        <v>0</v>
      </c>
      <c r="I53" s="26">
        <f t="shared" si="0"/>
        <v>47</v>
      </c>
      <c r="J53" s="25"/>
      <c r="K53" s="25"/>
      <c r="L53" s="25"/>
      <c r="M53" s="25"/>
      <c r="N53" s="25"/>
      <c r="O53" s="25"/>
      <c r="P53" s="25"/>
      <c r="Q53" s="25"/>
      <c r="R53" s="25"/>
      <c r="S53" s="25"/>
      <c r="T53" s="25"/>
      <c r="U53" s="25"/>
      <c r="V53" s="25"/>
      <c r="W53" s="25"/>
      <c r="X53" s="25"/>
      <c r="Y53" s="25"/>
      <c r="Z53" s="25"/>
    </row>
    <row r="54" spans="1:26" ht="14.25" customHeight="1" x14ac:dyDescent="0.25">
      <c r="A54" s="26">
        <v>54</v>
      </c>
      <c r="B54" s="25"/>
      <c r="C54" s="34" t="s">
        <v>1827</v>
      </c>
      <c r="D54" s="35" t="s">
        <v>6467</v>
      </c>
      <c r="E54" s="26">
        <v>5</v>
      </c>
      <c r="F54" s="26">
        <v>1</v>
      </c>
      <c r="G54" s="26">
        <v>7</v>
      </c>
      <c r="H54" s="26">
        <v>1</v>
      </c>
      <c r="I54" s="26">
        <f t="shared" si="0"/>
        <v>14</v>
      </c>
      <c r="J54" s="25"/>
      <c r="K54" s="25"/>
      <c r="L54" s="25"/>
      <c r="M54" s="25"/>
      <c r="N54" s="25"/>
      <c r="O54" s="25"/>
      <c r="P54" s="25"/>
      <c r="Q54" s="25"/>
      <c r="R54" s="25"/>
      <c r="S54" s="25"/>
      <c r="T54" s="25"/>
      <c r="U54" s="25"/>
      <c r="V54" s="25"/>
      <c r="W54" s="25"/>
      <c r="X54" s="25"/>
      <c r="Y54" s="25"/>
      <c r="Z54" s="25"/>
    </row>
    <row r="55" spans="1:26" ht="14.25" customHeight="1" x14ac:dyDescent="0.25">
      <c r="A55" s="26">
        <v>55</v>
      </c>
      <c r="B55" s="38" t="s">
        <v>6468</v>
      </c>
      <c r="C55" s="39"/>
      <c r="D55" s="40" t="s">
        <v>6469</v>
      </c>
      <c r="E55" s="41" t="s">
        <v>6470</v>
      </c>
      <c r="F55" s="41" t="s">
        <v>6471</v>
      </c>
      <c r="G55" s="41" t="s">
        <v>6472</v>
      </c>
      <c r="H55" s="41" t="s">
        <v>6473</v>
      </c>
      <c r="I55" s="41" t="s">
        <v>6474</v>
      </c>
      <c r="J55" s="25"/>
      <c r="K55" s="25"/>
      <c r="L55" s="25"/>
      <c r="M55" s="25"/>
      <c r="N55" s="25"/>
      <c r="O55" s="25"/>
      <c r="P55" s="25"/>
      <c r="Q55" s="25"/>
      <c r="R55" s="25"/>
      <c r="S55" s="25"/>
      <c r="T55" s="25"/>
      <c r="U55" s="25"/>
      <c r="V55" s="25"/>
      <c r="W55" s="25"/>
      <c r="X55" s="25"/>
      <c r="Y55" s="25"/>
      <c r="Z55" s="25"/>
    </row>
    <row r="56" spans="1:26" ht="14.25" customHeight="1" x14ac:dyDescent="0.25">
      <c r="A56" s="26">
        <v>56</v>
      </c>
      <c r="B56" s="20" t="s">
        <v>6475</v>
      </c>
      <c r="C56" s="25" t="s">
        <v>6476</v>
      </c>
      <c r="D56" s="35" t="s">
        <v>6477</v>
      </c>
      <c r="E56" s="26">
        <v>2</v>
      </c>
      <c r="F56" s="26">
        <v>0</v>
      </c>
      <c r="G56" s="26">
        <v>0</v>
      </c>
      <c r="H56" s="26">
        <v>0</v>
      </c>
      <c r="I56" s="26">
        <f t="shared" ref="I56:I61" si="1">SUM(E56:H56)</f>
        <v>2</v>
      </c>
      <c r="J56" s="25"/>
      <c r="K56" s="25"/>
      <c r="L56" s="25"/>
      <c r="M56" s="25"/>
      <c r="N56" s="25"/>
      <c r="O56" s="25"/>
      <c r="P56" s="25"/>
      <c r="Q56" s="25"/>
      <c r="R56" s="25"/>
      <c r="S56" s="25"/>
      <c r="T56" s="25"/>
      <c r="U56" s="25"/>
      <c r="V56" s="25"/>
      <c r="W56" s="25"/>
      <c r="X56" s="25"/>
      <c r="Y56" s="25"/>
      <c r="Z56" s="25"/>
    </row>
    <row r="57" spans="1:26" ht="14.25" customHeight="1" x14ac:dyDescent="0.25">
      <c r="A57" s="26">
        <v>57</v>
      </c>
      <c r="B57" s="20" t="s">
        <v>6478</v>
      </c>
      <c r="C57" s="25" t="s">
        <v>6476</v>
      </c>
      <c r="D57" s="35" t="s">
        <v>6479</v>
      </c>
      <c r="E57" s="26">
        <v>1</v>
      </c>
      <c r="F57" s="26">
        <v>0</v>
      </c>
      <c r="G57" s="26">
        <v>1</v>
      </c>
      <c r="H57" s="26">
        <v>0</v>
      </c>
      <c r="I57" s="26">
        <f t="shared" si="1"/>
        <v>2</v>
      </c>
      <c r="J57" s="25"/>
      <c r="K57" s="25"/>
      <c r="L57" s="25"/>
      <c r="M57" s="25"/>
      <c r="N57" s="25"/>
      <c r="O57" s="25"/>
      <c r="P57" s="25"/>
      <c r="Q57" s="25"/>
      <c r="R57" s="25"/>
      <c r="S57" s="25"/>
      <c r="T57" s="25"/>
      <c r="U57" s="25"/>
      <c r="V57" s="25"/>
      <c r="W57" s="25"/>
      <c r="X57" s="25"/>
      <c r="Y57" s="25"/>
      <c r="Z57" s="25"/>
    </row>
    <row r="58" spans="1:26" ht="14.25" customHeight="1" x14ac:dyDescent="0.25">
      <c r="A58" s="26">
        <v>58</v>
      </c>
      <c r="B58" s="20" t="s">
        <v>6480</v>
      </c>
      <c r="C58" s="25" t="s">
        <v>6476</v>
      </c>
      <c r="D58" s="35" t="s">
        <v>6481</v>
      </c>
      <c r="E58" s="26">
        <v>19</v>
      </c>
      <c r="F58" s="26">
        <v>7</v>
      </c>
      <c r="G58" s="26">
        <v>18</v>
      </c>
      <c r="H58" s="26">
        <v>4</v>
      </c>
      <c r="I58" s="26">
        <f t="shared" si="1"/>
        <v>48</v>
      </c>
      <c r="J58" s="25"/>
      <c r="K58" s="25"/>
      <c r="L58" s="25"/>
      <c r="M58" s="25"/>
      <c r="N58" s="25"/>
      <c r="O58" s="25"/>
      <c r="P58" s="25"/>
      <c r="Q58" s="25"/>
      <c r="R58" s="25"/>
      <c r="S58" s="25"/>
      <c r="T58" s="25"/>
      <c r="U58" s="25"/>
      <c r="V58" s="25"/>
      <c r="W58" s="25"/>
      <c r="X58" s="25"/>
      <c r="Y58" s="25"/>
      <c r="Z58" s="25"/>
    </row>
    <row r="59" spans="1:26" ht="14.25" customHeight="1" x14ac:dyDescent="0.25">
      <c r="A59" s="26">
        <v>59</v>
      </c>
      <c r="B59" s="20" t="s">
        <v>6482</v>
      </c>
      <c r="C59" s="25" t="s">
        <v>6476</v>
      </c>
      <c r="D59" s="35" t="s">
        <v>6483</v>
      </c>
      <c r="E59" s="26">
        <v>12</v>
      </c>
      <c r="F59" s="26">
        <v>4</v>
      </c>
      <c r="G59" s="26">
        <v>14</v>
      </c>
      <c r="H59" s="26">
        <v>2</v>
      </c>
      <c r="I59" s="26">
        <f t="shared" si="1"/>
        <v>32</v>
      </c>
      <c r="J59" s="25"/>
      <c r="K59" s="25"/>
      <c r="L59" s="25"/>
      <c r="M59" s="25"/>
      <c r="N59" s="25"/>
      <c r="O59" s="25"/>
      <c r="P59" s="25"/>
      <c r="Q59" s="25"/>
      <c r="R59" s="25"/>
      <c r="S59" s="25"/>
      <c r="T59" s="25"/>
      <c r="U59" s="25"/>
      <c r="V59" s="25"/>
      <c r="W59" s="25"/>
      <c r="X59" s="25"/>
      <c r="Y59" s="25"/>
      <c r="Z59" s="25"/>
    </row>
    <row r="60" spans="1:26" ht="14.25" customHeight="1" x14ac:dyDescent="0.25">
      <c r="A60" s="26">
        <v>60</v>
      </c>
      <c r="B60" s="20" t="s">
        <v>6484</v>
      </c>
      <c r="C60" s="25" t="s">
        <v>6476</v>
      </c>
      <c r="D60" s="35" t="s">
        <v>6485</v>
      </c>
      <c r="E60" s="26">
        <v>2</v>
      </c>
      <c r="F60" s="26">
        <v>4</v>
      </c>
      <c r="G60" s="26">
        <v>1</v>
      </c>
      <c r="H60" s="26">
        <v>3</v>
      </c>
      <c r="I60" s="26">
        <f t="shared" si="1"/>
        <v>10</v>
      </c>
      <c r="J60" s="25"/>
      <c r="K60" s="25"/>
      <c r="L60" s="25"/>
      <c r="M60" s="25"/>
      <c r="N60" s="25"/>
      <c r="O60" s="25"/>
      <c r="P60" s="25"/>
      <c r="Q60" s="25"/>
      <c r="R60" s="25"/>
      <c r="S60" s="25"/>
      <c r="T60" s="25"/>
      <c r="U60" s="25"/>
      <c r="V60" s="25"/>
      <c r="W60" s="25"/>
      <c r="X60" s="25"/>
      <c r="Y60" s="25"/>
      <c r="Z60" s="25"/>
    </row>
    <row r="61" spans="1:26" ht="14.25" customHeight="1" x14ac:dyDescent="0.25">
      <c r="A61" s="26">
        <v>61</v>
      </c>
      <c r="B61" s="30" t="s">
        <v>792</v>
      </c>
      <c r="C61" s="30"/>
      <c r="D61" s="30" t="s">
        <v>6486</v>
      </c>
      <c r="E61" s="33"/>
      <c r="F61" s="33"/>
      <c r="G61" s="42">
        <v>2</v>
      </c>
      <c r="H61" s="33"/>
      <c r="I61" s="32">
        <f t="shared" si="1"/>
        <v>2</v>
      </c>
      <c r="J61" s="25"/>
      <c r="K61" s="25"/>
      <c r="L61" s="25"/>
      <c r="M61" s="25"/>
      <c r="N61" s="25"/>
      <c r="O61" s="25"/>
      <c r="P61" s="25"/>
      <c r="Q61" s="25"/>
      <c r="R61" s="25"/>
      <c r="S61" s="25"/>
      <c r="T61" s="25"/>
      <c r="U61" s="25"/>
      <c r="V61" s="25"/>
      <c r="W61" s="25"/>
      <c r="X61" s="25"/>
      <c r="Y61" s="25"/>
      <c r="Z61" s="25"/>
    </row>
    <row r="62" spans="1:26" ht="14.25" customHeight="1" x14ac:dyDescent="0.25">
      <c r="A62" s="26">
        <v>62</v>
      </c>
      <c r="B62" s="43" t="s">
        <v>67</v>
      </c>
      <c r="C62" s="25"/>
      <c r="D62" s="44" t="s">
        <v>6487</v>
      </c>
      <c r="E62" s="27"/>
      <c r="F62" s="27"/>
      <c r="G62" s="26"/>
      <c r="H62" s="27"/>
      <c r="I62" s="27"/>
      <c r="J62" s="25"/>
      <c r="K62" s="25"/>
      <c r="L62" s="25"/>
      <c r="M62" s="25"/>
      <c r="N62" s="25"/>
      <c r="O62" s="25"/>
      <c r="P62" s="25"/>
      <c r="Q62" s="25"/>
      <c r="R62" s="25"/>
      <c r="S62" s="25"/>
      <c r="T62" s="25"/>
      <c r="U62" s="25"/>
      <c r="V62" s="25"/>
      <c r="W62" s="25"/>
      <c r="X62" s="25"/>
      <c r="Y62" s="25"/>
      <c r="Z62" s="25"/>
    </row>
    <row r="63" spans="1:26" ht="14.25" customHeight="1" x14ac:dyDescent="0.25">
      <c r="A63" s="26">
        <v>63</v>
      </c>
      <c r="B63" s="43" t="s">
        <v>68</v>
      </c>
      <c r="C63" s="25"/>
      <c r="D63" s="35" t="s">
        <v>6488</v>
      </c>
      <c r="E63" s="27"/>
      <c r="F63" s="27"/>
      <c r="G63" s="26"/>
      <c r="H63" s="27"/>
      <c r="I63" s="27"/>
      <c r="J63" s="25"/>
      <c r="K63" s="25"/>
      <c r="L63" s="25"/>
      <c r="M63" s="25"/>
      <c r="N63" s="25"/>
      <c r="O63" s="25"/>
      <c r="P63" s="25"/>
      <c r="Q63" s="25"/>
      <c r="R63" s="25"/>
      <c r="S63" s="25"/>
      <c r="T63" s="25"/>
      <c r="U63" s="25"/>
      <c r="V63" s="25"/>
      <c r="W63" s="25"/>
      <c r="X63" s="25"/>
      <c r="Y63" s="25"/>
      <c r="Z63" s="25"/>
    </row>
    <row r="64" spans="1:26" ht="14.25" customHeight="1" x14ac:dyDescent="0.25">
      <c r="A64" s="26">
        <v>64</v>
      </c>
      <c r="B64" s="25"/>
      <c r="C64" s="25"/>
      <c r="D64" s="25"/>
      <c r="E64" s="27"/>
      <c r="F64" s="27"/>
      <c r="G64" s="26"/>
      <c r="H64" s="27"/>
      <c r="I64" s="27"/>
      <c r="J64" s="25"/>
      <c r="K64" s="25"/>
      <c r="L64" s="25"/>
      <c r="M64" s="25"/>
      <c r="N64" s="25"/>
      <c r="O64" s="25"/>
      <c r="P64" s="25"/>
      <c r="Q64" s="25"/>
      <c r="R64" s="25"/>
      <c r="S64" s="25"/>
      <c r="T64" s="25"/>
      <c r="U64" s="25"/>
      <c r="V64" s="25"/>
      <c r="W64" s="25"/>
      <c r="X64" s="25"/>
      <c r="Y64" s="25"/>
      <c r="Z64" s="25"/>
    </row>
    <row r="65" spans="1:26" ht="14.25" customHeight="1" x14ac:dyDescent="0.25">
      <c r="A65" s="26">
        <v>65</v>
      </c>
      <c r="B65" s="25"/>
      <c r="C65" s="25"/>
      <c r="D65" s="25"/>
      <c r="E65" s="26"/>
      <c r="F65" s="26"/>
      <c r="G65" s="26"/>
      <c r="H65" s="26"/>
      <c r="I65" s="26"/>
      <c r="J65" s="25"/>
      <c r="K65" s="25"/>
      <c r="L65" s="25"/>
      <c r="M65" s="25"/>
      <c r="N65" s="25"/>
      <c r="O65" s="25"/>
      <c r="P65" s="25"/>
      <c r="Q65" s="25"/>
      <c r="R65" s="25"/>
      <c r="S65" s="25"/>
      <c r="T65" s="25"/>
      <c r="U65" s="25"/>
      <c r="V65" s="25"/>
      <c r="W65" s="25"/>
      <c r="X65" s="25"/>
      <c r="Y65" s="25"/>
      <c r="Z65" s="25"/>
    </row>
    <row r="66" spans="1:26" ht="14.25" customHeight="1" x14ac:dyDescent="0.25">
      <c r="A66" s="26">
        <v>66</v>
      </c>
      <c r="B66" s="45"/>
      <c r="C66" s="45"/>
      <c r="D66" s="45"/>
      <c r="E66" s="46"/>
      <c r="F66" s="46"/>
      <c r="G66" s="46"/>
      <c r="H66" s="46"/>
      <c r="I66" s="46"/>
      <c r="J66" s="45"/>
      <c r="K66" s="45"/>
      <c r="L66" s="45"/>
      <c r="M66" s="45"/>
      <c r="N66" s="45"/>
      <c r="O66" s="45"/>
      <c r="P66" s="45"/>
      <c r="Q66" s="45"/>
      <c r="R66" s="45"/>
      <c r="S66" s="45"/>
      <c r="T66" s="45"/>
      <c r="U66" s="45"/>
      <c r="V66" s="45"/>
      <c r="W66" s="45"/>
      <c r="X66" s="45"/>
      <c r="Y66" s="45"/>
      <c r="Z66" s="45"/>
    </row>
    <row r="67" spans="1:26" ht="14.25" customHeight="1" x14ac:dyDescent="0.25">
      <c r="A67" s="26">
        <v>67</v>
      </c>
      <c r="B67" s="47" t="s">
        <v>6489</v>
      </c>
      <c r="C67" s="25"/>
      <c r="D67" s="25"/>
      <c r="E67" s="27">
        <f t="shared" ref="E67:H67" si="2">E3+E7+E15+E23+E26+E29+E34+E40+E43+E61</f>
        <v>1604</v>
      </c>
      <c r="F67" s="27">
        <f t="shared" si="2"/>
        <v>444</v>
      </c>
      <c r="G67" s="27">
        <f t="shared" si="2"/>
        <v>1604</v>
      </c>
      <c r="H67" s="27">
        <f t="shared" si="2"/>
        <v>420</v>
      </c>
      <c r="I67" s="27"/>
      <c r="J67" s="25"/>
      <c r="K67" s="25"/>
      <c r="L67" s="25"/>
      <c r="M67" s="25"/>
      <c r="N67" s="25"/>
      <c r="O67" s="25"/>
      <c r="P67" s="25"/>
      <c r="Q67" s="25"/>
      <c r="R67" s="25"/>
      <c r="S67" s="25"/>
      <c r="T67" s="25"/>
      <c r="U67" s="25"/>
      <c r="V67" s="25"/>
      <c r="W67" s="25"/>
      <c r="X67" s="25"/>
      <c r="Y67" s="25"/>
      <c r="Z67" s="25"/>
    </row>
    <row r="68" spans="1:26" ht="14.25" customHeight="1" x14ac:dyDescent="0.25">
      <c r="A68" s="26">
        <v>68</v>
      </c>
      <c r="B68" s="25"/>
      <c r="C68" s="20"/>
      <c r="D68" s="25"/>
      <c r="E68" s="20" t="s">
        <v>6490</v>
      </c>
      <c r="F68" s="26"/>
      <c r="G68" s="26"/>
      <c r="H68" s="26"/>
      <c r="I68" s="26"/>
      <c r="J68" s="25"/>
      <c r="K68" s="25"/>
      <c r="L68" s="25"/>
      <c r="M68" s="25"/>
      <c r="N68" s="25"/>
      <c r="O68" s="25"/>
      <c r="P68" s="25"/>
      <c r="Q68" s="25"/>
      <c r="R68" s="25"/>
      <c r="S68" s="25"/>
      <c r="T68" s="25"/>
      <c r="U68" s="25"/>
      <c r="V68" s="25"/>
      <c r="W68" s="25"/>
      <c r="X68" s="25"/>
      <c r="Y68" s="25"/>
      <c r="Z68" s="25"/>
    </row>
    <row r="69" spans="1:26" ht="14.25" customHeight="1" x14ac:dyDescent="0.25">
      <c r="A69" s="26"/>
      <c r="B69" s="25"/>
      <c r="C69" s="25"/>
      <c r="D69" s="25"/>
      <c r="E69" s="26"/>
      <c r="F69" s="26"/>
      <c r="G69" s="26"/>
      <c r="H69" s="26"/>
      <c r="I69" s="26"/>
      <c r="J69" s="25"/>
      <c r="K69" s="25"/>
      <c r="L69" s="25"/>
      <c r="M69" s="25"/>
      <c r="N69" s="25"/>
      <c r="O69" s="25"/>
      <c r="P69" s="25"/>
      <c r="Q69" s="25"/>
      <c r="R69" s="25"/>
      <c r="S69" s="25"/>
      <c r="T69" s="25"/>
      <c r="U69" s="25"/>
      <c r="V69" s="25"/>
      <c r="W69" s="25"/>
      <c r="X69" s="25"/>
      <c r="Y69" s="25"/>
      <c r="Z69" s="25"/>
    </row>
    <row r="70" spans="1:26" ht="14.25" customHeight="1" x14ac:dyDescent="0.25">
      <c r="A70" s="26"/>
      <c r="B70" s="25"/>
      <c r="C70" s="25"/>
      <c r="D70" s="25"/>
      <c r="E70" s="26"/>
      <c r="F70" s="26"/>
      <c r="G70" s="26"/>
      <c r="H70" s="26"/>
      <c r="I70" s="26"/>
      <c r="J70" s="25"/>
      <c r="K70" s="25"/>
      <c r="L70" s="25"/>
      <c r="M70" s="25"/>
      <c r="N70" s="25"/>
      <c r="O70" s="25"/>
      <c r="P70" s="25"/>
      <c r="Q70" s="25"/>
      <c r="R70" s="25"/>
      <c r="S70" s="25"/>
      <c r="T70" s="25"/>
      <c r="U70" s="25"/>
      <c r="V70" s="25"/>
      <c r="W70" s="25"/>
      <c r="X70" s="25"/>
      <c r="Y70" s="25"/>
      <c r="Z70" s="25"/>
    </row>
    <row r="71" spans="1:26" ht="14.25" customHeight="1" x14ac:dyDescent="0.25">
      <c r="A71" s="26"/>
      <c r="B71" s="25"/>
      <c r="C71" s="25"/>
      <c r="D71" s="25"/>
      <c r="E71" s="26"/>
      <c r="F71" s="26"/>
      <c r="G71" s="26"/>
      <c r="H71" s="26"/>
      <c r="I71" s="26"/>
      <c r="J71" s="25"/>
      <c r="K71" s="25"/>
      <c r="L71" s="25"/>
      <c r="M71" s="25"/>
      <c r="N71" s="25"/>
      <c r="O71" s="25"/>
      <c r="P71" s="25"/>
      <c r="Q71" s="25"/>
      <c r="R71" s="25"/>
      <c r="S71" s="25"/>
      <c r="T71" s="25"/>
      <c r="U71" s="25"/>
      <c r="V71" s="25"/>
      <c r="W71" s="25"/>
      <c r="X71" s="25"/>
      <c r="Y71" s="25"/>
      <c r="Z71" s="25"/>
    </row>
    <row r="72" spans="1:26" ht="14.25" customHeight="1" x14ac:dyDescent="0.25">
      <c r="A72" s="26"/>
      <c r="B72" s="25"/>
      <c r="C72" s="25"/>
      <c r="D72" s="25"/>
      <c r="E72" s="26"/>
      <c r="F72" s="26"/>
      <c r="G72" s="26"/>
      <c r="H72" s="26"/>
      <c r="I72" s="26"/>
      <c r="J72" s="25"/>
      <c r="K72" s="25"/>
      <c r="L72" s="25"/>
      <c r="M72" s="25"/>
      <c r="N72" s="25"/>
      <c r="O72" s="25"/>
      <c r="P72" s="25"/>
      <c r="Q72" s="25"/>
      <c r="R72" s="25"/>
      <c r="S72" s="25"/>
      <c r="T72" s="25"/>
      <c r="U72" s="25"/>
      <c r="V72" s="25"/>
      <c r="W72" s="25"/>
      <c r="X72" s="25"/>
      <c r="Y72" s="25"/>
      <c r="Z72" s="25"/>
    </row>
    <row r="73" spans="1:26" ht="14.25" customHeight="1" x14ac:dyDescent="0.25">
      <c r="A73" s="26"/>
      <c r="B73" s="25"/>
      <c r="C73" s="25"/>
      <c r="D73" s="25"/>
      <c r="E73" s="26"/>
      <c r="F73" s="26"/>
      <c r="G73" s="26"/>
      <c r="H73" s="26"/>
      <c r="I73" s="26"/>
      <c r="J73" s="25"/>
      <c r="K73" s="25"/>
      <c r="L73" s="25"/>
      <c r="M73" s="25"/>
      <c r="N73" s="25"/>
      <c r="O73" s="25"/>
      <c r="P73" s="25"/>
      <c r="Q73" s="25"/>
      <c r="R73" s="25"/>
      <c r="S73" s="25"/>
      <c r="T73" s="25"/>
      <c r="U73" s="25"/>
      <c r="V73" s="25"/>
      <c r="W73" s="25"/>
      <c r="X73" s="25"/>
      <c r="Y73" s="25"/>
      <c r="Z73" s="25"/>
    </row>
    <row r="74" spans="1:26" ht="14.25" customHeight="1" x14ac:dyDescent="0.25">
      <c r="A74" s="26"/>
      <c r="B74" s="25"/>
      <c r="C74" s="25"/>
      <c r="D74" s="25"/>
      <c r="E74" s="26"/>
      <c r="F74" s="26"/>
      <c r="G74" s="26"/>
      <c r="H74" s="26"/>
      <c r="I74" s="26"/>
      <c r="J74" s="25"/>
      <c r="K74" s="25"/>
      <c r="L74" s="25"/>
      <c r="M74" s="25"/>
      <c r="N74" s="25"/>
      <c r="O74" s="25"/>
      <c r="P74" s="25"/>
      <c r="Q74" s="25"/>
      <c r="R74" s="25"/>
      <c r="S74" s="25"/>
      <c r="T74" s="25"/>
      <c r="U74" s="25"/>
      <c r="V74" s="25"/>
      <c r="W74" s="25"/>
      <c r="X74" s="25"/>
      <c r="Y74" s="25"/>
      <c r="Z74" s="25"/>
    </row>
    <row r="75" spans="1:26" ht="14.25" customHeight="1" x14ac:dyDescent="0.25">
      <c r="A75" s="26"/>
      <c r="B75" s="25"/>
      <c r="C75" s="25"/>
      <c r="D75" s="25"/>
      <c r="E75" s="26"/>
      <c r="F75" s="26"/>
      <c r="G75" s="26"/>
      <c r="H75" s="26"/>
      <c r="I75" s="26"/>
      <c r="J75" s="25"/>
      <c r="K75" s="25"/>
      <c r="L75" s="25"/>
      <c r="M75" s="25"/>
      <c r="N75" s="25"/>
      <c r="O75" s="25"/>
      <c r="P75" s="25"/>
      <c r="Q75" s="25"/>
      <c r="R75" s="25"/>
      <c r="S75" s="25"/>
      <c r="T75" s="25"/>
      <c r="U75" s="25"/>
      <c r="V75" s="25"/>
      <c r="W75" s="25"/>
      <c r="X75" s="25"/>
      <c r="Y75" s="25"/>
      <c r="Z75" s="25"/>
    </row>
    <row r="76" spans="1:26" ht="14.25" customHeight="1" x14ac:dyDescent="0.25">
      <c r="A76" s="26"/>
      <c r="B76" s="25"/>
      <c r="C76" s="25"/>
      <c r="D76" s="25"/>
      <c r="E76" s="26"/>
      <c r="F76" s="26"/>
      <c r="G76" s="26"/>
      <c r="H76" s="26"/>
      <c r="I76" s="26"/>
      <c r="J76" s="25"/>
      <c r="K76" s="25"/>
      <c r="L76" s="25"/>
      <c r="M76" s="25"/>
      <c r="N76" s="25"/>
      <c r="O76" s="25"/>
      <c r="P76" s="25"/>
      <c r="Q76" s="25"/>
      <c r="R76" s="25"/>
      <c r="S76" s="25"/>
      <c r="T76" s="25"/>
      <c r="U76" s="25"/>
      <c r="V76" s="25"/>
      <c r="W76" s="25"/>
      <c r="X76" s="25"/>
      <c r="Y76" s="25"/>
      <c r="Z76" s="25"/>
    </row>
    <row r="77" spans="1:26" ht="14.25" customHeight="1" x14ac:dyDescent="0.25">
      <c r="A77" s="26"/>
      <c r="B77" s="25"/>
      <c r="C77" s="25"/>
      <c r="D77" s="25"/>
      <c r="E77" s="26"/>
      <c r="F77" s="26"/>
      <c r="G77" s="26"/>
      <c r="H77" s="26"/>
      <c r="I77" s="26"/>
      <c r="J77" s="25"/>
      <c r="K77" s="25"/>
      <c r="L77" s="25"/>
      <c r="M77" s="25"/>
      <c r="N77" s="25"/>
      <c r="O77" s="25"/>
      <c r="P77" s="25"/>
      <c r="Q77" s="25"/>
      <c r="R77" s="25"/>
      <c r="S77" s="25"/>
      <c r="T77" s="25"/>
      <c r="U77" s="25"/>
      <c r="V77" s="25"/>
      <c r="W77" s="25"/>
      <c r="X77" s="25"/>
      <c r="Y77" s="25"/>
      <c r="Z77" s="25"/>
    </row>
    <row r="78" spans="1:26" ht="14.25" customHeight="1" x14ac:dyDescent="0.25">
      <c r="A78" s="26"/>
      <c r="B78" s="25"/>
      <c r="C78" s="25"/>
      <c r="D78" s="25"/>
      <c r="E78" s="26"/>
      <c r="F78" s="26"/>
      <c r="G78" s="26"/>
      <c r="H78" s="26"/>
      <c r="I78" s="26"/>
      <c r="J78" s="25"/>
      <c r="K78" s="25"/>
      <c r="L78" s="25"/>
      <c r="M78" s="25"/>
      <c r="N78" s="25"/>
      <c r="O78" s="25"/>
      <c r="P78" s="25"/>
      <c r="Q78" s="25"/>
      <c r="R78" s="25"/>
      <c r="S78" s="25"/>
      <c r="T78" s="25"/>
      <c r="U78" s="25"/>
      <c r="V78" s="25"/>
      <c r="W78" s="25"/>
      <c r="X78" s="25"/>
      <c r="Y78" s="25"/>
      <c r="Z78" s="25"/>
    </row>
    <row r="79" spans="1:26" ht="14.25" customHeight="1" x14ac:dyDescent="0.25">
      <c r="A79" s="26"/>
      <c r="B79" s="25"/>
      <c r="C79" s="25"/>
      <c r="D79" s="25"/>
      <c r="E79" s="26"/>
      <c r="F79" s="26"/>
      <c r="G79" s="26"/>
      <c r="H79" s="26"/>
      <c r="I79" s="26"/>
      <c r="J79" s="25"/>
      <c r="K79" s="25"/>
      <c r="L79" s="25"/>
      <c r="M79" s="25"/>
      <c r="N79" s="25"/>
      <c r="O79" s="25"/>
      <c r="P79" s="25"/>
      <c r="Q79" s="25"/>
      <c r="R79" s="25"/>
      <c r="S79" s="25"/>
      <c r="T79" s="25"/>
      <c r="U79" s="25"/>
      <c r="V79" s="25"/>
      <c r="W79" s="25"/>
      <c r="X79" s="25"/>
      <c r="Y79" s="25"/>
      <c r="Z79" s="25"/>
    </row>
    <row r="80" spans="1:26" ht="14.25" customHeight="1" x14ac:dyDescent="0.25">
      <c r="A80" s="26"/>
      <c r="B80" s="25"/>
      <c r="C80" s="25"/>
      <c r="D80" s="25"/>
      <c r="E80" s="26"/>
      <c r="F80" s="26"/>
      <c r="G80" s="26"/>
      <c r="H80" s="26"/>
      <c r="I80" s="26"/>
      <c r="J80" s="25"/>
      <c r="K80" s="25"/>
      <c r="L80" s="25"/>
      <c r="M80" s="25"/>
      <c r="N80" s="25"/>
      <c r="O80" s="25"/>
      <c r="P80" s="25"/>
      <c r="Q80" s="25"/>
      <c r="R80" s="25"/>
      <c r="S80" s="25"/>
      <c r="T80" s="25"/>
      <c r="U80" s="25"/>
      <c r="V80" s="25"/>
      <c r="W80" s="25"/>
      <c r="X80" s="25"/>
      <c r="Y80" s="25"/>
      <c r="Z80" s="25"/>
    </row>
    <row r="81" spans="1:26" ht="14.25" customHeight="1" x14ac:dyDescent="0.25">
      <c r="A81" s="26"/>
      <c r="B81" s="25"/>
      <c r="C81" s="25"/>
      <c r="D81" s="25"/>
      <c r="E81" s="26"/>
      <c r="F81" s="26"/>
      <c r="G81" s="26"/>
      <c r="H81" s="26"/>
      <c r="I81" s="26"/>
      <c r="J81" s="25"/>
      <c r="K81" s="25"/>
      <c r="L81" s="25"/>
      <c r="M81" s="25"/>
      <c r="N81" s="25"/>
      <c r="O81" s="25"/>
      <c r="P81" s="25"/>
      <c r="Q81" s="25"/>
      <c r="R81" s="25"/>
      <c r="S81" s="25"/>
      <c r="T81" s="25"/>
      <c r="U81" s="25"/>
      <c r="V81" s="25"/>
      <c r="W81" s="25"/>
      <c r="X81" s="25"/>
      <c r="Y81" s="25"/>
      <c r="Z81" s="25"/>
    </row>
    <row r="82" spans="1:26" ht="14.25" customHeight="1" x14ac:dyDescent="0.25">
      <c r="A82" s="26"/>
      <c r="B82" s="25"/>
      <c r="C82" s="25"/>
      <c r="D82" s="25"/>
      <c r="E82" s="26"/>
      <c r="F82" s="26"/>
      <c r="G82" s="26"/>
      <c r="H82" s="26"/>
      <c r="I82" s="26"/>
      <c r="J82" s="25"/>
      <c r="K82" s="25"/>
      <c r="L82" s="25"/>
      <c r="M82" s="25"/>
      <c r="N82" s="25"/>
      <c r="O82" s="25"/>
      <c r="P82" s="25"/>
      <c r="Q82" s="25"/>
      <c r="R82" s="25"/>
      <c r="S82" s="25"/>
      <c r="T82" s="25"/>
      <c r="U82" s="25"/>
      <c r="V82" s="25"/>
      <c r="W82" s="25"/>
      <c r="X82" s="25"/>
      <c r="Y82" s="25"/>
      <c r="Z82" s="25"/>
    </row>
    <row r="83" spans="1:26" ht="14.25" customHeight="1" x14ac:dyDescent="0.25">
      <c r="A83" s="26"/>
      <c r="B83" s="25"/>
      <c r="C83" s="25"/>
      <c r="D83" s="25"/>
      <c r="E83" s="26"/>
      <c r="F83" s="26"/>
      <c r="G83" s="26"/>
      <c r="H83" s="26"/>
      <c r="I83" s="26"/>
      <c r="J83" s="25"/>
      <c r="K83" s="25"/>
      <c r="L83" s="25"/>
      <c r="M83" s="25"/>
      <c r="N83" s="25"/>
      <c r="O83" s="25"/>
      <c r="P83" s="25"/>
      <c r="Q83" s="25"/>
      <c r="R83" s="25"/>
      <c r="S83" s="25"/>
      <c r="T83" s="25"/>
      <c r="U83" s="25"/>
      <c r="V83" s="25"/>
      <c r="W83" s="25"/>
      <c r="X83" s="25"/>
      <c r="Y83" s="25"/>
      <c r="Z83" s="25"/>
    </row>
    <row r="84" spans="1:26" ht="14.25" customHeight="1" x14ac:dyDescent="0.25">
      <c r="A84" s="26"/>
      <c r="B84" s="25"/>
      <c r="C84" s="25"/>
      <c r="D84" s="25"/>
      <c r="E84" s="26"/>
      <c r="F84" s="26"/>
      <c r="G84" s="26"/>
      <c r="H84" s="26"/>
      <c r="I84" s="26"/>
      <c r="J84" s="25"/>
      <c r="K84" s="25"/>
      <c r="L84" s="25"/>
      <c r="M84" s="25"/>
      <c r="N84" s="25"/>
      <c r="O84" s="25"/>
      <c r="P84" s="25"/>
      <c r="Q84" s="25"/>
      <c r="R84" s="25"/>
      <c r="S84" s="25"/>
      <c r="T84" s="25"/>
      <c r="U84" s="25"/>
      <c r="V84" s="25"/>
      <c r="W84" s="25"/>
      <c r="X84" s="25"/>
      <c r="Y84" s="25"/>
      <c r="Z84" s="25"/>
    </row>
    <row r="85" spans="1:26" ht="14.25" customHeight="1" x14ac:dyDescent="0.25">
      <c r="A85" s="26"/>
      <c r="B85" s="25"/>
      <c r="C85" s="25"/>
      <c r="D85" s="25"/>
      <c r="E85" s="26"/>
      <c r="F85" s="26"/>
      <c r="G85" s="26"/>
      <c r="H85" s="26"/>
      <c r="I85" s="26"/>
      <c r="J85" s="25"/>
      <c r="K85" s="25"/>
      <c r="L85" s="25"/>
      <c r="M85" s="25"/>
      <c r="N85" s="25"/>
      <c r="O85" s="25"/>
      <c r="P85" s="25"/>
      <c r="Q85" s="25"/>
      <c r="R85" s="25"/>
      <c r="S85" s="25"/>
      <c r="T85" s="25"/>
      <c r="U85" s="25"/>
      <c r="V85" s="25"/>
      <c r="W85" s="25"/>
      <c r="X85" s="25"/>
      <c r="Y85" s="25"/>
      <c r="Z85" s="25"/>
    </row>
    <row r="86" spans="1:26" ht="14.25" customHeight="1" x14ac:dyDescent="0.25">
      <c r="A86" s="26"/>
      <c r="B86" s="25"/>
      <c r="C86" s="25"/>
      <c r="D86" s="25"/>
      <c r="E86" s="26"/>
      <c r="F86" s="26"/>
      <c r="G86" s="26"/>
      <c r="H86" s="26"/>
      <c r="I86" s="26"/>
      <c r="J86" s="25"/>
      <c r="K86" s="25"/>
      <c r="L86" s="25"/>
      <c r="M86" s="25"/>
      <c r="N86" s="25"/>
      <c r="O86" s="25"/>
      <c r="P86" s="25"/>
      <c r="Q86" s="25"/>
      <c r="R86" s="25"/>
      <c r="S86" s="25"/>
      <c r="T86" s="25"/>
      <c r="U86" s="25"/>
      <c r="V86" s="25"/>
      <c r="W86" s="25"/>
      <c r="X86" s="25"/>
      <c r="Y86" s="25"/>
      <c r="Z86" s="25"/>
    </row>
    <row r="87" spans="1:26" ht="14.25" customHeight="1" x14ac:dyDescent="0.25">
      <c r="A87" s="26"/>
      <c r="B87" s="25"/>
      <c r="C87" s="25"/>
      <c r="D87" s="25"/>
      <c r="E87" s="26"/>
      <c r="F87" s="26"/>
      <c r="G87" s="26"/>
      <c r="H87" s="26"/>
      <c r="I87" s="26"/>
      <c r="J87" s="25"/>
      <c r="K87" s="25"/>
      <c r="L87" s="25"/>
      <c r="M87" s="25"/>
      <c r="N87" s="25"/>
      <c r="O87" s="25"/>
      <c r="P87" s="25"/>
      <c r="Q87" s="25"/>
      <c r="R87" s="25"/>
      <c r="S87" s="25"/>
      <c r="T87" s="25"/>
      <c r="U87" s="25"/>
      <c r="V87" s="25"/>
      <c r="W87" s="25"/>
      <c r="X87" s="25"/>
      <c r="Y87" s="25"/>
      <c r="Z87" s="25"/>
    </row>
    <row r="88" spans="1:26" ht="14.25" customHeight="1" x14ac:dyDescent="0.25">
      <c r="A88" s="26"/>
      <c r="B88" s="25"/>
      <c r="C88" s="25"/>
      <c r="D88" s="25"/>
      <c r="E88" s="26"/>
      <c r="F88" s="26"/>
      <c r="G88" s="26"/>
      <c r="H88" s="26"/>
      <c r="I88" s="26"/>
      <c r="J88" s="25"/>
      <c r="K88" s="25"/>
      <c r="L88" s="25"/>
      <c r="M88" s="25"/>
      <c r="N88" s="25"/>
      <c r="O88" s="25"/>
      <c r="P88" s="25"/>
      <c r="Q88" s="25"/>
      <c r="R88" s="25"/>
      <c r="S88" s="25"/>
      <c r="T88" s="25"/>
      <c r="U88" s="25"/>
      <c r="V88" s="25"/>
      <c r="W88" s="25"/>
      <c r="X88" s="25"/>
      <c r="Y88" s="25"/>
      <c r="Z88" s="25"/>
    </row>
    <row r="89" spans="1:26" ht="14.25" customHeight="1" x14ac:dyDescent="0.25">
      <c r="A89" s="26"/>
      <c r="B89" s="25"/>
      <c r="C89" s="25"/>
      <c r="D89" s="25"/>
      <c r="E89" s="26"/>
      <c r="F89" s="26"/>
      <c r="G89" s="26"/>
      <c r="H89" s="26"/>
      <c r="I89" s="26"/>
      <c r="J89" s="25"/>
      <c r="K89" s="25"/>
      <c r="L89" s="25"/>
      <c r="M89" s="25"/>
      <c r="N89" s="25"/>
      <c r="O89" s="25"/>
      <c r="P89" s="25"/>
      <c r="Q89" s="25"/>
      <c r="R89" s="25"/>
      <c r="S89" s="25"/>
      <c r="T89" s="25"/>
      <c r="U89" s="25"/>
      <c r="V89" s="25"/>
      <c r="W89" s="25"/>
      <c r="X89" s="25"/>
      <c r="Y89" s="25"/>
      <c r="Z89" s="25"/>
    </row>
    <row r="90" spans="1:26" ht="14.25" customHeight="1" x14ac:dyDescent="0.25">
      <c r="A90" s="26"/>
      <c r="B90" s="25"/>
      <c r="C90" s="25"/>
      <c r="D90" s="25"/>
      <c r="E90" s="26"/>
      <c r="F90" s="26"/>
      <c r="G90" s="26"/>
      <c r="H90" s="26"/>
      <c r="I90" s="26"/>
      <c r="J90" s="25"/>
      <c r="K90" s="25"/>
      <c r="L90" s="25"/>
      <c r="M90" s="25"/>
      <c r="N90" s="25"/>
      <c r="O90" s="25"/>
      <c r="P90" s="25"/>
      <c r="Q90" s="25"/>
      <c r="R90" s="25"/>
      <c r="S90" s="25"/>
      <c r="T90" s="25"/>
      <c r="U90" s="25"/>
      <c r="V90" s="25"/>
      <c r="W90" s="25"/>
      <c r="X90" s="25"/>
      <c r="Y90" s="25"/>
      <c r="Z90" s="25"/>
    </row>
    <row r="91" spans="1:26" ht="14.25" customHeight="1" x14ac:dyDescent="0.25">
      <c r="A91" s="26"/>
      <c r="B91" s="25"/>
      <c r="C91" s="25"/>
      <c r="D91" s="25"/>
      <c r="E91" s="26"/>
      <c r="F91" s="26"/>
      <c r="G91" s="26"/>
      <c r="H91" s="26"/>
      <c r="I91" s="26"/>
      <c r="J91" s="25"/>
      <c r="K91" s="25"/>
      <c r="L91" s="25"/>
      <c r="M91" s="25"/>
      <c r="N91" s="25"/>
      <c r="O91" s="25"/>
      <c r="P91" s="25"/>
      <c r="Q91" s="25"/>
      <c r="R91" s="25"/>
      <c r="S91" s="25"/>
      <c r="T91" s="25"/>
      <c r="U91" s="25"/>
      <c r="V91" s="25"/>
      <c r="W91" s="25"/>
      <c r="X91" s="25"/>
      <c r="Y91" s="25"/>
      <c r="Z91" s="25"/>
    </row>
    <row r="92" spans="1:26" ht="14.25" customHeight="1" x14ac:dyDescent="0.25">
      <c r="A92" s="26"/>
      <c r="B92" s="25"/>
      <c r="C92" s="25"/>
      <c r="D92" s="25"/>
      <c r="E92" s="26"/>
      <c r="F92" s="26"/>
      <c r="G92" s="26"/>
      <c r="H92" s="26"/>
      <c r="I92" s="26"/>
      <c r="J92" s="25"/>
      <c r="K92" s="25"/>
      <c r="L92" s="25"/>
      <c r="M92" s="25"/>
      <c r="N92" s="25"/>
      <c r="O92" s="25"/>
      <c r="P92" s="25"/>
      <c r="Q92" s="25"/>
      <c r="R92" s="25"/>
      <c r="S92" s="25"/>
      <c r="T92" s="25"/>
      <c r="U92" s="25"/>
      <c r="V92" s="25"/>
      <c r="W92" s="25"/>
      <c r="X92" s="25"/>
      <c r="Y92" s="25"/>
      <c r="Z92" s="25"/>
    </row>
    <row r="93" spans="1:26" ht="14.25" customHeight="1" x14ac:dyDescent="0.25">
      <c r="A93" s="26"/>
      <c r="B93" s="25"/>
      <c r="C93" s="25"/>
      <c r="D93" s="25"/>
      <c r="E93" s="26"/>
      <c r="F93" s="26"/>
      <c r="G93" s="26"/>
      <c r="H93" s="26"/>
      <c r="I93" s="26"/>
      <c r="J93" s="25"/>
      <c r="K93" s="25"/>
      <c r="L93" s="25"/>
      <c r="M93" s="25"/>
      <c r="N93" s="25"/>
      <c r="O93" s="25"/>
      <c r="P93" s="25"/>
      <c r="Q93" s="25"/>
      <c r="R93" s="25"/>
      <c r="S93" s="25"/>
      <c r="T93" s="25"/>
      <c r="U93" s="25"/>
      <c r="V93" s="25"/>
      <c r="W93" s="25"/>
      <c r="X93" s="25"/>
      <c r="Y93" s="25"/>
      <c r="Z93" s="25"/>
    </row>
    <row r="94" spans="1:26" ht="14.25" customHeight="1" x14ac:dyDescent="0.25">
      <c r="A94" s="26"/>
      <c r="B94" s="25"/>
      <c r="C94" s="25"/>
      <c r="D94" s="25"/>
      <c r="E94" s="26"/>
      <c r="F94" s="26"/>
      <c r="G94" s="26"/>
      <c r="H94" s="26"/>
      <c r="I94" s="26"/>
      <c r="J94" s="25"/>
      <c r="K94" s="25"/>
      <c r="L94" s="25"/>
      <c r="M94" s="25"/>
      <c r="N94" s="25"/>
      <c r="O94" s="25"/>
      <c r="P94" s="25"/>
      <c r="Q94" s="25"/>
      <c r="R94" s="25"/>
      <c r="S94" s="25"/>
      <c r="T94" s="25"/>
      <c r="U94" s="25"/>
      <c r="V94" s="25"/>
      <c r="W94" s="25"/>
      <c r="X94" s="25"/>
      <c r="Y94" s="25"/>
      <c r="Z94" s="25"/>
    </row>
    <row r="95" spans="1:26" ht="14.25" customHeight="1" x14ac:dyDescent="0.25">
      <c r="A95" s="26"/>
      <c r="B95" s="25"/>
      <c r="C95" s="25"/>
      <c r="D95" s="25"/>
      <c r="E95" s="26"/>
      <c r="F95" s="26"/>
      <c r="G95" s="26"/>
      <c r="H95" s="26"/>
      <c r="I95" s="26"/>
      <c r="J95" s="25"/>
      <c r="K95" s="25"/>
      <c r="L95" s="25"/>
      <c r="M95" s="25"/>
      <c r="N95" s="25"/>
      <c r="O95" s="25"/>
      <c r="P95" s="25"/>
      <c r="Q95" s="25"/>
      <c r="R95" s="25"/>
      <c r="S95" s="25"/>
      <c r="T95" s="25"/>
      <c r="U95" s="25"/>
      <c r="V95" s="25"/>
      <c r="W95" s="25"/>
      <c r="X95" s="25"/>
      <c r="Y95" s="25"/>
      <c r="Z95" s="25"/>
    </row>
    <row r="96" spans="1:26" ht="14.25" customHeight="1" x14ac:dyDescent="0.25">
      <c r="A96" s="26"/>
      <c r="B96" s="25"/>
      <c r="C96" s="25"/>
      <c r="D96" s="25"/>
      <c r="E96" s="26"/>
      <c r="F96" s="26"/>
      <c r="G96" s="26"/>
      <c r="H96" s="26"/>
      <c r="I96" s="26"/>
      <c r="J96" s="25"/>
      <c r="K96" s="25"/>
      <c r="L96" s="25"/>
      <c r="M96" s="25"/>
      <c r="N96" s="25"/>
      <c r="O96" s="25"/>
      <c r="P96" s="25"/>
      <c r="Q96" s="25"/>
      <c r="R96" s="25"/>
      <c r="S96" s="25"/>
      <c r="T96" s="25"/>
      <c r="U96" s="25"/>
      <c r="V96" s="25"/>
      <c r="W96" s="25"/>
      <c r="X96" s="25"/>
      <c r="Y96" s="25"/>
      <c r="Z96" s="25"/>
    </row>
    <row r="97" spans="1:26" ht="14.25" customHeight="1" x14ac:dyDescent="0.25">
      <c r="A97" s="26"/>
      <c r="B97" s="25"/>
      <c r="C97" s="25"/>
      <c r="D97" s="25"/>
      <c r="E97" s="26"/>
      <c r="F97" s="26"/>
      <c r="G97" s="26"/>
      <c r="H97" s="26"/>
      <c r="I97" s="26"/>
      <c r="J97" s="25"/>
      <c r="K97" s="25"/>
      <c r="L97" s="25"/>
      <c r="M97" s="25"/>
      <c r="N97" s="25"/>
      <c r="O97" s="25"/>
      <c r="P97" s="25"/>
      <c r="Q97" s="25"/>
      <c r="R97" s="25"/>
      <c r="S97" s="25"/>
      <c r="T97" s="25"/>
      <c r="U97" s="25"/>
      <c r="V97" s="25"/>
      <c r="W97" s="25"/>
      <c r="X97" s="25"/>
      <c r="Y97" s="25"/>
      <c r="Z97" s="25"/>
    </row>
    <row r="98" spans="1:26" ht="14.25" customHeight="1" x14ac:dyDescent="0.25">
      <c r="A98" s="26"/>
      <c r="B98" s="25"/>
      <c r="C98" s="25"/>
      <c r="D98" s="25"/>
      <c r="E98" s="26"/>
      <c r="F98" s="26"/>
      <c r="G98" s="26"/>
      <c r="H98" s="26"/>
      <c r="I98" s="26"/>
      <c r="J98" s="25"/>
      <c r="K98" s="25"/>
      <c r="L98" s="25"/>
      <c r="M98" s="25"/>
      <c r="N98" s="25"/>
      <c r="O98" s="25"/>
      <c r="P98" s="25"/>
      <c r="Q98" s="25"/>
      <c r="R98" s="25"/>
      <c r="S98" s="25"/>
      <c r="T98" s="25"/>
      <c r="U98" s="25"/>
      <c r="V98" s="25"/>
      <c r="W98" s="25"/>
      <c r="X98" s="25"/>
      <c r="Y98" s="25"/>
      <c r="Z98" s="25"/>
    </row>
    <row r="99" spans="1:26" ht="14.25" customHeight="1" x14ac:dyDescent="0.25">
      <c r="A99" s="26"/>
      <c r="B99" s="25"/>
      <c r="C99" s="25"/>
      <c r="D99" s="25"/>
      <c r="E99" s="26"/>
      <c r="F99" s="26"/>
      <c r="G99" s="26"/>
      <c r="H99" s="26"/>
      <c r="I99" s="26"/>
      <c r="J99" s="25"/>
      <c r="K99" s="25"/>
      <c r="L99" s="25"/>
      <c r="M99" s="25"/>
      <c r="N99" s="25"/>
      <c r="O99" s="25"/>
      <c r="P99" s="25"/>
      <c r="Q99" s="25"/>
      <c r="R99" s="25"/>
      <c r="S99" s="25"/>
      <c r="T99" s="25"/>
      <c r="U99" s="25"/>
      <c r="V99" s="25"/>
      <c r="W99" s="25"/>
      <c r="X99" s="25"/>
      <c r="Y99" s="25"/>
      <c r="Z99" s="25"/>
    </row>
    <row r="100" spans="1:26" ht="14.25" customHeight="1" x14ac:dyDescent="0.25">
      <c r="A100" s="26"/>
      <c r="B100" s="25"/>
      <c r="C100" s="25"/>
      <c r="D100" s="25"/>
      <c r="E100" s="26"/>
      <c r="F100" s="26"/>
      <c r="G100" s="26"/>
      <c r="H100" s="26"/>
      <c r="I100" s="26"/>
      <c r="J100" s="25"/>
      <c r="K100" s="25"/>
      <c r="L100" s="25"/>
      <c r="M100" s="25"/>
      <c r="N100" s="25"/>
      <c r="O100" s="25"/>
      <c r="P100" s="25"/>
      <c r="Q100" s="25"/>
      <c r="R100" s="25"/>
      <c r="S100" s="25"/>
      <c r="T100" s="25"/>
      <c r="U100" s="25"/>
      <c r="V100" s="25"/>
      <c r="W100" s="25"/>
      <c r="X100" s="25"/>
      <c r="Y100" s="25"/>
      <c r="Z100" s="25"/>
    </row>
    <row r="101" spans="1:26" ht="14.25" customHeight="1" x14ac:dyDescent="0.25">
      <c r="A101" s="26"/>
      <c r="B101" s="25"/>
      <c r="C101" s="25"/>
      <c r="D101" s="25"/>
      <c r="E101" s="26"/>
      <c r="F101" s="26"/>
      <c r="G101" s="26"/>
      <c r="H101" s="26"/>
      <c r="I101" s="26"/>
      <c r="J101" s="25"/>
      <c r="K101" s="25"/>
      <c r="L101" s="25"/>
      <c r="M101" s="25"/>
      <c r="N101" s="25"/>
      <c r="O101" s="25"/>
      <c r="P101" s="25"/>
      <c r="Q101" s="25"/>
      <c r="R101" s="25"/>
      <c r="S101" s="25"/>
      <c r="T101" s="25"/>
      <c r="U101" s="25"/>
      <c r="V101" s="25"/>
      <c r="W101" s="25"/>
      <c r="X101" s="25"/>
      <c r="Y101" s="25"/>
      <c r="Z101" s="25"/>
    </row>
    <row r="102" spans="1:26" ht="14.25" customHeight="1" x14ac:dyDescent="0.25">
      <c r="A102" s="26"/>
      <c r="B102" s="25"/>
      <c r="C102" s="25"/>
      <c r="D102" s="25"/>
      <c r="E102" s="26"/>
      <c r="F102" s="26"/>
      <c r="G102" s="26"/>
      <c r="H102" s="26"/>
      <c r="I102" s="26"/>
      <c r="J102" s="25"/>
      <c r="K102" s="25"/>
      <c r="L102" s="25"/>
      <c r="M102" s="25"/>
      <c r="N102" s="25"/>
      <c r="O102" s="25"/>
      <c r="P102" s="25"/>
      <c r="Q102" s="25"/>
      <c r="R102" s="25"/>
      <c r="S102" s="25"/>
      <c r="T102" s="25"/>
      <c r="U102" s="25"/>
      <c r="V102" s="25"/>
      <c r="W102" s="25"/>
      <c r="X102" s="25"/>
      <c r="Y102" s="25"/>
      <c r="Z102" s="25"/>
    </row>
    <row r="103" spans="1:26" ht="14.25" customHeight="1" x14ac:dyDescent="0.25">
      <c r="A103" s="26"/>
      <c r="B103" s="25"/>
      <c r="C103" s="25"/>
      <c r="D103" s="25"/>
      <c r="E103" s="26"/>
      <c r="F103" s="26"/>
      <c r="G103" s="26"/>
      <c r="H103" s="26"/>
      <c r="I103" s="26"/>
      <c r="J103" s="25"/>
      <c r="K103" s="25"/>
      <c r="L103" s="25"/>
      <c r="M103" s="25"/>
      <c r="N103" s="25"/>
      <c r="O103" s="25"/>
      <c r="P103" s="25"/>
      <c r="Q103" s="25"/>
      <c r="R103" s="25"/>
      <c r="S103" s="25"/>
      <c r="T103" s="25"/>
      <c r="U103" s="25"/>
      <c r="V103" s="25"/>
      <c r="W103" s="25"/>
      <c r="X103" s="25"/>
      <c r="Y103" s="25"/>
      <c r="Z103" s="25"/>
    </row>
    <row r="104" spans="1:26" ht="14.25" customHeight="1" x14ac:dyDescent="0.25">
      <c r="A104" s="26"/>
      <c r="B104" s="25"/>
      <c r="C104" s="25"/>
      <c r="D104" s="25"/>
      <c r="E104" s="26"/>
      <c r="F104" s="26"/>
      <c r="G104" s="26"/>
      <c r="H104" s="26"/>
      <c r="I104" s="26"/>
      <c r="J104" s="25"/>
      <c r="K104" s="25"/>
      <c r="L104" s="25"/>
      <c r="M104" s="25"/>
      <c r="N104" s="25"/>
      <c r="O104" s="25"/>
      <c r="P104" s="25"/>
      <c r="Q104" s="25"/>
      <c r="R104" s="25"/>
      <c r="S104" s="25"/>
      <c r="T104" s="25"/>
      <c r="U104" s="25"/>
      <c r="V104" s="25"/>
      <c r="W104" s="25"/>
      <c r="X104" s="25"/>
      <c r="Y104" s="25"/>
      <c r="Z104" s="25"/>
    </row>
    <row r="105" spans="1:26" ht="14.25" customHeight="1" x14ac:dyDescent="0.25">
      <c r="A105" s="26"/>
      <c r="B105" s="25"/>
      <c r="C105" s="25"/>
      <c r="D105" s="25"/>
      <c r="E105" s="26"/>
      <c r="F105" s="26"/>
      <c r="G105" s="26"/>
      <c r="H105" s="26"/>
      <c r="I105" s="26"/>
      <c r="J105" s="25"/>
      <c r="K105" s="25"/>
      <c r="L105" s="25"/>
      <c r="M105" s="25"/>
      <c r="N105" s="25"/>
      <c r="O105" s="25"/>
      <c r="P105" s="25"/>
      <c r="Q105" s="25"/>
      <c r="R105" s="25"/>
      <c r="S105" s="25"/>
      <c r="T105" s="25"/>
      <c r="U105" s="25"/>
      <c r="V105" s="25"/>
      <c r="W105" s="25"/>
      <c r="X105" s="25"/>
      <c r="Y105" s="25"/>
      <c r="Z105" s="25"/>
    </row>
    <row r="106" spans="1:26" ht="14.25" customHeight="1" x14ac:dyDescent="0.25">
      <c r="A106" s="26"/>
      <c r="B106" s="25"/>
      <c r="C106" s="25"/>
      <c r="D106" s="25"/>
      <c r="E106" s="26"/>
      <c r="F106" s="26"/>
      <c r="G106" s="26"/>
      <c r="H106" s="26"/>
      <c r="I106" s="26"/>
      <c r="J106" s="25"/>
      <c r="K106" s="25"/>
      <c r="L106" s="25"/>
      <c r="M106" s="25"/>
      <c r="N106" s="25"/>
      <c r="O106" s="25"/>
      <c r="P106" s="25"/>
      <c r="Q106" s="25"/>
      <c r="R106" s="25"/>
      <c r="S106" s="25"/>
      <c r="T106" s="25"/>
      <c r="U106" s="25"/>
      <c r="V106" s="25"/>
      <c r="W106" s="25"/>
      <c r="X106" s="25"/>
      <c r="Y106" s="25"/>
      <c r="Z106" s="25"/>
    </row>
    <row r="107" spans="1:26" ht="14.25" customHeight="1" x14ac:dyDescent="0.25">
      <c r="A107" s="26"/>
      <c r="B107" s="25"/>
      <c r="C107" s="25"/>
      <c r="D107" s="25"/>
      <c r="E107" s="26"/>
      <c r="F107" s="26"/>
      <c r="G107" s="26"/>
      <c r="H107" s="26"/>
      <c r="I107" s="26"/>
      <c r="J107" s="25"/>
      <c r="K107" s="25"/>
      <c r="L107" s="25"/>
      <c r="M107" s="25"/>
      <c r="N107" s="25"/>
      <c r="O107" s="25"/>
      <c r="P107" s="25"/>
      <c r="Q107" s="25"/>
      <c r="R107" s="25"/>
      <c r="S107" s="25"/>
      <c r="T107" s="25"/>
      <c r="U107" s="25"/>
      <c r="V107" s="25"/>
      <c r="W107" s="25"/>
      <c r="X107" s="25"/>
      <c r="Y107" s="25"/>
      <c r="Z107" s="25"/>
    </row>
    <row r="108" spans="1:26" ht="14.25" customHeight="1" x14ac:dyDescent="0.25">
      <c r="A108" s="26"/>
      <c r="B108" s="25"/>
      <c r="C108" s="25"/>
      <c r="D108" s="25"/>
      <c r="E108" s="26"/>
      <c r="F108" s="26"/>
      <c r="G108" s="26"/>
      <c r="H108" s="26"/>
      <c r="I108" s="26"/>
      <c r="J108" s="25"/>
      <c r="K108" s="25"/>
      <c r="L108" s="25"/>
      <c r="M108" s="25"/>
      <c r="N108" s="25"/>
      <c r="O108" s="25"/>
      <c r="P108" s="25"/>
      <c r="Q108" s="25"/>
      <c r="R108" s="25"/>
      <c r="S108" s="25"/>
      <c r="T108" s="25"/>
      <c r="U108" s="25"/>
      <c r="V108" s="25"/>
      <c r="W108" s="25"/>
      <c r="X108" s="25"/>
      <c r="Y108" s="25"/>
      <c r="Z108" s="25"/>
    </row>
    <row r="109" spans="1:26" ht="14.25" customHeight="1" x14ac:dyDescent="0.25">
      <c r="A109" s="26"/>
      <c r="B109" s="25"/>
      <c r="C109" s="25"/>
      <c r="D109" s="25"/>
      <c r="E109" s="26"/>
      <c r="F109" s="26"/>
      <c r="G109" s="26"/>
      <c r="H109" s="26"/>
      <c r="I109" s="26"/>
      <c r="J109" s="25"/>
      <c r="K109" s="25"/>
      <c r="L109" s="25"/>
      <c r="M109" s="25"/>
      <c r="N109" s="25"/>
      <c r="O109" s="25"/>
      <c r="P109" s="25"/>
      <c r="Q109" s="25"/>
      <c r="R109" s="25"/>
      <c r="S109" s="25"/>
      <c r="T109" s="25"/>
      <c r="U109" s="25"/>
      <c r="V109" s="25"/>
      <c r="W109" s="25"/>
      <c r="X109" s="25"/>
      <c r="Y109" s="25"/>
      <c r="Z109" s="25"/>
    </row>
    <row r="110" spans="1:26" ht="14.25" customHeight="1" x14ac:dyDescent="0.25">
      <c r="A110" s="26"/>
      <c r="B110" s="25"/>
      <c r="C110" s="25"/>
      <c r="D110" s="25"/>
      <c r="E110" s="26"/>
      <c r="F110" s="26"/>
      <c r="G110" s="26"/>
      <c r="H110" s="26"/>
      <c r="I110" s="26"/>
      <c r="J110" s="25"/>
      <c r="K110" s="25"/>
      <c r="L110" s="25"/>
      <c r="M110" s="25"/>
      <c r="N110" s="25"/>
      <c r="O110" s="25"/>
      <c r="P110" s="25"/>
      <c r="Q110" s="25"/>
      <c r="R110" s="25"/>
      <c r="S110" s="25"/>
      <c r="T110" s="25"/>
      <c r="U110" s="25"/>
      <c r="V110" s="25"/>
      <c r="W110" s="25"/>
      <c r="X110" s="25"/>
      <c r="Y110" s="25"/>
      <c r="Z110" s="25"/>
    </row>
    <row r="111" spans="1:26" ht="14.25" customHeight="1" x14ac:dyDescent="0.25">
      <c r="A111" s="26"/>
      <c r="B111" s="25"/>
      <c r="C111" s="25"/>
      <c r="D111" s="25"/>
      <c r="E111" s="26"/>
      <c r="F111" s="26"/>
      <c r="G111" s="26"/>
      <c r="H111" s="26"/>
      <c r="I111" s="26"/>
      <c r="J111" s="25"/>
      <c r="K111" s="25"/>
      <c r="L111" s="25"/>
      <c r="M111" s="25"/>
      <c r="N111" s="25"/>
      <c r="O111" s="25"/>
      <c r="P111" s="25"/>
      <c r="Q111" s="25"/>
      <c r="R111" s="25"/>
      <c r="S111" s="25"/>
      <c r="T111" s="25"/>
      <c r="U111" s="25"/>
      <c r="V111" s="25"/>
      <c r="W111" s="25"/>
      <c r="X111" s="25"/>
      <c r="Y111" s="25"/>
      <c r="Z111" s="25"/>
    </row>
    <row r="112" spans="1:26" ht="14.25" customHeight="1" x14ac:dyDescent="0.25">
      <c r="A112" s="26"/>
      <c r="B112" s="25"/>
      <c r="C112" s="25"/>
      <c r="D112" s="25"/>
      <c r="E112" s="26"/>
      <c r="F112" s="26"/>
      <c r="G112" s="26"/>
      <c r="H112" s="26"/>
      <c r="I112" s="26"/>
      <c r="J112" s="25"/>
      <c r="K112" s="25"/>
      <c r="L112" s="25"/>
      <c r="M112" s="25"/>
      <c r="N112" s="25"/>
      <c r="O112" s="25"/>
      <c r="P112" s="25"/>
      <c r="Q112" s="25"/>
      <c r="R112" s="25"/>
      <c r="S112" s="25"/>
      <c r="T112" s="25"/>
      <c r="U112" s="25"/>
      <c r="V112" s="25"/>
      <c r="W112" s="25"/>
      <c r="X112" s="25"/>
      <c r="Y112" s="25"/>
      <c r="Z112" s="25"/>
    </row>
    <row r="113" spans="1:26" ht="14.25" customHeight="1" x14ac:dyDescent="0.25">
      <c r="A113" s="26"/>
      <c r="B113" s="25"/>
      <c r="C113" s="25"/>
      <c r="D113" s="25"/>
      <c r="E113" s="26"/>
      <c r="F113" s="26"/>
      <c r="G113" s="26"/>
      <c r="H113" s="26"/>
      <c r="I113" s="26"/>
      <c r="J113" s="25"/>
      <c r="K113" s="25"/>
      <c r="L113" s="25"/>
      <c r="M113" s="25"/>
      <c r="N113" s="25"/>
      <c r="O113" s="25"/>
      <c r="P113" s="25"/>
      <c r="Q113" s="25"/>
      <c r="R113" s="25"/>
      <c r="S113" s="25"/>
      <c r="T113" s="25"/>
      <c r="U113" s="25"/>
      <c r="V113" s="25"/>
      <c r="W113" s="25"/>
      <c r="X113" s="25"/>
      <c r="Y113" s="25"/>
      <c r="Z113" s="25"/>
    </row>
    <row r="114" spans="1:26" ht="14.25" customHeight="1" x14ac:dyDescent="0.25">
      <c r="A114" s="26"/>
      <c r="B114" s="25"/>
      <c r="C114" s="25"/>
      <c r="D114" s="25"/>
      <c r="E114" s="26"/>
      <c r="F114" s="26"/>
      <c r="G114" s="26"/>
      <c r="H114" s="26"/>
      <c r="I114" s="26"/>
      <c r="J114" s="25"/>
      <c r="K114" s="25"/>
      <c r="L114" s="25"/>
      <c r="M114" s="25"/>
      <c r="N114" s="25"/>
      <c r="O114" s="25"/>
      <c r="P114" s="25"/>
      <c r="Q114" s="25"/>
      <c r="R114" s="25"/>
      <c r="S114" s="25"/>
      <c r="T114" s="25"/>
      <c r="U114" s="25"/>
      <c r="V114" s="25"/>
      <c r="W114" s="25"/>
      <c r="X114" s="25"/>
      <c r="Y114" s="25"/>
      <c r="Z114" s="25"/>
    </row>
    <row r="115" spans="1:26" ht="14.25" customHeight="1" x14ac:dyDescent="0.25">
      <c r="A115" s="26"/>
      <c r="B115" s="25"/>
      <c r="C115" s="25"/>
      <c r="D115" s="25"/>
      <c r="E115" s="26"/>
      <c r="F115" s="26"/>
      <c r="G115" s="26"/>
      <c r="H115" s="26"/>
      <c r="I115" s="26"/>
      <c r="J115" s="25"/>
      <c r="K115" s="25"/>
      <c r="L115" s="25"/>
      <c r="M115" s="25"/>
      <c r="N115" s="25"/>
      <c r="O115" s="25"/>
      <c r="P115" s="25"/>
      <c r="Q115" s="25"/>
      <c r="R115" s="25"/>
      <c r="S115" s="25"/>
      <c r="T115" s="25"/>
      <c r="U115" s="25"/>
      <c r="V115" s="25"/>
      <c r="W115" s="25"/>
      <c r="X115" s="25"/>
      <c r="Y115" s="25"/>
      <c r="Z115" s="25"/>
    </row>
    <row r="116" spans="1:26" ht="14.25" customHeight="1" x14ac:dyDescent="0.25">
      <c r="A116" s="26"/>
      <c r="B116" s="25"/>
      <c r="C116" s="25"/>
      <c r="D116" s="25"/>
      <c r="E116" s="26"/>
      <c r="F116" s="26"/>
      <c r="G116" s="26"/>
      <c r="H116" s="26"/>
      <c r="I116" s="26"/>
      <c r="J116" s="25"/>
      <c r="K116" s="25"/>
      <c r="L116" s="25"/>
      <c r="M116" s="25"/>
      <c r="N116" s="25"/>
      <c r="O116" s="25"/>
      <c r="P116" s="25"/>
      <c r="Q116" s="25"/>
      <c r="R116" s="25"/>
      <c r="S116" s="25"/>
      <c r="T116" s="25"/>
      <c r="U116" s="25"/>
      <c r="V116" s="25"/>
      <c r="W116" s="25"/>
      <c r="X116" s="25"/>
      <c r="Y116" s="25"/>
      <c r="Z116" s="25"/>
    </row>
    <row r="117" spans="1:26" ht="14.25" customHeight="1" x14ac:dyDescent="0.25">
      <c r="A117" s="26"/>
      <c r="B117" s="25"/>
      <c r="C117" s="25"/>
      <c r="D117" s="25"/>
      <c r="E117" s="26"/>
      <c r="F117" s="26"/>
      <c r="G117" s="26"/>
      <c r="H117" s="26"/>
      <c r="I117" s="26"/>
      <c r="J117" s="25"/>
      <c r="K117" s="25"/>
      <c r="L117" s="25"/>
      <c r="M117" s="25"/>
      <c r="N117" s="25"/>
      <c r="O117" s="25"/>
      <c r="P117" s="25"/>
      <c r="Q117" s="25"/>
      <c r="R117" s="25"/>
      <c r="S117" s="25"/>
      <c r="T117" s="25"/>
      <c r="U117" s="25"/>
      <c r="V117" s="25"/>
      <c r="W117" s="25"/>
      <c r="X117" s="25"/>
      <c r="Y117" s="25"/>
      <c r="Z117" s="25"/>
    </row>
    <row r="118" spans="1:26" ht="14.25" customHeight="1" x14ac:dyDescent="0.25">
      <c r="A118" s="26"/>
      <c r="B118" s="25"/>
      <c r="C118" s="25"/>
      <c r="D118" s="25"/>
      <c r="E118" s="26"/>
      <c r="F118" s="26"/>
      <c r="G118" s="26"/>
      <c r="H118" s="26"/>
      <c r="I118" s="26"/>
      <c r="J118" s="25"/>
      <c r="K118" s="25"/>
      <c r="L118" s="25"/>
      <c r="M118" s="25"/>
      <c r="N118" s="25"/>
      <c r="O118" s="25"/>
      <c r="P118" s="25"/>
      <c r="Q118" s="25"/>
      <c r="R118" s="25"/>
      <c r="S118" s="25"/>
      <c r="T118" s="25"/>
      <c r="U118" s="25"/>
      <c r="V118" s="25"/>
      <c r="W118" s="25"/>
      <c r="X118" s="25"/>
      <c r="Y118" s="25"/>
      <c r="Z118" s="25"/>
    </row>
    <row r="119" spans="1:26" ht="14.25" customHeight="1" x14ac:dyDescent="0.25">
      <c r="A119" s="26"/>
      <c r="B119" s="25"/>
      <c r="C119" s="25"/>
      <c r="D119" s="25"/>
      <c r="E119" s="26"/>
      <c r="F119" s="26"/>
      <c r="G119" s="26"/>
      <c r="H119" s="26"/>
      <c r="I119" s="26"/>
      <c r="J119" s="25"/>
      <c r="K119" s="25"/>
      <c r="L119" s="25"/>
      <c r="M119" s="25"/>
      <c r="N119" s="25"/>
      <c r="O119" s="25"/>
      <c r="P119" s="25"/>
      <c r="Q119" s="25"/>
      <c r="R119" s="25"/>
      <c r="S119" s="25"/>
      <c r="T119" s="25"/>
      <c r="U119" s="25"/>
      <c r="V119" s="25"/>
      <c r="W119" s="25"/>
      <c r="X119" s="25"/>
      <c r="Y119" s="25"/>
      <c r="Z119" s="25"/>
    </row>
    <row r="120" spans="1:26" ht="14.25" customHeight="1" x14ac:dyDescent="0.25">
      <c r="A120" s="26"/>
      <c r="B120" s="25"/>
      <c r="C120" s="25"/>
      <c r="D120" s="25"/>
      <c r="E120" s="26"/>
      <c r="F120" s="26"/>
      <c r="G120" s="26"/>
      <c r="H120" s="26"/>
      <c r="I120" s="26"/>
      <c r="J120" s="25"/>
      <c r="K120" s="25"/>
      <c r="L120" s="25"/>
      <c r="M120" s="25"/>
      <c r="N120" s="25"/>
      <c r="O120" s="25"/>
      <c r="P120" s="25"/>
      <c r="Q120" s="25"/>
      <c r="R120" s="25"/>
      <c r="S120" s="25"/>
      <c r="T120" s="25"/>
      <c r="U120" s="25"/>
      <c r="V120" s="25"/>
      <c r="W120" s="25"/>
      <c r="X120" s="25"/>
      <c r="Y120" s="25"/>
      <c r="Z120" s="25"/>
    </row>
    <row r="121" spans="1:26" ht="14.25" customHeight="1" x14ac:dyDescent="0.25">
      <c r="A121" s="26"/>
      <c r="B121" s="25"/>
      <c r="C121" s="25"/>
      <c r="D121" s="25"/>
      <c r="E121" s="26"/>
      <c r="F121" s="26"/>
      <c r="G121" s="26"/>
      <c r="H121" s="26"/>
      <c r="I121" s="26"/>
      <c r="J121" s="25"/>
      <c r="K121" s="25"/>
      <c r="L121" s="25"/>
      <c r="M121" s="25"/>
      <c r="N121" s="25"/>
      <c r="O121" s="25"/>
      <c r="P121" s="25"/>
      <c r="Q121" s="25"/>
      <c r="R121" s="25"/>
      <c r="S121" s="25"/>
      <c r="T121" s="25"/>
      <c r="U121" s="25"/>
      <c r="V121" s="25"/>
      <c r="W121" s="25"/>
      <c r="X121" s="25"/>
      <c r="Y121" s="25"/>
      <c r="Z121" s="25"/>
    </row>
    <row r="122" spans="1:26" ht="14.25" customHeight="1" x14ac:dyDescent="0.25">
      <c r="A122" s="26"/>
      <c r="B122" s="25"/>
      <c r="C122" s="25"/>
      <c r="D122" s="25"/>
      <c r="E122" s="26"/>
      <c r="F122" s="26"/>
      <c r="G122" s="26"/>
      <c r="H122" s="26"/>
      <c r="I122" s="26"/>
      <c r="J122" s="25"/>
      <c r="K122" s="25"/>
      <c r="L122" s="25"/>
      <c r="M122" s="25"/>
      <c r="N122" s="25"/>
      <c r="O122" s="25"/>
      <c r="P122" s="25"/>
      <c r="Q122" s="25"/>
      <c r="R122" s="25"/>
      <c r="S122" s="25"/>
      <c r="T122" s="25"/>
      <c r="U122" s="25"/>
      <c r="V122" s="25"/>
      <c r="W122" s="25"/>
      <c r="X122" s="25"/>
      <c r="Y122" s="25"/>
      <c r="Z122" s="25"/>
    </row>
    <row r="123" spans="1:26" ht="14.25" customHeight="1" x14ac:dyDescent="0.25">
      <c r="A123" s="26"/>
      <c r="B123" s="25"/>
      <c r="C123" s="25"/>
      <c r="D123" s="25"/>
      <c r="E123" s="26"/>
      <c r="F123" s="26"/>
      <c r="G123" s="26"/>
      <c r="H123" s="26"/>
      <c r="I123" s="26"/>
      <c r="J123" s="25"/>
      <c r="K123" s="25"/>
      <c r="L123" s="25"/>
      <c r="M123" s="25"/>
      <c r="N123" s="25"/>
      <c r="O123" s="25"/>
      <c r="P123" s="25"/>
      <c r="Q123" s="25"/>
      <c r="R123" s="25"/>
      <c r="S123" s="25"/>
      <c r="T123" s="25"/>
      <c r="U123" s="25"/>
      <c r="V123" s="25"/>
      <c r="W123" s="25"/>
      <c r="X123" s="25"/>
      <c r="Y123" s="25"/>
      <c r="Z123" s="25"/>
    </row>
    <row r="124" spans="1:26" ht="14.25" customHeight="1" x14ac:dyDescent="0.25">
      <c r="A124" s="26"/>
      <c r="B124" s="25"/>
      <c r="C124" s="25"/>
      <c r="D124" s="25"/>
      <c r="E124" s="26"/>
      <c r="F124" s="26"/>
      <c r="G124" s="26"/>
      <c r="H124" s="26"/>
      <c r="I124" s="26"/>
      <c r="J124" s="25"/>
      <c r="K124" s="25"/>
      <c r="L124" s="25"/>
      <c r="M124" s="25"/>
      <c r="N124" s="25"/>
      <c r="O124" s="25"/>
      <c r="P124" s="25"/>
      <c r="Q124" s="25"/>
      <c r="R124" s="25"/>
      <c r="S124" s="25"/>
      <c r="T124" s="25"/>
      <c r="U124" s="25"/>
      <c r="V124" s="25"/>
      <c r="W124" s="25"/>
      <c r="X124" s="25"/>
      <c r="Y124" s="25"/>
      <c r="Z124" s="25"/>
    </row>
    <row r="125" spans="1:26" ht="14.25" customHeight="1" x14ac:dyDescent="0.25">
      <c r="A125" s="26"/>
      <c r="B125" s="25"/>
      <c r="C125" s="25"/>
      <c r="D125" s="25"/>
      <c r="E125" s="26"/>
      <c r="F125" s="26"/>
      <c r="G125" s="26"/>
      <c r="H125" s="26"/>
      <c r="I125" s="26"/>
      <c r="J125" s="25"/>
      <c r="K125" s="25"/>
      <c r="L125" s="25"/>
      <c r="M125" s="25"/>
      <c r="N125" s="25"/>
      <c r="O125" s="25"/>
      <c r="P125" s="25"/>
      <c r="Q125" s="25"/>
      <c r="R125" s="25"/>
      <c r="S125" s="25"/>
      <c r="T125" s="25"/>
      <c r="U125" s="25"/>
      <c r="V125" s="25"/>
      <c r="W125" s="25"/>
      <c r="X125" s="25"/>
      <c r="Y125" s="25"/>
      <c r="Z125" s="25"/>
    </row>
    <row r="126" spans="1:26" ht="14.25" customHeight="1" x14ac:dyDescent="0.25">
      <c r="A126" s="26"/>
      <c r="B126" s="25"/>
      <c r="C126" s="25"/>
      <c r="D126" s="25"/>
      <c r="E126" s="26"/>
      <c r="F126" s="26"/>
      <c r="G126" s="26"/>
      <c r="H126" s="26"/>
      <c r="I126" s="26"/>
      <c r="J126" s="25"/>
      <c r="K126" s="25"/>
      <c r="L126" s="25"/>
      <c r="M126" s="25"/>
      <c r="N126" s="25"/>
      <c r="O126" s="25"/>
      <c r="P126" s="25"/>
      <c r="Q126" s="25"/>
      <c r="R126" s="25"/>
      <c r="S126" s="25"/>
      <c r="T126" s="25"/>
      <c r="U126" s="25"/>
      <c r="V126" s="25"/>
      <c r="W126" s="25"/>
      <c r="X126" s="25"/>
      <c r="Y126" s="25"/>
      <c r="Z126" s="25"/>
    </row>
    <row r="127" spans="1:26" ht="14.25" customHeight="1" x14ac:dyDescent="0.25">
      <c r="A127" s="26"/>
      <c r="B127" s="25"/>
      <c r="C127" s="25"/>
      <c r="D127" s="25"/>
      <c r="E127" s="26"/>
      <c r="F127" s="26"/>
      <c r="G127" s="26"/>
      <c r="H127" s="26"/>
      <c r="I127" s="26"/>
      <c r="J127" s="25"/>
      <c r="K127" s="25"/>
      <c r="L127" s="25"/>
      <c r="M127" s="25"/>
      <c r="N127" s="25"/>
      <c r="O127" s="25"/>
      <c r="P127" s="25"/>
      <c r="Q127" s="25"/>
      <c r="R127" s="25"/>
      <c r="S127" s="25"/>
      <c r="T127" s="25"/>
      <c r="U127" s="25"/>
      <c r="V127" s="25"/>
      <c r="W127" s="25"/>
      <c r="X127" s="25"/>
      <c r="Y127" s="25"/>
      <c r="Z127" s="25"/>
    </row>
    <row r="128" spans="1:26" ht="14.25" customHeight="1" x14ac:dyDescent="0.25">
      <c r="A128" s="26"/>
      <c r="B128" s="25"/>
      <c r="C128" s="25"/>
      <c r="D128" s="25"/>
      <c r="E128" s="26"/>
      <c r="F128" s="26"/>
      <c r="G128" s="26"/>
      <c r="H128" s="26"/>
      <c r="I128" s="26"/>
      <c r="J128" s="25"/>
      <c r="K128" s="25"/>
      <c r="L128" s="25"/>
      <c r="M128" s="25"/>
      <c r="N128" s="25"/>
      <c r="O128" s="25"/>
      <c r="P128" s="25"/>
      <c r="Q128" s="25"/>
      <c r="R128" s="25"/>
      <c r="S128" s="25"/>
      <c r="T128" s="25"/>
      <c r="U128" s="25"/>
      <c r="V128" s="25"/>
      <c r="W128" s="25"/>
      <c r="X128" s="25"/>
      <c r="Y128" s="25"/>
      <c r="Z128" s="25"/>
    </row>
    <row r="129" spans="1:26" ht="14.25" customHeight="1" x14ac:dyDescent="0.25">
      <c r="A129" s="26"/>
      <c r="B129" s="25"/>
      <c r="C129" s="25"/>
      <c r="D129" s="25"/>
      <c r="E129" s="26"/>
      <c r="F129" s="26"/>
      <c r="G129" s="26"/>
      <c r="H129" s="26"/>
      <c r="I129" s="26"/>
      <c r="J129" s="25"/>
      <c r="K129" s="25"/>
      <c r="L129" s="25"/>
      <c r="M129" s="25"/>
      <c r="N129" s="25"/>
      <c r="O129" s="25"/>
      <c r="P129" s="25"/>
      <c r="Q129" s="25"/>
      <c r="R129" s="25"/>
      <c r="S129" s="25"/>
      <c r="T129" s="25"/>
      <c r="U129" s="25"/>
      <c r="V129" s="25"/>
      <c r="W129" s="25"/>
      <c r="X129" s="25"/>
      <c r="Y129" s="25"/>
      <c r="Z129" s="25"/>
    </row>
    <row r="130" spans="1:26" ht="14.25" customHeight="1" x14ac:dyDescent="0.25">
      <c r="A130" s="26"/>
      <c r="B130" s="25"/>
      <c r="C130" s="25"/>
      <c r="D130" s="25"/>
      <c r="E130" s="26"/>
      <c r="F130" s="26"/>
      <c r="G130" s="26"/>
      <c r="H130" s="26"/>
      <c r="I130" s="26"/>
      <c r="J130" s="25"/>
      <c r="K130" s="25"/>
      <c r="L130" s="25"/>
      <c r="M130" s="25"/>
      <c r="N130" s="25"/>
      <c r="O130" s="25"/>
      <c r="P130" s="25"/>
      <c r="Q130" s="25"/>
      <c r="R130" s="25"/>
      <c r="S130" s="25"/>
      <c r="T130" s="25"/>
      <c r="U130" s="25"/>
      <c r="V130" s="25"/>
      <c r="W130" s="25"/>
      <c r="X130" s="25"/>
      <c r="Y130" s="25"/>
      <c r="Z130" s="25"/>
    </row>
    <row r="131" spans="1:26" ht="14.25" customHeight="1" x14ac:dyDescent="0.25">
      <c r="A131" s="26"/>
      <c r="B131" s="25"/>
      <c r="C131" s="25"/>
      <c r="D131" s="25"/>
      <c r="E131" s="26"/>
      <c r="F131" s="26"/>
      <c r="G131" s="26"/>
      <c r="H131" s="26"/>
      <c r="I131" s="26"/>
      <c r="J131" s="25"/>
      <c r="K131" s="25"/>
      <c r="L131" s="25"/>
      <c r="M131" s="25"/>
      <c r="N131" s="25"/>
      <c r="O131" s="25"/>
      <c r="P131" s="25"/>
      <c r="Q131" s="25"/>
      <c r="R131" s="25"/>
      <c r="S131" s="25"/>
      <c r="T131" s="25"/>
      <c r="U131" s="25"/>
      <c r="V131" s="25"/>
      <c r="W131" s="25"/>
      <c r="X131" s="25"/>
      <c r="Y131" s="25"/>
      <c r="Z131" s="25"/>
    </row>
    <row r="132" spans="1:26" ht="14.25" customHeight="1" x14ac:dyDescent="0.25">
      <c r="A132" s="26"/>
      <c r="B132" s="25"/>
      <c r="C132" s="25"/>
      <c r="D132" s="25"/>
      <c r="E132" s="26"/>
      <c r="F132" s="26"/>
      <c r="G132" s="26"/>
      <c r="H132" s="26"/>
      <c r="I132" s="26"/>
      <c r="J132" s="25"/>
      <c r="K132" s="25"/>
      <c r="L132" s="25"/>
      <c r="M132" s="25"/>
      <c r="N132" s="25"/>
      <c r="O132" s="25"/>
      <c r="P132" s="25"/>
      <c r="Q132" s="25"/>
      <c r="R132" s="25"/>
      <c r="S132" s="25"/>
      <c r="T132" s="25"/>
      <c r="U132" s="25"/>
      <c r="V132" s="25"/>
      <c r="W132" s="25"/>
      <c r="X132" s="25"/>
      <c r="Y132" s="25"/>
      <c r="Z132" s="25"/>
    </row>
    <row r="133" spans="1:26" ht="14.25" customHeight="1" x14ac:dyDescent="0.25">
      <c r="A133" s="26"/>
      <c r="B133" s="25"/>
      <c r="C133" s="25"/>
      <c r="D133" s="25"/>
      <c r="E133" s="26"/>
      <c r="F133" s="26"/>
      <c r="G133" s="26"/>
      <c r="H133" s="26"/>
      <c r="I133" s="26"/>
      <c r="J133" s="25"/>
      <c r="K133" s="25"/>
      <c r="L133" s="25"/>
      <c r="M133" s="25"/>
      <c r="N133" s="25"/>
      <c r="O133" s="25"/>
      <c r="P133" s="25"/>
      <c r="Q133" s="25"/>
      <c r="R133" s="25"/>
      <c r="S133" s="25"/>
      <c r="T133" s="25"/>
      <c r="U133" s="25"/>
      <c r="V133" s="25"/>
      <c r="W133" s="25"/>
      <c r="X133" s="25"/>
      <c r="Y133" s="25"/>
      <c r="Z133" s="25"/>
    </row>
    <row r="134" spans="1:26" ht="14.25" customHeight="1" x14ac:dyDescent="0.25">
      <c r="A134" s="26"/>
      <c r="B134" s="25"/>
      <c r="C134" s="25"/>
      <c r="D134" s="25"/>
      <c r="E134" s="26"/>
      <c r="F134" s="26"/>
      <c r="G134" s="26"/>
      <c r="H134" s="26"/>
      <c r="I134" s="26"/>
      <c r="J134" s="25"/>
      <c r="K134" s="25"/>
      <c r="L134" s="25"/>
      <c r="M134" s="25"/>
      <c r="N134" s="25"/>
      <c r="O134" s="25"/>
      <c r="P134" s="25"/>
      <c r="Q134" s="25"/>
      <c r="R134" s="25"/>
      <c r="S134" s="25"/>
      <c r="T134" s="25"/>
      <c r="U134" s="25"/>
      <c r="V134" s="25"/>
      <c r="W134" s="25"/>
      <c r="X134" s="25"/>
      <c r="Y134" s="25"/>
      <c r="Z134" s="25"/>
    </row>
    <row r="135" spans="1:26" ht="14.25" customHeight="1" x14ac:dyDescent="0.25">
      <c r="A135" s="26"/>
      <c r="B135" s="25"/>
      <c r="C135" s="25"/>
      <c r="D135" s="25"/>
      <c r="E135" s="26"/>
      <c r="F135" s="26"/>
      <c r="G135" s="26"/>
      <c r="H135" s="26"/>
      <c r="I135" s="26"/>
      <c r="J135" s="25"/>
      <c r="K135" s="25"/>
      <c r="L135" s="25"/>
      <c r="M135" s="25"/>
      <c r="N135" s="25"/>
      <c r="O135" s="25"/>
      <c r="P135" s="25"/>
      <c r="Q135" s="25"/>
      <c r="R135" s="25"/>
      <c r="S135" s="25"/>
      <c r="T135" s="25"/>
      <c r="U135" s="25"/>
      <c r="V135" s="25"/>
      <c r="W135" s="25"/>
      <c r="X135" s="25"/>
      <c r="Y135" s="25"/>
      <c r="Z135" s="25"/>
    </row>
    <row r="136" spans="1:26" ht="14.25" customHeight="1" x14ac:dyDescent="0.25">
      <c r="A136" s="26"/>
      <c r="B136" s="25"/>
      <c r="C136" s="25"/>
      <c r="D136" s="25"/>
      <c r="E136" s="26"/>
      <c r="F136" s="26"/>
      <c r="G136" s="26"/>
      <c r="H136" s="26"/>
      <c r="I136" s="26"/>
      <c r="J136" s="25"/>
      <c r="K136" s="25"/>
      <c r="L136" s="25"/>
      <c r="M136" s="25"/>
      <c r="N136" s="25"/>
      <c r="O136" s="25"/>
      <c r="P136" s="25"/>
      <c r="Q136" s="25"/>
      <c r="R136" s="25"/>
      <c r="S136" s="25"/>
      <c r="T136" s="25"/>
      <c r="U136" s="25"/>
      <c r="V136" s="25"/>
      <c r="W136" s="25"/>
      <c r="X136" s="25"/>
      <c r="Y136" s="25"/>
      <c r="Z136" s="25"/>
    </row>
    <row r="137" spans="1:26" ht="14.25" customHeight="1" x14ac:dyDescent="0.25">
      <c r="A137" s="26"/>
      <c r="B137" s="25"/>
      <c r="C137" s="25"/>
      <c r="D137" s="25"/>
      <c r="E137" s="26"/>
      <c r="F137" s="26"/>
      <c r="G137" s="26"/>
      <c r="H137" s="26"/>
      <c r="I137" s="26"/>
      <c r="J137" s="25"/>
      <c r="K137" s="25"/>
      <c r="L137" s="25"/>
      <c r="M137" s="25"/>
      <c r="N137" s="25"/>
      <c r="O137" s="25"/>
      <c r="P137" s="25"/>
      <c r="Q137" s="25"/>
      <c r="R137" s="25"/>
      <c r="S137" s="25"/>
      <c r="T137" s="25"/>
      <c r="U137" s="25"/>
      <c r="V137" s="25"/>
      <c r="W137" s="25"/>
      <c r="X137" s="25"/>
      <c r="Y137" s="25"/>
      <c r="Z137" s="25"/>
    </row>
    <row r="138" spans="1:26" ht="14.25" customHeight="1" x14ac:dyDescent="0.25">
      <c r="A138" s="26"/>
      <c r="B138" s="25"/>
      <c r="C138" s="25"/>
      <c r="D138" s="25"/>
      <c r="E138" s="26"/>
      <c r="F138" s="26"/>
      <c r="G138" s="26"/>
      <c r="H138" s="26"/>
      <c r="I138" s="26"/>
      <c r="J138" s="25"/>
      <c r="K138" s="25"/>
      <c r="L138" s="25"/>
      <c r="M138" s="25"/>
      <c r="N138" s="25"/>
      <c r="O138" s="25"/>
      <c r="P138" s="25"/>
      <c r="Q138" s="25"/>
      <c r="R138" s="25"/>
      <c r="S138" s="25"/>
      <c r="T138" s="25"/>
      <c r="U138" s="25"/>
      <c r="V138" s="25"/>
      <c r="W138" s="25"/>
      <c r="X138" s="25"/>
      <c r="Y138" s="25"/>
      <c r="Z138" s="25"/>
    </row>
    <row r="139" spans="1:26" ht="14.25" customHeight="1" x14ac:dyDescent="0.25">
      <c r="A139" s="26"/>
      <c r="B139" s="25"/>
      <c r="C139" s="25"/>
      <c r="D139" s="25"/>
      <c r="E139" s="26"/>
      <c r="F139" s="26"/>
      <c r="G139" s="26"/>
      <c r="H139" s="26"/>
      <c r="I139" s="26"/>
      <c r="J139" s="25"/>
      <c r="K139" s="25"/>
      <c r="L139" s="25"/>
      <c r="M139" s="25"/>
      <c r="N139" s="25"/>
      <c r="O139" s="25"/>
      <c r="P139" s="25"/>
      <c r="Q139" s="25"/>
      <c r="R139" s="25"/>
      <c r="S139" s="25"/>
      <c r="T139" s="25"/>
      <c r="U139" s="25"/>
      <c r="V139" s="25"/>
      <c r="W139" s="25"/>
      <c r="X139" s="25"/>
      <c r="Y139" s="25"/>
      <c r="Z139" s="25"/>
    </row>
    <row r="140" spans="1:26" ht="14.25" customHeight="1" x14ac:dyDescent="0.25">
      <c r="A140" s="26"/>
      <c r="B140" s="25"/>
      <c r="C140" s="25"/>
      <c r="D140" s="25"/>
      <c r="E140" s="26"/>
      <c r="F140" s="26"/>
      <c r="G140" s="26"/>
      <c r="H140" s="26"/>
      <c r="I140" s="26"/>
      <c r="J140" s="25"/>
      <c r="K140" s="25"/>
      <c r="L140" s="25"/>
      <c r="M140" s="25"/>
      <c r="N140" s="25"/>
      <c r="O140" s="25"/>
      <c r="P140" s="25"/>
      <c r="Q140" s="25"/>
      <c r="R140" s="25"/>
      <c r="S140" s="25"/>
      <c r="T140" s="25"/>
      <c r="U140" s="25"/>
      <c r="V140" s="25"/>
      <c r="W140" s="25"/>
      <c r="X140" s="25"/>
      <c r="Y140" s="25"/>
      <c r="Z140" s="25"/>
    </row>
    <row r="141" spans="1:26" ht="14.25" customHeight="1" x14ac:dyDescent="0.25">
      <c r="A141" s="26"/>
      <c r="B141" s="25"/>
      <c r="C141" s="25"/>
      <c r="D141" s="25"/>
      <c r="E141" s="26"/>
      <c r="F141" s="26"/>
      <c r="G141" s="26"/>
      <c r="H141" s="26"/>
      <c r="I141" s="26"/>
      <c r="J141" s="25"/>
      <c r="K141" s="25"/>
      <c r="L141" s="25"/>
      <c r="M141" s="25"/>
      <c r="N141" s="25"/>
      <c r="O141" s="25"/>
      <c r="P141" s="25"/>
      <c r="Q141" s="25"/>
      <c r="R141" s="25"/>
      <c r="S141" s="25"/>
      <c r="T141" s="25"/>
      <c r="U141" s="25"/>
      <c r="V141" s="25"/>
      <c r="W141" s="25"/>
      <c r="X141" s="25"/>
      <c r="Y141" s="25"/>
      <c r="Z141" s="25"/>
    </row>
    <row r="142" spans="1:26" ht="14.25" customHeight="1" x14ac:dyDescent="0.25">
      <c r="A142" s="26"/>
      <c r="B142" s="25"/>
      <c r="C142" s="25"/>
      <c r="D142" s="25"/>
      <c r="E142" s="26"/>
      <c r="F142" s="26"/>
      <c r="G142" s="26"/>
      <c r="H142" s="26"/>
      <c r="I142" s="26"/>
      <c r="J142" s="25"/>
      <c r="K142" s="25"/>
      <c r="L142" s="25"/>
      <c r="M142" s="25"/>
      <c r="N142" s="25"/>
      <c r="O142" s="25"/>
      <c r="P142" s="25"/>
      <c r="Q142" s="25"/>
      <c r="R142" s="25"/>
      <c r="S142" s="25"/>
      <c r="T142" s="25"/>
      <c r="U142" s="25"/>
      <c r="V142" s="25"/>
      <c r="W142" s="25"/>
      <c r="X142" s="25"/>
      <c r="Y142" s="25"/>
      <c r="Z142" s="25"/>
    </row>
    <row r="143" spans="1:26" ht="14.25" customHeight="1" x14ac:dyDescent="0.25">
      <c r="A143" s="26"/>
      <c r="B143" s="25"/>
      <c r="C143" s="25"/>
      <c r="D143" s="25"/>
      <c r="E143" s="26"/>
      <c r="F143" s="26"/>
      <c r="G143" s="26"/>
      <c r="H143" s="26"/>
      <c r="I143" s="26"/>
      <c r="J143" s="25"/>
      <c r="K143" s="25"/>
      <c r="L143" s="25"/>
      <c r="M143" s="25"/>
      <c r="N143" s="25"/>
      <c r="O143" s="25"/>
      <c r="P143" s="25"/>
      <c r="Q143" s="25"/>
      <c r="R143" s="25"/>
      <c r="S143" s="25"/>
      <c r="T143" s="25"/>
      <c r="U143" s="25"/>
      <c r="V143" s="25"/>
      <c r="W143" s="25"/>
      <c r="X143" s="25"/>
      <c r="Y143" s="25"/>
      <c r="Z143" s="25"/>
    </row>
    <row r="144" spans="1:26" ht="14.25" customHeight="1" x14ac:dyDescent="0.25">
      <c r="A144" s="26"/>
      <c r="B144" s="25"/>
      <c r="C144" s="25"/>
      <c r="D144" s="25"/>
      <c r="E144" s="26"/>
      <c r="F144" s="26"/>
      <c r="G144" s="26"/>
      <c r="H144" s="26"/>
      <c r="I144" s="26"/>
      <c r="J144" s="25"/>
      <c r="K144" s="25"/>
      <c r="L144" s="25"/>
      <c r="M144" s="25"/>
      <c r="N144" s="25"/>
      <c r="O144" s="25"/>
      <c r="P144" s="25"/>
      <c r="Q144" s="25"/>
      <c r="R144" s="25"/>
      <c r="S144" s="25"/>
      <c r="T144" s="25"/>
      <c r="U144" s="25"/>
      <c r="V144" s="25"/>
      <c r="W144" s="25"/>
      <c r="X144" s="25"/>
      <c r="Y144" s="25"/>
      <c r="Z144" s="25"/>
    </row>
    <row r="145" spans="1:26" ht="14.25" customHeight="1" x14ac:dyDescent="0.25">
      <c r="A145" s="26"/>
      <c r="B145" s="25"/>
      <c r="C145" s="25"/>
      <c r="D145" s="25"/>
      <c r="E145" s="26"/>
      <c r="F145" s="26"/>
      <c r="G145" s="26"/>
      <c r="H145" s="26"/>
      <c r="I145" s="26"/>
      <c r="J145" s="25"/>
      <c r="K145" s="25"/>
      <c r="L145" s="25"/>
      <c r="M145" s="25"/>
      <c r="N145" s="25"/>
      <c r="O145" s="25"/>
      <c r="P145" s="25"/>
      <c r="Q145" s="25"/>
      <c r="R145" s="25"/>
      <c r="S145" s="25"/>
      <c r="T145" s="25"/>
      <c r="U145" s="25"/>
      <c r="V145" s="25"/>
      <c r="W145" s="25"/>
      <c r="X145" s="25"/>
      <c r="Y145" s="25"/>
      <c r="Z145" s="25"/>
    </row>
    <row r="146" spans="1:26" ht="14.25" customHeight="1" x14ac:dyDescent="0.25">
      <c r="A146" s="26"/>
      <c r="B146" s="25"/>
      <c r="C146" s="25"/>
      <c r="D146" s="25"/>
      <c r="E146" s="26"/>
      <c r="F146" s="26"/>
      <c r="G146" s="26"/>
      <c r="H146" s="26"/>
      <c r="I146" s="26"/>
      <c r="J146" s="25"/>
      <c r="K146" s="25"/>
      <c r="L146" s="25"/>
      <c r="M146" s="25"/>
      <c r="N146" s="25"/>
      <c r="O146" s="25"/>
      <c r="P146" s="25"/>
      <c r="Q146" s="25"/>
      <c r="R146" s="25"/>
      <c r="S146" s="25"/>
      <c r="T146" s="25"/>
      <c r="U146" s="25"/>
      <c r="V146" s="25"/>
      <c r="W146" s="25"/>
      <c r="X146" s="25"/>
      <c r="Y146" s="25"/>
      <c r="Z146" s="25"/>
    </row>
    <row r="147" spans="1:26" ht="14.25" customHeight="1" x14ac:dyDescent="0.25">
      <c r="A147" s="26"/>
      <c r="B147" s="25"/>
      <c r="C147" s="25"/>
      <c r="D147" s="25"/>
      <c r="E147" s="26"/>
      <c r="F147" s="26"/>
      <c r="G147" s="26"/>
      <c r="H147" s="26"/>
      <c r="I147" s="26"/>
      <c r="J147" s="25"/>
      <c r="K147" s="25"/>
      <c r="L147" s="25"/>
      <c r="M147" s="25"/>
      <c r="N147" s="25"/>
      <c r="O147" s="25"/>
      <c r="P147" s="25"/>
      <c r="Q147" s="25"/>
      <c r="R147" s="25"/>
      <c r="S147" s="25"/>
      <c r="T147" s="25"/>
      <c r="U147" s="25"/>
      <c r="V147" s="25"/>
      <c r="W147" s="25"/>
      <c r="X147" s="25"/>
      <c r="Y147" s="25"/>
      <c r="Z147" s="25"/>
    </row>
    <row r="148" spans="1:26" ht="14.25" customHeight="1" x14ac:dyDescent="0.25">
      <c r="A148" s="26"/>
      <c r="B148" s="25"/>
      <c r="C148" s="25"/>
      <c r="D148" s="25"/>
      <c r="E148" s="26"/>
      <c r="F148" s="26"/>
      <c r="G148" s="26"/>
      <c r="H148" s="26"/>
      <c r="I148" s="26"/>
      <c r="J148" s="25"/>
      <c r="K148" s="25"/>
      <c r="L148" s="25"/>
      <c r="M148" s="25"/>
      <c r="N148" s="25"/>
      <c r="O148" s="25"/>
      <c r="P148" s="25"/>
      <c r="Q148" s="25"/>
      <c r="R148" s="25"/>
      <c r="S148" s="25"/>
      <c r="T148" s="25"/>
      <c r="U148" s="25"/>
      <c r="V148" s="25"/>
      <c r="W148" s="25"/>
      <c r="X148" s="25"/>
      <c r="Y148" s="25"/>
      <c r="Z148" s="25"/>
    </row>
    <row r="149" spans="1:26" ht="14.25" customHeight="1" x14ac:dyDescent="0.25">
      <c r="A149" s="26"/>
      <c r="B149" s="25"/>
      <c r="C149" s="25"/>
      <c r="D149" s="25"/>
      <c r="E149" s="26"/>
      <c r="F149" s="26"/>
      <c r="G149" s="26"/>
      <c r="H149" s="26"/>
      <c r="I149" s="26"/>
      <c r="J149" s="25"/>
      <c r="K149" s="25"/>
      <c r="L149" s="25"/>
      <c r="M149" s="25"/>
      <c r="N149" s="25"/>
      <c r="O149" s="25"/>
      <c r="P149" s="25"/>
      <c r="Q149" s="25"/>
      <c r="R149" s="25"/>
      <c r="S149" s="25"/>
      <c r="T149" s="25"/>
      <c r="U149" s="25"/>
      <c r="V149" s="25"/>
      <c r="W149" s="25"/>
      <c r="X149" s="25"/>
      <c r="Y149" s="25"/>
      <c r="Z149" s="25"/>
    </row>
    <row r="150" spans="1:26" ht="14.25" customHeight="1" x14ac:dyDescent="0.25">
      <c r="A150" s="26"/>
      <c r="B150" s="25"/>
      <c r="C150" s="25"/>
      <c r="D150" s="25"/>
      <c r="E150" s="26"/>
      <c r="F150" s="26"/>
      <c r="G150" s="26"/>
      <c r="H150" s="26"/>
      <c r="I150" s="26"/>
      <c r="J150" s="25"/>
      <c r="K150" s="25"/>
      <c r="L150" s="25"/>
      <c r="M150" s="25"/>
      <c r="N150" s="25"/>
      <c r="O150" s="25"/>
      <c r="P150" s="25"/>
      <c r="Q150" s="25"/>
      <c r="R150" s="25"/>
      <c r="S150" s="25"/>
      <c r="T150" s="25"/>
      <c r="U150" s="25"/>
      <c r="V150" s="25"/>
      <c r="W150" s="25"/>
      <c r="X150" s="25"/>
      <c r="Y150" s="25"/>
      <c r="Z150" s="25"/>
    </row>
    <row r="151" spans="1:26" ht="14.25" customHeight="1" x14ac:dyDescent="0.25">
      <c r="A151" s="26"/>
      <c r="B151" s="25"/>
      <c r="C151" s="25"/>
      <c r="D151" s="25"/>
      <c r="E151" s="26"/>
      <c r="F151" s="26"/>
      <c r="G151" s="26"/>
      <c r="H151" s="26"/>
      <c r="I151" s="26"/>
      <c r="J151" s="25"/>
      <c r="K151" s="25"/>
      <c r="L151" s="25"/>
      <c r="M151" s="25"/>
      <c r="N151" s="25"/>
      <c r="O151" s="25"/>
      <c r="P151" s="25"/>
      <c r="Q151" s="25"/>
      <c r="R151" s="25"/>
      <c r="S151" s="25"/>
      <c r="T151" s="25"/>
      <c r="U151" s="25"/>
      <c r="V151" s="25"/>
      <c r="W151" s="25"/>
      <c r="X151" s="25"/>
      <c r="Y151" s="25"/>
      <c r="Z151" s="25"/>
    </row>
    <row r="152" spans="1:26" ht="14.25" customHeight="1" x14ac:dyDescent="0.25">
      <c r="A152" s="26"/>
      <c r="B152" s="25"/>
      <c r="C152" s="25"/>
      <c r="D152" s="25"/>
      <c r="E152" s="26"/>
      <c r="F152" s="26"/>
      <c r="G152" s="26"/>
      <c r="H152" s="26"/>
      <c r="I152" s="26"/>
      <c r="J152" s="25"/>
      <c r="K152" s="25"/>
      <c r="L152" s="25"/>
      <c r="M152" s="25"/>
      <c r="N152" s="25"/>
      <c r="O152" s="25"/>
      <c r="P152" s="25"/>
      <c r="Q152" s="25"/>
      <c r="R152" s="25"/>
      <c r="S152" s="25"/>
      <c r="T152" s="25"/>
      <c r="U152" s="25"/>
      <c r="V152" s="25"/>
      <c r="W152" s="25"/>
      <c r="X152" s="25"/>
      <c r="Y152" s="25"/>
      <c r="Z152" s="25"/>
    </row>
    <row r="153" spans="1:26" ht="14.25" customHeight="1" x14ac:dyDescent="0.25">
      <c r="A153" s="26"/>
      <c r="B153" s="25"/>
      <c r="C153" s="25"/>
      <c r="D153" s="25"/>
      <c r="E153" s="26"/>
      <c r="F153" s="26"/>
      <c r="G153" s="26"/>
      <c r="H153" s="26"/>
      <c r="I153" s="26"/>
      <c r="J153" s="25"/>
      <c r="K153" s="25"/>
      <c r="L153" s="25"/>
      <c r="M153" s="25"/>
      <c r="N153" s="25"/>
      <c r="O153" s="25"/>
      <c r="P153" s="25"/>
      <c r="Q153" s="25"/>
      <c r="R153" s="25"/>
      <c r="S153" s="25"/>
      <c r="T153" s="25"/>
      <c r="U153" s="25"/>
      <c r="V153" s="25"/>
      <c r="W153" s="25"/>
      <c r="X153" s="25"/>
      <c r="Y153" s="25"/>
      <c r="Z153" s="25"/>
    </row>
    <row r="154" spans="1:26" ht="14.25" customHeight="1" x14ac:dyDescent="0.25">
      <c r="A154" s="26"/>
      <c r="B154" s="25"/>
      <c r="C154" s="25"/>
      <c r="D154" s="25"/>
      <c r="E154" s="26"/>
      <c r="F154" s="26"/>
      <c r="G154" s="26"/>
      <c r="H154" s="26"/>
      <c r="I154" s="26"/>
      <c r="J154" s="25"/>
      <c r="K154" s="25"/>
      <c r="L154" s="25"/>
      <c r="M154" s="25"/>
      <c r="N154" s="25"/>
      <c r="O154" s="25"/>
      <c r="P154" s="25"/>
      <c r="Q154" s="25"/>
      <c r="R154" s="25"/>
      <c r="S154" s="25"/>
      <c r="T154" s="25"/>
      <c r="U154" s="25"/>
      <c r="V154" s="25"/>
      <c r="W154" s="25"/>
      <c r="X154" s="25"/>
      <c r="Y154" s="25"/>
      <c r="Z154" s="25"/>
    </row>
    <row r="155" spans="1:26" ht="14.25" customHeight="1" x14ac:dyDescent="0.25">
      <c r="A155" s="26"/>
      <c r="B155" s="25"/>
      <c r="C155" s="25"/>
      <c r="D155" s="25"/>
      <c r="E155" s="26"/>
      <c r="F155" s="26"/>
      <c r="G155" s="26"/>
      <c r="H155" s="26"/>
      <c r="I155" s="26"/>
      <c r="J155" s="25"/>
      <c r="K155" s="25"/>
      <c r="L155" s="25"/>
      <c r="M155" s="25"/>
      <c r="N155" s="25"/>
      <c r="O155" s="25"/>
      <c r="P155" s="25"/>
      <c r="Q155" s="25"/>
      <c r="R155" s="25"/>
      <c r="S155" s="25"/>
      <c r="T155" s="25"/>
      <c r="U155" s="25"/>
      <c r="V155" s="25"/>
      <c r="W155" s="25"/>
      <c r="X155" s="25"/>
      <c r="Y155" s="25"/>
      <c r="Z155" s="25"/>
    </row>
    <row r="156" spans="1:26" ht="14.25" customHeight="1" x14ac:dyDescent="0.25">
      <c r="A156" s="26"/>
      <c r="B156" s="25"/>
      <c r="C156" s="25"/>
      <c r="D156" s="25"/>
      <c r="E156" s="26"/>
      <c r="F156" s="26"/>
      <c r="G156" s="26"/>
      <c r="H156" s="26"/>
      <c r="I156" s="26"/>
      <c r="J156" s="25"/>
      <c r="K156" s="25"/>
      <c r="L156" s="25"/>
      <c r="M156" s="25"/>
      <c r="N156" s="25"/>
      <c r="O156" s="25"/>
      <c r="P156" s="25"/>
      <c r="Q156" s="25"/>
      <c r="R156" s="25"/>
      <c r="S156" s="25"/>
      <c r="T156" s="25"/>
      <c r="U156" s="25"/>
      <c r="V156" s="25"/>
      <c r="W156" s="25"/>
      <c r="X156" s="25"/>
      <c r="Y156" s="25"/>
      <c r="Z156" s="25"/>
    </row>
    <row r="157" spans="1:26" ht="14.25" customHeight="1" x14ac:dyDescent="0.25">
      <c r="A157" s="26"/>
      <c r="B157" s="25"/>
      <c r="C157" s="25"/>
      <c r="D157" s="25"/>
      <c r="E157" s="26"/>
      <c r="F157" s="26"/>
      <c r="G157" s="26"/>
      <c r="H157" s="26"/>
      <c r="I157" s="26"/>
      <c r="J157" s="25"/>
      <c r="K157" s="25"/>
      <c r="L157" s="25"/>
      <c r="M157" s="25"/>
      <c r="N157" s="25"/>
      <c r="O157" s="25"/>
      <c r="P157" s="25"/>
      <c r="Q157" s="25"/>
      <c r="R157" s="25"/>
      <c r="S157" s="25"/>
      <c r="T157" s="25"/>
      <c r="U157" s="25"/>
      <c r="V157" s="25"/>
      <c r="W157" s="25"/>
      <c r="X157" s="25"/>
      <c r="Y157" s="25"/>
      <c r="Z157" s="25"/>
    </row>
    <row r="158" spans="1:26" ht="14.25" customHeight="1" x14ac:dyDescent="0.25">
      <c r="A158" s="26"/>
      <c r="B158" s="25"/>
      <c r="C158" s="25"/>
      <c r="D158" s="25"/>
      <c r="E158" s="26"/>
      <c r="F158" s="26"/>
      <c r="G158" s="26"/>
      <c r="H158" s="26"/>
      <c r="I158" s="26"/>
      <c r="J158" s="25"/>
      <c r="K158" s="25"/>
      <c r="L158" s="25"/>
      <c r="M158" s="25"/>
      <c r="N158" s="25"/>
      <c r="O158" s="25"/>
      <c r="P158" s="25"/>
      <c r="Q158" s="25"/>
      <c r="R158" s="25"/>
      <c r="S158" s="25"/>
      <c r="T158" s="25"/>
      <c r="U158" s="25"/>
      <c r="V158" s="25"/>
      <c r="W158" s="25"/>
      <c r="X158" s="25"/>
      <c r="Y158" s="25"/>
      <c r="Z158" s="25"/>
    </row>
    <row r="159" spans="1:26" ht="14.25" customHeight="1" x14ac:dyDescent="0.25">
      <c r="A159" s="26"/>
      <c r="B159" s="25"/>
      <c r="C159" s="25"/>
      <c r="D159" s="25"/>
      <c r="E159" s="26"/>
      <c r="F159" s="26"/>
      <c r="G159" s="26"/>
      <c r="H159" s="26"/>
      <c r="I159" s="26"/>
      <c r="J159" s="25"/>
      <c r="K159" s="25"/>
      <c r="L159" s="25"/>
      <c r="M159" s="25"/>
      <c r="N159" s="25"/>
      <c r="O159" s="25"/>
      <c r="P159" s="25"/>
      <c r="Q159" s="25"/>
      <c r="R159" s="25"/>
      <c r="S159" s="25"/>
      <c r="T159" s="25"/>
      <c r="U159" s="25"/>
      <c r="V159" s="25"/>
      <c r="W159" s="25"/>
      <c r="X159" s="25"/>
      <c r="Y159" s="25"/>
      <c r="Z159" s="25"/>
    </row>
    <row r="160" spans="1:26" ht="14.25" customHeight="1" x14ac:dyDescent="0.25">
      <c r="A160" s="26"/>
      <c r="B160" s="25"/>
      <c r="C160" s="25"/>
      <c r="D160" s="25"/>
      <c r="E160" s="26"/>
      <c r="F160" s="26"/>
      <c r="G160" s="26"/>
      <c r="H160" s="26"/>
      <c r="I160" s="26"/>
      <c r="J160" s="25"/>
      <c r="K160" s="25"/>
      <c r="L160" s="25"/>
      <c r="M160" s="25"/>
      <c r="N160" s="25"/>
      <c r="O160" s="25"/>
      <c r="P160" s="25"/>
      <c r="Q160" s="25"/>
      <c r="R160" s="25"/>
      <c r="S160" s="25"/>
      <c r="T160" s="25"/>
      <c r="U160" s="25"/>
      <c r="V160" s="25"/>
      <c r="W160" s="25"/>
      <c r="X160" s="25"/>
      <c r="Y160" s="25"/>
      <c r="Z160" s="25"/>
    </row>
    <row r="161" spans="1:26" ht="14.25" customHeight="1" x14ac:dyDescent="0.25">
      <c r="A161" s="26"/>
      <c r="B161" s="25"/>
      <c r="C161" s="25"/>
      <c r="D161" s="25"/>
      <c r="E161" s="26"/>
      <c r="F161" s="26"/>
      <c r="G161" s="26"/>
      <c r="H161" s="26"/>
      <c r="I161" s="26"/>
      <c r="J161" s="25"/>
      <c r="K161" s="25"/>
      <c r="L161" s="25"/>
      <c r="M161" s="25"/>
      <c r="N161" s="25"/>
      <c r="O161" s="25"/>
      <c r="P161" s="25"/>
      <c r="Q161" s="25"/>
      <c r="R161" s="25"/>
      <c r="S161" s="25"/>
      <c r="T161" s="25"/>
      <c r="U161" s="25"/>
      <c r="V161" s="25"/>
      <c r="W161" s="25"/>
      <c r="X161" s="25"/>
      <c r="Y161" s="25"/>
      <c r="Z161" s="25"/>
    </row>
    <row r="162" spans="1:26" ht="14.25" customHeight="1" x14ac:dyDescent="0.25">
      <c r="A162" s="26"/>
      <c r="B162" s="25"/>
      <c r="C162" s="25"/>
      <c r="D162" s="25"/>
      <c r="E162" s="26"/>
      <c r="F162" s="26"/>
      <c r="G162" s="26"/>
      <c r="H162" s="26"/>
      <c r="I162" s="26"/>
      <c r="J162" s="25"/>
      <c r="K162" s="25"/>
      <c r="L162" s="25"/>
      <c r="M162" s="25"/>
      <c r="N162" s="25"/>
      <c r="O162" s="25"/>
      <c r="P162" s="25"/>
      <c r="Q162" s="25"/>
      <c r="R162" s="25"/>
      <c r="S162" s="25"/>
      <c r="T162" s="25"/>
      <c r="U162" s="25"/>
      <c r="V162" s="25"/>
      <c r="W162" s="25"/>
      <c r="X162" s="25"/>
      <c r="Y162" s="25"/>
      <c r="Z162" s="25"/>
    </row>
    <row r="163" spans="1:26" ht="14.25" customHeight="1" x14ac:dyDescent="0.25">
      <c r="A163" s="26"/>
      <c r="B163" s="25"/>
      <c r="C163" s="25"/>
      <c r="D163" s="25"/>
      <c r="E163" s="26"/>
      <c r="F163" s="26"/>
      <c r="G163" s="26"/>
      <c r="H163" s="26"/>
      <c r="I163" s="26"/>
      <c r="J163" s="25"/>
      <c r="K163" s="25"/>
      <c r="L163" s="25"/>
      <c r="M163" s="25"/>
      <c r="N163" s="25"/>
      <c r="O163" s="25"/>
      <c r="P163" s="25"/>
      <c r="Q163" s="25"/>
      <c r="R163" s="25"/>
      <c r="S163" s="25"/>
      <c r="T163" s="25"/>
      <c r="U163" s="25"/>
      <c r="V163" s="25"/>
      <c r="W163" s="25"/>
      <c r="X163" s="25"/>
      <c r="Y163" s="25"/>
      <c r="Z163" s="25"/>
    </row>
    <row r="164" spans="1:26" ht="14.25" customHeight="1" x14ac:dyDescent="0.25">
      <c r="A164" s="26"/>
      <c r="B164" s="25"/>
      <c r="C164" s="25"/>
      <c r="D164" s="25"/>
      <c r="E164" s="26"/>
      <c r="F164" s="26"/>
      <c r="G164" s="26"/>
      <c r="H164" s="26"/>
      <c r="I164" s="26"/>
      <c r="J164" s="25"/>
      <c r="K164" s="25"/>
      <c r="L164" s="25"/>
      <c r="M164" s="25"/>
      <c r="N164" s="25"/>
      <c r="O164" s="25"/>
      <c r="P164" s="25"/>
      <c r="Q164" s="25"/>
      <c r="R164" s="25"/>
      <c r="S164" s="25"/>
      <c r="T164" s="25"/>
      <c r="U164" s="25"/>
      <c r="V164" s="25"/>
      <c r="W164" s="25"/>
      <c r="X164" s="25"/>
      <c r="Y164" s="25"/>
      <c r="Z164" s="25"/>
    </row>
    <row r="165" spans="1:26" ht="14.25" customHeight="1" x14ac:dyDescent="0.25">
      <c r="A165" s="26"/>
      <c r="B165" s="25"/>
      <c r="C165" s="25"/>
      <c r="D165" s="25"/>
      <c r="E165" s="26"/>
      <c r="F165" s="26"/>
      <c r="G165" s="26"/>
      <c r="H165" s="26"/>
      <c r="I165" s="26"/>
      <c r="J165" s="25"/>
      <c r="K165" s="25"/>
      <c r="L165" s="25"/>
      <c r="M165" s="25"/>
      <c r="N165" s="25"/>
      <c r="O165" s="25"/>
      <c r="P165" s="25"/>
      <c r="Q165" s="25"/>
      <c r="R165" s="25"/>
      <c r="S165" s="25"/>
      <c r="T165" s="25"/>
      <c r="U165" s="25"/>
      <c r="V165" s="25"/>
      <c r="W165" s="25"/>
      <c r="X165" s="25"/>
      <c r="Y165" s="25"/>
      <c r="Z165" s="25"/>
    </row>
    <row r="166" spans="1:26" ht="14.25" customHeight="1" x14ac:dyDescent="0.25">
      <c r="A166" s="26"/>
      <c r="B166" s="25"/>
      <c r="C166" s="25"/>
      <c r="D166" s="25"/>
      <c r="E166" s="26"/>
      <c r="F166" s="26"/>
      <c r="G166" s="26"/>
      <c r="H166" s="26"/>
      <c r="I166" s="26"/>
      <c r="J166" s="25"/>
      <c r="K166" s="25"/>
      <c r="L166" s="25"/>
      <c r="M166" s="25"/>
      <c r="N166" s="25"/>
      <c r="O166" s="25"/>
      <c r="P166" s="25"/>
      <c r="Q166" s="25"/>
      <c r="R166" s="25"/>
      <c r="S166" s="25"/>
      <c r="T166" s="25"/>
      <c r="U166" s="25"/>
      <c r="V166" s="25"/>
      <c r="W166" s="25"/>
      <c r="X166" s="25"/>
      <c r="Y166" s="25"/>
      <c r="Z166" s="25"/>
    </row>
    <row r="167" spans="1:26" ht="14.25" customHeight="1" x14ac:dyDescent="0.25">
      <c r="A167" s="26"/>
      <c r="B167" s="25"/>
      <c r="C167" s="25"/>
      <c r="D167" s="25"/>
      <c r="E167" s="26"/>
      <c r="F167" s="26"/>
      <c r="G167" s="26"/>
      <c r="H167" s="26"/>
      <c r="I167" s="26"/>
      <c r="J167" s="25"/>
      <c r="K167" s="25"/>
      <c r="L167" s="25"/>
      <c r="M167" s="25"/>
      <c r="N167" s="25"/>
      <c r="O167" s="25"/>
      <c r="P167" s="25"/>
      <c r="Q167" s="25"/>
      <c r="R167" s="25"/>
      <c r="S167" s="25"/>
      <c r="T167" s="25"/>
      <c r="U167" s="25"/>
      <c r="V167" s="25"/>
      <c r="W167" s="25"/>
      <c r="X167" s="25"/>
      <c r="Y167" s="25"/>
      <c r="Z167" s="25"/>
    </row>
    <row r="168" spans="1:26" ht="14.25" customHeight="1" x14ac:dyDescent="0.25">
      <c r="A168" s="26"/>
      <c r="B168" s="25"/>
      <c r="C168" s="25"/>
      <c r="D168" s="25"/>
      <c r="E168" s="26"/>
      <c r="F168" s="26"/>
      <c r="G168" s="26"/>
      <c r="H168" s="26"/>
      <c r="I168" s="26"/>
      <c r="J168" s="25"/>
      <c r="K168" s="25"/>
      <c r="L168" s="25"/>
      <c r="M168" s="25"/>
      <c r="N168" s="25"/>
      <c r="O168" s="25"/>
      <c r="P168" s="25"/>
      <c r="Q168" s="25"/>
      <c r="R168" s="25"/>
      <c r="S168" s="25"/>
      <c r="T168" s="25"/>
      <c r="U168" s="25"/>
      <c r="V168" s="25"/>
      <c r="W168" s="25"/>
      <c r="X168" s="25"/>
      <c r="Y168" s="25"/>
      <c r="Z168" s="25"/>
    </row>
    <row r="169" spans="1:26" ht="14.25" customHeight="1" x14ac:dyDescent="0.25">
      <c r="A169" s="26"/>
      <c r="B169" s="25"/>
      <c r="C169" s="25"/>
      <c r="D169" s="25"/>
      <c r="E169" s="26"/>
      <c r="F169" s="26"/>
      <c r="G169" s="26"/>
      <c r="H169" s="26"/>
      <c r="I169" s="26"/>
      <c r="J169" s="25"/>
      <c r="K169" s="25"/>
      <c r="L169" s="25"/>
      <c r="M169" s="25"/>
      <c r="N169" s="25"/>
      <c r="O169" s="25"/>
      <c r="P169" s="25"/>
      <c r="Q169" s="25"/>
      <c r="R169" s="25"/>
      <c r="S169" s="25"/>
      <c r="T169" s="25"/>
      <c r="U169" s="25"/>
      <c r="V169" s="25"/>
      <c r="W169" s="25"/>
      <c r="X169" s="25"/>
      <c r="Y169" s="25"/>
      <c r="Z169" s="25"/>
    </row>
    <row r="170" spans="1:26" ht="14.25" customHeight="1" x14ac:dyDescent="0.25">
      <c r="A170" s="26"/>
      <c r="B170" s="25"/>
      <c r="C170" s="25"/>
      <c r="D170" s="25"/>
      <c r="E170" s="26"/>
      <c r="F170" s="26"/>
      <c r="G170" s="26"/>
      <c r="H170" s="26"/>
      <c r="I170" s="26"/>
      <c r="J170" s="25"/>
      <c r="K170" s="25"/>
      <c r="L170" s="25"/>
      <c r="M170" s="25"/>
      <c r="N170" s="25"/>
      <c r="O170" s="25"/>
      <c r="P170" s="25"/>
      <c r="Q170" s="25"/>
      <c r="R170" s="25"/>
      <c r="S170" s="25"/>
      <c r="T170" s="25"/>
      <c r="U170" s="25"/>
      <c r="V170" s="25"/>
      <c r="W170" s="25"/>
      <c r="X170" s="25"/>
      <c r="Y170" s="25"/>
      <c r="Z170" s="25"/>
    </row>
    <row r="171" spans="1:26" ht="14.25" customHeight="1" x14ac:dyDescent="0.25">
      <c r="A171" s="26"/>
      <c r="B171" s="25"/>
      <c r="C171" s="25"/>
      <c r="D171" s="25"/>
      <c r="E171" s="26"/>
      <c r="F171" s="26"/>
      <c r="G171" s="26"/>
      <c r="H171" s="26"/>
      <c r="I171" s="26"/>
      <c r="J171" s="25"/>
      <c r="K171" s="25"/>
      <c r="L171" s="25"/>
      <c r="M171" s="25"/>
      <c r="N171" s="25"/>
      <c r="O171" s="25"/>
      <c r="P171" s="25"/>
      <c r="Q171" s="25"/>
      <c r="R171" s="25"/>
      <c r="S171" s="25"/>
      <c r="T171" s="25"/>
      <c r="U171" s="25"/>
      <c r="V171" s="25"/>
      <c r="W171" s="25"/>
      <c r="X171" s="25"/>
      <c r="Y171" s="25"/>
      <c r="Z171" s="25"/>
    </row>
    <row r="172" spans="1:26" ht="14.25" customHeight="1" x14ac:dyDescent="0.25">
      <c r="A172" s="26"/>
      <c r="B172" s="25"/>
      <c r="C172" s="25"/>
      <c r="D172" s="25"/>
      <c r="E172" s="26"/>
      <c r="F172" s="26"/>
      <c r="G172" s="26"/>
      <c r="H172" s="26"/>
      <c r="I172" s="26"/>
      <c r="J172" s="25"/>
      <c r="K172" s="25"/>
      <c r="L172" s="25"/>
      <c r="M172" s="25"/>
      <c r="N172" s="25"/>
      <c r="O172" s="25"/>
      <c r="P172" s="25"/>
      <c r="Q172" s="25"/>
      <c r="R172" s="25"/>
      <c r="S172" s="25"/>
      <c r="T172" s="25"/>
      <c r="U172" s="25"/>
      <c r="V172" s="25"/>
      <c r="W172" s="25"/>
      <c r="X172" s="25"/>
      <c r="Y172" s="25"/>
      <c r="Z172" s="25"/>
    </row>
    <row r="173" spans="1:26" ht="14.25" customHeight="1" x14ac:dyDescent="0.25">
      <c r="A173" s="26"/>
      <c r="B173" s="25"/>
      <c r="C173" s="25"/>
      <c r="D173" s="25"/>
      <c r="E173" s="26"/>
      <c r="F173" s="26"/>
      <c r="G173" s="26"/>
      <c r="H173" s="26"/>
      <c r="I173" s="26"/>
      <c r="J173" s="25"/>
      <c r="K173" s="25"/>
      <c r="L173" s="25"/>
      <c r="M173" s="25"/>
      <c r="N173" s="25"/>
      <c r="O173" s="25"/>
      <c r="P173" s="25"/>
      <c r="Q173" s="25"/>
      <c r="R173" s="25"/>
      <c r="S173" s="25"/>
      <c r="T173" s="25"/>
      <c r="U173" s="25"/>
      <c r="V173" s="25"/>
      <c r="W173" s="25"/>
      <c r="X173" s="25"/>
      <c r="Y173" s="25"/>
      <c r="Z173" s="25"/>
    </row>
    <row r="174" spans="1:26" ht="14.25" customHeight="1" x14ac:dyDescent="0.25">
      <c r="A174" s="26"/>
      <c r="B174" s="25"/>
      <c r="C174" s="25"/>
      <c r="D174" s="25"/>
      <c r="E174" s="26"/>
      <c r="F174" s="26"/>
      <c r="G174" s="26"/>
      <c r="H174" s="26"/>
      <c r="I174" s="26"/>
      <c r="J174" s="25"/>
      <c r="K174" s="25"/>
      <c r="L174" s="25"/>
      <c r="M174" s="25"/>
      <c r="N174" s="25"/>
      <c r="O174" s="25"/>
      <c r="P174" s="25"/>
      <c r="Q174" s="25"/>
      <c r="R174" s="25"/>
      <c r="S174" s="25"/>
      <c r="T174" s="25"/>
      <c r="U174" s="25"/>
      <c r="V174" s="25"/>
      <c r="W174" s="25"/>
      <c r="X174" s="25"/>
      <c r="Y174" s="25"/>
      <c r="Z174" s="25"/>
    </row>
    <row r="175" spans="1:26" ht="14.25" customHeight="1" x14ac:dyDescent="0.25">
      <c r="A175" s="26"/>
      <c r="B175" s="25"/>
      <c r="C175" s="25"/>
      <c r="D175" s="25"/>
      <c r="E175" s="26"/>
      <c r="F175" s="26"/>
      <c r="G175" s="26"/>
      <c r="H175" s="26"/>
      <c r="I175" s="26"/>
      <c r="J175" s="25"/>
      <c r="K175" s="25"/>
      <c r="L175" s="25"/>
      <c r="M175" s="25"/>
      <c r="N175" s="25"/>
      <c r="O175" s="25"/>
      <c r="P175" s="25"/>
      <c r="Q175" s="25"/>
      <c r="R175" s="25"/>
      <c r="S175" s="25"/>
      <c r="T175" s="25"/>
      <c r="U175" s="25"/>
      <c r="V175" s="25"/>
      <c r="W175" s="25"/>
      <c r="X175" s="25"/>
      <c r="Y175" s="25"/>
      <c r="Z175" s="25"/>
    </row>
    <row r="176" spans="1:26" ht="14.25" customHeight="1" x14ac:dyDescent="0.25">
      <c r="A176" s="26"/>
      <c r="B176" s="25"/>
      <c r="C176" s="25"/>
      <c r="D176" s="25"/>
      <c r="E176" s="26"/>
      <c r="F176" s="26"/>
      <c r="G176" s="26"/>
      <c r="H176" s="26"/>
      <c r="I176" s="26"/>
      <c r="J176" s="25"/>
      <c r="K176" s="25"/>
      <c r="L176" s="25"/>
      <c r="M176" s="25"/>
      <c r="N176" s="25"/>
      <c r="O176" s="25"/>
      <c r="P176" s="25"/>
      <c r="Q176" s="25"/>
      <c r="R176" s="25"/>
      <c r="S176" s="25"/>
      <c r="T176" s="25"/>
      <c r="U176" s="25"/>
      <c r="V176" s="25"/>
      <c r="W176" s="25"/>
      <c r="X176" s="25"/>
      <c r="Y176" s="25"/>
      <c r="Z176" s="25"/>
    </row>
    <row r="177" spans="1:26" ht="14.25" customHeight="1" x14ac:dyDescent="0.25">
      <c r="A177" s="26"/>
      <c r="B177" s="25"/>
      <c r="C177" s="25"/>
      <c r="D177" s="25"/>
      <c r="E177" s="26"/>
      <c r="F177" s="26"/>
      <c r="G177" s="26"/>
      <c r="H177" s="26"/>
      <c r="I177" s="26"/>
      <c r="J177" s="25"/>
      <c r="K177" s="25"/>
      <c r="L177" s="25"/>
      <c r="M177" s="25"/>
      <c r="N177" s="25"/>
      <c r="O177" s="25"/>
      <c r="P177" s="25"/>
      <c r="Q177" s="25"/>
      <c r="R177" s="25"/>
      <c r="S177" s="25"/>
      <c r="T177" s="25"/>
      <c r="U177" s="25"/>
      <c r="V177" s="25"/>
      <c r="W177" s="25"/>
      <c r="X177" s="25"/>
      <c r="Y177" s="25"/>
      <c r="Z177" s="25"/>
    </row>
    <row r="178" spans="1:26" ht="14.25" customHeight="1" x14ac:dyDescent="0.25">
      <c r="A178" s="26"/>
      <c r="B178" s="25"/>
      <c r="C178" s="25"/>
      <c r="D178" s="25"/>
      <c r="E178" s="26"/>
      <c r="F178" s="26"/>
      <c r="G178" s="26"/>
      <c r="H178" s="26"/>
      <c r="I178" s="26"/>
      <c r="J178" s="25"/>
      <c r="K178" s="25"/>
      <c r="L178" s="25"/>
      <c r="M178" s="25"/>
      <c r="N178" s="25"/>
      <c r="O178" s="25"/>
      <c r="P178" s="25"/>
      <c r="Q178" s="25"/>
      <c r="R178" s="25"/>
      <c r="S178" s="25"/>
      <c r="T178" s="25"/>
      <c r="U178" s="25"/>
      <c r="V178" s="25"/>
      <c r="W178" s="25"/>
      <c r="X178" s="25"/>
      <c r="Y178" s="25"/>
      <c r="Z178" s="25"/>
    </row>
    <row r="179" spans="1:26" ht="14.25" customHeight="1" x14ac:dyDescent="0.25">
      <c r="A179" s="26"/>
      <c r="B179" s="25"/>
      <c r="C179" s="25"/>
      <c r="D179" s="25"/>
      <c r="E179" s="26"/>
      <c r="F179" s="26"/>
      <c r="G179" s="26"/>
      <c r="H179" s="26"/>
      <c r="I179" s="26"/>
      <c r="J179" s="25"/>
      <c r="K179" s="25"/>
      <c r="L179" s="25"/>
      <c r="M179" s="25"/>
      <c r="N179" s="25"/>
      <c r="O179" s="25"/>
      <c r="P179" s="25"/>
      <c r="Q179" s="25"/>
      <c r="R179" s="25"/>
      <c r="S179" s="25"/>
      <c r="T179" s="25"/>
      <c r="U179" s="25"/>
      <c r="V179" s="25"/>
      <c r="W179" s="25"/>
      <c r="X179" s="25"/>
      <c r="Y179" s="25"/>
      <c r="Z179" s="25"/>
    </row>
    <row r="180" spans="1:26" ht="14.25" customHeight="1" x14ac:dyDescent="0.25">
      <c r="A180" s="26"/>
      <c r="B180" s="25"/>
      <c r="C180" s="25"/>
      <c r="D180" s="25"/>
      <c r="E180" s="26"/>
      <c r="F180" s="26"/>
      <c r="G180" s="26"/>
      <c r="H180" s="26"/>
      <c r="I180" s="26"/>
      <c r="J180" s="25"/>
      <c r="K180" s="25"/>
      <c r="L180" s="25"/>
      <c r="M180" s="25"/>
      <c r="N180" s="25"/>
      <c r="O180" s="25"/>
      <c r="P180" s="25"/>
      <c r="Q180" s="25"/>
      <c r="R180" s="25"/>
      <c r="S180" s="25"/>
      <c r="T180" s="25"/>
      <c r="U180" s="25"/>
      <c r="V180" s="25"/>
      <c r="W180" s="25"/>
      <c r="X180" s="25"/>
      <c r="Y180" s="25"/>
      <c r="Z180" s="25"/>
    </row>
    <row r="181" spans="1:26" ht="14.25" customHeight="1" x14ac:dyDescent="0.25">
      <c r="A181" s="26"/>
      <c r="B181" s="25"/>
      <c r="C181" s="25"/>
      <c r="D181" s="25"/>
      <c r="E181" s="26"/>
      <c r="F181" s="26"/>
      <c r="G181" s="26"/>
      <c r="H181" s="26"/>
      <c r="I181" s="26"/>
      <c r="J181" s="25"/>
      <c r="K181" s="25"/>
      <c r="L181" s="25"/>
      <c r="M181" s="25"/>
      <c r="N181" s="25"/>
      <c r="O181" s="25"/>
      <c r="P181" s="25"/>
      <c r="Q181" s="25"/>
      <c r="R181" s="25"/>
      <c r="S181" s="25"/>
      <c r="T181" s="25"/>
      <c r="U181" s="25"/>
      <c r="V181" s="25"/>
      <c r="W181" s="25"/>
      <c r="X181" s="25"/>
      <c r="Y181" s="25"/>
      <c r="Z181" s="25"/>
    </row>
    <row r="182" spans="1:26" ht="14.25" customHeight="1" x14ac:dyDescent="0.25">
      <c r="A182" s="26"/>
      <c r="B182" s="25"/>
      <c r="C182" s="25"/>
      <c r="D182" s="25"/>
      <c r="E182" s="26"/>
      <c r="F182" s="26"/>
      <c r="G182" s="26"/>
      <c r="H182" s="26"/>
      <c r="I182" s="26"/>
      <c r="J182" s="25"/>
      <c r="K182" s="25"/>
      <c r="L182" s="25"/>
      <c r="M182" s="25"/>
      <c r="N182" s="25"/>
      <c r="O182" s="25"/>
      <c r="P182" s="25"/>
      <c r="Q182" s="25"/>
      <c r="R182" s="25"/>
      <c r="S182" s="25"/>
      <c r="T182" s="25"/>
      <c r="U182" s="25"/>
      <c r="V182" s="25"/>
      <c r="W182" s="25"/>
      <c r="X182" s="25"/>
      <c r="Y182" s="25"/>
      <c r="Z182" s="25"/>
    </row>
    <row r="183" spans="1:26" ht="14.25" customHeight="1" x14ac:dyDescent="0.25">
      <c r="A183" s="26"/>
      <c r="B183" s="25"/>
      <c r="C183" s="25"/>
      <c r="D183" s="25"/>
      <c r="E183" s="26"/>
      <c r="F183" s="26"/>
      <c r="G183" s="26"/>
      <c r="H183" s="26"/>
      <c r="I183" s="26"/>
      <c r="J183" s="25"/>
      <c r="K183" s="25"/>
      <c r="L183" s="25"/>
      <c r="M183" s="25"/>
      <c r="N183" s="25"/>
      <c r="O183" s="25"/>
      <c r="P183" s="25"/>
      <c r="Q183" s="25"/>
      <c r="R183" s="25"/>
      <c r="S183" s="25"/>
      <c r="T183" s="25"/>
      <c r="U183" s="25"/>
      <c r="V183" s="25"/>
      <c r="W183" s="25"/>
      <c r="X183" s="25"/>
      <c r="Y183" s="25"/>
      <c r="Z183" s="25"/>
    </row>
    <row r="184" spans="1:26" ht="14.25" customHeight="1" x14ac:dyDescent="0.25">
      <c r="A184" s="26"/>
      <c r="B184" s="25"/>
      <c r="C184" s="25"/>
      <c r="D184" s="25"/>
      <c r="E184" s="26"/>
      <c r="F184" s="26"/>
      <c r="G184" s="26"/>
      <c r="H184" s="26"/>
      <c r="I184" s="26"/>
      <c r="J184" s="25"/>
      <c r="K184" s="25"/>
      <c r="L184" s="25"/>
      <c r="M184" s="25"/>
      <c r="N184" s="25"/>
      <c r="O184" s="25"/>
      <c r="P184" s="25"/>
      <c r="Q184" s="25"/>
      <c r="R184" s="25"/>
      <c r="S184" s="25"/>
      <c r="T184" s="25"/>
      <c r="U184" s="25"/>
      <c r="V184" s="25"/>
      <c r="W184" s="25"/>
      <c r="X184" s="25"/>
      <c r="Y184" s="25"/>
      <c r="Z184" s="25"/>
    </row>
    <row r="185" spans="1:26" ht="14.25" customHeight="1" x14ac:dyDescent="0.25">
      <c r="A185" s="26"/>
      <c r="B185" s="25"/>
      <c r="C185" s="25"/>
      <c r="D185" s="25"/>
      <c r="E185" s="26"/>
      <c r="F185" s="26"/>
      <c r="G185" s="26"/>
      <c r="H185" s="26"/>
      <c r="I185" s="26"/>
      <c r="J185" s="25"/>
      <c r="K185" s="25"/>
      <c r="L185" s="25"/>
      <c r="M185" s="25"/>
      <c r="N185" s="25"/>
      <c r="O185" s="25"/>
      <c r="P185" s="25"/>
      <c r="Q185" s="25"/>
      <c r="R185" s="25"/>
      <c r="S185" s="25"/>
      <c r="T185" s="25"/>
      <c r="U185" s="25"/>
      <c r="V185" s="25"/>
      <c r="W185" s="25"/>
      <c r="X185" s="25"/>
      <c r="Y185" s="25"/>
      <c r="Z185" s="25"/>
    </row>
    <row r="186" spans="1:26" ht="14.25" customHeight="1" x14ac:dyDescent="0.25">
      <c r="A186" s="26"/>
      <c r="B186" s="25"/>
      <c r="C186" s="25"/>
      <c r="D186" s="25"/>
      <c r="E186" s="26"/>
      <c r="F186" s="26"/>
      <c r="G186" s="26"/>
      <c r="H186" s="26"/>
      <c r="I186" s="26"/>
      <c r="J186" s="25"/>
      <c r="K186" s="25"/>
      <c r="L186" s="25"/>
      <c r="M186" s="25"/>
      <c r="N186" s="25"/>
      <c r="O186" s="25"/>
      <c r="P186" s="25"/>
      <c r="Q186" s="25"/>
      <c r="R186" s="25"/>
      <c r="S186" s="25"/>
      <c r="T186" s="25"/>
      <c r="U186" s="25"/>
      <c r="V186" s="25"/>
      <c r="W186" s="25"/>
      <c r="X186" s="25"/>
      <c r="Y186" s="25"/>
      <c r="Z186" s="25"/>
    </row>
    <row r="187" spans="1:26" ht="14.25" customHeight="1" x14ac:dyDescent="0.25">
      <c r="A187" s="26"/>
      <c r="B187" s="25"/>
      <c r="C187" s="25"/>
      <c r="D187" s="25"/>
      <c r="E187" s="26"/>
      <c r="F187" s="26"/>
      <c r="G187" s="26"/>
      <c r="H187" s="26"/>
      <c r="I187" s="26"/>
      <c r="J187" s="25"/>
      <c r="K187" s="25"/>
      <c r="L187" s="25"/>
      <c r="M187" s="25"/>
      <c r="N187" s="25"/>
      <c r="O187" s="25"/>
      <c r="P187" s="25"/>
      <c r="Q187" s="25"/>
      <c r="R187" s="25"/>
      <c r="S187" s="25"/>
      <c r="T187" s="25"/>
      <c r="U187" s="25"/>
      <c r="V187" s="25"/>
      <c r="W187" s="25"/>
      <c r="X187" s="25"/>
      <c r="Y187" s="25"/>
      <c r="Z187" s="25"/>
    </row>
    <row r="188" spans="1:26" ht="14.25" customHeight="1" x14ac:dyDescent="0.25">
      <c r="A188" s="26"/>
      <c r="B188" s="25"/>
      <c r="C188" s="25"/>
      <c r="D188" s="25"/>
      <c r="E188" s="26"/>
      <c r="F188" s="26"/>
      <c r="G188" s="26"/>
      <c r="H188" s="26"/>
      <c r="I188" s="26"/>
      <c r="J188" s="25"/>
      <c r="K188" s="25"/>
      <c r="L188" s="25"/>
      <c r="M188" s="25"/>
      <c r="N188" s="25"/>
      <c r="O188" s="25"/>
      <c r="P188" s="25"/>
      <c r="Q188" s="25"/>
      <c r="R188" s="25"/>
      <c r="S188" s="25"/>
      <c r="T188" s="25"/>
      <c r="U188" s="25"/>
      <c r="V188" s="25"/>
      <c r="W188" s="25"/>
      <c r="X188" s="25"/>
      <c r="Y188" s="25"/>
      <c r="Z188" s="25"/>
    </row>
    <row r="189" spans="1:26" ht="14.25" customHeight="1" x14ac:dyDescent="0.25">
      <c r="A189" s="26"/>
      <c r="B189" s="25"/>
      <c r="C189" s="25"/>
      <c r="D189" s="25"/>
      <c r="E189" s="26"/>
      <c r="F189" s="26"/>
      <c r="G189" s="26"/>
      <c r="H189" s="26"/>
      <c r="I189" s="26"/>
      <c r="J189" s="25"/>
      <c r="K189" s="25"/>
      <c r="L189" s="25"/>
      <c r="M189" s="25"/>
      <c r="N189" s="25"/>
      <c r="O189" s="25"/>
      <c r="P189" s="25"/>
      <c r="Q189" s="25"/>
      <c r="R189" s="25"/>
      <c r="S189" s="25"/>
      <c r="T189" s="25"/>
      <c r="U189" s="25"/>
      <c r="V189" s="25"/>
      <c r="W189" s="25"/>
      <c r="X189" s="25"/>
      <c r="Y189" s="25"/>
      <c r="Z189" s="25"/>
    </row>
    <row r="190" spans="1:26" ht="14.25" customHeight="1" x14ac:dyDescent="0.25">
      <c r="A190" s="26"/>
      <c r="B190" s="25"/>
      <c r="C190" s="25"/>
      <c r="D190" s="25"/>
      <c r="E190" s="26"/>
      <c r="F190" s="26"/>
      <c r="G190" s="26"/>
      <c r="H190" s="26"/>
      <c r="I190" s="26"/>
      <c r="J190" s="25"/>
      <c r="K190" s="25"/>
      <c r="L190" s="25"/>
      <c r="M190" s="25"/>
      <c r="N190" s="25"/>
      <c r="O190" s="25"/>
      <c r="P190" s="25"/>
      <c r="Q190" s="25"/>
      <c r="R190" s="25"/>
      <c r="S190" s="25"/>
      <c r="T190" s="25"/>
      <c r="U190" s="25"/>
      <c r="V190" s="25"/>
      <c r="W190" s="25"/>
      <c r="X190" s="25"/>
      <c r="Y190" s="25"/>
      <c r="Z190" s="25"/>
    </row>
    <row r="191" spans="1:26" ht="14.25" customHeight="1" x14ac:dyDescent="0.25">
      <c r="A191" s="26"/>
      <c r="B191" s="25"/>
      <c r="C191" s="25"/>
      <c r="D191" s="25"/>
      <c r="E191" s="26"/>
      <c r="F191" s="26"/>
      <c r="G191" s="26"/>
      <c r="H191" s="26"/>
      <c r="I191" s="26"/>
      <c r="J191" s="25"/>
      <c r="K191" s="25"/>
      <c r="L191" s="25"/>
      <c r="M191" s="25"/>
      <c r="N191" s="25"/>
      <c r="O191" s="25"/>
      <c r="P191" s="25"/>
      <c r="Q191" s="25"/>
      <c r="R191" s="25"/>
      <c r="S191" s="25"/>
      <c r="T191" s="25"/>
      <c r="U191" s="25"/>
      <c r="V191" s="25"/>
      <c r="W191" s="25"/>
      <c r="X191" s="25"/>
      <c r="Y191" s="25"/>
      <c r="Z191" s="25"/>
    </row>
    <row r="192" spans="1:26" ht="14.25" customHeight="1" x14ac:dyDescent="0.25">
      <c r="A192" s="26"/>
      <c r="B192" s="25"/>
      <c r="C192" s="25"/>
      <c r="D192" s="25"/>
      <c r="E192" s="26"/>
      <c r="F192" s="26"/>
      <c r="G192" s="26"/>
      <c r="H192" s="26"/>
      <c r="I192" s="26"/>
      <c r="J192" s="25"/>
      <c r="K192" s="25"/>
      <c r="L192" s="25"/>
      <c r="M192" s="25"/>
      <c r="N192" s="25"/>
      <c r="O192" s="25"/>
      <c r="P192" s="25"/>
      <c r="Q192" s="25"/>
      <c r="R192" s="25"/>
      <c r="S192" s="25"/>
      <c r="T192" s="25"/>
      <c r="U192" s="25"/>
      <c r="V192" s="25"/>
      <c r="W192" s="25"/>
      <c r="X192" s="25"/>
      <c r="Y192" s="25"/>
      <c r="Z192" s="25"/>
    </row>
    <row r="193" spans="1:26" ht="14.25" customHeight="1" x14ac:dyDescent="0.25">
      <c r="A193" s="26"/>
      <c r="B193" s="25"/>
      <c r="C193" s="25"/>
      <c r="D193" s="25"/>
      <c r="E193" s="26"/>
      <c r="F193" s="26"/>
      <c r="G193" s="26"/>
      <c r="H193" s="26"/>
      <c r="I193" s="26"/>
      <c r="J193" s="25"/>
      <c r="K193" s="25"/>
      <c r="L193" s="25"/>
      <c r="M193" s="25"/>
      <c r="N193" s="25"/>
      <c r="O193" s="25"/>
      <c r="P193" s="25"/>
      <c r="Q193" s="25"/>
      <c r="R193" s="25"/>
      <c r="S193" s="25"/>
      <c r="T193" s="25"/>
      <c r="U193" s="25"/>
      <c r="V193" s="25"/>
      <c r="W193" s="25"/>
      <c r="X193" s="25"/>
      <c r="Y193" s="25"/>
      <c r="Z193" s="25"/>
    </row>
    <row r="194" spans="1:26" ht="14.25" customHeight="1" x14ac:dyDescent="0.25">
      <c r="A194" s="26"/>
      <c r="B194" s="25"/>
      <c r="C194" s="25"/>
      <c r="D194" s="25"/>
      <c r="E194" s="26"/>
      <c r="F194" s="26"/>
      <c r="G194" s="26"/>
      <c r="H194" s="26"/>
      <c r="I194" s="26"/>
      <c r="J194" s="25"/>
      <c r="K194" s="25"/>
      <c r="L194" s="25"/>
      <c r="M194" s="25"/>
      <c r="N194" s="25"/>
      <c r="O194" s="25"/>
      <c r="P194" s="25"/>
      <c r="Q194" s="25"/>
      <c r="R194" s="25"/>
      <c r="S194" s="25"/>
      <c r="T194" s="25"/>
      <c r="U194" s="25"/>
      <c r="V194" s="25"/>
      <c r="W194" s="25"/>
      <c r="X194" s="25"/>
      <c r="Y194" s="25"/>
      <c r="Z194" s="25"/>
    </row>
    <row r="195" spans="1:26" ht="14.25" customHeight="1" x14ac:dyDescent="0.25">
      <c r="A195" s="26"/>
      <c r="B195" s="25"/>
      <c r="C195" s="25"/>
      <c r="D195" s="25"/>
      <c r="E195" s="26"/>
      <c r="F195" s="26"/>
      <c r="G195" s="26"/>
      <c r="H195" s="26"/>
      <c r="I195" s="26"/>
      <c r="J195" s="25"/>
      <c r="K195" s="25"/>
      <c r="L195" s="25"/>
      <c r="M195" s="25"/>
      <c r="N195" s="25"/>
      <c r="O195" s="25"/>
      <c r="P195" s="25"/>
      <c r="Q195" s="25"/>
      <c r="R195" s="25"/>
      <c r="S195" s="25"/>
      <c r="T195" s="25"/>
      <c r="U195" s="25"/>
      <c r="V195" s="25"/>
      <c r="W195" s="25"/>
      <c r="X195" s="25"/>
      <c r="Y195" s="25"/>
      <c r="Z195" s="25"/>
    </row>
    <row r="196" spans="1:26" ht="14.25" customHeight="1" x14ac:dyDescent="0.25">
      <c r="A196" s="26"/>
      <c r="B196" s="25"/>
      <c r="C196" s="25"/>
      <c r="D196" s="25"/>
      <c r="E196" s="26"/>
      <c r="F196" s="26"/>
      <c r="G196" s="26"/>
      <c r="H196" s="26"/>
      <c r="I196" s="26"/>
      <c r="J196" s="25"/>
      <c r="K196" s="25"/>
      <c r="L196" s="25"/>
      <c r="M196" s="25"/>
      <c r="N196" s="25"/>
      <c r="O196" s="25"/>
      <c r="P196" s="25"/>
      <c r="Q196" s="25"/>
      <c r="R196" s="25"/>
      <c r="S196" s="25"/>
      <c r="T196" s="25"/>
      <c r="U196" s="25"/>
      <c r="V196" s="25"/>
      <c r="W196" s="25"/>
      <c r="X196" s="25"/>
      <c r="Y196" s="25"/>
      <c r="Z196" s="25"/>
    </row>
    <row r="197" spans="1:26" ht="14.25" customHeight="1" x14ac:dyDescent="0.25">
      <c r="A197" s="26"/>
      <c r="B197" s="25"/>
      <c r="C197" s="25"/>
      <c r="D197" s="25"/>
      <c r="E197" s="26"/>
      <c r="F197" s="26"/>
      <c r="G197" s="26"/>
      <c r="H197" s="26"/>
      <c r="I197" s="26"/>
      <c r="J197" s="25"/>
      <c r="K197" s="25"/>
      <c r="L197" s="25"/>
      <c r="M197" s="25"/>
      <c r="N197" s="25"/>
      <c r="O197" s="25"/>
      <c r="P197" s="25"/>
      <c r="Q197" s="25"/>
      <c r="R197" s="25"/>
      <c r="S197" s="25"/>
      <c r="T197" s="25"/>
      <c r="U197" s="25"/>
      <c r="V197" s="25"/>
      <c r="W197" s="25"/>
      <c r="X197" s="25"/>
      <c r="Y197" s="25"/>
      <c r="Z197" s="25"/>
    </row>
    <row r="198" spans="1:26" ht="14.25" customHeight="1" x14ac:dyDescent="0.25">
      <c r="A198" s="26"/>
      <c r="B198" s="25"/>
      <c r="C198" s="25"/>
      <c r="D198" s="25"/>
      <c r="E198" s="26"/>
      <c r="F198" s="26"/>
      <c r="G198" s="26"/>
      <c r="H198" s="26"/>
      <c r="I198" s="26"/>
      <c r="J198" s="25"/>
      <c r="K198" s="25"/>
      <c r="L198" s="25"/>
      <c r="M198" s="25"/>
      <c r="N198" s="25"/>
      <c r="O198" s="25"/>
      <c r="P198" s="25"/>
      <c r="Q198" s="25"/>
      <c r="R198" s="25"/>
      <c r="S198" s="25"/>
      <c r="T198" s="25"/>
      <c r="U198" s="25"/>
      <c r="V198" s="25"/>
      <c r="W198" s="25"/>
      <c r="X198" s="25"/>
      <c r="Y198" s="25"/>
      <c r="Z198" s="25"/>
    </row>
    <row r="199" spans="1:26" ht="14.25" customHeight="1" x14ac:dyDescent="0.25">
      <c r="A199" s="26"/>
      <c r="B199" s="25"/>
      <c r="C199" s="25"/>
      <c r="D199" s="25"/>
      <c r="E199" s="26"/>
      <c r="F199" s="26"/>
      <c r="G199" s="26"/>
      <c r="H199" s="26"/>
      <c r="I199" s="26"/>
      <c r="J199" s="25"/>
      <c r="K199" s="25"/>
      <c r="L199" s="25"/>
      <c r="M199" s="25"/>
      <c r="N199" s="25"/>
      <c r="O199" s="25"/>
      <c r="P199" s="25"/>
      <c r="Q199" s="25"/>
      <c r="R199" s="25"/>
      <c r="S199" s="25"/>
      <c r="T199" s="25"/>
      <c r="U199" s="25"/>
      <c r="V199" s="25"/>
      <c r="W199" s="25"/>
      <c r="X199" s="25"/>
      <c r="Y199" s="25"/>
      <c r="Z199" s="25"/>
    </row>
    <row r="200" spans="1:26" ht="14.25" customHeight="1" x14ac:dyDescent="0.25">
      <c r="A200" s="26"/>
      <c r="B200" s="25"/>
      <c r="C200" s="25"/>
      <c r="D200" s="25"/>
      <c r="E200" s="26"/>
      <c r="F200" s="26"/>
      <c r="G200" s="26"/>
      <c r="H200" s="26"/>
      <c r="I200" s="26"/>
      <c r="J200" s="25"/>
      <c r="K200" s="25"/>
      <c r="L200" s="25"/>
      <c r="M200" s="25"/>
      <c r="N200" s="25"/>
      <c r="O200" s="25"/>
      <c r="P200" s="25"/>
      <c r="Q200" s="25"/>
      <c r="R200" s="25"/>
      <c r="S200" s="25"/>
      <c r="T200" s="25"/>
      <c r="U200" s="25"/>
      <c r="V200" s="25"/>
      <c r="W200" s="25"/>
      <c r="X200" s="25"/>
      <c r="Y200" s="25"/>
      <c r="Z200" s="25"/>
    </row>
    <row r="201" spans="1:26" ht="14.25" customHeight="1" x14ac:dyDescent="0.25">
      <c r="A201" s="26"/>
      <c r="B201" s="25"/>
      <c r="C201" s="25"/>
      <c r="D201" s="25"/>
      <c r="E201" s="26"/>
      <c r="F201" s="26"/>
      <c r="G201" s="26"/>
      <c r="H201" s="26"/>
      <c r="I201" s="26"/>
      <c r="J201" s="25"/>
      <c r="K201" s="25"/>
      <c r="L201" s="25"/>
      <c r="M201" s="25"/>
      <c r="N201" s="25"/>
      <c r="O201" s="25"/>
      <c r="P201" s="25"/>
      <c r="Q201" s="25"/>
      <c r="R201" s="25"/>
      <c r="S201" s="25"/>
      <c r="T201" s="25"/>
      <c r="U201" s="25"/>
      <c r="V201" s="25"/>
      <c r="W201" s="25"/>
      <c r="X201" s="25"/>
      <c r="Y201" s="25"/>
      <c r="Z201" s="25"/>
    </row>
    <row r="202" spans="1:26" ht="14.25" customHeight="1" x14ac:dyDescent="0.25">
      <c r="A202" s="26"/>
      <c r="B202" s="25"/>
      <c r="C202" s="25"/>
      <c r="D202" s="25"/>
      <c r="E202" s="26"/>
      <c r="F202" s="26"/>
      <c r="G202" s="26"/>
      <c r="H202" s="26"/>
      <c r="I202" s="26"/>
      <c r="J202" s="25"/>
      <c r="K202" s="25"/>
      <c r="L202" s="25"/>
      <c r="M202" s="25"/>
      <c r="N202" s="25"/>
      <c r="O202" s="25"/>
      <c r="P202" s="25"/>
      <c r="Q202" s="25"/>
      <c r="R202" s="25"/>
      <c r="S202" s="25"/>
      <c r="T202" s="25"/>
      <c r="U202" s="25"/>
      <c r="V202" s="25"/>
      <c r="W202" s="25"/>
      <c r="X202" s="25"/>
      <c r="Y202" s="25"/>
      <c r="Z202" s="25"/>
    </row>
    <row r="203" spans="1:26" ht="14.25" customHeight="1" x14ac:dyDescent="0.25">
      <c r="A203" s="26"/>
      <c r="B203" s="25"/>
      <c r="C203" s="25"/>
      <c r="D203" s="25"/>
      <c r="E203" s="26"/>
      <c r="F203" s="26"/>
      <c r="G203" s="26"/>
      <c r="H203" s="26"/>
      <c r="I203" s="26"/>
      <c r="J203" s="25"/>
      <c r="K203" s="25"/>
      <c r="L203" s="25"/>
      <c r="M203" s="25"/>
      <c r="N203" s="25"/>
      <c r="O203" s="25"/>
      <c r="P203" s="25"/>
      <c r="Q203" s="25"/>
      <c r="R203" s="25"/>
      <c r="S203" s="25"/>
      <c r="T203" s="25"/>
      <c r="U203" s="25"/>
      <c r="V203" s="25"/>
      <c r="W203" s="25"/>
      <c r="X203" s="25"/>
      <c r="Y203" s="25"/>
      <c r="Z203" s="25"/>
    </row>
    <row r="204" spans="1:26" ht="14.25" customHeight="1" x14ac:dyDescent="0.25">
      <c r="A204" s="26"/>
      <c r="B204" s="25"/>
      <c r="C204" s="25"/>
      <c r="D204" s="25"/>
      <c r="E204" s="26"/>
      <c r="F204" s="26"/>
      <c r="G204" s="26"/>
      <c r="H204" s="26"/>
      <c r="I204" s="26"/>
      <c r="J204" s="25"/>
      <c r="K204" s="25"/>
      <c r="L204" s="25"/>
      <c r="M204" s="25"/>
      <c r="N204" s="25"/>
      <c r="O204" s="25"/>
      <c r="P204" s="25"/>
      <c r="Q204" s="25"/>
      <c r="R204" s="25"/>
      <c r="S204" s="25"/>
      <c r="T204" s="25"/>
      <c r="U204" s="25"/>
      <c r="V204" s="25"/>
      <c r="W204" s="25"/>
      <c r="X204" s="25"/>
      <c r="Y204" s="25"/>
      <c r="Z204" s="25"/>
    </row>
    <row r="205" spans="1:26" ht="14.25" customHeight="1" x14ac:dyDescent="0.25">
      <c r="A205" s="26"/>
      <c r="B205" s="25"/>
      <c r="C205" s="25"/>
      <c r="D205" s="25"/>
      <c r="E205" s="26"/>
      <c r="F205" s="26"/>
      <c r="G205" s="26"/>
      <c r="H205" s="26"/>
      <c r="I205" s="26"/>
      <c r="J205" s="25"/>
      <c r="K205" s="25"/>
      <c r="L205" s="25"/>
      <c r="M205" s="25"/>
      <c r="N205" s="25"/>
      <c r="O205" s="25"/>
      <c r="P205" s="25"/>
      <c r="Q205" s="25"/>
      <c r="R205" s="25"/>
      <c r="S205" s="25"/>
      <c r="T205" s="25"/>
      <c r="U205" s="25"/>
      <c r="V205" s="25"/>
      <c r="W205" s="25"/>
      <c r="X205" s="25"/>
      <c r="Y205" s="25"/>
      <c r="Z205" s="25"/>
    </row>
    <row r="206" spans="1:26" ht="14.25" customHeight="1" x14ac:dyDescent="0.25">
      <c r="A206" s="26"/>
      <c r="B206" s="25"/>
      <c r="C206" s="25"/>
      <c r="D206" s="25"/>
      <c r="E206" s="26"/>
      <c r="F206" s="26"/>
      <c r="G206" s="26"/>
      <c r="H206" s="26"/>
      <c r="I206" s="26"/>
      <c r="J206" s="25"/>
      <c r="K206" s="25"/>
      <c r="L206" s="25"/>
      <c r="M206" s="25"/>
      <c r="N206" s="25"/>
      <c r="O206" s="25"/>
      <c r="P206" s="25"/>
      <c r="Q206" s="25"/>
      <c r="R206" s="25"/>
      <c r="S206" s="25"/>
      <c r="T206" s="25"/>
      <c r="U206" s="25"/>
      <c r="V206" s="25"/>
      <c r="W206" s="25"/>
      <c r="X206" s="25"/>
      <c r="Y206" s="25"/>
      <c r="Z206" s="25"/>
    </row>
    <row r="207" spans="1:26" ht="14.25" customHeight="1" x14ac:dyDescent="0.25">
      <c r="A207" s="26"/>
      <c r="B207" s="25"/>
      <c r="C207" s="25"/>
      <c r="D207" s="25"/>
      <c r="E207" s="26"/>
      <c r="F207" s="26"/>
      <c r="G207" s="26"/>
      <c r="H207" s="26"/>
      <c r="I207" s="26"/>
      <c r="J207" s="25"/>
      <c r="K207" s="25"/>
      <c r="L207" s="25"/>
      <c r="M207" s="25"/>
      <c r="N207" s="25"/>
      <c r="O207" s="25"/>
      <c r="P207" s="25"/>
      <c r="Q207" s="25"/>
      <c r="R207" s="25"/>
      <c r="S207" s="25"/>
      <c r="T207" s="25"/>
      <c r="U207" s="25"/>
      <c r="V207" s="25"/>
      <c r="W207" s="25"/>
      <c r="X207" s="25"/>
      <c r="Y207" s="25"/>
      <c r="Z207" s="25"/>
    </row>
    <row r="208" spans="1:26" ht="14.25" customHeight="1" x14ac:dyDescent="0.25">
      <c r="A208" s="26"/>
      <c r="B208" s="25"/>
      <c r="C208" s="25"/>
      <c r="D208" s="25"/>
      <c r="E208" s="26"/>
      <c r="F208" s="26"/>
      <c r="G208" s="26"/>
      <c r="H208" s="26"/>
      <c r="I208" s="26"/>
      <c r="J208" s="25"/>
      <c r="K208" s="25"/>
      <c r="L208" s="25"/>
      <c r="M208" s="25"/>
      <c r="N208" s="25"/>
      <c r="O208" s="25"/>
      <c r="P208" s="25"/>
      <c r="Q208" s="25"/>
      <c r="R208" s="25"/>
      <c r="S208" s="25"/>
      <c r="T208" s="25"/>
      <c r="U208" s="25"/>
      <c r="V208" s="25"/>
      <c r="W208" s="25"/>
      <c r="X208" s="25"/>
      <c r="Y208" s="25"/>
      <c r="Z208" s="25"/>
    </row>
    <row r="209" spans="1:26" ht="14.25" customHeight="1" x14ac:dyDescent="0.25">
      <c r="A209" s="26"/>
      <c r="B209" s="25"/>
      <c r="C209" s="25"/>
      <c r="D209" s="25"/>
      <c r="E209" s="26"/>
      <c r="F209" s="26"/>
      <c r="G209" s="26"/>
      <c r="H209" s="26"/>
      <c r="I209" s="26"/>
      <c r="J209" s="25"/>
      <c r="K209" s="25"/>
      <c r="L209" s="25"/>
      <c r="M209" s="25"/>
      <c r="N209" s="25"/>
      <c r="O209" s="25"/>
      <c r="P209" s="25"/>
      <c r="Q209" s="25"/>
      <c r="R209" s="25"/>
      <c r="S209" s="25"/>
      <c r="T209" s="25"/>
      <c r="U209" s="25"/>
      <c r="V209" s="25"/>
      <c r="W209" s="25"/>
      <c r="X209" s="25"/>
      <c r="Y209" s="25"/>
      <c r="Z209" s="25"/>
    </row>
    <row r="210" spans="1:26" ht="14.25" customHeight="1" x14ac:dyDescent="0.25">
      <c r="A210" s="26"/>
      <c r="B210" s="25"/>
      <c r="C210" s="25"/>
      <c r="D210" s="25"/>
      <c r="E210" s="26"/>
      <c r="F210" s="26"/>
      <c r="G210" s="26"/>
      <c r="H210" s="26"/>
      <c r="I210" s="26"/>
      <c r="J210" s="25"/>
      <c r="K210" s="25"/>
      <c r="L210" s="25"/>
      <c r="M210" s="25"/>
      <c r="N210" s="25"/>
      <c r="O210" s="25"/>
      <c r="P210" s="25"/>
      <c r="Q210" s="25"/>
      <c r="R210" s="25"/>
      <c r="S210" s="25"/>
      <c r="T210" s="25"/>
      <c r="U210" s="25"/>
      <c r="V210" s="25"/>
      <c r="W210" s="25"/>
      <c r="X210" s="25"/>
      <c r="Y210" s="25"/>
      <c r="Z210" s="25"/>
    </row>
    <row r="211" spans="1:26" ht="14.25" customHeight="1" x14ac:dyDescent="0.25">
      <c r="A211" s="26"/>
      <c r="B211" s="25"/>
      <c r="C211" s="25"/>
      <c r="D211" s="25"/>
      <c r="E211" s="26"/>
      <c r="F211" s="26"/>
      <c r="G211" s="26"/>
      <c r="H211" s="26"/>
      <c r="I211" s="26"/>
      <c r="J211" s="25"/>
      <c r="K211" s="25"/>
      <c r="L211" s="25"/>
      <c r="M211" s="25"/>
      <c r="N211" s="25"/>
      <c r="O211" s="25"/>
      <c r="P211" s="25"/>
      <c r="Q211" s="25"/>
      <c r="R211" s="25"/>
      <c r="S211" s="25"/>
      <c r="T211" s="25"/>
      <c r="U211" s="25"/>
      <c r="V211" s="25"/>
      <c r="W211" s="25"/>
      <c r="X211" s="25"/>
      <c r="Y211" s="25"/>
      <c r="Z211" s="25"/>
    </row>
    <row r="212" spans="1:26" ht="14.25" customHeight="1" x14ac:dyDescent="0.25">
      <c r="A212" s="26"/>
      <c r="B212" s="25"/>
      <c r="C212" s="25"/>
      <c r="D212" s="25"/>
      <c r="E212" s="26"/>
      <c r="F212" s="26"/>
      <c r="G212" s="26"/>
      <c r="H212" s="26"/>
      <c r="I212" s="26"/>
      <c r="J212" s="25"/>
      <c r="K212" s="25"/>
      <c r="L212" s="25"/>
      <c r="M212" s="25"/>
      <c r="N212" s="25"/>
      <c r="O212" s="25"/>
      <c r="P212" s="25"/>
      <c r="Q212" s="25"/>
      <c r="R212" s="25"/>
      <c r="S212" s="25"/>
      <c r="T212" s="25"/>
      <c r="U212" s="25"/>
      <c r="V212" s="25"/>
      <c r="W212" s="25"/>
      <c r="X212" s="25"/>
      <c r="Y212" s="25"/>
      <c r="Z212" s="25"/>
    </row>
    <row r="213" spans="1:26" ht="14.25" customHeight="1" x14ac:dyDescent="0.25">
      <c r="A213" s="26"/>
      <c r="B213" s="25"/>
      <c r="C213" s="25"/>
      <c r="D213" s="25"/>
      <c r="E213" s="26"/>
      <c r="F213" s="26"/>
      <c r="G213" s="26"/>
      <c r="H213" s="26"/>
      <c r="I213" s="26"/>
      <c r="J213" s="25"/>
      <c r="K213" s="25"/>
      <c r="L213" s="25"/>
      <c r="M213" s="25"/>
      <c r="N213" s="25"/>
      <c r="O213" s="25"/>
      <c r="P213" s="25"/>
      <c r="Q213" s="25"/>
      <c r="R213" s="25"/>
      <c r="S213" s="25"/>
      <c r="T213" s="25"/>
      <c r="U213" s="25"/>
      <c r="V213" s="25"/>
      <c r="W213" s="25"/>
      <c r="X213" s="25"/>
      <c r="Y213" s="25"/>
      <c r="Z213" s="25"/>
    </row>
    <row r="214" spans="1:26" ht="14.25" customHeight="1" x14ac:dyDescent="0.25">
      <c r="A214" s="26"/>
      <c r="B214" s="25"/>
      <c r="C214" s="25"/>
      <c r="D214" s="25"/>
      <c r="E214" s="26"/>
      <c r="F214" s="26"/>
      <c r="G214" s="26"/>
      <c r="H214" s="26"/>
      <c r="I214" s="26"/>
      <c r="J214" s="25"/>
      <c r="K214" s="25"/>
      <c r="L214" s="25"/>
      <c r="M214" s="25"/>
      <c r="N214" s="25"/>
      <c r="O214" s="25"/>
      <c r="P214" s="25"/>
      <c r="Q214" s="25"/>
      <c r="R214" s="25"/>
      <c r="S214" s="25"/>
      <c r="T214" s="25"/>
      <c r="U214" s="25"/>
      <c r="V214" s="25"/>
      <c r="W214" s="25"/>
      <c r="X214" s="25"/>
      <c r="Y214" s="25"/>
      <c r="Z214" s="25"/>
    </row>
    <row r="215" spans="1:26" ht="14.25" customHeight="1" x14ac:dyDescent="0.25">
      <c r="A215" s="26"/>
      <c r="B215" s="25"/>
      <c r="C215" s="25"/>
      <c r="D215" s="25"/>
      <c r="E215" s="26"/>
      <c r="F215" s="26"/>
      <c r="G215" s="26"/>
      <c r="H215" s="26"/>
      <c r="I215" s="26"/>
      <c r="J215" s="25"/>
      <c r="K215" s="25"/>
      <c r="L215" s="25"/>
      <c r="M215" s="25"/>
      <c r="N215" s="25"/>
      <c r="O215" s="25"/>
      <c r="P215" s="25"/>
      <c r="Q215" s="25"/>
      <c r="R215" s="25"/>
      <c r="S215" s="25"/>
      <c r="T215" s="25"/>
      <c r="U215" s="25"/>
      <c r="V215" s="25"/>
      <c r="W215" s="25"/>
      <c r="X215" s="25"/>
      <c r="Y215" s="25"/>
      <c r="Z215" s="25"/>
    </row>
    <row r="216" spans="1:26" ht="14.25" customHeight="1" x14ac:dyDescent="0.25">
      <c r="A216" s="26"/>
      <c r="B216" s="25"/>
      <c r="C216" s="25"/>
      <c r="D216" s="25"/>
      <c r="E216" s="26"/>
      <c r="F216" s="26"/>
      <c r="G216" s="26"/>
      <c r="H216" s="26"/>
      <c r="I216" s="26"/>
      <c r="J216" s="25"/>
      <c r="K216" s="25"/>
      <c r="L216" s="25"/>
      <c r="M216" s="25"/>
      <c r="N216" s="25"/>
      <c r="O216" s="25"/>
      <c r="P216" s="25"/>
      <c r="Q216" s="25"/>
      <c r="R216" s="25"/>
      <c r="S216" s="25"/>
      <c r="T216" s="25"/>
      <c r="U216" s="25"/>
      <c r="V216" s="25"/>
      <c r="W216" s="25"/>
      <c r="X216" s="25"/>
      <c r="Y216" s="25"/>
      <c r="Z216" s="25"/>
    </row>
    <row r="217" spans="1:26" ht="14.25" customHeight="1" x14ac:dyDescent="0.25">
      <c r="A217" s="26"/>
      <c r="B217" s="25"/>
      <c r="C217" s="25"/>
      <c r="D217" s="25"/>
      <c r="E217" s="26"/>
      <c r="F217" s="26"/>
      <c r="G217" s="26"/>
      <c r="H217" s="26"/>
      <c r="I217" s="26"/>
      <c r="J217" s="25"/>
      <c r="K217" s="25"/>
      <c r="L217" s="25"/>
      <c r="M217" s="25"/>
      <c r="N217" s="25"/>
      <c r="O217" s="25"/>
      <c r="P217" s="25"/>
      <c r="Q217" s="25"/>
      <c r="R217" s="25"/>
      <c r="S217" s="25"/>
      <c r="T217" s="25"/>
      <c r="U217" s="25"/>
      <c r="V217" s="25"/>
      <c r="W217" s="25"/>
      <c r="X217" s="25"/>
      <c r="Y217" s="25"/>
      <c r="Z217" s="25"/>
    </row>
    <row r="218" spans="1:26" ht="14.25" customHeight="1" x14ac:dyDescent="0.25">
      <c r="A218" s="26"/>
      <c r="B218" s="25"/>
      <c r="C218" s="25"/>
      <c r="D218" s="25"/>
      <c r="E218" s="26"/>
      <c r="F218" s="26"/>
      <c r="G218" s="26"/>
      <c r="H218" s="26"/>
      <c r="I218" s="26"/>
      <c r="J218" s="25"/>
      <c r="K218" s="25"/>
      <c r="L218" s="25"/>
      <c r="M218" s="25"/>
      <c r="N218" s="25"/>
      <c r="O218" s="25"/>
      <c r="P218" s="25"/>
      <c r="Q218" s="25"/>
      <c r="R218" s="25"/>
      <c r="S218" s="25"/>
      <c r="T218" s="25"/>
      <c r="U218" s="25"/>
      <c r="V218" s="25"/>
      <c r="W218" s="25"/>
      <c r="X218" s="25"/>
      <c r="Y218" s="25"/>
      <c r="Z218" s="25"/>
    </row>
    <row r="219" spans="1:26" ht="14.25" customHeight="1" x14ac:dyDescent="0.25">
      <c r="A219" s="26"/>
      <c r="B219" s="25"/>
      <c r="C219" s="25"/>
      <c r="D219" s="25"/>
      <c r="E219" s="26"/>
      <c r="F219" s="26"/>
      <c r="G219" s="26"/>
      <c r="H219" s="26"/>
      <c r="I219" s="26"/>
      <c r="J219" s="25"/>
      <c r="K219" s="25"/>
      <c r="L219" s="25"/>
      <c r="M219" s="25"/>
      <c r="N219" s="25"/>
      <c r="O219" s="25"/>
      <c r="P219" s="25"/>
      <c r="Q219" s="25"/>
      <c r="R219" s="25"/>
      <c r="S219" s="25"/>
      <c r="T219" s="25"/>
      <c r="U219" s="25"/>
      <c r="V219" s="25"/>
      <c r="W219" s="25"/>
      <c r="X219" s="25"/>
      <c r="Y219" s="25"/>
      <c r="Z219" s="25"/>
    </row>
    <row r="220" spans="1:26" ht="14.25" customHeight="1" x14ac:dyDescent="0.25">
      <c r="A220" s="26"/>
      <c r="B220" s="25"/>
      <c r="C220" s="25"/>
      <c r="D220" s="25"/>
      <c r="E220" s="26"/>
      <c r="F220" s="26"/>
      <c r="G220" s="26"/>
      <c r="H220" s="26"/>
      <c r="I220" s="26"/>
      <c r="J220" s="25"/>
      <c r="K220" s="25"/>
      <c r="L220" s="25"/>
      <c r="M220" s="25"/>
      <c r="N220" s="25"/>
      <c r="O220" s="25"/>
      <c r="P220" s="25"/>
      <c r="Q220" s="25"/>
      <c r="R220" s="25"/>
      <c r="S220" s="25"/>
      <c r="T220" s="25"/>
      <c r="U220" s="25"/>
      <c r="V220" s="25"/>
      <c r="W220" s="25"/>
      <c r="X220" s="25"/>
      <c r="Y220" s="25"/>
      <c r="Z220" s="25"/>
    </row>
    <row r="221" spans="1:26" ht="14.25" customHeight="1" x14ac:dyDescent="0.25">
      <c r="A221" s="26"/>
      <c r="B221" s="25"/>
      <c r="C221" s="25"/>
      <c r="D221" s="25"/>
      <c r="E221" s="26"/>
      <c r="F221" s="26"/>
      <c r="G221" s="26"/>
      <c r="H221" s="26"/>
      <c r="I221" s="26"/>
      <c r="J221" s="25"/>
      <c r="K221" s="25"/>
      <c r="L221" s="25"/>
      <c r="M221" s="25"/>
      <c r="N221" s="25"/>
      <c r="O221" s="25"/>
      <c r="P221" s="25"/>
      <c r="Q221" s="25"/>
      <c r="R221" s="25"/>
      <c r="S221" s="25"/>
      <c r="T221" s="25"/>
      <c r="U221" s="25"/>
      <c r="V221" s="25"/>
      <c r="W221" s="25"/>
      <c r="X221" s="25"/>
      <c r="Y221" s="25"/>
      <c r="Z221" s="25"/>
    </row>
    <row r="222" spans="1:26" ht="14.25" customHeight="1" x14ac:dyDescent="0.25">
      <c r="A222" s="26"/>
      <c r="B222" s="25"/>
      <c r="C222" s="25"/>
      <c r="D222" s="25"/>
      <c r="E222" s="26"/>
      <c r="F222" s="26"/>
      <c r="G222" s="26"/>
      <c r="H222" s="26"/>
      <c r="I222" s="26"/>
      <c r="J222" s="25"/>
      <c r="K222" s="25"/>
      <c r="L222" s="25"/>
      <c r="M222" s="25"/>
      <c r="N222" s="25"/>
      <c r="O222" s="25"/>
      <c r="P222" s="25"/>
      <c r="Q222" s="25"/>
      <c r="R222" s="25"/>
      <c r="S222" s="25"/>
      <c r="T222" s="25"/>
      <c r="U222" s="25"/>
      <c r="V222" s="25"/>
      <c r="W222" s="25"/>
      <c r="X222" s="25"/>
      <c r="Y222" s="25"/>
      <c r="Z222" s="25"/>
    </row>
    <row r="223" spans="1:26" ht="14.25" customHeight="1" x14ac:dyDescent="0.25">
      <c r="A223" s="26"/>
      <c r="B223" s="25"/>
      <c r="C223" s="25"/>
      <c r="D223" s="25"/>
      <c r="E223" s="26"/>
      <c r="F223" s="26"/>
      <c r="G223" s="26"/>
      <c r="H223" s="26"/>
      <c r="I223" s="26"/>
      <c r="J223" s="25"/>
      <c r="K223" s="25"/>
      <c r="L223" s="25"/>
      <c r="M223" s="25"/>
      <c r="N223" s="25"/>
      <c r="O223" s="25"/>
      <c r="P223" s="25"/>
      <c r="Q223" s="25"/>
      <c r="R223" s="25"/>
      <c r="S223" s="25"/>
      <c r="T223" s="25"/>
      <c r="U223" s="25"/>
      <c r="V223" s="25"/>
      <c r="W223" s="25"/>
      <c r="X223" s="25"/>
      <c r="Y223" s="25"/>
      <c r="Z223" s="25"/>
    </row>
    <row r="224" spans="1:26" ht="14.25" customHeight="1" x14ac:dyDescent="0.25">
      <c r="A224" s="26"/>
      <c r="B224" s="25"/>
      <c r="C224" s="25"/>
      <c r="D224" s="25"/>
      <c r="E224" s="26"/>
      <c r="F224" s="26"/>
      <c r="G224" s="26"/>
      <c r="H224" s="26"/>
      <c r="I224" s="26"/>
      <c r="J224" s="25"/>
      <c r="K224" s="25"/>
      <c r="L224" s="25"/>
      <c r="M224" s="25"/>
      <c r="N224" s="25"/>
      <c r="O224" s="25"/>
      <c r="P224" s="25"/>
      <c r="Q224" s="25"/>
      <c r="R224" s="25"/>
      <c r="S224" s="25"/>
      <c r="T224" s="25"/>
      <c r="U224" s="25"/>
      <c r="V224" s="25"/>
      <c r="W224" s="25"/>
      <c r="X224" s="25"/>
      <c r="Y224" s="25"/>
      <c r="Z224" s="25"/>
    </row>
    <row r="225" spans="1:26" ht="14.25" customHeight="1" x14ac:dyDescent="0.25">
      <c r="A225" s="26"/>
      <c r="B225" s="25"/>
      <c r="C225" s="25"/>
      <c r="D225" s="25"/>
      <c r="E225" s="26"/>
      <c r="F225" s="26"/>
      <c r="G225" s="26"/>
      <c r="H225" s="26"/>
      <c r="I225" s="26"/>
      <c r="J225" s="25"/>
      <c r="K225" s="25"/>
      <c r="L225" s="25"/>
      <c r="M225" s="25"/>
      <c r="N225" s="25"/>
      <c r="O225" s="25"/>
      <c r="P225" s="25"/>
      <c r="Q225" s="25"/>
      <c r="R225" s="25"/>
      <c r="S225" s="25"/>
      <c r="T225" s="25"/>
      <c r="U225" s="25"/>
      <c r="V225" s="25"/>
      <c r="W225" s="25"/>
      <c r="X225" s="25"/>
      <c r="Y225" s="25"/>
      <c r="Z225" s="25"/>
    </row>
    <row r="226" spans="1:26" ht="14.25" customHeight="1" x14ac:dyDescent="0.25">
      <c r="A226" s="26"/>
      <c r="B226" s="25"/>
      <c r="C226" s="25"/>
      <c r="D226" s="25"/>
      <c r="E226" s="26"/>
      <c r="F226" s="26"/>
      <c r="G226" s="26"/>
      <c r="H226" s="26"/>
      <c r="I226" s="26"/>
      <c r="J226" s="25"/>
      <c r="K226" s="25"/>
      <c r="L226" s="25"/>
      <c r="M226" s="25"/>
      <c r="N226" s="25"/>
      <c r="O226" s="25"/>
      <c r="P226" s="25"/>
      <c r="Q226" s="25"/>
      <c r="R226" s="25"/>
      <c r="S226" s="25"/>
      <c r="T226" s="25"/>
      <c r="U226" s="25"/>
      <c r="V226" s="25"/>
      <c r="W226" s="25"/>
      <c r="X226" s="25"/>
      <c r="Y226" s="25"/>
      <c r="Z226" s="25"/>
    </row>
    <row r="227" spans="1:26" ht="14.25" customHeight="1" x14ac:dyDescent="0.25">
      <c r="A227" s="26"/>
      <c r="B227" s="25"/>
      <c r="C227" s="25"/>
      <c r="D227" s="25"/>
      <c r="E227" s="26"/>
      <c r="F227" s="26"/>
      <c r="G227" s="26"/>
      <c r="H227" s="26"/>
      <c r="I227" s="26"/>
      <c r="J227" s="25"/>
      <c r="K227" s="25"/>
      <c r="L227" s="25"/>
      <c r="M227" s="25"/>
      <c r="N227" s="25"/>
      <c r="O227" s="25"/>
      <c r="P227" s="25"/>
      <c r="Q227" s="25"/>
      <c r="R227" s="25"/>
      <c r="S227" s="25"/>
      <c r="T227" s="25"/>
      <c r="U227" s="25"/>
      <c r="V227" s="25"/>
      <c r="W227" s="25"/>
      <c r="X227" s="25"/>
      <c r="Y227" s="25"/>
      <c r="Z227" s="25"/>
    </row>
    <row r="228" spans="1:26" ht="14.25" customHeight="1" x14ac:dyDescent="0.25">
      <c r="A228" s="26"/>
      <c r="B228" s="25"/>
      <c r="C228" s="25"/>
      <c r="D228" s="25"/>
      <c r="E228" s="26"/>
      <c r="F228" s="26"/>
      <c r="G228" s="26"/>
      <c r="H228" s="26"/>
      <c r="I228" s="26"/>
      <c r="J228" s="25"/>
      <c r="K228" s="25"/>
      <c r="L228" s="25"/>
      <c r="M228" s="25"/>
      <c r="N228" s="25"/>
      <c r="O228" s="25"/>
      <c r="P228" s="25"/>
      <c r="Q228" s="25"/>
      <c r="R228" s="25"/>
      <c r="S228" s="25"/>
      <c r="T228" s="25"/>
      <c r="U228" s="25"/>
      <c r="V228" s="25"/>
      <c r="W228" s="25"/>
      <c r="X228" s="25"/>
      <c r="Y228" s="25"/>
      <c r="Z228" s="25"/>
    </row>
    <row r="229" spans="1:26" ht="14.25" customHeight="1" x14ac:dyDescent="0.25">
      <c r="A229" s="26"/>
      <c r="B229" s="25"/>
      <c r="C229" s="25"/>
      <c r="D229" s="25"/>
      <c r="E229" s="26"/>
      <c r="F229" s="26"/>
      <c r="G229" s="26"/>
      <c r="H229" s="26"/>
      <c r="I229" s="26"/>
      <c r="J229" s="25"/>
      <c r="K229" s="25"/>
      <c r="L229" s="25"/>
      <c r="M229" s="25"/>
      <c r="N229" s="25"/>
      <c r="O229" s="25"/>
      <c r="P229" s="25"/>
      <c r="Q229" s="25"/>
      <c r="R229" s="25"/>
      <c r="S229" s="25"/>
      <c r="T229" s="25"/>
      <c r="U229" s="25"/>
      <c r="V229" s="25"/>
      <c r="W229" s="25"/>
      <c r="X229" s="25"/>
      <c r="Y229" s="25"/>
      <c r="Z229" s="25"/>
    </row>
    <row r="230" spans="1:26" ht="14.25" customHeight="1" x14ac:dyDescent="0.25">
      <c r="A230" s="26"/>
      <c r="B230" s="25"/>
      <c r="C230" s="25"/>
      <c r="D230" s="25"/>
      <c r="E230" s="26"/>
      <c r="F230" s="26"/>
      <c r="G230" s="26"/>
      <c r="H230" s="26"/>
      <c r="I230" s="26"/>
      <c r="J230" s="25"/>
      <c r="K230" s="25"/>
      <c r="L230" s="25"/>
      <c r="M230" s="25"/>
      <c r="N230" s="25"/>
      <c r="O230" s="25"/>
      <c r="P230" s="25"/>
      <c r="Q230" s="25"/>
      <c r="R230" s="25"/>
      <c r="S230" s="25"/>
      <c r="T230" s="25"/>
      <c r="U230" s="25"/>
      <c r="V230" s="25"/>
      <c r="W230" s="25"/>
      <c r="X230" s="25"/>
      <c r="Y230" s="25"/>
      <c r="Z230" s="25"/>
    </row>
    <row r="231" spans="1:26" ht="14.25" customHeight="1" x14ac:dyDescent="0.25">
      <c r="A231" s="26"/>
      <c r="B231" s="25"/>
      <c r="C231" s="25"/>
      <c r="D231" s="25"/>
      <c r="E231" s="26"/>
      <c r="F231" s="26"/>
      <c r="G231" s="26"/>
      <c r="H231" s="26"/>
      <c r="I231" s="26"/>
      <c r="J231" s="25"/>
      <c r="K231" s="25"/>
      <c r="L231" s="25"/>
      <c r="M231" s="25"/>
      <c r="N231" s="25"/>
      <c r="O231" s="25"/>
      <c r="P231" s="25"/>
      <c r="Q231" s="25"/>
      <c r="R231" s="25"/>
      <c r="S231" s="25"/>
      <c r="T231" s="25"/>
      <c r="U231" s="25"/>
      <c r="V231" s="25"/>
      <c r="W231" s="25"/>
      <c r="X231" s="25"/>
      <c r="Y231" s="25"/>
      <c r="Z231" s="25"/>
    </row>
    <row r="232" spans="1:26" ht="14.25" customHeight="1" x14ac:dyDescent="0.25">
      <c r="A232" s="26"/>
      <c r="B232" s="25"/>
      <c r="C232" s="25"/>
      <c r="D232" s="25"/>
      <c r="E232" s="26"/>
      <c r="F232" s="26"/>
      <c r="G232" s="26"/>
      <c r="H232" s="26"/>
      <c r="I232" s="26"/>
      <c r="J232" s="25"/>
      <c r="K232" s="25"/>
      <c r="L232" s="25"/>
      <c r="M232" s="25"/>
      <c r="N232" s="25"/>
      <c r="O232" s="25"/>
      <c r="P232" s="25"/>
      <c r="Q232" s="25"/>
      <c r="R232" s="25"/>
      <c r="S232" s="25"/>
      <c r="T232" s="25"/>
      <c r="U232" s="25"/>
      <c r="V232" s="25"/>
      <c r="W232" s="25"/>
      <c r="X232" s="25"/>
      <c r="Y232" s="25"/>
      <c r="Z232" s="25"/>
    </row>
    <row r="233" spans="1:26" ht="14.25" customHeight="1" x14ac:dyDescent="0.25">
      <c r="A233" s="26"/>
      <c r="B233" s="25"/>
      <c r="C233" s="25"/>
      <c r="D233" s="25"/>
      <c r="E233" s="26"/>
      <c r="F233" s="26"/>
      <c r="G233" s="26"/>
      <c r="H233" s="26"/>
      <c r="I233" s="26"/>
      <c r="J233" s="25"/>
      <c r="K233" s="25"/>
      <c r="L233" s="25"/>
      <c r="M233" s="25"/>
      <c r="N233" s="25"/>
      <c r="O233" s="25"/>
      <c r="P233" s="25"/>
      <c r="Q233" s="25"/>
      <c r="R233" s="25"/>
      <c r="S233" s="25"/>
      <c r="T233" s="25"/>
      <c r="U233" s="25"/>
      <c r="V233" s="25"/>
      <c r="W233" s="25"/>
      <c r="X233" s="25"/>
      <c r="Y233" s="25"/>
      <c r="Z233" s="25"/>
    </row>
    <row r="234" spans="1:26" ht="14.25" customHeight="1" x14ac:dyDescent="0.25">
      <c r="A234" s="26"/>
      <c r="B234" s="25"/>
      <c r="C234" s="25"/>
      <c r="D234" s="25"/>
      <c r="E234" s="26"/>
      <c r="F234" s="26"/>
      <c r="G234" s="26"/>
      <c r="H234" s="26"/>
      <c r="I234" s="26"/>
      <c r="J234" s="25"/>
      <c r="K234" s="25"/>
      <c r="L234" s="25"/>
      <c r="M234" s="25"/>
      <c r="N234" s="25"/>
      <c r="O234" s="25"/>
      <c r="P234" s="25"/>
      <c r="Q234" s="25"/>
      <c r="R234" s="25"/>
      <c r="S234" s="25"/>
      <c r="T234" s="25"/>
      <c r="U234" s="25"/>
      <c r="V234" s="25"/>
      <c r="W234" s="25"/>
      <c r="X234" s="25"/>
      <c r="Y234" s="25"/>
      <c r="Z234" s="25"/>
    </row>
    <row r="235" spans="1:26" ht="14.25" customHeight="1" x14ac:dyDescent="0.25">
      <c r="A235" s="26"/>
      <c r="B235" s="25"/>
      <c r="C235" s="25"/>
      <c r="D235" s="25"/>
      <c r="E235" s="26"/>
      <c r="F235" s="26"/>
      <c r="G235" s="26"/>
      <c r="H235" s="26"/>
      <c r="I235" s="26"/>
      <c r="J235" s="25"/>
      <c r="K235" s="25"/>
      <c r="L235" s="25"/>
      <c r="M235" s="25"/>
      <c r="N235" s="25"/>
      <c r="O235" s="25"/>
      <c r="P235" s="25"/>
      <c r="Q235" s="25"/>
      <c r="R235" s="25"/>
      <c r="S235" s="25"/>
      <c r="T235" s="25"/>
      <c r="U235" s="25"/>
      <c r="V235" s="25"/>
      <c r="W235" s="25"/>
      <c r="X235" s="25"/>
      <c r="Y235" s="25"/>
      <c r="Z235" s="25"/>
    </row>
    <row r="236" spans="1:26" ht="14.25" customHeight="1" x14ac:dyDescent="0.25">
      <c r="A236" s="26"/>
      <c r="B236" s="25"/>
      <c r="C236" s="25"/>
      <c r="D236" s="25"/>
      <c r="E236" s="26"/>
      <c r="F236" s="26"/>
      <c r="G236" s="26"/>
      <c r="H236" s="26"/>
      <c r="I236" s="26"/>
      <c r="J236" s="25"/>
      <c r="K236" s="25"/>
      <c r="L236" s="25"/>
      <c r="M236" s="25"/>
      <c r="N236" s="25"/>
      <c r="O236" s="25"/>
      <c r="P236" s="25"/>
      <c r="Q236" s="25"/>
      <c r="R236" s="25"/>
      <c r="S236" s="25"/>
      <c r="T236" s="25"/>
      <c r="U236" s="25"/>
      <c r="V236" s="25"/>
      <c r="W236" s="25"/>
      <c r="X236" s="25"/>
      <c r="Y236" s="25"/>
      <c r="Z236" s="25"/>
    </row>
    <row r="237" spans="1:26" ht="14.25" customHeight="1" x14ac:dyDescent="0.25">
      <c r="A237" s="26"/>
      <c r="B237" s="25"/>
      <c r="C237" s="25"/>
      <c r="D237" s="25"/>
      <c r="E237" s="26"/>
      <c r="F237" s="26"/>
      <c r="G237" s="26"/>
      <c r="H237" s="26"/>
      <c r="I237" s="26"/>
      <c r="J237" s="25"/>
      <c r="K237" s="25"/>
      <c r="L237" s="25"/>
      <c r="M237" s="25"/>
      <c r="N237" s="25"/>
      <c r="O237" s="25"/>
      <c r="P237" s="25"/>
      <c r="Q237" s="25"/>
      <c r="R237" s="25"/>
      <c r="S237" s="25"/>
      <c r="T237" s="25"/>
      <c r="U237" s="25"/>
      <c r="V237" s="25"/>
      <c r="W237" s="25"/>
      <c r="X237" s="25"/>
      <c r="Y237" s="25"/>
      <c r="Z237" s="25"/>
    </row>
    <row r="238" spans="1:26" ht="14.25" customHeight="1" x14ac:dyDescent="0.25">
      <c r="A238" s="26"/>
      <c r="B238" s="25"/>
      <c r="C238" s="25"/>
      <c r="D238" s="25"/>
      <c r="E238" s="26"/>
      <c r="F238" s="26"/>
      <c r="G238" s="26"/>
      <c r="H238" s="26"/>
      <c r="I238" s="26"/>
      <c r="J238" s="25"/>
      <c r="K238" s="25"/>
      <c r="L238" s="25"/>
      <c r="M238" s="25"/>
      <c r="N238" s="25"/>
      <c r="O238" s="25"/>
      <c r="P238" s="25"/>
      <c r="Q238" s="25"/>
      <c r="R238" s="25"/>
      <c r="S238" s="25"/>
      <c r="T238" s="25"/>
      <c r="U238" s="25"/>
      <c r="V238" s="25"/>
      <c r="W238" s="25"/>
      <c r="X238" s="25"/>
      <c r="Y238" s="25"/>
      <c r="Z238" s="25"/>
    </row>
    <row r="239" spans="1:26" ht="14.25" customHeight="1" x14ac:dyDescent="0.25">
      <c r="A239" s="26"/>
      <c r="B239" s="25"/>
      <c r="C239" s="25"/>
      <c r="D239" s="25"/>
      <c r="E239" s="26"/>
      <c r="F239" s="26"/>
      <c r="G239" s="26"/>
      <c r="H239" s="26"/>
      <c r="I239" s="26"/>
      <c r="J239" s="25"/>
      <c r="K239" s="25"/>
      <c r="L239" s="25"/>
      <c r="M239" s="25"/>
      <c r="N239" s="25"/>
      <c r="O239" s="25"/>
      <c r="P239" s="25"/>
      <c r="Q239" s="25"/>
      <c r="R239" s="25"/>
      <c r="S239" s="25"/>
      <c r="T239" s="25"/>
      <c r="U239" s="25"/>
      <c r="V239" s="25"/>
      <c r="W239" s="25"/>
      <c r="X239" s="25"/>
      <c r="Y239" s="25"/>
      <c r="Z239" s="25"/>
    </row>
    <row r="240" spans="1:26" ht="14.25" customHeight="1" x14ac:dyDescent="0.25">
      <c r="A240" s="26"/>
      <c r="B240" s="25"/>
      <c r="C240" s="25"/>
      <c r="D240" s="25"/>
      <c r="E240" s="26"/>
      <c r="F240" s="26"/>
      <c r="G240" s="26"/>
      <c r="H240" s="26"/>
      <c r="I240" s="26"/>
      <c r="J240" s="25"/>
      <c r="K240" s="25"/>
      <c r="L240" s="25"/>
      <c r="M240" s="25"/>
      <c r="N240" s="25"/>
      <c r="O240" s="25"/>
      <c r="P240" s="25"/>
      <c r="Q240" s="25"/>
      <c r="R240" s="25"/>
      <c r="S240" s="25"/>
      <c r="T240" s="25"/>
      <c r="U240" s="25"/>
      <c r="V240" s="25"/>
      <c r="W240" s="25"/>
      <c r="X240" s="25"/>
      <c r="Y240" s="25"/>
      <c r="Z240" s="25"/>
    </row>
    <row r="241" spans="1:26" ht="14.25" customHeight="1" x14ac:dyDescent="0.25">
      <c r="A241" s="26"/>
      <c r="B241" s="25"/>
      <c r="C241" s="25"/>
      <c r="D241" s="25"/>
      <c r="E241" s="26"/>
      <c r="F241" s="26"/>
      <c r="G241" s="26"/>
      <c r="H241" s="26"/>
      <c r="I241" s="26"/>
      <c r="J241" s="25"/>
      <c r="K241" s="25"/>
      <c r="L241" s="25"/>
      <c r="M241" s="25"/>
      <c r="N241" s="25"/>
      <c r="O241" s="25"/>
      <c r="P241" s="25"/>
      <c r="Q241" s="25"/>
      <c r="R241" s="25"/>
      <c r="S241" s="25"/>
      <c r="T241" s="25"/>
      <c r="U241" s="25"/>
      <c r="V241" s="25"/>
      <c r="W241" s="25"/>
      <c r="X241" s="25"/>
      <c r="Y241" s="25"/>
      <c r="Z241" s="25"/>
    </row>
    <row r="242" spans="1:26" ht="14.25" customHeight="1" x14ac:dyDescent="0.25">
      <c r="A242" s="26"/>
      <c r="B242" s="25"/>
      <c r="C242" s="25"/>
      <c r="D242" s="25"/>
      <c r="E242" s="26"/>
      <c r="F242" s="26"/>
      <c r="G242" s="26"/>
      <c r="H242" s="26"/>
      <c r="I242" s="26"/>
      <c r="J242" s="25"/>
      <c r="K242" s="25"/>
      <c r="L242" s="25"/>
      <c r="M242" s="25"/>
      <c r="N242" s="25"/>
      <c r="O242" s="25"/>
      <c r="P242" s="25"/>
      <c r="Q242" s="25"/>
      <c r="R242" s="25"/>
      <c r="S242" s="25"/>
      <c r="T242" s="25"/>
      <c r="U242" s="25"/>
      <c r="V242" s="25"/>
      <c r="W242" s="25"/>
      <c r="X242" s="25"/>
      <c r="Y242" s="25"/>
      <c r="Z242" s="25"/>
    </row>
    <row r="243" spans="1:26" ht="14.25" customHeight="1" x14ac:dyDescent="0.25">
      <c r="A243" s="26"/>
      <c r="B243" s="25"/>
      <c r="C243" s="25"/>
      <c r="D243" s="25"/>
      <c r="E243" s="26"/>
      <c r="F243" s="26"/>
      <c r="G243" s="26"/>
      <c r="H243" s="26"/>
      <c r="I243" s="26"/>
      <c r="J243" s="25"/>
      <c r="K243" s="25"/>
      <c r="L243" s="25"/>
      <c r="M243" s="25"/>
      <c r="N243" s="25"/>
      <c r="O243" s="25"/>
      <c r="P243" s="25"/>
      <c r="Q243" s="25"/>
      <c r="R243" s="25"/>
      <c r="S243" s="25"/>
      <c r="T243" s="25"/>
      <c r="U243" s="25"/>
      <c r="V243" s="25"/>
      <c r="W243" s="25"/>
      <c r="X243" s="25"/>
      <c r="Y243" s="25"/>
      <c r="Z243" s="25"/>
    </row>
    <row r="244" spans="1:26" ht="14.25" customHeight="1" x14ac:dyDescent="0.25">
      <c r="A244" s="26"/>
      <c r="B244" s="25"/>
      <c r="C244" s="25"/>
      <c r="D244" s="25"/>
      <c r="E244" s="26"/>
      <c r="F244" s="26"/>
      <c r="G244" s="26"/>
      <c r="H244" s="26"/>
      <c r="I244" s="26"/>
      <c r="J244" s="25"/>
      <c r="K244" s="25"/>
      <c r="L244" s="25"/>
      <c r="M244" s="25"/>
      <c r="N244" s="25"/>
      <c r="O244" s="25"/>
      <c r="P244" s="25"/>
      <c r="Q244" s="25"/>
      <c r="R244" s="25"/>
      <c r="S244" s="25"/>
      <c r="T244" s="25"/>
      <c r="U244" s="25"/>
      <c r="V244" s="25"/>
      <c r="W244" s="25"/>
      <c r="X244" s="25"/>
      <c r="Y244" s="25"/>
      <c r="Z244" s="25"/>
    </row>
    <row r="245" spans="1:26" ht="14.25" customHeight="1" x14ac:dyDescent="0.25">
      <c r="A245" s="26"/>
      <c r="B245" s="25"/>
      <c r="C245" s="25"/>
      <c r="D245" s="25"/>
      <c r="E245" s="26"/>
      <c r="F245" s="26"/>
      <c r="G245" s="26"/>
      <c r="H245" s="26"/>
      <c r="I245" s="26"/>
      <c r="J245" s="25"/>
      <c r="K245" s="25"/>
      <c r="L245" s="25"/>
      <c r="M245" s="25"/>
      <c r="N245" s="25"/>
      <c r="O245" s="25"/>
      <c r="P245" s="25"/>
      <c r="Q245" s="25"/>
      <c r="R245" s="25"/>
      <c r="S245" s="25"/>
      <c r="T245" s="25"/>
      <c r="U245" s="25"/>
      <c r="V245" s="25"/>
      <c r="W245" s="25"/>
      <c r="X245" s="25"/>
      <c r="Y245" s="25"/>
      <c r="Z245" s="25"/>
    </row>
    <row r="246" spans="1:26" ht="14.25" customHeight="1" x14ac:dyDescent="0.25">
      <c r="A246" s="26"/>
      <c r="B246" s="25"/>
      <c r="C246" s="25"/>
      <c r="D246" s="25"/>
      <c r="E246" s="26"/>
      <c r="F246" s="26"/>
      <c r="G246" s="26"/>
      <c r="H246" s="26"/>
      <c r="I246" s="26"/>
      <c r="J246" s="25"/>
      <c r="K246" s="25"/>
      <c r="L246" s="25"/>
      <c r="M246" s="25"/>
      <c r="N246" s="25"/>
      <c r="O246" s="25"/>
      <c r="P246" s="25"/>
      <c r="Q246" s="25"/>
      <c r="R246" s="25"/>
      <c r="S246" s="25"/>
      <c r="T246" s="25"/>
      <c r="U246" s="25"/>
      <c r="V246" s="25"/>
      <c r="W246" s="25"/>
      <c r="X246" s="25"/>
      <c r="Y246" s="25"/>
      <c r="Z246" s="25"/>
    </row>
    <row r="247" spans="1:26" ht="14.25" customHeight="1" x14ac:dyDescent="0.25">
      <c r="A247" s="26"/>
      <c r="B247" s="25"/>
      <c r="C247" s="25"/>
      <c r="D247" s="25"/>
      <c r="E247" s="26"/>
      <c r="F247" s="26"/>
      <c r="G247" s="26"/>
      <c r="H247" s="26"/>
      <c r="I247" s="26"/>
      <c r="J247" s="25"/>
      <c r="K247" s="25"/>
      <c r="L247" s="25"/>
      <c r="M247" s="25"/>
      <c r="N247" s="25"/>
      <c r="O247" s="25"/>
      <c r="P247" s="25"/>
      <c r="Q247" s="25"/>
      <c r="R247" s="25"/>
      <c r="S247" s="25"/>
      <c r="T247" s="25"/>
      <c r="U247" s="25"/>
      <c r="V247" s="25"/>
      <c r="W247" s="25"/>
      <c r="X247" s="25"/>
      <c r="Y247" s="25"/>
      <c r="Z247" s="25"/>
    </row>
    <row r="248" spans="1:26" ht="14.25" customHeight="1" x14ac:dyDescent="0.25">
      <c r="A248" s="26"/>
      <c r="B248" s="25"/>
      <c r="C248" s="25"/>
      <c r="D248" s="25"/>
      <c r="E248" s="26"/>
      <c r="F248" s="26"/>
      <c r="G248" s="26"/>
      <c r="H248" s="26"/>
      <c r="I248" s="26"/>
      <c r="J248" s="25"/>
      <c r="K248" s="25"/>
      <c r="L248" s="25"/>
      <c r="M248" s="25"/>
      <c r="N248" s="25"/>
      <c r="O248" s="25"/>
      <c r="P248" s="25"/>
      <c r="Q248" s="25"/>
      <c r="R248" s="25"/>
      <c r="S248" s="25"/>
      <c r="T248" s="25"/>
      <c r="U248" s="25"/>
      <c r="V248" s="25"/>
      <c r="W248" s="25"/>
      <c r="X248" s="25"/>
      <c r="Y248" s="25"/>
      <c r="Z248" s="25"/>
    </row>
    <row r="249" spans="1:26" ht="14.25" customHeight="1" x14ac:dyDescent="0.25">
      <c r="A249" s="26"/>
      <c r="B249" s="25"/>
      <c r="C249" s="25"/>
      <c r="D249" s="25"/>
      <c r="E249" s="26"/>
      <c r="F249" s="26"/>
      <c r="G249" s="26"/>
      <c r="H249" s="26"/>
      <c r="I249" s="26"/>
      <c r="J249" s="25"/>
      <c r="K249" s="25"/>
      <c r="L249" s="25"/>
      <c r="M249" s="25"/>
      <c r="N249" s="25"/>
      <c r="O249" s="25"/>
      <c r="P249" s="25"/>
      <c r="Q249" s="25"/>
      <c r="R249" s="25"/>
      <c r="S249" s="25"/>
      <c r="T249" s="25"/>
      <c r="U249" s="25"/>
      <c r="V249" s="25"/>
      <c r="W249" s="25"/>
      <c r="X249" s="25"/>
      <c r="Y249" s="25"/>
      <c r="Z249" s="25"/>
    </row>
    <row r="250" spans="1:26" ht="14.25" customHeight="1" x14ac:dyDescent="0.25">
      <c r="A250" s="26"/>
      <c r="B250" s="25"/>
      <c r="C250" s="25"/>
      <c r="D250" s="25"/>
      <c r="E250" s="26"/>
      <c r="F250" s="26"/>
      <c r="G250" s="26"/>
      <c r="H250" s="26"/>
      <c r="I250" s="26"/>
      <c r="J250" s="25"/>
      <c r="K250" s="25"/>
      <c r="L250" s="25"/>
      <c r="M250" s="25"/>
      <c r="N250" s="25"/>
      <c r="O250" s="25"/>
      <c r="P250" s="25"/>
      <c r="Q250" s="25"/>
      <c r="R250" s="25"/>
      <c r="S250" s="25"/>
      <c r="T250" s="25"/>
      <c r="U250" s="25"/>
      <c r="V250" s="25"/>
      <c r="W250" s="25"/>
      <c r="X250" s="25"/>
      <c r="Y250" s="25"/>
      <c r="Z250" s="25"/>
    </row>
    <row r="251" spans="1:26" ht="14.25" customHeight="1" x14ac:dyDescent="0.25">
      <c r="A251" s="26"/>
      <c r="B251" s="25"/>
      <c r="C251" s="25"/>
      <c r="D251" s="25"/>
      <c r="E251" s="26"/>
      <c r="F251" s="26"/>
      <c r="G251" s="26"/>
      <c r="H251" s="26"/>
      <c r="I251" s="26"/>
      <c r="J251" s="25"/>
      <c r="K251" s="25"/>
      <c r="L251" s="25"/>
      <c r="M251" s="25"/>
      <c r="N251" s="25"/>
      <c r="O251" s="25"/>
      <c r="P251" s="25"/>
      <c r="Q251" s="25"/>
      <c r="R251" s="25"/>
      <c r="S251" s="25"/>
      <c r="T251" s="25"/>
      <c r="U251" s="25"/>
      <c r="V251" s="25"/>
      <c r="W251" s="25"/>
      <c r="X251" s="25"/>
      <c r="Y251" s="25"/>
      <c r="Z251" s="25"/>
    </row>
    <row r="252" spans="1:26" ht="14.25" customHeight="1" x14ac:dyDescent="0.25">
      <c r="A252" s="26"/>
      <c r="B252" s="25"/>
      <c r="C252" s="25"/>
      <c r="D252" s="25"/>
      <c r="E252" s="26"/>
      <c r="F252" s="26"/>
      <c r="G252" s="26"/>
      <c r="H252" s="26"/>
      <c r="I252" s="26"/>
      <c r="J252" s="25"/>
      <c r="K252" s="25"/>
      <c r="L252" s="25"/>
      <c r="M252" s="25"/>
      <c r="N252" s="25"/>
      <c r="O252" s="25"/>
      <c r="P252" s="25"/>
      <c r="Q252" s="25"/>
      <c r="R252" s="25"/>
      <c r="S252" s="25"/>
      <c r="T252" s="25"/>
      <c r="U252" s="25"/>
      <c r="V252" s="25"/>
      <c r="W252" s="25"/>
      <c r="X252" s="25"/>
      <c r="Y252" s="25"/>
      <c r="Z252" s="25"/>
    </row>
    <row r="253" spans="1:26" ht="14.25" customHeight="1" x14ac:dyDescent="0.25">
      <c r="A253" s="26"/>
      <c r="B253" s="25"/>
      <c r="C253" s="25"/>
      <c r="D253" s="25"/>
      <c r="E253" s="26"/>
      <c r="F253" s="26"/>
      <c r="G253" s="26"/>
      <c r="H253" s="26"/>
      <c r="I253" s="26"/>
      <c r="J253" s="25"/>
      <c r="K253" s="25"/>
      <c r="L253" s="25"/>
      <c r="M253" s="25"/>
      <c r="N253" s="25"/>
      <c r="O253" s="25"/>
      <c r="P253" s="25"/>
      <c r="Q253" s="25"/>
      <c r="R253" s="25"/>
      <c r="S253" s="25"/>
      <c r="T253" s="25"/>
      <c r="U253" s="25"/>
      <c r="V253" s="25"/>
      <c r="W253" s="25"/>
      <c r="X253" s="25"/>
      <c r="Y253" s="25"/>
      <c r="Z253" s="25"/>
    </row>
    <row r="254" spans="1:26" ht="14.25" customHeight="1" x14ac:dyDescent="0.25">
      <c r="A254" s="26"/>
      <c r="B254" s="25"/>
      <c r="C254" s="25"/>
      <c r="D254" s="25"/>
      <c r="E254" s="26"/>
      <c r="F254" s="26"/>
      <c r="G254" s="26"/>
      <c r="H254" s="26"/>
      <c r="I254" s="26"/>
      <c r="J254" s="25"/>
      <c r="K254" s="25"/>
      <c r="L254" s="25"/>
      <c r="M254" s="25"/>
      <c r="N254" s="25"/>
      <c r="O254" s="25"/>
      <c r="P254" s="25"/>
      <c r="Q254" s="25"/>
      <c r="R254" s="25"/>
      <c r="S254" s="25"/>
      <c r="T254" s="25"/>
      <c r="U254" s="25"/>
      <c r="V254" s="25"/>
      <c r="W254" s="25"/>
      <c r="X254" s="25"/>
      <c r="Y254" s="25"/>
      <c r="Z254" s="25"/>
    </row>
    <row r="255" spans="1:26" ht="14.25" customHeight="1" x14ac:dyDescent="0.25">
      <c r="A255" s="26"/>
      <c r="B255" s="25"/>
      <c r="C255" s="25"/>
      <c r="D255" s="25"/>
      <c r="E255" s="26"/>
      <c r="F255" s="26"/>
      <c r="G255" s="26"/>
      <c r="H255" s="26"/>
      <c r="I255" s="26"/>
      <c r="J255" s="25"/>
      <c r="K255" s="25"/>
      <c r="L255" s="25"/>
      <c r="M255" s="25"/>
      <c r="N255" s="25"/>
      <c r="O255" s="25"/>
      <c r="P255" s="25"/>
      <c r="Q255" s="25"/>
      <c r="R255" s="25"/>
      <c r="S255" s="25"/>
      <c r="T255" s="25"/>
      <c r="U255" s="25"/>
      <c r="V255" s="25"/>
      <c r="W255" s="25"/>
      <c r="X255" s="25"/>
      <c r="Y255" s="25"/>
      <c r="Z255" s="25"/>
    </row>
    <row r="256" spans="1:26" ht="14.25" customHeight="1" x14ac:dyDescent="0.25">
      <c r="A256" s="26"/>
      <c r="B256" s="25"/>
      <c r="C256" s="25"/>
      <c r="D256" s="25"/>
      <c r="E256" s="26"/>
      <c r="F256" s="26"/>
      <c r="G256" s="26"/>
      <c r="H256" s="26"/>
      <c r="I256" s="26"/>
      <c r="J256" s="25"/>
      <c r="K256" s="25"/>
      <c r="L256" s="25"/>
      <c r="M256" s="25"/>
      <c r="N256" s="25"/>
      <c r="O256" s="25"/>
      <c r="P256" s="25"/>
      <c r="Q256" s="25"/>
      <c r="R256" s="25"/>
      <c r="S256" s="25"/>
      <c r="T256" s="25"/>
      <c r="U256" s="25"/>
      <c r="V256" s="25"/>
      <c r="W256" s="25"/>
      <c r="X256" s="25"/>
      <c r="Y256" s="25"/>
      <c r="Z256" s="25"/>
    </row>
    <row r="257" spans="1:26" ht="14.25" customHeight="1" x14ac:dyDescent="0.25">
      <c r="A257" s="26"/>
      <c r="B257" s="25"/>
      <c r="C257" s="25"/>
      <c r="D257" s="25"/>
      <c r="E257" s="26"/>
      <c r="F257" s="26"/>
      <c r="G257" s="26"/>
      <c r="H257" s="26"/>
      <c r="I257" s="26"/>
      <c r="J257" s="25"/>
      <c r="K257" s="25"/>
      <c r="L257" s="25"/>
      <c r="M257" s="25"/>
      <c r="N257" s="25"/>
      <c r="O257" s="25"/>
      <c r="P257" s="25"/>
      <c r="Q257" s="25"/>
      <c r="R257" s="25"/>
      <c r="S257" s="25"/>
      <c r="T257" s="25"/>
      <c r="U257" s="25"/>
      <c r="V257" s="25"/>
      <c r="W257" s="25"/>
      <c r="X257" s="25"/>
      <c r="Y257" s="25"/>
      <c r="Z257" s="25"/>
    </row>
    <row r="258" spans="1:26" ht="14.25" customHeight="1" x14ac:dyDescent="0.25">
      <c r="A258" s="26"/>
      <c r="B258" s="25"/>
      <c r="C258" s="25"/>
      <c r="D258" s="25"/>
      <c r="E258" s="26"/>
      <c r="F258" s="26"/>
      <c r="G258" s="26"/>
      <c r="H258" s="26"/>
      <c r="I258" s="26"/>
      <c r="J258" s="25"/>
      <c r="K258" s="25"/>
      <c r="L258" s="25"/>
      <c r="M258" s="25"/>
      <c r="N258" s="25"/>
      <c r="O258" s="25"/>
      <c r="P258" s="25"/>
      <c r="Q258" s="25"/>
      <c r="R258" s="25"/>
      <c r="S258" s="25"/>
      <c r="T258" s="25"/>
      <c r="U258" s="25"/>
      <c r="V258" s="25"/>
      <c r="W258" s="25"/>
      <c r="X258" s="25"/>
      <c r="Y258" s="25"/>
      <c r="Z258" s="25"/>
    </row>
    <row r="259" spans="1:26" ht="14.25" customHeight="1" x14ac:dyDescent="0.25">
      <c r="A259" s="26"/>
      <c r="B259" s="25"/>
      <c r="C259" s="25"/>
      <c r="D259" s="25"/>
      <c r="E259" s="26"/>
      <c r="F259" s="26"/>
      <c r="G259" s="26"/>
      <c r="H259" s="26"/>
      <c r="I259" s="26"/>
      <c r="J259" s="25"/>
      <c r="K259" s="25"/>
      <c r="L259" s="25"/>
      <c r="M259" s="25"/>
      <c r="N259" s="25"/>
      <c r="O259" s="25"/>
      <c r="P259" s="25"/>
      <c r="Q259" s="25"/>
      <c r="R259" s="25"/>
      <c r="S259" s="25"/>
      <c r="T259" s="25"/>
      <c r="U259" s="25"/>
      <c r="V259" s="25"/>
      <c r="W259" s="25"/>
      <c r="X259" s="25"/>
      <c r="Y259" s="25"/>
      <c r="Z259" s="25"/>
    </row>
    <row r="260" spans="1:26" ht="14.25" customHeight="1" x14ac:dyDescent="0.25">
      <c r="A260" s="26"/>
      <c r="B260" s="25"/>
      <c r="C260" s="25"/>
      <c r="D260" s="25"/>
      <c r="E260" s="26"/>
      <c r="F260" s="26"/>
      <c r="G260" s="26"/>
      <c r="H260" s="26"/>
      <c r="I260" s="26"/>
      <c r="J260" s="25"/>
      <c r="K260" s="25"/>
      <c r="L260" s="25"/>
      <c r="M260" s="25"/>
      <c r="N260" s="25"/>
      <c r="O260" s="25"/>
      <c r="P260" s="25"/>
      <c r="Q260" s="25"/>
      <c r="R260" s="25"/>
      <c r="S260" s="25"/>
      <c r="T260" s="25"/>
      <c r="U260" s="25"/>
      <c r="V260" s="25"/>
      <c r="W260" s="25"/>
      <c r="X260" s="25"/>
      <c r="Y260" s="25"/>
      <c r="Z260" s="25"/>
    </row>
    <row r="261" spans="1:26" ht="14.25" customHeight="1" x14ac:dyDescent="0.25">
      <c r="A261" s="26"/>
      <c r="B261" s="25"/>
      <c r="C261" s="25"/>
      <c r="D261" s="25"/>
      <c r="E261" s="26"/>
      <c r="F261" s="26"/>
      <c r="G261" s="26"/>
      <c r="H261" s="26"/>
      <c r="I261" s="26"/>
      <c r="J261" s="25"/>
      <c r="K261" s="25"/>
      <c r="L261" s="25"/>
      <c r="M261" s="25"/>
      <c r="N261" s="25"/>
      <c r="O261" s="25"/>
      <c r="P261" s="25"/>
      <c r="Q261" s="25"/>
      <c r="R261" s="25"/>
      <c r="S261" s="25"/>
      <c r="T261" s="25"/>
      <c r="U261" s="25"/>
      <c r="V261" s="25"/>
      <c r="W261" s="25"/>
      <c r="X261" s="25"/>
      <c r="Y261" s="25"/>
      <c r="Z261" s="25"/>
    </row>
    <row r="262" spans="1:26" ht="14.25" customHeight="1" x14ac:dyDescent="0.25">
      <c r="A262" s="26"/>
      <c r="B262" s="25"/>
      <c r="C262" s="25"/>
      <c r="D262" s="25"/>
      <c r="E262" s="26"/>
      <c r="F262" s="26"/>
      <c r="G262" s="26"/>
      <c r="H262" s="26"/>
      <c r="I262" s="26"/>
      <c r="J262" s="25"/>
      <c r="K262" s="25"/>
      <c r="L262" s="25"/>
      <c r="M262" s="25"/>
      <c r="N262" s="25"/>
      <c r="O262" s="25"/>
      <c r="P262" s="25"/>
      <c r="Q262" s="25"/>
      <c r="R262" s="25"/>
      <c r="S262" s="25"/>
      <c r="T262" s="25"/>
      <c r="U262" s="25"/>
      <c r="V262" s="25"/>
      <c r="W262" s="25"/>
      <c r="X262" s="25"/>
      <c r="Y262" s="25"/>
      <c r="Z262" s="25"/>
    </row>
    <row r="263" spans="1:26" ht="14.25" customHeight="1" x14ac:dyDescent="0.25">
      <c r="A263" s="26"/>
      <c r="B263" s="25"/>
      <c r="C263" s="25"/>
      <c r="D263" s="25"/>
      <c r="E263" s="26"/>
      <c r="F263" s="26"/>
      <c r="G263" s="26"/>
      <c r="H263" s="26"/>
      <c r="I263" s="26"/>
      <c r="J263" s="25"/>
      <c r="K263" s="25"/>
      <c r="L263" s="25"/>
      <c r="M263" s="25"/>
      <c r="N263" s="25"/>
      <c r="O263" s="25"/>
      <c r="P263" s="25"/>
      <c r="Q263" s="25"/>
      <c r="R263" s="25"/>
      <c r="S263" s="25"/>
      <c r="T263" s="25"/>
      <c r="U263" s="25"/>
      <c r="V263" s="25"/>
      <c r="W263" s="25"/>
      <c r="X263" s="25"/>
      <c r="Y263" s="25"/>
      <c r="Z263" s="25"/>
    </row>
    <row r="264" spans="1:26" ht="14.25" customHeight="1" x14ac:dyDescent="0.25">
      <c r="A264" s="26"/>
      <c r="B264" s="25"/>
      <c r="C264" s="25"/>
      <c r="D264" s="25"/>
      <c r="E264" s="26"/>
      <c r="F264" s="26"/>
      <c r="G264" s="26"/>
      <c r="H264" s="26"/>
      <c r="I264" s="26"/>
      <c r="J264" s="25"/>
      <c r="K264" s="25"/>
      <c r="L264" s="25"/>
      <c r="M264" s="25"/>
      <c r="N264" s="25"/>
      <c r="O264" s="25"/>
      <c r="P264" s="25"/>
      <c r="Q264" s="25"/>
      <c r="R264" s="25"/>
      <c r="S264" s="25"/>
      <c r="T264" s="25"/>
      <c r="U264" s="25"/>
      <c r="V264" s="25"/>
      <c r="W264" s="25"/>
      <c r="X264" s="25"/>
      <c r="Y264" s="25"/>
      <c r="Z264" s="25"/>
    </row>
    <row r="265" spans="1:26" ht="14.25" customHeight="1" x14ac:dyDescent="0.25">
      <c r="A265" s="26"/>
      <c r="B265" s="25"/>
      <c r="C265" s="25"/>
      <c r="D265" s="25"/>
      <c r="E265" s="26"/>
      <c r="F265" s="26"/>
      <c r="G265" s="26"/>
      <c r="H265" s="26"/>
      <c r="I265" s="26"/>
      <c r="J265" s="25"/>
      <c r="K265" s="25"/>
      <c r="L265" s="25"/>
      <c r="M265" s="25"/>
      <c r="N265" s="25"/>
      <c r="O265" s="25"/>
      <c r="P265" s="25"/>
      <c r="Q265" s="25"/>
      <c r="R265" s="25"/>
      <c r="S265" s="25"/>
      <c r="T265" s="25"/>
      <c r="U265" s="25"/>
      <c r="V265" s="25"/>
      <c r="W265" s="25"/>
      <c r="X265" s="25"/>
      <c r="Y265" s="25"/>
      <c r="Z265" s="25"/>
    </row>
    <row r="266" spans="1:26" ht="14.25" customHeight="1" x14ac:dyDescent="0.25">
      <c r="A266" s="26"/>
      <c r="B266" s="25"/>
      <c r="C266" s="25"/>
      <c r="D266" s="25"/>
      <c r="E266" s="26"/>
      <c r="F266" s="26"/>
      <c r="G266" s="26"/>
      <c r="H266" s="26"/>
      <c r="I266" s="26"/>
      <c r="J266" s="25"/>
      <c r="K266" s="25"/>
      <c r="L266" s="25"/>
      <c r="M266" s="25"/>
      <c r="N266" s="25"/>
      <c r="O266" s="25"/>
      <c r="P266" s="25"/>
      <c r="Q266" s="25"/>
      <c r="R266" s="25"/>
      <c r="S266" s="25"/>
      <c r="T266" s="25"/>
      <c r="U266" s="25"/>
      <c r="V266" s="25"/>
      <c r="W266" s="25"/>
      <c r="X266" s="25"/>
      <c r="Y266" s="25"/>
      <c r="Z266" s="25"/>
    </row>
    <row r="267" spans="1:26" ht="14.25" customHeight="1" x14ac:dyDescent="0.25">
      <c r="A267" s="26"/>
      <c r="B267" s="25"/>
      <c r="C267" s="25"/>
      <c r="D267" s="25"/>
      <c r="E267" s="26"/>
      <c r="F267" s="26"/>
      <c r="G267" s="26"/>
      <c r="H267" s="26"/>
      <c r="I267" s="26"/>
      <c r="J267" s="25"/>
      <c r="K267" s="25"/>
      <c r="L267" s="25"/>
      <c r="M267" s="25"/>
      <c r="N267" s="25"/>
      <c r="O267" s="25"/>
      <c r="P267" s="25"/>
      <c r="Q267" s="25"/>
      <c r="R267" s="25"/>
      <c r="S267" s="25"/>
      <c r="T267" s="25"/>
      <c r="U267" s="25"/>
      <c r="V267" s="25"/>
      <c r="W267" s="25"/>
      <c r="X267" s="25"/>
      <c r="Y267" s="25"/>
      <c r="Z267" s="25"/>
    </row>
    <row r="268" spans="1:26" ht="14.25" customHeight="1" x14ac:dyDescent="0.25">
      <c r="A268" s="26"/>
      <c r="B268" s="25"/>
      <c r="C268" s="25"/>
      <c r="D268" s="25"/>
      <c r="E268" s="26"/>
      <c r="F268" s="26"/>
      <c r="G268" s="26"/>
      <c r="H268" s="26"/>
      <c r="I268" s="26"/>
      <c r="J268" s="25"/>
      <c r="K268" s="25"/>
      <c r="L268" s="25"/>
      <c r="M268" s="25"/>
      <c r="N268" s="25"/>
      <c r="O268" s="25"/>
      <c r="P268" s="25"/>
      <c r="Q268" s="25"/>
      <c r="R268" s="25"/>
      <c r="S268" s="25"/>
      <c r="T268" s="25"/>
      <c r="U268" s="25"/>
      <c r="V268" s="25"/>
      <c r="W268" s="25"/>
      <c r="X268" s="25"/>
      <c r="Y268" s="25"/>
      <c r="Z268" s="25"/>
    </row>
    <row r="269" spans="1:26" ht="14.25" customHeight="1" x14ac:dyDescent="0.25">
      <c r="A269" s="26"/>
      <c r="B269" s="25"/>
      <c r="C269" s="25"/>
      <c r="D269" s="25"/>
      <c r="E269" s="26"/>
      <c r="F269" s="26"/>
      <c r="G269" s="26"/>
      <c r="H269" s="26"/>
      <c r="I269" s="26"/>
      <c r="J269" s="25"/>
      <c r="K269" s="25"/>
      <c r="L269" s="25"/>
      <c r="M269" s="25"/>
      <c r="N269" s="25"/>
      <c r="O269" s="25"/>
      <c r="P269" s="25"/>
      <c r="Q269" s="25"/>
      <c r="R269" s="25"/>
      <c r="S269" s="25"/>
      <c r="T269" s="25"/>
      <c r="U269" s="25"/>
      <c r="V269" s="25"/>
      <c r="W269" s="25"/>
      <c r="X269" s="25"/>
      <c r="Y269" s="25"/>
      <c r="Z269" s="25"/>
    </row>
    <row r="270" spans="1:26" ht="14.25" customHeight="1" x14ac:dyDescent="0.25">
      <c r="A270" s="26"/>
      <c r="B270" s="25"/>
      <c r="C270" s="25"/>
      <c r="D270" s="25"/>
      <c r="E270" s="26"/>
      <c r="F270" s="26"/>
      <c r="G270" s="26"/>
      <c r="H270" s="26"/>
      <c r="I270" s="26"/>
      <c r="J270" s="25"/>
      <c r="K270" s="25"/>
      <c r="L270" s="25"/>
      <c r="M270" s="25"/>
      <c r="N270" s="25"/>
      <c r="O270" s="25"/>
      <c r="P270" s="25"/>
      <c r="Q270" s="25"/>
      <c r="R270" s="25"/>
      <c r="S270" s="25"/>
      <c r="T270" s="25"/>
      <c r="U270" s="25"/>
      <c r="V270" s="25"/>
      <c r="W270" s="25"/>
      <c r="X270" s="25"/>
      <c r="Y270" s="25"/>
      <c r="Z270" s="25"/>
    </row>
    <row r="271" spans="1:26" ht="14.25" customHeight="1" x14ac:dyDescent="0.25">
      <c r="A271" s="26"/>
      <c r="B271" s="25"/>
      <c r="C271" s="25"/>
      <c r="D271" s="25"/>
      <c r="E271" s="26"/>
      <c r="F271" s="26"/>
      <c r="G271" s="26"/>
      <c r="H271" s="26"/>
      <c r="I271" s="26"/>
      <c r="J271" s="25"/>
      <c r="K271" s="25"/>
      <c r="L271" s="25"/>
      <c r="M271" s="25"/>
      <c r="N271" s="25"/>
      <c r="O271" s="25"/>
      <c r="P271" s="25"/>
      <c r="Q271" s="25"/>
      <c r="R271" s="25"/>
      <c r="S271" s="25"/>
      <c r="T271" s="25"/>
      <c r="U271" s="25"/>
      <c r="V271" s="25"/>
      <c r="W271" s="25"/>
      <c r="X271" s="25"/>
      <c r="Y271" s="25"/>
      <c r="Z271" s="25"/>
    </row>
    <row r="272" spans="1:26" ht="14.25" customHeight="1" x14ac:dyDescent="0.25">
      <c r="A272" s="26"/>
      <c r="B272" s="25"/>
      <c r="C272" s="25"/>
      <c r="D272" s="25"/>
      <c r="E272" s="26"/>
      <c r="F272" s="26"/>
      <c r="G272" s="26"/>
      <c r="H272" s="26"/>
      <c r="I272" s="26"/>
      <c r="J272" s="25"/>
      <c r="K272" s="25"/>
      <c r="L272" s="25"/>
      <c r="M272" s="25"/>
      <c r="N272" s="25"/>
      <c r="O272" s="25"/>
      <c r="P272" s="25"/>
      <c r="Q272" s="25"/>
      <c r="R272" s="25"/>
      <c r="S272" s="25"/>
      <c r="T272" s="25"/>
      <c r="U272" s="25"/>
      <c r="V272" s="25"/>
      <c r="W272" s="25"/>
      <c r="X272" s="25"/>
      <c r="Y272" s="25"/>
      <c r="Z272" s="25"/>
    </row>
    <row r="273" spans="1:26" ht="14.25" customHeight="1" x14ac:dyDescent="0.25">
      <c r="A273" s="26"/>
      <c r="B273" s="25"/>
      <c r="C273" s="25"/>
      <c r="D273" s="25"/>
      <c r="E273" s="26"/>
      <c r="F273" s="26"/>
      <c r="G273" s="26"/>
      <c r="H273" s="26"/>
      <c r="I273" s="26"/>
      <c r="J273" s="25"/>
      <c r="K273" s="25"/>
      <c r="L273" s="25"/>
      <c r="M273" s="25"/>
      <c r="N273" s="25"/>
      <c r="O273" s="25"/>
      <c r="P273" s="25"/>
      <c r="Q273" s="25"/>
      <c r="R273" s="25"/>
      <c r="S273" s="25"/>
      <c r="T273" s="25"/>
      <c r="U273" s="25"/>
      <c r="V273" s="25"/>
      <c r="W273" s="25"/>
      <c r="X273" s="25"/>
      <c r="Y273" s="25"/>
      <c r="Z273" s="25"/>
    </row>
    <row r="274" spans="1:26" ht="14.25" customHeight="1" x14ac:dyDescent="0.25">
      <c r="A274" s="26"/>
      <c r="B274" s="25"/>
      <c r="C274" s="25"/>
      <c r="D274" s="25"/>
      <c r="E274" s="26"/>
      <c r="F274" s="26"/>
      <c r="G274" s="26"/>
      <c r="H274" s="26"/>
      <c r="I274" s="26"/>
      <c r="J274" s="25"/>
      <c r="K274" s="25"/>
      <c r="L274" s="25"/>
      <c r="M274" s="25"/>
      <c r="N274" s="25"/>
      <c r="O274" s="25"/>
      <c r="P274" s="25"/>
      <c r="Q274" s="25"/>
      <c r="R274" s="25"/>
      <c r="S274" s="25"/>
      <c r="T274" s="25"/>
      <c r="U274" s="25"/>
      <c r="V274" s="25"/>
      <c r="W274" s="25"/>
      <c r="X274" s="25"/>
      <c r="Y274" s="25"/>
      <c r="Z274" s="25"/>
    </row>
    <row r="275" spans="1:26" ht="14.25" customHeight="1" x14ac:dyDescent="0.25">
      <c r="A275" s="26"/>
      <c r="B275" s="25"/>
      <c r="C275" s="25"/>
      <c r="D275" s="25"/>
      <c r="E275" s="26"/>
      <c r="F275" s="26"/>
      <c r="G275" s="26"/>
      <c r="H275" s="26"/>
      <c r="I275" s="26"/>
      <c r="J275" s="25"/>
      <c r="K275" s="25"/>
      <c r="L275" s="25"/>
      <c r="M275" s="25"/>
      <c r="N275" s="25"/>
      <c r="O275" s="25"/>
      <c r="P275" s="25"/>
      <c r="Q275" s="25"/>
      <c r="R275" s="25"/>
      <c r="S275" s="25"/>
      <c r="T275" s="25"/>
      <c r="U275" s="25"/>
      <c r="V275" s="25"/>
      <c r="W275" s="25"/>
      <c r="X275" s="25"/>
      <c r="Y275" s="25"/>
      <c r="Z275" s="25"/>
    </row>
    <row r="276" spans="1:26" ht="14.25" customHeight="1" x14ac:dyDescent="0.25">
      <c r="A276" s="26"/>
      <c r="B276" s="25"/>
      <c r="C276" s="25"/>
      <c r="D276" s="25"/>
      <c r="E276" s="26"/>
      <c r="F276" s="26"/>
      <c r="G276" s="26"/>
      <c r="H276" s="26"/>
      <c r="I276" s="26"/>
      <c r="J276" s="25"/>
      <c r="K276" s="25"/>
      <c r="L276" s="25"/>
      <c r="M276" s="25"/>
      <c r="N276" s="25"/>
      <c r="O276" s="25"/>
      <c r="P276" s="25"/>
      <c r="Q276" s="25"/>
      <c r="R276" s="25"/>
      <c r="S276" s="25"/>
      <c r="T276" s="25"/>
      <c r="U276" s="25"/>
      <c r="V276" s="25"/>
      <c r="W276" s="25"/>
      <c r="X276" s="25"/>
      <c r="Y276" s="25"/>
      <c r="Z276" s="25"/>
    </row>
    <row r="277" spans="1:26" ht="14.25" customHeight="1" x14ac:dyDescent="0.25">
      <c r="A277" s="26"/>
      <c r="B277" s="25"/>
      <c r="C277" s="25"/>
      <c r="D277" s="25"/>
      <c r="E277" s="26"/>
      <c r="F277" s="26"/>
      <c r="G277" s="26"/>
      <c r="H277" s="26"/>
      <c r="I277" s="26"/>
      <c r="J277" s="25"/>
      <c r="K277" s="25"/>
      <c r="L277" s="25"/>
      <c r="M277" s="25"/>
      <c r="N277" s="25"/>
      <c r="O277" s="25"/>
      <c r="P277" s="25"/>
      <c r="Q277" s="25"/>
      <c r="R277" s="25"/>
      <c r="S277" s="25"/>
      <c r="T277" s="25"/>
      <c r="U277" s="25"/>
      <c r="V277" s="25"/>
      <c r="W277" s="25"/>
      <c r="X277" s="25"/>
      <c r="Y277" s="25"/>
      <c r="Z277" s="25"/>
    </row>
    <row r="278" spans="1:26" ht="14.25" customHeight="1" x14ac:dyDescent="0.25">
      <c r="A278" s="26"/>
      <c r="B278" s="25"/>
      <c r="C278" s="25"/>
      <c r="D278" s="25"/>
      <c r="E278" s="26"/>
      <c r="F278" s="26"/>
      <c r="G278" s="26"/>
      <c r="H278" s="26"/>
      <c r="I278" s="26"/>
      <c r="J278" s="25"/>
      <c r="K278" s="25"/>
      <c r="L278" s="25"/>
      <c r="M278" s="25"/>
      <c r="N278" s="25"/>
      <c r="O278" s="25"/>
      <c r="P278" s="25"/>
      <c r="Q278" s="25"/>
      <c r="R278" s="25"/>
      <c r="S278" s="25"/>
      <c r="T278" s="25"/>
      <c r="U278" s="25"/>
      <c r="V278" s="25"/>
      <c r="W278" s="25"/>
      <c r="X278" s="25"/>
      <c r="Y278" s="25"/>
      <c r="Z278" s="25"/>
    </row>
    <row r="279" spans="1:26" ht="14.25" customHeight="1" x14ac:dyDescent="0.25">
      <c r="A279" s="26"/>
      <c r="B279" s="25"/>
      <c r="C279" s="25"/>
      <c r="D279" s="25"/>
      <c r="E279" s="26"/>
      <c r="F279" s="26"/>
      <c r="G279" s="26"/>
      <c r="H279" s="26"/>
      <c r="I279" s="26"/>
      <c r="J279" s="25"/>
      <c r="K279" s="25"/>
      <c r="L279" s="25"/>
      <c r="M279" s="25"/>
      <c r="N279" s="25"/>
      <c r="O279" s="25"/>
      <c r="P279" s="25"/>
      <c r="Q279" s="25"/>
      <c r="R279" s="25"/>
      <c r="S279" s="25"/>
      <c r="T279" s="25"/>
      <c r="U279" s="25"/>
      <c r="V279" s="25"/>
      <c r="W279" s="25"/>
      <c r="X279" s="25"/>
      <c r="Y279" s="25"/>
      <c r="Z279" s="25"/>
    </row>
    <row r="280" spans="1:26" ht="14.25" customHeight="1" x14ac:dyDescent="0.25">
      <c r="A280" s="26"/>
      <c r="B280" s="25"/>
      <c r="C280" s="25"/>
      <c r="D280" s="25"/>
      <c r="E280" s="26"/>
      <c r="F280" s="26"/>
      <c r="G280" s="26"/>
      <c r="H280" s="26"/>
      <c r="I280" s="26"/>
      <c r="J280" s="25"/>
      <c r="K280" s="25"/>
      <c r="L280" s="25"/>
      <c r="M280" s="25"/>
      <c r="N280" s="25"/>
      <c r="O280" s="25"/>
      <c r="P280" s="25"/>
      <c r="Q280" s="25"/>
      <c r="R280" s="25"/>
      <c r="S280" s="25"/>
      <c r="T280" s="25"/>
      <c r="U280" s="25"/>
      <c r="V280" s="25"/>
      <c r="W280" s="25"/>
      <c r="X280" s="25"/>
      <c r="Y280" s="25"/>
      <c r="Z280" s="25"/>
    </row>
    <row r="281" spans="1:26" ht="14.25" customHeight="1" x14ac:dyDescent="0.25">
      <c r="A281" s="26"/>
      <c r="B281" s="25"/>
      <c r="C281" s="25"/>
      <c r="D281" s="25"/>
      <c r="E281" s="26"/>
      <c r="F281" s="26"/>
      <c r="G281" s="26"/>
      <c r="H281" s="26"/>
      <c r="I281" s="26"/>
      <c r="J281" s="25"/>
      <c r="K281" s="25"/>
      <c r="L281" s="25"/>
      <c r="M281" s="25"/>
      <c r="N281" s="25"/>
      <c r="O281" s="25"/>
      <c r="P281" s="25"/>
      <c r="Q281" s="25"/>
      <c r="R281" s="25"/>
      <c r="S281" s="25"/>
      <c r="T281" s="25"/>
      <c r="U281" s="25"/>
      <c r="V281" s="25"/>
      <c r="W281" s="25"/>
      <c r="X281" s="25"/>
      <c r="Y281" s="25"/>
      <c r="Z281" s="25"/>
    </row>
    <row r="282" spans="1:26" ht="14.25" customHeight="1" x14ac:dyDescent="0.25">
      <c r="A282" s="26"/>
      <c r="B282" s="25"/>
      <c r="C282" s="25"/>
      <c r="D282" s="25"/>
      <c r="E282" s="26"/>
      <c r="F282" s="26"/>
      <c r="G282" s="26"/>
      <c r="H282" s="26"/>
      <c r="I282" s="26"/>
      <c r="J282" s="25"/>
      <c r="K282" s="25"/>
      <c r="L282" s="25"/>
      <c r="M282" s="25"/>
      <c r="N282" s="25"/>
      <c r="O282" s="25"/>
      <c r="P282" s="25"/>
      <c r="Q282" s="25"/>
      <c r="R282" s="25"/>
      <c r="S282" s="25"/>
      <c r="T282" s="25"/>
      <c r="U282" s="25"/>
      <c r="V282" s="25"/>
      <c r="W282" s="25"/>
      <c r="X282" s="25"/>
      <c r="Y282" s="25"/>
      <c r="Z282" s="25"/>
    </row>
    <row r="283" spans="1:26" ht="14.25" customHeight="1" x14ac:dyDescent="0.25">
      <c r="A283" s="26"/>
      <c r="B283" s="25"/>
      <c r="C283" s="25"/>
      <c r="D283" s="25"/>
      <c r="E283" s="26"/>
      <c r="F283" s="26"/>
      <c r="G283" s="26"/>
      <c r="H283" s="26"/>
      <c r="I283" s="26"/>
      <c r="J283" s="25"/>
      <c r="K283" s="25"/>
      <c r="L283" s="25"/>
      <c r="M283" s="25"/>
      <c r="N283" s="25"/>
      <c r="O283" s="25"/>
      <c r="P283" s="25"/>
      <c r="Q283" s="25"/>
      <c r="R283" s="25"/>
      <c r="S283" s="25"/>
      <c r="T283" s="25"/>
      <c r="U283" s="25"/>
      <c r="V283" s="25"/>
      <c r="W283" s="25"/>
      <c r="X283" s="25"/>
      <c r="Y283" s="25"/>
      <c r="Z283" s="25"/>
    </row>
    <row r="284" spans="1:26" ht="14.25" customHeight="1" x14ac:dyDescent="0.25">
      <c r="A284" s="26"/>
      <c r="B284" s="25"/>
      <c r="C284" s="25"/>
      <c r="D284" s="25"/>
      <c r="E284" s="26"/>
      <c r="F284" s="26"/>
      <c r="G284" s="26"/>
      <c r="H284" s="26"/>
      <c r="I284" s="26"/>
      <c r="J284" s="25"/>
      <c r="K284" s="25"/>
      <c r="L284" s="25"/>
      <c r="M284" s="25"/>
      <c r="N284" s="25"/>
      <c r="O284" s="25"/>
      <c r="P284" s="25"/>
      <c r="Q284" s="25"/>
      <c r="R284" s="25"/>
      <c r="S284" s="25"/>
      <c r="T284" s="25"/>
      <c r="U284" s="25"/>
      <c r="V284" s="25"/>
      <c r="W284" s="25"/>
      <c r="X284" s="25"/>
      <c r="Y284" s="25"/>
      <c r="Z284" s="25"/>
    </row>
    <row r="285" spans="1:26" ht="14.25" customHeight="1" x14ac:dyDescent="0.25">
      <c r="A285" s="26"/>
      <c r="B285" s="25"/>
      <c r="C285" s="25"/>
      <c r="D285" s="25"/>
      <c r="E285" s="26"/>
      <c r="F285" s="26"/>
      <c r="G285" s="26"/>
      <c r="H285" s="26"/>
      <c r="I285" s="26"/>
      <c r="J285" s="25"/>
      <c r="K285" s="25"/>
      <c r="L285" s="25"/>
      <c r="M285" s="25"/>
      <c r="N285" s="25"/>
      <c r="O285" s="25"/>
      <c r="P285" s="25"/>
      <c r="Q285" s="25"/>
      <c r="R285" s="25"/>
      <c r="S285" s="25"/>
      <c r="T285" s="25"/>
      <c r="U285" s="25"/>
      <c r="V285" s="25"/>
      <c r="W285" s="25"/>
      <c r="X285" s="25"/>
      <c r="Y285" s="25"/>
      <c r="Z285" s="25"/>
    </row>
    <row r="286" spans="1:26" ht="14.25" customHeight="1" x14ac:dyDescent="0.25">
      <c r="A286" s="26"/>
      <c r="B286" s="25"/>
      <c r="C286" s="25"/>
      <c r="D286" s="25"/>
      <c r="E286" s="26"/>
      <c r="F286" s="26"/>
      <c r="G286" s="26"/>
      <c r="H286" s="26"/>
      <c r="I286" s="26"/>
      <c r="J286" s="25"/>
      <c r="K286" s="25"/>
      <c r="L286" s="25"/>
      <c r="M286" s="25"/>
      <c r="N286" s="25"/>
      <c r="O286" s="25"/>
      <c r="P286" s="25"/>
      <c r="Q286" s="25"/>
      <c r="R286" s="25"/>
      <c r="S286" s="25"/>
      <c r="T286" s="25"/>
      <c r="U286" s="25"/>
      <c r="V286" s="25"/>
      <c r="W286" s="25"/>
      <c r="X286" s="25"/>
      <c r="Y286" s="25"/>
      <c r="Z286" s="25"/>
    </row>
    <row r="287" spans="1:26" ht="14.25" customHeight="1" x14ac:dyDescent="0.25">
      <c r="A287" s="26"/>
      <c r="B287" s="25"/>
      <c r="C287" s="25"/>
      <c r="D287" s="25"/>
      <c r="E287" s="26"/>
      <c r="F287" s="26"/>
      <c r="G287" s="26"/>
      <c r="H287" s="26"/>
      <c r="I287" s="26"/>
      <c r="J287" s="25"/>
      <c r="K287" s="25"/>
      <c r="L287" s="25"/>
      <c r="M287" s="25"/>
      <c r="N287" s="25"/>
      <c r="O287" s="25"/>
      <c r="P287" s="25"/>
      <c r="Q287" s="25"/>
      <c r="R287" s="25"/>
      <c r="S287" s="25"/>
      <c r="T287" s="25"/>
      <c r="U287" s="25"/>
      <c r="V287" s="25"/>
      <c r="W287" s="25"/>
      <c r="X287" s="25"/>
      <c r="Y287" s="25"/>
      <c r="Z287" s="25"/>
    </row>
    <row r="288" spans="1:26" ht="14.25" customHeight="1" x14ac:dyDescent="0.25">
      <c r="A288" s="26"/>
      <c r="B288" s="25"/>
      <c r="C288" s="25"/>
      <c r="D288" s="25"/>
      <c r="E288" s="26"/>
      <c r="F288" s="26"/>
      <c r="G288" s="26"/>
      <c r="H288" s="26"/>
      <c r="I288" s="26"/>
      <c r="J288" s="25"/>
      <c r="K288" s="25"/>
      <c r="L288" s="25"/>
      <c r="M288" s="25"/>
      <c r="N288" s="25"/>
      <c r="O288" s="25"/>
      <c r="P288" s="25"/>
      <c r="Q288" s="25"/>
      <c r="R288" s="25"/>
      <c r="S288" s="25"/>
      <c r="T288" s="25"/>
      <c r="U288" s="25"/>
      <c r="V288" s="25"/>
      <c r="W288" s="25"/>
      <c r="X288" s="25"/>
      <c r="Y288" s="25"/>
      <c r="Z288" s="25"/>
    </row>
    <row r="289" spans="1:26" ht="14.25" customHeight="1" x14ac:dyDescent="0.25">
      <c r="A289" s="26"/>
      <c r="B289" s="25"/>
      <c r="C289" s="25"/>
      <c r="D289" s="25"/>
      <c r="E289" s="26"/>
      <c r="F289" s="26"/>
      <c r="G289" s="26"/>
      <c r="H289" s="26"/>
      <c r="I289" s="26"/>
      <c r="J289" s="25"/>
      <c r="K289" s="25"/>
      <c r="L289" s="25"/>
      <c r="M289" s="25"/>
      <c r="N289" s="25"/>
      <c r="O289" s="25"/>
      <c r="P289" s="25"/>
      <c r="Q289" s="25"/>
      <c r="R289" s="25"/>
      <c r="S289" s="25"/>
      <c r="T289" s="25"/>
      <c r="U289" s="25"/>
      <c r="V289" s="25"/>
      <c r="W289" s="25"/>
      <c r="X289" s="25"/>
      <c r="Y289" s="25"/>
      <c r="Z289" s="25"/>
    </row>
    <row r="290" spans="1:26" ht="14.25" customHeight="1" x14ac:dyDescent="0.25">
      <c r="A290" s="26"/>
      <c r="B290" s="25"/>
      <c r="C290" s="25"/>
      <c r="D290" s="25"/>
      <c r="E290" s="26"/>
      <c r="F290" s="26"/>
      <c r="G290" s="26"/>
      <c r="H290" s="26"/>
      <c r="I290" s="26"/>
      <c r="J290" s="25"/>
      <c r="K290" s="25"/>
      <c r="L290" s="25"/>
      <c r="M290" s="25"/>
      <c r="N290" s="25"/>
      <c r="O290" s="25"/>
      <c r="P290" s="25"/>
      <c r="Q290" s="25"/>
      <c r="R290" s="25"/>
      <c r="S290" s="25"/>
      <c r="T290" s="25"/>
      <c r="U290" s="25"/>
      <c r="V290" s="25"/>
      <c r="W290" s="25"/>
      <c r="X290" s="25"/>
      <c r="Y290" s="25"/>
      <c r="Z290" s="25"/>
    </row>
    <row r="291" spans="1:26" ht="14.25" customHeight="1" x14ac:dyDescent="0.25">
      <c r="A291" s="26"/>
      <c r="B291" s="25"/>
      <c r="C291" s="25"/>
      <c r="D291" s="25"/>
      <c r="E291" s="26"/>
      <c r="F291" s="26"/>
      <c r="G291" s="26"/>
      <c r="H291" s="26"/>
      <c r="I291" s="26"/>
      <c r="J291" s="25"/>
      <c r="K291" s="25"/>
      <c r="L291" s="25"/>
      <c r="M291" s="25"/>
      <c r="N291" s="25"/>
      <c r="O291" s="25"/>
      <c r="P291" s="25"/>
      <c r="Q291" s="25"/>
      <c r="R291" s="25"/>
      <c r="S291" s="25"/>
      <c r="T291" s="25"/>
      <c r="U291" s="25"/>
      <c r="V291" s="25"/>
      <c r="W291" s="25"/>
      <c r="X291" s="25"/>
      <c r="Y291" s="25"/>
      <c r="Z291" s="25"/>
    </row>
    <row r="292" spans="1:26" ht="14.25" customHeight="1" x14ac:dyDescent="0.25">
      <c r="A292" s="26"/>
      <c r="B292" s="25"/>
      <c r="C292" s="25"/>
      <c r="D292" s="25"/>
      <c r="E292" s="26"/>
      <c r="F292" s="26"/>
      <c r="G292" s="26"/>
      <c r="H292" s="26"/>
      <c r="I292" s="26"/>
      <c r="J292" s="25"/>
      <c r="K292" s="25"/>
      <c r="L292" s="25"/>
      <c r="M292" s="25"/>
      <c r="N292" s="25"/>
      <c r="O292" s="25"/>
      <c r="P292" s="25"/>
      <c r="Q292" s="25"/>
      <c r="R292" s="25"/>
      <c r="S292" s="25"/>
      <c r="T292" s="25"/>
      <c r="U292" s="25"/>
      <c r="V292" s="25"/>
      <c r="W292" s="25"/>
      <c r="X292" s="25"/>
      <c r="Y292" s="25"/>
      <c r="Z292" s="25"/>
    </row>
    <row r="293" spans="1:26" ht="14.25" customHeight="1" x14ac:dyDescent="0.25">
      <c r="A293" s="26"/>
      <c r="B293" s="25"/>
      <c r="C293" s="25"/>
      <c r="D293" s="25"/>
      <c r="E293" s="26"/>
      <c r="F293" s="26"/>
      <c r="G293" s="26"/>
      <c r="H293" s="26"/>
      <c r="I293" s="26"/>
      <c r="J293" s="25"/>
      <c r="K293" s="25"/>
      <c r="L293" s="25"/>
      <c r="M293" s="25"/>
      <c r="N293" s="25"/>
      <c r="O293" s="25"/>
      <c r="P293" s="25"/>
      <c r="Q293" s="25"/>
      <c r="R293" s="25"/>
      <c r="S293" s="25"/>
      <c r="T293" s="25"/>
      <c r="U293" s="25"/>
      <c r="V293" s="25"/>
      <c r="W293" s="25"/>
      <c r="X293" s="25"/>
      <c r="Y293" s="25"/>
      <c r="Z293" s="25"/>
    </row>
    <row r="294" spans="1:26" ht="14.25" customHeight="1" x14ac:dyDescent="0.25">
      <c r="A294" s="26"/>
      <c r="B294" s="25"/>
      <c r="C294" s="25"/>
      <c r="D294" s="25"/>
      <c r="E294" s="26"/>
      <c r="F294" s="26"/>
      <c r="G294" s="26"/>
      <c r="H294" s="26"/>
      <c r="I294" s="26"/>
      <c r="J294" s="25"/>
      <c r="K294" s="25"/>
      <c r="L294" s="25"/>
      <c r="M294" s="25"/>
      <c r="N294" s="25"/>
      <c r="O294" s="25"/>
      <c r="P294" s="25"/>
      <c r="Q294" s="25"/>
      <c r="R294" s="25"/>
      <c r="S294" s="25"/>
      <c r="T294" s="25"/>
      <c r="U294" s="25"/>
      <c r="V294" s="25"/>
      <c r="W294" s="25"/>
      <c r="X294" s="25"/>
      <c r="Y294" s="25"/>
      <c r="Z294" s="25"/>
    </row>
    <row r="295" spans="1:26" ht="14.25" customHeight="1" x14ac:dyDescent="0.25">
      <c r="A295" s="26"/>
      <c r="B295" s="25"/>
      <c r="C295" s="25"/>
      <c r="D295" s="25"/>
      <c r="E295" s="26"/>
      <c r="F295" s="26"/>
      <c r="G295" s="26"/>
      <c r="H295" s="26"/>
      <c r="I295" s="26"/>
      <c r="J295" s="25"/>
      <c r="K295" s="25"/>
      <c r="L295" s="25"/>
      <c r="M295" s="25"/>
      <c r="N295" s="25"/>
      <c r="O295" s="25"/>
      <c r="P295" s="25"/>
      <c r="Q295" s="25"/>
      <c r="R295" s="25"/>
      <c r="S295" s="25"/>
      <c r="T295" s="25"/>
      <c r="U295" s="25"/>
      <c r="V295" s="25"/>
      <c r="W295" s="25"/>
      <c r="X295" s="25"/>
      <c r="Y295" s="25"/>
      <c r="Z295" s="25"/>
    </row>
    <row r="296" spans="1:26" ht="14.25" customHeight="1" x14ac:dyDescent="0.25">
      <c r="A296" s="26"/>
      <c r="B296" s="25"/>
      <c r="C296" s="25"/>
      <c r="D296" s="25"/>
      <c r="E296" s="26"/>
      <c r="F296" s="26"/>
      <c r="G296" s="26"/>
      <c r="H296" s="26"/>
      <c r="I296" s="26"/>
      <c r="J296" s="25"/>
      <c r="K296" s="25"/>
      <c r="L296" s="25"/>
      <c r="M296" s="25"/>
      <c r="N296" s="25"/>
      <c r="O296" s="25"/>
      <c r="P296" s="25"/>
      <c r="Q296" s="25"/>
      <c r="R296" s="25"/>
      <c r="S296" s="25"/>
      <c r="T296" s="25"/>
      <c r="U296" s="25"/>
      <c r="V296" s="25"/>
      <c r="W296" s="25"/>
      <c r="X296" s="25"/>
      <c r="Y296" s="25"/>
      <c r="Z296" s="25"/>
    </row>
    <row r="297" spans="1:26" ht="14.25" customHeight="1" x14ac:dyDescent="0.25">
      <c r="A297" s="26"/>
      <c r="B297" s="25"/>
      <c r="C297" s="25"/>
      <c r="D297" s="25"/>
      <c r="E297" s="26"/>
      <c r="F297" s="26"/>
      <c r="G297" s="26"/>
      <c r="H297" s="26"/>
      <c r="I297" s="26"/>
      <c r="J297" s="25"/>
      <c r="K297" s="25"/>
      <c r="L297" s="25"/>
      <c r="M297" s="25"/>
      <c r="N297" s="25"/>
      <c r="O297" s="25"/>
      <c r="P297" s="25"/>
      <c r="Q297" s="25"/>
      <c r="R297" s="25"/>
      <c r="S297" s="25"/>
      <c r="T297" s="25"/>
      <c r="U297" s="25"/>
      <c r="V297" s="25"/>
      <c r="W297" s="25"/>
      <c r="X297" s="25"/>
      <c r="Y297" s="25"/>
      <c r="Z297" s="25"/>
    </row>
    <row r="298" spans="1:26" ht="14.25" customHeight="1" x14ac:dyDescent="0.25">
      <c r="A298" s="26"/>
      <c r="B298" s="25"/>
      <c r="C298" s="25"/>
      <c r="D298" s="25"/>
      <c r="E298" s="26"/>
      <c r="F298" s="26"/>
      <c r="G298" s="26"/>
      <c r="H298" s="26"/>
      <c r="I298" s="26"/>
      <c r="J298" s="25"/>
      <c r="K298" s="25"/>
      <c r="L298" s="25"/>
      <c r="M298" s="25"/>
      <c r="N298" s="25"/>
      <c r="O298" s="25"/>
      <c r="P298" s="25"/>
      <c r="Q298" s="25"/>
      <c r="R298" s="25"/>
      <c r="S298" s="25"/>
      <c r="T298" s="25"/>
      <c r="U298" s="25"/>
      <c r="V298" s="25"/>
      <c r="W298" s="25"/>
      <c r="X298" s="25"/>
      <c r="Y298" s="25"/>
      <c r="Z298" s="25"/>
    </row>
    <row r="299" spans="1:26" ht="14.25" customHeight="1" x14ac:dyDescent="0.25">
      <c r="A299" s="26"/>
      <c r="B299" s="25"/>
      <c r="C299" s="25"/>
      <c r="D299" s="25"/>
      <c r="E299" s="26"/>
      <c r="F299" s="26"/>
      <c r="G299" s="26"/>
      <c r="H299" s="26"/>
      <c r="I299" s="26"/>
      <c r="J299" s="25"/>
      <c r="K299" s="25"/>
      <c r="L299" s="25"/>
      <c r="M299" s="25"/>
      <c r="N299" s="25"/>
      <c r="O299" s="25"/>
      <c r="P299" s="25"/>
      <c r="Q299" s="25"/>
      <c r="R299" s="25"/>
      <c r="S299" s="25"/>
      <c r="T299" s="25"/>
      <c r="U299" s="25"/>
      <c r="V299" s="25"/>
      <c r="W299" s="25"/>
      <c r="X299" s="25"/>
      <c r="Y299" s="25"/>
      <c r="Z299" s="25"/>
    </row>
    <row r="300" spans="1:26" ht="14.25" customHeight="1" x14ac:dyDescent="0.25">
      <c r="A300" s="26"/>
      <c r="B300" s="25"/>
      <c r="C300" s="25"/>
      <c r="D300" s="25"/>
      <c r="E300" s="26"/>
      <c r="F300" s="26"/>
      <c r="G300" s="26"/>
      <c r="H300" s="26"/>
      <c r="I300" s="26"/>
      <c r="J300" s="25"/>
      <c r="K300" s="25"/>
      <c r="L300" s="25"/>
      <c r="M300" s="25"/>
      <c r="N300" s="25"/>
      <c r="O300" s="25"/>
      <c r="P300" s="25"/>
      <c r="Q300" s="25"/>
      <c r="R300" s="25"/>
      <c r="S300" s="25"/>
      <c r="T300" s="25"/>
      <c r="U300" s="25"/>
      <c r="V300" s="25"/>
      <c r="W300" s="25"/>
      <c r="X300" s="25"/>
      <c r="Y300" s="25"/>
      <c r="Z300" s="25"/>
    </row>
    <row r="301" spans="1:26" ht="14.25" customHeight="1" x14ac:dyDescent="0.25">
      <c r="A301" s="26"/>
      <c r="B301" s="25"/>
      <c r="C301" s="25"/>
      <c r="D301" s="25"/>
      <c r="E301" s="26"/>
      <c r="F301" s="26"/>
      <c r="G301" s="26"/>
      <c r="H301" s="26"/>
      <c r="I301" s="26"/>
      <c r="J301" s="25"/>
      <c r="K301" s="25"/>
      <c r="L301" s="25"/>
      <c r="M301" s="25"/>
      <c r="N301" s="25"/>
      <c r="O301" s="25"/>
      <c r="P301" s="25"/>
      <c r="Q301" s="25"/>
      <c r="R301" s="25"/>
      <c r="S301" s="25"/>
      <c r="T301" s="25"/>
      <c r="U301" s="25"/>
      <c r="V301" s="25"/>
      <c r="W301" s="25"/>
      <c r="X301" s="25"/>
      <c r="Y301" s="25"/>
      <c r="Z301" s="25"/>
    </row>
    <row r="302" spans="1:26" ht="14.25" customHeight="1" x14ac:dyDescent="0.25">
      <c r="A302" s="26"/>
      <c r="B302" s="25"/>
      <c r="C302" s="25"/>
      <c r="D302" s="25"/>
      <c r="E302" s="26"/>
      <c r="F302" s="26"/>
      <c r="G302" s="26"/>
      <c r="H302" s="26"/>
      <c r="I302" s="26"/>
      <c r="J302" s="25"/>
      <c r="K302" s="25"/>
      <c r="L302" s="25"/>
      <c r="M302" s="25"/>
      <c r="N302" s="25"/>
      <c r="O302" s="25"/>
      <c r="P302" s="25"/>
      <c r="Q302" s="25"/>
      <c r="R302" s="25"/>
      <c r="S302" s="25"/>
      <c r="T302" s="25"/>
      <c r="U302" s="25"/>
      <c r="V302" s="25"/>
      <c r="W302" s="25"/>
      <c r="X302" s="25"/>
      <c r="Y302" s="25"/>
      <c r="Z302" s="25"/>
    </row>
    <row r="303" spans="1:26" ht="14.25" customHeight="1" x14ac:dyDescent="0.25">
      <c r="A303" s="26"/>
      <c r="B303" s="25"/>
      <c r="C303" s="25"/>
      <c r="D303" s="25"/>
      <c r="E303" s="26"/>
      <c r="F303" s="26"/>
      <c r="G303" s="26"/>
      <c r="H303" s="26"/>
      <c r="I303" s="26"/>
      <c r="J303" s="25"/>
      <c r="K303" s="25"/>
      <c r="L303" s="25"/>
      <c r="M303" s="25"/>
      <c r="N303" s="25"/>
      <c r="O303" s="25"/>
      <c r="P303" s="25"/>
      <c r="Q303" s="25"/>
      <c r="R303" s="25"/>
      <c r="S303" s="25"/>
      <c r="T303" s="25"/>
      <c r="U303" s="25"/>
      <c r="V303" s="25"/>
      <c r="W303" s="25"/>
      <c r="X303" s="25"/>
      <c r="Y303" s="25"/>
      <c r="Z303" s="25"/>
    </row>
    <row r="304" spans="1:26" ht="14.25" customHeight="1" x14ac:dyDescent="0.25">
      <c r="A304" s="26"/>
      <c r="B304" s="25"/>
      <c r="C304" s="25"/>
      <c r="D304" s="25"/>
      <c r="E304" s="26"/>
      <c r="F304" s="26"/>
      <c r="G304" s="26"/>
      <c r="H304" s="26"/>
      <c r="I304" s="26"/>
      <c r="J304" s="25"/>
      <c r="K304" s="25"/>
      <c r="L304" s="25"/>
      <c r="M304" s="25"/>
      <c r="N304" s="25"/>
      <c r="O304" s="25"/>
      <c r="P304" s="25"/>
      <c r="Q304" s="25"/>
      <c r="R304" s="25"/>
      <c r="S304" s="25"/>
      <c r="T304" s="25"/>
      <c r="U304" s="25"/>
      <c r="V304" s="25"/>
      <c r="W304" s="25"/>
      <c r="X304" s="25"/>
      <c r="Y304" s="25"/>
      <c r="Z304" s="25"/>
    </row>
    <row r="305" spans="1:26" ht="14.25" customHeight="1" x14ac:dyDescent="0.25">
      <c r="A305" s="26"/>
      <c r="B305" s="25"/>
      <c r="C305" s="25"/>
      <c r="D305" s="25"/>
      <c r="E305" s="26"/>
      <c r="F305" s="26"/>
      <c r="G305" s="26"/>
      <c r="H305" s="26"/>
      <c r="I305" s="26"/>
      <c r="J305" s="25"/>
      <c r="K305" s="25"/>
      <c r="L305" s="25"/>
      <c r="M305" s="25"/>
      <c r="N305" s="25"/>
      <c r="O305" s="25"/>
      <c r="P305" s="25"/>
      <c r="Q305" s="25"/>
      <c r="R305" s="25"/>
      <c r="S305" s="25"/>
      <c r="T305" s="25"/>
      <c r="U305" s="25"/>
      <c r="V305" s="25"/>
      <c r="W305" s="25"/>
      <c r="X305" s="25"/>
      <c r="Y305" s="25"/>
      <c r="Z305" s="25"/>
    </row>
    <row r="306" spans="1:26" ht="14.25" customHeight="1" x14ac:dyDescent="0.25">
      <c r="A306" s="26"/>
      <c r="B306" s="25"/>
      <c r="C306" s="25"/>
      <c r="D306" s="25"/>
      <c r="E306" s="26"/>
      <c r="F306" s="26"/>
      <c r="G306" s="26"/>
      <c r="H306" s="26"/>
      <c r="I306" s="26"/>
      <c r="J306" s="25"/>
      <c r="K306" s="25"/>
      <c r="L306" s="25"/>
      <c r="M306" s="25"/>
      <c r="N306" s="25"/>
      <c r="O306" s="25"/>
      <c r="P306" s="25"/>
      <c r="Q306" s="25"/>
      <c r="R306" s="25"/>
      <c r="S306" s="25"/>
      <c r="T306" s="25"/>
      <c r="U306" s="25"/>
      <c r="V306" s="25"/>
      <c r="W306" s="25"/>
      <c r="X306" s="25"/>
      <c r="Y306" s="25"/>
      <c r="Z306" s="25"/>
    </row>
    <row r="307" spans="1:26" ht="14.25" customHeight="1" x14ac:dyDescent="0.25">
      <c r="A307" s="26"/>
      <c r="B307" s="25"/>
      <c r="C307" s="25"/>
      <c r="D307" s="25"/>
      <c r="E307" s="26"/>
      <c r="F307" s="26"/>
      <c r="G307" s="26"/>
      <c r="H307" s="26"/>
      <c r="I307" s="26"/>
      <c r="J307" s="25"/>
      <c r="K307" s="25"/>
      <c r="L307" s="25"/>
      <c r="M307" s="25"/>
      <c r="N307" s="25"/>
      <c r="O307" s="25"/>
      <c r="P307" s="25"/>
      <c r="Q307" s="25"/>
      <c r="R307" s="25"/>
      <c r="S307" s="25"/>
      <c r="T307" s="25"/>
      <c r="U307" s="25"/>
      <c r="V307" s="25"/>
      <c r="W307" s="25"/>
      <c r="X307" s="25"/>
      <c r="Y307" s="25"/>
      <c r="Z307" s="25"/>
    </row>
    <row r="308" spans="1:26" ht="14.25" customHeight="1" x14ac:dyDescent="0.25">
      <c r="A308" s="26"/>
      <c r="B308" s="25"/>
      <c r="C308" s="25"/>
      <c r="D308" s="25"/>
      <c r="E308" s="26"/>
      <c r="F308" s="26"/>
      <c r="G308" s="26"/>
      <c r="H308" s="26"/>
      <c r="I308" s="26"/>
      <c r="J308" s="25"/>
      <c r="K308" s="25"/>
      <c r="L308" s="25"/>
      <c r="M308" s="25"/>
      <c r="N308" s="25"/>
      <c r="O308" s="25"/>
      <c r="P308" s="25"/>
      <c r="Q308" s="25"/>
      <c r="R308" s="25"/>
      <c r="S308" s="25"/>
      <c r="T308" s="25"/>
      <c r="U308" s="25"/>
      <c r="V308" s="25"/>
      <c r="W308" s="25"/>
      <c r="X308" s="25"/>
      <c r="Y308" s="25"/>
      <c r="Z308" s="25"/>
    </row>
    <row r="309" spans="1:26" ht="14.25" customHeight="1" x14ac:dyDescent="0.25">
      <c r="A309" s="26"/>
      <c r="B309" s="25"/>
      <c r="C309" s="25"/>
      <c r="D309" s="25"/>
      <c r="E309" s="26"/>
      <c r="F309" s="26"/>
      <c r="G309" s="26"/>
      <c r="H309" s="26"/>
      <c r="I309" s="26"/>
      <c r="J309" s="25"/>
      <c r="K309" s="25"/>
      <c r="L309" s="25"/>
      <c r="M309" s="25"/>
      <c r="N309" s="25"/>
      <c r="O309" s="25"/>
      <c r="P309" s="25"/>
      <c r="Q309" s="25"/>
      <c r="R309" s="25"/>
      <c r="S309" s="25"/>
      <c r="T309" s="25"/>
      <c r="U309" s="25"/>
      <c r="V309" s="25"/>
      <c r="W309" s="25"/>
      <c r="X309" s="25"/>
      <c r="Y309" s="25"/>
      <c r="Z309" s="25"/>
    </row>
    <row r="310" spans="1:26" ht="14.25" customHeight="1" x14ac:dyDescent="0.25">
      <c r="A310" s="26"/>
      <c r="B310" s="25"/>
      <c r="C310" s="25"/>
      <c r="D310" s="25"/>
      <c r="E310" s="26"/>
      <c r="F310" s="26"/>
      <c r="G310" s="26"/>
      <c r="H310" s="26"/>
      <c r="I310" s="26"/>
      <c r="J310" s="25"/>
      <c r="K310" s="25"/>
      <c r="L310" s="25"/>
      <c r="M310" s="25"/>
      <c r="N310" s="25"/>
      <c r="O310" s="25"/>
      <c r="P310" s="25"/>
      <c r="Q310" s="25"/>
      <c r="R310" s="25"/>
      <c r="S310" s="25"/>
      <c r="T310" s="25"/>
      <c r="U310" s="25"/>
      <c r="V310" s="25"/>
      <c r="W310" s="25"/>
      <c r="X310" s="25"/>
      <c r="Y310" s="25"/>
      <c r="Z310" s="25"/>
    </row>
    <row r="311" spans="1:26" ht="14.25" customHeight="1" x14ac:dyDescent="0.25">
      <c r="A311" s="26"/>
      <c r="B311" s="25"/>
      <c r="C311" s="25"/>
      <c r="D311" s="25"/>
      <c r="E311" s="26"/>
      <c r="F311" s="26"/>
      <c r="G311" s="26"/>
      <c r="H311" s="26"/>
      <c r="I311" s="26"/>
      <c r="J311" s="25"/>
      <c r="K311" s="25"/>
      <c r="L311" s="25"/>
      <c r="M311" s="25"/>
      <c r="N311" s="25"/>
      <c r="O311" s="25"/>
      <c r="P311" s="25"/>
      <c r="Q311" s="25"/>
      <c r="R311" s="25"/>
      <c r="S311" s="25"/>
      <c r="T311" s="25"/>
      <c r="U311" s="25"/>
      <c r="V311" s="25"/>
      <c r="W311" s="25"/>
      <c r="X311" s="25"/>
      <c r="Y311" s="25"/>
      <c r="Z311" s="25"/>
    </row>
    <row r="312" spans="1:26" ht="14.25" customHeight="1" x14ac:dyDescent="0.25">
      <c r="A312" s="26"/>
      <c r="B312" s="25"/>
      <c r="C312" s="25"/>
      <c r="D312" s="25"/>
      <c r="E312" s="26"/>
      <c r="F312" s="26"/>
      <c r="G312" s="26"/>
      <c r="H312" s="26"/>
      <c r="I312" s="26"/>
      <c r="J312" s="25"/>
      <c r="K312" s="25"/>
      <c r="L312" s="25"/>
      <c r="M312" s="25"/>
      <c r="N312" s="25"/>
      <c r="O312" s="25"/>
      <c r="P312" s="25"/>
      <c r="Q312" s="25"/>
      <c r="R312" s="25"/>
      <c r="S312" s="25"/>
      <c r="T312" s="25"/>
      <c r="U312" s="25"/>
      <c r="V312" s="25"/>
      <c r="W312" s="25"/>
      <c r="X312" s="25"/>
      <c r="Y312" s="25"/>
      <c r="Z312" s="25"/>
    </row>
    <row r="313" spans="1:26" ht="14.25" customHeight="1" x14ac:dyDescent="0.25">
      <c r="A313" s="26"/>
      <c r="B313" s="25"/>
      <c r="C313" s="25"/>
      <c r="D313" s="25"/>
      <c r="E313" s="26"/>
      <c r="F313" s="26"/>
      <c r="G313" s="26"/>
      <c r="H313" s="26"/>
      <c r="I313" s="26"/>
      <c r="J313" s="25"/>
      <c r="K313" s="25"/>
      <c r="L313" s="25"/>
      <c r="M313" s="25"/>
      <c r="N313" s="25"/>
      <c r="O313" s="25"/>
      <c r="P313" s="25"/>
      <c r="Q313" s="25"/>
      <c r="R313" s="25"/>
      <c r="S313" s="25"/>
      <c r="T313" s="25"/>
      <c r="U313" s="25"/>
      <c r="V313" s="25"/>
      <c r="W313" s="25"/>
      <c r="X313" s="25"/>
      <c r="Y313" s="25"/>
      <c r="Z313" s="25"/>
    </row>
    <row r="314" spans="1:26" ht="14.25" customHeight="1" x14ac:dyDescent="0.25">
      <c r="A314" s="26"/>
      <c r="B314" s="25"/>
      <c r="C314" s="25"/>
      <c r="D314" s="25"/>
      <c r="E314" s="26"/>
      <c r="F314" s="26"/>
      <c r="G314" s="26"/>
      <c r="H314" s="26"/>
      <c r="I314" s="26"/>
      <c r="J314" s="25"/>
      <c r="K314" s="25"/>
      <c r="L314" s="25"/>
      <c r="M314" s="25"/>
      <c r="N314" s="25"/>
      <c r="O314" s="25"/>
      <c r="P314" s="25"/>
      <c r="Q314" s="25"/>
      <c r="R314" s="25"/>
      <c r="S314" s="25"/>
      <c r="T314" s="25"/>
      <c r="U314" s="25"/>
      <c r="V314" s="25"/>
      <c r="W314" s="25"/>
      <c r="X314" s="25"/>
      <c r="Y314" s="25"/>
      <c r="Z314" s="25"/>
    </row>
    <row r="315" spans="1:26" ht="14.25" customHeight="1" x14ac:dyDescent="0.25">
      <c r="A315" s="26"/>
      <c r="B315" s="25"/>
      <c r="C315" s="25"/>
      <c r="D315" s="25"/>
      <c r="E315" s="26"/>
      <c r="F315" s="26"/>
      <c r="G315" s="26"/>
      <c r="H315" s="26"/>
      <c r="I315" s="26"/>
      <c r="J315" s="25"/>
      <c r="K315" s="25"/>
      <c r="L315" s="25"/>
      <c r="M315" s="25"/>
      <c r="N315" s="25"/>
      <c r="O315" s="25"/>
      <c r="P315" s="25"/>
      <c r="Q315" s="25"/>
      <c r="R315" s="25"/>
      <c r="S315" s="25"/>
      <c r="T315" s="25"/>
      <c r="U315" s="25"/>
      <c r="V315" s="25"/>
      <c r="W315" s="25"/>
      <c r="X315" s="25"/>
      <c r="Y315" s="25"/>
      <c r="Z315" s="25"/>
    </row>
    <row r="316" spans="1:26" ht="14.25" customHeight="1" x14ac:dyDescent="0.25">
      <c r="A316" s="26"/>
      <c r="B316" s="25"/>
      <c r="C316" s="25"/>
      <c r="D316" s="25"/>
      <c r="E316" s="26"/>
      <c r="F316" s="26"/>
      <c r="G316" s="26"/>
      <c r="H316" s="26"/>
      <c r="I316" s="26"/>
      <c r="J316" s="25"/>
      <c r="K316" s="25"/>
      <c r="L316" s="25"/>
      <c r="M316" s="25"/>
      <c r="N316" s="25"/>
      <c r="O316" s="25"/>
      <c r="P316" s="25"/>
      <c r="Q316" s="25"/>
      <c r="R316" s="25"/>
      <c r="S316" s="25"/>
      <c r="T316" s="25"/>
      <c r="U316" s="25"/>
      <c r="V316" s="25"/>
      <c r="W316" s="25"/>
      <c r="X316" s="25"/>
      <c r="Y316" s="25"/>
      <c r="Z316" s="25"/>
    </row>
    <row r="317" spans="1:26" ht="14.25" customHeight="1" x14ac:dyDescent="0.25">
      <c r="A317" s="26"/>
      <c r="B317" s="25"/>
      <c r="C317" s="25"/>
      <c r="D317" s="25"/>
      <c r="E317" s="26"/>
      <c r="F317" s="26"/>
      <c r="G317" s="26"/>
      <c r="H317" s="26"/>
      <c r="I317" s="26"/>
      <c r="J317" s="25"/>
      <c r="K317" s="25"/>
      <c r="L317" s="25"/>
      <c r="M317" s="25"/>
      <c r="N317" s="25"/>
      <c r="O317" s="25"/>
      <c r="P317" s="25"/>
      <c r="Q317" s="25"/>
      <c r="R317" s="25"/>
      <c r="S317" s="25"/>
      <c r="T317" s="25"/>
      <c r="U317" s="25"/>
      <c r="V317" s="25"/>
      <c r="W317" s="25"/>
      <c r="X317" s="25"/>
      <c r="Y317" s="25"/>
      <c r="Z317" s="25"/>
    </row>
    <row r="318" spans="1:26" ht="14.25" customHeight="1" x14ac:dyDescent="0.25">
      <c r="A318" s="26"/>
      <c r="B318" s="25"/>
      <c r="C318" s="25"/>
      <c r="D318" s="25"/>
      <c r="E318" s="26"/>
      <c r="F318" s="26"/>
      <c r="G318" s="26"/>
      <c r="H318" s="26"/>
      <c r="I318" s="26"/>
      <c r="J318" s="25"/>
      <c r="K318" s="25"/>
      <c r="L318" s="25"/>
      <c r="M318" s="25"/>
      <c r="N318" s="25"/>
      <c r="O318" s="25"/>
      <c r="P318" s="25"/>
      <c r="Q318" s="25"/>
      <c r="R318" s="25"/>
      <c r="S318" s="25"/>
      <c r="T318" s="25"/>
      <c r="U318" s="25"/>
      <c r="V318" s="25"/>
      <c r="W318" s="25"/>
      <c r="X318" s="25"/>
      <c r="Y318" s="25"/>
      <c r="Z318" s="25"/>
    </row>
    <row r="319" spans="1:26" ht="14.25" customHeight="1" x14ac:dyDescent="0.25">
      <c r="A319" s="26"/>
      <c r="B319" s="25"/>
      <c r="C319" s="25"/>
      <c r="D319" s="25"/>
      <c r="E319" s="26"/>
      <c r="F319" s="26"/>
      <c r="G319" s="26"/>
      <c r="H319" s="26"/>
      <c r="I319" s="26"/>
      <c r="J319" s="25"/>
      <c r="K319" s="25"/>
      <c r="L319" s="25"/>
      <c r="M319" s="25"/>
      <c r="N319" s="25"/>
      <c r="O319" s="25"/>
      <c r="P319" s="25"/>
      <c r="Q319" s="25"/>
      <c r="R319" s="25"/>
      <c r="S319" s="25"/>
      <c r="T319" s="25"/>
      <c r="U319" s="25"/>
      <c r="V319" s="25"/>
      <c r="W319" s="25"/>
      <c r="X319" s="25"/>
      <c r="Y319" s="25"/>
      <c r="Z319" s="25"/>
    </row>
    <row r="320" spans="1:26" ht="14.25" customHeight="1" x14ac:dyDescent="0.25">
      <c r="A320" s="26"/>
      <c r="B320" s="25"/>
      <c r="C320" s="25"/>
      <c r="D320" s="25"/>
      <c r="E320" s="26"/>
      <c r="F320" s="26"/>
      <c r="G320" s="26"/>
      <c r="H320" s="26"/>
      <c r="I320" s="26"/>
      <c r="J320" s="25"/>
      <c r="K320" s="25"/>
      <c r="L320" s="25"/>
      <c r="M320" s="25"/>
      <c r="N320" s="25"/>
      <c r="O320" s="25"/>
      <c r="P320" s="25"/>
      <c r="Q320" s="25"/>
      <c r="R320" s="25"/>
      <c r="S320" s="25"/>
      <c r="T320" s="25"/>
      <c r="U320" s="25"/>
      <c r="V320" s="25"/>
      <c r="W320" s="25"/>
      <c r="X320" s="25"/>
      <c r="Y320" s="25"/>
      <c r="Z320" s="25"/>
    </row>
    <row r="321" spans="1:26" ht="14.25" customHeight="1" x14ac:dyDescent="0.25">
      <c r="A321" s="26"/>
      <c r="B321" s="25"/>
      <c r="C321" s="25"/>
      <c r="D321" s="25"/>
      <c r="E321" s="26"/>
      <c r="F321" s="26"/>
      <c r="G321" s="26"/>
      <c r="H321" s="26"/>
      <c r="I321" s="26"/>
      <c r="J321" s="25"/>
      <c r="K321" s="25"/>
      <c r="L321" s="25"/>
      <c r="M321" s="25"/>
      <c r="N321" s="25"/>
      <c r="O321" s="25"/>
      <c r="P321" s="25"/>
      <c r="Q321" s="25"/>
      <c r="R321" s="25"/>
      <c r="S321" s="25"/>
      <c r="T321" s="25"/>
      <c r="U321" s="25"/>
      <c r="V321" s="25"/>
      <c r="W321" s="25"/>
      <c r="X321" s="25"/>
      <c r="Y321" s="25"/>
      <c r="Z321" s="25"/>
    </row>
    <row r="322" spans="1:26" ht="14.25" customHeight="1" x14ac:dyDescent="0.25">
      <c r="A322" s="26"/>
      <c r="B322" s="25"/>
      <c r="C322" s="25"/>
      <c r="D322" s="25"/>
      <c r="E322" s="26"/>
      <c r="F322" s="26"/>
      <c r="G322" s="26"/>
      <c r="H322" s="26"/>
      <c r="I322" s="26"/>
      <c r="J322" s="25"/>
      <c r="K322" s="25"/>
      <c r="L322" s="25"/>
      <c r="M322" s="25"/>
      <c r="N322" s="25"/>
      <c r="O322" s="25"/>
      <c r="P322" s="25"/>
      <c r="Q322" s="25"/>
      <c r="R322" s="25"/>
      <c r="S322" s="25"/>
      <c r="T322" s="25"/>
      <c r="U322" s="25"/>
      <c r="V322" s="25"/>
      <c r="W322" s="25"/>
      <c r="X322" s="25"/>
      <c r="Y322" s="25"/>
      <c r="Z322" s="25"/>
    </row>
    <row r="323" spans="1:26" ht="14.25" customHeight="1" x14ac:dyDescent="0.25">
      <c r="A323" s="26"/>
      <c r="B323" s="25"/>
      <c r="C323" s="25"/>
      <c r="D323" s="25"/>
      <c r="E323" s="26"/>
      <c r="F323" s="26"/>
      <c r="G323" s="26"/>
      <c r="H323" s="26"/>
      <c r="I323" s="26"/>
      <c r="J323" s="25"/>
      <c r="K323" s="25"/>
      <c r="L323" s="25"/>
      <c r="M323" s="25"/>
      <c r="N323" s="25"/>
      <c r="O323" s="25"/>
      <c r="P323" s="25"/>
      <c r="Q323" s="25"/>
      <c r="R323" s="25"/>
      <c r="S323" s="25"/>
      <c r="T323" s="25"/>
      <c r="U323" s="25"/>
      <c r="V323" s="25"/>
      <c r="W323" s="25"/>
      <c r="X323" s="25"/>
      <c r="Y323" s="25"/>
      <c r="Z323" s="25"/>
    </row>
    <row r="324" spans="1:26" ht="14.25" customHeight="1" x14ac:dyDescent="0.25">
      <c r="A324" s="26"/>
      <c r="B324" s="25"/>
      <c r="C324" s="25"/>
      <c r="D324" s="25"/>
      <c r="E324" s="26"/>
      <c r="F324" s="26"/>
      <c r="G324" s="26"/>
      <c r="H324" s="26"/>
      <c r="I324" s="26"/>
      <c r="J324" s="25"/>
      <c r="K324" s="25"/>
      <c r="L324" s="25"/>
      <c r="M324" s="25"/>
      <c r="N324" s="25"/>
      <c r="O324" s="25"/>
      <c r="P324" s="25"/>
      <c r="Q324" s="25"/>
      <c r="R324" s="25"/>
      <c r="S324" s="25"/>
      <c r="T324" s="25"/>
      <c r="U324" s="25"/>
      <c r="V324" s="25"/>
      <c r="W324" s="25"/>
      <c r="X324" s="25"/>
      <c r="Y324" s="25"/>
      <c r="Z324" s="25"/>
    </row>
    <row r="325" spans="1:26" ht="14.25" customHeight="1" x14ac:dyDescent="0.25">
      <c r="A325" s="26"/>
      <c r="B325" s="25"/>
      <c r="C325" s="25"/>
      <c r="D325" s="25"/>
      <c r="E325" s="26"/>
      <c r="F325" s="26"/>
      <c r="G325" s="26"/>
      <c r="H325" s="26"/>
      <c r="I325" s="26"/>
      <c r="J325" s="25"/>
      <c r="K325" s="25"/>
      <c r="L325" s="25"/>
      <c r="M325" s="25"/>
      <c r="N325" s="25"/>
      <c r="O325" s="25"/>
      <c r="P325" s="25"/>
      <c r="Q325" s="25"/>
      <c r="R325" s="25"/>
      <c r="S325" s="25"/>
      <c r="T325" s="25"/>
      <c r="U325" s="25"/>
      <c r="V325" s="25"/>
      <c r="W325" s="25"/>
      <c r="X325" s="25"/>
      <c r="Y325" s="25"/>
      <c r="Z325" s="25"/>
    </row>
    <row r="326" spans="1:26" ht="14.25" customHeight="1" x14ac:dyDescent="0.25">
      <c r="A326" s="26"/>
      <c r="B326" s="25"/>
      <c r="C326" s="25"/>
      <c r="D326" s="25"/>
      <c r="E326" s="26"/>
      <c r="F326" s="26"/>
      <c r="G326" s="26"/>
      <c r="H326" s="26"/>
      <c r="I326" s="26"/>
      <c r="J326" s="25"/>
      <c r="K326" s="25"/>
      <c r="L326" s="25"/>
      <c r="M326" s="25"/>
      <c r="N326" s="25"/>
      <c r="O326" s="25"/>
      <c r="P326" s="25"/>
      <c r="Q326" s="25"/>
      <c r="R326" s="25"/>
      <c r="S326" s="25"/>
      <c r="T326" s="25"/>
      <c r="U326" s="25"/>
      <c r="V326" s="25"/>
      <c r="W326" s="25"/>
      <c r="X326" s="25"/>
      <c r="Y326" s="25"/>
      <c r="Z326" s="25"/>
    </row>
    <row r="327" spans="1:26" ht="14.25" customHeight="1" x14ac:dyDescent="0.25">
      <c r="A327" s="26"/>
      <c r="B327" s="25"/>
      <c r="C327" s="25"/>
      <c r="D327" s="25"/>
      <c r="E327" s="26"/>
      <c r="F327" s="26"/>
      <c r="G327" s="26"/>
      <c r="H327" s="26"/>
      <c r="I327" s="26"/>
      <c r="J327" s="25"/>
      <c r="K327" s="25"/>
      <c r="L327" s="25"/>
      <c r="M327" s="25"/>
      <c r="N327" s="25"/>
      <c r="O327" s="25"/>
      <c r="P327" s="25"/>
      <c r="Q327" s="25"/>
      <c r="R327" s="25"/>
      <c r="S327" s="25"/>
      <c r="T327" s="25"/>
      <c r="U327" s="25"/>
      <c r="V327" s="25"/>
      <c r="W327" s="25"/>
      <c r="X327" s="25"/>
      <c r="Y327" s="25"/>
      <c r="Z327" s="25"/>
    </row>
    <row r="328" spans="1:26" ht="14.25" customHeight="1" x14ac:dyDescent="0.25">
      <c r="A328" s="26"/>
      <c r="B328" s="25"/>
      <c r="C328" s="25"/>
      <c r="D328" s="25"/>
      <c r="E328" s="26"/>
      <c r="F328" s="26"/>
      <c r="G328" s="26"/>
      <c r="H328" s="26"/>
      <c r="I328" s="26"/>
      <c r="J328" s="25"/>
      <c r="K328" s="25"/>
      <c r="L328" s="25"/>
      <c r="M328" s="25"/>
      <c r="N328" s="25"/>
      <c r="O328" s="25"/>
      <c r="P328" s="25"/>
      <c r="Q328" s="25"/>
      <c r="R328" s="25"/>
      <c r="S328" s="25"/>
      <c r="T328" s="25"/>
      <c r="U328" s="25"/>
      <c r="V328" s="25"/>
      <c r="W328" s="25"/>
      <c r="X328" s="25"/>
      <c r="Y328" s="25"/>
      <c r="Z328" s="25"/>
    </row>
    <row r="329" spans="1:26" ht="14.25" customHeight="1" x14ac:dyDescent="0.25">
      <c r="A329" s="26"/>
      <c r="B329" s="25"/>
      <c r="C329" s="25"/>
      <c r="D329" s="25"/>
      <c r="E329" s="26"/>
      <c r="F329" s="26"/>
      <c r="G329" s="26"/>
      <c r="H329" s="26"/>
      <c r="I329" s="26"/>
      <c r="J329" s="25"/>
      <c r="K329" s="25"/>
      <c r="L329" s="25"/>
      <c r="M329" s="25"/>
      <c r="N329" s="25"/>
      <c r="O329" s="25"/>
      <c r="P329" s="25"/>
      <c r="Q329" s="25"/>
      <c r="R329" s="25"/>
      <c r="S329" s="25"/>
      <c r="T329" s="25"/>
      <c r="U329" s="25"/>
      <c r="V329" s="25"/>
      <c r="W329" s="25"/>
      <c r="X329" s="25"/>
      <c r="Y329" s="25"/>
      <c r="Z329" s="25"/>
    </row>
    <row r="330" spans="1:26" ht="14.25" customHeight="1" x14ac:dyDescent="0.25">
      <c r="A330" s="26"/>
      <c r="B330" s="25"/>
      <c r="C330" s="25"/>
      <c r="D330" s="25"/>
      <c r="E330" s="26"/>
      <c r="F330" s="26"/>
      <c r="G330" s="26"/>
      <c r="H330" s="26"/>
      <c r="I330" s="26"/>
      <c r="J330" s="25"/>
      <c r="K330" s="25"/>
      <c r="L330" s="25"/>
      <c r="M330" s="25"/>
      <c r="N330" s="25"/>
      <c r="O330" s="25"/>
      <c r="P330" s="25"/>
      <c r="Q330" s="25"/>
      <c r="R330" s="25"/>
      <c r="S330" s="25"/>
      <c r="T330" s="25"/>
      <c r="U330" s="25"/>
      <c r="V330" s="25"/>
      <c r="W330" s="25"/>
      <c r="X330" s="25"/>
      <c r="Y330" s="25"/>
      <c r="Z330" s="25"/>
    </row>
    <row r="331" spans="1:26" ht="14.25" customHeight="1" x14ac:dyDescent="0.25">
      <c r="A331" s="26"/>
      <c r="B331" s="25"/>
      <c r="C331" s="25"/>
      <c r="D331" s="25"/>
      <c r="E331" s="26"/>
      <c r="F331" s="26"/>
      <c r="G331" s="26"/>
      <c r="H331" s="26"/>
      <c r="I331" s="26"/>
      <c r="J331" s="25"/>
      <c r="K331" s="25"/>
      <c r="L331" s="25"/>
      <c r="M331" s="25"/>
      <c r="N331" s="25"/>
      <c r="O331" s="25"/>
      <c r="P331" s="25"/>
      <c r="Q331" s="25"/>
      <c r="R331" s="25"/>
      <c r="S331" s="25"/>
      <c r="T331" s="25"/>
      <c r="U331" s="25"/>
      <c r="V331" s="25"/>
      <c r="W331" s="25"/>
      <c r="X331" s="25"/>
      <c r="Y331" s="25"/>
      <c r="Z331" s="25"/>
    </row>
    <row r="332" spans="1:26" ht="14.25" customHeight="1" x14ac:dyDescent="0.25">
      <c r="A332" s="26"/>
      <c r="B332" s="25"/>
      <c r="C332" s="25"/>
      <c r="D332" s="25"/>
      <c r="E332" s="26"/>
      <c r="F332" s="26"/>
      <c r="G332" s="26"/>
      <c r="H332" s="26"/>
      <c r="I332" s="26"/>
      <c r="J332" s="25"/>
      <c r="K332" s="25"/>
      <c r="L332" s="25"/>
      <c r="M332" s="25"/>
      <c r="N332" s="25"/>
      <c r="O332" s="25"/>
      <c r="P332" s="25"/>
      <c r="Q332" s="25"/>
      <c r="R332" s="25"/>
      <c r="S332" s="25"/>
      <c r="T332" s="25"/>
      <c r="U332" s="25"/>
      <c r="V332" s="25"/>
      <c r="W332" s="25"/>
      <c r="X332" s="25"/>
      <c r="Y332" s="25"/>
      <c r="Z332" s="25"/>
    </row>
    <row r="333" spans="1:26" ht="14.25" customHeight="1" x14ac:dyDescent="0.25">
      <c r="A333" s="26"/>
      <c r="B333" s="25"/>
      <c r="C333" s="25"/>
      <c r="D333" s="25"/>
      <c r="E333" s="26"/>
      <c r="F333" s="26"/>
      <c r="G333" s="26"/>
      <c r="H333" s="26"/>
      <c r="I333" s="26"/>
      <c r="J333" s="25"/>
      <c r="K333" s="25"/>
      <c r="L333" s="25"/>
      <c r="M333" s="25"/>
      <c r="N333" s="25"/>
      <c r="O333" s="25"/>
      <c r="P333" s="25"/>
      <c r="Q333" s="25"/>
      <c r="R333" s="25"/>
      <c r="S333" s="25"/>
      <c r="T333" s="25"/>
      <c r="U333" s="25"/>
      <c r="V333" s="25"/>
      <c r="W333" s="25"/>
      <c r="X333" s="25"/>
      <c r="Y333" s="25"/>
      <c r="Z333" s="25"/>
    </row>
    <row r="334" spans="1:26" ht="14.25" customHeight="1" x14ac:dyDescent="0.25">
      <c r="A334" s="26"/>
      <c r="B334" s="25"/>
      <c r="C334" s="25"/>
      <c r="D334" s="25"/>
      <c r="E334" s="26"/>
      <c r="F334" s="26"/>
      <c r="G334" s="26"/>
      <c r="H334" s="26"/>
      <c r="I334" s="26"/>
      <c r="J334" s="25"/>
      <c r="K334" s="25"/>
      <c r="L334" s="25"/>
      <c r="M334" s="25"/>
      <c r="N334" s="25"/>
      <c r="O334" s="25"/>
      <c r="P334" s="25"/>
      <c r="Q334" s="25"/>
      <c r="R334" s="25"/>
      <c r="S334" s="25"/>
      <c r="T334" s="25"/>
      <c r="U334" s="25"/>
      <c r="V334" s="25"/>
      <c r="W334" s="25"/>
      <c r="X334" s="25"/>
      <c r="Y334" s="25"/>
      <c r="Z334" s="25"/>
    </row>
    <row r="335" spans="1:26" ht="14.25" customHeight="1" x14ac:dyDescent="0.25">
      <c r="A335" s="26"/>
      <c r="B335" s="25"/>
      <c r="C335" s="25"/>
      <c r="D335" s="25"/>
      <c r="E335" s="26"/>
      <c r="F335" s="26"/>
      <c r="G335" s="26"/>
      <c r="H335" s="26"/>
      <c r="I335" s="26"/>
      <c r="J335" s="25"/>
      <c r="K335" s="25"/>
      <c r="L335" s="25"/>
      <c r="M335" s="25"/>
      <c r="N335" s="25"/>
      <c r="O335" s="25"/>
      <c r="P335" s="25"/>
      <c r="Q335" s="25"/>
      <c r="R335" s="25"/>
      <c r="S335" s="25"/>
      <c r="T335" s="25"/>
      <c r="U335" s="25"/>
      <c r="V335" s="25"/>
      <c r="W335" s="25"/>
      <c r="X335" s="25"/>
      <c r="Y335" s="25"/>
      <c r="Z335" s="25"/>
    </row>
    <row r="336" spans="1:26" ht="14.25" customHeight="1" x14ac:dyDescent="0.25">
      <c r="A336" s="26"/>
      <c r="B336" s="25"/>
      <c r="C336" s="25"/>
      <c r="D336" s="25"/>
      <c r="E336" s="26"/>
      <c r="F336" s="26"/>
      <c r="G336" s="26"/>
      <c r="H336" s="26"/>
      <c r="I336" s="26"/>
      <c r="J336" s="25"/>
      <c r="K336" s="25"/>
      <c r="L336" s="25"/>
      <c r="M336" s="25"/>
      <c r="N336" s="25"/>
      <c r="O336" s="25"/>
      <c r="P336" s="25"/>
      <c r="Q336" s="25"/>
      <c r="R336" s="25"/>
      <c r="S336" s="25"/>
      <c r="T336" s="25"/>
      <c r="U336" s="25"/>
      <c r="V336" s="25"/>
      <c r="W336" s="25"/>
      <c r="X336" s="25"/>
      <c r="Y336" s="25"/>
      <c r="Z336" s="25"/>
    </row>
    <row r="337" spans="1:26" ht="14.25" customHeight="1" x14ac:dyDescent="0.25">
      <c r="A337" s="26"/>
      <c r="B337" s="25"/>
      <c r="C337" s="25"/>
      <c r="D337" s="25"/>
      <c r="E337" s="26"/>
      <c r="F337" s="26"/>
      <c r="G337" s="26"/>
      <c r="H337" s="26"/>
      <c r="I337" s="26"/>
      <c r="J337" s="25"/>
      <c r="K337" s="25"/>
      <c r="L337" s="25"/>
      <c r="M337" s="25"/>
      <c r="N337" s="25"/>
      <c r="O337" s="25"/>
      <c r="P337" s="25"/>
      <c r="Q337" s="25"/>
      <c r="R337" s="25"/>
      <c r="S337" s="25"/>
      <c r="T337" s="25"/>
      <c r="U337" s="25"/>
      <c r="V337" s="25"/>
      <c r="W337" s="25"/>
      <c r="X337" s="25"/>
      <c r="Y337" s="25"/>
      <c r="Z337" s="25"/>
    </row>
    <row r="338" spans="1:26" ht="14.25" customHeight="1" x14ac:dyDescent="0.25">
      <c r="A338" s="26"/>
      <c r="B338" s="25"/>
      <c r="C338" s="25"/>
      <c r="D338" s="25"/>
      <c r="E338" s="26"/>
      <c r="F338" s="26"/>
      <c r="G338" s="26"/>
      <c r="H338" s="26"/>
      <c r="I338" s="26"/>
      <c r="J338" s="25"/>
      <c r="K338" s="25"/>
      <c r="L338" s="25"/>
      <c r="M338" s="25"/>
      <c r="N338" s="25"/>
      <c r="O338" s="25"/>
      <c r="P338" s="25"/>
      <c r="Q338" s="25"/>
      <c r="R338" s="25"/>
      <c r="S338" s="25"/>
      <c r="T338" s="25"/>
      <c r="U338" s="25"/>
      <c r="V338" s="25"/>
      <c r="W338" s="25"/>
      <c r="X338" s="25"/>
      <c r="Y338" s="25"/>
      <c r="Z338" s="25"/>
    </row>
    <row r="339" spans="1:26" ht="14.25" customHeight="1" x14ac:dyDescent="0.25">
      <c r="A339" s="26"/>
      <c r="B339" s="25"/>
      <c r="C339" s="25"/>
      <c r="D339" s="25"/>
      <c r="E339" s="26"/>
      <c r="F339" s="26"/>
      <c r="G339" s="26"/>
      <c r="H339" s="26"/>
      <c r="I339" s="26"/>
      <c r="J339" s="25"/>
      <c r="K339" s="25"/>
      <c r="L339" s="25"/>
      <c r="M339" s="25"/>
      <c r="N339" s="25"/>
      <c r="O339" s="25"/>
      <c r="P339" s="25"/>
      <c r="Q339" s="25"/>
      <c r="R339" s="25"/>
      <c r="S339" s="25"/>
      <c r="T339" s="25"/>
      <c r="U339" s="25"/>
      <c r="V339" s="25"/>
      <c r="W339" s="25"/>
      <c r="X339" s="25"/>
      <c r="Y339" s="25"/>
      <c r="Z339" s="25"/>
    </row>
    <row r="340" spans="1:26" ht="14.25" customHeight="1" x14ac:dyDescent="0.25">
      <c r="A340" s="26"/>
      <c r="B340" s="25"/>
      <c r="C340" s="25"/>
      <c r="D340" s="25"/>
      <c r="E340" s="26"/>
      <c r="F340" s="26"/>
      <c r="G340" s="26"/>
      <c r="H340" s="26"/>
      <c r="I340" s="26"/>
      <c r="J340" s="25"/>
      <c r="K340" s="25"/>
      <c r="L340" s="25"/>
      <c r="M340" s="25"/>
      <c r="N340" s="25"/>
      <c r="O340" s="25"/>
      <c r="P340" s="25"/>
      <c r="Q340" s="25"/>
      <c r="R340" s="25"/>
      <c r="S340" s="25"/>
      <c r="T340" s="25"/>
      <c r="U340" s="25"/>
      <c r="V340" s="25"/>
      <c r="W340" s="25"/>
      <c r="X340" s="25"/>
      <c r="Y340" s="25"/>
      <c r="Z340" s="25"/>
    </row>
    <row r="341" spans="1:26" ht="14.25" customHeight="1" x14ac:dyDescent="0.25">
      <c r="A341" s="26"/>
      <c r="B341" s="25"/>
      <c r="C341" s="25"/>
      <c r="D341" s="25"/>
      <c r="E341" s="26"/>
      <c r="F341" s="26"/>
      <c r="G341" s="26"/>
      <c r="H341" s="26"/>
      <c r="I341" s="26"/>
      <c r="J341" s="25"/>
      <c r="K341" s="25"/>
      <c r="L341" s="25"/>
      <c r="M341" s="25"/>
      <c r="N341" s="25"/>
      <c r="O341" s="25"/>
      <c r="P341" s="25"/>
      <c r="Q341" s="25"/>
      <c r="R341" s="25"/>
      <c r="S341" s="25"/>
      <c r="T341" s="25"/>
      <c r="U341" s="25"/>
      <c r="V341" s="25"/>
      <c r="W341" s="25"/>
      <c r="X341" s="25"/>
      <c r="Y341" s="25"/>
      <c r="Z341" s="25"/>
    </row>
    <row r="342" spans="1:26" ht="14.25" customHeight="1" x14ac:dyDescent="0.25">
      <c r="A342" s="26"/>
      <c r="B342" s="25"/>
      <c r="C342" s="25"/>
      <c r="D342" s="25"/>
      <c r="E342" s="26"/>
      <c r="F342" s="26"/>
      <c r="G342" s="26"/>
      <c r="H342" s="26"/>
      <c r="I342" s="26"/>
      <c r="J342" s="25"/>
      <c r="K342" s="25"/>
      <c r="L342" s="25"/>
      <c r="M342" s="25"/>
      <c r="N342" s="25"/>
      <c r="O342" s="25"/>
      <c r="P342" s="25"/>
      <c r="Q342" s="25"/>
      <c r="R342" s="25"/>
      <c r="S342" s="25"/>
      <c r="T342" s="25"/>
      <c r="U342" s="25"/>
      <c r="V342" s="25"/>
      <c r="W342" s="25"/>
      <c r="X342" s="25"/>
      <c r="Y342" s="25"/>
      <c r="Z342" s="25"/>
    </row>
    <row r="343" spans="1:26" ht="14.25" customHeight="1" x14ac:dyDescent="0.25">
      <c r="A343" s="26"/>
      <c r="B343" s="25"/>
      <c r="C343" s="25"/>
      <c r="D343" s="25"/>
      <c r="E343" s="26"/>
      <c r="F343" s="26"/>
      <c r="G343" s="26"/>
      <c r="H343" s="26"/>
      <c r="I343" s="26"/>
      <c r="J343" s="25"/>
      <c r="K343" s="25"/>
      <c r="L343" s="25"/>
      <c r="M343" s="25"/>
      <c r="N343" s="25"/>
      <c r="O343" s="25"/>
      <c r="P343" s="25"/>
      <c r="Q343" s="25"/>
      <c r="R343" s="25"/>
      <c r="S343" s="25"/>
      <c r="T343" s="25"/>
      <c r="U343" s="25"/>
      <c r="V343" s="25"/>
      <c r="W343" s="25"/>
      <c r="X343" s="25"/>
      <c r="Y343" s="25"/>
      <c r="Z343" s="25"/>
    </row>
    <row r="344" spans="1:26" ht="14.25" customHeight="1" x14ac:dyDescent="0.25">
      <c r="A344" s="26"/>
      <c r="B344" s="25"/>
      <c r="C344" s="25"/>
      <c r="D344" s="25"/>
      <c r="E344" s="26"/>
      <c r="F344" s="26"/>
      <c r="G344" s="26"/>
      <c r="H344" s="26"/>
      <c r="I344" s="26"/>
      <c r="J344" s="25"/>
      <c r="K344" s="25"/>
      <c r="L344" s="25"/>
      <c r="M344" s="25"/>
      <c r="N344" s="25"/>
      <c r="O344" s="25"/>
      <c r="P344" s="25"/>
      <c r="Q344" s="25"/>
      <c r="R344" s="25"/>
      <c r="S344" s="25"/>
      <c r="T344" s="25"/>
      <c r="U344" s="25"/>
      <c r="V344" s="25"/>
      <c r="W344" s="25"/>
      <c r="X344" s="25"/>
      <c r="Y344" s="25"/>
      <c r="Z344" s="25"/>
    </row>
    <row r="345" spans="1:26" ht="14.25" customHeight="1" x14ac:dyDescent="0.25">
      <c r="A345" s="26"/>
      <c r="B345" s="25"/>
      <c r="C345" s="25"/>
      <c r="D345" s="25"/>
      <c r="E345" s="26"/>
      <c r="F345" s="26"/>
      <c r="G345" s="26"/>
      <c r="H345" s="26"/>
      <c r="I345" s="26"/>
      <c r="J345" s="25"/>
      <c r="K345" s="25"/>
      <c r="L345" s="25"/>
      <c r="M345" s="25"/>
      <c r="N345" s="25"/>
      <c r="O345" s="25"/>
      <c r="P345" s="25"/>
      <c r="Q345" s="25"/>
      <c r="R345" s="25"/>
      <c r="S345" s="25"/>
      <c r="T345" s="25"/>
      <c r="U345" s="25"/>
      <c r="V345" s="25"/>
      <c r="W345" s="25"/>
      <c r="X345" s="25"/>
      <c r="Y345" s="25"/>
      <c r="Z345" s="25"/>
    </row>
    <row r="346" spans="1:26" ht="14.25" customHeight="1" x14ac:dyDescent="0.25">
      <c r="A346" s="26"/>
      <c r="B346" s="25"/>
      <c r="C346" s="25"/>
      <c r="D346" s="25"/>
      <c r="E346" s="26"/>
      <c r="F346" s="26"/>
      <c r="G346" s="26"/>
      <c r="H346" s="26"/>
      <c r="I346" s="26"/>
      <c r="J346" s="25"/>
      <c r="K346" s="25"/>
      <c r="L346" s="25"/>
      <c r="M346" s="25"/>
      <c r="N346" s="25"/>
      <c r="O346" s="25"/>
      <c r="P346" s="25"/>
      <c r="Q346" s="25"/>
      <c r="R346" s="25"/>
      <c r="S346" s="25"/>
      <c r="T346" s="25"/>
      <c r="U346" s="25"/>
      <c r="V346" s="25"/>
      <c r="W346" s="25"/>
      <c r="X346" s="25"/>
      <c r="Y346" s="25"/>
      <c r="Z346" s="25"/>
    </row>
    <row r="347" spans="1:26" ht="14.25" customHeight="1" x14ac:dyDescent="0.25">
      <c r="A347" s="26"/>
      <c r="B347" s="25"/>
      <c r="C347" s="25"/>
      <c r="D347" s="25"/>
      <c r="E347" s="26"/>
      <c r="F347" s="26"/>
      <c r="G347" s="26"/>
      <c r="H347" s="26"/>
      <c r="I347" s="26"/>
      <c r="J347" s="25"/>
      <c r="K347" s="25"/>
      <c r="L347" s="25"/>
      <c r="M347" s="25"/>
      <c r="N347" s="25"/>
      <c r="O347" s="25"/>
      <c r="P347" s="25"/>
      <c r="Q347" s="25"/>
      <c r="R347" s="25"/>
      <c r="S347" s="25"/>
      <c r="T347" s="25"/>
      <c r="U347" s="25"/>
      <c r="V347" s="25"/>
      <c r="W347" s="25"/>
      <c r="X347" s="25"/>
      <c r="Y347" s="25"/>
      <c r="Z347" s="25"/>
    </row>
    <row r="348" spans="1:26" ht="14.25" customHeight="1" x14ac:dyDescent="0.25">
      <c r="A348" s="26"/>
      <c r="B348" s="25"/>
      <c r="C348" s="25"/>
      <c r="D348" s="25"/>
      <c r="E348" s="26"/>
      <c r="F348" s="26"/>
      <c r="G348" s="26"/>
      <c r="H348" s="26"/>
      <c r="I348" s="26"/>
      <c r="J348" s="25"/>
      <c r="K348" s="25"/>
      <c r="L348" s="25"/>
      <c r="M348" s="25"/>
      <c r="N348" s="25"/>
      <c r="O348" s="25"/>
      <c r="P348" s="25"/>
      <c r="Q348" s="25"/>
      <c r="R348" s="25"/>
      <c r="S348" s="25"/>
      <c r="T348" s="25"/>
      <c r="U348" s="25"/>
      <c r="V348" s="25"/>
      <c r="W348" s="25"/>
      <c r="X348" s="25"/>
      <c r="Y348" s="25"/>
      <c r="Z348" s="25"/>
    </row>
    <row r="349" spans="1:26" ht="14.25" customHeight="1" x14ac:dyDescent="0.25">
      <c r="A349" s="26"/>
      <c r="B349" s="25"/>
      <c r="C349" s="25"/>
      <c r="D349" s="25"/>
      <c r="E349" s="26"/>
      <c r="F349" s="26"/>
      <c r="G349" s="26"/>
      <c r="H349" s="26"/>
      <c r="I349" s="26"/>
      <c r="J349" s="25"/>
      <c r="K349" s="25"/>
      <c r="L349" s="25"/>
      <c r="M349" s="25"/>
      <c r="N349" s="25"/>
      <c r="O349" s="25"/>
      <c r="P349" s="25"/>
      <c r="Q349" s="25"/>
      <c r="R349" s="25"/>
      <c r="S349" s="25"/>
      <c r="T349" s="25"/>
      <c r="U349" s="25"/>
      <c r="V349" s="25"/>
      <c r="W349" s="25"/>
      <c r="X349" s="25"/>
      <c r="Y349" s="25"/>
      <c r="Z349" s="25"/>
    </row>
    <row r="350" spans="1:26" ht="14.25" customHeight="1" x14ac:dyDescent="0.25">
      <c r="A350" s="26"/>
      <c r="B350" s="25"/>
      <c r="C350" s="25"/>
      <c r="D350" s="25"/>
      <c r="E350" s="26"/>
      <c r="F350" s="26"/>
      <c r="G350" s="26"/>
      <c r="H350" s="26"/>
      <c r="I350" s="26"/>
      <c r="J350" s="25"/>
      <c r="K350" s="25"/>
      <c r="L350" s="25"/>
      <c r="M350" s="25"/>
      <c r="N350" s="25"/>
      <c r="O350" s="25"/>
      <c r="P350" s="25"/>
      <c r="Q350" s="25"/>
      <c r="R350" s="25"/>
      <c r="S350" s="25"/>
      <c r="T350" s="25"/>
      <c r="U350" s="25"/>
      <c r="V350" s="25"/>
      <c r="W350" s="25"/>
      <c r="X350" s="25"/>
      <c r="Y350" s="25"/>
      <c r="Z350" s="25"/>
    </row>
    <row r="351" spans="1:26" ht="14.25" customHeight="1" x14ac:dyDescent="0.25">
      <c r="A351" s="26"/>
      <c r="B351" s="25"/>
      <c r="C351" s="25"/>
      <c r="D351" s="25"/>
      <c r="E351" s="26"/>
      <c r="F351" s="26"/>
      <c r="G351" s="26"/>
      <c r="H351" s="26"/>
      <c r="I351" s="26"/>
      <c r="J351" s="25"/>
      <c r="K351" s="25"/>
      <c r="L351" s="25"/>
      <c r="M351" s="25"/>
      <c r="N351" s="25"/>
      <c r="O351" s="25"/>
      <c r="P351" s="25"/>
      <c r="Q351" s="25"/>
      <c r="R351" s="25"/>
      <c r="S351" s="25"/>
      <c r="T351" s="25"/>
      <c r="U351" s="25"/>
      <c r="V351" s="25"/>
      <c r="W351" s="25"/>
      <c r="X351" s="25"/>
      <c r="Y351" s="25"/>
      <c r="Z351" s="25"/>
    </row>
    <row r="352" spans="1:26" ht="14.25" customHeight="1" x14ac:dyDescent="0.25">
      <c r="A352" s="26"/>
      <c r="B352" s="25"/>
      <c r="C352" s="25"/>
      <c r="D352" s="25"/>
      <c r="E352" s="26"/>
      <c r="F352" s="26"/>
      <c r="G352" s="26"/>
      <c r="H352" s="26"/>
      <c r="I352" s="26"/>
      <c r="J352" s="25"/>
      <c r="K352" s="25"/>
      <c r="L352" s="25"/>
      <c r="M352" s="25"/>
      <c r="N352" s="25"/>
      <c r="O352" s="25"/>
      <c r="P352" s="25"/>
      <c r="Q352" s="25"/>
      <c r="R352" s="25"/>
      <c r="S352" s="25"/>
      <c r="T352" s="25"/>
      <c r="U352" s="25"/>
      <c r="V352" s="25"/>
      <c r="W352" s="25"/>
      <c r="X352" s="25"/>
      <c r="Y352" s="25"/>
      <c r="Z352" s="25"/>
    </row>
    <row r="353" spans="1:26" ht="14.25" customHeight="1" x14ac:dyDescent="0.25">
      <c r="A353" s="26"/>
      <c r="B353" s="25"/>
      <c r="C353" s="25"/>
      <c r="D353" s="25"/>
      <c r="E353" s="26"/>
      <c r="F353" s="26"/>
      <c r="G353" s="26"/>
      <c r="H353" s="26"/>
      <c r="I353" s="26"/>
      <c r="J353" s="25"/>
      <c r="K353" s="25"/>
      <c r="L353" s="25"/>
      <c r="M353" s="25"/>
      <c r="N353" s="25"/>
      <c r="O353" s="25"/>
      <c r="P353" s="25"/>
      <c r="Q353" s="25"/>
      <c r="R353" s="25"/>
      <c r="S353" s="25"/>
      <c r="T353" s="25"/>
      <c r="U353" s="25"/>
      <c r="V353" s="25"/>
      <c r="W353" s="25"/>
      <c r="X353" s="25"/>
      <c r="Y353" s="25"/>
      <c r="Z353" s="25"/>
    </row>
    <row r="354" spans="1:26" ht="14.25" customHeight="1" x14ac:dyDescent="0.25">
      <c r="A354" s="26"/>
      <c r="B354" s="25"/>
      <c r="C354" s="25"/>
      <c r="D354" s="25"/>
      <c r="E354" s="26"/>
      <c r="F354" s="26"/>
      <c r="G354" s="26"/>
      <c r="H354" s="26"/>
      <c r="I354" s="26"/>
      <c r="J354" s="25"/>
      <c r="K354" s="25"/>
      <c r="L354" s="25"/>
      <c r="M354" s="25"/>
      <c r="N354" s="25"/>
      <c r="O354" s="25"/>
      <c r="P354" s="25"/>
      <c r="Q354" s="25"/>
      <c r="R354" s="25"/>
      <c r="S354" s="25"/>
      <c r="T354" s="25"/>
      <c r="U354" s="25"/>
      <c r="V354" s="25"/>
      <c r="W354" s="25"/>
      <c r="X354" s="25"/>
      <c r="Y354" s="25"/>
      <c r="Z354" s="25"/>
    </row>
    <row r="355" spans="1:26" ht="14.25" customHeight="1" x14ac:dyDescent="0.25">
      <c r="A355" s="26"/>
      <c r="B355" s="25"/>
      <c r="C355" s="25"/>
      <c r="D355" s="25"/>
      <c r="E355" s="26"/>
      <c r="F355" s="26"/>
      <c r="G355" s="26"/>
      <c r="H355" s="26"/>
      <c r="I355" s="26"/>
      <c r="J355" s="25"/>
      <c r="K355" s="25"/>
      <c r="L355" s="25"/>
      <c r="M355" s="25"/>
      <c r="N355" s="25"/>
      <c r="O355" s="25"/>
      <c r="P355" s="25"/>
      <c r="Q355" s="25"/>
      <c r="R355" s="25"/>
      <c r="S355" s="25"/>
      <c r="T355" s="25"/>
      <c r="U355" s="25"/>
      <c r="V355" s="25"/>
      <c r="W355" s="25"/>
      <c r="X355" s="25"/>
      <c r="Y355" s="25"/>
      <c r="Z355" s="25"/>
    </row>
    <row r="356" spans="1:26" ht="14.25" customHeight="1" x14ac:dyDescent="0.25">
      <c r="A356" s="26"/>
      <c r="B356" s="25"/>
      <c r="C356" s="25"/>
      <c r="D356" s="25"/>
      <c r="E356" s="26"/>
      <c r="F356" s="26"/>
      <c r="G356" s="26"/>
      <c r="H356" s="26"/>
      <c r="I356" s="26"/>
      <c r="J356" s="25"/>
      <c r="K356" s="25"/>
      <c r="L356" s="25"/>
      <c r="M356" s="25"/>
      <c r="N356" s="25"/>
      <c r="O356" s="25"/>
      <c r="P356" s="25"/>
      <c r="Q356" s="25"/>
      <c r="R356" s="25"/>
      <c r="S356" s="25"/>
      <c r="T356" s="25"/>
      <c r="U356" s="25"/>
      <c r="V356" s="25"/>
      <c r="W356" s="25"/>
      <c r="X356" s="25"/>
      <c r="Y356" s="25"/>
      <c r="Z356" s="25"/>
    </row>
    <row r="357" spans="1:26" ht="14.25" customHeight="1" x14ac:dyDescent="0.25">
      <c r="A357" s="26"/>
      <c r="B357" s="25"/>
      <c r="C357" s="25"/>
      <c r="D357" s="25"/>
      <c r="E357" s="26"/>
      <c r="F357" s="26"/>
      <c r="G357" s="26"/>
      <c r="H357" s="26"/>
      <c r="I357" s="26"/>
      <c r="J357" s="25"/>
      <c r="K357" s="25"/>
      <c r="L357" s="25"/>
      <c r="M357" s="25"/>
      <c r="N357" s="25"/>
      <c r="O357" s="25"/>
      <c r="P357" s="25"/>
      <c r="Q357" s="25"/>
      <c r="R357" s="25"/>
      <c r="S357" s="25"/>
      <c r="T357" s="25"/>
      <c r="U357" s="25"/>
      <c r="V357" s="25"/>
      <c r="W357" s="25"/>
      <c r="X357" s="25"/>
      <c r="Y357" s="25"/>
      <c r="Z357" s="25"/>
    </row>
    <row r="358" spans="1:26" ht="14.25" customHeight="1" x14ac:dyDescent="0.25">
      <c r="A358" s="26"/>
      <c r="B358" s="25"/>
      <c r="C358" s="25"/>
      <c r="D358" s="25"/>
      <c r="E358" s="26"/>
      <c r="F358" s="26"/>
      <c r="G358" s="26"/>
      <c r="H358" s="26"/>
      <c r="I358" s="26"/>
      <c r="J358" s="25"/>
      <c r="K358" s="25"/>
      <c r="L358" s="25"/>
      <c r="M358" s="25"/>
      <c r="N358" s="25"/>
      <c r="O358" s="25"/>
      <c r="P358" s="25"/>
      <c r="Q358" s="25"/>
      <c r="R358" s="25"/>
      <c r="S358" s="25"/>
      <c r="T358" s="25"/>
      <c r="U358" s="25"/>
      <c r="V358" s="25"/>
      <c r="W358" s="25"/>
      <c r="X358" s="25"/>
      <c r="Y358" s="25"/>
      <c r="Z358" s="25"/>
    </row>
    <row r="359" spans="1:26" ht="14.25" customHeight="1" x14ac:dyDescent="0.25">
      <c r="A359" s="26"/>
      <c r="B359" s="25"/>
      <c r="C359" s="25"/>
      <c r="D359" s="25"/>
      <c r="E359" s="26"/>
      <c r="F359" s="26"/>
      <c r="G359" s="26"/>
      <c r="H359" s="26"/>
      <c r="I359" s="26"/>
      <c r="J359" s="25"/>
      <c r="K359" s="25"/>
      <c r="L359" s="25"/>
      <c r="M359" s="25"/>
      <c r="N359" s="25"/>
      <c r="O359" s="25"/>
      <c r="P359" s="25"/>
      <c r="Q359" s="25"/>
      <c r="R359" s="25"/>
      <c r="S359" s="25"/>
      <c r="T359" s="25"/>
      <c r="U359" s="25"/>
      <c r="V359" s="25"/>
      <c r="W359" s="25"/>
      <c r="X359" s="25"/>
      <c r="Y359" s="25"/>
      <c r="Z359" s="25"/>
    </row>
    <row r="360" spans="1:26" ht="14.25" customHeight="1" x14ac:dyDescent="0.25">
      <c r="A360" s="26"/>
      <c r="B360" s="25"/>
      <c r="C360" s="25"/>
      <c r="D360" s="25"/>
      <c r="E360" s="26"/>
      <c r="F360" s="26"/>
      <c r="G360" s="26"/>
      <c r="H360" s="26"/>
      <c r="I360" s="26"/>
      <c r="J360" s="25"/>
      <c r="K360" s="25"/>
      <c r="L360" s="25"/>
      <c r="M360" s="25"/>
      <c r="N360" s="25"/>
      <c r="O360" s="25"/>
      <c r="P360" s="25"/>
      <c r="Q360" s="25"/>
      <c r="R360" s="25"/>
      <c r="S360" s="25"/>
      <c r="T360" s="25"/>
      <c r="U360" s="25"/>
      <c r="V360" s="25"/>
      <c r="W360" s="25"/>
      <c r="X360" s="25"/>
      <c r="Y360" s="25"/>
      <c r="Z360" s="25"/>
    </row>
    <row r="361" spans="1:26" ht="14.25" customHeight="1" x14ac:dyDescent="0.25">
      <c r="A361" s="26"/>
      <c r="B361" s="25"/>
      <c r="C361" s="25"/>
      <c r="D361" s="25"/>
      <c r="E361" s="26"/>
      <c r="F361" s="26"/>
      <c r="G361" s="26"/>
      <c r="H361" s="26"/>
      <c r="I361" s="26"/>
      <c r="J361" s="25"/>
      <c r="K361" s="25"/>
      <c r="L361" s="25"/>
      <c r="M361" s="25"/>
      <c r="N361" s="25"/>
      <c r="O361" s="25"/>
      <c r="P361" s="25"/>
      <c r="Q361" s="25"/>
      <c r="R361" s="25"/>
      <c r="S361" s="25"/>
      <c r="T361" s="25"/>
      <c r="U361" s="25"/>
      <c r="V361" s="25"/>
      <c r="W361" s="25"/>
      <c r="X361" s="25"/>
      <c r="Y361" s="25"/>
      <c r="Z361" s="25"/>
    </row>
    <row r="362" spans="1:26" ht="14.25" customHeight="1" x14ac:dyDescent="0.25">
      <c r="A362" s="26"/>
      <c r="B362" s="25"/>
      <c r="C362" s="25"/>
      <c r="D362" s="25"/>
      <c r="E362" s="26"/>
      <c r="F362" s="26"/>
      <c r="G362" s="26"/>
      <c r="H362" s="26"/>
      <c r="I362" s="26"/>
      <c r="J362" s="25"/>
      <c r="K362" s="25"/>
      <c r="L362" s="25"/>
      <c r="M362" s="25"/>
      <c r="N362" s="25"/>
      <c r="O362" s="25"/>
      <c r="P362" s="25"/>
      <c r="Q362" s="25"/>
      <c r="R362" s="25"/>
      <c r="S362" s="25"/>
      <c r="T362" s="25"/>
      <c r="U362" s="25"/>
      <c r="V362" s="25"/>
      <c r="W362" s="25"/>
      <c r="X362" s="25"/>
      <c r="Y362" s="25"/>
      <c r="Z362" s="25"/>
    </row>
    <row r="363" spans="1:26" ht="14.25" customHeight="1" x14ac:dyDescent="0.25">
      <c r="A363" s="26"/>
      <c r="B363" s="25"/>
      <c r="C363" s="25"/>
      <c r="D363" s="25"/>
      <c r="E363" s="26"/>
      <c r="F363" s="26"/>
      <c r="G363" s="26"/>
      <c r="H363" s="26"/>
      <c r="I363" s="26"/>
      <c r="J363" s="25"/>
      <c r="K363" s="25"/>
      <c r="L363" s="25"/>
      <c r="M363" s="25"/>
      <c r="N363" s="25"/>
      <c r="O363" s="25"/>
      <c r="P363" s="25"/>
      <c r="Q363" s="25"/>
      <c r="R363" s="25"/>
      <c r="S363" s="25"/>
      <c r="T363" s="25"/>
      <c r="U363" s="25"/>
      <c r="V363" s="25"/>
      <c r="W363" s="25"/>
      <c r="X363" s="25"/>
      <c r="Y363" s="25"/>
      <c r="Z363" s="25"/>
    </row>
    <row r="364" spans="1:26" ht="14.25" customHeight="1" x14ac:dyDescent="0.25">
      <c r="A364" s="26"/>
      <c r="B364" s="25"/>
      <c r="C364" s="25"/>
      <c r="D364" s="25"/>
      <c r="E364" s="26"/>
      <c r="F364" s="26"/>
      <c r="G364" s="26"/>
      <c r="H364" s="26"/>
      <c r="I364" s="26"/>
      <c r="J364" s="25"/>
      <c r="K364" s="25"/>
      <c r="L364" s="25"/>
      <c r="M364" s="25"/>
      <c r="N364" s="25"/>
      <c r="O364" s="25"/>
      <c r="P364" s="25"/>
      <c r="Q364" s="25"/>
      <c r="R364" s="25"/>
      <c r="S364" s="25"/>
      <c r="T364" s="25"/>
      <c r="U364" s="25"/>
      <c r="V364" s="25"/>
      <c r="W364" s="25"/>
      <c r="X364" s="25"/>
      <c r="Y364" s="25"/>
      <c r="Z364" s="25"/>
    </row>
    <row r="365" spans="1:26" ht="14.25" customHeight="1" x14ac:dyDescent="0.25">
      <c r="A365" s="26"/>
      <c r="B365" s="25"/>
      <c r="C365" s="25"/>
      <c r="D365" s="25"/>
      <c r="E365" s="26"/>
      <c r="F365" s="26"/>
      <c r="G365" s="26"/>
      <c r="H365" s="26"/>
      <c r="I365" s="26"/>
      <c r="J365" s="25"/>
      <c r="K365" s="25"/>
      <c r="L365" s="25"/>
      <c r="M365" s="25"/>
      <c r="N365" s="25"/>
      <c r="O365" s="25"/>
      <c r="P365" s="25"/>
      <c r="Q365" s="25"/>
      <c r="R365" s="25"/>
      <c r="S365" s="25"/>
      <c r="T365" s="25"/>
      <c r="U365" s="25"/>
      <c r="V365" s="25"/>
      <c r="W365" s="25"/>
      <c r="X365" s="25"/>
      <c r="Y365" s="25"/>
      <c r="Z365" s="25"/>
    </row>
    <row r="366" spans="1:26" ht="14.25" customHeight="1" x14ac:dyDescent="0.25">
      <c r="A366" s="26"/>
      <c r="B366" s="25"/>
      <c r="C366" s="25"/>
      <c r="D366" s="25"/>
      <c r="E366" s="26"/>
      <c r="F366" s="26"/>
      <c r="G366" s="26"/>
      <c r="H366" s="26"/>
      <c r="I366" s="26"/>
      <c r="J366" s="25"/>
      <c r="K366" s="25"/>
      <c r="L366" s="25"/>
      <c r="M366" s="25"/>
      <c r="N366" s="25"/>
      <c r="O366" s="25"/>
      <c r="P366" s="25"/>
      <c r="Q366" s="25"/>
      <c r="R366" s="25"/>
      <c r="S366" s="25"/>
      <c r="T366" s="25"/>
      <c r="U366" s="25"/>
      <c r="V366" s="25"/>
      <c r="W366" s="25"/>
      <c r="X366" s="25"/>
      <c r="Y366" s="25"/>
      <c r="Z366" s="25"/>
    </row>
    <row r="367" spans="1:26" ht="14.25" customHeight="1" x14ac:dyDescent="0.25">
      <c r="A367" s="26"/>
      <c r="B367" s="25"/>
      <c r="C367" s="25"/>
      <c r="D367" s="25"/>
      <c r="E367" s="26"/>
      <c r="F367" s="26"/>
      <c r="G367" s="26"/>
      <c r="H367" s="26"/>
      <c r="I367" s="26"/>
      <c r="J367" s="25"/>
      <c r="K367" s="25"/>
      <c r="L367" s="25"/>
      <c r="M367" s="25"/>
      <c r="N367" s="25"/>
      <c r="O367" s="25"/>
      <c r="P367" s="25"/>
      <c r="Q367" s="25"/>
      <c r="R367" s="25"/>
      <c r="S367" s="25"/>
      <c r="T367" s="25"/>
      <c r="U367" s="25"/>
      <c r="V367" s="25"/>
      <c r="W367" s="25"/>
      <c r="X367" s="25"/>
      <c r="Y367" s="25"/>
      <c r="Z367" s="25"/>
    </row>
    <row r="368" spans="1:26" ht="14.25" customHeight="1" x14ac:dyDescent="0.25">
      <c r="A368" s="26"/>
      <c r="B368" s="25"/>
      <c r="C368" s="25"/>
      <c r="D368" s="25"/>
      <c r="E368" s="26"/>
      <c r="F368" s="26"/>
      <c r="G368" s="26"/>
      <c r="H368" s="26"/>
      <c r="I368" s="26"/>
      <c r="J368" s="25"/>
      <c r="K368" s="25"/>
      <c r="L368" s="25"/>
      <c r="M368" s="25"/>
      <c r="N368" s="25"/>
      <c r="O368" s="25"/>
      <c r="P368" s="25"/>
      <c r="Q368" s="25"/>
      <c r="R368" s="25"/>
      <c r="S368" s="25"/>
      <c r="T368" s="25"/>
      <c r="U368" s="25"/>
      <c r="V368" s="25"/>
      <c r="W368" s="25"/>
      <c r="X368" s="25"/>
      <c r="Y368" s="25"/>
      <c r="Z368" s="25"/>
    </row>
    <row r="369" spans="1:26" ht="14.25" customHeight="1" x14ac:dyDescent="0.25">
      <c r="A369" s="26"/>
      <c r="B369" s="25"/>
      <c r="C369" s="25"/>
      <c r="D369" s="25"/>
      <c r="E369" s="26"/>
      <c r="F369" s="26"/>
      <c r="G369" s="26"/>
      <c r="H369" s="26"/>
      <c r="I369" s="26"/>
      <c r="J369" s="25"/>
      <c r="K369" s="25"/>
      <c r="L369" s="25"/>
      <c r="M369" s="25"/>
      <c r="N369" s="25"/>
      <c r="O369" s="25"/>
      <c r="P369" s="25"/>
      <c r="Q369" s="25"/>
      <c r="R369" s="25"/>
      <c r="S369" s="25"/>
      <c r="T369" s="25"/>
      <c r="U369" s="25"/>
      <c r="V369" s="25"/>
      <c r="W369" s="25"/>
      <c r="X369" s="25"/>
      <c r="Y369" s="25"/>
      <c r="Z369" s="25"/>
    </row>
    <row r="370" spans="1:26" ht="14.25" customHeight="1" x14ac:dyDescent="0.25">
      <c r="A370" s="26"/>
      <c r="B370" s="25"/>
      <c r="C370" s="25"/>
      <c r="D370" s="25"/>
      <c r="E370" s="26"/>
      <c r="F370" s="26"/>
      <c r="G370" s="26"/>
      <c r="H370" s="26"/>
      <c r="I370" s="26"/>
      <c r="J370" s="25"/>
      <c r="K370" s="25"/>
      <c r="L370" s="25"/>
      <c r="M370" s="25"/>
      <c r="N370" s="25"/>
      <c r="O370" s="25"/>
      <c r="P370" s="25"/>
      <c r="Q370" s="25"/>
      <c r="R370" s="25"/>
      <c r="S370" s="25"/>
      <c r="T370" s="25"/>
      <c r="U370" s="25"/>
      <c r="V370" s="25"/>
      <c r="W370" s="25"/>
      <c r="X370" s="25"/>
      <c r="Y370" s="25"/>
      <c r="Z370" s="25"/>
    </row>
    <row r="371" spans="1:26" ht="14.25" customHeight="1" x14ac:dyDescent="0.25">
      <c r="A371" s="26"/>
      <c r="B371" s="25"/>
      <c r="C371" s="25"/>
      <c r="D371" s="25"/>
      <c r="E371" s="26"/>
      <c r="F371" s="26"/>
      <c r="G371" s="26"/>
      <c r="H371" s="26"/>
      <c r="I371" s="26"/>
      <c r="J371" s="25"/>
      <c r="K371" s="25"/>
      <c r="L371" s="25"/>
      <c r="M371" s="25"/>
      <c r="N371" s="25"/>
      <c r="O371" s="25"/>
      <c r="P371" s="25"/>
      <c r="Q371" s="25"/>
      <c r="R371" s="25"/>
      <c r="S371" s="25"/>
      <c r="T371" s="25"/>
      <c r="U371" s="25"/>
      <c r="V371" s="25"/>
      <c r="W371" s="25"/>
      <c r="X371" s="25"/>
      <c r="Y371" s="25"/>
      <c r="Z371" s="25"/>
    </row>
    <row r="372" spans="1:26" ht="14.25" customHeight="1" x14ac:dyDescent="0.25">
      <c r="A372" s="26"/>
      <c r="B372" s="25"/>
      <c r="C372" s="25"/>
      <c r="D372" s="25"/>
      <c r="E372" s="26"/>
      <c r="F372" s="26"/>
      <c r="G372" s="26"/>
      <c r="H372" s="26"/>
      <c r="I372" s="26"/>
      <c r="J372" s="25"/>
      <c r="K372" s="25"/>
      <c r="L372" s="25"/>
      <c r="M372" s="25"/>
      <c r="N372" s="25"/>
      <c r="O372" s="25"/>
      <c r="P372" s="25"/>
      <c r="Q372" s="25"/>
      <c r="R372" s="25"/>
      <c r="S372" s="25"/>
      <c r="T372" s="25"/>
      <c r="U372" s="25"/>
      <c r="V372" s="25"/>
      <c r="W372" s="25"/>
      <c r="X372" s="25"/>
      <c r="Y372" s="25"/>
      <c r="Z372" s="25"/>
    </row>
    <row r="373" spans="1:26" ht="14.25" customHeight="1" x14ac:dyDescent="0.25">
      <c r="A373" s="26"/>
      <c r="B373" s="25"/>
      <c r="C373" s="25"/>
      <c r="D373" s="25"/>
      <c r="E373" s="26"/>
      <c r="F373" s="26"/>
      <c r="G373" s="26"/>
      <c r="H373" s="26"/>
      <c r="I373" s="26"/>
      <c r="J373" s="25"/>
      <c r="K373" s="25"/>
      <c r="L373" s="25"/>
      <c r="M373" s="25"/>
      <c r="N373" s="25"/>
      <c r="O373" s="25"/>
      <c r="P373" s="25"/>
      <c r="Q373" s="25"/>
      <c r="R373" s="25"/>
      <c r="S373" s="25"/>
      <c r="T373" s="25"/>
      <c r="U373" s="25"/>
      <c r="V373" s="25"/>
      <c r="W373" s="25"/>
      <c r="X373" s="25"/>
      <c r="Y373" s="25"/>
      <c r="Z373" s="25"/>
    </row>
    <row r="374" spans="1:26" ht="14.25" customHeight="1" x14ac:dyDescent="0.25">
      <c r="A374" s="26"/>
      <c r="B374" s="25"/>
      <c r="C374" s="25"/>
      <c r="D374" s="25"/>
      <c r="E374" s="26"/>
      <c r="F374" s="26"/>
      <c r="G374" s="26"/>
      <c r="H374" s="26"/>
      <c r="I374" s="26"/>
      <c r="J374" s="25"/>
      <c r="K374" s="25"/>
      <c r="L374" s="25"/>
      <c r="M374" s="25"/>
      <c r="N374" s="25"/>
      <c r="O374" s="25"/>
      <c r="P374" s="25"/>
      <c r="Q374" s="25"/>
      <c r="R374" s="25"/>
      <c r="S374" s="25"/>
      <c r="T374" s="25"/>
      <c r="U374" s="25"/>
      <c r="V374" s="25"/>
      <c r="W374" s="25"/>
      <c r="X374" s="25"/>
      <c r="Y374" s="25"/>
      <c r="Z374" s="25"/>
    </row>
    <row r="375" spans="1:26" ht="14.25" customHeight="1" x14ac:dyDescent="0.25">
      <c r="A375" s="26"/>
      <c r="B375" s="25"/>
      <c r="C375" s="25"/>
      <c r="D375" s="25"/>
      <c r="E375" s="26"/>
      <c r="F375" s="26"/>
      <c r="G375" s="26"/>
      <c r="H375" s="26"/>
      <c r="I375" s="26"/>
      <c r="J375" s="25"/>
      <c r="K375" s="25"/>
      <c r="L375" s="25"/>
      <c r="M375" s="25"/>
      <c r="N375" s="25"/>
      <c r="O375" s="25"/>
      <c r="P375" s="25"/>
      <c r="Q375" s="25"/>
      <c r="R375" s="25"/>
      <c r="S375" s="25"/>
      <c r="T375" s="25"/>
      <c r="U375" s="25"/>
      <c r="V375" s="25"/>
      <c r="W375" s="25"/>
      <c r="X375" s="25"/>
      <c r="Y375" s="25"/>
      <c r="Z375" s="25"/>
    </row>
    <row r="376" spans="1:26" ht="14.25" customHeight="1" x14ac:dyDescent="0.25">
      <c r="A376" s="26"/>
      <c r="B376" s="25"/>
      <c r="C376" s="25"/>
      <c r="D376" s="25"/>
      <c r="E376" s="26"/>
      <c r="F376" s="26"/>
      <c r="G376" s="26"/>
      <c r="H376" s="26"/>
      <c r="I376" s="26"/>
      <c r="J376" s="25"/>
      <c r="K376" s="25"/>
      <c r="L376" s="25"/>
      <c r="M376" s="25"/>
      <c r="N376" s="25"/>
      <c r="O376" s="25"/>
      <c r="P376" s="25"/>
      <c r="Q376" s="25"/>
      <c r="R376" s="25"/>
      <c r="S376" s="25"/>
      <c r="T376" s="25"/>
      <c r="U376" s="25"/>
      <c r="V376" s="25"/>
      <c r="W376" s="25"/>
      <c r="X376" s="25"/>
      <c r="Y376" s="25"/>
      <c r="Z376" s="25"/>
    </row>
    <row r="377" spans="1:26" ht="14.25" customHeight="1" x14ac:dyDescent="0.25">
      <c r="A377" s="26"/>
      <c r="B377" s="25"/>
      <c r="C377" s="25"/>
      <c r="D377" s="25"/>
      <c r="E377" s="26"/>
      <c r="F377" s="26"/>
      <c r="G377" s="26"/>
      <c r="H377" s="26"/>
      <c r="I377" s="26"/>
      <c r="J377" s="25"/>
      <c r="K377" s="25"/>
      <c r="L377" s="25"/>
      <c r="M377" s="25"/>
      <c r="N377" s="25"/>
      <c r="O377" s="25"/>
      <c r="P377" s="25"/>
      <c r="Q377" s="25"/>
      <c r="R377" s="25"/>
      <c r="S377" s="25"/>
      <c r="T377" s="25"/>
      <c r="U377" s="25"/>
      <c r="V377" s="25"/>
      <c r="W377" s="25"/>
      <c r="X377" s="25"/>
      <c r="Y377" s="25"/>
      <c r="Z377" s="25"/>
    </row>
    <row r="378" spans="1:26" ht="14.25" customHeight="1" x14ac:dyDescent="0.25">
      <c r="A378" s="26"/>
      <c r="B378" s="25"/>
      <c r="C378" s="25"/>
      <c r="D378" s="25"/>
      <c r="E378" s="26"/>
      <c r="F378" s="26"/>
      <c r="G378" s="26"/>
      <c r="H378" s="26"/>
      <c r="I378" s="26"/>
      <c r="J378" s="25"/>
      <c r="K378" s="25"/>
      <c r="L378" s="25"/>
      <c r="M378" s="25"/>
      <c r="N378" s="25"/>
      <c r="O378" s="25"/>
      <c r="P378" s="25"/>
      <c r="Q378" s="25"/>
      <c r="R378" s="25"/>
      <c r="S378" s="25"/>
      <c r="T378" s="25"/>
      <c r="U378" s="25"/>
      <c r="V378" s="25"/>
      <c r="W378" s="25"/>
      <c r="X378" s="25"/>
      <c r="Y378" s="25"/>
      <c r="Z378" s="25"/>
    </row>
    <row r="379" spans="1:26" ht="14.25" customHeight="1" x14ac:dyDescent="0.25">
      <c r="A379" s="26"/>
      <c r="B379" s="25"/>
      <c r="C379" s="25"/>
      <c r="D379" s="25"/>
      <c r="E379" s="26"/>
      <c r="F379" s="26"/>
      <c r="G379" s="26"/>
      <c r="H379" s="26"/>
      <c r="I379" s="26"/>
      <c r="J379" s="25"/>
      <c r="K379" s="25"/>
      <c r="L379" s="25"/>
      <c r="M379" s="25"/>
      <c r="N379" s="25"/>
      <c r="O379" s="25"/>
      <c r="P379" s="25"/>
      <c r="Q379" s="25"/>
      <c r="R379" s="25"/>
      <c r="S379" s="25"/>
      <c r="T379" s="25"/>
      <c r="U379" s="25"/>
      <c r="V379" s="25"/>
      <c r="W379" s="25"/>
      <c r="X379" s="25"/>
      <c r="Y379" s="25"/>
      <c r="Z379" s="25"/>
    </row>
    <row r="380" spans="1:26" ht="14.25" customHeight="1" x14ac:dyDescent="0.25">
      <c r="A380" s="26"/>
      <c r="B380" s="25"/>
      <c r="C380" s="25"/>
      <c r="D380" s="25"/>
      <c r="E380" s="26"/>
      <c r="F380" s="26"/>
      <c r="G380" s="26"/>
      <c r="H380" s="26"/>
      <c r="I380" s="26"/>
      <c r="J380" s="25"/>
      <c r="K380" s="25"/>
      <c r="L380" s="25"/>
      <c r="M380" s="25"/>
      <c r="N380" s="25"/>
      <c r="O380" s="25"/>
      <c r="P380" s="25"/>
      <c r="Q380" s="25"/>
      <c r="R380" s="25"/>
      <c r="S380" s="25"/>
      <c r="T380" s="25"/>
      <c r="U380" s="25"/>
      <c r="V380" s="25"/>
      <c r="W380" s="25"/>
      <c r="X380" s="25"/>
      <c r="Y380" s="25"/>
      <c r="Z380" s="25"/>
    </row>
    <row r="381" spans="1:26" ht="14.25" customHeight="1" x14ac:dyDescent="0.25">
      <c r="A381" s="26"/>
      <c r="B381" s="25"/>
      <c r="C381" s="25"/>
      <c r="D381" s="25"/>
      <c r="E381" s="26"/>
      <c r="F381" s="26"/>
      <c r="G381" s="26"/>
      <c r="H381" s="26"/>
      <c r="I381" s="26"/>
      <c r="J381" s="25"/>
      <c r="K381" s="25"/>
      <c r="L381" s="25"/>
      <c r="M381" s="25"/>
      <c r="N381" s="25"/>
      <c r="O381" s="25"/>
      <c r="P381" s="25"/>
      <c r="Q381" s="25"/>
      <c r="R381" s="25"/>
      <c r="S381" s="25"/>
      <c r="T381" s="25"/>
      <c r="U381" s="25"/>
      <c r="V381" s="25"/>
      <c r="W381" s="25"/>
      <c r="X381" s="25"/>
      <c r="Y381" s="25"/>
      <c r="Z381" s="25"/>
    </row>
    <row r="382" spans="1:26" ht="14.25" customHeight="1" x14ac:dyDescent="0.25">
      <c r="A382" s="26"/>
      <c r="B382" s="25"/>
      <c r="C382" s="25"/>
      <c r="D382" s="25"/>
      <c r="E382" s="26"/>
      <c r="F382" s="26"/>
      <c r="G382" s="26"/>
      <c r="H382" s="26"/>
      <c r="I382" s="26"/>
      <c r="J382" s="25"/>
      <c r="K382" s="25"/>
      <c r="L382" s="25"/>
      <c r="M382" s="25"/>
      <c r="N382" s="25"/>
      <c r="O382" s="25"/>
      <c r="P382" s="25"/>
      <c r="Q382" s="25"/>
      <c r="R382" s="25"/>
      <c r="S382" s="25"/>
      <c r="T382" s="25"/>
      <c r="U382" s="25"/>
      <c r="V382" s="25"/>
      <c r="W382" s="25"/>
      <c r="X382" s="25"/>
      <c r="Y382" s="25"/>
      <c r="Z382" s="25"/>
    </row>
    <row r="383" spans="1:26" ht="14.25" customHeight="1" x14ac:dyDescent="0.25">
      <c r="A383" s="26"/>
      <c r="B383" s="25"/>
      <c r="C383" s="25"/>
      <c r="D383" s="25"/>
      <c r="E383" s="26"/>
      <c r="F383" s="26"/>
      <c r="G383" s="26"/>
      <c r="H383" s="26"/>
      <c r="I383" s="26"/>
      <c r="J383" s="25"/>
      <c r="K383" s="25"/>
      <c r="L383" s="25"/>
      <c r="M383" s="25"/>
      <c r="N383" s="25"/>
      <c r="O383" s="25"/>
      <c r="P383" s="25"/>
      <c r="Q383" s="25"/>
      <c r="R383" s="25"/>
      <c r="S383" s="25"/>
      <c r="T383" s="25"/>
      <c r="U383" s="25"/>
      <c r="V383" s="25"/>
      <c r="W383" s="25"/>
      <c r="X383" s="25"/>
      <c r="Y383" s="25"/>
      <c r="Z383" s="25"/>
    </row>
    <row r="384" spans="1:26" ht="14.25" customHeight="1" x14ac:dyDescent="0.25">
      <c r="A384" s="26"/>
      <c r="B384" s="25"/>
      <c r="C384" s="25"/>
      <c r="D384" s="25"/>
      <c r="E384" s="26"/>
      <c r="F384" s="26"/>
      <c r="G384" s="26"/>
      <c r="H384" s="26"/>
      <c r="I384" s="26"/>
      <c r="J384" s="25"/>
      <c r="K384" s="25"/>
      <c r="L384" s="25"/>
      <c r="M384" s="25"/>
      <c r="N384" s="25"/>
      <c r="O384" s="25"/>
      <c r="P384" s="25"/>
      <c r="Q384" s="25"/>
      <c r="R384" s="25"/>
      <c r="S384" s="25"/>
      <c r="T384" s="25"/>
      <c r="U384" s="25"/>
      <c r="V384" s="25"/>
      <c r="W384" s="25"/>
      <c r="X384" s="25"/>
      <c r="Y384" s="25"/>
      <c r="Z384" s="25"/>
    </row>
    <row r="385" spans="1:26" ht="14.25" customHeight="1" x14ac:dyDescent="0.25">
      <c r="A385" s="26"/>
      <c r="B385" s="25"/>
      <c r="C385" s="25"/>
      <c r="D385" s="25"/>
      <c r="E385" s="26"/>
      <c r="F385" s="26"/>
      <c r="G385" s="26"/>
      <c r="H385" s="26"/>
      <c r="I385" s="26"/>
      <c r="J385" s="25"/>
      <c r="K385" s="25"/>
      <c r="L385" s="25"/>
      <c r="M385" s="25"/>
      <c r="N385" s="25"/>
      <c r="O385" s="25"/>
      <c r="P385" s="25"/>
      <c r="Q385" s="25"/>
      <c r="R385" s="25"/>
      <c r="S385" s="25"/>
      <c r="T385" s="25"/>
      <c r="U385" s="25"/>
      <c r="V385" s="25"/>
      <c r="W385" s="25"/>
      <c r="X385" s="25"/>
      <c r="Y385" s="25"/>
      <c r="Z385" s="25"/>
    </row>
    <row r="386" spans="1:26" ht="14.25" customHeight="1" x14ac:dyDescent="0.25">
      <c r="A386" s="26"/>
      <c r="B386" s="25"/>
      <c r="C386" s="25"/>
      <c r="D386" s="25"/>
      <c r="E386" s="26"/>
      <c r="F386" s="26"/>
      <c r="G386" s="26"/>
      <c r="H386" s="26"/>
      <c r="I386" s="26"/>
      <c r="J386" s="25"/>
      <c r="K386" s="25"/>
      <c r="L386" s="25"/>
      <c r="M386" s="25"/>
      <c r="N386" s="25"/>
      <c r="O386" s="25"/>
      <c r="P386" s="25"/>
      <c r="Q386" s="25"/>
      <c r="R386" s="25"/>
      <c r="S386" s="25"/>
      <c r="T386" s="25"/>
      <c r="U386" s="25"/>
      <c r="V386" s="25"/>
      <c r="W386" s="25"/>
      <c r="X386" s="25"/>
      <c r="Y386" s="25"/>
      <c r="Z386" s="25"/>
    </row>
    <row r="387" spans="1:26" ht="14.25" customHeight="1" x14ac:dyDescent="0.25">
      <c r="A387" s="26"/>
      <c r="B387" s="25"/>
      <c r="C387" s="25"/>
      <c r="D387" s="25"/>
      <c r="E387" s="26"/>
      <c r="F387" s="26"/>
      <c r="G387" s="26"/>
      <c r="H387" s="26"/>
      <c r="I387" s="26"/>
      <c r="J387" s="25"/>
      <c r="K387" s="25"/>
      <c r="L387" s="25"/>
      <c r="M387" s="25"/>
      <c r="N387" s="25"/>
      <c r="O387" s="25"/>
      <c r="P387" s="25"/>
      <c r="Q387" s="25"/>
      <c r="R387" s="25"/>
      <c r="S387" s="25"/>
      <c r="T387" s="25"/>
      <c r="U387" s="25"/>
      <c r="V387" s="25"/>
      <c r="W387" s="25"/>
      <c r="X387" s="25"/>
      <c r="Y387" s="25"/>
      <c r="Z387" s="25"/>
    </row>
    <row r="388" spans="1:26" ht="14.25" customHeight="1" x14ac:dyDescent="0.25">
      <c r="A388" s="26"/>
      <c r="B388" s="25"/>
      <c r="C388" s="25"/>
      <c r="D388" s="25"/>
      <c r="E388" s="26"/>
      <c r="F388" s="26"/>
      <c r="G388" s="26"/>
      <c r="H388" s="26"/>
      <c r="I388" s="26"/>
      <c r="J388" s="25"/>
      <c r="K388" s="25"/>
      <c r="L388" s="25"/>
      <c r="M388" s="25"/>
      <c r="N388" s="25"/>
      <c r="O388" s="25"/>
      <c r="P388" s="25"/>
      <c r="Q388" s="25"/>
      <c r="R388" s="25"/>
      <c r="S388" s="25"/>
      <c r="T388" s="25"/>
      <c r="U388" s="25"/>
      <c r="V388" s="25"/>
      <c r="W388" s="25"/>
      <c r="X388" s="25"/>
      <c r="Y388" s="25"/>
      <c r="Z388" s="25"/>
    </row>
    <row r="389" spans="1:26" ht="14.25" customHeight="1" x14ac:dyDescent="0.25">
      <c r="A389" s="26"/>
      <c r="B389" s="25"/>
      <c r="C389" s="25"/>
      <c r="D389" s="25"/>
      <c r="E389" s="26"/>
      <c r="F389" s="26"/>
      <c r="G389" s="26"/>
      <c r="H389" s="26"/>
      <c r="I389" s="26"/>
      <c r="J389" s="25"/>
      <c r="K389" s="25"/>
      <c r="L389" s="25"/>
      <c r="M389" s="25"/>
      <c r="N389" s="25"/>
      <c r="O389" s="25"/>
      <c r="P389" s="25"/>
      <c r="Q389" s="25"/>
      <c r="R389" s="25"/>
      <c r="S389" s="25"/>
      <c r="T389" s="25"/>
      <c r="U389" s="25"/>
      <c r="V389" s="25"/>
      <c r="W389" s="25"/>
      <c r="X389" s="25"/>
      <c r="Y389" s="25"/>
      <c r="Z389" s="25"/>
    </row>
    <row r="390" spans="1:26" ht="14.25" customHeight="1" x14ac:dyDescent="0.25">
      <c r="A390" s="26"/>
      <c r="B390" s="25"/>
      <c r="C390" s="25"/>
      <c r="D390" s="25"/>
      <c r="E390" s="26"/>
      <c r="F390" s="26"/>
      <c r="G390" s="26"/>
      <c r="H390" s="26"/>
      <c r="I390" s="26"/>
      <c r="J390" s="25"/>
      <c r="K390" s="25"/>
      <c r="L390" s="25"/>
      <c r="M390" s="25"/>
      <c r="N390" s="25"/>
      <c r="O390" s="25"/>
      <c r="P390" s="25"/>
      <c r="Q390" s="25"/>
      <c r="R390" s="25"/>
      <c r="S390" s="25"/>
      <c r="T390" s="25"/>
      <c r="U390" s="25"/>
      <c r="V390" s="25"/>
      <c r="W390" s="25"/>
      <c r="X390" s="25"/>
      <c r="Y390" s="25"/>
      <c r="Z390" s="25"/>
    </row>
    <row r="391" spans="1:26" ht="14.25" customHeight="1" x14ac:dyDescent="0.25">
      <c r="A391" s="26"/>
      <c r="B391" s="25"/>
      <c r="C391" s="25"/>
      <c r="D391" s="25"/>
      <c r="E391" s="26"/>
      <c r="F391" s="26"/>
      <c r="G391" s="26"/>
      <c r="H391" s="26"/>
      <c r="I391" s="26"/>
      <c r="J391" s="25"/>
      <c r="K391" s="25"/>
      <c r="L391" s="25"/>
      <c r="M391" s="25"/>
      <c r="N391" s="25"/>
      <c r="O391" s="25"/>
      <c r="P391" s="25"/>
      <c r="Q391" s="25"/>
      <c r="R391" s="25"/>
      <c r="S391" s="25"/>
      <c r="T391" s="25"/>
      <c r="U391" s="25"/>
      <c r="V391" s="25"/>
      <c r="W391" s="25"/>
      <c r="X391" s="25"/>
      <c r="Y391" s="25"/>
      <c r="Z391" s="25"/>
    </row>
    <row r="392" spans="1:26" ht="14.25" customHeight="1" x14ac:dyDescent="0.25">
      <c r="A392" s="26"/>
      <c r="B392" s="25"/>
      <c r="C392" s="25"/>
      <c r="D392" s="25"/>
      <c r="E392" s="26"/>
      <c r="F392" s="26"/>
      <c r="G392" s="26"/>
      <c r="H392" s="26"/>
      <c r="I392" s="26"/>
      <c r="J392" s="25"/>
      <c r="K392" s="25"/>
      <c r="L392" s="25"/>
      <c r="M392" s="25"/>
      <c r="N392" s="25"/>
      <c r="O392" s="25"/>
      <c r="P392" s="25"/>
      <c r="Q392" s="25"/>
      <c r="R392" s="25"/>
      <c r="S392" s="25"/>
      <c r="T392" s="25"/>
      <c r="U392" s="25"/>
      <c r="V392" s="25"/>
      <c r="W392" s="25"/>
      <c r="X392" s="25"/>
      <c r="Y392" s="25"/>
      <c r="Z392" s="25"/>
    </row>
    <row r="393" spans="1:26" ht="14.25" customHeight="1" x14ac:dyDescent="0.25">
      <c r="A393" s="26"/>
      <c r="B393" s="25"/>
      <c r="C393" s="25"/>
      <c r="D393" s="25"/>
      <c r="E393" s="26"/>
      <c r="F393" s="26"/>
      <c r="G393" s="26"/>
      <c r="H393" s="26"/>
      <c r="I393" s="26"/>
      <c r="J393" s="25"/>
      <c r="K393" s="25"/>
      <c r="L393" s="25"/>
      <c r="M393" s="25"/>
      <c r="N393" s="25"/>
      <c r="O393" s="25"/>
      <c r="P393" s="25"/>
      <c r="Q393" s="25"/>
      <c r="R393" s="25"/>
      <c r="S393" s="25"/>
      <c r="T393" s="25"/>
      <c r="U393" s="25"/>
      <c r="V393" s="25"/>
      <c r="W393" s="25"/>
      <c r="X393" s="25"/>
      <c r="Y393" s="25"/>
      <c r="Z393" s="25"/>
    </row>
    <row r="394" spans="1:26" ht="14.25" customHeight="1" x14ac:dyDescent="0.25">
      <c r="A394" s="26"/>
      <c r="B394" s="25"/>
      <c r="C394" s="25"/>
      <c r="D394" s="25"/>
      <c r="E394" s="26"/>
      <c r="F394" s="26"/>
      <c r="G394" s="26"/>
      <c r="H394" s="26"/>
      <c r="I394" s="26"/>
      <c r="J394" s="25"/>
      <c r="K394" s="25"/>
      <c r="L394" s="25"/>
      <c r="M394" s="25"/>
      <c r="N394" s="25"/>
      <c r="O394" s="25"/>
      <c r="P394" s="25"/>
      <c r="Q394" s="25"/>
      <c r="R394" s="25"/>
      <c r="S394" s="25"/>
      <c r="T394" s="25"/>
      <c r="U394" s="25"/>
      <c r="V394" s="25"/>
      <c r="W394" s="25"/>
      <c r="X394" s="25"/>
      <c r="Y394" s="25"/>
      <c r="Z394" s="25"/>
    </row>
    <row r="395" spans="1:26" ht="14.25" customHeight="1" x14ac:dyDescent="0.25">
      <c r="A395" s="26"/>
      <c r="B395" s="25"/>
      <c r="C395" s="25"/>
      <c r="D395" s="25"/>
      <c r="E395" s="26"/>
      <c r="F395" s="26"/>
      <c r="G395" s="26"/>
      <c r="H395" s="26"/>
      <c r="I395" s="26"/>
      <c r="J395" s="25"/>
      <c r="K395" s="25"/>
      <c r="L395" s="25"/>
      <c r="M395" s="25"/>
      <c r="N395" s="25"/>
      <c r="O395" s="25"/>
      <c r="P395" s="25"/>
      <c r="Q395" s="25"/>
      <c r="R395" s="25"/>
      <c r="S395" s="25"/>
      <c r="T395" s="25"/>
      <c r="U395" s="25"/>
      <c r="V395" s="25"/>
      <c r="W395" s="25"/>
      <c r="X395" s="25"/>
      <c r="Y395" s="25"/>
      <c r="Z395" s="25"/>
    </row>
    <row r="396" spans="1:26" ht="14.25" customHeight="1" x14ac:dyDescent="0.25">
      <c r="A396" s="26"/>
      <c r="B396" s="25"/>
      <c r="C396" s="25"/>
      <c r="D396" s="25"/>
      <c r="E396" s="26"/>
      <c r="F396" s="26"/>
      <c r="G396" s="26"/>
      <c r="H396" s="26"/>
      <c r="I396" s="26"/>
      <c r="J396" s="25"/>
      <c r="K396" s="25"/>
      <c r="L396" s="25"/>
      <c r="M396" s="25"/>
      <c r="N396" s="25"/>
      <c r="O396" s="25"/>
      <c r="P396" s="25"/>
      <c r="Q396" s="25"/>
      <c r="R396" s="25"/>
      <c r="S396" s="25"/>
      <c r="T396" s="25"/>
      <c r="U396" s="25"/>
      <c r="V396" s="25"/>
      <c r="W396" s="25"/>
      <c r="X396" s="25"/>
      <c r="Y396" s="25"/>
      <c r="Z396" s="25"/>
    </row>
    <row r="397" spans="1:26" ht="14.25" customHeight="1" x14ac:dyDescent="0.25">
      <c r="A397" s="26"/>
      <c r="B397" s="25"/>
      <c r="C397" s="25"/>
      <c r="D397" s="25"/>
      <c r="E397" s="26"/>
      <c r="F397" s="26"/>
      <c r="G397" s="26"/>
      <c r="H397" s="26"/>
      <c r="I397" s="26"/>
      <c r="J397" s="25"/>
      <c r="K397" s="25"/>
      <c r="L397" s="25"/>
      <c r="M397" s="25"/>
      <c r="N397" s="25"/>
      <c r="O397" s="25"/>
      <c r="P397" s="25"/>
      <c r="Q397" s="25"/>
      <c r="R397" s="25"/>
      <c r="S397" s="25"/>
      <c r="T397" s="25"/>
      <c r="U397" s="25"/>
      <c r="V397" s="25"/>
      <c r="W397" s="25"/>
      <c r="X397" s="25"/>
      <c r="Y397" s="25"/>
      <c r="Z397" s="25"/>
    </row>
    <row r="398" spans="1:26" ht="14.25" customHeight="1" x14ac:dyDescent="0.25">
      <c r="A398" s="26"/>
      <c r="B398" s="25"/>
      <c r="C398" s="25"/>
      <c r="D398" s="25"/>
      <c r="E398" s="26"/>
      <c r="F398" s="26"/>
      <c r="G398" s="26"/>
      <c r="H398" s="26"/>
      <c r="I398" s="26"/>
      <c r="J398" s="25"/>
      <c r="K398" s="25"/>
      <c r="L398" s="25"/>
      <c r="M398" s="25"/>
      <c r="N398" s="25"/>
      <c r="O398" s="25"/>
      <c r="P398" s="25"/>
      <c r="Q398" s="25"/>
      <c r="R398" s="25"/>
      <c r="S398" s="25"/>
      <c r="T398" s="25"/>
      <c r="U398" s="25"/>
      <c r="V398" s="25"/>
      <c r="W398" s="25"/>
      <c r="X398" s="25"/>
      <c r="Y398" s="25"/>
      <c r="Z398" s="25"/>
    </row>
    <row r="399" spans="1:26" ht="14.25" customHeight="1" x14ac:dyDescent="0.25">
      <c r="A399" s="26"/>
      <c r="B399" s="25"/>
      <c r="C399" s="25"/>
      <c r="D399" s="25"/>
      <c r="E399" s="26"/>
      <c r="F399" s="26"/>
      <c r="G399" s="26"/>
      <c r="H399" s="26"/>
      <c r="I399" s="26"/>
      <c r="J399" s="25"/>
      <c r="K399" s="25"/>
      <c r="L399" s="25"/>
      <c r="M399" s="25"/>
      <c r="N399" s="25"/>
      <c r="O399" s="25"/>
      <c r="P399" s="25"/>
      <c r="Q399" s="25"/>
      <c r="R399" s="25"/>
      <c r="S399" s="25"/>
      <c r="T399" s="25"/>
      <c r="U399" s="25"/>
      <c r="V399" s="25"/>
      <c r="W399" s="25"/>
      <c r="X399" s="25"/>
      <c r="Y399" s="25"/>
      <c r="Z399" s="25"/>
    </row>
    <row r="400" spans="1:26" ht="14.25" customHeight="1" x14ac:dyDescent="0.25">
      <c r="A400" s="26"/>
      <c r="B400" s="25"/>
      <c r="C400" s="25"/>
      <c r="D400" s="25"/>
      <c r="E400" s="26"/>
      <c r="F400" s="26"/>
      <c r="G400" s="26"/>
      <c r="H400" s="26"/>
      <c r="I400" s="26"/>
      <c r="J400" s="25"/>
      <c r="K400" s="25"/>
      <c r="L400" s="25"/>
      <c r="M400" s="25"/>
      <c r="N400" s="25"/>
      <c r="O400" s="25"/>
      <c r="P400" s="25"/>
      <c r="Q400" s="25"/>
      <c r="R400" s="25"/>
      <c r="S400" s="25"/>
      <c r="T400" s="25"/>
      <c r="U400" s="25"/>
      <c r="V400" s="25"/>
      <c r="W400" s="25"/>
      <c r="X400" s="25"/>
      <c r="Y400" s="25"/>
      <c r="Z400" s="25"/>
    </row>
    <row r="401" spans="1:26" ht="14.25" customHeight="1" x14ac:dyDescent="0.25">
      <c r="A401" s="26"/>
      <c r="B401" s="25"/>
      <c r="C401" s="25"/>
      <c r="D401" s="25"/>
      <c r="E401" s="26"/>
      <c r="F401" s="26"/>
      <c r="G401" s="26"/>
      <c r="H401" s="26"/>
      <c r="I401" s="26"/>
      <c r="J401" s="25"/>
      <c r="K401" s="25"/>
      <c r="L401" s="25"/>
      <c r="M401" s="25"/>
      <c r="N401" s="25"/>
      <c r="O401" s="25"/>
      <c r="P401" s="25"/>
      <c r="Q401" s="25"/>
      <c r="R401" s="25"/>
      <c r="S401" s="25"/>
      <c r="T401" s="25"/>
      <c r="U401" s="25"/>
      <c r="V401" s="25"/>
      <c r="W401" s="25"/>
      <c r="X401" s="25"/>
      <c r="Y401" s="25"/>
      <c r="Z401" s="25"/>
    </row>
    <row r="402" spans="1:26" ht="14.25" customHeight="1" x14ac:dyDescent="0.25">
      <c r="A402" s="26"/>
      <c r="B402" s="25"/>
      <c r="C402" s="25"/>
      <c r="D402" s="25"/>
      <c r="E402" s="26"/>
      <c r="F402" s="26"/>
      <c r="G402" s="26"/>
      <c r="H402" s="26"/>
      <c r="I402" s="26"/>
      <c r="J402" s="25"/>
      <c r="K402" s="25"/>
      <c r="L402" s="25"/>
      <c r="M402" s="25"/>
      <c r="N402" s="25"/>
      <c r="O402" s="25"/>
      <c r="P402" s="25"/>
      <c r="Q402" s="25"/>
      <c r="R402" s="25"/>
      <c r="S402" s="25"/>
      <c r="T402" s="25"/>
      <c r="U402" s="25"/>
      <c r="V402" s="25"/>
      <c r="W402" s="25"/>
      <c r="X402" s="25"/>
      <c r="Y402" s="25"/>
      <c r="Z402" s="25"/>
    </row>
    <row r="403" spans="1:26" ht="14.25" customHeight="1" x14ac:dyDescent="0.25">
      <c r="A403" s="26"/>
      <c r="B403" s="25"/>
      <c r="C403" s="25"/>
      <c r="D403" s="25"/>
      <c r="E403" s="26"/>
      <c r="F403" s="26"/>
      <c r="G403" s="26"/>
      <c r="H403" s="26"/>
      <c r="I403" s="26"/>
      <c r="J403" s="25"/>
      <c r="K403" s="25"/>
      <c r="L403" s="25"/>
      <c r="M403" s="25"/>
      <c r="N403" s="25"/>
      <c r="O403" s="25"/>
      <c r="P403" s="25"/>
      <c r="Q403" s="25"/>
      <c r="R403" s="25"/>
      <c r="S403" s="25"/>
      <c r="T403" s="25"/>
      <c r="U403" s="25"/>
      <c r="V403" s="25"/>
      <c r="W403" s="25"/>
      <c r="X403" s="25"/>
      <c r="Y403" s="25"/>
      <c r="Z403" s="25"/>
    </row>
    <row r="404" spans="1:26" ht="14.25" customHeight="1" x14ac:dyDescent="0.25">
      <c r="A404" s="26"/>
      <c r="B404" s="25"/>
      <c r="C404" s="25"/>
      <c r="D404" s="25"/>
      <c r="E404" s="26"/>
      <c r="F404" s="26"/>
      <c r="G404" s="26"/>
      <c r="H404" s="26"/>
      <c r="I404" s="26"/>
      <c r="J404" s="25"/>
      <c r="K404" s="25"/>
      <c r="L404" s="25"/>
      <c r="M404" s="25"/>
      <c r="N404" s="25"/>
      <c r="O404" s="25"/>
      <c r="P404" s="25"/>
      <c r="Q404" s="25"/>
      <c r="R404" s="25"/>
      <c r="S404" s="25"/>
      <c r="T404" s="25"/>
      <c r="U404" s="25"/>
      <c r="V404" s="25"/>
      <c r="W404" s="25"/>
      <c r="X404" s="25"/>
      <c r="Y404" s="25"/>
      <c r="Z404" s="25"/>
    </row>
    <row r="405" spans="1:26" ht="14.25" customHeight="1" x14ac:dyDescent="0.25">
      <c r="A405" s="26"/>
      <c r="B405" s="25"/>
      <c r="C405" s="25"/>
      <c r="D405" s="25"/>
      <c r="E405" s="26"/>
      <c r="F405" s="26"/>
      <c r="G405" s="26"/>
      <c r="H405" s="26"/>
      <c r="I405" s="26"/>
      <c r="J405" s="25"/>
      <c r="K405" s="25"/>
      <c r="L405" s="25"/>
      <c r="M405" s="25"/>
      <c r="N405" s="25"/>
      <c r="O405" s="25"/>
      <c r="P405" s="25"/>
      <c r="Q405" s="25"/>
      <c r="R405" s="25"/>
      <c r="S405" s="25"/>
      <c r="T405" s="25"/>
      <c r="U405" s="25"/>
      <c r="V405" s="25"/>
      <c r="W405" s="25"/>
      <c r="X405" s="25"/>
      <c r="Y405" s="25"/>
      <c r="Z405" s="25"/>
    </row>
    <row r="406" spans="1:26" ht="14.25" customHeight="1" x14ac:dyDescent="0.25">
      <c r="A406" s="26"/>
      <c r="B406" s="25"/>
      <c r="C406" s="25"/>
      <c r="D406" s="25"/>
      <c r="E406" s="26"/>
      <c r="F406" s="26"/>
      <c r="G406" s="26"/>
      <c r="H406" s="26"/>
      <c r="I406" s="26"/>
      <c r="J406" s="25"/>
      <c r="K406" s="25"/>
      <c r="L406" s="25"/>
      <c r="M406" s="25"/>
      <c r="N406" s="25"/>
      <c r="O406" s="25"/>
      <c r="P406" s="25"/>
      <c r="Q406" s="25"/>
      <c r="R406" s="25"/>
      <c r="S406" s="25"/>
      <c r="T406" s="25"/>
      <c r="U406" s="25"/>
      <c r="V406" s="25"/>
      <c r="W406" s="25"/>
      <c r="X406" s="25"/>
      <c r="Y406" s="25"/>
      <c r="Z406" s="25"/>
    </row>
    <row r="407" spans="1:26" ht="14.25" customHeight="1" x14ac:dyDescent="0.25">
      <c r="A407" s="26"/>
      <c r="B407" s="25"/>
      <c r="C407" s="25"/>
      <c r="D407" s="25"/>
      <c r="E407" s="26"/>
      <c r="F407" s="26"/>
      <c r="G407" s="26"/>
      <c r="H407" s="26"/>
      <c r="I407" s="26"/>
      <c r="J407" s="25"/>
      <c r="K407" s="25"/>
      <c r="L407" s="25"/>
      <c r="M407" s="25"/>
      <c r="N407" s="25"/>
      <c r="O407" s="25"/>
      <c r="P407" s="25"/>
      <c r="Q407" s="25"/>
      <c r="R407" s="25"/>
      <c r="S407" s="25"/>
      <c r="T407" s="25"/>
      <c r="U407" s="25"/>
      <c r="V407" s="25"/>
      <c r="W407" s="25"/>
      <c r="X407" s="25"/>
      <c r="Y407" s="25"/>
      <c r="Z407" s="25"/>
    </row>
    <row r="408" spans="1:26" ht="14.25" customHeight="1" x14ac:dyDescent="0.25">
      <c r="A408" s="26"/>
      <c r="B408" s="25"/>
      <c r="C408" s="25"/>
      <c r="D408" s="25"/>
      <c r="E408" s="26"/>
      <c r="F408" s="26"/>
      <c r="G408" s="26"/>
      <c r="H408" s="26"/>
      <c r="I408" s="26"/>
      <c r="J408" s="25"/>
      <c r="K408" s="25"/>
      <c r="L408" s="25"/>
      <c r="M408" s="25"/>
      <c r="N408" s="25"/>
      <c r="O408" s="25"/>
      <c r="P408" s="25"/>
      <c r="Q408" s="25"/>
      <c r="R408" s="25"/>
      <c r="S408" s="25"/>
      <c r="T408" s="25"/>
      <c r="U408" s="25"/>
      <c r="V408" s="25"/>
      <c r="W408" s="25"/>
      <c r="X408" s="25"/>
      <c r="Y408" s="25"/>
      <c r="Z408" s="25"/>
    </row>
    <row r="409" spans="1:26" ht="14.25" customHeight="1" x14ac:dyDescent="0.25">
      <c r="A409" s="26"/>
      <c r="B409" s="25"/>
      <c r="C409" s="25"/>
      <c r="D409" s="25"/>
      <c r="E409" s="26"/>
      <c r="F409" s="26"/>
      <c r="G409" s="26"/>
      <c r="H409" s="26"/>
      <c r="I409" s="26"/>
      <c r="J409" s="25"/>
      <c r="K409" s="25"/>
      <c r="L409" s="25"/>
      <c r="M409" s="25"/>
      <c r="N409" s="25"/>
      <c r="O409" s="25"/>
      <c r="P409" s="25"/>
      <c r="Q409" s="25"/>
      <c r="R409" s="25"/>
      <c r="S409" s="25"/>
      <c r="T409" s="25"/>
      <c r="U409" s="25"/>
      <c r="V409" s="25"/>
      <c r="W409" s="25"/>
      <c r="X409" s="25"/>
      <c r="Y409" s="25"/>
      <c r="Z409" s="25"/>
    </row>
    <row r="410" spans="1:26" ht="14.25" customHeight="1" x14ac:dyDescent="0.25">
      <c r="A410" s="26"/>
      <c r="B410" s="25"/>
      <c r="C410" s="25"/>
      <c r="D410" s="25"/>
      <c r="E410" s="26"/>
      <c r="F410" s="26"/>
      <c r="G410" s="26"/>
      <c r="H410" s="26"/>
      <c r="I410" s="26"/>
      <c r="J410" s="25"/>
      <c r="K410" s="25"/>
      <c r="L410" s="25"/>
      <c r="M410" s="25"/>
      <c r="N410" s="25"/>
      <c r="O410" s="25"/>
      <c r="P410" s="25"/>
      <c r="Q410" s="25"/>
      <c r="R410" s="25"/>
      <c r="S410" s="25"/>
      <c r="T410" s="25"/>
      <c r="U410" s="25"/>
      <c r="V410" s="25"/>
      <c r="W410" s="25"/>
      <c r="X410" s="25"/>
      <c r="Y410" s="25"/>
      <c r="Z410" s="25"/>
    </row>
    <row r="411" spans="1:26" ht="14.25" customHeight="1" x14ac:dyDescent="0.25">
      <c r="A411" s="26"/>
      <c r="B411" s="25"/>
      <c r="C411" s="25"/>
      <c r="D411" s="25"/>
      <c r="E411" s="26"/>
      <c r="F411" s="26"/>
      <c r="G411" s="26"/>
      <c r="H411" s="26"/>
      <c r="I411" s="26"/>
      <c r="J411" s="25"/>
      <c r="K411" s="25"/>
      <c r="L411" s="25"/>
      <c r="M411" s="25"/>
      <c r="N411" s="25"/>
      <c r="O411" s="25"/>
      <c r="P411" s="25"/>
      <c r="Q411" s="25"/>
      <c r="R411" s="25"/>
      <c r="S411" s="25"/>
      <c r="T411" s="25"/>
      <c r="U411" s="25"/>
      <c r="V411" s="25"/>
      <c r="W411" s="25"/>
      <c r="X411" s="25"/>
      <c r="Y411" s="25"/>
      <c r="Z411" s="25"/>
    </row>
    <row r="412" spans="1:26" ht="14.25" customHeight="1" x14ac:dyDescent="0.25">
      <c r="A412" s="26"/>
      <c r="B412" s="25"/>
      <c r="C412" s="25"/>
      <c r="D412" s="25"/>
      <c r="E412" s="26"/>
      <c r="F412" s="26"/>
      <c r="G412" s="26"/>
      <c r="H412" s="26"/>
      <c r="I412" s="26"/>
      <c r="J412" s="25"/>
      <c r="K412" s="25"/>
      <c r="L412" s="25"/>
      <c r="M412" s="25"/>
      <c r="N412" s="25"/>
      <c r="O412" s="25"/>
      <c r="P412" s="25"/>
      <c r="Q412" s="25"/>
      <c r="R412" s="25"/>
      <c r="S412" s="25"/>
      <c r="T412" s="25"/>
      <c r="U412" s="25"/>
      <c r="V412" s="25"/>
      <c r="W412" s="25"/>
      <c r="X412" s="25"/>
      <c r="Y412" s="25"/>
      <c r="Z412" s="25"/>
    </row>
    <row r="413" spans="1:26" ht="14.25" customHeight="1" x14ac:dyDescent="0.25">
      <c r="A413" s="26"/>
      <c r="B413" s="25"/>
      <c r="C413" s="25"/>
      <c r="D413" s="25"/>
      <c r="E413" s="26"/>
      <c r="F413" s="26"/>
      <c r="G413" s="26"/>
      <c r="H413" s="26"/>
      <c r="I413" s="26"/>
      <c r="J413" s="25"/>
      <c r="K413" s="25"/>
      <c r="L413" s="25"/>
      <c r="M413" s="25"/>
      <c r="N413" s="25"/>
      <c r="O413" s="25"/>
      <c r="P413" s="25"/>
      <c r="Q413" s="25"/>
      <c r="R413" s="25"/>
      <c r="S413" s="25"/>
      <c r="T413" s="25"/>
      <c r="U413" s="25"/>
      <c r="V413" s="25"/>
      <c r="W413" s="25"/>
      <c r="X413" s="25"/>
      <c r="Y413" s="25"/>
      <c r="Z413" s="25"/>
    </row>
    <row r="414" spans="1:26" ht="14.25" customHeight="1" x14ac:dyDescent="0.25">
      <c r="A414" s="26"/>
      <c r="B414" s="25"/>
      <c r="C414" s="25"/>
      <c r="D414" s="25"/>
      <c r="E414" s="26"/>
      <c r="F414" s="26"/>
      <c r="G414" s="26"/>
      <c r="H414" s="26"/>
      <c r="I414" s="26"/>
      <c r="J414" s="25"/>
      <c r="K414" s="25"/>
      <c r="L414" s="25"/>
      <c r="M414" s="25"/>
      <c r="N414" s="25"/>
      <c r="O414" s="25"/>
      <c r="P414" s="25"/>
      <c r="Q414" s="25"/>
      <c r="R414" s="25"/>
      <c r="S414" s="25"/>
      <c r="T414" s="25"/>
      <c r="U414" s="25"/>
      <c r="V414" s="25"/>
      <c r="W414" s="25"/>
      <c r="X414" s="25"/>
      <c r="Y414" s="25"/>
      <c r="Z414" s="25"/>
    </row>
    <row r="415" spans="1:26" ht="14.25" customHeight="1" x14ac:dyDescent="0.25">
      <c r="A415" s="26"/>
      <c r="B415" s="25"/>
      <c r="C415" s="25"/>
      <c r="D415" s="25"/>
      <c r="E415" s="26"/>
      <c r="F415" s="26"/>
      <c r="G415" s="26"/>
      <c r="H415" s="26"/>
      <c r="I415" s="26"/>
      <c r="J415" s="25"/>
      <c r="K415" s="25"/>
      <c r="L415" s="25"/>
      <c r="M415" s="25"/>
      <c r="N415" s="25"/>
      <c r="O415" s="25"/>
      <c r="P415" s="25"/>
      <c r="Q415" s="25"/>
      <c r="R415" s="25"/>
      <c r="S415" s="25"/>
      <c r="T415" s="25"/>
      <c r="U415" s="25"/>
      <c r="V415" s="25"/>
      <c r="W415" s="25"/>
      <c r="X415" s="25"/>
      <c r="Y415" s="25"/>
      <c r="Z415" s="25"/>
    </row>
    <row r="416" spans="1:26" ht="14.25" customHeight="1" x14ac:dyDescent="0.25">
      <c r="A416" s="26"/>
      <c r="B416" s="25"/>
      <c r="C416" s="25"/>
      <c r="D416" s="25"/>
      <c r="E416" s="26"/>
      <c r="F416" s="26"/>
      <c r="G416" s="26"/>
      <c r="H416" s="26"/>
      <c r="I416" s="26"/>
      <c r="J416" s="25"/>
      <c r="K416" s="25"/>
      <c r="L416" s="25"/>
      <c r="M416" s="25"/>
      <c r="N416" s="25"/>
      <c r="O416" s="25"/>
      <c r="P416" s="25"/>
      <c r="Q416" s="25"/>
      <c r="R416" s="25"/>
      <c r="S416" s="25"/>
      <c r="T416" s="25"/>
      <c r="U416" s="25"/>
      <c r="V416" s="25"/>
      <c r="W416" s="25"/>
      <c r="X416" s="25"/>
      <c r="Y416" s="25"/>
      <c r="Z416" s="25"/>
    </row>
    <row r="417" spans="1:26" ht="14.25" customHeight="1" x14ac:dyDescent="0.25">
      <c r="A417" s="26"/>
      <c r="B417" s="25"/>
      <c r="C417" s="25"/>
      <c r="D417" s="25"/>
      <c r="E417" s="26"/>
      <c r="F417" s="26"/>
      <c r="G417" s="26"/>
      <c r="H417" s="26"/>
      <c r="I417" s="26"/>
      <c r="J417" s="25"/>
      <c r="K417" s="25"/>
      <c r="L417" s="25"/>
      <c r="M417" s="25"/>
      <c r="N417" s="25"/>
      <c r="O417" s="25"/>
      <c r="P417" s="25"/>
      <c r="Q417" s="25"/>
      <c r="R417" s="25"/>
      <c r="S417" s="25"/>
      <c r="T417" s="25"/>
      <c r="U417" s="25"/>
      <c r="V417" s="25"/>
      <c r="W417" s="25"/>
      <c r="X417" s="25"/>
      <c r="Y417" s="25"/>
      <c r="Z417" s="25"/>
    </row>
    <row r="418" spans="1:26" ht="14.25" customHeight="1" x14ac:dyDescent="0.25">
      <c r="A418" s="26"/>
      <c r="B418" s="25"/>
      <c r="C418" s="25"/>
      <c r="D418" s="25"/>
      <c r="E418" s="26"/>
      <c r="F418" s="26"/>
      <c r="G418" s="26"/>
      <c r="H418" s="26"/>
      <c r="I418" s="26"/>
      <c r="J418" s="25"/>
      <c r="K418" s="25"/>
      <c r="L418" s="25"/>
      <c r="M418" s="25"/>
      <c r="N418" s="25"/>
      <c r="O418" s="25"/>
      <c r="P418" s="25"/>
      <c r="Q418" s="25"/>
      <c r="R418" s="25"/>
      <c r="S418" s="25"/>
      <c r="T418" s="25"/>
      <c r="U418" s="25"/>
      <c r="V418" s="25"/>
      <c r="W418" s="25"/>
      <c r="X418" s="25"/>
      <c r="Y418" s="25"/>
      <c r="Z418" s="25"/>
    </row>
    <row r="419" spans="1:26" ht="14.25" customHeight="1" x14ac:dyDescent="0.25">
      <c r="A419" s="26"/>
      <c r="B419" s="25"/>
      <c r="C419" s="25"/>
      <c r="D419" s="25"/>
      <c r="E419" s="26"/>
      <c r="F419" s="26"/>
      <c r="G419" s="26"/>
      <c r="H419" s="26"/>
      <c r="I419" s="26"/>
      <c r="J419" s="25"/>
      <c r="K419" s="25"/>
      <c r="L419" s="25"/>
      <c r="M419" s="25"/>
      <c r="N419" s="25"/>
      <c r="O419" s="25"/>
      <c r="P419" s="25"/>
      <c r="Q419" s="25"/>
      <c r="R419" s="25"/>
      <c r="S419" s="25"/>
      <c r="T419" s="25"/>
      <c r="U419" s="25"/>
      <c r="V419" s="25"/>
      <c r="W419" s="25"/>
      <c r="X419" s="25"/>
      <c r="Y419" s="25"/>
      <c r="Z419" s="25"/>
    </row>
    <row r="420" spans="1:26" ht="14.25" customHeight="1" x14ac:dyDescent="0.25">
      <c r="A420" s="26"/>
      <c r="B420" s="25"/>
      <c r="C420" s="25"/>
      <c r="D420" s="25"/>
      <c r="E420" s="26"/>
      <c r="F420" s="26"/>
      <c r="G420" s="26"/>
      <c r="H420" s="26"/>
      <c r="I420" s="26"/>
      <c r="J420" s="25"/>
      <c r="K420" s="25"/>
      <c r="L420" s="25"/>
      <c r="M420" s="25"/>
      <c r="N420" s="25"/>
      <c r="O420" s="25"/>
      <c r="P420" s="25"/>
      <c r="Q420" s="25"/>
      <c r="R420" s="25"/>
      <c r="S420" s="25"/>
      <c r="T420" s="25"/>
      <c r="U420" s="25"/>
      <c r="V420" s="25"/>
      <c r="W420" s="25"/>
      <c r="X420" s="25"/>
      <c r="Y420" s="25"/>
      <c r="Z420" s="25"/>
    </row>
    <row r="421" spans="1:26" ht="14.25" customHeight="1" x14ac:dyDescent="0.25">
      <c r="A421" s="26"/>
      <c r="B421" s="25"/>
      <c r="C421" s="25"/>
      <c r="D421" s="25"/>
      <c r="E421" s="26"/>
      <c r="F421" s="26"/>
      <c r="G421" s="26"/>
      <c r="H421" s="26"/>
      <c r="I421" s="26"/>
      <c r="J421" s="25"/>
      <c r="K421" s="25"/>
      <c r="L421" s="25"/>
      <c r="M421" s="25"/>
      <c r="N421" s="25"/>
      <c r="O421" s="25"/>
      <c r="P421" s="25"/>
      <c r="Q421" s="25"/>
      <c r="R421" s="25"/>
      <c r="S421" s="25"/>
      <c r="T421" s="25"/>
      <c r="U421" s="25"/>
      <c r="V421" s="25"/>
      <c r="W421" s="25"/>
      <c r="X421" s="25"/>
      <c r="Y421" s="25"/>
      <c r="Z421" s="25"/>
    </row>
    <row r="422" spans="1:26" ht="14.25" customHeight="1" x14ac:dyDescent="0.25">
      <c r="A422" s="26"/>
      <c r="B422" s="25"/>
      <c r="C422" s="25"/>
      <c r="D422" s="25"/>
      <c r="E422" s="26"/>
      <c r="F422" s="26"/>
      <c r="G422" s="26"/>
      <c r="H422" s="26"/>
      <c r="I422" s="26"/>
      <c r="J422" s="25"/>
      <c r="K422" s="25"/>
      <c r="L422" s="25"/>
      <c r="M422" s="25"/>
      <c r="N422" s="25"/>
      <c r="O422" s="25"/>
      <c r="P422" s="25"/>
      <c r="Q422" s="25"/>
      <c r="R422" s="25"/>
      <c r="S422" s="25"/>
      <c r="T422" s="25"/>
      <c r="U422" s="25"/>
      <c r="V422" s="25"/>
      <c r="W422" s="25"/>
      <c r="X422" s="25"/>
      <c r="Y422" s="25"/>
      <c r="Z422" s="25"/>
    </row>
    <row r="423" spans="1:26" ht="14.25" customHeight="1" x14ac:dyDescent="0.25">
      <c r="A423" s="26"/>
      <c r="B423" s="25"/>
      <c r="C423" s="25"/>
      <c r="D423" s="25"/>
      <c r="E423" s="26"/>
      <c r="F423" s="26"/>
      <c r="G423" s="26"/>
      <c r="H423" s="26"/>
      <c r="I423" s="26"/>
      <c r="J423" s="25"/>
      <c r="K423" s="25"/>
      <c r="L423" s="25"/>
      <c r="M423" s="25"/>
      <c r="N423" s="25"/>
      <c r="O423" s="25"/>
      <c r="P423" s="25"/>
      <c r="Q423" s="25"/>
      <c r="R423" s="25"/>
      <c r="S423" s="25"/>
      <c r="T423" s="25"/>
      <c r="U423" s="25"/>
      <c r="V423" s="25"/>
      <c r="W423" s="25"/>
      <c r="X423" s="25"/>
      <c r="Y423" s="25"/>
      <c r="Z423" s="25"/>
    </row>
    <row r="424" spans="1:26" ht="14.25" customHeight="1" x14ac:dyDescent="0.25">
      <c r="A424" s="26"/>
      <c r="B424" s="25"/>
      <c r="C424" s="25"/>
      <c r="D424" s="25"/>
      <c r="E424" s="26"/>
      <c r="F424" s="26"/>
      <c r="G424" s="26"/>
      <c r="H424" s="26"/>
      <c r="I424" s="26"/>
      <c r="J424" s="25"/>
      <c r="K424" s="25"/>
      <c r="L424" s="25"/>
      <c r="M424" s="25"/>
      <c r="N424" s="25"/>
      <c r="O424" s="25"/>
      <c r="P424" s="25"/>
      <c r="Q424" s="25"/>
      <c r="R424" s="25"/>
      <c r="S424" s="25"/>
      <c r="T424" s="25"/>
      <c r="U424" s="25"/>
      <c r="V424" s="25"/>
      <c r="W424" s="25"/>
      <c r="X424" s="25"/>
      <c r="Y424" s="25"/>
      <c r="Z424" s="25"/>
    </row>
    <row r="425" spans="1:26" ht="14.25" customHeight="1" x14ac:dyDescent="0.25">
      <c r="A425" s="26"/>
      <c r="B425" s="25"/>
      <c r="C425" s="25"/>
      <c r="D425" s="25"/>
      <c r="E425" s="26"/>
      <c r="F425" s="26"/>
      <c r="G425" s="26"/>
      <c r="H425" s="26"/>
      <c r="I425" s="26"/>
      <c r="J425" s="25"/>
      <c r="K425" s="25"/>
      <c r="L425" s="25"/>
      <c r="M425" s="25"/>
      <c r="N425" s="25"/>
      <c r="O425" s="25"/>
      <c r="P425" s="25"/>
      <c r="Q425" s="25"/>
      <c r="R425" s="25"/>
      <c r="S425" s="25"/>
      <c r="T425" s="25"/>
      <c r="U425" s="25"/>
      <c r="V425" s="25"/>
      <c r="W425" s="25"/>
      <c r="X425" s="25"/>
      <c r="Y425" s="25"/>
      <c r="Z425" s="25"/>
    </row>
    <row r="426" spans="1:26" ht="14.25" customHeight="1" x14ac:dyDescent="0.25">
      <c r="A426" s="26"/>
      <c r="B426" s="25"/>
      <c r="C426" s="25"/>
      <c r="D426" s="25"/>
      <c r="E426" s="26"/>
      <c r="F426" s="26"/>
      <c r="G426" s="26"/>
      <c r="H426" s="26"/>
      <c r="I426" s="26"/>
      <c r="J426" s="25"/>
      <c r="K426" s="25"/>
      <c r="L426" s="25"/>
      <c r="M426" s="25"/>
      <c r="N426" s="25"/>
      <c r="O426" s="25"/>
      <c r="P426" s="25"/>
      <c r="Q426" s="25"/>
      <c r="R426" s="25"/>
      <c r="S426" s="25"/>
      <c r="T426" s="25"/>
      <c r="U426" s="25"/>
      <c r="V426" s="25"/>
      <c r="W426" s="25"/>
      <c r="X426" s="25"/>
      <c r="Y426" s="25"/>
      <c r="Z426" s="25"/>
    </row>
    <row r="427" spans="1:26" ht="14.25" customHeight="1" x14ac:dyDescent="0.25">
      <c r="A427" s="26"/>
      <c r="B427" s="25"/>
      <c r="C427" s="25"/>
      <c r="D427" s="25"/>
      <c r="E427" s="26"/>
      <c r="F427" s="26"/>
      <c r="G427" s="26"/>
      <c r="H427" s="26"/>
      <c r="I427" s="26"/>
      <c r="J427" s="25"/>
      <c r="K427" s="25"/>
      <c r="L427" s="25"/>
      <c r="M427" s="25"/>
      <c r="N427" s="25"/>
      <c r="O427" s="25"/>
      <c r="P427" s="25"/>
      <c r="Q427" s="25"/>
      <c r="R427" s="25"/>
      <c r="S427" s="25"/>
      <c r="T427" s="25"/>
      <c r="U427" s="25"/>
      <c r="V427" s="25"/>
      <c r="W427" s="25"/>
      <c r="X427" s="25"/>
      <c r="Y427" s="25"/>
      <c r="Z427" s="25"/>
    </row>
    <row r="428" spans="1:26" ht="14.25" customHeight="1" x14ac:dyDescent="0.25">
      <c r="A428" s="26"/>
      <c r="B428" s="25"/>
      <c r="C428" s="25"/>
      <c r="D428" s="25"/>
      <c r="E428" s="26"/>
      <c r="F428" s="26"/>
      <c r="G428" s="26"/>
      <c r="H428" s="26"/>
      <c r="I428" s="26"/>
      <c r="J428" s="25"/>
      <c r="K428" s="25"/>
      <c r="L428" s="25"/>
      <c r="M428" s="25"/>
      <c r="N428" s="25"/>
      <c r="O428" s="25"/>
      <c r="P428" s="25"/>
      <c r="Q428" s="25"/>
      <c r="R428" s="25"/>
      <c r="S428" s="25"/>
      <c r="T428" s="25"/>
      <c r="U428" s="25"/>
      <c r="V428" s="25"/>
      <c r="W428" s="25"/>
      <c r="X428" s="25"/>
      <c r="Y428" s="25"/>
      <c r="Z428" s="25"/>
    </row>
    <row r="429" spans="1:26" ht="14.25" customHeight="1" x14ac:dyDescent="0.25">
      <c r="A429" s="26"/>
      <c r="B429" s="25"/>
      <c r="C429" s="25"/>
      <c r="D429" s="25"/>
      <c r="E429" s="26"/>
      <c r="F429" s="26"/>
      <c r="G429" s="26"/>
      <c r="H429" s="26"/>
      <c r="I429" s="26"/>
      <c r="J429" s="25"/>
      <c r="K429" s="25"/>
      <c r="L429" s="25"/>
      <c r="M429" s="25"/>
      <c r="N429" s="25"/>
      <c r="O429" s="25"/>
      <c r="P429" s="25"/>
      <c r="Q429" s="25"/>
      <c r="R429" s="25"/>
      <c r="S429" s="25"/>
      <c r="T429" s="25"/>
      <c r="U429" s="25"/>
      <c r="V429" s="25"/>
      <c r="W429" s="25"/>
      <c r="X429" s="25"/>
      <c r="Y429" s="25"/>
      <c r="Z429" s="25"/>
    </row>
    <row r="430" spans="1:26" ht="14.25" customHeight="1" x14ac:dyDescent="0.25">
      <c r="A430" s="26"/>
      <c r="B430" s="25"/>
      <c r="C430" s="25"/>
      <c r="D430" s="25"/>
      <c r="E430" s="26"/>
      <c r="F430" s="26"/>
      <c r="G430" s="26"/>
      <c r="H430" s="26"/>
      <c r="I430" s="26"/>
      <c r="J430" s="25"/>
      <c r="K430" s="25"/>
      <c r="L430" s="25"/>
      <c r="M430" s="25"/>
      <c r="N430" s="25"/>
      <c r="O430" s="25"/>
      <c r="P430" s="25"/>
      <c r="Q430" s="25"/>
      <c r="R430" s="25"/>
      <c r="S430" s="25"/>
      <c r="T430" s="25"/>
      <c r="U430" s="25"/>
      <c r="V430" s="25"/>
      <c r="W430" s="25"/>
      <c r="X430" s="25"/>
      <c r="Y430" s="25"/>
      <c r="Z430" s="25"/>
    </row>
    <row r="431" spans="1:26" ht="14.25" customHeight="1" x14ac:dyDescent="0.25">
      <c r="A431" s="26"/>
      <c r="B431" s="25"/>
      <c r="C431" s="25"/>
      <c r="D431" s="25"/>
      <c r="E431" s="26"/>
      <c r="F431" s="26"/>
      <c r="G431" s="26"/>
      <c r="H431" s="26"/>
      <c r="I431" s="26"/>
      <c r="J431" s="25"/>
      <c r="K431" s="25"/>
      <c r="L431" s="25"/>
      <c r="M431" s="25"/>
      <c r="N431" s="25"/>
      <c r="O431" s="25"/>
      <c r="P431" s="25"/>
      <c r="Q431" s="25"/>
      <c r="R431" s="25"/>
      <c r="S431" s="25"/>
      <c r="T431" s="25"/>
      <c r="U431" s="25"/>
      <c r="V431" s="25"/>
      <c r="W431" s="25"/>
      <c r="X431" s="25"/>
      <c r="Y431" s="25"/>
      <c r="Z431" s="25"/>
    </row>
    <row r="432" spans="1:26" ht="14.25" customHeight="1" x14ac:dyDescent="0.25">
      <c r="A432" s="26"/>
      <c r="B432" s="25"/>
      <c r="C432" s="25"/>
      <c r="D432" s="25"/>
      <c r="E432" s="26"/>
      <c r="F432" s="26"/>
      <c r="G432" s="26"/>
      <c r="H432" s="26"/>
      <c r="I432" s="26"/>
      <c r="J432" s="25"/>
      <c r="K432" s="25"/>
      <c r="L432" s="25"/>
      <c r="M432" s="25"/>
      <c r="N432" s="25"/>
      <c r="O432" s="25"/>
      <c r="P432" s="25"/>
      <c r="Q432" s="25"/>
      <c r="R432" s="25"/>
      <c r="S432" s="25"/>
      <c r="T432" s="25"/>
      <c r="U432" s="25"/>
      <c r="V432" s="25"/>
      <c r="W432" s="25"/>
      <c r="X432" s="25"/>
      <c r="Y432" s="25"/>
      <c r="Z432" s="25"/>
    </row>
    <row r="433" spans="1:26" ht="14.25" customHeight="1" x14ac:dyDescent="0.25">
      <c r="A433" s="26"/>
      <c r="B433" s="25"/>
      <c r="C433" s="25"/>
      <c r="D433" s="25"/>
      <c r="E433" s="26"/>
      <c r="F433" s="26"/>
      <c r="G433" s="26"/>
      <c r="H433" s="26"/>
      <c r="I433" s="26"/>
      <c r="J433" s="25"/>
      <c r="K433" s="25"/>
      <c r="L433" s="25"/>
      <c r="M433" s="25"/>
      <c r="N433" s="25"/>
      <c r="O433" s="25"/>
      <c r="P433" s="25"/>
      <c r="Q433" s="25"/>
      <c r="R433" s="25"/>
      <c r="S433" s="25"/>
      <c r="T433" s="25"/>
      <c r="U433" s="25"/>
      <c r="V433" s="25"/>
      <c r="W433" s="25"/>
      <c r="X433" s="25"/>
      <c r="Y433" s="25"/>
      <c r="Z433" s="25"/>
    </row>
    <row r="434" spans="1:26" ht="14.25" customHeight="1" x14ac:dyDescent="0.25">
      <c r="A434" s="26"/>
      <c r="B434" s="25"/>
      <c r="C434" s="25"/>
      <c r="D434" s="25"/>
      <c r="E434" s="26"/>
      <c r="F434" s="26"/>
      <c r="G434" s="26"/>
      <c r="H434" s="26"/>
      <c r="I434" s="26"/>
      <c r="J434" s="25"/>
      <c r="K434" s="25"/>
      <c r="L434" s="25"/>
      <c r="M434" s="25"/>
      <c r="N434" s="25"/>
      <c r="O434" s="25"/>
      <c r="P434" s="25"/>
      <c r="Q434" s="25"/>
      <c r="R434" s="25"/>
      <c r="S434" s="25"/>
      <c r="T434" s="25"/>
      <c r="U434" s="25"/>
      <c r="V434" s="25"/>
      <c r="W434" s="25"/>
      <c r="X434" s="25"/>
      <c r="Y434" s="25"/>
      <c r="Z434" s="25"/>
    </row>
    <row r="435" spans="1:26" ht="14.25" customHeight="1" x14ac:dyDescent="0.25">
      <c r="A435" s="26"/>
      <c r="B435" s="25"/>
      <c r="C435" s="25"/>
      <c r="D435" s="25"/>
      <c r="E435" s="26"/>
      <c r="F435" s="26"/>
      <c r="G435" s="26"/>
      <c r="H435" s="26"/>
      <c r="I435" s="26"/>
      <c r="J435" s="25"/>
      <c r="K435" s="25"/>
      <c r="L435" s="25"/>
      <c r="M435" s="25"/>
      <c r="N435" s="25"/>
      <c r="O435" s="25"/>
      <c r="P435" s="25"/>
      <c r="Q435" s="25"/>
      <c r="R435" s="25"/>
      <c r="S435" s="25"/>
      <c r="T435" s="25"/>
      <c r="U435" s="25"/>
      <c r="V435" s="25"/>
      <c r="W435" s="25"/>
      <c r="X435" s="25"/>
      <c r="Y435" s="25"/>
      <c r="Z435" s="25"/>
    </row>
    <row r="436" spans="1:26" ht="14.25" customHeight="1" x14ac:dyDescent="0.25">
      <c r="A436" s="26"/>
      <c r="B436" s="25"/>
      <c r="C436" s="25"/>
      <c r="D436" s="25"/>
      <c r="E436" s="26"/>
      <c r="F436" s="26"/>
      <c r="G436" s="26"/>
      <c r="H436" s="26"/>
      <c r="I436" s="26"/>
      <c r="J436" s="25"/>
      <c r="K436" s="25"/>
      <c r="L436" s="25"/>
      <c r="M436" s="25"/>
      <c r="N436" s="25"/>
      <c r="O436" s="25"/>
      <c r="P436" s="25"/>
      <c r="Q436" s="25"/>
      <c r="R436" s="25"/>
      <c r="S436" s="25"/>
      <c r="T436" s="25"/>
      <c r="U436" s="25"/>
      <c r="V436" s="25"/>
      <c r="W436" s="25"/>
      <c r="X436" s="25"/>
      <c r="Y436" s="25"/>
      <c r="Z436" s="25"/>
    </row>
    <row r="437" spans="1:26" ht="14.25" customHeight="1" x14ac:dyDescent="0.25">
      <c r="A437" s="26"/>
      <c r="B437" s="25"/>
      <c r="C437" s="25"/>
      <c r="D437" s="25"/>
      <c r="E437" s="26"/>
      <c r="F437" s="26"/>
      <c r="G437" s="26"/>
      <c r="H437" s="26"/>
      <c r="I437" s="26"/>
      <c r="J437" s="25"/>
      <c r="K437" s="25"/>
      <c r="L437" s="25"/>
      <c r="M437" s="25"/>
      <c r="N437" s="25"/>
      <c r="O437" s="25"/>
      <c r="P437" s="25"/>
      <c r="Q437" s="25"/>
      <c r="R437" s="25"/>
      <c r="S437" s="25"/>
      <c r="T437" s="25"/>
      <c r="U437" s="25"/>
      <c r="V437" s="25"/>
      <c r="W437" s="25"/>
      <c r="X437" s="25"/>
      <c r="Y437" s="25"/>
      <c r="Z437" s="25"/>
    </row>
    <row r="438" spans="1:26" ht="14.25" customHeight="1" x14ac:dyDescent="0.25">
      <c r="A438" s="26"/>
      <c r="B438" s="25"/>
      <c r="C438" s="25"/>
      <c r="D438" s="25"/>
      <c r="E438" s="26"/>
      <c r="F438" s="26"/>
      <c r="G438" s="26"/>
      <c r="H438" s="26"/>
      <c r="I438" s="26"/>
      <c r="J438" s="25"/>
      <c r="K438" s="25"/>
      <c r="L438" s="25"/>
      <c r="M438" s="25"/>
      <c r="N438" s="25"/>
      <c r="O438" s="25"/>
      <c r="P438" s="25"/>
      <c r="Q438" s="25"/>
      <c r="R438" s="25"/>
      <c r="S438" s="25"/>
      <c r="T438" s="25"/>
      <c r="U438" s="25"/>
      <c r="V438" s="25"/>
      <c r="W438" s="25"/>
      <c r="X438" s="25"/>
      <c r="Y438" s="25"/>
      <c r="Z438" s="25"/>
    </row>
    <row r="439" spans="1:26" ht="14.25" customHeight="1" x14ac:dyDescent="0.25">
      <c r="A439" s="26"/>
      <c r="B439" s="25"/>
      <c r="C439" s="25"/>
      <c r="D439" s="25"/>
      <c r="E439" s="26"/>
      <c r="F439" s="26"/>
      <c r="G439" s="26"/>
      <c r="H439" s="26"/>
      <c r="I439" s="26"/>
      <c r="J439" s="25"/>
      <c r="K439" s="25"/>
      <c r="L439" s="25"/>
      <c r="M439" s="25"/>
      <c r="N439" s="25"/>
      <c r="O439" s="25"/>
      <c r="P439" s="25"/>
      <c r="Q439" s="25"/>
      <c r="R439" s="25"/>
      <c r="S439" s="25"/>
      <c r="T439" s="25"/>
      <c r="U439" s="25"/>
      <c r="V439" s="25"/>
      <c r="W439" s="25"/>
      <c r="X439" s="25"/>
      <c r="Y439" s="25"/>
      <c r="Z439" s="25"/>
    </row>
    <row r="440" spans="1:26" ht="14.25" customHeight="1" x14ac:dyDescent="0.25">
      <c r="A440" s="26"/>
      <c r="B440" s="25"/>
      <c r="C440" s="25"/>
      <c r="D440" s="25"/>
      <c r="E440" s="26"/>
      <c r="F440" s="26"/>
      <c r="G440" s="26"/>
      <c r="H440" s="26"/>
      <c r="I440" s="26"/>
      <c r="J440" s="25"/>
      <c r="K440" s="25"/>
      <c r="L440" s="25"/>
      <c r="M440" s="25"/>
      <c r="N440" s="25"/>
      <c r="O440" s="25"/>
      <c r="P440" s="25"/>
      <c r="Q440" s="25"/>
      <c r="R440" s="25"/>
      <c r="S440" s="25"/>
      <c r="T440" s="25"/>
      <c r="U440" s="25"/>
      <c r="V440" s="25"/>
      <c r="W440" s="25"/>
      <c r="X440" s="25"/>
      <c r="Y440" s="25"/>
      <c r="Z440" s="25"/>
    </row>
    <row r="441" spans="1:26" ht="14.25" customHeight="1" x14ac:dyDescent="0.25">
      <c r="A441" s="26"/>
      <c r="B441" s="25"/>
      <c r="C441" s="25"/>
      <c r="D441" s="25"/>
      <c r="E441" s="26"/>
      <c r="F441" s="26"/>
      <c r="G441" s="26"/>
      <c r="H441" s="26"/>
      <c r="I441" s="26"/>
      <c r="J441" s="25"/>
      <c r="K441" s="25"/>
      <c r="L441" s="25"/>
      <c r="M441" s="25"/>
      <c r="N441" s="25"/>
      <c r="O441" s="25"/>
      <c r="P441" s="25"/>
      <c r="Q441" s="25"/>
      <c r="R441" s="25"/>
      <c r="S441" s="25"/>
      <c r="T441" s="25"/>
      <c r="U441" s="25"/>
      <c r="V441" s="25"/>
      <c r="W441" s="25"/>
      <c r="X441" s="25"/>
      <c r="Y441" s="25"/>
      <c r="Z441" s="25"/>
    </row>
    <row r="442" spans="1:26" ht="14.25" customHeight="1" x14ac:dyDescent="0.25">
      <c r="A442" s="26"/>
      <c r="B442" s="25"/>
      <c r="C442" s="25"/>
      <c r="D442" s="25"/>
      <c r="E442" s="26"/>
      <c r="F442" s="26"/>
      <c r="G442" s="26"/>
      <c r="H442" s="26"/>
      <c r="I442" s="26"/>
      <c r="J442" s="25"/>
      <c r="K442" s="25"/>
      <c r="L442" s="25"/>
      <c r="M442" s="25"/>
      <c r="N442" s="25"/>
      <c r="O442" s="25"/>
      <c r="P442" s="25"/>
      <c r="Q442" s="25"/>
      <c r="R442" s="25"/>
      <c r="S442" s="25"/>
      <c r="T442" s="25"/>
      <c r="U442" s="25"/>
      <c r="V442" s="25"/>
      <c r="W442" s="25"/>
      <c r="X442" s="25"/>
      <c r="Y442" s="25"/>
      <c r="Z442" s="25"/>
    </row>
    <row r="443" spans="1:26" ht="14.25" customHeight="1" x14ac:dyDescent="0.25">
      <c r="A443" s="26"/>
      <c r="B443" s="25"/>
      <c r="C443" s="25"/>
      <c r="D443" s="25"/>
      <c r="E443" s="26"/>
      <c r="F443" s="26"/>
      <c r="G443" s="26"/>
      <c r="H443" s="26"/>
      <c r="I443" s="26"/>
      <c r="J443" s="25"/>
      <c r="K443" s="25"/>
      <c r="L443" s="25"/>
      <c r="M443" s="25"/>
      <c r="N443" s="25"/>
      <c r="O443" s="25"/>
      <c r="P443" s="25"/>
      <c r="Q443" s="25"/>
      <c r="R443" s="25"/>
      <c r="S443" s="25"/>
      <c r="T443" s="25"/>
      <c r="U443" s="25"/>
      <c r="V443" s="25"/>
      <c r="W443" s="25"/>
      <c r="X443" s="25"/>
      <c r="Y443" s="25"/>
      <c r="Z443" s="25"/>
    </row>
    <row r="444" spans="1:26" ht="14.25" customHeight="1" x14ac:dyDescent="0.25">
      <c r="A444" s="26"/>
      <c r="B444" s="25"/>
      <c r="C444" s="25"/>
      <c r="D444" s="25"/>
      <c r="E444" s="26"/>
      <c r="F444" s="26"/>
      <c r="G444" s="26"/>
      <c r="H444" s="26"/>
      <c r="I444" s="26"/>
      <c r="J444" s="25"/>
      <c r="K444" s="25"/>
      <c r="L444" s="25"/>
      <c r="M444" s="25"/>
      <c r="N444" s="25"/>
      <c r="O444" s="25"/>
      <c r="P444" s="25"/>
      <c r="Q444" s="25"/>
      <c r="R444" s="25"/>
      <c r="S444" s="25"/>
      <c r="T444" s="25"/>
      <c r="U444" s="25"/>
      <c r="V444" s="25"/>
      <c r="W444" s="25"/>
      <c r="X444" s="25"/>
      <c r="Y444" s="25"/>
      <c r="Z444" s="25"/>
    </row>
    <row r="445" spans="1:26" ht="14.25" customHeight="1" x14ac:dyDescent="0.25">
      <c r="A445" s="26"/>
      <c r="B445" s="25"/>
      <c r="C445" s="25"/>
      <c r="D445" s="25"/>
      <c r="E445" s="26"/>
      <c r="F445" s="26"/>
      <c r="G445" s="26"/>
      <c r="H445" s="26"/>
      <c r="I445" s="26"/>
      <c r="J445" s="25"/>
      <c r="K445" s="25"/>
      <c r="L445" s="25"/>
      <c r="M445" s="25"/>
      <c r="N445" s="25"/>
      <c r="O445" s="25"/>
      <c r="P445" s="25"/>
      <c r="Q445" s="25"/>
      <c r="R445" s="25"/>
      <c r="S445" s="25"/>
      <c r="T445" s="25"/>
      <c r="U445" s="25"/>
      <c r="V445" s="25"/>
      <c r="W445" s="25"/>
      <c r="X445" s="25"/>
      <c r="Y445" s="25"/>
      <c r="Z445" s="25"/>
    </row>
    <row r="446" spans="1:26" ht="14.25" customHeight="1" x14ac:dyDescent="0.25">
      <c r="A446" s="26"/>
      <c r="B446" s="25"/>
      <c r="C446" s="25"/>
      <c r="D446" s="25"/>
      <c r="E446" s="26"/>
      <c r="F446" s="26"/>
      <c r="G446" s="26"/>
      <c r="H446" s="26"/>
      <c r="I446" s="26"/>
      <c r="J446" s="25"/>
      <c r="K446" s="25"/>
      <c r="L446" s="25"/>
      <c r="M446" s="25"/>
      <c r="N446" s="25"/>
      <c r="O446" s="25"/>
      <c r="P446" s="25"/>
      <c r="Q446" s="25"/>
      <c r="R446" s="25"/>
      <c r="S446" s="25"/>
      <c r="T446" s="25"/>
      <c r="U446" s="25"/>
      <c r="V446" s="25"/>
      <c r="W446" s="25"/>
      <c r="X446" s="25"/>
      <c r="Y446" s="25"/>
      <c r="Z446" s="25"/>
    </row>
    <row r="447" spans="1:26" ht="14.25" customHeight="1" x14ac:dyDescent="0.25">
      <c r="A447" s="26"/>
      <c r="B447" s="25"/>
      <c r="C447" s="25"/>
      <c r="D447" s="25"/>
      <c r="E447" s="26"/>
      <c r="F447" s="26"/>
      <c r="G447" s="26"/>
      <c r="H447" s="26"/>
      <c r="I447" s="26"/>
      <c r="J447" s="25"/>
      <c r="K447" s="25"/>
      <c r="L447" s="25"/>
      <c r="M447" s="25"/>
      <c r="N447" s="25"/>
      <c r="O447" s="25"/>
      <c r="P447" s="25"/>
      <c r="Q447" s="25"/>
      <c r="R447" s="25"/>
      <c r="S447" s="25"/>
      <c r="T447" s="25"/>
      <c r="U447" s="25"/>
      <c r="V447" s="25"/>
      <c r="W447" s="25"/>
      <c r="X447" s="25"/>
      <c r="Y447" s="25"/>
      <c r="Z447" s="25"/>
    </row>
    <row r="448" spans="1:26" ht="14.25" customHeight="1" x14ac:dyDescent="0.25">
      <c r="A448" s="26"/>
      <c r="B448" s="25"/>
      <c r="C448" s="25"/>
      <c r="D448" s="25"/>
      <c r="E448" s="26"/>
      <c r="F448" s="26"/>
      <c r="G448" s="26"/>
      <c r="H448" s="26"/>
      <c r="I448" s="26"/>
      <c r="J448" s="25"/>
      <c r="K448" s="25"/>
      <c r="L448" s="25"/>
      <c r="M448" s="25"/>
      <c r="N448" s="25"/>
      <c r="O448" s="25"/>
      <c r="P448" s="25"/>
      <c r="Q448" s="25"/>
      <c r="R448" s="25"/>
      <c r="S448" s="25"/>
      <c r="T448" s="25"/>
      <c r="U448" s="25"/>
      <c r="V448" s="25"/>
      <c r="W448" s="25"/>
      <c r="X448" s="25"/>
      <c r="Y448" s="25"/>
      <c r="Z448" s="25"/>
    </row>
    <row r="449" spans="1:26" ht="14.25" customHeight="1" x14ac:dyDescent="0.25">
      <c r="A449" s="26"/>
      <c r="B449" s="25"/>
      <c r="C449" s="25"/>
      <c r="D449" s="25"/>
      <c r="E449" s="26"/>
      <c r="F449" s="26"/>
      <c r="G449" s="26"/>
      <c r="H449" s="26"/>
      <c r="I449" s="26"/>
      <c r="J449" s="25"/>
      <c r="K449" s="25"/>
      <c r="L449" s="25"/>
      <c r="M449" s="25"/>
      <c r="N449" s="25"/>
      <c r="O449" s="25"/>
      <c r="P449" s="25"/>
      <c r="Q449" s="25"/>
      <c r="R449" s="25"/>
      <c r="S449" s="25"/>
      <c r="T449" s="25"/>
      <c r="U449" s="25"/>
      <c r="V449" s="25"/>
      <c r="W449" s="25"/>
      <c r="X449" s="25"/>
      <c r="Y449" s="25"/>
      <c r="Z449" s="25"/>
    </row>
    <row r="450" spans="1:26" ht="14.25" customHeight="1" x14ac:dyDescent="0.25">
      <c r="A450" s="26"/>
      <c r="B450" s="25"/>
      <c r="C450" s="25"/>
      <c r="D450" s="25"/>
      <c r="E450" s="26"/>
      <c r="F450" s="26"/>
      <c r="G450" s="26"/>
      <c r="H450" s="26"/>
      <c r="I450" s="26"/>
      <c r="J450" s="25"/>
      <c r="K450" s="25"/>
      <c r="L450" s="25"/>
      <c r="M450" s="25"/>
      <c r="N450" s="25"/>
      <c r="O450" s="25"/>
      <c r="P450" s="25"/>
      <c r="Q450" s="25"/>
      <c r="R450" s="25"/>
      <c r="S450" s="25"/>
      <c r="T450" s="25"/>
      <c r="U450" s="25"/>
      <c r="V450" s="25"/>
      <c r="W450" s="25"/>
      <c r="X450" s="25"/>
      <c r="Y450" s="25"/>
      <c r="Z450" s="25"/>
    </row>
    <row r="451" spans="1:26" ht="14.25" customHeight="1" x14ac:dyDescent="0.25">
      <c r="A451" s="26"/>
      <c r="B451" s="25"/>
      <c r="C451" s="25"/>
      <c r="D451" s="25"/>
      <c r="E451" s="26"/>
      <c r="F451" s="26"/>
      <c r="G451" s="26"/>
      <c r="H451" s="26"/>
      <c r="I451" s="26"/>
      <c r="J451" s="25"/>
      <c r="K451" s="25"/>
      <c r="L451" s="25"/>
      <c r="M451" s="25"/>
      <c r="N451" s="25"/>
      <c r="O451" s="25"/>
      <c r="P451" s="25"/>
      <c r="Q451" s="25"/>
      <c r="R451" s="25"/>
      <c r="S451" s="25"/>
      <c r="T451" s="25"/>
      <c r="U451" s="25"/>
      <c r="V451" s="25"/>
      <c r="W451" s="25"/>
      <c r="X451" s="25"/>
      <c r="Y451" s="25"/>
      <c r="Z451" s="25"/>
    </row>
    <row r="452" spans="1:26" ht="14.25" customHeight="1" x14ac:dyDescent="0.25">
      <c r="A452" s="26"/>
      <c r="B452" s="25"/>
      <c r="C452" s="25"/>
      <c r="D452" s="25"/>
      <c r="E452" s="26"/>
      <c r="F452" s="26"/>
      <c r="G452" s="26"/>
      <c r="H452" s="26"/>
      <c r="I452" s="26"/>
      <c r="J452" s="25"/>
      <c r="K452" s="25"/>
      <c r="L452" s="25"/>
      <c r="M452" s="25"/>
      <c r="N452" s="25"/>
      <c r="O452" s="25"/>
      <c r="P452" s="25"/>
      <c r="Q452" s="25"/>
      <c r="R452" s="25"/>
      <c r="S452" s="25"/>
      <c r="T452" s="25"/>
      <c r="U452" s="25"/>
      <c r="V452" s="25"/>
      <c r="W452" s="25"/>
      <c r="X452" s="25"/>
      <c r="Y452" s="25"/>
      <c r="Z452" s="25"/>
    </row>
    <row r="453" spans="1:26" ht="14.25" customHeight="1" x14ac:dyDescent="0.25">
      <c r="A453" s="26"/>
      <c r="B453" s="25"/>
      <c r="C453" s="25"/>
      <c r="D453" s="25"/>
      <c r="E453" s="26"/>
      <c r="F453" s="26"/>
      <c r="G453" s="26"/>
      <c r="H453" s="26"/>
      <c r="I453" s="26"/>
      <c r="J453" s="25"/>
      <c r="K453" s="25"/>
      <c r="L453" s="25"/>
      <c r="M453" s="25"/>
      <c r="N453" s="25"/>
      <c r="O453" s="25"/>
      <c r="P453" s="25"/>
      <c r="Q453" s="25"/>
      <c r="R453" s="25"/>
      <c r="S453" s="25"/>
      <c r="T453" s="25"/>
      <c r="U453" s="25"/>
      <c r="V453" s="25"/>
      <c r="W453" s="25"/>
      <c r="X453" s="25"/>
      <c r="Y453" s="25"/>
      <c r="Z453" s="25"/>
    </row>
    <row r="454" spans="1:26" ht="14.25" customHeight="1" x14ac:dyDescent="0.25">
      <c r="A454" s="26"/>
      <c r="B454" s="25"/>
      <c r="C454" s="25"/>
      <c r="D454" s="25"/>
      <c r="E454" s="26"/>
      <c r="F454" s="26"/>
      <c r="G454" s="26"/>
      <c r="H454" s="26"/>
      <c r="I454" s="26"/>
      <c r="J454" s="25"/>
      <c r="K454" s="25"/>
      <c r="L454" s="25"/>
      <c r="M454" s="25"/>
      <c r="N454" s="25"/>
      <c r="O454" s="25"/>
      <c r="P454" s="25"/>
      <c r="Q454" s="25"/>
      <c r="R454" s="25"/>
      <c r="S454" s="25"/>
      <c r="T454" s="25"/>
      <c r="U454" s="25"/>
      <c r="V454" s="25"/>
      <c r="W454" s="25"/>
      <c r="X454" s="25"/>
      <c r="Y454" s="25"/>
      <c r="Z454" s="25"/>
    </row>
    <row r="455" spans="1:26" ht="14.25" customHeight="1" x14ac:dyDescent="0.25">
      <c r="A455" s="26"/>
      <c r="B455" s="25"/>
      <c r="C455" s="25"/>
      <c r="D455" s="25"/>
      <c r="E455" s="26"/>
      <c r="F455" s="26"/>
      <c r="G455" s="26"/>
      <c r="H455" s="26"/>
      <c r="I455" s="26"/>
      <c r="J455" s="25"/>
      <c r="K455" s="25"/>
      <c r="L455" s="25"/>
      <c r="M455" s="25"/>
      <c r="N455" s="25"/>
      <c r="O455" s="25"/>
      <c r="P455" s="25"/>
      <c r="Q455" s="25"/>
      <c r="R455" s="25"/>
      <c r="S455" s="25"/>
      <c r="T455" s="25"/>
      <c r="U455" s="25"/>
      <c r="V455" s="25"/>
      <c r="W455" s="25"/>
      <c r="X455" s="25"/>
      <c r="Y455" s="25"/>
      <c r="Z455" s="25"/>
    </row>
    <row r="456" spans="1:26" ht="14.25" customHeight="1" x14ac:dyDescent="0.25">
      <c r="A456" s="26"/>
      <c r="B456" s="25"/>
      <c r="C456" s="25"/>
      <c r="D456" s="25"/>
      <c r="E456" s="26"/>
      <c r="F456" s="26"/>
      <c r="G456" s="26"/>
      <c r="H456" s="26"/>
      <c r="I456" s="26"/>
      <c r="J456" s="25"/>
      <c r="K456" s="25"/>
      <c r="L456" s="25"/>
      <c r="M456" s="25"/>
      <c r="N456" s="25"/>
      <c r="O456" s="25"/>
      <c r="P456" s="25"/>
      <c r="Q456" s="25"/>
      <c r="R456" s="25"/>
      <c r="S456" s="25"/>
      <c r="T456" s="25"/>
      <c r="U456" s="25"/>
      <c r="V456" s="25"/>
      <c r="W456" s="25"/>
      <c r="X456" s="25"/>
      <c r="Y456" s="25"/>
      <c r="Z456" s="25"/>
    </row>
    <row r="457" spans="1:26" ht="14.25" customHeight="1" x14ac:dyDescent="0.25">
      <c r="A457" s="26"/>
      <c r="B457" s="25"/>
      <c r="C457" s="25"/>
      <c r="D457" s="25"/>
      <c r="E457" s="26"/>
      <c r="F457" s="26"/>
      <c r="G457" s="26"/>
      <c r="H457" s="26"/>
      <c r="I457" s="26"/>
      <c r="J457" s="25"/>
      <c r="K457" s="25"/>
      <c r="L457" s="25"/>
      <c r="M457" s="25"/>
      <c r="N457" s="25"/>
      <c r="O457" s="25"/>
      <c r="P457" s="25"/>
      <c r="Q457" s="25"/>
      <c r="R457" s="25"/>
      <c r="S457" s="25"/>
      <c r="T457" s="25"/>
      <c r="U457" s="25"/>
      <c r="V457" s="25"/>
      <c r="W457" s="25"/>
      <c r="X457" s="25"/>
      <c r="Y457" s="25"/>
      <c r="Z457" s="25"/>
    </row>
    <row r="458" spans="1:26" ht="14.25" customHeight="1" x14ac:dyDescent="0.25">
      <c r="A458" s="26"/>
      <c r="B458" s="25"/>
      <c r="C458" s="25"/>
      <c r="D458" s="25"/>
      <c r="E458" s="26"/>
      <c r="F458" s="26"/>
      <c r="G458" s="26"/>
      <c r="H458" s="26"/>
      <c r="I458" s="26"/>
      <c r="J458" s="25"/>
      <c r="K458" s="25"/>
      <c r="L458" s="25"/>
      <c r="M458" s="25"/>
      <c r="N458" s="25"/>
      <c r="O458" s="25"/>
      <c r="P458" s="25"/>
      <c r="Q458" s="25"/>
      <c r="R458" s="25"/>
      <c r="S458" s="25"/>
      <c r="T458" s="25"/>
      <c r="U458" s="25"/>
      <c r="V458" s="25"/>
      <c r="W458" s="25"/>
      <c r="X458" s="25"/>
      <c r="Y458" s="25"/>
      <c r="Z458" s="25"/>
    </row>
    <row r="459" spans="1:26" ht="14.25" customHeight="1" x14ac:dyDescent="0.25">
      <c r="A459" s="26"/>
      <c r="B459" s="25"/>
      <c r="C459" s="25"/>
      <c r="D459" s="25"/>
      <c r="E459" s="26"/>
      <c r="F459" s="26"/>
      <c r="G459" s="26"/>
      <c r="H459" s="26"/>
      <c r="I459" s="26"/>
      <c r="J459" s="25"/>
      <c r="K459" s="25"/>
      <c r="L459" s="25"/>
      <c r="M459" s="25"/>
      <c r="N459" s="25"/>
      <c r="O459" s="25"/>
      <c r="P459" s="25"/>
      <c r="Q459" s="25"/>
      <c r="R459" s="25"/>
      <c r="S459" s="25"/>
      <c r="T459" s="25"/>
      <c r="U459" s="25"/>
      <c r="V459" s="25"/>
      <c r="W459" s="25"/>
      <c r="X459" s="25"/>
      <c r="Y459" s="25"/>
      <c r="Z459" s="25"/>
    </row>
    <row r="460" spans="1:26" ht="14.25" customHeight="1" x14ac:dyDescent="0.25">
      <c r="A460" s="26"/>
      <c r="B460" s="25"/>
      <c r="C460" s="25"/>
      <c r="D460" s="25"/>
      <c r="E460" s="26"/>
      <c r="F460" s="26"/>
      <c r="G460" s="26"/>
      <c r="H460" s="26"/>
      <c r="I460" s="26"/>
      <c r="J460" s="25"/>
      <c r="K460" s="25"/>
      <c r="L460" s="25"/>
      <c r="M460" s="25"/>
      <c r="N460" s="25"/>
      <c r="O460" s="25"/>
      <c r="P460" s="25"/>
      <c r="Q460" s="25"/>
      <c r="R460" s="25"/>
      <c r="S460" s="25"/>
      <c r="T460" s="25"/>
      <c r="U460" s="25"/>
      <c r="V460" s="25"/>
      <c r="W460" s="25"/>
      <c r="X460" s="25"/>
      <c r="Y460" s="25"/>
      <c r="Z460" s="25"/>
    </row>
    <row r="461" spans="1:26" ht="14.25" customHeight="1" x14ac:dyDescent="0.25">
      <c r="A461" s="26"/>
      <c r="B461" s="25"/>
      <c r="C461" s="25"/>
      <c r="D461" s="25"/>
      <c r="E461" s="26"/>
      <c r="F461" s="26"/>
      <c r="G461" s="26"/>
      <c r="H461" s="26"/>
      <c r="I461" s="26"/>
      <c r="J461" s="25"/>
      <c r="K461" s="25"/>
      <c r="L461" s="25"/>
      <c r="M461" s="25"/>
      <c r="N461" s="25"/>
      <c r="O461" s="25"/>
      <c r="P461" s="25"/>
      <c r="Q461" s="25"/>
      <c r="R461" s="25"/>
      <c r="S461" s="25"/>
      <c r="T461" s="25"/>
      <c r="U461" s="25"/>
      <c r="V461" s="25"/>
      <c r="W461" s="25"/>
      <c r="X461" s="25"/>
      <c r="Y461" s="25"/>
      <c r="Z461" s="25"/>
    </row>
    <row r="462" spans="1:26" ht="14.25" customHeight="1" x14ac:dyDescent="0.25">
      <c r="A462" s="26"/>
      <c r="B462" s="25"/>
      <c r="C462" s="25"/>
      <c r="D462" s="25"/>
      <c r="E462" s="26"/>
      <c r="F462" s="26"/>
      <c r="G462" s="26"/>
      <c r="H462" s="26"/>
      <c r="I462" s="26"/>
      <c r="J462" s="25"/>
      <c r="K462" s="25"/>
      <c r="L462" s="25"/>
      <c r="M462" s="25"/>
      <c r="N462" s="25"/>
      <c r="O462" s="25"/>
      <c r="P462" s="25"/>
      <c r="Q462" s="25"/>
      <c r="R462" s="25"/>
      <c r="S462" s="25"/>
      <c r="T462" s="25"/>
      <c r="U462" s="25"/>
      <c r="V462" s="25"/>
      <c r="W462" s="25"/>
      <c r="X462" s="25"/>
      <c r="Y462" s="25"/>
      <c r="Z462" s="25"/>
    </row>
    <row r="463" spans="1:26" ht="14.25" customHeight="1" x14ac:dyDescent="0.25">
      <c r="A463" s="26"/>
      <c r="B463" s="25"/>
      <c r="C463" s="25"/>
      <c r="D463" s="25"/>
      <c r="E463" s="26"/>
      <c r="F463" s="26"/>
      <c r="G463" s="26"/>
      <c r="H463" s="26"/>
      <c r="I463" s="26"/>
      <c r="J463" s="25"/>
      <c r="K463" s="25"/>
      <c r="L463" s="25"/>
      <c r="M463" s="25"/>
      <c r="N463" s="25"/>
      <c r="O463" s="25"/>
      <c r="P463" s="25"/>
      <c r="Q463" s="25"/>
      <c r="R463" s="25"/>
      <c r="S463" s="25"/>
      <c r="T463" s="25"/>
      <c r="U463" s="25"/>
      <c r="V463" s="25"/>
      <c r="W463" s="25"/>
      <c r="X463" s="25"/>
      <c r="Y463" s="25"/>
      <c r="Z463" s="25"/>
    </row>
    <row r="464" spans="1:26" ht="14.25" customHeight="1" x14ac:dyDescent="0.25">
      <c r="A464" s="26"/>
      <c r="B464" s="25"/>
      <c r="C464" s="25"/>
      <c r="D464" s="25"/>
      <c r="E464" s="26"/>
      <c r="F464" s="26"/>
      <c r="G464" s="26"/>
      <c r="H464" s="26"/>
      <c r="I464" s="26"/>
      <c r="J464" s="25"/>
      <c r="K464" s="25"/>
      <c r="L464" s="25"/>
      <c r="M464" s="25"/>
      <c r="N464" s="25"/>
      <c r="O464" s="25"/>
      <c r="P464" s="25"/>
      <c r="Q464" s="25"/>
      <c r="R464" s="25"/>
      <c r="S464" s="25"/>
      <c r="T464" s="25"/>
      <c r="U464" s="25"/>
      <c r="V464" s="25"/>
      <c r="W464" s="25"/>
      <c r="X464" s="25"/>
      <c r="Y464" s="25"/>
      <c r="Z464" s="25"/>
    </row>
    <row r="465" spans="1:26" ht="14.25" customHeight="1" x14ac:dyDescent="0.25">
      <c r="A465" s="26"/>
      <c r="B465" s="25"/>
      <c r="C465" s="25"/>
      <c r="D465" s="25"/>
      <c r="E465" s="26"/>
      <c r="F465" s="26"/>
      <c r="G465" s="26"/>
      <c r="H465" s="26"/>
      <c r="I465" s="26"/>
      <c r="J465" s="25"/>
      <c r="K465" s="25"/>
      <c r="L465" s="25"/>
      <c r="M465" s="25"/>
      <c r="N465" s="25"/>
      <c r="O465" s="25"/>
      <c r="P465" s="25"/>
      <c r="Q465" s="25"/>
      <c r="R465" s="25"/>
      <c r="S465" s="25"/>
      <c r="T465" s="25"/>
      <c r="U465" s="25"/>
      <c r="V465" s="25"/>
      <c r="W465" s="25"/>
      <c r="X465" s="25"/>
      <c r="Y465" s="25"/>
      <c r="Z465" s="25"/>
    </row>
    <row r="466" spans="1:26" ht="14.25" customHeight="1" x14ac:dyDescent="0.25">
      <c r="A466" s="26"/>
      <c r="B466" s="25"/>
      <c r="C466" s="25"/>
      <c r="D466" s="25"/>
      <c r="E466" s="26"/>
      <c r="F466" s="26"/>
      <c r="G466" s="26"/>
      <c r="H466" s="26"/>
      <c r="I466" s="26"/>
      <c r="J466" s="25"/>
      <c r="K466" s="25"/>
      <c r="L466" s="25"/>
      <c r="M466" s="25"/>
      <c r="N466" s="25"/>
      <c r="O466" s="25"/>
      <c r="P466" s="25"/>
      <c r="Q466" s="25"/>
      <c r="R466" s="25"/>
      <c r="S466" s="25"/>
      <c r="T466" s="25"/>
      <c r="U466" s="25"/>
      <c r="V466" s="25"/>
      <c r="W466" s="25"/>
      <c r="X466" s="25"/>
      <c r="Y466" s="25"/>
      <c r="Z466" s="25"/>
    </row>
    <row r="467" spans="1:26" ht="14.25" customHeight="1" x14ac:dyDescent="0.25">
      <c r="A467" s="26"/>
      <c r="B467" s="25"/>
      <c r="C467" s="25"/>
      <c r="D467" s="25"/>
      <c r="E467" s="26"/>
      <c r="F467" s="26"/>
      <c r="G467" s="26"/>
      <c r="H467" s="26"/>
      <c r="I467" s="26"/>
      <c r="J467" s="25"/>
      <c r="K467" s="25"/>
      <c r="L467" s="25"/>
      <c r="M467" s="25"/>
      <c r="N467" s="25"/>
      <c r="O467" s="25"/>
      <c r="P467" s="25"/>
      <c r="Q467" s="25"/>
      <c r="R467" s="25"/>
      <c r="S467" s="25"/>
      <c r="T467" s="25"/>
      <c r="U467" s="25"/>
      <c r="V467" s="25"/>
      <c r="W467" s="25"/>
      <c r="X467" s="25"/>
      <c r="Y467" s="25"/>
      <c r="Z467" s="25"/>
    </row>
    <row r="468" spans="1:26" ht="14.25" customHeight="1" x14ac:dyDescent="0.25">
      <c r="A468" s="26"/>
      <c r="B468" s="25"/>
      <c r="C468" s="25"/>
      <c r="D468" s="25"/>
      <c r="E468" s="26"/>
      <c r="F468" s="26"/>
      <c r="G468" s="26"/>
      <c r="H468" s="26"/>
      <c r="I468" s="26"/>
      <c r="J468" s="25"/>
      <c r="K468" s="25"/>
      <c r="L468" s="25"/>
      <c r="M468" s="25"/>
      <c r="N468" s="25"/>
      <c r="O468" s="25"/>
      <c r="P468" s="25"/>
      <c r="Q468" s="25"/>
      <c r="R468" s="25"/>
      <c r="S468" s="25"/>
      <c r="T468" s="25"/>
      <c r="U468" s="25"/>
      <c r="V468" s="25"/>
      <c r="W468" s="25"/>
      <c r="X468" s="25"/>
      <c r="Y468" s="25"/>
      <c r="Z468" s="25"/>
    </row>
    <row r="469" spans="1:26" ht="14.25" customHeight="1" x14ac:dyDescent="0.25">
      <c r="A469" s="26"/>
      <c r="B469" s="25"/>
      <c r="C469" s="25"/>
      <c r="D469" s="25"/>
      <c r="E469" s="26"/>
      <c r="F469" s="26"/>
      <c r="G469" s="26"/>
      <c r="H469" s="26"/>
      <c r="I469" s="26"/>
      <c r="J469" s="25"/>
      <c r="K469" s="25"/>
      <c r="L469" s="25"/>
      <c r="M469" s="25"/>
      <c r="N469" s="25"/>
      <c r="O469" s="25"/>
      <c r="P469" s="25"/>
      <c r="Q469" s="25"/>
      <c r="R469" s="25"/>
      <c r="S469" s="25"/>
      <c r="T469" s="25"/>
      <c r="U469" s="25"/>
      <c r="V469" s="25"/>
      <c r="W469" s="25"/>
      <c r="X469" s="25"/>
      <c r="Y469" s="25"/>
      <c r="Z469" s="25"/>
    </row>
    <row r="470" spans="1:26" ht="14.25" customHeight="1" x14ac:dyDescent="0.25">
      <c r="A470" s="26"/>
      <c r="B470" s="25"/>
      <c r="C470" s="25"/>
      <c r="D470" s="25"/>
      <c r="E470" s="26"/>
      <c r="F470" s="26"/>
      <c r="G470" s="26"/>
      <c r="H470" s="26"/>
      <c r="I470" s="26"/>
      <c r="J470" s="25"/>
      <c r="K470" s="25"/>
      <c r="L470" s="25"/>
      <c r="M470" s="25"/>
      <c r="N470" s="25"/>
      <c r="O470" s="25"/>
      <c r="P470" s="25"/>
      <c r="Q470" s="25"/>
      <c r="R470" s="25"/>
      <c r="S470" s="25"/>
      <c r="T470" s="25"/>
      <c r="U470" s="25"/>
      <c r="V470" s="25"/>
      <c r="W470" s="25"/>
      <c r="X470" s="25"/>
      <c r="Y470" s="25"/>
      <c r="Z470" s="25"/>
    </row>
    <row r="471" spans="1:26" ht="14.25" customHeight="1" x14ac:dyDescent="0.25">
      <c r="A471" s="26"/>
      <c r="B471" s="25"/>
      <c r="C471" s="25"/>
      <c r="D471" s="25"/>
      <c r="E471" s="26"/>
      <c r="F471" s="26"/>
      <c r="G471" s="26"/>
      <c r="H471" s="26"/>
      <c r="I471" s="26"/>
      <c r="J471" s="25"/>
      <c r="K471" s="25"/>
      <c r="L471" s="25"/>
      <c r="M471" s="25"/>
      <c r="N471" s="25"/>
      <c r="O471" s="25"/>
      <c r="P471" s="25"/>
      <c r="Q471" s="25"/>
      <c r="R471" s="25"/>
      <c r="S471" s="25"/>
      <c r="T471" s="25"/>
      <c r="U471" s="25"/>
      <c r="V471" s="25"/>
      <c r="W471" s="25"/>
      <c r="X471" s="25"/>
      <c r="Y471" s="25"/>
      <c r="Z471" s="25"/>
    </row>
    <row r="472" spans="1:26" ht="14.25" customHeight="1" x14ac:dyDescent="0.25">
      <c r="A472" s="26"/>
      <c r="B472" s="25"/>
      <c r="C472" s="25"/>
      <c r="D472" s="25"/>
      <c r="E472" s="26"/>
      <c r="F472" s="26"/>
      <c r="G472" s="26"/>
      <c r="H472" s="26"/>
      <c r="I472" s="26"/>
      <c r="J472" s="25"/>
      <c r="K472" s="25"/>
      <c r="L472" s="25"/>
      <c r="M472" s="25"/>
      <c r="N472" s="25"/>
      <c r="O472" s="25"/>
      <c r="P472" s="25"/>
      <c r="Q472" s="25"/>
      <c r="R472" s="25"/>
      <c r="S472" s="25"/>
      <c r="T472" s="25"/>
      <c r="U472" s="25"/>
      <c r="V472" s="25"/>
      <c r="W472" s="25"/>
      <c r="X472" s="25"/>
      <c r="Y472" s="25"/>
      <c r="Z472" s="25"/>
    </row>
    <row r="473" spans="1:26" ht="14.25" customHeight="1" x14ac:dyDescent="0.25">
      <c r="A473" s="26"/>
      <c r="B473" s="25"/>
      <c r="C473" s="25"/>
      <c r="D473" s="25"/>
      <c r="E473" s="26"/>
      <c r="F473" s="26"/>
      <c r="G473" s="26"/>
      <c r="H473" s="26"/>
      <c r="I473" s="26"/>
      <c r="J473" s="25"/>
      <c r="K473" s="25"/>
      <c r="L473" s="25"/>
      <c r="M473" s="25"/>
      <c r="N473" s="25"/>
      <c r="O473" s="25"/>
      <c r="P473" s="25"/>
      <c r="Q473" s="25"/>
      <c r="R473" s="25"/>
      <c r="S473" s="25"/>
      <c r="T473" s="25"/>
      <c r="U473" s="25"/>
      <c r="V473" s="25"/>
      <c r="W473" s="25"/>
      <c r="X473" s="25"/>
      <c r="Y473" s="25"/>
      <c r="Z473" s="25"/>
    </row>
    <row r="474" spans="1:26" ht="14.25" customHeight="1" x14ac:dyDescent="0.25">
      <c r="A474" s="26"/>
      <c r="B474" s="25"/>
      <c r="C474" s="25"/>
      <c r="D474" s="25"/>
      <c r="E474" s="26"/>
      <c r="F474" s="26"/>
      <c r="G474" s="26"/>
      <c r="H474" s="26"/>
      <c r="I474" s="26"/>
      <c r="J474" s="25"/>
      <c r="K474" s="25"/>
      <c r="L474" s="25"/>
      <c r="M474" s="25"/>
      <c r="N474" s="25"/>
      <c r="O474" s="25"/>
      <c r="P474" s="25"/>
      <c r="Q474" s="25"/>
      <c r="R474" s="25"/>
      <c r="S474" s="25"/>
      <c r="T474" s="25"/>
      <c r="U474" s="25"/>
      <c r="V474" s="25"/>
      <c r="W474" s="25"/>
      <c r="X474" s="25"/>
      <c r="Y474" s="25"/>
      <c r="Z474" s="25"/>
    </row>
    <row r="475" spans="1:26" ht="14.25" customHeight="1" x14ac:dyDescent="0.25">
      <c r="A475" s="26"/>
      <c r="B475" s="25"/>
      <c r="C475" s="25"/>
      <c r="D475" s="25"/>
      <c r="E475" s="26"/>
      <c r="F475" s="26"/>
      <c r="G475" s="26"/>
      <c r="H475" s="26"/>
      <c r="I475" s="26"/>
      <c r="J475" s="25"/>
      <c r="K475" s="25"/>
      <c r="L475" s="25"/>
      <c r="M475" s="25"/>
      <c r="N475" s="25"/>
      <c r="O475" s="25"/>
      <c r="P475" s="25"/>
      <c r="Q475" s="25"/>
      <c r="R475" s="25"/>
      <c r="S475" s="25"/>
      <c r="T475" s="25"/>
      <c r="U475" s="25"/>
      <c r="V475" s="25"/>
      <c r="W475" s="25"/>
      <c r="X475" s="25"/>
      <c r="Y475" s="25"/>
      <c r="Z475" s="25"/>
    </row>
    <row r="476" spans="1:26" ht="14.25" customHeight="1" x14ac:dyDescent="0.25">
      <c r="A476" s="26"/>
      <c r="B476" s="25"/>
      <c r="C476" s="25"/>
      <c r="D476" s="25"/>
      <c r="E476" s="26"/>
      <c r="F476" s="26"/>
      <c r="G476" s="26"/>
      <c r="H476" s="26"/>
      <c r="I476" s="26"/>
      <c r="J476" s="25"/>
      <c r="K476" s="25"/>
      <c r="L476" s="25"/>
      <c r="M476" s="25"/>
      <c r="N476" s="25"/>
      <c r="O476" s="25"/>
      <c r="P476" s="25"/>
      <c r="Q476" s="25"/>
      <c r="R476" s="25"/>
      <c r="S476" s="25"/>
      <c r="T476" s="25"/>
      <c r="U476" s="25"/>
      <c r="V476" s="25"/>
      <c r="W476" s="25"/>
      <c r="X476" s="25"/>
      <c r="Y476" s="25"/>
      <c r="Z476" s="25"/>
    </row>
    <row r="477" spans="1:26" ht="14.25" customHeight="1" x14ac:dyDescent="0.25">
      <c r="A477" s="26"/>
      <c r="B477" s="25"/>
      <c r="C477" s="25"/>
      <c r="D477" s="25"/>
      <c r="E477" s="26"/>
      <c r="F477" s="26"/>
      <c r="G477" s="26"/>
      <c r="H477" s="26"/>
      <c r="I477" s="26"/>
      <c r="J477" s="25"/>
      <c r="K477" s="25"/>
      <c r="L477" s="25"/>
      <c r="M477" s="25"/>
      <c r="N477" s="25"/>
      <c r="O477" s="25"/>
      <c r="P477" s="25"/>
      <c r="Q477" s="25"/>
      <c r="R477" s="25"/>
      <c r="S477" s="25"/>
      <c r="T477" s="25"/>
      <c r="U477" s="25"/>
      <c r="V477" s="25"/>
      <c r="W477" s="25"/>
      <c r="X477" s="25"/>
      <c r="Y477" s="25"/>
      <c r="Z477" s="25"/>
    </row>
    <row r="478" spans="1:26" ht="14.25" customHeight="1" x14ac:dyDescent="0.25">
      <c r="A478" s="26"/>
      <c r="B478" s="25"/>
      <c r="C478" s="25"/>
      <c r="D478" s="25"/>
      <c r="E478" s="26"/>
      <c r="F478" s="26"/>
      <c r="G478" s="26"/>
      <c r="H478" s="26"/>
      <c r="I478" s="26"/>
      <c r="J478" s="25"/>
      <c r="K478" s="25"/>
      <c r="L478" s="25"/>
      <c r="M478" s="25"/>
      <c r="N478" s="25"/>
      <c r="O478" s="25"/>
      <c r="P478" s="25"/>
      <c r="Q478" s="25"/>
      <c r="R478" s="25"/>
      <c r="S478" s="25"/>
      <c r="T478" s="25"/>
      <c r="U478" s="25"/>
      <c r="V478" s="25"/>
      <c r="W478" s="25"/>
      <c r="X478" s="25"/>
      <c r="Y478" s="25"/>
      <c r="Z478" s="25"/>
    </row>
    <row r="479" spans="1:26" ht="14.25" customHeight="1" x14ac:dyDescent="0.25">
      <c r="A479" s="26"/>
      <c r="B479" s="25"/>
      <c r="C479" s="25"/>
      <c r="D479" s="25"/>
      <c r="E479" s="26"/>
      <c r="F479" s="26"/>
      <c r="G479" s="26"/>
      <c r="H479" s="26"/>
      <c r="I479" s="26"/>
      <c r="J479" s="25"/>
      <c r="K479" s="25"/>
      <c r="L479" s="25"/>
      <c r="M479" s="25"/>
      <c r="N479" s="25"/>
      <c r="O479" s="25"/>
      <c r="P479" s="25"/>
      <c r="Q479" s="25"/>
      <c r="R479" s="25"/>
      <c r="S479" s="25"/>
      <c r="T479" s="25"/>
      <c r="U479" s="25"/>
      <c r="V479" s="25"/>
      <c r="W479" s="25"/>
      <c r="X479" s="25"/>
      <c r="Y479" s="25"/>
      <c r="Z479" s="25"/>
    </row>
    <row r="480" spans="1:26" ht="14.25" customHeight="1" x14ac:dyDescent="0.25">
      <c r="A480" s="26"/>
      <c r="B480" s="25"/>
      <c r="C480" s="25"/>
      <c r="D480" s="25"/>
      <c r="E480" s="26"/>
      <c r="F480" s="26"/>
      <c r="G480" s="26"/>
      <c r="H480" s="26"/>
      <c r="I480" s="26"/>
      <c r="J480" s="25"/>
      <c r="K480" s="25"/>
      <c r="L480" s="25"/>
      <c r="M480" s="25"/>
      <c r="N480" s="25"/>
      <c r="O480" s="25"/>
      <c r="P480" s="25"/>
      <c r="Q480" s="25"/>
      <c r="R480" s="25"/>
      <c r="S480" s="25"/>
      <c r="T480" s="25"/>
      <c r="U480" s="25"/>
      <c r="V480" s="25"/>
      <c r="W480" s="25"/>
      <c r="X480" s="25"/>
      <c r="Y480" s="25"/>
      <c r="Z480" s="25"/>
    </row>
    <row r="481" spans="1:26" ht="14.25" customHeight="1" x14ac:dyDescent="0.25">
      <c r="A481" s="26"/>
      <c r="B481" s="25"/>
      <c r="C481" s="25"/>
      <c r="D481" s="25"/>
      <c r="E481" s="26"/>
      <c r="F481" s="26"/>
      <c r="G481" s="26"/>
      <c r="H481" s="26"/>
      <c r="I481" s="26"/>
      <c r="J481" s="25"/>
      <c r="K481" s="25"/>
      <c r="L481" s="25"/>
      <c r="M481" s="25"/>
      <c r="N481" s="25"/>
      <c r="O481" s="25"/>
      <c r="P481" s="25"/>
      <c r="Q481" s="25"/>
      <c r="R481" s="25"/>
      <c r="S481" s="25"/>
      <c r="T481" s="25"/>
      <c r="U481" s="25"/>
      <c r="V481" s="25"/>
      <c r="W481" s="25"/>
      <c r="X481" s="25"/>
      <c r="Y481" s="25"/>
      <c r="Z481" s="25"/>
    </row>
    <row r="482" spans="1:26" ht="14.25" customHeight="1" x14ac:dyDescent="0.25">
      <c r="A482" s="26"/>
      <c r="B482" s="25"/>
      <c r="C482" s="25"/>
      <c r="D482" s="25"/>
      <c r="E482" s="26"/>
      <c r="F482" s="26"/>
      <c r="G482" s="26"/>
      <c r="H482" s="26"/>
      <c r="I482" s="26"/>
      <c r="J482" s="25"/>
      <c r="K482" s="25"/>
      <c r="L482" s="25"/>
      <c r="M482" s="25"/>
      <c r="N482" s="25"/>
      <c r="O482" s="25"/>
      <c r="P482" s="25"/>
      <c r="Q482" s="25"/>
      <c r="R482" s="25"/>
      <c r="S482" s="25"/>
      <c r="T482" s="25"/>
      <c r="U482" s="25"/>
      <c r="V482" s="25"/>
      <c r="W482" s="25"/>
      <c r="X482" s="25"/>
      <c r="Y482" s="25"/>
      <c r="Z482" s="25"/>
    </row>
    <row r="483" spans="1:26" ht="14.25" customHeight="1" x14ac:dyDescent="0.25">
      <c r="A483" s="26"/>
      <c r="B483" s="25"/>
      <c r="C483" s="25"/>
      <c r="D483" s="25"/>
      <c r="E483" s="26"/>
      <c r="F483" s="26"/>
      <c r="G483" s="26"/>
      <c r="H483" s="26"/>
      <c r="I483" s="26"/>
      <c r="J483" s="25"/>
      <c r="K483" s="25"/>
      <c r="L483" s="25"/>
      <c r="M483" s="25"/>
      <c r="N483" s="25"/>
      <c r="O483" s="25"/>
      <c r="P483" s="25"/>
      <c r="Q483" s="25"/>
      <c r="R483" s="25"/>
      <c r="S483" s="25"/>
      <c r="T483" s="25"/>
      <c r="U483" s="25"/>
      <c r="V483" s="25"/>
      <c r="W483" s="25"/>
      <c r="X483" s="25"/>
      <c r="Y483" s="25"/>
      <c r="Z483" s="25"/>
    </row>
    <row r="484" spans="1:26" ht="14.25" customHeight="1" x14ac:dyDescent="0.25">
      <c r="A484" s="26"/>
      <c r="B484" s="25"/>
      <c r="C484" s="25"/>
      <c r="D484" s="25"/>
      <c r="E484" s="26"/>
      <c r="F484" s="26"/>
      <c r="G484" s="26"/>
      <c r="H484" s="26"/>
      <c r="I484" s="26"/>
      <c r="J484" s="25"/>
      <c r="K484" s="25"/>
      <c r="L484" s="25"/>
      <c r="M484" s="25"/>
      <c r="N484" s="25"/>
      <c r="O484" s="25"/>
      <c r="P484" s="25"/>
      <c r="Q484" s="25"/>
      <c r="R484" s="25"/>
      <c r="S484" s="25"/>
      <c r="T484" s="25"/>
      <c r="U484" s="25"/>
      <c r="V484" s="25"/>
      <c r="W484" s="25"/>
      <c r="X484" s="25"/>
      <c r="Y484" s="25"/>
      <c r="Z484" s="25"/>
    </row>
    <row r="485" spans="1:26" ht="14.25" customHeight="1" x14ac:dyDescent="0.25">
      <c r="A485" s="26"/>
      <c r="B485" s="25"/>
      <c r="C485" s="25"/>
      <c r="D485" s="25"/>
      <c r="E485" s="26"/>
      <c r="F485" s="26"/>
      <c r="G485" s="26"/>
      <c r="H485" s="26"/>
      <c r="I485" s="26"/>
      <c r="J485" s="25"/>
      <c r="K485" s="25"/>
      <c r="L485" s="25"/>
      <c r="M485" s="25"/>
      <c r="N485" s="25"/>
      <c r="O485" s="25"/>
      <c r="P485" s="25"/>
      <c r="Q485" s="25"/>
      <c r="R485" s="25"/>
      <c r="S485" s="25"/>
      <c r="T485" s="25"/>
      <c r="U485" s="25"/>
      <c r="V485" s="25"/>
      <c r="W485" s="25"/>
      <c r="X485" s="25"/>
      <c r="Y485" s="25"/>
      <c r="Z485" s="25"/>
    </row>
    <row r="486" spans="1:26" ht="14.25" customHeight="1" x14ac:dyDescent="0.25">
      <c r="A486" s="26"/>
      <c r="B486" s="25"/>
      <c r="C486" s="25"/>
      <c r="D486" s="25"/>
      <c r="E486" s="26"/>
      <c r="F486" s="26"/>
      <c r="G486" s="26"/>
      <c r="H486" s="26"/>
      <c r="I486" s="26"/>
      <c r="J486" s="25"/>
      <c r="K486" s="25"/>
      <c r="L486" s="25"/>
      <c r="M486" s="25"/>
      <c r="N486" s="25"/>
      <c r="O486" s="25"/>
      <c r="P486" s="25"/>
      <c r="Q486" s="25"/>
      <c r="R486" s="25"/>
      <c r="S486" s="25"/>
      <c r="T486" s="25"/>
      <c r="U486" s="25"/>
      <c r="V486" s="25"/>
      <c r="W486" s="25"/>
      <c r="X486" s="25"/>
      <c r="Y486" s="25"/>
      <c r="Z486" s="25"/>
    </row>
    <row r="487" spans="1:26" ht="14.25" customHeight="1" x14ac:dyDescent="0.25">
      <c r="A487" s="26"/>
      <c r="B487" s="25"/>
      <c r="C487" s="25"/>
      <c r="D487" s="25"/>
      <c r="E487" s="26"/>
      <c r="F487" s="26"/>
      <c r="G487" s="26"/>
      <c r="H487" s="26"/>
      <c r="I487" s="26"/>
      <c r="J487" s="25"/>
      <c r="K487" s="25"/>
      <c r="L487" s="25"/>
      <c r="M487" s="25"/>
      <c r="N487" s="25"/>
      <c r="O487" s="25"/>
      <c r="P487" s="25"/>
      <c r="Q487" s="25"/>
      <c r="R487" s="25"/>
      <c r="S487" s="25"/>
      <c r="T487" s="25"/>
      <c r="U487" s="25"/>
      <c r="V487" s="25"/>
      <c r="W487" s="25"/>
      <c r="X487" s="25"/>
      <c r="Y487" s="25"/>
      <c r="Z487" s="25"/>
    </row>
    <row r="488" spans="1:26" ht="14.25" customHeight="1" x14ac:dyDescent="0.25">
      <c r="A488" s="26"/>
      <c r="B488" s="25"/>
      <c r="C488" s="25"/>
      <c r="D488" s="25"/>
      <c r="E488" s="26"/>
      <c r="F488" s="26"/>
      <c r="G488" s="26"/>
      <c r="H488" s="26"/>
      <c r="I488" s="26"/>
      <c r="J488" s="25"/>
      <c r="K488" s="25"/>
      <c r="L488" s="25"/>
      <c r="M488" s="25"/>
      <c r="N488" s="25"/>
      <c r="O488" s="25"/>
      <c r="P488" s="25"/>
      <c r="Q488" s="25"/>
      <c r="R488" s="25"/>
      <c r="S488" s="25"/>
      <c r="T488" s="25"/>
      <c r="U488" s="25"/>
      <c r="V488" s="25"/>
      <c r="W488" s="25"/>
      <c r="X488" s="25"/>
      <c r="Y488" s="25"/>
      <c r="Z488" s="25"/>
    </row>
    <row r="489" spans="1:26" ht="14.25" customHeight="1" x14ac:dyDescent="0.25">
      <c r="A489" s="26"/>
      <c r="B489" s="25"/>
      <c r="C489" s="25"/>
      <c r="D489" s="25"/>
      <c r="E489" s="26"/>
      <c r="F489" s="26"/>
      <c r="G489" s="26"/>
      <c r="H489" s="26"/>
      <c r="I489" s="26"/>
      <c r="J489" s="25"/>
      <c r="K489" s="25"/>
      <c r="L489" s="25"/>
      <c r="M489" s="25"/>
      <c r="N489" s="25"/>
      <c r="O489" s="25"/>
      <c r="P489" s="25"/>
      <c r="Q489" s="25"/>
      <c r="R489" s="25"/>
      <c r="S489" s="25"/>
      <c r="T489" s="25"/>
      <c r="U489" s="25"/>
      <c r="V489" s="25"/>
      <c r="W489" s="25"/>
      <c r="X489" s="25"/>
      <c r="Y489" s="25"/>
      <c r="Z489" s="25"/>
    </row>
    <row r="490" spans="1:26" ht="14.25" customHeight="1" x14ac:dyDescent="0.25">
      <c r="A490" s="26"/>
      <c r="B490" s="25"/>
      <c r="C490" s="25"/>
      <c r="D490" s="25"/>
      <c r="E490" s="26"/>
      <c r="F490" s="26"/>
      <c r="G490" s="26"/>
      <c r="H490" s="26"/>
      <c r="I490" s="26"/>
      <c r="J490" s="25"/>
      <c r="K490" s="25"/>
      <c r="L490" s="25"/>
      <c r="M490" s="25"/>
      <c r="N490" s="25"/>
      <c r="O490" s="25"/>
      <c r="P490" s="25"/>
      <c r="Q490" s="25"/>
      <c r="R490" s="25"/>
      <c r="S490" s="25"/>
      <c r="T490" s="25"/>
      <c r="U490" s="25"/>
      <c r="V490" s="25"/>
      <c r="W490" s="25"/>
      <c r="X490" s="25"/>
      <c r="Y490" s="25"/>
      <c r="Z490" s="25"/>
    </row>
    <row r="491" spans="1:26" ht="14.25" customHeight="1" x14ac:dyDescent="0.25">
      <c r="A491" s="26"/>
      <c r="B491" s="25"/>
      <c r="C491" s="25"/>
      <c r="D491" s="25"/>
      <c r="E491" s="26"/>
      <c r="F491" s="26"/>
      <c r="G491" s="26"/>
      <c r="H491" s="26"/>
      <c r="I491" s="26"/>
      <c r="J491" s="25"/>
      <c r="K491" s="25"/>
      <c r="L491" s="25"/>
      <c r="M491" s="25"/>
      <c r="N491" s="25"/>
      <c r="O491" s="25"/>
      <c r="P491" s="25"/>
      <c r="Q491" s="25"/>
      <c r="R491" s="25"/>
      <c r="S491" s="25"/>
      <c r="T491" s="25"/>
      <c r="U491" s="25"/>
      <c r="V491" s="25"/>
      <c r="W491" s="25"/>
      <c r="X491" s="25"/>
      <c r="Y491" s="25"/>
      <c r="Z491" s="25"/>
    </row>
    <row r="492" spans="1:26" ht="14.25" customHeight="1" x14ac:dyDescent="0.25">
      <c r="A492" s="26"/>
      <c r="B492" s="25"/>
      <c r="C492" s="25"/>
      <c r="D492" s="25"/>
      <c r="E492" s="26"/>
      <c r="F492" s="26"/>
      <c r="G492" s="26"/>
      <c r="H492" s="26"/>
      <c r="I492" s="26"/>
      <c r="J492" s="25"/>
      <c r="K492" s="25"/>
      <c r="L492" s="25"/>
      <c r="M492" s="25"/>
      <c r="N492" s="25"/>
      <c r="O492" s="25"/>
      <c r="P492" s="25"/>
      <c r="Q492" s="25"/>
      <c r="R492" s="25"/>
      <c r="S492" s="25"/>
      <c r="T492" s="25"/>
      <c r="U492" s="25"/>
      <c r="V492" s="25"/>
      <c r="W492" s="25"/>
      <c r="X492" s="25"/>
      <c r="Y492" s="25"/>
      <c r="Z492" s="25"/>
    </row>
    <row r="493" spans="1:26" ht="14.25" customHeight="1" x14ac:dyDescent="0.25">
      <c r="A493" s="26"/>
      <c r="B493" s="25"/>
      <c r="C493" s="25"/>
      <c r="D493" s="25"/>
      <c r="E493" s="26"/>
      <c r="F493" s="26"/>
      <c r="G493" s="26"/>
      <c r="H493" s="26"/>
      <c r="I493" s="26"/>
      <c r="J493" s="25"/>
      <c r="K493" s="25"/>
      <c r="L493" s="25"/>
      <c r="M493" s="25"/>
      <c r="N493" s="25"/>
      <c r="O493" s="25"/>
      <c r="P493" s="25"/>
      <c r="Q493" s="25"/>
      <c r="R493" s="25"/>
      <c r="S493" s="25"/>
      <c r="T493" s="25"/>
      <c r="U493" s="25"/>
      <c r="V493" s="25"/>
      <c r="W493" s="25"/>
      <c r="X493" s="25"/>
      <c r="Y493" s="25"/>
      <c r="Z493" s="25"/>
    </row>
    <row r="494" spans="1:26" ht="14.25" customHeight="1" x14ac:dyDescent="0.25">
      <c r="A494" s="26"/>
      <c r="B494" s="25"/>
      <c r="C494" s="25"/>
      <c r="D494" s="25"/>
      <c r="E494" s="26"/>
      <c r="F494" s="26"/>
      <c r="G494" s="26"/>
      <c r="H494" s="26"/>
      <c r="I494" s="26"/>
      <c r="J494" s="25"/>
      <c r="K494" s="25"/>
      <c r="L494" s="25"/>
      <c r="M494" s="25"/>
      <c r="N494" s="25"/>
      <c r="O494" s="25"/>
      <c r="P494" s="25"/>
      <c r="Q494" s="25"/>
      <c r="R494" s="25"/>
      <c r="S494" s="25"/>
      <c r="T494" s="25"/>
      <c r="U494" s="25"/>
      <c r="V494" s="25"/>
      <c r="W494" s="25"/>
      <c r="X494" s="25"/>
      <c r="Y494" s="25"/>
      <c r="Z494" s="25"/>
    </row>
    <row r="495" spans="1:26" ht="14.25" customHeight="1" x14ac:dyDescent="0.25">
      <c r="A495" s="26"/>
      <c r="B495" s="25"/>
      <c r="C495" s="25"/>
      <c r="D495" s="25"/>
      <c r="E495" s="26"/>
      <c r="F495" s="26"/>
      <c r="G495" s="26"/>
      <c r="H495" s="26"/>
      <c r="I495" s="26"/>
      <c r="J495" s="25"/>
      <c r="K495" s="25"/>
      <c r="L495" s="25"/>
      <c r="M495" s="25"/>
      <c r="N495" s="25"/>
      <c r="O495" s="25"/>
      <c r="P495" s="25"/>
      <c r="Q495" s="25"/>
      <c r="R495" s="25"/>
      <c r="S495" s="25"/>
      <c r="T495" s="25"/>
      <c r="U495" s="25"/>
      <c r="V495" s="25"/>
      <c r="W495" s="25"/>
      <c r="X495" s="25"/>
      <c r="Y495" s="25"/>
      <c r="Z495" s="25"/>
    </row>
    <row r="496" spans="1:26" ht="14.25" customHeight="1" x14ac:dyDescent="0.25">
      <c r="A496" s="26"/>
      <c r="B496" s="25"/>
      <c r="C496" s="25"/>
      <c r="D496" s="25"/>
      <c r="E496" s="26"/>
      <c r="F496" s="26"/>
      <c r="G496" s="26"/>
      <c r="H496" s="26"/>
      <c r="I496" s="26"/>
      <c r="J496" s="25"/>
      <c r="K496" s="25"/>
      <c r="L496" s="25"/>
      <c r="M496" s="25"/>
      <c r="N496" s="25"/>
      <c r="O496" s="25"/>
      <c r="P496" s="25"/>
      <c r="Q496" s="25"/>
      <c r="R496" s="25"/>
      <c r="S496" s="25"/>
      <c r="T496" s="25"/>
      <c r="U496" s="25"/>
      <c r="V496" s="25"/>
      <c r="W496" s="25"/>
      <c r="X496" s="25"/>
      <c r="Y496" s="25"/>
      <c r="Z496" s="25"/>
    </row>
    <row r="497" spans="1:26" ht="14.25" customHeight="1" x14ac:dyDescent="0.25">
      <c r="A497" s="26"/>
      <c r="B497" s="25"/>
      <c r="C497" s="25"/>
      <c r="D497" s="25"/>
      <c r="E497" s="26"/>
      <c r="F497" s="26"/>
      <c r="G497" s="26"/>
      <c r="H497" s="26"/>
      <c r="I497" s="26"/>
      <c r="J497" s="25"/>
      <c r="K497" s="25"/>
      <c r="L497" s="25"/>
      <c r="M497" s="25"/>
      <c r="N497" s="25"/>
      <c r="O497" s="25"/>
      <c r="P497" s="25"/>
      <c r="Q497" s="25"/>
      <c r="R497" s="25"/>
      <c r="S497" s="25"/>
      <c r="T497" s="25"/>
      <c r="U497" s="25"/>
      <c r="V497" s="25"/>
      <c r="W497" s="25"/>
      <c r="X497" s="25"/>
      <c r="Y497" s="25"/>
      <c r="Z497" s="25"/>
    </row>
    <row r="498" spans="1:26" ht="14.25" customHeight="1" x14ac:dyDescent="0.25">
      <c r="A498" s="26"/>
      <c r="B498" s="25"/>
      <c r="C498" s="25"/>
      <c r="D498" s="25"/>
      <c r="E498" s="26"/>
      <c r="F498" s="26"/>
      <c r="G498" s="26"/>
      <c r="H498" s="26"/>
      <c r="I498" s="26"/>
      <c r="J498" s="25"/>
      <c r="K498" s="25"/>
      <c r="L498" s="25"/>
      <c r="M498" s="25"/>
      <c r="N498" s="25"/>
      <c r="O498" s="25"/>
      <c r="P498" s="25"/>
      <c r="Q498" s="25"/>
      <c r="R498" s="25"/>
      <c r="S498" s="25"/>
      <c r="T498" s="25"/>
      <c r="U498" s="25"/>
      <c r="V498" s="25"/>
      <c r="W498" s="25"/>
      <c r="X498" s="25"/>
      <c r="Y498" s="25"/>
      <c r="Z498" s="25"/>
    </row>
    <row r="499" spans="1:26" ht="14.25" customHeight="1" x14ac:dyDescent="0.25">
      <c r="A499" s="26"/>
      <c r="B499" s="25"/>
      <c r="C499" s="25"/>
      <c r="D499" s="25"/>
      <c r="E499" s="26"/>
      <c r="F499" s="26"/>
      <c r="G499" s="26"/>
      <c r="H499" s="26"/>
      <c r="I499" s="26"/>
      <c r="J499" s="25"/>
      <c r="K499" s="25"/>
      <c r="L499" s="25"/>
      <c r="M499" s="25"/>
      <c r="N499" s="25"/>
      <c r="O499" s="25"/>
      <c r="P499" s="25"/>
      <c r="Q499" s="25"/>
      <c r="R499" s="25"/>
      <c r="S499" s="25"/>
      <c r="T499" s="25"/>
      <c r="U499" s="25"/>
      <c r="V499" s="25"/>
      <c r="W499" s="25"/>
      <c r="X499" s="25"/>
      <c r="Y499" s="25"/>
      <c r="Z499" s="25"/>
    </row>
    <row r="500" spans="1:26" ht="14.25" customHeight="1" x14ac:dyDescent="0.25">
      <c r="A500" s="26"/>
      <c r="B500" s="25"/>
      <c r="C500" s="25"/>
      <c r="D500" s="25"/>
      <c r="E500" s="26"/>
      <c r="F500" s="26"/>
      <c r="G500" s="26"/>
      <c r="H500" s="26"/>
      <c r="I500" s="26"/>
      <c r="J500" s="25"/>
      <c r="K500" s="25"/>
      <c r="L500" s="25"/>
      <c r="M500" s="25"/>
      <c r="N500" s="25"/>
      <c r="O500" s="25"/>
      <c r="P500" s="25"/>
      <c r="Q500" s="25"/>
      <c r="R500" s="25"/>
      <c r="S500" s="25"/>
      <c r="T500" s="25"/>
      <c r="U500" s="25"/>
      <c r="V500" s="25"/>
      <c r="W500" s="25"/>
      <c r="X500" s="25"/>
      <c r="Y500" s="25"/>
      <c r="Z500" s="25"/>
    </row>
    <row r="501" spans="1:26" ht="14.25" customHeight="1" x14ac:dyDescent="0.25">
      <c r="A501" s="26"/>
      <c r="B501" s="25"/>
      <c r="C501" s="25"/>
      <c r="D501" s="25"/>
      <c r="E501" s="26"/>
      <c r="F501" s="26"/>
      <c r="G501" s="26"/>
      <c r="H501" s="26"/>
      <c r="I501" s="26"/>
      <c r="J501" s="25"/>
      <c r="K501" s="25"/>
      <c r="L501" s="25"/>
      <c r="M501" s="25"/>
      <c r="N501" s="25"/>
      <c r="O501" s="25"/>
      <c r="P501" s="25"/>
      <c r="Q501" s="25"/>
      <c r="R501" s="25"/>
      <c r="S501" s="25"/>
      <c r="T501" s="25"/>
      <c r="U501" s="25"/>
      <c r="V501" s="25"/>
      <c r="W501" s="25"/>
      <c r="X501" s="25"/>
      <c r="Y501" s="25"/>
      <c r="Z501" s="25"/>
    </row>
    <row r="502" spans="1:26" ht="14.25" customHeight="1" x14ac:dyDescent="0.25">
      <c r="A502" s="26"/>
      <c r="B502" s="25"/>
      <c r="C502" s="25"/>
      <c r="D502" s="25"/>
      <c r="E502" s="26"/>
      <c r="F502" s="26"/>
      <c r="G502" s="26"/>
      <c r="H502" s="26"/>
      <c r="I502" s="26"/>
      <c r="J502" s="25"/>
      <c r="K502" s="25"/>
      <c r="L502" s="25"/>
      <c r="M502" s="25"/>
      <c r="N502" s="25"/>
      <c r="O502" s="25"/>
      <c r="P502" s="25"/>
      <c r="Q502" s="25"/>
      <c r="R502" s="25"/>
      <c r="S502" s="25"/>
      <c r="T502" s="25"/>
      <c r="U502" s="25"/>
      <c r="V502" s="25"/>
      <c r="W502" s="25"/>
      <c r="X502" s="25"/>
      <c r="Y502" s="25"/>
      <c r="Z502" s="25"/>
    </row>
    <row r="503" spans="1:26" ht="14.25" customHeight="1" x14ac:dyDescent="0.25">
      <c r="A503" s="26"/>
      <c r="B503" s="25"/>
      <c r="C503" s="25"/>
      <c r="D503" s="25"/>
      <c r="E503" s="26"/>
      <c r="F503" s="26"/>
      <c r="G503" s="26"/>
      <c r="H503" s="26"/>
      <c r="I503" s="26"/>
      <c r="J503" s="25"/>
      <c r="K503" s="25"/>
      <c r="L503" s="25"/>
      <c r="M503" s="25"/>
      <c r="N503" s="25"/>
      <c r="O503" s="25"/>
      <c r="P503" s="25"/>
      <c r="Q503" s="25"/>
      <c r="R503" s="25"/>
      <c r="S503" s="25"/>
      <c r="T503" s="25"/>
      <c r="U503" s="25"/>
      <c r="V503" s="25"/>
      <c r="W503" s="25"/>
      <c r="X503" s="25"/>
      <c r="Y503" s="25"/>
      <c r="Z503" s="25"/>
    </row>
    <row r="504" spans="1:26" ht="14.25" customHeight="1" x14ac:dyDescent="0.25">
      <c r="A504" s="26"/>
      <c r="B504" s="25"/>
      <c r="C504" s="25"/>
      <c r="D504" s="25"/>
      <c r="E504" s="26"/>
      <c r="F504" s="26"/>
      <c r="G504" s="26"/>
      <c r="H504" s="26"/>
      <c r="I504" s="26"/>
      <c r="J504" s="25"/>
      <c r="K504" s="25"/>
      <c r="L504" s="25"/>
      <c r="M504" s="25"/>
      <c r="N504" s="25"/>
      <c r="O504" s="25"/>
      <c r="P504" s="25"/>
      <c r="Q504" s="25"/>
      <c r="R504" s="25"/>
      <c r="S504" s="25"/>
      <c r="T504" s="25"/>
      <c r="U504" s="25"/>
      <c r="V504" s="25"/>
      <c r="W504" s="25"/>
      <c r="X504" s="25"/>
      <c r="Y504" s="25"/>
      <c r="Z504" s="25"/>
    </row>
    <row r="505" spans="1:26" ht="14.25" customHeight="1" x14ac:dyDescent="0.25">
      <c r="A505" s="26"/>
      <c r="B505" s="25"/>
      <c r="C505" s="25"/>
      <c r="D505" s="25"/>
      <c r="E505" s="26"/>
      <c r="F505" s="26"/>
      <c r="G505" s="26"/>
      <c r="H505" s="26"/>
      <c r="I505" s="26"/>
      <c r="J505" s="25"/>
      <c r="K505" s="25"/>
      <c r="L505" s="25"/>
      <c r="M505" s="25"/>
      <c r="N505" s="25"/>
      <c r="O505" s="25"/>
      <c r="P505" s="25"/>
      <c r="Q505" s="25"/>
      <c r="R505" s="25"/>
      <c r="S505" s="25"/>
      <c r="T505" s="25"/>
      <c r="U505" s="25"/>
      <c r="V505" s="25"/>
      <c r="W505" s="25"/>
      <c r="X505" s="25"/>
      <c r="Y505" s="25"/>
      <c r="Z505" s="25"/>
    </row>
    <row r="506" spans="1:26" ht="14.25" customHeight="1" x14ac:dyDescent="0.25">
      <c r="A506" s="26"/>
      <c r="B506" s="25"/>
      <c r="C506" s="25"/>
      <c r="D506" s="25"/>
      <c r="E506" s="26"/>
      <c r="F506" s="26"/>
      <c r="G506" s="26"/>
      <c r="H506" s="26"/>
      <c r="I506" s="26"/>
      <c r="J506" s="25"/>
      <c r="K506" s="25"/>
      <c r="L506" s="25"/>
      <c r="M506" s="25"/>
      <c r="N506" s="25"/>
      <c r="O506" s="25"/>
      <c r="P506" s="25"/>
      <c r="Q506" s="25"/>
      <c r="R506" s="25"/>
      <c r="S506" s="25"/>
      <c r="T506" s="25"/>
      <c r="U506" s="25"/>
      <c r="V506" s="25"/>
      <c r="W506" s="25"/>
      <c r="X506" s="25"/>
      <c r="Y506" s="25"/>
      <c r="Z506" s="25"/>
    </row>
    <row r="507" spans="1:26" ht="14.25" customHeight="1" x14ac:dyDescent="0.25">
      <c r="A507" s="26"/>
      <c r="B507" s="25"/>
      <c r="C507" s="25"/>
      <c r="D507" s="25"/>
      <c r="E507" s="26"/>
      <c r="F507" s="26"/>
      <c r="G507" s="26"/>
      <c r="H507" s="26"/>
      <c r="I507" s="26"/>
      <c r="J507" s="25"/>
      <c r="K507" s="25"/>
      <c r="L507" s="25"/>
      <c r="M507" s="25"/>
      <c r="N507" s="25"/>
      <c r="O507" s="25"/>
      <c r="P507" s="25"/>
      <c r="Q507" s="25"/>
      <c r="R507" s="25"/>
      <c r="S507" s="25"/>
      <c r="T507" s="25"/>
      <c r="U507" s="25"/>
      <c r="V507" s="25"/>
      <c r="W507" s="25"/>
      <c r="X507" s="25"/>
      <c r="Y507" s="25"/>
      <c r="Z507" s="25"/>
    </row>
    <row r="508" spans="1:26" ht="14.25" customHeight="1" x14ac:dyDescent="0.25">
      <c r="A508" s="26"/>
      <c r="B508" s="25"/>
      <c r="C508" s="25"/>
      <c r="D508" s="25"/>
      <c r="E508" s="26"/>
      <c r="F508" s="26"/>
      <c r="G508" s="26"/>
      <c r="H508" s="26"/>
      <c r="I508" s="26"/>
      <c r="J508" s="25"/>
      <c r="K508" s="25"/>
      <c r="L508" s="25"/>
      <c r="M508" s="25"/>
      <c r="N508" s="25"/>
      <c r="O508" s="25"/>
      <c r="P508" s="25"/>
      <c r="Q508" s="25"/>
      <c r="R508" s="25"/>
      <c r="S508" s="25"/>
      <c r="T508" s="25"/>
      <c r="U508" s="25"/>
      <c r="V508" s="25"/>
      <c r="W508" s="25"/>
      <c r="X508" s="25"/>
      <c r="Y508" s="25"/>
      <c r="Z508" s="25"/>
    </row>
    <row r="509" spans="1:26" ht="14.25" customHeight="1" x14ac:dyDescent="0.25">
      <c r="A509" s="26"/>
      <c r="B509" s="25"/>
      <c r="C509" s="25"/>
      <c r="D509" s="25"/>
      <c r="E509" s="26"/>
      <c r="F509" s="26"/>
      <c r="G509" s="26"/>
      <c r="H509" s="26"/>
      <c r="I509" s="26"/>
      <c r="J509" s="25"/>
      <c r="K509" s="25"/>
      <c r="L509" s="25"/>
      <c r="M509" s="25"/>
      <c r="N509" s="25"/>
      <c r="O509" s="25"/>
      <c r="P509" s="25"/>
      <c r="Q509" s="25"/>
      <c r="R509" s="25"/>
      <c r="S509" s="25"/>
      <c r="T509" s="25"/>
      <c r="U509" s="25"/>
      <c r="V509" s="25"/>
      <c r="W509" s="25"/>
      <c r="X509" s="25"/>
      <c r="Y509" s="25"/>
      <c r="Z509" s="25"/>
    </row>
    <row r="510" spans="1:26" ht="14.25" customHeight="1" x14ac:dyDescent="0.25">
      <c r="A510" s="26"/>
      <c r="B510" s="25"/>
      <c r="C510" s="25"/>
      <c r="D510" s="25"/>
      <c r="E510" s="26"/>
      <c r="F510" s="26"/>
      <c r="G510" s="26"/>
      <c r="H510" s="26"/>
      <c r="I510" s="26"/>
      <c r="J510" s="25"/>
      <c r="K510" s="25"/>
      <c r="L510" s="25"/>
      <c r="M510" s="25"/>
      <c r="N510" s="25"/>
      <c r="O510" s="25"/>
      <c r="P510" s="25"/>
      <c r="Q510" s="25"/>
      <c r="R510" s="25"/>
      <c r="S510" s="25"/>
      <c r="T510" s="25"/>
      <c r="U510" s="25"/>
      <c r="V510" s="25"/>
      <c r="W510" s="25"/>
      <c r="X510" s="25"/>
      <c r="Y510" s="25"/>
      <c r="Z510" s="25"/>
    </row>
    <row r="511" spans="1:26" ht="14.25" customHeight="1" x14ac:dyDescent="0.25">
      <c r="A511" s="26"/>
      <c r="B511" s="25"/>
      <c r="C511" s="25"/>
      <c r="D511" s="25"/>
      <c r="E511" s="26"/>
      <c r="F511" s="26"/>
      <c r="G511" s="26"/>
      <c r="H511" s="26"/>
      <c r="I511" s="26"/>
      <c r="J511" s="25"/>
      <c r="K511" s="25"/>
      <c r="L511" s="25"/>
      <c r="M511" s="25"/>
      <c r="N511" s="25"/>
      <c r="O511" s="25"/>
      <c r="P511" s="25"/>
      <c r="Q511" s="25"/>
      <c r="R511" s="25"/>
      <c r="S511" s="25"/>
      <c r="T511" s="25"/>
      <c r="U511" s="25"/>
      <c r="V511" s="25"/>
      <c r="W511" s="25"/>
      <c r="X511" s="25"/>
      <c r="Y511" s="25"/>
      <c r="Z511" s="25"/>
    </row>
    <row r="512" spans="1:26" ht="14.25" customHeight="1" x14ac:dyDescent="0.25">
      <c r="A512" s="26"/>
      <c r="B512" s="25"/>
      <c r="C512" s="25"/>
      <c r="D512" s="25"/>
      <c r="E512" s="26"/>
      <c r="F512" s="26"/>
      <c r="G512" s="26"/>
      <c r="H512" s="26"/>
      <c r="I512" s="26"/>
      <c r="J512" s="25"/>
      <c r="K512" s="25"/>
      <c r="L512" s="25"/>
      <c r="M512" s="25"/>
      <c r="N512" s="25"/>
      <c r="O512" s="25"/>
      <c r="P512" s="25"/>
      <c r="Q512" s="25"/>
      <c r="R512" s="25"/>
      <c r="S512" s="25"/>
      <c r="T512" s="25"/>
      <c r="U512" s="25"/>
      <c r="V512" s="25"/>
      <c r="W512" s="25"/>
      <c r="X512" s="25"/>
      <c r="Y512" s="25"/>
      <c r="Z512" s="25"/>
    </row>
    <row r="513" spans="1:26" ht="14.25" customHeight="1" x14ac:dyDescent="0.25">
      <c r="A513" s="26"/>
      <c r="B513" s="25"/>
      <c r="C513" s="25"/>
      <c r="D513" s="25"/>
      <c r="E513" s="26"/>
      <c r="F513" s="26"/>
      <c r="G513" s="26"/>
      <c r="H513" s="26"/>
      <c r="I513" s="26"/>
      <c r="J513" s="25"/>
      <c r="K513" s="25"/>
      <c r="L513" s="25"/>
      <c r="M513" s="25"/>
      <c r="N513" s="25"/>
      <c r="O513" s="25"/>
      <c r="P513" s="25"/>
      <c r="Q513" s="25"/>
      <c r="R513" s="25"/>
      <c r="S513" s="25"/>
      <c r="T513" s="25"/>
      <c r="U513" s="25"/>
      <c r="V513" s="25"/>
      <c r="W513" s="25"/>
      <c r="X513" s="25"/>
      <c r="Y513" s="25"/>
      <c r="Z513" s="25"/>
    </row>
    <row r="514" spans="1:26" ht="14.25" customHeight="1" x14ac:dyDescent="0.25">
      <c r="A514" s="26"/>
      <c r="B514" s="25"/>
      <c r="C514" s="25"/>
      <c r="D514" s="25"/>
      <c r="E514" s="26"/>
      <c r="F514" s="26"/>
      <c r="G514" s="26"/>
      <c r="H514" s="26"/>
      <c r="I514" s="26"/>
      <c r="J514" s="25"/>
      <c r="K514" s="25"/>
      <c r="L514" s="25"/>
      <c r="M514" s="25"/>
      <c r="N514" s="25"/>
      <c r="O514" s="25"/>
      <c r="P514" s="25"/>
      <c r="Q514" s="25"/>
      <c r="R514" s="25"/>
      <c r="S514" s="25"/>
      <c r="T514" s="25"/>
      <c r="U514" s="25"/>
      <c r="V514" s="25"/>
      <c r="W514" s="25"/>
      <c r="X514" s="25"/>
      <c r="Y514" s="25"/>
      <c r="Z514" s="25"/>
    </row>
    <row r="515" spans="1:26" ht="14.25" customHeight="1" x14ac:dyDescent="0.25">
      <c r="A515" s="26"/>
      <c r="B515" s="25"/>
      <c r="C515" s="25"/>
      <c r="D515" s="25"/>
      <c r="E515" s="26"/>
      <c r="F515" s="26"/>
      <c r="G515" s="26"/>
      <c r="H515" s="26"/>
      <c r="I515" s="26"/>
      <c r="J515" s="25"/>
      <c r="K515" s="25"/>
      <c r="L515" s="25"/>
      <c r="M515" s="25"/>
      <c r="N515" s="25"/>
      <c r="O515" s="25"/>
      <c r="P515" s="25"/>
      <c r="Q515" s="25"/>
      <c r="R515" s="25"/>
      <c r="S515" s="25"/>
      <c r="T515" s="25"/>
      <c r="U515" s="25"/>
      <c r="V515" s="25"/>
      <c r="W515" s="25"/>
      <c r="X515" s="25"/>
      <c r="Y515" s="25"/>
      <c r="Z515" s="25"/>
    </row>
    <row r="516" spans="1:26" ht="14.25" customHeight="1" x14ac:dyDescent="0.25">
      <c r="A516" s="26"/>
      <c r="B516" s="25"/>
      <c r="C516" s="25"/>
      <c r="D516" s="25"/>
      <c r="E516" s="26"/>
      <c r="F516" s="26"/>
      <c r="G516" s="26"/>
      <c r="H516" s="26"/>
      <c r="I516" s="26"/>
      <c r="J516" s="25"/>
      <c r="K516" s="25"/>
      <c r="L516" s="25"/>
      <c r="M516" s="25"/>
      <c r="N516" s="25"/>
      <c r="O516" s="25"/>
      <c r="P516" s="25"/>
      <c r="Q516" s="25"/>
      <c r="R516" s="25"/>
      <c r="S516" s="25"/>
      <c r="T516" s="25"/>
      <c r="U516" s="25"/>
      <c r="V516" s="25"/>
      <c r="W516" s="25"/>
      <c r="X516" s="25"/>
      <c r="Y516" s="25"/>
      <c r="Z516" s="25"/>
    </row>
    <row r="517" spans="1:26" ht="14.25" customHeight="1" x14ac:dyDescent="0.25">
      <c r="A517" s="26"/>
      <c r="B517" s="25"/>
      <c r="C517" s="25"/>
      <c r="D517" s="25"/>
      <c r="E517" s="26"/>
      <c r="F517" s="26"/>
      <c r="G517" s="26"/>
      <c r="H517" s="26"/>
      <c r="I517" s="26"/>
      <c r="J517" s="25"/>
      <c r="K517" s="25"/>
      <c r="L517" s="25"/>
      <c r="M517" s="25"/>
      <c r="N517" s="25"/>
      <c r="O517" s="25"/>
      <c r="P517" s="25"/>
      <c r="Q517" s="25"/>
      <c r="R517" s="25"/>
      <c r="S517" s="25"/>
      <c r="T517" s="25"/>
      <c r="U517" s="25"/>
      <c r="V517" s="25"/>
      <c r="W517" s="25"/>
      <c r="X517" s="25"/>
      <c r="Y517" s="25"/>
      <c r="Z517" s="25"/>
    </row>
    <row r="518" spans="1:26" ht="14.25" customHeight="1" x14ac:dyDescent="0.25">
      <c r="A518" s="26"/>
      <c r="B518" s="25"/>
      <c r="C518" s="25"/>
      <c r="D518" s="25"/>
      <c r="E518" s="26"/>
      <c r="F518" s="26"/>
      <c r="G518" s="26"/>
      <c r="H518" s="26"/>
      <c r="I518" s="26"/>
      <c r="J518" s="25"/>
      <c r="K518" s="25"/>
      <c r="L518" s="25"/>
      <c r="M518" s="25"/>
      <c r="N518" s="25"/>
      <c r="O518" s="25"/>
      <c r="P518" s="25"/>
      <c r="Q518" s="25"/>
      <c r="R518" s="25"/>
      <c r="S518" s="25"/>
      <c r="T518" s="25"/>
      <c r="U518" s="25"/>
      <c r="V518" s="25"/>
      <c r="W518" s="25"/>
      <c r="X518" s="25"/>
      <c r="Y518" s="25"/>
      <c r="Z518" s="25"/>
    </row>
    <row r="519" spans="1:26" ht="14.25" customHeight="1" x14ac:dyDescent="0.25">
      <c r="A519" s="26"/>
      <c r="B519" s="25"/>
      <c r="C519" s="25"/>
      <c r="D519" s="25"/>
      <c r="E519" s="26"/>
      <c r="F519" s="26"/>
      <c r="G519" s="26"/>
      <c r="H519" s="26"/>
      <c r="I519" s="26"/>
      <c r="J519" s="25"/>
      <c r="K519" s="25"/>
      <c r="L519" s="25"/>
      <c r="M519" s="25"/>
      <c r="N519" s="25"/>
      <c r="O519" s="25"/>
      <c r="P519" s="25"/>
      <c r="Q519" s="25"/>
      <c r="R519" s="25"/>
      <c r="S519" s="25"/>
      <c r="T519" s="25"/>
      <c r="U519" s="25"/>
      <c r="V519" s="25"/>
      <c r="W519" s="25"/>
      <c r="X519" s="25"/>
      <c r="Y519" s="25"/>
      <c r="Z519" s="25"/>
    </row>
    <row r="520" spans="1:26" ht="14.25" customHeight="1" x14ac:dyDescent="0.25">
      <c r="A520" s="26"/>
      <c r="B520" s="25"/>
      <c r="C520" s="25"/>
      <c r="D520" s="25"/>
      <c r="E520" s="26"/>
      <c r="F520" s="26"/>
      <c r="G520" s="26"/>
      <c r="H520" s="26"/>
      <c r="I520" s="26"/>
      <c r="J520" s="25"/>
      <c r="K520" s="25"/>
      <c r="L520" s="25"/>
      <c r="M520" s="25"/>
      <c r="N520" s="25"/>
      <c r="O520" s="25"/>
      <c r="P520" s="25"/>
      <c r="Q520" s="25"/>
      <c r="R520" s="25"/>
      <c r="S520" s="25"/>
      <c r="T520" s="25"/>
      <c r="U520" s="25"/>
      <c r="V520" s="25"/>
      <c r="W520" s="25"/>
      <c r="X520" s="25"/>
      <c r="Y520" s="25"/>
      <c r="Z520" s="25"/>
    </row>
    <row r="521" spans="1:26" ht="14.25" customHeight="1" x14ac:dyDescent="0.25">
      <c r="A521" s="26"/>
      <c r="B521" s="25"/>
      <c r="C521" s="25"/>
      <c r="D521" s="25"/>
      <c r="E521" s="26"/>
      <c r="F521" s="26"/>
      <c r="G521" s="26"/>
      <c r="H521" s="26"/>
      <c r="I521" s="26"/>
      <c r="J521" s="25"/>
      <c r="K521" s="25"/>
      <c r="L521" s="25"/>
      <c r="M521" s="25"/>
      <c r="N521" s="25"/>
      <c r="O521" s="25"/>
      <c r="P521" s="25"/>
      <c r="Q521" s="25"/>
      <c r="R521" s="25"/>
      <c r="S521" s="25"/>
      <c r="T521" s="25"/>
      <c r="U521" s="25"/>
      <c r="V521" s="25"/>
      <c r="W521" s="25"/>
      <c r="X521" s="25"/>
      <c r="Y521" s="25"/>
      <c r="Z521" s="25"/>
    </row>
    <row r="522" spans="1:26" ht="14.25" customHeight="1" x14ac:dyDescent="0.25">
      <c r="A522" s="26"/>
      <c r="B522" s="25"/>
      <c r="C522" s="25"/>
      <c r="D522" s="25"/>
      <c r="E522" s="26"/>
      <c r="F522" s="26"/>
      <c r="G522" s="26"/>
      <c r="H522" s="26"/>
      <c r="I522" s="26"/>
      <c r="J522" s="25"/>
      <c r="K522" s="25"/>
      <c r="L522" s="25"/>
      <c r="M522" s="25"/>
      <c r="N522" s="25"/>
      <c r="O522" s="25"/>
      <c r="P522" s="25"/>
      <c r="Q522" s="25"/>
      <c r="R522" s="25"/>
      <c r="S522" s="25"/>
      <c r="T522" s="25"/>
      <c r="U522" s="25"/>
      <c r="V522" s="25"/>
      <c r="W522" s="25"/>
      <c r="X522" s="25"/>
      <c r="Y522" s="25"/>
      <c r="Z522" s="25"/>
    </row>
    <row r="523" spans="1:26" ht="14.25" customHeight="1" x14ac:dyDescent="0.25">
      <c r="A523" s="26"/>
      <c r="B523" s="25"/>
      <c r="C523" s="25"/>
      <c r="D523" s="25"/>
      <c r="E523" s="26"/>
      <c r="F523" s="26"/>
      <c r="G523" s="26"/>
      <c r="H523" s="26"/>
      <c r="I523" s="26"/>
      <c r="J523" s="25"/>
      <c r="K523" s="25"/>
      <c r="L523" s="25"/>
      <c r="M523" s="25"/>
      <c r="N523" s="25"/>
      <c r="O523" s="25"/>
      <c r="P523" s="25"/>
      <c r="Q523" s="25"/>
      <c r="R523" s="25"/>
      <c r="S523" s="25"/>
      <c r="T523" s="25"/>
      <c r="U523" s="25"/>
      <c r="V523" s="25"/>
      <c r="W523" s="25"/>
      <c r="X523" s="25"/>
      <c r="Y523" s="25"/>
      <c r="Z523" s="25"/>
    </row>
    <row r="524" spans="1:26" ht="14.25" customHeight="1" x14ac:dyDescent="0.25">
      <c r="A524" s="26"/>
      <c r="B524" s="25"/>
      <c r="C524" s="25"/>
      <c r="D524" s="25"/>
      <c r="E524" s="26"/>
      <c r="F524" s="26"/>
      <c r="G524" s="26"/>
      <c r="H524" s="26"/>
      <c r="I524" s="26"/>
      <c r="J524" s="25"/>
      <c r="K524" s="25"/>
      <c r="L524" s="25"/>
      <c r="M524" s="25"/>
      <c r="N524" s="25"/>
      <c r="O524" s="25"/>
      <c r="P524" s="25"/>
      <c r="Q524" s="25"/>
      <c r="R524" s="25"/>
      <c r="S524" s="25"/>
      <c r="T524" s="25"/>
      <c r="U524" s="25"/>
      <c r="V524" s="25"/>
      <c r="W524" s="25"/>
      <c r="X524" s="25"/>
      <c r="Y524" s="25"/>
      <c r="Z524" s="25"/>
    </row>
    <row r="525" spans="1:26" ht="14.25" customHeight="1" x14ac:dyDescent="0.25">
      <c r="A525" s="26"/>
      <c r="B525" s="25"/>
      <c r="C525" s="25"/>
      <c r="D525" s="25"/>
      <c r="E525" s="26"/>
      <c r="F525" s="26"/>
      <c r="G525" s="26"/>
      <c r="H525" s="26"/>
      <c r="I525" s="26"/>
      <c r="J525" s="25"/>
      <c r="K525" s="25"/>
      <c r="L525" s="25"/>
      <c r="M525" s="25"/>
      <c r="N525" s="25"/>
      <c r="O525" s="25"/>
      <c r="P525" s="25"/>
      <c r="Q525" s="25"/>
      <c r="R525" s="25"/>
      <c r="S525" s="25"/>
      <c r="T525" s="25"/>
      <c r="U525" s="25"/>
      <c r="V525" s="25"/>
      <c r="W525" s="25"/>
      <c r="X525" s="25"/>
      <c r="Y525" s="25"/>
      <c r="Z525" s="25"/>
    </row>
    <row r="526" spans="1:26" ht="14.25" customHeight="1" x14ac:dyDescent="0.25">
      <c r="A526" s="26"/>
      <c r="B526" s="25"/>
      <c r="C526" s="25"/>
      <c r="D526" s="25"/>
      <c r="E526" s="26"/>
      <c r="F526" s="26"/>
      <c r="G526" s="26"/>
      <c r="H526" s="26"/>
      <c r="I526" s="26"/>
      <c r="J526" s="25"/>
      <c r="K526" s="25"/>
      <c r="L526" s="25"/>
      <c r="M526" s="25"/>
      <c r="N526" s="25"/>
      <c r="O526" s="25"/>
      <c r="P526" s="25"/>
      <c r="Q526" s="25"/>
      <c r="R526" s="25"/>
      <c r="S526" s="25"/>
      <c r="T526" s="25"/>
      <c r="U526" s="25"/>
      <c r="V526" s="25"/>
      <c r="W526" s="25"/>
      <c r="X526" s="25"/>
      <c r="Y526" s="25"/>
      <c r="Z526" s="25"/>
    </row>
    <row r="527" spans="1:26" ht="14.25" customHeight="1" x14ac:dyDescent="0.25">
      <c r="A527" s="26"/>
      <c r="B527" s="25"/>
      <c r="C527" s="25"/>
      <c r="D527" s="25"/>
      <c r="E527" s="26"/>
      <c r="F527" s="26"/>
      <c r="G527" s="26"/>
      <c r="H527" s="26"/>
      <c r="I527" s="26"/>
      <c r="J527" s="25"/>
      <c r="K527" s="25"/>
      <c r="L527" s="25"/>
      <c r="M527" s="25"/>
      <c r="N527" s="25"/>
      <c r="O527" s="25"/>
      <c r="P527" s="25"/>
      <c r="Q527" s="25"/>
      <c r="R527" s="25"/>
      <c r="S527" s="25"/>
      <c r="T527" s="25"/>
      <c r="U527" s="25"/>
      <c r="V527" s="25"/>
      <c r="W527" s="25"/>
      <c r="X527" s="25"/>
      <c r="Y527" s="25"/>
      <c r="Z527" s="25"/>
    </row>
    <row r="528" spans="1:26" ht="14.25" customHeight="1" x14ac:dyDescent="0.25">
      <c r="A528" s="26"/>
      <c r="B528" s="25"/>
      <c r="C528" s="25"/>
      <c r="D528" s="25"/>
      <c r="E528" s="26"/>
      <c r="F528" s="26"/>
      <c r="G528" s="26"/>
      <c r="H528" s="26"/>
      <c r="I528" s="26"/>
      <c r="J528" s="25"/>
      <c r="K528" s="25"/>
      <c r="L528" s="25"/>
      <c r="M528" s="25"/>
      <c r="N528" s="25"/>
      <c r="O528" s="25"/>
      <c r="P528" s="25"/>
      <c r="Q528" s="25"/>
      <c r="R528" s="25"/>
      <c r="S528" s="25"/>
      <c r="T528" s="25"/>
      <c r="U528" s="25"/>
      <c r="V528" s="25"/>
      <c r="W528" s="25"/>
      <c r="X528" s="25"/>
      <c r="Y528" s="25"/>
      <c r="Z528" s="25"/>
    </row>
    <row r="529" spans="1:26" ht="14.25" customHeight="1" x14ac:dyDescent="0.25">
      <c r="A529" s="26"/>
      <c r="B529" s="25"/>
      <c r="C529" s="25"/>
      <c r="D529" s="25"/>
      <c r="E529" s="26"/>
      <c r="F529" s="26"/>
      <c r="G529" s="26"/>
      <c r="H529" s="26"/>
      <c r="I529" s="26"/>
      <c r="J529" s="25"/>
      <c r="K529" s="25"/>
      <c r="L529" s="25"/>
      <c r="M529" s="25"/>
      <c r="N529" s="25"/>
      <c r="O529" s="25"/>
      <c r="P529" s="25"/>
      <c r="Q529" s="25"/>
      <c r="R529" s="25"/>
      <c r="S529" s="25"/>
      <c r="T529" s="25"/>
      <c r="U529" s="25"/>
      <c r="V529" s="25"/>
      <c r="W529" s="25"/>
      <c r="X529" s="25"/>
      <c r="Y529" s="25"/>
      <c r="Z529" s="25"/>
    </row>
    <row r="530" spans="1:26" ht="14.25" customHeight="1" x14ac:dyDescent="0.25">
      <c r="A530" s="26"/>
      <c r="B530" s="25"/>
      <c r="C530" s="25"/>
      <c r="D530" s="25"/>
      <c r="E530" s="26"/>
      <c r="F530" s="26"/>
      <c r="G530" s="26"/>
      <c r="H530" s="26"/>
      <c r="I530" s="26"/>
      <c r="J530" s="25"/>
      <c r="K530" s="25"/>
      <c r="L530" s="25"/>
      <c r="M530" s="25"/>
      <c r="N530" s="25"/>
      <c r="O530" s="25"/>
      <c r="P530" s="25"/>
      <c r="Q530" s="25"/>
      <c r="R530" s="25"/>
      <c r="S530" s="25"/>
      <c r="T530" s="25"/>
      <c r="U530" s="25"/>
      <c r="V530" s="25"/>
      <c r="W530" s="25"/>
      <c r="X530" s="25"/>
      <c r="Y530" s="25"/>
      <c r="Z530" s="25"/>
    </row>
    <row r="531" spans="1:26" ht="14.25" customHeight="1" x14ac:dyDescent="0.25">
      <c r="A531" s="26"/>
      <c r="B531" s="25"/>
      <c r="C531" s="25"/>
      <c r="D531" s="25"/>
      <c r="E531" s="26"/>
      <c r="F531" s="26"/>
      <c r="G531" s="26"/>
      <c r="H531" s="26"/>
      <c r="I531" s="26"/>
      <c r="J531" s="25"/>
      <c r="K531" s="25"/>
      <c r="L531" s="25"/>
      <c r="M531" s="25"/>
      <c r="N531" s="25"/>
      <c r="O531" s="25"/>
      <c r="P531" s="25"/>
      <c r="Q531" s="25"/>
      <c r="R531" s="25"/>
      <c r="S531" s="25"/>
      <c r="T531" s="25"/>
      <c r="U531" s="25"/>
      <c r="V531" s="25"/>
      <c r="W531" s="25"/>
      <c r="X531" s="25"/>
      <c r="Y531" s="25"/>
      <c r="Z531" s="25"/>
    </row>
    <row r="532" spans="1:26" ht="14.25" customHeight="1" x14ac:dyDescent="0.25">
      <c r="A532" s="26"/>
      <c r="B532" s="25"/>
      <c r="C532" s="25"/>
      <c r="D532" s="25"/>
      <c r="E532" s="26"/>
      <c r="F532" s="26"/>
      <c r="G532" s="26"/>
      <c r="H532" s="26"/>
      <c r="I532" s="26"/>
      <c r="J532" s="25"/>
      <c r="K532" s="25"/>
      <c r="L532" s="25"/>
      <c r="M532" s="25"/>
      <c r="N532" s="25"/>
      <c r="O532" s="25"/>
      <c r="P532" s="25"/>
      <c r="Q532" s="25"/>
      <c r="R532" s="25"/>
      <c r="S532" s="25"/>
      <c r="T532" s="25"/>
      <c r="U532" s="25"/>
      <c r="V532" s="25"/>
      <c r="W532" s="25"/>
      <c r="X532" s="25"/>
      <c r="Y532" s="25"/>
      <c r="Z532" s="25"/>
    </row>
    <row r="533" spans="1:26" ht="14.25" customHeight="1" x14ac:dyDescent="0.25">
      <c r="A533" s="26"/>
      <c r="B533" s="25"/>
      <c r="C533" s="25"/>
      <c r="D533" s="25"/>
      <c r="E533" s="26"/>
      <c r="F533" s="26"/>
      <c r="G533" s="26"/>
      <c r="H533" s="26"/>
      <c r="I533" s="26"/>
      <c r="J533" s="25"/>
      <c r="K533" s="25"/>
      <c r="L533" s="25"/>
      <c r="M533" s="25"/>
      <c r="N533" s="25"/>
      <c r="O533" s="25"/>
      <c r="P533" s="25"/>
      <c r="Q533" s="25"/>
      <c r="R533" s="25"/>
      <c r="S533" s="25"/>
      <c r="T533" s="25"/>
      <c r="U533" s="25"/>
      <c r="V533" s="25"/>
      <c r="W533" s="25"/>
      <c r="X533" s="25"/>
      <c r="Y533" s="25"/>
      <c r="Z533" s="25"/>
    </row>
    <row r="534" spans="1:26" ht="14.25" customHeight="1" x14ac:dyDescent="0.25">
      <c r="A534" s="26"/>
      <c r="B534" s="25"/>
      <c r="C534" s="25"/>
      <c r="D534" s="25"/>
      <c r="E534" s="26"/>
      <c r="F534" s="26"/>
      <c r="G534" s="26"/>
      <c r="H534" s="26"/>
      <c r="I534" s="26"/>
      <c r="J534" s="25"/>
      <c r="K534" s="25"/>
      <c r="L534" s="25"/>
      <c r="M534" s="25"/>
      <c r="N534" s="25"/>
      <c r="O534" s="25"/>
      <c r="P534" s="25"/>
      <c r="Q534" s="25"/>
      <c r="R534" s="25"/>
      <c r="S534" s="25"/>
      <c r="T534" s="25"/>
      <c r="U534" s="25"/>
      <c r="V534" s="25"/>
      <c r="W534" s="25"/>
      <c r="X534" s="25"/>
      <c r="Y534" s="25"/>
      <c r="Z534" s="25"/>
    </row>
    <row r="535" spans="1:26" ht="14.25" customHeight="1" x14ac:dyDescent="0.25">
      <c r="A535" s="26"/>
      <c r="B535" s="25"/>
      <c r="C535" s="25"/>
      <c r="D535" s="25"/>
      <c r="E535" s="26"/>
      <c r="F535" s="26"/>
      <c r="G535" s="26"/>
      <c r="H535" s="26"/>
      <c r="I535" s="26"/>
      <c r="J535" s="25"/>
      <c r="K535" s="25"/>
      <c r="L535" s="25"/>
      <c r="M535" s="25"/>
      <c r="N535" s="25"/>
      <c r="O535" s="25"/>
      <c r="P535" s="25"/>
      <c r="Q535" s="25"/>
      <c r="R535" s="25"/>
      <c r="S535" s="25"/>
      <c r="T535" s="25"/>
      <c r="U535" s="25"/>
      <c r="V535" s="25"/>
      <c r="W535" s="25"/>
      <c r="X535" s="25"/>
      <c r="Y535" s="25"/>
      <c r="Z535" s="25"/>
    </row>
    <row r="536" spans="1:26" ht="14.25" customHeight="1" x14ac:dyDescent="0.25">
      <c r="A536" s="26"/>
      <c r="B536" s="25"/>
      <c r="C536" s="25"/>
      <c r="D536" s="25"/>
      <c r="E536" s="26"/>
      <c r="F536" s="26"/>
      <c r="G536" s="26"/>
      <c r="H536" s="26"/>
      <c r="I536" s="26"/>
      <c r="J536" s="25"/>
      <c r="K536" s="25"/>
      <c r="L536" s="25"/>
      <c r="M536" s="25"/>
      <c r="N536" s="25"/>
      <c r="O536" s="25"/>
      <c r="P536" s="25"/>
      <c r="Q536" s="25"/>
      <c r="R536" s="25"/>
      <c r="S536" s="25"/>
      <c r="T536" s="25"/>
      <c r="U536" s="25"/>
      <c r="V536" s="25"/>
      <c r="W536" s="25"/>
      <c r="X536" s="25"/>
      <c r="Y536" s="25"/>
      <c r="Z536" s="25"/>
    </row>
    <row r="537" spans="1:26" ht="14.25" customHeight="1" x14ac:dyDescent="0.25">
      <c r="A537" s="26"/>
      <c r="B537" s="25"/>
      <c r="C537" s="25"/>
      <c r="D537" s="25"/>
      <c r="E537" s="26"/>
      <c r="F537" s="26"/>
      <c r="G537" s="26"/>
      <c r="H537" s="26"/>
      <c r="I537" s="26"/>
      <c r="J537" s="25"/>
      <c r="K537" s="25"/>
      <c r="L537" s="25"/>
      <c r="M537" s="25"/>
      <c r="N537" s="25"/>
      <c r="O537" s="25"/>
      <c r="P537" s="25"/>
      <c r="Q537" s="25"/>
      <c r="R537" s="25"/>
      <c r="S537" s="25"/>
      <c r="T537" s="25"/>
      <c r="U537" s="25"/>
      <c r="V537" s="25"/>
      <c r="W537" s="25"/>
      <c r="X537" s="25"/>
      <c r="Y537" s="25"/>
      <c r="Z537" s="25"/>
    </row>
    <row r="538" spans="1:26" ht="14.25" customHeight="1" x14ac:dyDescent="0.25">
      <c r="A538" s="26"/>
      <c r="B538" s="25"/>
      <c r="C538" s="25"/>
      <c r="D538" s="25"/>
      <c r="E538" s="26"/>
      <c r="F538" s="26"/>
      <c r="G538" s="26"/>
      <c r="H538" s="26"/>
      <c r="I538" s="26"/>
      <c r="J538" s="25"/>
      <c r="K538" s="25"/>
      <c r="L538" s="25"/>
      <c r="M538" s="25"/>
      <c r="N538" s="25"/>
      <c r="O538" s="25"/>
      <c r="P538" s="25"/>
      <c r="Q538" s="25"/>
      <c r="R538" s="25"/>
      <c r="S538" s="25"/>
      <c r="T538" s="25"/>
      <c r="U538" s="25"/>
      <c r="V538" s="25"/>
      <c r="W538" s="25"/>
      <c r="X538" s="25"/>
      <c r="Y538" s="25"/>
      <c r="Z538" s="25"/>
    </row>
    <row r="539" spans="1:26" ht="14.25" customHeight="1" x14ac:dyDescent="0.25">
      <c r="A539" s="26"/>
      <c r="B539" s="25"/>
      <c r="C539" s="25"/>
      <c r="D539" s="25"/>
      <c r="E539" s="26"/>
      <c r="F539" s="26"/>
      <c r="G539" s="26"/>
      <c r="H539" s="26"/>
      <c r="I539" s="26"/>
      <c r="J539" s="25"/>
      <c r="K539" s="25"/>
      <c r="L539" s="25"/>
      <c r="M539" s="25"/>
      <c r="N539" s="25"/>
      <c r="O539" s="25"/>
      <c r="P539" s="25"/>
      <c r="Q539" s="25"/>
      <c r="R539" s="25"/>
      <c r="S539" s="25"/>
      <c r="T539" s="25"/>
      <c r="U539" s="25"/>
      <c r="V539" s="25"/>
      <c r="W539" s="25"/>
      <c r="X539" s="25"/>
      <c r="Y539" s="25"/>
      <c r="Z539" s="25"/>
    </row>
    <row r="540" spans="1:26" ht="14.25" customHeight="1" x14ac:dyDescent="0.25">
      <c r="A540" s="26"/>
      <c r="B540" s="25"/>
      <c r="C540" s="25"/>
      <c r="D540" s="25"/>
      <c r="E540" s="26"/>
      <c r="F540" s="26"/>
      <c r="G540" s="26"/>
      <c r="H540" s="26"/>
      <c r="I540" s="26"/>
      <c r="J540" s="25"/>
      <c r="K540" s="25"/>
      <c r="L540" s="25"/>
      <c r="M540" s="25"/>
      <c r="N540" s="25"/>
      <c r="O540" s="25"/>
      <c r="P540" s="25"/>
      <c r="Q540" s="25"/>
      <c r="R540" s="25"/>
      <c r="S540" s="25"/>
      <c r="T540" s="25"/>
      <c r="U540" s="25"/>
      <c r="V540" s="25"/>
      <c r="W540" s="25"/>
      <c r="X540" s="25"/>
      <c r="Y540" s="25"/>
      <c r="Z540" s="25"/>
    </row>
    <row r="541" spans="1:26" ht="14.25" customHeight="1" x14ac:dyDescent="0.25">
      <c r="A541" s="26"/>
      <c r="B541" s="25"/>
      <c r="C541" s="25"/>
      <c r="D541" s="25"/>
      <c r="E541" s="26"/>
      <c r="F541" s="26"/>
      <c r="G541" s="26"/>
      <c r="H541" s="26"/>
      <c r="I541" s="26"/>
      <c r="J541" s="25"/>
      <c r="K541" s="25"/>
      <c r="L541" s="25"/>
      <c r="M541" s="25"/>
      <c r="N541" s="25"/>
      <c r="O541" s="25"/>
      <c r="P541" s="25"/>
      <c r="Q541" s="25"/>
      <c r="R541" s="25"/>
      <c r="S541" s="25"/>
      <c r="T541" s="25"/>
      <c r="U541" s="25"/>
      <c r="V541" s="25"/>
      <c r="W541" s="25"/>
      <c r="X541" s="25"/>
      <c r="Y541" s="25"/>
      <c r="Z541" s="25"/>
    </row>
    <row r="542" spans="1:26" ht="14.25" customHeight="1" x14ac:dyDescent="0.25">
      <c r="A542" s="26"/>
      <c r="B542" s="25"/>
      <c r="C542" s="25"/>
      <c r="D542" s="25"/>
      <c r="E542" s="26"/>
      <c r="F542" s="26"/>
      <c r="G542" s="26"/>
      <c r="H542" s="26"/>
      <c r="I542" s="26"/>
      <c r="J542" s="25"/>
      <c r="K542" s="25"/>
      <c r="L542" s="25"/>
      <c r="M542" s="25"/>
      <c r="N542" s="25"/>
      <c r="O542" s="25"/>
      <c r="P542" s="25"/>
      <c r="Q542" s="25"/>
      <c r="R542" s="25"/>
      <c r="S542" s="25"/>
      <c r="T542" s="25"/>
      <c r="U542" s="25"/>
      <c r="V542" s="25"/>
      <c r="W542" s="25"/>
      <c r="X542" s="25"/>
      <c r="Y542" s="25"/>
      <c r="Z542" s="25"/>
    </row>
    <row r="543" spans="1:26" ht="14.25" customHeight="1" x14ac:dyDescent="0.25">
      <c r="A543" s="26"/>
      <c r="B543" s="25"/>
      <c r="C543" s="25"/>
      <c r="D543" s="25"/>
      <c r="E543" s="26"/>
      <c r="F543" s="26"/>
      <c r="G543" s="26"/>
      <c r="H543" s="26"/>
      <c r="I543" s="26"/>
      <c r="J543" s="25"/>
      <c r="K543" s="25"/>
      <c r="L543" s="25"/>
      <c r="M543" s="25"/>
      <c r="N543" s="25"/>
      <c r="O543" s="25"/>
      <c r="P543" s="25"/>
      <c r="Q543" s="25"/>
      <c r="R543" s="25"/>
      <c r="S543" s="25"/>
      <c r="T543" s="25"/>
      <c r="U543" s="25"/>
      <c r="V543" s="25"/>
      <c r="W543" s="25"/>
      <c r="X543" s="25"/>
      <c r="Y543" s="25"/>
      <c r="Z543" s="25"/>
    </row>
    <row r="544" spans="1:26" ht="14.25" customHeight="1" x14ac:dyDescent="0.25">
      <c r="A544" s="26"/>
      <c r="B544" s="25"/>
      <c r="C544" s="25"/>
      <c r="D544" s="25"/>
      <c r="E544" s="26"/>
      <c r="F544" s="26"/>
      <c r="G544" s="26"/>
      <c r="H544" s="26"/>
      <c r="I544" s="26"/>
      <c r="J544" s="25"/>
      <c r="K544" s="25"/>
      <c r="L544" s="25"/>
      <c r="M544" s="25"/>
      <c r="N544" s="25"/>
      <c r="O544" s="25"/>
      <c r="P544" s="25"/>
      <c r="Q544" s="25"/>
      <c r="R544" s="25"/>
      <c r="S544" s="25"/>
      <c r="T544" s="25"/>
      <c r="U544" s="25"/>
      <c r="V544" s="25"/>
      <c r="W544" s="25"/>
      <c r="X544" s="25"/>
      <c r="Y544" s="25"/>
      <c r="Z544" s="25"/>
    </row>
    <row r="545" spans="1:26" ht="14.25" customHeight="1" x14ac:dyDescent="0.25">
      <c r="A545" s="26"/>
      <c r="B545" s="25"/>
      <c r="C545" s="25"/>
      <c r="D545" s="25"/>
      <c r="E545" s="26"/>
      <c r="F545" s="26"/>
      <c r="G545" s="26"/>
      <c r="H545" s="26"/>
      <c r="I545" s="26"/>
      <c r="J545" s="25"/>
      <c r="K545" s="25"/>
      <c r="L545" s="25"/>
      <c r="M545" s="25"/>
      <c r="N545" s="25"/>
      <c r="O545" s="25"/>
      <c r="P545" s="25"/>
      <c r="Q545" s="25"/>
      <c r="R545" s="25"/>
      <c r="S545" s="25"/>
      <c r="T545" s="25"/>
      <c r="U545" s="25"/>
      <c r="V545" s="25"/>
      <c r="W545" s="25"/>
      <c r="X545" s="25"/>
      <c r="Y545" s="25"/>
      <c r="Z545" s="25"/>
    </row>
    <row r="546" spans="1:26" ht="14.25" customHeight="1" x14ac:dyDescent="0.25">
      <c r="A546" s="26"/>
      <c r="B546" s="25"/>
      <c r="C546" s="25"/>
      <c r="D546" s="25"/>
      <c r="E546" s="26"/>
      <c r="F546" s="26"/>
      <c r="G546" s="26"/>
      <c r="H546" s="26"/>
      <c r="I546" s="26"/>
      <c r="J546" s="25"/>
      <c r="K546" s="25"/>
      <c r="L546" s="25"/>
      <c r="M546" s="25"/>
      <c r="N546" s="25"/>
      <c r="O546" s="25"/>
      <c r="P546" s="25"/>
      <c r="Q546" s="25"/>
      <c r="R546" s="25"/>
      <c r="S546" s="25"/>
      <c r="T546" s="25"/>
      <c r="U546" s="25"/>
      <c r="V546" s="25"/>
      <c r="W546" s="25"/>
      <c r="X546" s="25"/>
      <c r="Y546" s="25"/>
      <c r="Z546" s="25"/>
    </row>
    <row r="547" spans="1:26" ht="14.25" customHeight="1" x14ac:dyDescent="0.25">
      <c r="A547" s="26"/>
      <c r="B547" s="25"/>
      <c r="C547" s="25"/>
      <c r="D547" s="25"/>
      <c r="E547" s="26"/>
      <c r="F547" s="26"/>
      <c r="G547" s="26"/>
      <c r="H547" s="26"/>
      <c r="I547" s="26"/>
      <c r="J547" s="25"/>
      <c r="K547" s="25"/>
      <c r="L547" s="25"/>
      <c r="M547" s="25"/>
      <c r="N547" s="25"/>
      <c r="O547" s="25"/>
      <c r="P547" s="25"/>
      <c r="Q547" s="25"/>
      <c r="R547" s="25"/>
      <c r="S547" s="25"/>
      <c r="T547" s="25"/>
      <c r="U547" s="25"/>
      <c r="V547" s="25"/>
      <c r="W547" s="25"/>
      <c r="X547" s="25"/>
      <c r="Y547" s="25"/>
      <c r="Z547" s="25"/>
    </row>
    <row r="548" spans="1:26" ht="14.25" customHeight="1" x14ac:dyDescent="0.25">
      <c r="A548" s="26"/>
      <c r="B548" s="25"/>
      <c r="C548" s="25"/>
      <c r="D548" s="25"/>
      <c r="E548" s="26"/>
      <c r="F548" s="26"/>
      <c r="G548" s="26"/>
      <c r="H548" s="26"/>
      <c r="I548" s="26"/>
      <c r="J548" s="25"/>
      <c r="K548" s="25"/>
      <c r="L548" s="25"/>
      <c r="M548" s="25"/>
      <c r="N548" s="25"/>
      <c r="O548" s="25"/>
      <c r="P548" s="25"/>
      <c r="Q548" s="25"/>
      <c r="R548" s="25"/>
      <c r="S548" s="25"/>
      <c r="T548" s="25"/>
      <c r="U548" s="25"/>
      <c r="V548" s="25"/>
      <c r="W548" s="25"/>
      <c r="X548" s="25"/>
      <c r="Y548" s="25"/>
      <c r="Z548" s="25"/>
    </row>
    <row r="549" spans="1:26" ht="14.25" customHeight="1" x14ac:dyDescent="0.25">
      <c r="A549" s="26"/>
      <c r="B549" s="25"/>
      <c r="C549" s="25"/>
      <c r="D549" s="25"/>
      <c r="E549" s="26"/>
      <c r="F549" s="26"/>
      <c r="G549" s="26"/>
      <c r="H549" s="26"/>
      <c r="I549" s="26"/>
      <c r="J549" s="25"/>
      <c r="K549" s="25"/>
      <c r="L549" s="25"/>
      <c r="M549" s="25"/>
      <c r="N549" s="25"/>
      <c r="O549" s="25"/>
      <c r="P549" s="25"/>
      <c r="Q549" s="25"/>
      <c r="R549" s="25"/>
      <c r="S549" s="25"/>
      <c r="T549" s="25"/>
      <c r="U549" s="25"/>
      <c r="V549" s="25"/>
      <c r="W549" s="25"/>
      <c r="X549" s="25"/>
      <c r="Y549" s="25"/>
      <c r="Z549" s="25"/>
    </row>
    <row r="550" spans="1:26" ht="14.25" customHeight="1" x14ac:dyDescent="0.25">
      <c r="A550" s="26"/>
      <c r="B550" s="25"/>
      <c r="C550" s="25"/>
      <c r="D550" s="25"/>
      <c r="E550" s="26"/>
      <c r="F550" s="26"/>
      <c r="G550" s="26"/>
      <c r="H550" s="26"/>
      <c r="I550" s="26"/>
      <c r="J550" s="25"/>
      <c r="K550" s="25"/>
      <c r="L550" s="25"/>
      <c r="M550" s="25"/>
      <c r="N550" s="25"/>
      <c r="O550" s="25"/>
      <c r="P550" s="25"/>
      <c r="Q550" s="25"/>
      <c r="R550" s="25"/>
      <c r="S550" s="25"/>
      <c r="T550" s="25"/>
      <c r="U550" s="25"/>
      <c r="V550" s="25"/>
      <c r="W550" s="25"/>
      <c r="X550" s="25"/>
      <c r="Y550" s="25"/>
      <c r="Z550" s="25"/>
    </row>
    <row r="551" spans="1:26" ht="14.25" customHeight="1" x14ac:dyDescent="0.25">
      <c r="A551" s="26"/>
      <c r="B551" s="25"/>
      <c r="C551" s="25"/>
      <c r="D551" s="25"/>
      <c r="E551" s="26"/>
      <c r="F551" s="26"/>
      <c r="G551" s="26"/>
      <c r="H551" s="26"/>
      <c r="I551" s="26"/>
      <c r="J551" s="25"/>
      <c r="K551" s="25"/>
      <c r="L551" s="25"/>
      <c r="M551" s="25"/>
      <c r="N551" s="25"/>
      <c r="O551" s="25"/>
      <c r="P551" s="25"/>
      <c r="Q551" s="25"/>
      <c r="R551" s="25"/>
      <c r="S551" s="25"/>
      <c r="T551" s="25"/>
      <c r="U551" s="25"/>
      <c r="V551" s="25"/>
      <c r="W551" s="25"/>
      <c r="X551" s="25"/>
      <c r="Y551" s="25"/>
      <c r="Z551" s="25"/>
    </row>
    <row r="552" spans="1:26" ht="14.25" customHeight="1" x14ac:dyDescent="0.25">
      <c r="A552" s="26"/>
      <c r="B552" s="25"/>
      <c r="C552" s="25"/>
      <c r="D552" s="25"/>
      <c r="E552" s="26"/>
      <c r="F552" s="26"/>
      <c r="G552" s="26"/>
      <c r="H552" s="26"/>
      <c r="I552" s="26"/>
      <c r="J552" s="25"/>
      <c r="K552" s="25"/>
      <c r="L552" s="25"/>
      <c r="M552" s="25"/>
      <c r="N552" s="25"/>
      <c r="O552" s="25"/>
      <c r="P552" s="25"/>
      <c r="Q552" s="25"/>
      <c r="R552" s="25"/>
      <c r="S552" s="25"/>
      <c r="T552" s="25"/>
      <c r="U552" s="25"/>
      <c r="V552" s="25"/>
      <c r="W552" s="25"/>
      <c r="X552" s="25"/>
      <c r="Y552" s="25"/>
      <c r="Z552" s="25"/>
    </row>
    <row r="553" spans="1:26" ht="14.25" customHeight="1" x14ac:dyDescent="0.25">
      <c r="A553" s="26"/>
      <c r="B553" s="25"/>
      <c r="C553" s="25"/>
      <c r="D553" s="25"/>
      <c r="E553" s="26"/>
      <c r="F553" s="26"/>
      <c r="G553" s="26"/>
      <c r="H553" s="26"/>
      <c r="I553" s="26"/>
      <c r="J553" s="25"/>
      <c r="K553" s="25"/>
      <c r="L553" s="25"/>
      <c r="M553" s="25"/>
      <c r="N553" s="25"/>
      <c r="O553" s="25"/>
      <c r="P553" s="25"/>
      <c r="Q553" s="25"/>
      <c r="R553" s="25"/>
      <c r="S553" s="25"/>
      <c r="T553" s="25"/>
      <c r="U553" s="25"/>
      <c r="V553" s="25"/>
      <c r="W553" s="25"/>
      <c r="X553" s="25"/>
      <c r="Y553" s="25"/>
      <c r="Z553" s="25"/>
    </row>
    <row r="554" spans="1:26" ht="14.25" customHeight="1" x14ac:dyDescent="0.25">
      <c r="A554" s="26"/>
      <c r="B554" s="25"/>
      <c r="C554" s="25"/>
      <c r="D554" s="25"/>
      <c r="E554" s="26"/>
      <c r="F554" s="26"/>
      <c r="G554" s="26"/>
      <c r="H554" s="26"/>
      <c r="I554" s="26"/>
      <c r="J554" s="25"/>
      <c r="K554" s="25"/>
      <c r="L554" s="25"/>
      <c r="M554" s="25"/>
      <c r="N554" s="25"/>
      <c r="O554" s="25"/>
      <c r="P554" s="25"/>
      <c r="Q554" s="25"/>
      <c r="R554" s="25"/>
      <c r="S554" s="25"/>
      <c r="T554" s="25"/>
      <c r="U554" s="25"/>
      <c r="V554" s="25"/>
      <c r="W554" s="25"/>
      <c r="X554" s="25"/>
      <c r="Y554" s="25"/>
      <c r="Z554" s="25"/>
    </row>
    <row r="555" spans="1:26" ht="14.25" customHeight="1" x14ac:dyDescent="0.25">
      <c r="A555" s="26"/>
      <c r="B555" s="25"/>
      <c r="C555" s="25"/>
      <c r="D555" s="25"/>
      <c r="E555" s="26"/>
      <c r="F555" s="26"/>
      <c r="G555" s="26"/>
      <c r="H555" s="26"/>
      <c r="I555" s="26"/>
      <c r="J555" s="25"/>
      <c r="K555" s="25"/>
      <c r="L555" s="25"/>
      <c r="M555" s="25"/>
      <c r="N555" s="25"/>
      <c r="O555" s="25"/>
      <c r="P555" s="25"/>
      <c r="Q555" s="25"/>
      <c r="R555" s="25"/>
      <c r="S555" s="25"/>
      <c r="T555" s="25"/>
      <c r="U555" s="25"/>
      <c r="V555" s="25"/>
      <c r="W555" s="25"/>
      <c r="X555" s="25"/>
      <c r="Y555" s="25"/>
      <c r="Z555" s="25"/>
    </row>
    <row r="556" spans="1:26" ht="14.25" customHeight="1" x14ac:dyDescent="0.25">
      <c r="A556" s="26"/>
      <c r="B556" s="25"/>
      <c r="C556" s="25"/>
      <c r="D556" s="25"/>
      <c r="E556" s="26"/>
      <c r="F556" s="26"/>
      <c r="G556" s="26"/>
      <c r="H556" s="26"/>
      <c r="I556" s="26"/>
      <c r="J556" s="25"/>
      <c r="K556" s="25"/>
      <c r="L556" s="25"/>
      <c r="M556" s="25"/>
      <c r="N556" s="25"/>
      <c r="O556" s="25"/>
      <c r="P556" s="25"/>
      <c r="Q556" s="25"/>
      <c r="R556" s="25"/>
      <c r="S556" s="25"/>
      <c r="T556" s="25"/>
      <c r="U556" s="25"/>
      <c r="V556" s="25"/>
      <c r="W556" s="25"/>
      <c r="X556" s="25"/>
      <c r="Y556" s="25"/>
      <c r="Z556" s="25"/>
    </row>
    <row r="557" spans="1:26" ht="14.25" customHeight="1" x14ac:dyDescent="0.25">
      <c r="A557" s="26"/>
      <c r="B557" s="25"/>
      <c r="C557" s="25"/>
      <c r="D557" s="25"/>
      <c r="E557" s="26"/>
      <c r="F557" s="26"/>
      <c r="G557" s="26"/>
      <c r="H557" s="26"/>
      <c r="I557" s="26"/>
      <c r="J557" s="25"/>
      <c r="K557" s="25"/>
      <c r="L557" s="25"/>
      <c r="M557" s="25"/>
      <c r="N557" s="25"/>
      <c r="O557" s="25"/>
      <c r="P557" s="25"/>
      <c r="Q557" s="25"/>
      <c r="R557" s="25"/>
      <c r="S557" s="25"/>
      <c r="T557" s="25"/>
      <c r="U557" s="25"/>
      <c r="V557" s="25"/>
      <c r="W557" s="25"/>
      <c r="X557" s="25"/>
      <c r="Y557" s="25"/>
      <c r="Z557" s="25"/>
    </row>
    <row r="558" spans="1:26" ht="14.25" customHeight="1" x14ac:dyDescent="0.25">
      <c r="A558" s="26"/>
      <c r="B558" s="25"/>
      <c r="C558" s="25"/>
      <c r="D558" s="25"/>
      <c r="E558" s="26"/>
      <c r="F558" s="26"/>
      <c r="G558" s="26"/>
      <c r="H558" s="26"/>
      <c r="I558" s="26"/>
      <c r="J558" s="25"/>
      <c r="K558" s="25"/>
      <c r="L558" s="25"/>
      <c r="M558" s="25"/>
      <c r="N558" s="25"/>
      <c r="O558" s="25"/>
      <c r="P558" s="25"/>
      <c r="Q558" s="25"/>
      <c r="R558" s="25"/>
      <c r="S558" s="25"/>
      <c r="T558" s="25"/>
      <c r="U558" s="25"/>
      <c r="V558" s="25"/>
      <c r="W558" s="25"/>
      <c r="X558" s="25"/>
      <c r="Y558" s="25"/>
      <c r="Z558" s="25"/>
    </row>
    <row r="559" spans="1:26" ht="14.25" customHeight="1" x14ac:dyDescent="0.25">
      <c r="A559" s="26"/>
      <c r="B559" s="25"/>
      <c r="C559" s="25"/>
      <c r="D559" s="25"/>
      <c r="E559" s="26"/>
      <c r="F559" s="26"/>
      <c r="G559" s="26"/>
      <c r="H559" s="26"/>
      <c r="I559" s="26"/>
      <c r="J559" s="25"/>
      <c r="K559" s="25"/>
      <c r="L559" s="25"/>
      <c r="M559" s="25"/>
      <c r="N559" s="25"/>
      <c r="O559" s="25"/>
      <c r="P559" s="25"/>
      <c r="Q559" s="25"/>
      <c r="R559" s="25"/>
      <c r="S559" s="25"/>
      <c r="T559" s="25"/>
      <c r="U559" s="25"/>
      <c r="V559" s="25"/>
      <c r="W559" s="25"/>
      <c r="X559" s="25"/>
      <c r="Y559" s="25"/>
      <c r="Z559" s="25"/>
    </row>
    <row r="560" spans="1:26" ht="14.25" customHeight="1" x14ac:dyDescent="0.25">
      <c r="A560" s="26"/>
      <c r="B560" s="25"/>
      <c r="C560" s="25"/>
      <c r="D560" s="25"/>
      <c r="E560" s="26"/>
      <c r="F560" s="26"/>
      <c r="G560" s="26"/>
      <c r="H560" s="26"/>
      <c r="I560" s="26"/>
      <c r="J560" s="25"/>
      <c r="K560" s="25"/>
      <c r="L560" s="25"/>
      <c r="M560" s="25"/>
      <c r="N560" s="25"/>
      <c r="O560" s="25"/>
      <c r="P560" s="25"/>
      <c r="Q560" s="25"/>
      <c r="R560" s="25"/>
      <c r="S560" s="25"/>
      <c r="T560" s="25"/>
      <c r="U560" s="25"/>
      <c r="V560" s="25"/>
      <c r="W560" s="25"/>
      <c r="X560" s="25"/>
      <c r="Y560" s="25"/>
      <c r="Z560" s="25"/>
    </row>
    <row r="561" spans="1:26" ht="14.25" customHeight="1" x14ac:dyDescent="0.25">
      <c r="A561" s="26"/>
      <c r="B561" s="25"/>
      <c r="C561" s="25"/>
      <c r="D561" s="25"/>
      <c r="E561" s="26"/>
      <c r="F561" s="26"/>
      <c r="G561" s="26"/>
      <c r="H561" s="26"/>
      <c r="I561" s="26"/>
      <c r="J561" s="25"/>
      <c r="K561" s="25"/>
      <c r="L561" s="25"/>
      <c r="M561" s="25"/>
      <c r="N561" s="25"/>
      <c r="O561" s="25"/>
      <c r="P561" s="25"/>
      <c r="Q561" s="25"/>
      <c r="R561" s="25"/>
      <c r="S561" s="25"/>
      <c r="T561" s="25"/>
      <c r="U561" s="25"/>
      <c r="V561" s="25"/>
      <c r="W561" s="25"/>
      <c r="X561" s="25"/>
      <c r="Y561" s="25"/>
      <c r="Z561" s="25"/>
    </row>
    <row r="562" spans="1:26" ht="14.25" customHeight="1" x14ac:dyDescent="0.25">
      <c r="A562" s="26"/>
      <c r="B562" s="25"/>
      <c r="C562" s="25"/>
      <c r="D562" s="25"/>
      <c r="E562" s="26"/>
      <c r="F562" s="26"/>
      <c r="G562" s="26"/>
      <c r="H562" s="26"/>
      <c r="I562" s="26"/>
      <c r="J562" s="25"/>
      <c r="K562" s="25"/>
      <c r="L562" s="25"/>
      <c r="M562" s="25"/>
      <c r="N562" s="25"/>
      <c r="O562" s="25"/>
      <c r="P562" s="25"/>
      <c r="Q562" s="25"/>
      <c r="R562" s="25"/>
      <c r="S562" s="25"/>
      <c r="T562" s="25"/>
      <c r="U562" s="25"/>
      <c r="V562" s="25"/>
      <c r="W562" s="25"/>
      <c r="X562" s="25"/>
      <c r="Y562" s="25"/>
      <c r="Z562" s="25"/>
    </row>
    <row r="563" spans="1:26" ht="14.25" customHeight="1" x14ac:dyDescent="0.25">
      <c r="A563" s="26"/>
      <c r="B563" s="25"/>
      <c r="C563" s="25"/>
      <c r="D563" s="25"/>
      <c r="E563" s="26"/>
      <c r="F563" s="26"/>
      <c r="G563" s="26"/>
      <c r="H563" s="26"/>
      <c r="I563" s="26"/>
      <c r="J563" s="25"/>
      <c r="K563" s="25"/>
      <c r="L563" s="25"/>
      <c r="M563" s="25"/>
      <c r="N563" s="25"/>
      <c r="O563" s="25"/>
      <c r="P563" s="25"/>
      <c r="Q563" s="25"/>
      <c r="R563" s="25"/>
      <c r="S563" s="25"/>
      <c r="T563" s="25"/>
      <c r="U563" s="25"/>
      <c r="V563" s="25"/>
      <c r="W563" s="25"/>
      <c r="X563" s="25"/>
      <c r="Y563" s="25"/>
      <c r="Z563" s="25"/>
    </row>
    <row r="564" spans="1:26" ht="14.25" customHeight="1" x14ac:dyDescent="0.25">
      <c r="A564" s="26"/>
      <c r="B564" s="25"/>
      <c r="C564" s="25"/>
      <c r="D564" s="25"/>
      <c r="E564" s="26"/>
      <c r="F564" s="26"/>
      <c r="G564" s="26"/>
      <c r="H564" s="26"/>
      <c r="I564" s="26"/>
      <c r="J564" s="25"/>
      <c r="K564" s="25"/>
      <c r="L564" s="25"/>
      <c r="M564" s="25"/>
      <c r="N564" s="25"/>
      <c r="O564" s="25"/>
      <c r="P564" s="25"/>
      <c r="Q564" s="25"/>
      <c r="R564" s="25"/>
      <c r="S564" s="25"/>
      <c r="T564" s="25"/>
      <c r="U564" s="25"/>
      <c r="V564" s="25"/>
      <c r="W564" s="25"/>
      <c r="X564" s="25"/>
      <c r="Y564" s="25"/>
      <c r="Z564" s="25"/>
    </row>
    <row r="565" spans="1:26" ht="14.25" customHeight="1" x14ac:dyDescent="0.25">
      <c r="A565" s="26"/>
      <c r="B565" s="25"/>
      <c r="C565" s="25"/>
      <c r="D565" s="25"/>
      <c r="E565" s="26"/>
      <c r="F565" s="26"/>
      <c r="G565" s="26"/>
      <c r="H565" s="26"/>
      <c r="I565" s="26"/>
      <c r="J565" s="25"/>
      <c r="K565" s="25"/>
      <c r="L565" s="25"/>
      <c r="M565" s="25"/>
      <c r="N565" s="25"/>
      <c r="O565" s="25"/>
      <c r="P565" s="25"/>
      <c r="Q565" s="25"/>
      <c r="R565" s="25"/>
      <c r="S565" s="25"/>
      <c r="T565" s="25"/>
      <c r="U565" s="25"/>
      <c r="V565" s="25"/>
      <c r="W565" s="25"/>
      <c r="X565" s="25"/>
      <c r="Y565" s="25"/>
      <c r="Z565" s="25"/>
    </row>
    <row r="566" spans="1:26" ht="14.25" customHeight="1" x14ac:dyDescent="0.25">
      <c r="A566" s="26"/>
      <c r="B566" s="25"/>
      <c r="C566" s="25"/>
      <c r="D566" s="25"/>
      <c r="E566" s="26"/>
      <c r="F566" s="26"/>
      <c r="G566" s="26"/>
      <c r="H566" s="26"/>
      <c r="I566" s="26"/>
      <c r="J566" s="25"/>
      <c r="K566" s="25"/>
      <c r="L566" s="25"/>
      <c r="M566" s="25"/>
      <c r="N566" s="25"/>
      <c r="O566" s="25"/>
      <c r="P566" s="25"/>
      <c r="Q566" s="25"/>
      <c r="R566" s="25"/>
      <c r="S566" s="25"/>
      <c r="T566" s="25"/>
      <c r="U566" s="25"/>
      <c r="V566" s="25"/>
      <c r="W566" s="25"/>
      <c r="X566" s="25"/>
      <c r="Y566" s="25"/>
      <c r="Z566" s="25"/>
    </row>
    <row r="567" spans="1:26" ht="14.25" customHeight="1" x14ac:dyDescent="0.25">
      <c r="A567" s="26"/>
      <c r="B567" s="25"/>
      <c r="C567" s="25"/>
      <c r="D567" s="25"/>
      <c r="E567" s="26"/>
      <c r="F567" s="26"/>
      <c r="G567" s="26"/>
      <c r="H567" s="26"/>
      <c r="I567" s="26"/>
      <c r="J567" s="25"/>
      <c r="K567" s="25"/>
      <c r="L567" s="25"/>
      <c r="M567" s="25"/>
      <c r="N567" s="25"/>
      <c r="O567" s="25"/>
      <c r="P567" s="25"/>
      <c r="Q567" s="25"/>
      <c r="R567" s="25"/>
      <c r="S567" s="25"/>
      <c r="T567" s="25"/>
      <c r="U567" s="25"/>
      <c r="V567" s="25"/>
      <c r="W567" s="25"/>
      <c r="X567" s="25"/>
      <c r="Y567" s="25"/>
      <c r="Z567" s="25"/>
    </row>
    <row r="568" spans="1:26" ht="14.25" customHeight="1" x14ac:dyDescent="0.25">
      <c r="A568" s="26"/>
      <c r="B568" s="25"/>
      <c r="C568" s="25"/>
      <c r="D568" s="25"/>
      <c r="E568" s="26"/>
      <c r="F568" s="26"/>
      <c r="G568" s="26"/>
      <c r="H568" s="26"/>
      <c r="I568" s="26"/>
      <c r="J568" s="25"/>
      <c r="K568" s="25"/>
      <c r="L568" s="25"/>
      <c r="M568" s="25"/>
      <c r="N568" s="25"/>
      <c r="O568" s="25"/>
      <c r="P568" s="25"/>
      <c r="Q568" s="25"/>
      <c r="R568" s="25"/>
      <c r="S568" s="25"/>
      <c r="T568" s="25"/>
      <c r="U568" s="25"/>
      <c r="V568" s="25"/>
      <c r="W568" s="25"/>
      <c r="X568" s="25"/>
      <c r="Y568" s="25"/>
      <c r="Z568" s="25"/>
    </row>
    <row r="569" spans="1:26" ht="14.25" customHeight="1" x14ac:dyDescent="0.25">
      <c r="A569" s="26"/>
      <c r="B569" s="25"/>
      <c r="C569" s="25"/>
      <c r="D569" s="25"/>
      <c r="E569" s="26"/>
      <c r="F569" s="26"/>
      <c r="G569" s="26"/>
      <c r="H569" s="26"/>
      <c r="I569" s="26"/>
      <c r="J569" s="25"/>
      <c r="K569" s="25"/>
      <c r="L569" s="25"/>
      <c r="M569" s="25"/>
      <c r="N569" s="25"/>
      <c r="O569" s="25"/>
      <c r="P569" s="25"/>
      <c r="Q569" s="25"/>
      <c r="R569" s="25"/>
      <c r="S569" s="25"/>
      <c r="T569" s="25"/>
      <c r="U569" s="25"/>
      <c r="V569" s="25"/>
      <c r="W569" s="25"/>
      <c r="X569" s="25"/>
      <c r="Y569" s="25"/>
      <c r="Z569" s="25"/>
    </row>
    <row r="570" spans="1:26" ht="14.25" customHeight="1" x14ac:dyDescent="0.25">
      <c r="A570" s="26"/>
      <c r="B570" s="25"/>
      <c r="C570" s="25"/>
      <c r="D570" s="25"/>
      <c r="E570" s="26"/>
      <c r="F570" s="26"/>
      <c r="G570" s="26"/>
      <c r="H570" s="26"/>
      <c r="I570" s="26"/>
      <c r="J570" s="25"/>
      <c r="K570" s="25"/>
      <c r="L570" s="25"/>
      <c r="M570" s="25"/>
      <c r="N570" s="25"/>
      <c r="O570" s="25"/>
      <c r="P570" s="25"/>
      <c r="Q570" s="25"/>
      <c r="R570" s="25"/>
      <c r="S570" s="25"/>
      <c r="T570" s="25"/>
      <c r="U570" s="25"/>
      <c r="V570" s="25"/>
      <c r="W570" s="25"/>
      <c r="X570" s="25"/>
      <c r="Y570" s="25"/>
      <c r="Z570" s="25"/>
    </row>
    <row r="571" spans="1:26" ht="14.25" customHeight="1" x14ac:dyDescent="0.25">
      <c r="A571" s="26"/>
      <c r="B571" s="25"/>
      <c r="C571" s="25"/>
      <c r="D571" s="25"/>
      <c r="E571" s="26"/>
      <c r="F571" s="26"/>
      <c r="G571" s="26"/>
      <c r="H571" s="26"/>
      <c r="I571" s="26"/>
      <c r="J571" s="25"/>
      <c r="K571" s="25"/>
      <c r="L571" s="25"/>
      <c r="M571" s="25"/>
      <c r="N571" s="25"/>
      <c r="O571" s="25"/>
      <c r="P571" s="25"/>
      <c r="Q571" s="25"/>
      <c r="R571" s="25"/>
      <c r="S571" s="25"/>
      <c r="T571" s="25"/>
      <c r="U571" s="25"/>
      <c r="V571" s="25"/>
      <c r="W571" s="25"/>
      <c r="X571" s="25"/>
      <c r="Y571" s="25"/>
      <c r="Z571" s="25"/>
    </row>
    <row r="572" spans="1:26" ht="14.25" customHeight="1" x14ac:dyDescent="0.25">
      <c r="A572" s="26"/>
      <c r="B572" s="25"/>
      <c r="C572" s="25"/>
      <c r="D572" s="25"/>
      <c r="E572" s="26"/>
      <c r="F572" s="26"/>
      <c r="G572" s="26"/>
      <c r="H572" s="26"/>
      <c r="I572" s="26"/>
      <c r="J572" s="25"/>
      <c r="K572" s="25"/>
      <c r="L572" s="25"/>
      <c r="M572" s="25"/>
      <c r="N572" s="25"/>
      <c r="O572" s="25"/>
      <c r="P572" s="25"/>
      <c r="Q572" s="25"/>
      <c r="R572" s="25"/>
      <c r="S572" s="25"/>
      <c r="T572" s="25"/>
      <c r="U572" s="25"/>
      <c r="V572" s="25"/>
      <c r="W572" s="25"/>
      <c r="X572" s="25"/>
      <c r="Y572" s="25"/>
      <c r="Z572" s="25"/>
    </row>
    <row r="573" spans="1:26" ht="14.25" customHeight="1" x14ac:dyDescent="0.25">
      <c r="A573" s="26"/>
      <c r="B573" s="25"/>
      <c r="C573" s="25"/>
      <c r="D573" s="25"/>
      <c r="E573" s="26"/>
      <c r="F573" s="26"/>
      <c r="G573" s="26"/>
      <c r="H573" s="26"/>
      <c r="I573" s="26"/>
      <c r="J573" s="25"/>
      <c r="K573" s="25"/>
      <c r="L573" s="25"/>
      <c r="M573" s="25"/>
      <c r="N573" s="25"/>
      <c r="O573" s="25"/>
      <c r="P573" s="25"/>
      <c r="Q573" s="25"/>
      <c r="R573" s="25"/>
      <c r="S573" s="25"/>
      <c r="T573" s="25"/>
      <c r="U573" s="25"/>
      <c r="V573" s="25"/>
      <c r="W573" s="25"/>
      <c r="X573" s="25"/>
      <c r="Y573" s="25"/>
      <c r="Z573" s="25"/>
    </row>
    <row r="574" spans="1:26" ht="14.25" customHeight="1" x14ac:dyDescent="0.25">
      <c r="A574" s="26"/>
      <c r="B574" s="25"/>
      <c r="C574" s="25"/>
      <c r="D574" s="25"/>
      <c r="E574" s="26"/>
      <c r="F574" s="26"/>
      <c r="G574" s="26"/>
      <c r="H574" s="26"/>
      <c r="I574" s="26"/>
      <c r="J574" s="25"/>
      <c r="K574" s="25"/>
      <c r="L574" s="25"/>
      <c r="M574" s="25"/>
      <c r="N574" s="25"/>
      <c r="O574" s="25"/>
      <c r="P574" s="25"/>
      <c r="Q574" s="25"/>
      <c r="R574" s="25"/>
      <c r="S574" s="25"/>
      <c r="T574" s="25"/>
      <c r="U574" s="25"/>
      <c r="V574" s="25"/>
      <c r="W574" s="25"/>
      <c r="X574" s="25"/>
      <c r="Y574" s="25"/>
      <c r="Z574" s="25"/>
    </row>
    <row r="575" spans="1:26" ht="14.25" customHeight="1" x14ac:dyDescent="0.25">
      <c r="A575" s="26"/>
      <c r="B575" s="25"/>
      <c r="C575" s="25"/>
      <c r="D575" s="25"/>
      <c r="E575" s="26"/>
      <c r="F575" s="26"/>
      <c r="G575" s="26"/>
      <c r="H575" s="26"/>
      <c r="I575" s="26"/>
      <c r="J575" s="25"/>
      <c r="K575" s="25"/>
      <c r="L575" s="25"/>
      <c r="M575" s="25"/>
      <c r="N575" s="25"/>
      <c r="O575" s="25"/>
      <c r="P575" s="25"/>
      <c r="Q575" s="25"/>
      <c r="R575" s="25"/>
      <c r="S575" s="25"/>
      <c r="T575" s="25"/>
      <c r="U575" s="25"/>
      <c r="V575" s="25"/>
      <c r="W575" s="25"/>
      <c r="X575" s="25"/>
      <c r="Y575" s="25"/>
      <c r="Z575" s="25"/>
    </row>
    <row r="576" spans="1:26" ht="14.25" customHeight="1" x14ac:dyDescent="0.25">
      <c r="A576" s="26"/>
      <c r="B576" s="25"/>
      <c r="C576" s="25"/>
      <c r="D576" s="25"/>
      <c r="E576" s="26"/>
      <c r="F576" s="26"/>
      <c r="G576" s="26"/>
      <c r="H576" s="26"/>
      <c r="I576" s="26"/>
      <c r="J576" s="25"/>
      <c r="K576" s="25"/>
      <c r="L576" s="25"/>
      <c r="M576" s="25"/>
      <c r="N576" s="25"/>
      <c r="O576" s="25"/>
      <c r="P576" s="25"/>
      <c r="Q576" s="25"/>
      <c r="R576" s="25"/>
      <c r="S576" s="25"/>
      <c r="T576" s="25"/>
      <c r="U576" s="25"/>
      <c r="V576" s="25"/>
      <c r="W576" s="25"/>
      <c r="X576" s="25"/>
      <c r="Y576" s="25"/>
      <c r="Z576" s="25"/>
    </row>
    <row r="577" spans="1:26" ht="14.25" customHeight="1" x14ac:dyDescent="0.25">
      <c r="A577" s="26"/>
      <c r="B577" s="25"/>
      <c r="C577" s="25"/>
      <c r="D577" s="25"/>
      <c r="E577" s="26"/>
      <c r="F577" s="26"/>
      <c r="G577" s="26"/>
      <c r="H577" s="26"/>
      <c r="I577" s="26"/>
      <c r="J577" s="25"/>
      <c r="K577" s="25"/>
      <c r="L577" s="25"/>
      <c r="M577" s="25"/>
      <c r="N577" s="25"/>
      <c r="O577" s="25"/>
      <c r="P577" s="25"/>
      <c r="Q577" s="25"/>
      <c r="R577" s="25"/>
      <c r="S577" s="25"/>
      <c r="T577" s="25"/>
      <c r="U577" s="25"/>
      <c r="V577" s="25"/>
      <c r="W577" s="25"/>
      <c r="X577" s="25"/>
      <c r="Y577" s="25"/>
      <c r="Z577" s="25"/>
    </row>
    <row r="578" spans="1:26" ht="14.25" customHeight="1" x14ac:dyDescent="0.25">
      <c r="A578" s="26"/>
      <c r="B578" s="25"/>
      <c r="C578" s="25"/>
      <c r="D578" s="25"/>
      <c r="E578" s="26"/>
      <c r="F578" s="26"/>
      <c r="G578" s="26"/>
      <c r="H578" s="26"/>
      <c r="I578" s="26"/>
      <c r="J578" s="25"/>
      <c r="K578" s="25"/>
      <c r="L578" s="25"/>
      <c r="M578" s="25"/>
      <c r="N578" s="25"/>
      <c r="O578" s="25"/>
      <c r="P578" s="25"/>
      <c r="Q578" s="25"/>
      <c r="R578" s="25"/>
      <c r="S578" s="25"/>
      <c r="T578" s="25"/>
      <c r="U578" s="25"/>
      <c r="V578" s="25"/>
      <c r="W578" s="25"/>
      <c r="X578" s="25"/>
      <c r="Y578" s="25"/>
      <c r="Z578" s="25"/>
    </row>
    <row r="579" spans="1:26" ht="14.25" customHeight="1" x14ac:dyDescent="0.25">
      <c r="A579" s="26"/>
      <c r="B579" s="25"/>
      <c r="C579" s="25"/>
      <c r="D579" s="25"/>
      <c r="E579" s="26"/>
      <c r="F579" s="26"/>
      <c r="G579" s="26"/>
      <c r="H579" s="26"/>
      <c r="I579" s="26"/>
      <c r="J579" s="25"/>
      <c r="K579" s="25"/>
      <c r="L579" s="25"/>
      <c r="M579" s="25"/>
      <c r="N579" s="25"/>
      <c r="O579" s="25"/>
      <c r="P579" s="25"/>
      <c r="Q579" s="25"/>
      <c r="R579" s="25"/>
      <c r="S579" s="25"/>
      <c r="T579" s="25"/>
      <c r="U579" s="25"/>
      <c r="V579" s="25"/>
      <c r="W579" s="25"/>
      <c r="X579" s="25"/>
      <c r="Y579" s="25"/>
      <c r="Z579" s="25"/>
    </row>
    <row r="580" spans="1:26" ht="14.25" customHeight="1" x14ac:dyDescent="0.25">
      <c r="A580" s="26"/>
      <c r="B580" s="25"/>
      <c r="C580" s="25"/>
      <c r="D580" s="25"/>
      <c r="E580" s="26"/>
      <c r="F580" s="26"/>
      <c r="G580" s="26"/>
      <c r="H580" s="26"/>
      <c r="I580" s="26"/>
      <c r="J580" s="25"/>
      <c r="K580" s="25"/>
      <c r="L580" s="25"/>
      <c r="M580" s="25"/>
      <c r="N580" s="25"/>
      <c r="O580" s="25"/>
      <c r="P580" s="25"/>
      <c r="Q580" s="25"/>
      <c r="R580" s="25"/>
      <c r="S580" s="25"/>
      <c r="T580" s="25"/>
      <c r="U580" s="25"/>
      <c r="V580" s="25"/>
      <c r="W580" s="25"/>
      <c r="X580" s="25"/>
      <c r="Y580" s="25"/>
      <c r="Z580" s="25"/>
    </row>
    <row r="581" spans="1:26" ht="14.25" customHeight="1" x14ac:dyDescent="0.25">
      <c r="A581" s="26"/>
      <c r="B581" s="25"/>
      <c r="C581" s="25"/>
      <c r="D581" s="25"/>
      <c r="E581" s="26"/>
      <c r="F581" s="26"/>
      <c r="G581" s="26"/>
      <c r="H581" s="26"/>
      <c r="I581" s="26"/>
      <c r="J581" s="25"/>
      <c r="K581" s="25"/>
      <c r="L581" s="25"/>
      <c r="M581" s="25"/>
      <c r="N581" s="25"/>
      <c r="O581" s="25"/>
      <c r="P581" s="25"/>
      <c r="Q581" s="25"/>
      <c r="R581" s="25"/>
      <c r="S581" s="25"/>
      <c r="T581" s="25"/>
      <c r="U581" s="25"/>
      <c r="V581" s="25"/>
      <c r="W581" s="25"/>
      <c r="X581" s="25"/>
      <c r="Y581" s="25"/>
      <c r="Z581" s="25"/>
    </row>
    <row r="582" spans="1:26" ht="14.25" customHeight="1" x14ac:dyDescent="0.25">
      <c r="A582" s="26"/>
      <c r="B582" s="25"/>
      <c r="C582" s="25"/>
      <c r="D582" s="25"/>
      <c r="E582" s="26"/>
      <c r="F582" s="26"/>
      <c r="G582" s="26"/>
      <c r="H582" s="26"/>
      <c r="I582" s="26"/>
      <c r="J582" s="25"/>
      <c r="K582" s="25"/>
      <c r="L582" s="25"/>
      <c r="M582" s="25"/>
      <c r="N582" s="25"/>
      <c r="O582" s="25"/>
      <c r="P582" s="25"/>
      <c r="Q582" s="25"/>
      <c r="R582" s="25"/>
      <c r="S582" s="25"/>
      <c r="T582" s="25"/>
      <c r="U582" s="25"/>
      <c r="V582" s="25"/>
      <c r="W582" s="25"/>
      <c r="X582" s="25"/>
      <c r="Y582" s="25"/>
      <c r="Z582" s="25"/>
    </row>
    <row r="583" spans="1:26" ht="14.25" customHeight="1" x14ac:dyDescent="0.25">
      <c r="A583" s="26"/>
      <c r="B583" s="25"/>
      <c r="C583" s="25"/>
      <c r="D583" s="25"/>
      <c r="E583" s="26"/>
      <c r="F583" s="26"/>
      <c r="G583" s="26"/>
      <c r="H583" s="26"/>
      <c r="I583" s="26"/>
      <c r="J583" s="25"/>
      <c r="K583" s="25"/>
      <c r="L583" s="25"/>
      <c r="M583" s="25"/>
      <c r="N583" s="25"/>
      <c r="O583" s="25"/>
      <c r="P583" s="25"/>
      <c r="Q583" s="25"/>
      <c r="R583" s="25"/>
      <c r="S583" s="25"/>
      <c r="T583" s="25"/>
      <c r="U583" s="25"/>
      <c r="V583" s="25"/>
      <c r="W583" s="25"/>
      <c r="X583" s="25"/>
      <c r="Y583" s="25"/>
      <c r="Z583" s="25"/>
    </row>
    <row r="584" spans="1:26" ht="14.25" customHeight="1" x14ac:dyDescent="0.25">
      <c r="A584" s="26"/>
      <c r="B584" s="25"/>
      <c r="C584" s="25"/>
      <c r="D584" s="25"/>
      <c r="E584" s="26"/>
      <c r="F584" s="26"/>
      <c r="G584" s="26"/>
      <c r="H584" s="26"/>
      <c r="I584" s="26"/>
      <c r="J584" s="25"/>
      <c r="K584" s="25"/>
      <c r="L584" s="25"/>
      <c r="M584" s="25"/>
      <c r="N584" s="25"/>
      <c r="O584" s="25"/>
      <c r="P584" s="25"/>
      <c r="Q584" s="25"/>
      <c r="R584" s="25"/>
      <c r="S584" s="25"/>
      <c r="T584" s="25"/>
      <c r="U584" s="25"/>
      <c r="V584" s="25"/>
      <c r="W584" s="25"/>
      <c r="X584" s="25"/>
      <c r="Y584" s="25"/>
      <c r="Z584" s="25"/>
    </row>
    <row r="585" spans="1:26" ht="14.25" customHeight="1" x14ac:dyDescent="0.25">
      <c r="A585" s="26"/>
      <c r="B585" s="25"/>
      <c r="C585" s="25"/>
      <c r="D585" s="25"/>
      <c r="E585" s="26"/>
      <c r="F585" s="26"/>
      <c r="G585" s="26"/>
      <c r="H585" s="26"/>
      <c r="I585" s="26"/>
      <c r="J585" s="25"/>
      <c r="K585" s="25"/>
      <c r="L585" s="25"/>
      <c r="M585" s="25"/>
      <c r="N585" s="25"/>
      <c r="O585" s="25"/>
      <c r="P585" s="25"/>
      <c r="Q585" s="25"/>
      <c r="R585" s="25"/>
      <c r="S585" s="25"/>
      <c r="T585" s="25"/>
      <c r="U585" s="25"/>
      <c r="V585" s="25"/>
      <c r="W585" s="25"/>
      <c r="X585" s="25"/>
      <c r="Y585" s="25"/>
      <c r="Z585" s="25"/>
    </row>
    <row r="586" spans="1:26" ht="14.25" customHeight="1" x14ac:dyDescent="0.25">
      <c r="A586" s="26"/>
      <c r="B586" s="25"/>
      <c r="C586" s="25"/>
      <c r="D586" s="25"/>
      <c r="E586" s="26"/>
      <c r="F586" s="26"/>
      <c r="G586" s="26"/>
      <c r="H586" s="26"/>
      <c r="I586" s="26"/>
      <c r="J586" s="25"/>
      <c r="K586" s="25"/>
      <c r="L586" s="25"/>
      <c r="M586" s="25"/>
      <c r="N586" s="25"/>
      <c r="O586" s="25"/>
      <c r="P586" s="25"/>
      <c r="Q586" s="25"/>
      <c r="R586" s="25"/>
      <c r="S586" s="25"/>
      <c r="T586" s="25"/>
      <c r="U586" s="25"/>
      <c r="V586" s="25"/>
      <c r="W586" s="25"/>
      <c r="X586" s="25"/>
      <c r="Y586" s="25"/>
      <c r="Z586" s="25"/>
    </row>
    <row r="587" spans="1:26" ht="14.25" customHeight="1" x14ac:dyDescent="0.25">
      <c r="A587" s="26"/>
      <c r="B587" s="25"/>
      <c r="C587" s="25"/>
      <c r="D587" s="25"/>
      <c r="E587" s="26"/>
      <c r="F587" s="26"/>
      <c r="G587" s="26"/>
      <c r="H587" s="26"/>
      <c r="I587" s="26"/>
      <c r="J587" s="25"/>
      <c r="K587" s="25"/>
      <c r="L587" s="25"/>
      <c r="M587" s="25"/>
      <c r="N587" s="25"/>
      <c r="O587" s="25"/>
      <c r="P587" s="25"/>
      <c r="Q587" s="25"/>
      <c r="R587" s="25"/>
      <c r="S587" s="25"/>
      <c r="T587" s="25"/>
      <c r="U587" s="25"/>
      <c r="V587" s="25"/>
      <c r="W587" s="25"/>
      <c r="X587" s="25"/>
      <c r="Y587" s="25"/>
      <c r="Z587" s="25"/>
    </row>
    <row r="588" spans="1:26" ht="14.25" customHeight="1" x14ac:dyDescent="0.25">
      <c r="A588" s="26"/>
      <c r="B588" s="25"/>
      <c r="C588" s="25"/>
      <c r="D588" s="25"/>
      <c r="E588" s="26"/>
      <c r="F588" s="26"/>
      <c r="G588" s="26"/>
      <c r="H588" s="26"/>
      <c r="I588" s="26"/>
      <c r="J588" s="25"/>
      <c r="K588" s="25"/>
      <c r="L588" s="25"/>
      <c r="M588" s="25"/>
      <c r="N588" s="25"/>
      <c r="O588" s="25"/>
      <c r="P588" s="25"/>
      <c r="Q588" s="25"/>
      <c r="R588" s="25"/>
      <c r="S588" s="25"/>
      <c r="T588" s="25"/>
      <c r="U588" s="25"/>
      <c r="V588" s="25"/>
      <c r="W588" s="25"/>
      <c r="X588" s="25"/>
      <c r="Y588" s="25"/>
      <c r="Z588" s="25"/>
    </row>
    <row r="589" spans="1:26" ht="14.25" customHeight="1" x14ac:dyDescent="0.25">
      <c r="A589" s="26"/>
      <c r="B589" s="25"/>
      <c r="C589" s="25"/>
      <c r="D589" s="25"/>
      <c r="E589" s="26"/>
      <c r="F589" s="26"/>
      <c r="G589" s="26"/>
      <c r="H589" s="26"/>
      <c r="I589" s="26"/>
      <c r="J589" s="25"/>
      <c r="K589" s="25"/>
      <c r="L589" s="25"/>
      <c r="M589" s="25"/>
      <c r="N589" s="25"/>
      <c r="O589" s="25"/>
      <c r="P589" s="25"/>
      <c r="Q589" s="25"/>
      <c r="R589" s="25"/>
      <c r="S589" s="25"/>
      <c r="T589" s="25"/>
      <c r="U589" s="25"/>
      <c r="V589" s="25"/>
      <c r="W589" s="25"/>
      <c r="X589" s="25"/>
      <c r="Y589" s="25"/>
      <c r="Z589" s="25"/>
    </row>
    <row r="590" spans="1:26" ht="14.25" customHeight="1" x14ac:dyDescent="0.25">
      <c r="A590" s="26"/>
      <c r="B590" s="25"/>
      <c r="C590" s="25"/>
      <c r="D590" s="25"/>
      <c r="E590" s="26"/>
      <c r="F590" s="26"/>
      <c r="G590" s="26"/>
      <c r="H590" s="26"/>
      <c r="I590" s="26"/>
      <c r="J590" s="25"/>
      <c r="K590" s="25"/>
      <c r="L590" s="25"/>
      <c r="M590" s="25"/>
      <c r="N590" s="25"/>
      <c r="O590" s="25"/>
      <c r="P590" s="25"/>
      <c r="Q590" s="25"/>
      <c r="R590" s="25"/>
      <c r="S590" s="25"/>
      <c r="T590" s="25"/>
      <c r="U590" s="25"/>
      <c r="V590" s="25"/>
      <c r="W590" s="25"/>
      <c r="X590" s="25"/>
      <c r="Y590" s="25"/>
      <c r="Z590" s="25"/>
    </row>
    <row r="591" spans="1:26" ht="14.25" customHeight="1" x14ac:dyDescent="0.25">
      <c r="A591" s="26"/>
      <c r="B591" s="25"/>
      <c r="C591" s="25"/>
      <c r="D591" s="25"/>
      <c r="E591" s="26"/>
      <c r="F591" s="26"/>
      <c r="G591" s="26"/>
      <c r="H591" s="26"/>
      <c r="I591" s="26"/>
      <c r="J591" s="25"/>
      <c r="K591" s="25"/>
      <c r="L591" s="25"/>
      <c r="M591" s="25"/>
      <c r="N591" s="25"/>
      <c r="O591" s="25"/>
      <c r="P591" s="25"/>
      <c r="Q591" s="25"/>
      <c r="R591" s="25"/>
      <c r="S591" s="25"/>
      <c r="T591" s="25"/>
      <c r="U591" s="25"/>
      <c r="V591" s="25"/>
      <c r="W591" s="25"/>
      <c r="X591" s="25"/>
      <c r="Y591" s="25"/>
      <c r="Z591" s="25"/>
    </row>
    <row r="592" spans="1:26" ht="14.25" customHeight="1" x14ac:dyDescent="0.25">
      <c r="A592" s="26"/>
      <c r="B592" s="25"/>
      <c r="C592" s="25"/>
      <c r="D592" s="25"/>
      <c r="E592" s="26"/>
      <c r="F592" s="26"/>
      <c r="G592" s="26"/>
      <c r="H592" s="26"/>
      <c r="I592" s="26"/>
      <c r="J592" s="25"/>
      <c r="K592" s="25"/>
      <c r="L592" s="25"/>
      <c r="M592" s="25"/>
      <c r="N592" s="25"/>
      <c r="O592" s="25"/>
      <c r="P592" s="25"/>
      <c r="Q592" s="25"/>
      <c r="R592" s="25"/>
      <c r="S592" s="25"/>
      <c r="T592" s="25"/>
      <c r="U592" s="25"/>
      <c r="V592" s="25"/>
      <c r="W592" s="25"/>
      <c r="X592" s="25"/>
      <c r="Y592" s="25"/>
      <c r="Z592" s="25"/>
    </row>
    <row r="593" spans="1:26" ht="14.25" customHeight="1" x14ac:dyDescent="0.25">
      <c r="A593" s="26"/>
      <c r="B593" s="25"/>
      <c r="C593" s="25"/>
      <c r="D593" s="25"/>
      <c r="E593" s="26"/>
      <c r="F593" s="26"/>
      <c r="G593" s="26"/>
      <c r="H593" s="26"/>
      <c r="I593" s="26"/>
      <c r="J593" s="25"/>
      <c r="K593" s="25"/>
      <c r="L593" s="25"/>
      <c r="M593" s="25"/>
      <c r="N593" s="25"/>
      <c r="O593" s="25"/>
      <c r="P593" s="25"/>
      <c r="Q593" s="25"/>
      <c r="R593" s="25"/>
      <c r="S593" s="25"/>
      <c r="T593" s="25"/>
      <c r="U593" s="25"/>
      <c r="V593" s="25"/>
      <c r="W593" s="25"/>
      <c r="X593" s="25"/>
      <c r="Y593" s="25"/>
      <c r="Z593" s="25"/>
    </row>
    <row r="594" spans="1:26" ht="14.25" customHeight="1" x14ac:dyDescent="0.25">
      <c r="A594" s="26"/>
      <c r="B594" s="25"/>
      <c r="C594" s="25"/>
      <c r="D594" s="25"/>
      <c r="E594" s="26"/>
      <c r="F594" s="26"/>
      <c r="G594" s="26"/>
      <c r="H594" s="26"/>
      <c r="I594" s="26"/>
      <c r="J594" s="25"/>
      <c r="K594" s="25"/>
      <c r="L594" s="25"/>
      <c r="M594" s="25"/>
      <c r="N594" s="25"/>
      <c r="O594" s="25"/>
      <c r="P594" s="25"/>
      <c r="Q594" s="25"/>
      <c r="R594" s="25"/>
      <c r="S594" s="25"/>
      <c r="T594" s="25"/>
      <c r="U594" s="25"/>
      <c r="V594" s="25"/>
      <c r="W594" s="25"/>
      <c r="X594" s="25"/>
      <c r="Y594" s="25"/>
      <c r="Z594" s="25"/>
    </row>
    <row r="595" spans="1:26" ht="14.25" customHeight="1" x14ac:dyDescent="0.25">
      <c r="A595" s="26"/>
      <c r="B595" s="25"/>
      <c r="C595" s="25"/>
      <c r="D595" s="25"/>
      <c r="E595" s="26"/>
      <c r="F595" s="26"/>
      <c r="G595" s="26"/>
      <c r="H595" s="26"/>
      <c r="I595" s="26"/>
      <c r="J595" s="25"/>
      <c r="K595" s="25"/>
      <c r="L595" s="25"/>
      <c r="M595" s="25"/>
      <c r="N595" s="25"/>
      <c r="O595" s="25"/>
      <c r="P595" s="25"/>
      <c r="Q595" s="25"/>
      <c r="R595" s="25"/>
      <c r="S595" s="25"/>
      <c r="T595" s="25"/>
      <c r="U595" s="25"/>
      <c r="V595" s="25"/>
      <c r="W595" s="25"/>
      <c r="X595" s="25"/>
      <c r="Y595" s="25"/>
      <c r="Z595" s="25"/>
    </row>
    <row r="596" spans="1:26" ht="14.25" customHeight="1" x14ac:dyDescent="0.25">
      <c r="A596" s="26"/>
      <c r="B596" s="25"/>
      <c r="C596" s="25"/>
      <c r="D596" s="25"/>
      <c r="E596" s="26"/>
      <c r="F596" s="26"/>
      <c r="G596" s="26"/>
      <c r="H596" s="26"/>
      <c r="I596" s="26"/>
      <c r="J596" s="25"/>
      <c r="K596" s="25"/>
      <c r="L596" s="25"/>
      <c r="M596" s="25"/>
      <c r="N596" s="25"/>
      <c r="O596" s="25"/>
      <c r="P596" s="25"/>
      <c r="Q596" s="25"/>
      <c r="R596" s="25"/>
      <c r="S596" s="25"/>
      <c r="T596" s="25"/>
      <c r="U596" s="25"/>
      <c r="V596" s="25"/>
      <c r="W596" s="25"/>
      <c r="X596" s="25"/>
      <c r="Y596" s="25"/>
      <c r="Z596" s="25"/>
    </row>
    <row r="597" spans="1:26" ht="14.25" customHeight="1" x14ac:dyDescent="0.25">
      <c r="A597" s="26"/>
      <c r="B597" s="25"/>
      <c r="C597" s="25"/>
      <c r="D597" s="25"/>
      <c r="E597" s="26"/>
      <c r="F597" s="26"/>
      <c r="G597" s="26"/>
      <c r="H597" s="26"/>
      <c r="I597" s="26"/>
      <c r="J597" s="25"/>
      <c r="K597" s="25"/>
      <c r="L597" s="25"/>
      <c r="M597" s="25"/>
      <c r="N597" s="25"/>
      <c r="O597" s="25"/>
      <c r="P597" s="25"/>
      <c r="Q597" s="25"/>
      <c r="R597" s="25"/>
      <c r="S597" s="25"/>
      <c r="T597" s="25"/>
      <c r="U597" s="25"/>
      <c r="V597" s="25"/>
      <c r="W597" s="25"/>
      <c r="X597" s="25"/>
      <c r="Y597" s="25"/>
      <c r="Z597" s="25"/>
    </row>
    <row r="598" spans="1:26" ht="14.25" customHeight="1" x14ac:dyDescent="0.25">
      <c r="A598" s="26"/>
      <c r="B598" s="25"/>
      <c r="C598" s="25"/>
      <c r="D598" s="25"/>
      <c r="E598" s="26"/>
      <c r="F598" s="26"/>
      <c r="G598" s="26"/>
      <c r="H598" s="26"/>
      <c r="I598" s="26"/>
      <c r="J598" s="25"/>
      <c r="K598" s="25"/>
      <c r="L598" s="25"/>
      <c r="M598" s="25"/>
      <c r="N598" s="25"/>
      <c r="O598" s="25"/>
      <c r="P598" s="25"/>
      <c r="Q598" s="25"/>
      <c r="R598" s="25"/>
      <c r="S598" s="25"/>
      <c r="T598" s="25"/>
      <c r="U598" s="25"/>
      <c r="V598" s="25"/>
      <c r="W598" s="25"/>
      <c r="X598" s="25"/>
      <c r="Y598" s="25"/>
      <c r="Z598" s="25"/>
    </row>
    <row r="599" spans="1:26" ht="14.25" customHeight="1" x14ac:dyDescent="0.25">
      <c r="A599" s="26"/>
      <c r="B599" s="25"/>
      <c r="C599" s="25"/>
      <c r="D599" s="25"/>
      <c r="E599" s="26"/>
      <c r="F599" s="26"/>
      <c r="G599" s="26"/>
      <c r="H599" s="26"/>
      <c r="I599" s="26"/>
      <c r="J599" s="25"/>
      <c r="K599" s="25"/>
      <c r="L599" s="25"/>
      <c r="M599" s="25"/>
      <c r="N599" s="25"/>
      <c r="O599" s="25"/>
      <c r="P599" s="25"/>
      <c r="Q599" s="25"/>
      <c r="R599" s="25"/>
      <c r="S599" s="25"/>
      <c r="T599" s="25"/>
      <c r="U599" s="25"/>
      <c r="V599" s="25"/>
      <c r="W599" s="25"/>
      <c r="X599" s="25"/>
      <c r="Y599" s="25"/>
      <c r="Z599" s="25"/>
    </row>
    <row r="600" spans="1:26" ht="14.25" customHeight="1" x14ac:dyDescent="0.25">
      <c r="A600" s="26"/>
      <c r="B600" s="25"/>
      <c r="C600" s="25"/>
      <c r="D600" s="25"/>
      <c r="E600" s="26"/>
      <c r="F600" s="26"/>
      <c r="G600" s="26"/>
      <c r="H600" s="26"/>
      <c r="I600" s="26"/>
      <c r="J600" s="25"/>
      <c r="K600" s="25"/>
      <c r="L600" s="25"/>
      <c r="M600" s="25"/>
      <c r="N600" s="25"/>
      <c r="O600" s="25"/>
      <c r="P600" s="25"/>
      <c r="Q600" s="25"/>
      <c r="R600" s="25"/>
      <c r="S600" s="25"/>
      <c r="T600" s="25"/>
      <c r="U600" s="25"/>
      <c r="V600" s="25"/>
      <c r="W600" s="25"/>
      <c r="X600" s="25"/>
      <c r="Y600" s="25"/>
      <c r="Z600" s="25"/>
    </row>
    <row r="601" spans="1:26" ht="14.25" customHeight="1" x14ac:dyDescent="0.25">
      <c r="A601" s="26"/>
      <c r="B601" s="25"/>
      <c r="C601" s="25"/>
      <c r="D601" s="25"/>
      <c r="E601" s="26"/>
      <c r="F601" s="26"/>
      <c r="G601" s="26"/>
      <c r="H601" s="26"/>
      <c r="I601" s="26"/>
      <c r="J601" s="25"/>
      <c r="K601" s="25"/>
      <c r="L601" s="25"/>
      <c r="M601" s="25"/>
      <c r="N601" s="25"/>
      <c r="O601" s="25"/>
      <c r="P601" s="25"/>
      <c r="Q601" s="25"/>
      <c r="R601" s="25"/>
      <c r="S601" s="25"/>
      <c r="T601" s="25"/>
      <c r="U601" s="25"/>
      <c r="V601" s="25"/>
      <c r="W601" s="25"/>
      <c r="X601" s="25"/>
      <c r="Y601" s="25"/>
      <c r="Z601" s="25"/>
    </row>
    <row r="602" spans="1:26" ht="14.25" customHeight="1" x14ac:dyDescent="0.25">
      <c r="A602" s="26"/>
      <c r="B602" s="25"/>
      <c r="C602" s="25"/>
      <c r="D602" s="25"/>
      <c r="E602" s="26"/>
      <c r="F602" s="26"/>
      <c r="G602" s="26"/>
      <c r="H602" s="26"/>
      <c r="I602" s="26"/>
      <c r="J602" s="25"/>
      <c r="K602" s="25"/>
      <c r="L602" s="25"/>
      <c r="M602" s="25"/>
      <c r="N602" s="25"/>
      <c r="O602" s="25"/>
      <c r="P602" s="25"/>
      <c r="Q602" s="25"/>
      <c r="R602" s="25"/>
      <c r="S602" s="25"/>
      <c r="T602" s="25"/>
      <c r="U602" s="25"/>
      <c r="V602" s="25"/>
      <c r="W602" s="25"/>
      <c r="X602" s="25"/>
      <c r="Y602" s="25"/>
      <c r="Z602" s="25"/>
    </row>
    <row r="603" spans="1:26" ht="14.25" customHeight="1" x14ac:dyDescent="0.25">
      <c r="A603" s="26"/>
      <c r="B603" s="25"/>
      <c r="C603" s="25"/>
      <c r="D603" s="25"/>
      <c r="E603" s="26"/>
      <c r="F603" s="26"/>
      <c r="G603" s="26"/>
      <c r="H603" s="26"/>
      <c r="I603" s="26"/>
      <c r="J603" s="25"/>
      <c r="K603" s="25"/>
      <c r="L603" s="25"/>
      <c r="M603" s="25"/>
      <c r="N603" s="25"/>
      <c r="O603" s="25"/>
      <c r="P603" s="25"/>
      <c r="Q603" s="25"/>
      <c r="R603" s="25"/>
      <c r="S603" s="25"/>
      <c r="T603" s="25"/>
      <c r="U603" s="25"/>
      <c r="V603" s="25"/>
      <c r="W603" s="25"/>
      <c r="X603" s="25"/>
      <c r="Y603" s="25"/>
      <c r="Z603" s="25"/>
    </row>
    <row r="604" spans="1:26" ht="14.25" customHeight="1" x14ac:dyDescent="0.25">
      <c r="A604" s="26"/>
      <c r="B604" s="25"/>
      <c r="C604" s="25"/>
      <c r="D604" s="25"/>
      <c r="E604" s="26"/>
      <c r="F604" s="26"/>
      <c r="G604" s="26"/>
      <c r="H604" s="26"/>
      <c r="I604" s="26"/>
      <c r="J604" s="25"/>
      <c r="K604" s="25"/>
      <c r="L604" s="25"/>
      <c r="M604" s="25"/>
      <c r="N604" s="25"/>
      <c r="O604" s="25"/>
      <c r="P604" s="25"/>
      <c r="Q604" s="25"/>
      <c r="R604" s="25"/>
      <c r="S604" s="25"/>
      <c r="T604" s="25"/>
      <c r="U604" s="25"/>
      <c r="V604" s="25"/>
      <c r="W604" s="25"/>
      <c r="X604" s="25"/>
      <c r="Y604" s="25"/>
      <c r="Z604" s="25"/>
    </row>
    <row r="605" spans="1:26" ht="14.25" customHeight="1" x14ac:dyDescent="0.25">
      <c r="A605" s="26"/>
      <c r="B605" s="25"/>
      <c r="C605" s="25"/>
      <c r="D605" s="25"/>
      <c r="E605" s="26"/>
      <c r="F605" s="26"/>
      <c r="G605" s="26"/>
      <c r="H605" s="26"/>
      <c r="I605" s="26"/>
      <c r="J605" s="25"/>
      <c r="K605" s="25"/>
      <c r="L605" s="25"/>
      <c r="M605" s="25"/>
      <c r="N605" s="25"/>
      <c r="O605" s="25"/>
      <c r="P605" s="25"/>
      <c r="Q605" s="25"/>
      <c r="R605" s="25"/>
      <c r="S605" s="25"/>
      <c r="T605" s="25"/>
      <c r="U605" s="25"/>
      <c r="V605" s="25"/>
      <c r="W605" s="25"/>
      <c r="X605" s="25"/>
      <c r="Y605" s="25"/>
      <c r="Z605" s="25"/>
    </row>
    <row r="606" spans="1:26" ht="14.25" customHeight="1" x14ac:dyDescent="0.25">
      <c r="A606" s="26"/>
      <c r="B606" s="25"/>
      <c r="C606" s="25"/>
      <c r="D606" s="25"/>
      <c r="E606" s="26"/>
      <c r="F606" s="26"/>
      <c r="G606" s="26"/>
      <c r="H606" s="26"/>
      <c r="I606" s="26"/>
      <c r="J606" s="25"/>
      <c r="K606" s="25"/>
      <c r="L606" s="25"/>
      <c r="M606" s="25"/>
      <c r="N606" s="25"/>
      <c r="O606" s="25"/>
      <c r="P606" s="25"/>
      <c r="Q606" s="25"/>
      <c r="R606" s="25"/>
      <c r="S606" s="25"/>
      <c r="T606" s="25"/>
      <c r="U606" s="25"/>
      <c r="V606" s="25"/>
      <c r="W606" s="25"/>
      <c r="X606" s="25"/>
      <c r="Y606" s="25"/>
      <c r="Z606" s="25"/>
    </row>
    <row r="607" spans="1:26" ht="14.25" customHeight="1" x14ac:dyDescent="0.25">
      <c r="A607" s="26"/>
      <c r="B607" s="25"/>
      <c r="C607" s="25"/>
      <c r="D607" s="25"/>
      <c r="E607" s="26"/>
      <c r="F607" s="26"/>
      <c r="G607" s="26"/>
      <c r="H607" s="26"/>
      <c r="I607" s="26"/>
      <c r="J607" s="25"/>
      <c r="K607" s="25"/>
      <c r="L607" s="25"/>
      <c r="M607" s="25"/>
      <c r="N607" s="25"/>
      <c r="O607" s="25"/>
      <c r="P607" s="25"/>
      <c r="Q607" s="25"/>
      <c r="R607" s="25"/>
      <c r="S607" s="25"/>
      <c r="T607" s="25"/>
      <c r="U607" s="25"/>
      <c r="V607" s="25"/>
      <c r="W607" s="25"/>
      <c r="X607" s="25"/>
      <c r="Y607" s="25"/>
      <c r="Z607" s="25"/>
    </row>
    <row r="608" spans="1:26" ht="14.25" customHeight="1" x14ac:dyDescent="0.25">
      <c r="A608" s="26"/>
      <c r="B608" s="25"/>
      <c r="C608" s="25"/>
      <c r="D608" s="25"/>
      <c r="E608" s="26"/>
      <c r="F608" s="26"/>
      <c r="G608" s="26"/>
      <c r="H608" s="26"/>
      <c r="I608" s="26"/>
      <c r="J608" s="25"/>
      <c r="K608" s="25"/>
      <c r="L608" s="25"/>
      <c r="M608" s="25"/>
      <c r="N608" s="25"/>
      <c r="O608" s="25"/>
      <c r="P608" s="25"/>
      <c r="Q608" s="25"/>
      <c r="R608" s="25"/>
      <c r="S608" s="25"/>
      <c r="T608" s="25"/>
      <c r="U608" s="25"/>
      <c r="V608" s="25"/>
      <c r="W608" s="25"/>
      <c r="X608" s="25"/>
      <c r="Y608" s="25"/>
      <c r="Z608" s="25"/>
    </row>
    <row r="609" spans="1:26" ht="14.25" customHeight="1" x14ac:dyDescent="0.25">
      <c r="A609" s="26"/>
      <c r="B609" s="25"/>
      <c r="C609" s="25"/>
      <c r="D609" s="25"/>
      <c r="E609" s="26"/>
      <c r="F609" s="26"/>
      <c r="G609" s="26"/>
      <c r="H609" s="26"/>
      <c r="I609" s="26"/>
      <c r="J609" s="25"/>
      <c r="K609" s="25"/>
      <c r="L609" s="25"/>
      <c r="M609" s="25"/>
      <c r="N609" s="25"/>
      <c r="O609" s="25"/>
      <c r="P609" s="25"/>
      <c r="Q609" s="25"/>
      <c r="R609" s="25"/>
      <c r="S609" s="25"/>
      <c r="T609" s="25"/>
      <c r="U609" s="25"/>
      <c r="V609" s="25"/>
      <c r="W609" s="25"/>
      <c r="X609" s="25"/>
      <c r="Y609" s="25"/>
      <c r="Z609" s="25"/>
    </row>
    <row r="610" spans="1:26" ht="14.25" customHeight="1" x14ac:dyDescent="0.25">
      <c r="A610" s="26"/>
      <c r="B610" s="25"/>
      <c r="C610" s="25"/>
      <c r="D610" s="25"/>
      <c r="E610" s="26"/>
      <c r="F610" s="26"/>
      <c r="G610" s="26"/>
      <c r="H610" s="26"/>
      <c r="I610" s="26"/>
      <c r="J610" s="25"/>
      <c r="K610" s="25"/>
      <c r="L610" s="25"/>
      <c r="M610" s="25"/>
      <c r="N610" s="25"/>
      <c r="O610" s="25"/>
      <c r="P610" s="25"/>
      <c r="Q610" s="25"/>
      <c r="R610" s="25"/>
      <c r="S610" s="25"/>
      <c r="T610" s="25"/>
      <c r="U610" s="25"/>
      <c r="V610" s="25"/>
      <c r="W610" s="25"/>
      <c r="X610" s="25"/>
      <c r="Y610" s="25"/>
      <c r="Z610" s="25"/>
    </row>
    <row r="611" spans="1:26" ht="14.25" customHeight="1" x14ac:dyDescent="0.25">
      <c r="A611" s="26"/>
      <c r="B611" s="25"/>
      <c r="C611" s="25"/>
      <c r="D611" s="25"/>
      <c r="E611" s="26"/>
      <c r="F611" s="26"/>
      <c r="G611" s="26"/>
      <c r="H611" s="26"/>
      <c r="I611" s="26"/>
      <c r="J611" s="25"/>
      <c r="K611" s="25"/>
      <c r="L611" s="25"/>
      <c r="M611" s="25"/>
      <c r="N611" s="25"/>
      <c r="O611" s="25"/>
      <c r="P611" s="25"/>
      <c r="Q611" s="25"/>
      <c r="R611" s="25"/>
      <c r="S611" s="25"/>
      <c r="T611" s="25"/>
      <c r="U611" s="25"/>
      <c r="V611" s="25"/>
      <c r="W611" s="25"/>
      <c r="X611" s="25"/>
      <c r="Y611" s="25"/>
      <c r="Z611" s="25"/>
    </row>
    <row r="612" spans="1:26" ht="14.25" customHeight="1" x14ac:dyDescent="0.25">
      <c r="A612" s="26"/>
      <c r="B612" s="25"/>
      <c r="C612" s="25"/>
      <c r="D612" s="25"/>
      <c r="E612" s="26"/>
      <c r="F612" s="26"/>
      <c r="G612" s="26"/>
      <c r="H612" s="26"/>
      <c r="I612" s="26"/>
      <c r="J612" s="25"/>
      <c r="K612" s="25"/>
      <c r="L612" s="25"/>
      <c r="M612" s="25"/>
      <c r="N612" s="25"/>
      <c r="O612" s="25"/>
      <c r="P612" s="25"/>
      <c r="Q612" s="25"/>
      <c r="R612" s="25"/>
      <c r="S612" s="25"/>
      <c r="T612" s="25"/>
      <c r="U612" s="25"/>
      <c r="V612" s="25"/>
      <c r="W612" s="25"/>
      <c r="X612" s="25"/>
      <c r="Y612" s="25"/>
      <c r="Z612" s="25"/>
    </row>
    <row r="613" spans="1:26" ht="14.25" customHeight="1" x14ac:dyDescent="0.25">
      <c r="A613" s="26"/>
      <c r="B613" s="25"/>
      <c r="C613" s="25"/>
      <c r="D613" s="25"/>
      <c r="E613" s="26"/>
      <c r="F613" s="26"/>
      <c r="G613" s="26"/>
      <c r="H613" s="26"/>
      <c r="I613" s="26"/>
      <c r="J613" s="25"/>
      <c r="K613" s="25"/>
      <c r="L613" s="25"/>
      <c r="M613" s="25"/>
      <c r="N613" s="25"/>
      <c r="O613" s="25"/>
      <c r="P613" s="25"/>
      <c r="Q613" s="25"/>
      <c r="R613" s="25"/>
      <c r="S613" s="25"/>
      <c r="T613" s="25"/>
      <c r="U613" s="25"/>
      <c r="V613" s="25"/>
      <c r="W613" s="25"/>
      <c r="X613" s="25"/>
      <c r="Y613" s="25"/>
      <c r="Z613" s="25"/>
    </row>
    <row r="614" spans="1:26" ht="14.25" customHeight="1" x14ac:dyDescent="0.25">
      <c r="A614" s="26"/>
      <c r="B614" s="25"/>
      <c r="C614" s="25"/>
      <c r="D614" s="25"/>
      <c r="E614" s="26"/>
      <c r="F614" s="26"/>
      <c r="G614" s="26"/>
      <c r="H614" s="26"/>
      <c r="I614" s="26"/>
      <c r="J614" s="25"/>
      <c r="K614" s="25"/>
      <c r="L614" s="25"/>
      <c r="M614" s="25"/>
      <c r="N614" s="25"/>
      <c r="O614" s="25"/>
      <c r="P614" s="25"/>
      <c r="Q614" s="25"/>
      <c r="R614" s="25"/>
      <c r="S614" s="25"/>
      <c r="T614" s="25"/>
      <c r="U614" s="25"/>
      <c r="V614" s="25"/>
      <c r="W614" s="25"/>
      <c r="X614" s="25"/>
      <c r="Y614" s="25"/>
      <c r="Z614" s="25"/>
    </row>
    <row r="615" spans="1:26" ht="14.25" customHeight="1" x14ac:dyDescent="0.25">
      <c r="A615" s="26"/>
      <c r="B615" s="25"/>
      <c r="C615" s="25"/>
      <c r="D615" s="25"/>
      <c r="E615" s="26"/>
      <c r="F615" s="26"/>
      <c r="G615" s="26"/>
      <c r="H615" s="26"/>
      <c r="I615" s="26"/>
      <c r="J615" s="25"/>
      <c r="K615" s="25"/>
      <c r="L615" s="25"/>
      <c r="M615" s="25"/>
      <c r="N615" s="25"/>
      <c r="O615" s="25"/>
      <c r="P615" s="25"/>
      <c r="Q615" s="25"/>
      <c r="R615" s="25"/>
      <c r="S615" s="25"/>
      <c r="T615" s="25"/>
      <c r="U615" s="25"/>
      <c r="V615" s="25"/>
      <c r="W615" s="25"/>
      <c r="X615" s="25"/>
      <c r="Y615" s="25"/>
      <c r="Z615" s="25"/>
    </row>
    <row r="616" spans="1:26" ht="14.25" customHeight="1" x14ac:dyDescent="0.25">
      <c r="A616" s="26"/>
      <c r="B616" s="25"/>
      <c r="C616" s="25"/>
      <c r="D616" s="25"/>
      <c r="E616" s="26"/>
      <c r="F616" s="26"/>
      <c r="G616" s="26"/>
      <c r="H616" s="26"/>
      <c r="I616" s="26"/>
      <c r="J616" s="25"/>
      <c r="K616" s="25"/>
      <c r="L616" s="25"/>
      <c r="M616" s="25"/>
      <c r="N616" s="25"/>
      <c r="O616" s="25"/>
      <c r="P616" s="25"/>
      <c r="Q616" s="25"/>
      <c r="R616" s="25"/>
      <c r="S616" s="25"/>
      <c r="T616" s="25"/>
      <c r="U616" s="25"/>
      <c r="V616" s="25"/>
      <c r="W616" s="25"/>
      <c r="X616" s="25"/>
      <c r="Y616" s="25"/>
      <c r="Z616" s="25"/>
    </row>
    <row r="617" spans="1:26" ht="14.25" customHeight="1" x14ac:dyDescent="0.25">
      <c r="A617" s="26"/>
      <c r="B617" s="25"/>
      <c r="C617" s="25"/>
      <c r="D617" s="25"/>
      <c r="E617" s="26"/>
      <c r="F617" s="26"/>
      <c r="G617" s="26"/>
      <c r="H617" s="26"/>
      <c r="I617" s="26"/>
      <c r="J617" s="25"/>
      <c r="K617" s="25"/>
      <c r="L617" s="25"/>
      <c r="M617" s="25"/>
      <c r="N617" s="25"/>
      <c r="O617" s="25"/>
      <c r="P617" s="25"/>
      <c r="Q617" s="25"/>
      <c r="R617" s="25"/>
      <c r="S617" s="25"/>
      <c r="T617" s="25"/>
      <c r="U617" s="25"/>
      <c r="V617" s="25"/>
      <c r="W617" s="25"/>
      <c r="X617" s="25"/>
      <c r="Y617" s="25"/>
      <c r="Z617" s="25"/>
    </row>
    <row r="618" spans="1:26" ht="14.25" customHeight="1" x14ac:dyDescent="0.25">
      <c r="A618" s="26"/>
      <c r="B618" s="25"/>
      <c r="C618" s="25"/>
      <c r="D618" s="25"/>
      <c r="E618" s="26"/>
      <c r="F618" s="26"/>
      <c r="G618" s="26"/>
      <c r="H618" s="26"/>
      <c r="I618" s="26"/>
      <c r="J618" s="25"/>
      <c r="K618" s="25"/>
      <c r="L618" s="25"/>
      <c r="M618" s="25"/>
      <c r="N618" s="25"/>
      <c r="O618" s="25"/>
      <c r="P618" s="25"/>
      <c r="Q618" s="25"/>
      <c r="R618" s="25"/>
      <c r="S618" s="25"/>
      <c r="T618" s="25"/>
      <c r="U618" s="25"/>
      <c r="V618" s="25"/>
      <c r="W618" s="25"/>
      <c r="X618" s="25"/>
      <c r="Y618" s="25"/>
      <c r="Z618" s="25"/>
    </row>
    <row r="619" spans="1:26" ht="14.25" customHeight="1" x14ac:dyDescent="0.25">
      <c r="A619" s="26"/>
      <c r="B619" s="25"/>
      <c r="C619" s="25"/>
      <c r="D619" s="25"/>
      <c r="E619" s="26"/>
      <c r="F619" s="26"/>
      <c r="G619" s="26"/>
      <c r="H619" s="26"/>
      <c r="I619" s="26"/>
      <c r="J619" s="25"/>
      <c r="K619" s="25"/>
      <c r="L619" s="25"/>
      <c r="M619" s="25"/>
      <c r="N619" s="25"/>
      <c r="O619" s="25"/>
      <c r="P619" s="25"/>
      <c r="Q619" s="25"/>
      <c r="R619" s="25"/>
      <c r="S619" s="25"/>
      <c r="T619" s="25"/>
      <c r="U619" s="25"/>
      <c r="V619" s="25"/>
      <c r="W619" s="25"/>
      <c r="X619" s="25"/>
      <c r="Y619" s="25"/>
      <c r="Z619" s="25"/>
    </row>
    <row r="620" spans="1:26" ht="14.25" customHeight="1" x14ac:dyDescent="0.25">
      <c r="A620" s="26"/>
      <c r="B620" s="25"/>
      <c r="C620" s="25"/>
      <c r="D620" s="25"/>
      <c r="E620" s="26"/>
      <c r="F620" s="26"/>
      <c r="G620" s="26"/>
      <c r="H620" s="26"/>
      <c r="I620" s="26"/>
      <c r="J620" s="25"/>
      <c r="K620" s="25"/>
      <c r="L620" s="25"/>
      <c r="M620" s="25"/>
      <c r="N620" s="25"/>
      <c r="O620" s="25"/>
      <c r="P620" s="25"/>
      <c r="Q620" s="25"/>
      <c r="R620" s="25"/>
      <c r="S620" s="25"/>
      <c r="T620" s="25"/>
      <c r="U620" s="25"/>
      <c r="V620" s="25"/>
      <c r="W620" s="25"/>
      <c r="X620" s="25"/>
      <c r="Y620" s="25"/>
      <c r="Z620" s="25"/>
    </row>
    <row r="621" spans="1:26" ht="14.25" customHeight="1" x14ac:dyDescent="0.25">
      <c r="A621" s="26"/>
      <c r="B621" s="25"/>
      <c r="C621" s="25"/>
      <c r="D621" s="25"/>
      <c r="E621" s="26"/>
      <c r="F621" s="26"/>
      <c r="G621" s="26"/>
      <c r="H621" s="26"/>
      <c r="I621" s="26"/>
      <c r="J621" s="25"/>
      <c r="K621" s="25"/>
      <c r="L621" s="25"/>
      <c r="M621" s="25"/>
      <c r="N621" s="25"/>
      <c r="O621" s="25"/>
      <c r="P621" s="25"/>
      <c r="Q621" s="25"/>
      <c r="R621" s="25"/>
      <c r="S621" s="25"/>
      <c r="T621" s="25"/>
      <c r="U621" s="25"/>
      <c r="V621" s="25"/>
      <c r="W621" s="25"/>
      <c r="X621" s="25"/>
      <c r="Y621" s="25"/>
      <c r="Z621" s="25"/>
    </row>
    <row r="622" spans="1:26" ht="14.25" customHeight="1" x14ac:dyDescent="0.25">
      <c r="A622" s="26"/>
      <c r="B622" s="25"/>
      <c r="C622" s="25"/>
      <c r="D622" s="25"/>
      <c r="E622" s="26"/>
      <c r="F622" s="26"/>
      <c r="G622" s="26"/>
      <c r="H622" s="26"/>
      <c r="I622" s="26"/>
      <c r="J622" s="25"/>
      <c r="K622" s="25"/>
      <c r="L622" s="25"/>
      <c r="M622" s="25"/>
      <c r="N622" s="25"/>
      <c r="O622" s="25"/>
      <c r="P622" s="25"/>
      <c r="Q622" s="25"/>
      <c r="R622" s="25"/>
      <c r="S622" s="25"/>
      <c r="T622" s="25"/>
      <c r="U622" s="25"/>
      <c r="V622" s="25"/>
      <c r="W622" s="25"/>
      <c r="X622" s="25"/>
      <c r="Y622" s="25"/>
      <c r="Z622" s="25"/>
    </row>
    <row r="623" spans="1:26" ht="14.25" customHeight="1" x14ac:dyDescent="0.25">
      <c r="A623" s="26"/>
      <c r="B623" s="25"/>
      <c r="C623" s="25"/>
      <c r="D623" s="25"/>
      <c r="E623" s="26"/>
      <c r="F623" s="26"/>
      <c r="G623" s="26"/>
      <c r="H623" s="26"/>
      <c r="I623" s="26"/>
      <c r="J623" s="25"/>
      <c r="K623" s="25"/>
      <c r="L623" s="25"/>
      <c r="M623" s="25"/>
      <c r="N623" s="25"/>
      <c r="O623" s="25"/>
      <c r="P623" s="25"/>
      <c r="Q623" s="25"/>
      <c r="R623" s="25"/>
      <c r="S623" s="25"/>
      <c r="T623" s="25"/>
      <c r="U623" s="25"/>
      <c r="V623" s="25"/>
      <c r="W623" s="25"/>
      <c r="X623" s="25"/>
      <c r="Y623" s="25"/>
      <c r="Z623" s="25"/>
    </row>
    <row r="624" spans="1:26" ht="14.25" customHeight="1" x14ac:dyDescent="0.25">
      <c r="A624" s="26"/>
      <c r="B624" s="25"/>
      <c r="C624" s="25"/>
      <c r="D624" s="25"/>
      <c r="E624" s="26"/>
      <c r="F624" s="26"/>
      <c r="G624" s="26"/>
      <c r="H624" s="26"/>
      <c r="I624" s="26"/>
      <c r="J624" s="25"/>
      <c r="K624" s="25"/>
      <c r="L624" s="25"/>
      <c r="M624" s="25"/>
      <c r="N624" s="25"/>
      <c r="O624" s="25"/>
      <c r="P624" s="25"/>
      <c r="Q624" s="25"/>
      <c r="R624" s="25"/>
      <c r="S624" s="25"/>
      <c r="T624" s="25"/>
      <c r="U624" s="25"/>
      <c r="V624" s="25"/>
      <c r="W624" s="25"/>
      <c r="X624" s="25"/>
      <c r="Y624" s="25"/>
      <c r="Z624" s="25"/>
    </row>
    <row r="625" spans="1:26" ht="14.25" customHeight="1" x14ac:dyDescent="0.25">
      <c r="A625" s="26"/>
      <c r="B625" s="25"/>
      <c r="C625" s="25"/>
      <c r="D625" s="25"/>
      <c r="E625" s="26"/>
      <c r="F625" s="26"/>
      <c r="G625" s="26"/>
      <c r="H625" s="26"/>
      <c r="I625" s="26"/>
      <c r="J625" s="25"/>
      <c r="K625" s="25"/>
      <c r="L625" s="25"/>
      <c r="M625" s="25"/>
      <c r="N625" s="25"/>
      <c r="O625" s="25"/>
      <c r="P625" s="25"/>
      <c r="Q625" s="25"/>
      <c r="R625" s="25"/>
      <c r="S625" s="25"/>
      <c r="T625" s="25"/>
      <c r="U625" s="25"/>
      <c r="V625" s="25"/>
      <c r="W625" s="25"/>
      <c r="X625" s="25"/>
      <c r="Y625" s="25"/>
      <c r="Z625" s="25"/>
    </row>
    <row r="626" spans="1:26" ht="14.25" customHeight="1" x14ac:dyDescent="0.25">
      <c r="A626" s="26"/>
      <c r="B626" s="25"/>
      <c r="C626" s="25"/>
      <c r="D626" s="25"/>
      <c r="E626" s="26"/>
      <c r="F626" s="26"/>
      <c r="G626" s="26"/>
      <c r="H626" s="26"/>
      <c r="I626" s="26"/>
      <c r="J626" s="25"/>
      <c r="K626" s="25"/>
      <c r="L626" s="25"/>
      <c r="M626" s="25"/>
      <c r="N626" s="25"/>
      <c r="O626" s="25"/>
      <c r="P626" s="25"/>
      <c r="Q626" s="25"/>
      <c r="R626" s="25"/>
      <c r="S626" s="25"/>
      <c r="T626" s="25"/>
      <c r="U626" s="25"/>
      <c r="V626" s="25"/>
      <c r="W626" s="25"/>
      <c r="X626" s="25"/>
      <c r="Y626" s="25"/>
      <c r="Z626" s="25"/>
    </row>
    <row r="627" spans="1:26" ht="14.25" customHeight="1" x14ac:dyDescent="0.25">
      <c r="A627" s="26"/>
      <c r="B627" s="25"/>
      <c r="C627" s="25"/>
      <c r="D627" s="25"/>
      <c r="E627" s="26"/>
      <c r="F627" s="26"/>
      <c r="G627" s="26"/>
      <c r="H627" s="26"/>
      <c r="I627" s="26"/>
      <c r="J627" s="25"/>
      <c r="K627" s="25"/>
      <c r="L627" s="25"/>
      <c r="M627" s="25"/>
      <c r="N627" s="25"/>
      <c r="O627" s="25"/>
      <c r="P627" s="25"/>
      <c r="Q627" s="25"/>
      <c r="R627" s="25"/>
      <c r="S627" s="25"/>
      <c r="T627" s="25"/>
      <c r="U627" s="25"/>
      <c r="V627" s="25"/>
      <c r="W627" s="25"/>
      <c r="X627" s="25"/>
      <c r="Y627" s="25"/>
      <c r="Z627" s="25"/>
    </row>
    <row r="628" spans="1:26" ht="14.25" customHeight="1" x14ac:dyDescent="0.25">
      <c r="A628" s="26"/>
      <c r="B628" s="25"/>
      <c r="C628" s="25"/>
      <c r="D628" s="25"/>
      <c r="E628" s="26"/>
      <c r="F628" s="26"/>
      <c r="G628" s="26"/>
      <c r="H628" s="26"/>
      <c r="I628" s="26"/>
      <c r="J628" s="25"/>
      <c r="K628" s="25"/>
      <c r="L628" s="25"/>
      <c r="M628" s="25"/>
      <c r="N628" s="25"/>
      <c r="O628" s="25"/>
      <c r="P628" s="25"/>
      <c r="Q628" s="25"/>
      <c r="R628" s="25"/>
      <c r="S628" s="25"/>
      <c r="T628" s="25"/>
      <c r="U628" s="25"/>
      <c r="V628" s="25"/>
      <c r="W628" s="25"/>
      <c r="X628" s="25"/>
      <c r="Y628" s="25"/>
      <c r="Z628" s="25"/>
    </row>
    <row r="629" spans="1:26" ht="14.25" customHeight="1" x14ac:dyDescent="0.25">
      <c r="A629" s="26"/>
      <c r="B629" s="25"/>
      <c r="C629" s="25"/>
      <c r="D629" s="25"/>
      <c r="E629" s="26"/>
      <c r="F629" s="26"/>
      <c r="G629" s="26"/>
      <c r="H629" s="26"/>
      <c r="I629" s="26"/>
      <c r="J629" s="25"/>
      <c r="K629" s="25"/>
      <c r="L629" s="25"/>
      <c r="M629" s="25"/>
      <c r="N629" s="25"/>
      <c r="O629" s="25"/>
      <c r="P629" s="25"/>
      <c r="Q629" s="25"/>
      <c r="R629" s="25"/>
      <c r="S629" s="25"/>
      <c r="T629" s="25"/>
      <c r="U629" s="25"/>
      <c r="V629" s="25"/>
      <c r="W629" s="25"/>
      <c r="X629" s="25"/>
      <c r="Y629" s="25"/>
      <c r="Z629" s="25"/>
    </row>
    <row r="630" spans="1:26" ht="14.25" customHeight="1" x14ac:dyDescent="0.25">
      <c r="A630" s="26"/>
      <c r="B630" s="25"/>
      <c r="C630" s="25"/>
      <c r="D630" s="25"/>
      <c r="E630" s="26"/>
      <c r="F630" s="26"/>
      <c r="G630" s="26"/>
      <c r="H630" s="26"/>
      <c r="I630" s="26"/>
      <c r="J630" s="25"/>
      <c r="K630" s="25"/>
      <c r="L630" s="25"/>
      <c r="M630" s="25"/>
      <c r="N630" s="25"/>
      <c r="O630" s="25"/>
      <c r="P630" s="25"/>
      <c r="Q630" s="25"/>
      <c r="R630" s="25"/>
      <c r="S630" s="25"/>
      <c r="T630" s="25"/>
      <c r="U630" s="25"/>
      <c r="V630" s="25"/>
      <c r="W630" s="25"/>
      <c r="X630" s="25"/>
      <c r="Y630" s="25"/>
      <c r="Z630" s="25"/>
    </row>
    <row r="631" spans="1:26" ht="14.25" customHeight="1" x14ac:dyDescent="0.25">
      <c r="A631" s="26"/>
      <c r="B631" s="25"/>
      <c r="C631" s="25"/>
      <c r="D631" s="25"/>
      <c r="E631" s="26"/>
      <c r="F631" s="26"/>
      <c r="G631" s="26"/>
      <c r="H631" s="26"/>
      <c r="I631" s="26"/>
      <c r="J631" s="25"/>
      <c r="K631" s="25"/>
      <c r="L631" s="25"/>
      <c r="M631" s="25"/>
      <c r="N631" s="25"/>
      <c r="O631" s="25"/>
      <c r="P631" s="25"/>
      <c r="Q631" s="25"/>
      <c r="R631" s="25"/>
      <c r="S631" s="25"/>
      <c r="T631" s="25"/>
      <c r="U631" s="25"/>
      <c r="V631" s="25"/>
      <c r="W631" s="25"/>
      <c r="X631" s="25"/>
      <c r="Y631" s="25"/>
      <c r="Z631" s="25"/>
    </row>
    <row r="632" spans="1:26" ht="14.25" customHeight="1" x14ac:dyDescent="0.25">
      <c r="A632" s="26"/>
      <c r="B632" s="25"/>
      <c r="C632" s="25"/>
      <c r="D632" s="25"/>
      <c r="E632" s="26"/>
      <c r="F632" s="26"/>
      <c r="G632" s="26"/>
      <c r="H632" s="26"/>
      <c r="I632" s="26"/>
      <c r="J632" s="25"/>
      <c r="K632" s="25"/>
      <c r="L632" s="25"/>
      <c r="M632" s="25"/>
      <c r="N632" s="25"/>
      <c r="O632" s="25"/>
      <c r="P632" s="25"/>
      <c r="Q632" s="25"/>
      <c r="R632" s="25"/>
      <c r="S632" s="25"/>
      <c r="T632" s="25"/>
      <c r="U632" s="25"/>
      <c r="V632" s="25"/>
      <c r="W632" s="25"/>
      <c r="X632" s="25"/>
      <c r="Y632" s="25"/>
      <c r="Z632" s="25"/>
    </row>
    <row r="633" spans="1:26" ht="14.25" customHeight="1" x14ac:dyDescent="0.25">
      <c r="A633" s="26"/>
      <c r="B633" s="25"/>
      <c r="C633" s="25"/>
      <c r="D633" s="25"/>
      <c r="E633" s="26"/>
      <c r="F633" s="26"/>
      <c r="G633" s="26"/>
      <c r="H633" s="26"/>
      <c r="I633" s="26"/>
      <c r="J633" s="25"/>
      <c r="K633" s="25"/>
      <c r="L633" s="25"/>
      <c r="M633" s="25"/>
      <c r="N633" s="25"/>
      <c r="O633" s="25"/>
      <c r="P633" s="25"/>
      <c r="Q633" s="25"/>
      <c r="R633" s="25"/>
      <c r="S633" s="25"/>
      <c r="T633" s="25"/>
      <c r="U633" s="25"/>
      <c r="V633" s="25"/>
      <c r="W633" s="25"/>
      <c r="X633" s="25"/>
      <c r="Y633" s="25"/>
      <c r="Z633" s="25"/>
    </row>
    <row r="634" spans="1:26" ht="14.25" customHeight="1" x14ac:dyDescent="0.25">
      <c r="A634" s="26"/>
      <c r="B634" s="25"/>
      <c r="C634" s="25"/>
      <c r="D634" s="25"/>
      <c r="E634" s="26"/>
      <c r="F634" s="26"/>
      <c r="G634" s="26"/>
      <c r="H634" s="26"/>
      <c r="I634" s="26"/>
      <c r="J634" s="25"/>
      <c r="K634" s="25"/>
      <c r="L634" s="25"/>
      <c r="M634" s="25"/>
      <c r="N634" s="25"/>
      <c r="O634" s="25"/>
      <c r="P634" s="25"/>
      <c r="Q634" s="25"/>
      <c r="R634" s="25"/>
      <c r="S634" s="25"/>
      <c r="T634" s="25"/>
      <c r="U634" s="25"/>
      <c r="V634" s="25"/>
      <c r="W634" s="25"/>
      <c r="X634" s="25"/>
      <c r="Y634" s="25"/>
      <c r="Z634" s="25"/>
    </row>
    <row r="635" spans="1:26" ht="14.25" customHeight="1" x14ac:dyDescent="0.25">
      <c r="A635" s="26"/>
      <c r="B635" s="25"/>
      <c r="C635" s="25"/>
      <c r="D635" s="25"/>
      <c r="E635" s="26"/>
      <c r="F635" s="26"/>
      <c r="G635" s="26"/>
      <c r="H635" s="26"/>
      <c r="I635" s="26"/>
      <c r="J635" s="25"/>
      <c r="K635" s="25"/>
      <c r="L635" s="25"/>
      <c r="M635" s="25"/>
      <c r="N635" s="25"/>
      <c r="O635" s="25"/>
      <c r="P635" s="25"/>
      <c r="Q635" s="25"/>
      <c r="R635" s="25"/>
      <c r="S635" s="25"/>
      <c r="T635" s="25"/>
      <c r="U635" s="25"/>
      <c r="V635" s="25"/>
      <c r="W635" s="25"/>
      <c r="X635" s="25"/>
      <c r="Y635" s="25"/>
      <c r="Z635" s="25"/>
    </row>
    <row r="636" spans="1:26" ht="14.25" customHeight="1" x14ac:dyDescent="0.25">
      <c r="A636" s="26"/>
      <c r="B636" s="25"/>
      <c r="C636" s="25"/>
      <c r="D636" s="25"/>
      <c r="E636" s="26"/>
      <c r="F636" s="26"/>
      <c r="G636" s="26"/>
      <c r="H636" s="26"/>
      <c r="I636" s="26"/>
      <c r="J636" s="25"/>
      <c r="K636" s="25"/>
      <c r="L636" s="25"/>
      <c r="M636" s="25"/>
      <c r="N636" s="25"/>
      <c r="O636" s="25"/>
      <c r="P636" s="25"/>
      <c r="Q636" s="25"/>
      <c r="R636" s="25"/>
      <c r="S636" s="25"/>
      <c r="T636" s="25"/>
      <c r="U636" s="25"/>
      <c r="V636" s="25"/>
      <c r="W636" s="25"/>
      <c r="X636" s="25"/>
      <c r="Y636" s="25"/>
      <c r="Z636" s="25"/>
    </row>
    <row r="637" spans="1:26" ht="14.25" customHeight="1" x14ac:dyDescent="0.25">
      <c r="A637" s="26"/>
      <c r="B637" s="25"/>
      <c r="C637" s="25"/>
      <c r="D637" s="25"/>
      <c r="E637" s="26"/>
      <c r="F637" s="26"/>
      <c r="G637" s="26"/>
      <c r="H637" s="26"/>
      <c r="I637" s="26"/>
      <c r="J637" s="25"/>
      <c r="K637" s="25"/>
      <c r="L637" s="25"/>
      <c r="M637" s="25"/>
      <c r="N637" s="25"/>
      <c r="O637" s="25"/>
      <c r="P637" s="25"/>
      <c r="Q637" s="25"/>
      <c r="R637" s="25"/>
      <c r="S637" s="25"/>
      <c r="T637" s="25"/>
      <c r="U637" s="25"/>
      <c r="V637" s="25"/>
      <c r="W637" s="25"/>
      <c r="X637" s="25"/>
      <c r="Y637" s="25"/>
      <c r="Z637" s="25"/>
    </row>
    <row r="638" spans="1:26" ht="14.25" customHeight="1" x14ac:dyDescent="0.25">
      <c r="A638" s="26"/>
      <c r="B638" s="25"/>
      <c r="C638" s="25"/>
      <c r="D638" s="25"/>
      <c r="E638" s="26"/>
      <c r="F638" s="26"/>
      <c r="G638" s="26"/>
      <c r="H638" s="26"/>
      <c r="I638" s="26"/>
      <c r="J638" s="25"/>
      <c r="K638" s="25"/>
      <c r="L638" s="25"/>
      <c r="M638" s="25"/>
      <c r="N638" s="25"/>
      <c r="O638" s="25"/>
      <c r="P638" s="25"/>
      <c r="Q638" s="25"/>
      <c r="R638" s="25"/>
      <c r="S638" s="25"/>
      <c r="T638" s="25"/>
      <c r="U638" s="25"/>
      <c r="V638" s="25"/>
      <c r="W638" s="25"/>
      <c r="X638" s="25"/>
      <c r="Y638" s="25"/>
      <c r="Z638" s="25"/>
    </row>
    <row r="639" spans="1:26" ht="14.25" customHeight="1" x14ac:dyDescent="0.25">
      <c r="A639" s="26"/>
      <c r="B639" s="25"/>
      <c r="C639" s="25"/>
      <c r="D639" s="25"/>
      <c r="E639" s="26"/>
      <c r="F639" s="26"/>
      <c r="G639" s="26"/>
      <c r="H639" s="26"/>
      <c r="I639" s="26"/>
      <c r="J639" s="25"/>
      <c r="K639" s="25"/>
      <c r="L639" s="25"/>
      <c r="M639" s="25"/>
      <c r="N639" s="25"/>
      <c r="O639" s="25"/>
      <c r="P639" s="25"/>
      <c r="Q639" s="25"/>
      <c r="R639" s="25"/>
      <c r="S639" s="25"/>
      <c r="T639" s="25"/>
      <c r="U639" s="25"/>
      <c r="V639" s="25"/>
      <c r="W639" s="25"/>
      <c r="X639" s="25"/>
      <c r="Y639" s="25"/>
      <c r="Z639" s="25"/>
    </row>
    <row r="640" spans="1:26" ht="14.25" customHeight="1" x14ac:dyDescent="0.25">
      <c r="A640" s="26"/>
      <c r="B640" s="25"/>
      <c r="C640" s="25"/>
      <c r="D640" s="25"/>
      <c r="E640" s="26"/>
      <c r="F640" s="26"/>
      <c r="G640" s="26"/>
      <c r="H640" s="26"/>
      <c r="I640" s="26"/>
      <c r="J640" s="25"/>
      <c r="K640" s="25"/>
      <c r="L640" s="25"/>
      <c r="M640" s="25"/>
      <c r="N640" s="25"/>
      <c r="O640" s="25"/>
      <c r="P640" s="25"/>
      <c r="Q640" s="25"/>
      <c r="R640" s="25"/>
      <c r="S640" s="25"/>
      <c r="T640" s="25"/>
      <c r="U640" s="25"/>
      <c r="V640" s="25"/>
      <c r="W640" s="25"/>
      <c r="X640" s="25"/>
      <c r="Y640" s="25"/>
      <c r="Z640" s="25"/>
    </row>
    <row r="641" spans="1:26" ht="14.25" customHeight="1" x14ac:dyDescent="0.25">
      <c r="A641" s="26"/>
      <c r="B641" s="25"/>
      <c r="C641" s="25"/>
      <c r="D641" s="25"/>
      <c r="E641" s="26"/>
      <c r="F641" s="26"/>
      <c r="G641" s="26"/>
      <c r="H641" s="26"/>
      <c r="I641" s="26"/>
      <c r="J641" s="25"/>
      <c r="K641" s="25"/>
      <c r="L641" s="25"/>
      <c r="M641" s="25"/>
      <c r="N641" s="25"/>
      <c r="O641" s="25"/>
      <c r="P641" s="25"/>
      <c r="Q641" s="25"/>
      <c r="R641" s="25"/>
      <c r="S641" s="25"/>
      <c r="T641" s="25"/>
      <c r="U641" s="25"/>
      <c r="V641" s="25"/>
      <c r="W641" s="25"/>
      <c r="X641" s="25"/>
      <c r="Y641" s="25"/>
      <c r="Z641" s="25"/>
    </row>
    <row r="642" spans="1:26" ht="14.25" customHeight="1" x14ac:dyDescent="0.25">
      <c r="A642" s="26"/>
      <c r="B642" s="25"/>
      <c r="C642" s="25"/>
      <c r="D642" s="25"/>
      <c r="E642" s="26"/>
      <c r="F642" s="26"/>
      <c r="G642" s="26"/>
      <c r="H642" s="26"/>
      <c r="I642" s="26"/>
      <c r="J642" s="25"/>
      <c r="K642" s="25"/>
      <c r="L642" s="25"/>
      <c r="M642" s="25"/>
      <c r="N642" s="25"/>
      <c r="O642" s="25"/>
      <c r="P642" s="25"/>
      <c r="Q642" s="25"/>
      <c r="R642" s="25"/>
      <c r="S642" s="25"/>
      <c r="T642" s="25"/>
      <c r="U642" s="25"/>
      <c r="V642" s="25"/>
      <c r="W642" s="25"/>
      <c r="X642" s="25"/>
      <c r="Y642" s="25"/>
      <c r="Z642" s="25"/>
    </row>
    <row r="643" spans="1:26" ht="14.25" customHeight="1" x14ac:dyDescent="0.25">
      <c r="A643" s="26"/>
      <c r="B643" s="25"/>
      <c r="C643" s="25"/>
      <c r="D643" s="25"/>
      <c r="E643" s="26"/>
      <c r="F643" s="26"/>
      <c r="G643" s="26"/>
      <c r="H643" s="26"/>
      <c r="I643" s="26"/>
      <c r="J643" s="25"/>
      <c r="K643" s="25"/>
      <c r="L643" s="25"/>
      <c r="M643" s="25"/>
      <c r="N643" s="25"/>
      <c r="O643" s="25"/>
      <c r="P643" s="25"/>
      <c r="Q643" s="25"/>
      <c r="R643" s="25"/>
      <c r="S643" s="25"/>
      <c r="T643" s="25"/>
      <c r="U643" s="25"/>
      <c r="V643" s="25"/>
      <c r="W643" s="25"/>
      <c r="X643" s="25"/>
      <c r="Y643" s="25"/>
      <c r="Z643" s="25"/>
    </row>
    <row r="644" spans="1:26" ht="14.25" customHeight="1" x14ac:dyDescent="0.25">
      <c r="A644" s="26"/>
      <c r="B644" s="25"/>
      <c r="C644" s="25"/>
      <c r="D644" s="25"/>
      <c r="E644" s="26"/>
      <c r="F644" s="26"/>
      <c r="G644" s="26"/>
      <c r="H644" s="26"/>
      <c r="I644" s="26"/>
      <c r="J644" s="25"/>
      <c r="K644" s="25"/>
      <c r="L644" s="25"/>
      <c r="M644" s="25"/>
      <c r="N644" s="25"/>
      <c r="O644" s="25"/>
      <c r="P644" s="25"/>
      <c r="Q644" s="25"/>
      <c r="R644" s="25"/>
      <c r="S644" s="25"/>
      <c r="T644" s="25"/>
      <c r="U644" s="25"/>
      <c r="V644" s="25"/>
      <c r="W644" s="25"/>
      <c r="X644" s="25"/>
      <c r="Y644" s="25"/>
      <c r="Z644" s="25"/>
    </row>
    <row r="645" spans="1:26" ht="14.25" customHeight="1" x14ac:dyDescent="0.25">
      <c r="A645" s="26"/>
      <c r="B645" s="25"/>
      <c r="C645" s="25"/>
      <c r="D645" s="25"/>
      <c r="E645" s="26"/>
      <c r="F645" s="26"/>
      <c r="G645" s="26"/>
      <c r="H645" s="26"/>
      <c r="I645" s="26"/>
      <c r="J645" s="25"/>
      <c r="K645" s="25"/>
      <c r="L645" s="25"/>
      <c r="M645" s="25"/>
      <c r="N645" s="25"/>
      <c r="O645" s="25"/>
      <c r="P645" s="25"/>
      <c r="Q645" s="25"/>
      <c r="R645" s="25"/>
      <c r="S645" s="25"/>
      <c r="T645" s="25"/>
      <c r="U645" s="25"/>
      <c r="V645" s="25"/>
      <c r="W645" s="25"/>
      <c r="X645" s="25"/>
      <c r="Y645" s="25"/>
      <c r="Z645" s="25"/>
    </row>
    <row r="646" spans="1:26" ht="14.25" customHeight="1" x14ac:dyDescent="0.25">
      <c r="A646" s="26"/>
      <c r="B646" s="25"/>
      <c r="C646" s="25"/>
      <c r="D646" s="25"/>
      <c r="E646" s="26"/>
      <c r="F646" s="26"/>
      <c r="G646" s="26"/>
      <c r="H646" s="26"/>
      <c r="I646" s="26"/>
      <c r="J646" s="25"/>
      <c r="K646" s="25"/>
      <c r="L646" s="25"/>
      <c r="M646" s="25"/>
      <c r="N646" s="25"/>
      <c r="O646" s="25"/>
      <c r="P646" s="25"/>
      <c r="Q646" s="25"/>
      <c r="R646" s="25"/>
      <c r="S646" s="25"/>
      <c r="T646" s="25"/>
      <c r="U646" s="25"/>
      <c r="V646" s="25"/>
      <c r="W646" s="25"/>
      <c r="X646" s="25"/>
      <c r="Y646" s="25"/>
      <c r="Z646" s="25"/>
    </row>
    <row r="647" spans="1:26" ht="14.25" customHeight="1" x14ac:dyDescent="0.25">
      <c r="A647" s="26"/>
      <c r="B647" s="25"/>
      <c r="C647" s="25"/>
      <c r="D647" s="25"/>
      <c r="E647" s="26"/>
      <c r="F647" s="26"/>
      <c r="G647" s="26"/>
      <c r="H647" s="26"/>
      <c r="I647" s="26"/>
      <c r="J647" s="25"/>
      <c r="K647" s="25"/>
      <c r="L647" s="25"/>
      <c r="M647" s="25"/>
      <c r="N647" s="25"/>
      <c r="O647" s="25"/>
      <c r="P647" s="25"/>
      <c r="Q647" s="25"/>
      <c r="R647" s="25"/>
      <c r="S647" s="25"/>
      <c r="T647" s="25"/>
      <c r="U647" s="25"/>
      <c r="V647" s="25"/>
      <c r="W647" s="25"/>
      <c r="X647" s="25"/>
      <c r="Y647" s="25"/>
      <c r="Z647" s="25"/>
    </row>
    <row r="648" spans="1:26" ht="14.25" customHeight="1" x14ac:dyDescent="0.25">
      <c r="A648" s="26"/>
      <c r="B648" s="25"/>
      <c r="C648" s="25"/>
      <c r="D648" s="25"/>
      <c r="E648" s="26"/>
      <c r="F648" s="26"/>
      <c r="G648" s="26"/>
      <c r="H648" s="26"/>
      <c r="I648" s="26"/>
      <c r="J648" s="25"/>
      <c r="K648" s="25"/>
      <c r="L648" s="25"/>
      <c r="M648" s="25"/>
      <c r="N648" s="25"/>
      <c r="O648" s="25"/>
      <c r="P648" s="25"/>
      <c r="Q648" s="25"/>
      <c r="R648" s="25"/>
      <c r="S648" s="25"/>
      <c r="T648" s="25"/>
      <c r="U648" s="25"/>
      <c r="V648" s="25"/>
      <c r="W648" s="25"/>
      <c r="X648" s="25"/>
      <c r="Y648" s="25"/>
      <c r="Z648" s="25"/>
    </row>
    <row r="649" spans="1:26" ht="14.25" customHeight="1" x14ac:dyDescent="0.25">
      <c r="A649" s="26"/>
      <c r="B649" s="25"/>
      <c r="C649" s="25"/>
      <c r="D649" s="25"/>
      <c r="E649" s="26"/>
      <c r="F649" s="26"/>
      <c r="G649" s="26"/>
      <c r="H649" s="26"/>
      <c r="I649" s="26"/>
      <c r="J649" s="25"/>
      <c r="K649" s="25"/>
      <c r="L649" s="25"/>
      <c r="M649" s="25"/>
      <c r="N649" s="25"/>
      <c r="O649" s="25"/>
      <c r="P649" s="25"/>
      <c r="Q649" s="25"/>
      <c r="R649" s="25"/>
      <c r="S649" s="25"/>
      <c r="T649" s="25"/>
      <c r="U649" s="25"/>
      <c r="V649" s="25"/>
      <c r="W649" s="25"/>
      <c r="X649" s="25"/>
      <c r="Y649" s="25"/>
      <c r="Z649" s="25"/>
    </row>
    <row r="650" spans="1:26" ht="14.25" customHeight="1" x14ac:dyDescent="0.25">
      <c r="A650" s="26"/>
      <c r="B650" s="25"/>
      <c r="C650" s="25"/>
      <c r="D650" s="25"/>
      <c r="E650" s="26"/>
      <c r="F650" s="26"/>
      <c r="G650" s="26"/>
      <c r="H650" s="26"/>
      <c r="I650" s="26"/>
      <c r="J650" s="25"/>
      <c r="K650" s="25"/>
      <c r="L650" s="25"/>
      <c r="M650" s="25"/>
      <c r="N650" s="25"/>
      <c r="O650" s="25"/>
      <c r="P650" s="25"/>
      <c r="Q650" s="25"/>
      <c r="R650" s="25"/>
      <c r="S650" s="25"/>
      <c r="T650" s="25"/>
      <c r="U650" s="25"/>
      <c r="V650" s="25"/>
      <c r="W650" s="25"/>
      <c r="X650" s="25"/>
      <c r="Y650" s="25"/>
      <c r="Z650" s="25"/>
    </row>
    <row r="651" spans="1:26" ht="14.25" customHeight="1" x14ac:dyDescent="0.25">
      <c r="A651" s="26"/>
      <c r="B651" s="25"/>
      <c r="C651" s="25"/>
      <c r="D651" s="25"/>
      <c r="E651" s="26"/>
      <c r="F651" s="26"/>
      <c r="G651" s="26"/>
      <c r="H651" s="26"/>
      <c r="I651" s="26"/>
      <c r="J651" s="25"/>
      <c r="K651" s="25"/>
      <c r="L651" s="25"/>
      <c r="M651" s="25"/>
      <c r="N651" s="25"/>
      <c r="O651" s="25"/>
      <c r="P651" s="25"/>
      <c r="Q651" s="25"/>
      <c r="R651" s="25"/>
      <c r="S651" s="25"/>
      <c r="T651" s="25"/>
      <c r="U651" s="25"/>
      <c r="V651" s="25"/>
      <c r="W651" s="25"/>
      <c r="X651" s="25"/>
      <c r="Y651" s="25"/>
      <c r="Z651" s="25"/>
    </row>
    <row r="652" spans="1:26" ht="14.25" customHeight="1" x14ac:dyDescent="0.25">
      <c r="A652" s="26"/>
      <c r="B652" s="25"/>
      <c r="C652" s="25"/>
      <c r="D652" s="25"/>
      <c r="E652" s="26"/>
      <c r="F652" s="26"/>
      <c r="G652" s="26"/>
      <c r="H652" s="26"/>
      <c r="I652" s="26"/>
      <c r="J652" s="25"/>
      <c r="K652" s="25"/>
      <c r="L652" s="25"/>
      <c r="M652" s="25"/>
      <c r="N652" s="25"/>
      <c r="O652" s="25"/>
      <c r="P652" s="25"/>
      <c r="Q652" s="25"/>
      <c r="R652" s="25"/>
      <c r="S652" s="25"/>
      <c r="T652" s="25"/>
      <c r="U652" s="25"/>
      <c r="V652" s="25"/>
      <c r="W652" s="25"/>
      <c r="X652" s="25"/>
      <c r="Y652" s="25"/>
      <c r="Z652" s="25"/>
    </row>
    <row r="653" spans="1:26" ht="14.25" customHeight="1" x14ac:dyDescent="0.25">
      <c r="A653" s="26"/>
      <c r="B653" s="25"/>
      <c r="C653" s="25"/>
      <c r="D653" s="25"/>
      <c r="E653" s="26"/>
      <c r="F653" s="26"/>
      <c r="G653" s="26"/>
      <c r="H653" s="26"/>
      <c r="I653" s="26"/>
      <c r="J653" s="25"/>
      <c r="K653" s="25"/>
      <c r="L653" s="25"/>
      <c r="M653" s="25"/>
      <c r="N653" s="25"/>
      <c r="O653" s="25"/>
      <c r="P653" s="25"/>
      <c r="Q653" s="25"/>
      <c r="R653" s="25"/>
      <c r="S653" s="25"/>
      <c r="T653" s="25"/>
      <c r="U653" s="25"/>
      <c r="V653" s="25"/>
      <c r="W653" s="25"/>
      <c r="X653" s="25"/>
      <c r="Y653" s="25"/>
      <c r="Z653" s="25"/>
    </row>
    <row r="654" spans="1:26" ht="14.25" customHeight="1" x14ac:dyDescent="0.25">
      <c r="A654" s="26"/>
      <c r="B654" s="25"/>
      <c r="C654" s="25"/>
      <c r="D654" s="25"/>
      <c r="E654" s="26"/>
      <c r="F654" s="26"/>
      <c r="G654" s="26"/>
      <c r="H654" s="26"/>
      <c r="I654" s="26"/>
      <c r="J654" s="25"/>
      <c r="K654" s="25"/>
      <c r="L654" s="25"/>
      <c r="M654" s="25"/>
      <c r="N654" s="25"/>
      <c r="O654" s="25"/>
      <c r="P654" s="25"/>
      <c r="Q654" s="25"/>
      <c r="R654" s="25"/>
      <c r="S654" s="25"/>
      <c r="T654" s="25"/>
      <c r="U654" s="25"/>
      <c r="V654" s="25"/>
      <c r="W654" s="25"/>
      <c r="X654" s="25"/>
      <c r="Y654" s="25"/>
      <c r="Z654" s="25"/>
    </row>
    <row r="655" spans="1:26" ht="14.25" customHeight="1" x14ac:dyDescent="0.25">
      <c r="A655" s="26"/>
      <c r="B655" s="25"/>
      <c r="C655" s="25"/>
      <c r="D655" s="25"/>
      <c r="E655" s="26"/>
      <c r="F655" s="26"/>
      <c r="G655" s="26"/>
      <c r="H655" s="26"/>
      <c r="I655" s="26"/>
      <c r="J655" s="25"/>
      <c r="K655" s="25"/>
      <c r="L655" s="25"/>
      <c r="M655" s="25"/>
      <c r="N655" s="25"/>
      <c r="O655" s="25"/>
      <c r="P655" s="25"/>
      <c r="Q655" s="25"/>
      <c r="R655" s="25"/>
      <c r="S655" s="25"/>
      <c r="T655" s="25"/>
      <c r="U655" s="25"/>
      <c r="V655" s="25"/>
      <c r="W655" s="25"/>
      <c r="X655" s="25"/>
      <c r="Y655" s="25"/>
      <c r="Z655" s="25"/>
    </row>
    <row r="656" spans="1:26" ht="14.25" customHeight="1" x14ac:dyDescent="0.25">
      <c r="A656" s="26"/>
      <c r="B656" s="25"/>
      <c r="C656" s="25"/>
      <c r="D656" s="25"/>
      <c r="E656" s="26"/>
      <c r="F656" s="26"/>
      <c r="G656" s="26"/>
      <c r="H656" s="26"/>
      <c r="I656" s="26"/>
      <c r="J656" s="25"/>
      <c r="K656" s="25"/>
      <c r="L656" s="25"/>
      <c r="M656" s="25"/>
      <c r="N656" s="25"/>
      <c r="O656" s="25"/>
      <c r="P656" s="25"/>
      <c r="Q656" s="25"/>
      <c r="R656" s="25"/>
      <c r="S656" s="25"/>
      <c r="T656" s="25"/>
      <c r="U656" s="25"/>
      <c r="V656" s="25"/>
      <c r="W656" s="25"/>
      <c r="X656" s="25"/>
      <c r="Y656" s="25"/>
      <c r="Z656" s="25"/>
    </row>
    <row r="657" spans="1:26" ht="14.25" customHeight="1" x14ac:dyDescent="0.25">
      <c r="A657" s="26"/>
      <c r="B657" s="25"/>
      <c r="C657" s="25"/>
      <c r="D657" s="25"/>
      <c r="E657" s="26"/>
      <c r="F657" s="26"/>
      <c r="G657" s="26"/>
      <c r="H657" s="26"/>
      <c r="I657" s="26"/>
      <c r="J657" s="25"/>
      <c r="K657" s="25"/>
      <c r="L657" s="25"/>
      <c r="M657" s="25"/>
      <c r="N657" s="25"/>
      <c r="O657" s="25"/>
      <c r="P657" s="25"/>
      <c r="Q657" s="25"/>
      <c r="R657" s="25"/>
      <c r="S657" s="25"/>
      <c r="T657" s="25"/>
      <c r="U657" s="25"/>
      <c r="V657" s="25"/>
      <c r="W657" s="25"/>
      <c r="X657" s="25"/>
      <c r="Y657" s="25"/>
      <c r="Z657" s="25"/>
    </row>
    <row r="658" spans="1:26" ht="14.25" customHeight="1" x14ac:dyDescent="0.25">
      <c r="A658" s="26"/>
      <c r="B658" s="25"/>
      <c r="C658" s="25"/>
      <c r="D658" s="25"/>
      <c r="E658" s="26"/>
      <c r="F658" s="26"/>
      <c r="G658" s="26"/>
      <c r="H658" s="26"/>
      <c r="I658" s="26"/>
      <c r="J658" s="25"/>
      <c r="K658" s="25"/>
      <c r="L658" s="25"/>
      <c r="M658" s="25"/>
      <c r="N658" s="25"/>
      <c r="O658" s="25"/>
      <c r="P658" s="25"/>
      <c r="Q658" s="25"/>
      <c r="R658" s="25"/>
      <c r="S658" s="25"/>
      <c r="T658" s="25"/>
      <c r="U658" s="25"/>
      <c r="V658" s="25"/>
      <c r="W658" s="25"/>
      <c r="X658" s="25"/>
      <c r="Y658" s="25"/>
      <c r="Z658" s="25"/>
    </row>
    <row r="659" spans="1:26" ht="14.25" customHeight="1" x14ac:dyDescent="0.25">
      <c r="A659" s="26"/>
      <c r="B659" s="25"/>
      <c r="C659" s="25"/>
      <c r="D659" s="25"/>
      <c r="E659" s="26"/>
      <c r="F659" s="26"/>
      <c r="G659" s="26"/>
      <c r="H659" s="26"/>
      <c r="I659" s="26"/>
      <c r="J659" s="25"/>
      <c r="K659" s="25"/>
      <c r="L659" s="25"/>
      <c r="M659" s="25"/>
      <c r="N659" s="25"/>
      <c r="O659" s="25"/>
      <c r="P659" s="25"/>
      <c r="Q659" s="25"/>
      <c r="R659" s="25"/>
      <c r="S659" s="25"/>
      <c r="T659" s="25"/>
      <c r="U659" s="25"/>
      <c r="V659" s="25"/>
      <c r="W659" s="25"/>
      <c r="X659" s="25"/>
      <c r="Y659" s="25"/>
      <c r="Z659" s="25"/>
    </row>
    <row r="660" spans="1:26" ht="14.25" customHeight="1" x14ac:dyDescent="0.25">
      <c r="A660" s="26"/>
      <c r="B660" s="25"/>
      <c r="C660" s="25"/>
      <c r="D660" s="25"/>
      <c r="E660" s="26"/>
      <c r="F660" s="26"/>
      <c r="G660" s="26"/>
      <c r="H660" s="26"/>
      <c r="I660" s="26"/>
      <c r="J660" s="25"/>
      <c r="K660" s="25"/>
      <c r="L660" s="25"/>
      <c r="M660" s="25"/>
      <c r="N660" s="25"/>
      <c r="O660" s="25"/>
      <c r="P660" s="25"/>
      <c r="Q660" s="25"/>
      <c r="R660" s="25"/>
      <c r="S660" s="25"/>
      <c r="T660" s="25"/>
      <c r="U660" s="25"/>
      <c r="V660" s="25"/>
      <c r="W660" s="25"/>
      <c r="X660" s="25"/>
      <c r="Y660" s="25"/>
      <c r="Z660" s="25"/>
    </row>
    <row r="661" spans="1:26" ht="14.25" customHeight="1" x14ac:dyDescent="0.25">
      <c r="A661" s="26"/>
      <c r="B661" s="25"/>
      <c r="C661" s="25"/>
      <c r="D661" s="25"/>
      <c r="E661" s="26"/>
      <c r="F661" s="26"/>
      <c r="G661" s="26"/>
      <c r="H661" s="26"/>
      <c r="I661" s="26"/>
      <c r="J661" s="25"/>
      <c r="K661" s="25"/>
      <c r="L661" s="25"/>
      <c r="M661" s="25"/>
      <c r="N661" s="25"/>
      <c r="O661" s="25"/>
      <c r="P661" s="25"/>
      <c r="Q661" s="25"/>
      <c r="R661" s="25"/>
      <c r="S661" s="25"/>
      <c r="T661" s="25"/>
      <c r="U661" s="25"/>
      <c r="V661" s="25"/>
      <c r="W661" s="25"/>
      <c r="X661" s="25"/>
      <c r="Y661" s="25"/>
      <c r="Z661" s="25"/>
    </row>
    <row r="662" spans="1:26" ht="14.25" customHeight="1" x14ac:dyDescent="0.25">
      <c r="A662" s="26"/>
      <c r="B662" s="25"/>
      <c r="C662" s="25"/>
      <c r="D662" s="25"/>
      <c r="E662" s="26"/>
      <c r="F662" s="26"/>
      <c r="G662" s="26"/>
      <c r="H662" s="26"/>
      <c r="I662" s="26"/>
      <c r="J662" s="25"/>
      <c r="K662" s="25"/>
      <c r="L662" s="25"/>
      <c r="M662" s="25"/>
      <c r="N662" s="25"/>
      <c r="O662" s="25"/>
      <c r="P662" s="25"/>
      <c r="Q662" s="25"/>
      <c r="R662" s="25"/>
      <c r="S662" s="25"/>
      <c r="T662" s="25"/>
      <c r="U662" s="25"/>
      <c r="V662" s="25"/>
      <c r="W662" s="25"/>
      <c r="X662" s="25"/>
      <c r="Y662" s="25"/>
      <c r="Z662" s="25"/>
    </row>
    <row r="663" spans="1:26" ht="14.25" customHeight="1" x14ac:dyDescent="0.25">
      <c r="A663" s="26"/>
      <c r="B663" s="25"/>
      <c r="C663" s="25"/>
      <c r="D663" s="25"/>
      <c r="E663" s="26"/>
      <c r="F663" s="26"/>
      <c r="G663" s="26"/>
      <c r="H663" s="26"/>
      <c r="I663" s="26"/>
      <c r="J663" s="25"/>
      <c r="K663" s="25"/>
      <c r="L663" s="25"/>
      <c r="M663" s="25"/>
      <c r="N663" s="25"/>
      <c r="O663" s="25"/>
      <c r="P663" s="25"/>
      <c r="Q663" s="25"/>
      <c r="R663" s="25"/>
      <c r="S663" s="25"/>
      <c r="T663" s="25"/>
      <c r="U663" s="25"/>
      <c r="V663" s="25"/>
      <c r="W663" s="25"/>
      <c r="X663" s="25"/>
      <c r="Y663" s="25"/>
      <c r="Z663" s="25"/>
    </row>
    <row r="664" spans="1:26" ht="14.25" customHeight="1" x14ac:dyDescent="0.25">
      <c r="A664" s="26"/>
      <c r="B664" s="25"/>
      <c r="C664" s="25"/>
      <c r="D664" s="25"/>
      <c r="E664" s="26"/>
      <c r="F664" s="26"/>
      <c r="G664" s="26"/>
      <c r="H664" s="26"/>
      <c r="I664" s="26"/>
      <c r="J664" s="25"/>
      <c r="K664" s="25"/>
      <c r="L664" s="25"/>
      <c r="M664" s="25"/>
      <c r="N664" s="25"/>
      <c r="O664" s="25"/>
      <c r="P664" s="25"/>
      <c r="Q664" s="25"/>
      <c r="R664" s="25"/>
      <c r="S664" s="25"/>
      <c r="T664" s="25"/>
      <c r="U664" s="25"/>
      <c r="V664" s="25"/>
      <c r="W664" s="25"/>
      <c r="X664" s="25"/>
      <c r="Y664" s="25"/>
      <c r="Z664" s="25"/>
    </row>
    <row r="665" spans="1:26" ht="14.25" customHeight="1" x14ac:dyDescent="0.25">
      <c r="A665" s="26"/>
      <c r="B665" s="25"/>
      <c r="C665" s="25"/>
      <c r="D665" s="25"/>
      <c r="E665" s="26"/>
      <c r="F665" s="26"/>
      <c r="G665" s="26"/>
      <c r="H665" s="26"/>
      <c r="I665" s="26"/>
      <c r="J665" s="25"/>
      <c r="K665" s="25"/>
      <c r="L665" s="25"/>
      <c r="M665" s="25"/>
      <c r="N665" s="25"/>
      <c r="O665" s="25"/>
      <c r="P665" s="25"/>
      <c r="Q665" s="25"/>
      <c r="R665" s="25"/>
      <c r="S665" s="25"/>
      <c r="T665" s="25"/>
      <c r="U665" s="25"/>
      <c r="V665" s="25"/>
      <c r="W665" s="25"/>
      <c r="X665" s="25"/>
      <c r="Y665" s="25"/>
      <c r="Z665" s="25"/>
    </row>
    <row r="666" spans="1:26" ht="14.25" customHeight="1" x14ac:dyDescent="0.25">
      <c r="A666" s="26"/>
      <c r="B666" s="25"/>
      <c r="C666" s="25"/>
      <c r="D666" s="25"/>
      <c r="E666" s="26"/>
      <c r="F666" s="26"/>
      <c r="G666" s="26"/>
      <c r="H666" s="26"/>
      <c r="I666" s="26"/>
      <c r="J666" s="25"/>
      <c r="K666" s="25"/>
      <c r="L666" s="25"/>
      <c r="M666" s="25"/>
      <c r="N666" s="25"/>
      <c r="O666" s="25"/>
      <c r="P666" s="25"/>
      <c r="Q666" s="25"/>
      <c r="R666" s="25"/>
      <c r="S666" s="25"/>
      <c r="T666" s="25"/>
      <c r="U666" s="25"/>
      <c r="V666" s="25"/>
      <c r="W666" s="25"/>
      <c r="X666" s="25"/>
      <c r="Y666" s="25"/>
      <c r="Z666" s="25"/>
    </row>
    <row r="667" spans="1:26" ht="14.25" customHeight="1" x14ac:dyDescent="0.25">
      <c r="A667" s="26"/>
      <c r="B667" s="25"/>
      <c r="C667" s="25"/>
      <c r="D667" s="25"/>
      <c r="E667" s="26"/>
      <c r="F667" s="26"/>
      <c r="G667" s="26"/>
      <c r="H667" s="26"/>
      <c r="I667" s="26"/>
      <c r="J667" s="25"/>
      <c r="K667" s="25"/>
      <c r="L667" s="25"/>
      <c r="M667" s="25"/>
      <c r="N667" s="25"/>
      <c r="O667" s="25"/>
      <c r="P667" s="25"/>
      <c r="Q667" s="25"/>
      <c r="R667" s="25"/>
      <c r="S667" s="25"/>
      <c r="T667" s="25"/>
      <c r="U667" s="25"/>
      <c r="V667" s="25"/>
      <c r="W667" s="25"/>
      <c r="X667" s="25"/>
      <c r="Y667" s="25"/>
      <c r="Z667" s="25"/>
    </row>
    <row r="668" spans="1:26" ht="14.25" customHeight="1" x14ac:dyDescent="0.25">
      <c r="A668" s="26"/>
      <c r="B668" s="25"/>
      <c r="C668" s="25"/>
      <c r="D668" s="25"/>
      <c r="E668" s="26"/>
      <c r="F668" s="26"/>
      <c r="G668" s="26"/>
      <c r="H668" s="26"/>
      <c r="I668" s="26"/>
      <c r="J668" s="25"/>
      <c r="K668" s="25"/>
      <c r="L668" s="25"/>
      <c r="M668" s="25"/>
      <c r="N668" s="25"/>
      <c r="O668" s="25"/>
      <c r="P668" s="25"/>
      <c r="Q668" s="25"/>
      <c r="R668" s="25"/>
      <c r="S668" s="25"/>
      <c r="T668" s="25"/>
      <c r="U668" s="25"/>
      <c r="V668" s="25"/>
      <c r="W668" s="25"/>
      <c r="X668" s="25"/>
      <c r="Y668" s="25"/>
      <c r="Z668" s="25"/>
    </row>
    <row r="669" spans="1:26" ht="14.25" customHeight="1" x14ac:dyDescent="0.25">
      <c r="A669" s="26"/>
      <c r="B669" s="25"/>
      <c r="C669" s="25"/>
      <c r="D669" s="25"/>
      <c r="E669" s="26"/>
      <c r="F669" s="26"/>
      <c r="G669" s="26"/>
      <c r="H669" s="26"/>
      <c r="I669" s="26"/>
      <c r="J669" s="25"/>
      <c r="K669" s="25"/>
      <c r="L669" s="25"/>
      <c r="M669" s="25"/>
      <c r="N669" s="25"/>
      <c r="O669" s="25"/>
      <c r="P669" s="25"/>
      <c r="Q669" s="25"/>
      <c r="R669" s="25"/>
      <c r="S669" s="25"/>
      <c r="T669" s="25"/>
      <c r="U669" s="25"/>
      <c r="V669" s="25"/>
      <c r="W669" s="25"/>
      <c r="X669" s="25"/>
      <c r="Y669" s="25"/>
      <c r="Z669" s="25"/>
    </row>
    <row r="670" spans="1:26" ht="14.25" customHeight="1" x14ac:dyDescent="0.25">
      <c r="A670" s="26"/>
      <c r="B670" s="25"/>
      <c r="C670" s="25"/>
      <c r="D670" s="25"/>
      <c r="E670" s="26"/>
      <c r="F670" s="26"/>
      <c r="G670" s="26"/>
      <c r="H670" s="26"/>
      <c r="I670" s="26"/>
      <c r="J670" s="25"/>
      <c r="K670" s="25"/>
      <c r="L670" s="25"/>
      <c r="M670" s="25"/>
      <c r="N670" s="25"/>
      <c r="O670" s="25"/>
      <c r="P670" s="25"/>
      <c r="Q670" s="25"/>
      <c r="R670" s="25"/>
      <c r="S670" s="25"/>
      <c r="T670" s="25"/>
      <c r="U670" s="25"/>
      <c r="V670" s="25"/>
      <c r="W670" s="25"/>
      <c r="X670" s="25"/>
      <c r="Y670" s="25"/>
      <c r="Z670" s="25"/>
    </row>
    <row r="671" spans="1:26" ht="14.25" customHeight="1" x14ac:dyDescent="0.25">
      <c r="A671" s="26"/>
      <c r="B671" s="25"/>
      <c r="C671" s="25"/>
      <c r="D671" s="25"/>
      <c r="E671" s="26"/>
      <c r="F671" s="26"/>
      <c r="G671" s="26"/>
      <c r="H671" s="26"/>
      <c r="I671" s="26"/>
      <c r="J671" s="25"/>
      <c r="K671" s="25"/>
      <c r="L671" s="25"/>
      <c r="M671" s="25"/>
      <c r="N671" s="25"/>
      <c r="O671" s="25"/>
      <c r="P671" s="25"/>
      <c r="Q671" s="25"/>
      <c r="R671" s="25"/>
      <c r="S671" s="25"/>
      <c r="T671" s="25"/>
      <c r="U671" s="25"/>
      <c r="V671" s="25"/>
      <c r="W671" s="25"/>
      <c r="X671" s="25"/>
      <c r="Y671" s="25"/>
      <c r="Z671" s="25"/>
    </row>
    <row r="672" spans="1:26" ht="14.25" customHeight="1" x14ac:dyDescent="0.25">
      <c r="A672" s="26"/>
      <c r="B672" s="25"/>
      <c r="C672" s="25"/>
      <c r="D672" s="25"/>
      <c r="E672" s="26"/>
      <c r="F672" s="26"/>
      <c r="G672" s="26"/>
      <c r="H672" s="26"/>
      <c r="I672" s="26"/>
      <c r="J672" s="25"/>
      <c r="K672" s="25"/>
      <c r="L672" s="25"/>
      <c r="M672" s="25"/>
      <c r="N672" s="25"/>
      <c r="O672" s="25"/>
      <c r="P672" s="25"/>
      <c r="Q672" s="25"/>
      <c r="R672" s="25"/>
      <c r="S672" s="25"/>
      <c r="T672" s="25"/>
      <c r="U672" s="25"/>
      <c r="V672" s="25"/>
      <c r="W672" s="25"/>
      <c r="X672" s="25"/>
      <c r="Y672" s="25"/>
      <c r="Z672" s="25"/>
    </row>
    <row r="673" spans="1:26" ht="14.25" customHeight="1" x14ac:dyDescent="0.25">
      <c r="A673" s="26"/>
      <c r="B673" s="25"/>
      <c r="C673" s="25"/>
      <c r="D673" s="25"/>
      <c r="E673" s="26"/>
      <c r="F673" s="26"/>
      <c r="G673" s="26"/>
      <c r="H673" s="26"/>
      <c r="I673" s="26"/>
      <c r="J673" s="25"/>
      <c r="K673" s="25"/>
      <c r="L673" s="25"/>
      <c r="M673" s="25"/>
      <c r="N673" s="25"/>
      <c r="O673" s="25"/>
      <c r="P673" s="25"/>
      <c r="Q673" s="25"/>
      <c r="R673" s="25"/>
      <c r="S673" s="25"/>
      <c r="T673" s="25"/>
      <c r="U673" s="25"/>
      <c r="V673" s="25"/>
      <c r="W673" s="25"/>
      <c r="X673" s="25"/>
      <c r="Y673" s="25"/>
      <c r="Z673" s="25"/>
    </row>
    <row r="674" spans="1:26" ht="14.25" customHeight="1" x14ac:dyDescent="0.25">
      <c r="A674" s="26"/>
      <c r="B674" s="25"/>
      <c r="C674" s="25"/>
      <c r="D674" s="25"/>
      <c r="E674" s="26"/>
      <c r="F674" s="26"/>
      <c r="G674" s="26"/>
      <c r="H674" s="26"/>
      <c r="I674" s="26"/>
      <c r="J674" s="25"/>
      <c r="K674" s="25"/>
      <c r="L674" s="25"/>
      <c r="M674" s="25"/>
      <c r="N674" s="25"/>
      <c r="O674" s="25"/>
      <c r="P674" s="25"/>
      <c r="Q674" s="25"/>
      <c r="R674" s="25"/>
      <c r="S674" s="25"/>
      <c r="T674" s="25"/>
      <c r="U674" s="25"/>
      <c r="V674" s="25"/>
      <c r="W674" s="25"/>
      <c r="X674" s="25"/>
      <c r="Y674" s="25"/>
      <c r="Z674" s="25"/>
    </row>
    <row r="675" spans="1:26" ht="14.25" customHeight="1" x14ac:dyDescent="0.25">
      <c r="A675" s="26"/>
      <c r="B675" s="25"/>
      <c r="C675" s="25"/>
      <c r="D675" s="25"/>
      <c r="E675" s="26"/>
      <c r="F675" s="26"/>
      <c r="G675" s="26"/>
      <c r="H675" s="26"/>
      <c r="I675" s="26"/>
      <c r="J675" s="25"/>
      <c r="K675" s="25"/>
      <c r="L675" s="25"/>
      <c r="M675" s="25"/>
      <c r="N675" s="25"/>
      <c r="O675" s="25"/>
      <c r="P675" s="25"/>
      <c r="Q675" s="25"/>
      <c r="R675" s="25"/>
      <c r="S675" s="25"/>
      <c r="T675" s="25"/>
      <c r="U675" s="25"/>
      <c r="V675" s="25"/>
      <c r="W675" s="25"/>
      <c r="X675" s="25"/>
      <c r="Y675" s="25"/>
      <c r="Z675" s="25"/>
    </row>
    <row r="676" spans="1:26" ht="14.25" customHeight="1" x14ac:dyDescent="0.25">
      <c r="A676" s="26"/>
      <c r="B676" s="25"/>
      <c r="C676" s="25"/>
      <c r="D676" s="25"/>
      <c r="E676" s="26"/>
      <c r="F676" s="26"/>
      <c r="G676" s="26"/>
      <c r="H676" s="26"/>
      <c r="I676" s="26"/>
      <c r="J676" s="25"/>
      <c r="K676" s="25"/>
      <c r="L676" s="25"/>
      <c r="M676" s="25"/>
      <c r="N676" s="25"/>
      <c r="O676" s="25"/>
      <c r="P676" s="25"/>
      <c r="Q676" s="25"/>
      <c r="R676" s="25"/>
      <c r="S676" s="25"/>
      <c r="T676" s="25"/>
      <c r="U676" s="25"/>
      <c r="V676" s="25"/>
      <c r="W676" s="25"/>
      <c r="X676" s="25"/>
      <c r="Y676" s="25"/>
      <c r="Z676" s="25"/>
    </row>
    <row r="677" spans="1:26" ht="14.25" customHeight="1" x14ac:dyDescent="0.25">
      <c r="A677" s="26"/>
      <c r="B677" s="25"/>
      <c r="C677" s="25"/>
      <c r="D677" s="25"/>
      <c r="E677" s="26"/>
      <c r="F677" s="26"/>
      <c r="G677" s="26"/>
      <c r="H677" s="26"/>
      <c r="I677" s="26"/>
      <c r="J677" s="25"/>
      <c r="K677" s="25"/>
      <c r="L677" s="25"/>
      <c r="M677" s="25"/>
      <c r="N677" s="25"/>
      <c r="O677" s="25"/>
      <c r="P677" s="25"/>
      <c r="Q677" s="25"/>
      <c r="R677" s="25"/>
      <c r="S677" s="25"/>
      <c r="T677" s="25"/>
      <c r="U677" s="25"/>
      <c r="V677" s="25"/>
      <c r="W677" s="25"/>
      <c r="X677" s="25"/>
      <c r="Y677" s="25"/>
      <c r="Z677" s="25"/>
    </row>
    <row r="678" spans="1:26" ht="14.25" customHeight="1" x14ac:dyDescent="0.25">
      <c r="A678" s="26"/>
      <c r="B678" s="25"/>
      <c r="C678" s="25"/>
      <c r="D678" s="25"/>
      <c r="E678" s="26"/>
      <c r="F678" s="26"/>
      <c r="G678" s="26"/>
      <c r="H678" s="26"/>
      <c r="I678" s="26"/>
      <c r="J678" s="25"/>
      <c r="K678" s="25"/>
      <c r="L678" s="25"/>
      <c r="M678" s="25"/>
      <c r="N678" s="25"/>
      <c r="O678" s="25"/>
      <c r="P678" s="25"/>
      <c r="Q678" s="25"/>
      <c r="R678" s="25"/>
      <c r="S678" s="25"/>
      <c r="T678" s="25"/>
      <c r="U678" s="25"/>
      <c r="V678" s="25"/>
      <c r="W678" s="25"/>
      <c r="X678" s="25"/>
      <c r="Y678" s="25"/>
      <c r="Z678" s="25"/>
    </row>
    <row r="679" spans="1:26" ht="14.25" customHeight="1" x14ac:dyDescent="0.25">
      <c r="A679" s="26"/>
      <c r="B679" s="25"/>
      <c r="C679" s="25"/>
      <c r="D679" s="25"/>
      <c r="E679" s="26"/>
      <c r="F679" s="26"/>
      <c r="G679" s="26"/>
      <c r="H679" s="26"/>
      <c r="I679" s="26"/>
      <c r="J679" s="25"/>
      <c r="K679" s="25"/>
      <c r="L679" s="25"/>
      <c r="M679" s="25"/>
      <c r="N679" s="25"/>
      <c r="O679" s="25"/>
      <c r="P679" s="25"/>
      <c r="Q679" s="25"/>
      <c r="R679" s="25"/>
      <c r="S679" s="25"/>
      <c r="T679" s="25"/>
      <c r="U679" s="25"/>
      <c r="V679" s="25"/>
      <c r="W679" s="25"/>
      <c r="X679" s="25"/>
      <c r="Y679" s="25"/>
      <c r="Z679" s="25"/>
    </row>
    <row r="680" spans="1:26" ht="14.25" customHeight="1" x14ac:dyDescent="0.25">
      <c r="A680" s="26"/>
      <c r="B680" s="25"/>
      <c r="C680" s="25"/>
      <c r="D680" s="25"/>
      <c r="E680" s="26"/>
      <c r="F680" s="26"/>
      <c r="G680" s="26"/>
      <c r="H680" s="26"/>
      <c r="I680" s="26"/>
      <c r="J680" s="25"/>
      <c r="K680" s="25"/>
      <c r="L680" s="25"/>
      <c r="M680" s="25"/>
      <c r="N680" s="25"/>
      <c r="O680" s="25"/>
      <c r="P680" s="25"/>
      <c r="Q680" s="25"/>
      <c r="R680" s="25"/>
      <c r="S680" s="25"/>
      <c r="T680" s="25"/>
      <c r="U680" s="25"/>
      <c r="V680" s="25"/>
      <c r="W680" s="25"/>
      <c r="X680" s="25"/>
      <c r="Y680" s="25"/>
      <c r="Z680" s="25"/>
    </row>
    <row r="681" spans="1:26" ht="14.25" customHeight="1" x14ac:dyDescent="0.25">
      <c r="A681" s="26"/>
      <c r="B681" s="25"/>
      <c r="C681" s="25"/>
      <c r="D681" s="25"/>
      <c r="E681" s="26"/>
      <c r="F681" s="26"/>
      <c r="G681" s="26"/>
      <c r="H681" s="26"/>
      <c r="I681" s="26"/>
      <c r="J681" s="25"/>
      <c r="K681" s="25"/>
      <c r="L681" s="25"/>
      <c r="M681" s="25"/>
      <c r="N681" s="25"/>
      <c r="O681" s="25"/>
      <c r="P681" s="25"/>
      <c r="Q681" s="25"/>
      <c r="R681" s="25"/>
      <c r="S681" s="25"/>
      <c r="T681" s="25"/>
      <c r="U681" s="25"/>
      <c r="V681" s="25"/>
      <c r="W681" s="25"/>
      <c r="X681" s="25"/>
      <c r="Y681" s="25"/>
      <c r="Z681" s="25"/>
    </row>
    <row r="682" spans="1:26" ht="14.25" customHeight="1" x14ac:dyDescent="0.25">
      <c r="A682" s="26"/>
      <c r="B682" s="25"/>
      <c r="C682" s="25"/>
      <c r="D682" s="25"/>
      <c r="E682" s="26"/>
      <c r="F682" s="26"/>
      <c r="G682" s="26"/>
      <c r="H682" s="26"/>
      <c r="I682" s="26"/>
      <c r="J682" s="25"/>
      <c r="K682" s="25"/>
      <c r="L682" s="25"/>
      <c r="M682" s="25"/>
      <c r="N682" s="25"/>
      <c r="O682" s="25"/>
      <c r="P682" s="25"/>
      <c r="Q682" s="25"/>
      <c r="R682" s="25"/>
      <c r="S682" s="25"/>
      <c r="T682" s="25"/>
      <c r="U682" s="25"/>
      <c r="V682" s="25"/>
      <c r="W682" s="25"/>
      <c r="X682" s="25"/>
      <c r="Y682" s="25"/>
      <c r="Z682" s="25"/>
    </row>
    <row r="683" spans="1:26" ht="14.25" customHeight="1" x14ac:dyDescent="0.25">
      <c r="A683" s="26"/>
      <c r="B683" s="25"/>
      <c r="C683" s="25"/>
      <c r="D683" s="25"/>
      <c r="E683" s="26"/>
      <c r="F683" s="26"/>
      <c r="G683" s="26"/>
      <c r="H683" s="26"/>
      <c r="I683" s="26"/>
      <c r="J683" s="25"/>
      <c r="K683" s="25"/>
      <c r="L683" s="25"/>
      <c r="M683" s="25"/>
      <c r="N683" s="25"/>
      <c r="O683" s="25"/>
      <c r="P683" s="25"/>
      <c r="Q683" s="25"/>
      <c r="R683" s="25"/>
      <c r="S683" s="25"/>
      <c r="T683" s="25"/>
      <c r="U683" s="25"/>
      <c r="V683" s="25"/>
      <c r="W683" s="25"/>
      <c r="X683" s="25"/>
      <c r="Y683" s="25"/>
      <c r="Z683" s="25"/>
    </row>
    <row r="684" spans="1:26" ht="14.25" customHeight="1" x14ac:dyDescent="0.25">
      <c r="A684" s="26"/>
      <c r="B684" s="25"/>
      <c r="C684" s="25"/>
      <c r="D684" s="25"/>
      <c r="E684" s="26"/>
      <c r="F684" s="26"/>
      <c r="G684" s="26"/>
      <c r="H684" s="26"/>
      <c r="I684" s="26"/>
      <c r="J684" s="25"/>
      <c r="K684" s="25"/>
      <c r="L684" s="25"/>
      <c r="M684" s="25"/>
      <c r="N684" s="25"/>
      <c r="O684" s="25"/>
      <c r="P684" s="25"/>
      <c r="Q684" s="25"/>
      <c r="R684" s="25"/>
      <c r="S684" s="25"/>
      <c r="T684" s="25"/>
      <c r="U684" s="25"/>
      <c r="V684" s="25"/>
      <c r="W684" s="25"/>
      <c r="X684" s="25"/>
      <c r="Y684" s="25"/>
      <c r="Z684" s="25"/>
    </row>
    <row r="685" spans="1:26" ht="14.25" customHeight="1" x14ac:dyDescent="0.25">
      <c r="A685" s="26"/>
      <c r="B685" s="25"/>
      <c r="C685" s="25"/>
      <c r="D685" s="25"/>
      <c r="E685" s="26"/>
      <c r="F685" s="26"/>
      <c r="G685" s="26"/>
      <c r="H685" s="26"/>
      <c r="I685" s="26"/>
      <c r="J685" s="25"/>
      <c r="K685" s="25"/>
      <c r="L685" s="25"/>
      <c r="M685" s="25"/>
      <c r="N685" s="25"/>
      <c r="O685" s="25"/>
      <c r="P685" s="25"/>
      <c r="Q685" s="25"/>
      <c r="R685" s="25"/>
      <c r="S685" s="25"/>
      <c r="T685" s="25"/>
      <c r="U685" s="25"/>
      <c r="V685" s="25"/>
      <c r="W685" s="25"/>
      <c r="X685" s="25"/>
      <c r="Y685" s="25"/>
      <c r="Z685" s="25"/>
    </row>
    <row r="686" spans="1:26" ht="14.25" customHeight="1" x14ac:dyDescent="0.25">
      <c r="A686" s="26"/>
      <c r="B686" s="25"/>
      <c r="C686" s="25"/>
      <c r="D686" s="25"/>
      <c r="E686" s="26"/>
      <c r="F686" s="26"/>
      <c r="G686" s="26"/>
      <c r="H686" s="26"/>
      <c r="I686" s="26"/>
      <c r="J686" s="25"/>
      <c r="K686" s="25"/>
      <c r="L686" s="25"/>
      <c r="M686" s="25"/>
      <c r="N686" s="25"/>
      <c r="O686" s="25"/>
      <c r="P686" s="25"/>
      <c r="Q686" s="25"/>
      <c r="R686" s="25"/>
      <c r="S686" s="25"/>
      <c r="T686" s="25"/>
      <c r="U686" s="25"/>
      <c r="V686" s="25"/>
      <c r="W686" s="25"/>
      <c r="X686" s="25"/>
      <c r="Y686" s="25"/>
      <c r="Z686" s="25"/>
    </row>
    <row r="687" spans="1:26" ht="14.25" customHeight="1" x14ac:dyDescent="0.25">
      <c r="A687" s="26"/>
      <c r="B687" s="25"/>
      <c r="C687" s="25"/>
      <c r="D687" s="25"/>
      <c r="E687" s="26"/>
      <c r="F687" s="26"/>
      <c r="G687" s="26"/>
      <c r="H687" s="26"/>
      <c r="I687" s="26"/>
      <c r="J687" s="25"/>
      <c r="K687" s="25"/>
      <c r="L687" s="25"/>
      <c r="M687" s="25"/>
      <c r="N687" s="25"/>
      <c r="O687" s="25"/>
      <c r="P687" s="25"/>
      <c r="Q687" s="25"/>
      <c r="R687" s="25"/>
      <c r="S687" s="25"/>
      <c r="T687" s="25"/>
      <c r="U687" s="25"/>
      <c r="V687" s="25"/>
      <c r="W687" s="25"/>
      <c r="X687" s="25"/>
      <c r="Y687" s="25"/>
      <c r="Z687" s="25"/>
    </row>
    <row r="688" spans="1:26" ht="14.25" customHeight="1" x14ac:dyDescent="0.25">
      <c r="A688" s="26"/>
      <c r="B688" s="25"/>
      <c r="C688" s="25"/>
      <c r="D688" s="25"/>
      <c r="E688" s="26"/>
      <c r="F688" s="26"/>
      <c r="G688" s="26"/>
      <c r="H688" s="26"/>
      <c r="I688" s="26"/>
      <c r="J688" s="25"/>
      <c r="K688" s="25"/>
      <c r="L688" s="25"/>
      <c r="M688" s="25"/>
      <c r="N688" s="25"/>
      <c r="O688" s="25"/>
      <c r="P688" s="25"/>
      <c r="Q688" s="25"/>
      <c r="R688" s="25"/>
      <c r="S688" s="25"/>
      <c r="T688" s="25"/>
      <c r="U688" s="25"/>
      <c r="V688" s="25"/>
      <c r="W688" s="25"/>
      <c r="X688" s="25"/>
      <c r="Y688" s="25"/>
      <c r="Z688" s="25"/>
    </row>
    <row r="689" spans="1:26" ht="14.25" customHeight="1" x14ac:dyDescent="0.25">
      <c r="A689" s="26"/>
      <c r="B689" s="25"/>
      <c r="C689" s="25"/>
      <c r="D689" s="25"/>
      <c r="E689" s="26"/>
      <c r="F689" s="26"/>
      <c r="G689" s="26"/>
      <c r="H689" s="26"/>
      <c r="I689" s="26"/>
      <c r="J689" s="25"/>
      <c r="K689" s="25"/>
      <c r="L689" s="25"/>
      <c r="M689" s="25"/>
      <c r="N689" s="25"/>
      <c r="O689" s="25"/>
      <c r="P689" s="25"/>
      <c r="Q689" s="25"/>
      <c r="R689" s="25"/>
      <c r="S689" s="25"/>
      <c r="T689" s="25"/>
      <c r="U689" s="25"/>
      <c r="V689" s="25"/>
      <c r="W689" s="25"/>
      <c r="X689" s="25"/>
      <c r="Y689" s="25"/>
      <c r="Z689" s="25"/>
    </row>
    <row r="690" spans="1:26" ht="14.25" customHeight="1" x14ac:dyDescent="0.25">
      <c r="A690" s="26"/>
      <c r="B690" s="25"/>
      <c r="C690" s="25"/>
      <c r="D690" s="25"/>
      <c r="E690" s="26"/>
      <c r="F690" s="26"/>
      <c r="G690" s="26"/>
      <c r="H690" s="26"/>
      <c r="I690" s="26"/>
      <c r="J690" s="25"/>
      <c r="K690" s="25"/>
      <c r="L690" s="25"/>
      <c r="M690" s="25"/>
      <c r="N690" s="25"/>
      <c r="O690" s="25"/>
      <c r="P690" s="25"/>
      <c r="Q690" s="25"/>
      <c r="R690" s="25"/>
      <c r="S690" s="25"/>
      <c r="T690" s="25"/>
      <c r="U690" s="25"/>
      <c r="V690" s="25"/>
      <c r="W690" s="25"/>
      <c r="X690" s="25"/>
      <c r="Y690" s="25"/>
      <c r="Z690" s="25"/>
    </row>
    <row r="691" spans="1:26" ht="14.25" customHeight="1" x14ac:dyDescent="0.25">
      <c r="A691" s="26"/>
      <c r="B691" s="25"/>
      <c r="C691" s="25"/>
      <c r="D691" s="25"/>
      <c r="E691" s="26"/>
      <c r="F691" s="26"/>
      <c r="G691" s="26"/>
      <c r="H691" s="26"/>
      <c r="I691" s="26"/>
      <c r="J691" s="25"/>
      <c r="K691" s="25"/>
      <c r="L691" s="25"/>
      <c r="M691" s="25"/>
      <c r="N691" s="25"/>
      <c r="O691" s="25"/>
      <c r="P691" s="25"/>
      <c r="Q691" s="25"/>
      <c r="R691" s="25"/>
      <c r="S691" s="25"/>
      <c r="T691" s="25"/>
      <c r="U691" s="25"/>
      <c r="V691" s="25"/>
      <c r="W691" s="25"/>
      <c r="X691" s="25"/>
      <c r="Y691" s="25"/>
      <c r="Z691" s="25"/>
    </row>
    <row r="692" spans="1:26" ht="14.25" customHeight="1" x14ac:dyDescent="0.25">
      <c r="A692" s="26"/>
      <c r="B692" s="25"/>
      <c r="C692" s="25"/>
      <c r="D692" s="25"/>
      <c r="E692" s="26"/>
      <c r="F692" s="26"/>
      <c r="G692" s="26"/>
      <c r="H692" s="26"/>
      <c r="I692" s="26"/>
      <c r="J692" s="25"/>
      <c r="K692" s="25"/>
      <c r="L692" s="25"/>
      <c r="M692" s="25"/>
      <c r="N692" s="25"/>
      <c r="O692" s="25"/>
      <c r="P692" s="25"/>
      <c r="Q692" s="25"/>
      <c r="R692" s="25"/>
      <c r="S692" s="25"/>
      <c r="T692" s="25"/>
      <c r="U692" s="25"/>
      <c r="V692" s="25"/>
      <c r="W692" s="25"/>
      <c r="X692" s="25"/>
      <c r="Y692" s="25"/>
      <c r="Z692" s="25"/>
    </row>
    <row r="693" spans="1:26" ht="14.25" customHeight="1" x14ac:dyDescent="0.25">
      <c r="A693" s="26"/>
      <c r="B693" s="25"/>
      <c r="C693" s="25"/>
      <c r="D693" s="25"/>
      <c r="E693" s="26"/>
      <c r="F693" s="26"/>
      <c r="G693" s="26"/>
      <c r="H693" s="26"/>
      <c r="I693" s="26"/>
      <c r="J693" s="25"/>
      <c r="K693" s="25"/>
      <c r="L693" s="25"/>
      <c r="M693" s="25"/>
      <c r="N693" s="25"/>
      <c r="O693" s="25"/>
      <c r="P693" s="25"/>
      <c r="Q693" s="25"/>
      <c r="R693" s="25"/>
      <c r="S693" s="25"/>
      <c r="T693" s="25"/>
      <c r="U693" s="25"/>
      <c r="V693" s="25"/>
      <c r="W693" s="25"/>
      <c r="X693" s="25"/>
      <c r="Y693" s="25"/>
      <c r="Z693" s="25"/>
    </row>
    <row r="694" spans="1:26" ht="14.25" customHeight="1" x14ac:dyDescent="0.25">
      <c r="A694" s="26"/>
      <c r="B694" s="25"/>
      <c r="C694" s="25"/>
      <c r="D694" s="25"/>
      <c r="E694" s="26"/>
      <c r="F694" s="26"/>
      <c r="G694" s="26"/>
      <c r="H694" s="26"/>
      <c r="I694" s="26"/>
      <c r="J694" s="25"/>
      <c r="K694" s="25"/>
      <c r="L694" s="25"/>
      <c r="M694" s="25"/>
      <c r="N694" s="25"/>
      <c r="O694" s="25"/>
      <c r="P694" s="25"/>
      <c r="Q694" s="25"/>
      <c r="R694" s="25"/>
      <c r="S694" s="25"/>
      <c r="T694" s="25"/>
      <c r="U694" s="25"/>
      <c r="V694" s="25"/>
      <c r="W694" s="25"/>
      <c r="X694" s="25"/>
      <c r="Y694" s="25"/>
      <c r="Z694" s="25"/>
    </row>
    <row r="695" spans="1:26" ht="14.25" customHeight="1" x14ac:dyDescent="0.25">
      <c r="A695" s="26"/>
      <c r="B695" s="25"/>
      <c r="C695" s="25"/>
      <c r="D695" s="25"/>
      <c r="E695" s="26"/>
      <c r="F695" s="26"/>
      <c r="G695" s="26"/>
      <c r="H695" s="26"/>
      <c r="I695" s="26"/>
      <c r="J695" s="25"/>
      <c r="K695" s="25"/>
      <c r="L695" s="25"/>
      <c r="M695" s="25"/>
      <c r="N695" s="25"/>
      <c r="O695" s="25"/>
      <c r="P695" s="25"/>
      <c r="Q695" s="25"/>
      <c r="R695" s="25"/>
      <c r="S695" s="25"/>
      <c r="T695" s="25"/>
      <c r="U695" s="25"/>
      <c r="V695" s="25"/>
      <c r="W695" s="25"/>
      <c r="X695" s="25"/>
      <c r="Y695" s="25"/>
      <c r="Z695" s="25"/>
    </row>
    <row r="696" spans="1:26" ht="14.25" customHeight="1" x14ac:dyDescent="0.25">
      <c r="A696" s="26"/>
      <c r="B696" s="25"/>
      <c r="C696" s="25"/>
      <c r="D696" s="25"/>
      <c r="E696" s="26"/>
      <c r="F696" s="26"/>
      <c r="G696" s="26"/>
      <c r="H696" s="26"/>
      <c r="I696" s="26"/>
      <c r="J696" s="25"/>
      <c r="K696" s="25"/>
      <c r="L696" s="25"/>
      <c r="M696" s="25"/>
      <c r="N696" s="25"/>
      <c r="O696" s="25"/>
      <c r="P696" s="25"/>
      <c r="Q696" s="25"/>
      <c r="R696" s="25"/>
      <c r="S696" s="25"/>
      <c r="T696" s="25"/>
      <c r="U696" s="25"/>
      <c r="V696" s="25"/>
      <c r="W696" s="25"/>
      <c r="X696" s="25"/>
      <c r="Y696" s="25"/>
      <c r="Z696" s="25"/>
    </row>
    <row r="697" spans="1:26" ht="14.25" customHeight="1" x14ac:dyDescent="0.25">
      <c r="A697" s="26"/>
      <c r="B697" s="25"/>
      <c r="C697" s="25"/>
      <c r="D697" s="25"/>
      <c r="E697" s="26"/>
      <c r="F697" s="26"/>
      <c r="G697" s="26"/>
      <c r="H697" s="26"/>
      <c r="I697" s="26"/>
      <c r="J697" s="25"/>
      <c r="K697" s="25"/>
      <c r="L697" s="25"/>
      <c r="M697" s="25"/>
      <c r="N697" s="25"/>
      <c r="O697" s="25"/>
      <c r="P697" s="25"/>
      <c r="Q697" s="25"/>
      <c r="R697" s="25"/>
      <c r="S697" s="25"/>
      <c r="T697" s="25"/>
      <c r="U697" s="25"/>
      <c r="V697" s="25"/>
      <c r="W697" s="25"/>
      <c r="X697" s="25"/>
      <c r="Y697" s="25"/>
      <c r="Z697" s="25"/>
    </row>
    <row r="698" spans="1:26" ht="14.25" customHeight="1" x14ac:dyDescent="0.25">
      <c r="A698" s="26"/>
      <c r="B698" s="25"/>
      <c r="C698" s="25"/>
      <c r="D698" s="25"/>
      <c r="E698" s="26"/>
      <c r="F698" s="26"/>
      <c r="G698" s="26"/>
      <c r="H698" s="26"/>
      <c r="I698" s="26"/>
      <c r="J698" s="25"/>
      <c r="K698" s="25"/>
      <c r="L698" s="25"/>
      <c r="M698" s="25"/>
      <c r="N698" s="25"/>
      <c r="O698" s="25"/>
      <c r="P698" s="25"/>
      <c r="Q698" s="25"/>
      <c r="R698" s="25"/>
      <c r="S698" s="25"/>
      <c r="T698" s="25"/>
      <c r="U698" s="25"/>
      <c r="V698" s="25"/>
      <c r="W698" s="25"/>
      <c r="X698" s="25"/>
      <c r="Y698" s="25"/>
      <c r="Z698" s="25"/>
    </row>
    <row r="699" spans="1:26" ht="14.25" customHeight="1" x14ac:dyDescent="0.25">
      <c r="A699" s="26"/>
      <c r="B699" s="25"/>
      <c r="C699" s="25"/>
      <c r="D699" s="25"/>
      <c r="E699" s="26"/>
      <c r="F699" s="26"/>
      <c r="G699" s="26"/>
      <c r="H699" s="26"/>
      <c r="I699" s="26"/>
      <c r="J699" s="25"/>
      <c r="K699" s="25"/>
      <c r="L699" s="25"/>
      <c r="M699" s="25"/>
      <c r="N699" s="25"/>
      <c r="O699" s="25"/>
      <c r="P699" s="25"/>
      <c r="Q699" s="25"/>
      <c r="R699" s="25"/>
      <c r="S699" s="25"/>
      <c r="T699" s="25"/>
      <c r="U699" s="25"/>
      <c r="V699" s="25"/>
      <c r="W699" s="25"/>
      <c r="X699" s="25"/>
      <c r="Y699" s="25"/>
      <c r="Z699" s="25"/>
    </row>
    <row r="700" spans="1:26" ht="14.25" customHeight="1" x14ac:dyDescent="0.25">
      <c r="A700" s="26"/>
      <c r="B700" s="25"/>
      <c r="C700" s="25"/>
      <c r="D700" s="25"/>
      <c r="E700" s="26"/>
      <c r="F700" s="26"/>
      <c r="G700" s="26"/>
      <c r="H700" s="26"/>
      <c r="I700" s="26"/>
      <c r="J700" s="25"/>
      <c r="K700" s="25"/>
      <c r="L700" s="25"/>
      <c r="M700" s="25"/>
      <c r="N700" s="25"/>
      <c r="O700" s="25"/>
      <c r="P700" s="25"/>
      <c r="Q700" s="25"/>
      <c r="R700" s="25"/>
      <c r="S700" s="25"/>
      <c r="T700" s="25"/>
      <c r="U700" s="25"/>
      <c r="V700" s="25"/>
      <c r="W700" s="25"/>
      <c r="X700" s="25"/>
      <c r="Y700" s="25"/>
      <c r="Z700" s="25"/>
    </row>
    <row r="701" spans="1:26" ht="14.25" customHeight="1" x14ac:dyDescent="0.25">
      <c r="A701" s="26"/>
      <c r="B701" s="25"/>
      <c r="C701" s="25"/>
      <c r="D701" s="25"/>
      <c r="E701" s="26"/>
      <c r="F701" s="26"/>
      <c r="G701" s="26"/>
      <c r="H701" s="26"/>
      <c r="I701" s="26"/>
      <c r="J701" s="25"/>
      <c r="K701" s="25"/>
      <c r="L701" s="25"/>
      <c r="M701" s="25"/>
      <c r="N701" s="25"/>
      <c r="O701" s="25"/>
      <c r="P701" s="25"/>
      <c r="Q701" s="25"/>
      <c r="R701" s="25"/>
      <c r="S701" s="25"/>
      <c r="T701" s="25"/>
      <c r="U701" s="25"/>
      <c r="V701" s="25"/>
      <c r="W701" s="25"/>
      <c r="X701" s="25"/>
      <c r="Y701" s="25"/>
      <c r="Z701" s="25"/>
    </row>
    <row r="702" spans="1:26" ht="14.25" customHeight="1" x14ac:dyDescent="0.25">
      <c r="A702" s="26"/>
      <c r="B702" s="25"/>
      <c r="C702" s="25"/>
      <c r="D702" s="25"/>
      <c r="E702" s="26"/>
      <c r="F702" s="26"/>
      <c r="G702" s="26"/>
      <c r="H702" s="26"/>
      <c r="I702" s="26"/>
      <c r="J702" s="25"/>
      <c r="K702" s="25"/>
      <c r="L702" s="25"/>
      <c r="M702" s="25"/>
      <c r="N702" s="25"/>
      <c r="O702" s="25"/>
      <c r="P702" s="25"/>
      <c r="Q702" s="25"/>
      <c r="R702" s="25"/>
      <c r="S702" s="25"/>
      <c r="T702" s="25"/>
      <c r="U702" s="25"/>
      <c r="V702" s="25"/>
      <c r="W702" s="25"/>
      <c r="X702" s="25"/>
      <c r="Y702" s="25"/>
      <c r="Z702" s="25"/>
    </row>
    <row r="703" spans="1:26" ht="14.25" customHeight="1" x14ac:dyDescent="0.25">
      <c r="A703" s="26"/>
      <c r="B703" s="25"/>
      <c r="C703" s="25"/>
      <c r="D703" s="25"/>
      <c r="E703" s="26"/>
      <c r="F703" s="26"/>
      <c r="G703" s="26"/>
      <c r="H703" s="26"/>
      <c r="I703" s="26"/>
      <c r="J703" s="25"/>
      <c r="K703" s="25"/>
      <c r="L703" s="25"/>
      <c r="M703" s="25"/>
      <c r="N703" s="25"/>
      <c r="O703" s="25"/>
      <c r="P703" s="25"/>
      <c r="Q703" s="25"/>
      <c r="R703" s="25"/>
      <c r="S703" s="25"/>
      <c r="T703" s="25"/>
      <c r="U703" s="25"/>
      <c r="V703" s="25"/>
      <c r="W703" s="25"/>
      <c r="X703" s="25"/>
      <c r="Y703" s="25"/>
      <c r="Z703" s="25"/>
    </row>
    <row r="704" spans="1:26" ht="14.25" customHeight="1" x14ac:dyDescent="0.25">
      <c r="A704" s="26"/>
      <c r="B704" s="25"/>
      <c r="C704" s="25"/>
      <c r="D704" s="25"/>
      <c r="E704" s="26"/>
      <c r="F704" s="26"/>
      <c r="G704" s="26"/>
      <c r="H704" s="26"/>
      <c r="I704" s="26"/>
      <c r="J704" s="25"/>
      <c r="K704" s="25"/>
      <c r="L704" s="25"/>
      <c r="M704" s="25"/>
      <c r="N704" s="25"/>
      <c r="O704" s="25"/>
      <c r="P704" s="25"/>
      <c r="Q704" s="25"/>
      <c r="R704" s="25"/>
      <c r="S704" s="25"/>
      <c r="T704" s="25"/>
      <c r="U704" s="25"/>
      <c r="V704" s="25"/>
      <c r="W704" s="25"/>
      <c r="X704" s="25"/>
      <c r="Y704" s="25"/>
      <c r="Z704" s="25"/>
    </row>
    <row r="705" spans="1:26" ht="14.25" customHeight="1" x14ac:dyDescent="0.25">
      <c r="A705" s="26"/>
      <c r="B705" s="25"/>
      <c r="C705" s="25"/>
      <c r="D705" s="25"/>
      <c r="E705" s="26"/>
      <c r="F705" s="26"/>
      <c r="G705" s="26"/>
      <c r="H705" s="26"/>
      <c r="I705" s="26"/>
      <c r="J705" s="25"/>
      <c r="K705" s="25"/>
      <c r="L705" s="25"/>
      <c r="M705" s="25"/>
      <c r="N705" s="25"/>
      <c r="O705" s="25"/>
      <c r="P705" s="25"/>
      <c r="Q705" s="25"/>
      <c r="R705" s="25"/>
      <c r="S705" s="25"/>
      <c r="T705" s="25"/>
      <c r="U705" s="25"/>
      <c r="V705" s="25"/>
      <c r="W705" s="25"/>
      <c r="X705" s="25"/>
      <c r="Y705" s="25"/>
      <c r="Z705" s="25"/>
    </row>
    <row r="706" spans="1:26" ht="14.25" customHeight="1" x14ac:dyDescent="0.25">
      <c r="A706" s="26"/>
      <c r="B706" s="25"/>
      <c r="C706" s="25"/>
      <c r="D706" s="25"/>
      <c r="E706" s="26"/>
      <c r="F706" s="26"/>
      <c r="G706" s="26"/>
      <c r="H706" s="26"/>
      <c r="I706" s="26"/>
      <c r="J706" s="25"/>
      <c r="K706" s="25"/>
      <c r="L706" s="25"/>
      <c r="M706" s="25"/>
      <c r="N706" s="25"/>
      <c r="O706" s="25"/>
      <c r="P706" s="25"/>
      <c r="Q706" s="25"/>
      <c r="R706" s="25"/>
      <c r="S706" s="25"/>
      <c r="T706" s="25"/>
      <c r="U706" s="25"/>
      <c r="V706" s="25"/>
      <c r="W706" s="25"/>
      <c r="X706" s="25"/>
      <c r="Y706" s="25"/>
      <c r="Z706" s="25"/>
    </row>
    <row r="707" spans="1:26" ht="14.25" customHeight="1" x14ac:dyDescent="0.25">
      <c r="A707" s="26"/>
      <c r="B707" s="25"/>
      <c r="C707" s="25"/>
      <c r="D707" s="25"/>
      <c r="E707" s="26"/>
      <c r="F707" s="26"/>
      <c r="G707" s="26"/>
      <c r="H707" s="26"/>
      <c r="I707" s="26"/>
      <c r="J707" s="25"/>
      <c r="K707" s="25"/>
      <c r="L707" s="25"/>
      <c r="M707" s="25"/>
      <c r="N707" s="25"/>
      <c r="O707" s="25"/>
      <c r="P707" s="25"/>
      <c r="Q707" s="25"/>
      <c r="R707" s="25"/>
      <c r="S707" s="25"/>
      <c r="T707" s="25"/>
      <c r="U707" s="25"/>
      <c r="V707" s="25"/>
      <c r="W707" s="25"/>
      <c r="X707" s="25"/>
      <c r="Y707" s="25"/>
      <c r="Z707" s="25"/>
    </row>
    <row r="708" spans="1:26" ht="14.25" customHeight="1" x14ac:dyDescent="0.25">
      <c r="A708" s="26"/>
      <c r="B708" s="25"/>
      <c r="C708" s="25"/>
      <c r="D708" s="25"/>
      <c r="E708" s="26"/>
      <c r="F708" s="26"/>
      <c r="G708" s="26"/>
      <c r="H708" s="26"/>
      <c r="I708" s="26"/>
      <c r="J708" s="25"/>
      <c r="K708" s="25"/>
      <c r="L708" s="25"/>
      <c r="M708" s="25"/>
      <c r="N708" s="25"/>
      <c r="O708" s="25"/>
      <c r="P708" s="25"/>
      <c r="Q708" s="25"/>
      <c r="R708" s="25"/>
      <c r="S708" s="25"/>
      <c r="T708" s="25"/>
      <c r="U708" s="25"/>
      <c r="V708" s="25"/>
      <c r="W708" s="25"/>
      <c r="X708" s="25"/>
      <c r="Y708" s="25"/>
      <c r="Z708" s="25"/>
    </row>
    <row r="709" spans="1:26" ht="14.25" customHeight="1" x14ac:dyDescent="0.25">
      <c r="A709" s="26"/>
      <c r="B709" s="25"/>
      <c r="C709" s="25"/>
      <c r="D709" s="25"/>
      <c r="E709" s="26"/>
      <c r="F709" s="26"/>
      <c r="G709" s="26"/>
      <c r="H709" s="26"/>
      <c r="I709" s="26"/>
      <c r="J709" s="25"/>
      <c r="K709" s="25"/>
      <c r="L709" s="25"/>
      <c r="M709" s="25"/>
      <c r="N709" s="25"/>
      <c r="O709" s="25"/>
      <c r="P709" s="25"/>
      <c r="Q709" s="25"/>
      <c r="R709" s="25"/>
      <c r="S709" s="25"/>
      <c r="T709" s="25"/>
      <c r="U709" s="25"/>
      <c r="V709" s="25"/>
      <c r="W709" s="25"/>
      <c r="X709" s="25"/>
      <c r="Y709" s="25"/>
      <c r="Z709" s="25"/>
    </row>
    <row r="710" spans="1:26" ht="14.25" customHeight="1" x14ac:dyDescent="0.25">
      <c r="A710" s="26"/>
      <c r="B710" s="25"/>
      <c r="C710" s="25"/>
      <c r="D710" s="25"/>
      <c r="E710" s="26"/>
      <c r="F710" s="26"/>
      <c r="G710" s="26"/>
      <c r="H710" s="26"/>
      <c r="I710" s="26"/>
      <c r="J710" s="25"/>
      <c r="K710" s="25"/>
      <c r="L710" s="25"/>
      <c r="M710" s="25"/>
      <c r="N710" s="25"/>
      <c r="O710" s="25"/>
      <c r="P710" s="25"/>
      <c r="Q710" s="25"/>
      <c r="R710" s="25"/>
      <c r="S710" s="25"/>
      <c r="T710" s="25"/>
      <c r="U710" s="25"/>
      <c r="V710" s="25"/>
      <c r="W710" s="25"/>
      <c r="X710" s="25"/>
      <c r="Y710" s="25"/>
      <c r="Z710" s="25"/>
    </row>
    <row r="711" spans="1:26" ht="14.25" customHeight="1" x14ac:dyDescent="0.25">
      <c r="A711" s="26"/>
      <c r="B711" s="25"/>
      <c r="C711" s="25"/>
      <c r="D711" s="25"/>
      <c r="E711" s="26"/>
      <c r="F711" s="26"/>
      <c r="G711" s="26"/>
      <c r="H711" s="26"/>
      <c r="I711" s="26"/>
      <c r="J711" s="25"/>
      <c r="K711" s="25"/>
      <c r="L711" s="25"/>
      <c r="M711" s="25"/>
      <c r="N711" s="25"/>
      <c r="O711" s="25"/>
      <c r="P711" s="25"/>
      <c r="Q711" s="25"/>
      <c r="R711" s="25"/>
      <c r="S711" s="25"/>
      <c r="T711" s="25"/>
      <c r="U711" s="25"/>
      <c r="V711" s="25"/>
      <c r="W711" s="25"/>
      <c r="X711" s="25"/>
      <c r="Y711" s="25"/>
      <c r="Z711" s="25"/>
    </row>
    <row r="712" spans="1:26" ht="14.25" customHeight="1" x14ac:dyDescent="0.25">
      <c r="A712" s="26"/>
      <c r="B712" s="25"/>
      <c r="C712" s="25"/>
      <c r="D712" s="25"/>
      <c r="E712" s="26"/>
      <c r="F712" s="26"/>
      <c r="G712" s="26"/>
      <c r="H712" s="26"/>
      <c r="I712" s="26"/>
      <c r="J712" s="25"/>
      <c r="K712" s="25"/>
      <c r="L712" s="25"/>
      <c r="M712" s="25"/>
      <c r="N712" s="25"/>
      <c r="O712" s="25"/>
      <c r="P712" s="25"/>
      <c r="Q712" s="25"/>
      <c r="R712" s="25"/>
      <c r="S712" s="25"/>
      <c r="T712" s="25"/>
      <c r="U712" s="25"/>
      <c r="V712" s="25"/>
      <c r="W712" s="25"/>
      <c r="X712" s="25"/>
      <c r="Y712" s="25"/>
      <c r="Z712" s="25"/>
    </row>
    <row r="713" spans="1:26" ht="14.25" customHeight="1" x14ac:dyDescent="0.25">
      <c r="A713" s="26"/>
      <c r="B713" s="25"/>
      <c r="C713" s="25"/>
      <c r="D713" s="25"/>
      <c r="E713" s="26"/>
      <c r="F713" s="26"/>
      <c r="G713" s="26"/>
      <c r="H713" s="26"/>
      <c r="I713" s="26"/>
      <c r="J713" s="25"/>
      <c r="K713" s="25"/>
      <c r="L713" s="25"/>
      <c r="M713" s="25"/>
      <c r="N713" s="25"/>
      <c r="O713" s="25"/>
      <c r="P713" s="25"/>
      <c r="Q713" s="25"/>
      <c r="R713" s="25"/>
      <c r="S713" s="25"/>
      <c r="T713" s="25"/>
      <c r="U713" s="25"/>
      <c r="V713" s="25"/>
      <c r="W713" s="25"/>
      <c r="X713" s="25"/>
      <c r="Y713" s="25"/>
      <c r="Z713" s="25"/>
    </row>
    <row r="714" spans="1:26" ht="14.25" customHeight="1" x14ac:dyDescent="0.25">
      <c r="A714" s="26"/>
      <c r="B714" s="25"/>
      <c r="C714" s="25"/>
      <c r="D714" s="25"/>
      <c r="E714" s="26"/>
      <c r="F714" s="26"/>
      <c r="G714" s="26"/>
      <c r="H714" s="26"/>
      <c r="I714" s="26"/>
      <c r="J714" s="25"/>
      <c r="K714" s="25"/>
      <c r="L714" s="25"/>
      <c r="M714" s="25"/>
      <c r="N714" s="25"/>
      <c r="O714" s="25"/>
      <c r="P714" s="25"/>
      <c r="Q714" s="25"/>
      <c r="R714" s="25"/>
      <c r="S714" s="25"/>
      <c r="T714" s="25"/>
      <c r="U714" s="25"/>
      <c r="V714" s="25"/>
      <c r="W714" s="25"/>
      <c r="X714" s="25"/>
      <c r="Y714" s="25"/>
      <c r="Z714" s="25"/>
    </row>
    <row r="715" spans="1:26" ht="14.25" customHeight="1" x14ac:dyDescent="0.25">
      <c r="A715" s="26"/>
      <c r="B715" s="25"/>
      <c r="C715" s="25"/>
      <c r="D715" s="25"/>
      <c r="E715" s="26"/>
      <c r="F715" s="26"/>
      <c r="G715" s="26"/>
      <c r="H715" s="26"/>
      <c r="I715" s="26"/>
      <c r="J715" s="25"/>
      <c r="K715" s="25"/>
      <c r="L715" s="25"/>
      <c r="M715" s="25"/>
      <c r="N715" s="25"/>
      <c r="O715" s="25"/>
      <c r="P715" s="25"/>
      <c r="Q715" s="25"/>
      <c r="R715" s="25"/>
      <c r="S715" s="25"/>
      <c r="T715" s="25"/>
      <c r="U715" s="25"/>
      <c r="V715" s="25"/>
      <c r="W715" s="25"/>
      <c r="X715" s="25"/>
      <c r="Y715" s="25"/>
      <c r="Z715" s="25"/>
    </row>
    <row r="716" spans="1:26" ht="14.25" customHeight="1" x14ac:dyDescent="0.25">
      <c r="A716" s="26"/>
      <c r="B716" s="25"/>
      <c r="C716" s="25"/>
      <c r="D716" s="25"/>
      <c r="E716" s="26"/>
      <c r="F716" s="26"/>
      <c r="G716" s="26"/>
      <c r="H716" s="26"/>
      <c r="I716" s="26"/>
      <c r="J716" s="25"/>
      <c r="K716" s="25"/>
      <c r="L716" s="25"/>
      <c r="M716" s="25"/>
      <c r="N716" s="25"/>
      <c r="O716" s="25"/>
      <c r="P716" s="25"/>
      <c r="Q716" s="25"/>
      <c r="R716" s="25"/>
      <c r="S716" s="25"/>
      <c r="T716" s="25"/>
      <c r="U716" s="25"/>
      <c r="V716" s="25"/>
      <c r="W716" s="25"/>
      <c r="X716" s="25"/>
      <c r="Y716" s="25"/>
      <c r="Z716" s="25"/>
    </row>
    <row r="717" spans="1:26" ht="14.25" customHeight="1" x14ac:dyDescent="0.25">
      <c r="A717" s="26"/>
      <c r="B717" s="25"/>
      <c r="C717" s="25"/>
      <c r="D717" s="25"/>
      <c r="E717" s="26"/>
      <c r="F717" s="26"/>
      <c r="G717" s="26"/>
      <c r="H717" s="26"/>
      <c r="I717" s="26"/>
      <c r="J717" s="25"/>
      <c r="K717" s="25"/>
      <c r="L717" s="25"/>
      <c r="M717" s="25"/>
      <c r="N717" s="25"/>
      <c r="O717" s="25"/>
      <c r="P717" s="25"/>
      <c r="Q717" s="25"/>
      <c r="R717" s="25"/>
      <c r="S717" s="25"/>
      <c r="T717" s="25"/>
      <c r="U717" s="25"/>
      <c r="V717" s="25"/>
      <c r="W717" s="25"/>
      <c r="X717" s="25"/>
      <c r="Y717" s="25"/>
      <c r="Z717" s="25"/>
    </row>
    <row r="718" spans="1:26" ht="14.25" customHeight="1" x14ac:dyDescent="0.25">
      <c r="A718" s="26"/>
      <c r="B718" s="25"/>
      <c r="C718" s="25"/>
      <c r="D718" s="25"/>
      <c r="E718" s="26"/>
      <c r="F718" s="26"/>
      <c r="G718" s="26"/>
      <c r="H718" s="26"/>
      <c r="I718" s="26"/>
      <c r="J718" s="25"/>
      <c r="K718" s="25"/>
      <c r="L718" s="25"/>
      <c r="M718" s="25"/>
      <c r="N718" s="25"/>
      <c r="O718" s="25"/>
      <c r="P718" s="25"/>
      <c r="Q718" s="25"/>
      <c r="R718" s="25"/>
      <c r="S718" s="25"/>
      <c r="T718" s="25"/>
      <c r="U718" s="25"/>
      <c r="V718" s="25"/>
      <c r="W718" s="25"/>
      <c r="X718" s="25"/>
      <c r="Y718" s="25"/>
      <c r="Z718" s="25"/>
    </row>
    <row r="719" spans="1:26" ht="14.25" customHeight="1" x14ac:dyDescent="0.25">
      <c r="A719" s="26"/>
      <c r="B719" s="25"/>
      <c r="C719" s="25"/>
      <c r="D719" s="25"/>
      <c r="E719" s="26"/>
      <c r="F719" s="26"/>
      <c r="G719" s="26"/>
      <c r="H719" s="26"/>
      <c r="I719" s="26"/>
      <c r="J719" s="25"/>
      <c r="K719" s="25"/>
      <c r="L719" s="25"/>
      <c r="M719" s="25"/>
      <c r="N719" s="25"/>
      <c r="O719" s="25"/>
      <c r="P719" s="25"/>
      <c r="Q719" s="25"/>
      <c r="R719" s="25"/>
      <c r="S719" s="25"/>
      <c r="T719" s="25"/>
      <c r="U719" s="25"/>
      <c r="V719" s="25"/>
      <c r="W719" s="25"/>
      <c r="X719" s="25"/>
      <c r="Y719" s="25"/>
      <c r="Z719" s="25"/>
    </row>
    <row r="720" spans="1:26" ht="14.25" customHeight="1" x14ac:dyDescent="0.25">
      <c r="A720" s="26"/>
      <c r="B720" s="25"/>
      <c r="C720" s="25"/>
      <c r="D720" s="25"/>
      <c r="E720" s="26"/>
      <c r="F720" s="26"/>
      <c r="G720" s="26"/>
      <c r="H720" s="26"/>
      <c r="I720" s="26"/>
      <c r="J720" s="25"/>
      <c r="K720" s="25"/>
      <c r="L720" s="25"/>
      <c r="M720" s="25"/>
      <c r="N720" s="25"/>
      <c r="O720" s="25"/>
      <c r="P720" s="25"/>
      <c r="Q720" s="25"/>
      <c r="R720" s="25"/>
      <c r="S720" s="25"/>
      <c r="T720" s="25"/>
      <c r="U720" s="25"/>
      <c r="V720" s="25"/>
      <c r="W720" s="25"/>
      <c r="X720" s="25"/>
      <c r="Y720" s="25"/>
      <c r="Z720" s="25"/>
    </row>
    <row r="721" spans="1:26" ht="14.25" customHeight="1" x14ac:dyDescent="0.25">
      <c r="A721" s="26"/>
      <c r="B721" s="25"/>
      <c r="C721" s="25"/>
      <c r="D721" s="25"/>
      <c r="E721" s="26"/>
      <c r="F721" s="26"/>
      <c r="G721" s="26"/>
      <c r="H721" s="26"/>
      <c r="I721" s="26"/>
      <c r="J721" s="25"/>
      <c r="K721" s="25"/>
      <c r="L721" s="25"/>
      <c r="M721" s="25"/>
      <c r="N721" s="25"/>
      <c r="O721" s="25"/>
      <c r="P721" s="25"/>
      <c r="Q721" s="25"/>
      <c r="R721" s="25"/>
      <c r="S721" s="25"/>
      <c r="T721" s="25"/>
      <c r="U721" s="25"/>
      <c r="V721" s="25"/>
      <c r="W721" s="25"/>
      <c r="X721" s="25"/>
      <c r="Y721" s="25"/>
      <c r="Z721" s="25"/>
    </row>
    <row r="722" spans="1:26" ht="14.25" customHeight="1" x14ac:dyDescent="0.25">
      <c r="A722" s="26"/>
      <c r="B722" s="25"/>
      <c r="C722" s="25"/>
      <c r="D722" s="25"/>
      <c r="E722" s="26"/>
      <c r="F722" s="26"/>
      <c r="G722" s="26"/>
      <c r="H722" s="26"/>
      <c r="I722" s="26"/>
      <c r="J722" s="25"/>
      <c r="K722" s="25"/>
      <c r="L722" s="25"/>
      <c r="M722" s="25"/>
      <c r="N722" s="25"/>
      <c r="O722" s="25"/>
      <c r="P722" s="25"/>
      <c r="Q722" s="25"/>
      <c r="R722" s="25"/>
      <c r="S722" s="25"/>
      <c r="T722" s="25"/>
      <c r="U722" s="25"/>
      <c r="V722" s="25"/>
      <c r="W722" s="25"/>
      <c r="X722" s="25"/>
      <c r="Y722" s="25"/>
      <c r="Z722" s="25"/>
    </row>
    <row r="723" spans="1:26" ht="14.25" customHeight="1" x14ac:dyDescent="0.25">
      <c r="A723" s="26"/>
      <c r="B723" s="25"/>
      <c r="C723" s="25"/>
      <c r="D723" s="25"/>
      <c r="E723" s="26"/>
      <c r="F723" s="26"/>
      <c r="G723" s="26"/>
      <c r="H723" s="26"/>
      <c r="I723" s="26"/>
      <c r="J723" s="25"/>
      <c r="K723" s="25"/>
      <c r="L723" s="25"/>
      <c r="M723" s="25"/>
      <c r="N723" s="25"/>
      <c r="O723" s="25"/>
      <c r="P723" s="25"/>
      <c r="Q723" s="25"/>
      <c r="R723" s="25"/>
      <c r="S723" s="25"/>
      <c r="T723" s="25"/>
      <c r="U723" s="25"/>
      <c r="V723" s="25"/>
      <c r="W723" s="25"/>
      <c r="X723" s="25"/>
      <c r="Y723" s="25"/>
      <c r="Z723" s="25"/>
    </row>
    <row r="724" spans="1:26" ht="14.25" customHeight="1" x14ac:dyDescent="0.25">
      <c r="A724" s="26"/>
      <c r="B724" s="25"/>
      <c r="C724" s="25"/>
      <c r="D724" s="25"/>
      <c r="E724" s="26"/>
      <c r="F724" s="26"/>
      <c r="G724" s="26"/>
      <c r="H724" s="26"/>
      <c r="I724" s="26"/>
      <c r="J724" s="25"/>
      <c r="K724" s="25"/>
      <c r="L724" s="25"/>
      <c r="M724" s="25"/>
      <c r="N724" s="25"/>
      <c r="O724" s="25"/>
      <c r="P724" s="25"/>
      <c r="Q724" s="25"/>
      <c r="R724" s="25"/>
      <c r="S724" s="25"/>
      <c r="T724" s="25"/>
      <c r="U724" s="25"/>
      <c r="V724" s="25"/>
      <c r="W724" s="25"/>
      <c r="X724" s="25"/>
      <c r="Y724" s="25"/>
      <c r="Z724" s="25"/>
    </row>
    <row r="725" spans="1:26" ht="14.25" customHeight="1" x14ac:dyDescent="0.25">
      <c r="A725" s="26"/>
      <c r="B725" s="25"/>
      <c r="C725" s="25"/>
      <c r="D725" s="25"/>
      <c r="E725" s="26"/>
      <c r="F725" s="26"/>
      <c r="G725" s="26"/>
      <c r="H725" s="26"/>
      <c r="I725" s="26"/>
      <c r="J725" s="25"/>
      <c r="K725" s="25"/>
      <c r="L725" s="25"/>
      <c r="M725" s="25"/>
      <c r="N725" s="25"/>
      <c r="O725" s="25"/>
      <c r="P725" s="25"/>
      <c r="Q725" s="25"/>
      <c r="R725" s="25"/>
      <c r="S725" s="25"/>
      <c r="T725" s="25"/>
      <c r="U725" s="25"/>
      <c r="V725" s="25"/>
      <c r="W725" s="25"/>
      <c r="X725" s="25"/>
      <c r="Y725" s="25"/>
      <c r="Z725" s="25"/>
    </row>
    <row r="726" spans="1:26" ht="14.25" customHeight="1" x14ac:dyDescent="0.25">
      <c r="A726" s="26"/>
      <c r="B726" s="25"/>
      <c r="C726" s="25"/>
      <c r="D726" s="25"/>
      <c r="E726" s="26"/>
      <c r="F726" s="26"/>
      <c r="G726" s="26"/>
      <c r="H726" s="26"/>
      <c r="I726" s="26"/>
      <c r="J726" s="25"/>
      <c r="K726" s="25"/>
      <c r="L726" s="25"/>
      <c r="M726" s="25"/>
      <c r="N726" s="25"/>
      <c r="O726" s="25"/>
      <c r="P726" s="25"/>
      <c r="Q726" s="25"/>
      <c r="R726" s="25"/>
      <c r="S726" s="25"/>
      <c r="T726" s="25"/>
      <c r="U726" s="25"/>
      <c r="V726" s="25"/>
      <c r="W726" s="25"/>
      <c r="X726" s="25"/>
      <c r="Y726" s="25"/>
      <c r="Z726" s="25"/>
    </row>
    <row r="727" spans="1:26" ht="14.25" customHeight="1" x14ac:dyDescent="0.25">
      <c r="A727" s="26"/>
      <c r="B727" s="25"/>
      <c r="C727" s="25"/>
      <c r="D727" s="25"/>
      <c r="E727" s="26"/>
      <c r="F727" s="26"/>
      <c r="G727" s="26"/>
      <c r="H727" s="26"/>
      <c r="I727" s="26"/>
      <c r="J727" s="25"/>
      <c r="K727" s="25"/>
      <c r="L727" s="25"/>
      <c r="M727" s="25"/>
      <c r="N727" s="25"/>
      <c r="O727" s="25"/>
      <c r="P727" s="25"/>
      <c r="Q727" s="25"/>
      <c r="R727" s="25"/>
      <c r="S727" s="25"/>
      <c r="T727" s="25"/>
      <c r="U727" s="25"/>
      <c r="V727" s="25"/>
      <c r="W727" s="25"/>
      <c r="X727" s="25"/>
      <c r="Y727" s="25"/>
      <c r="Z727" s="25"/>
    </row>
    <row r="728" spans="1:26" ht="14.25" customHeight="1" x14ac:dyDescent="0.25">
      <c r="A728" s="26"/>
      <c r="B728" s="25"/>
      <c r="C728" s="25"/>
      <c r="D728" s="25"/>
      <c r="E728" s="26"/>
      <c r="F728" s="26"/>
      <c r="G728" s="26"/>
      <c r="H728" s="26"/>
      <c r="I728" s="26"/>
      <c r="J728" s="25"/>
      <c r="K728" s="25"/>
      <c r="L728" s="25"/>
      <c r="M728" s="25"/>
      <c r="N728" s="25"/>
      <c r="O728" s="25"/>
      <c r="P728" s="25"/>
      <c r="Q728" s="25"/>
      <c r="R728" s="25"/>
      <c r="S728" s="25"/>
      <c r="T728" s="25"/>
      <c r="U728" s="25"/>
      <c r="V728" s="25"/>
      <c r="W728" s="25"/>
      <c r="X728" s="25"/>
      <c r="Y728" s="25"/>
      <c r="Z728" s="25"/>
    </row>
    <row r="729" spans="1:26" ht="14.25" customHeight="1" x14ac:dyDescent="0.25">
      <c r="A729" s="26"/>
      <c r="B729" s="25"/>
      <c r="C729" s="25"/>
      <c r="D729" s="25"/>
      <c r="E729" s="26"/>
      <c r="F729" s="26"/>
      <c r="G729" s="26"/>
      <c r="H729" s="26"/>
      <c r="I729" s="26"/>
      <c r="J729" s="25"/>
      <c r="K729" s="25"/>
      <c r="L729" s="25"/>
      <c r="M729" s="25"/>
      <c r="N729" s="25"/>
      <c r="O729" s="25"/>
      <c r="P729" s="25"/>
      <c r="Q729" s="25"/>
      <c r="R729" s="25"/>
      <c r="S729" s="25"/>
      <c r="T729" s="25"/>
      <c r="U729" s="25"/>
      <c r="V729" s="25"/>
      <c r="W729" s="25"/>
      <c r="X729" s="25"/>
      <c r="Y729" s="25"/>
      <c r="Z729" s="25"/>
    </row>
    <row r="730" spans="1:26" ht="14.25" customHeight="1" x14ac:dyDescent="0.25">
      <c r="A730" s="26"/>
      <c r="B730" s="25"/>
      <c r="C730" s="25"/>
      <c r="D730" s="25"/>
      <c r="E730" s="26"/>
      <c r="F730" s="26"/>
      <c r="G730" s="26"/>
      <c r="H730" s="26"/>
      <c r="I730" s="26"/>
      <c r="J730" s="25"/>
      <c r="K730" s="25"/>
      <c r="L730" s="25"/>
      <c r="M730" s="25"/>
      <c r="N730" s="25"/>
      <c r="O730" s="25"/>
      <c r="P730" s="25"/>
      <c r="Q730" s="25"/>
      <c r="R730" s="25"/>
      <c r="S730" s="25"/>
      <c r="T730" s="25"/>
      <c r="U730" s="25"/>
      <c r="V730" s="25"/>
      <c r="W730" s="25"/>
      <c r="X730" s="25"/>
      <c r="Y730" s="25"/>
      <c r="Z730" s="25"/>
    </row>
    <row r="731" spans="1:26" ht="14.25" customHeight="1" x14ac:dyDescent="0.25">
      <c r="A731" s="26"/>
      <c r="B731" s="25"/>
      <c r="C731" s="25"/>
      <c r="D731" s="25"/>
      <c r="E731" s="26"/>
      <c r="F731" s="26"/>
      <c r="G731" s="26"/>
      <c r="H731" s="26"/>
      <c r="I731" s="26"/>
      <c r="J731" s="25"/>
      <c r="K731" s="25"/>
      <c r="L731" s="25"/>
      <c r="M731" s="25"/>
      <c r="N731" s="25"/>
      <c r="O731" s="25"/>
      <c r="P731" s="25"/>
      <c r="Q731" s="25"/>
      <c r="R731" s="25"/>
      <c r="S731" s="25"/>
      <c r="T731" s="25"/>
      <c r="U731" s="25"/>
      <c r="V731" s="25"/>
      <c r="W731" s="25"/>
      <c r="X731" s="25"/>
      <c r="Y731" s="25"/>
      <c r="Z731" s="25"/>
    </row>
    <row r="732" spans="1:26" ht="14.25" customHeight="1" x14ac:dyDescent="0.25">
      <c r="A732" s="26"/>
      <c r="B732" s="25"/>
      <c r="C732" s="25"/>
      <c r="D732" s="25"/>
      <c r="E732" s="26"/>
      <c r="F732" s="26"/>
      <c r="G732" s="26"/>
      <c r="H732" s="26"/>
      <c r="I732" s="26"/>
      <c r="J732" s="25"/>
      <c r="K732" s="25"/>
      <c r="L732" s="25"/>
      <c r="M732" s="25"/>
      <c r="N732" s="25"/>
      <c r="O732" s="25"/>
      <c r="P732" s="25"/>
      <c r="Q732" s="25"/>
      <c r="R732" s="25"/>
      <c r="S732" s="25"/>
      <c r="T732" s="25"/>
      <c r="U732" s="25"/>
      <c r="V732" s="25"/>
      <c r="W732" s="25"/>
      <c r="X732" s="25"/>
      <c r="Y732" s="25"/>
      <c r="Z732" s="25"/>
    </row>
    <row r="733" spans="1:26" ht="14.25" customHeight="1" x14ac:dyDescent="0.25">
      <c r="A733" s="26"/>
      <c r="B733" s="25"/>
      <c r="C733" s="25"/>
      <c r="D733" s="25"/>
      <c r="E733" s="26"/>
      <c r="F733" s="26"/>
      <c r="G733" s="26"/>
      <c r="H733" s="26"/>
      <c r="I733" s="26"/>
      <c r="J733" s="25"/>
      <c r="K733" s="25"/>
      <c r="L733" s="25"/>
      <c r="M733" s="25"/>
      <c r="N733" s="25"/>
      <c r="O733" s="25"/>
      <c r="P733" s="25"/>
      <c r="Q733" s="25"/>
      <c r="R733" s="25"/>
      <c r="S733" s="25"/>
      <c r="T733" s="25"/>
      <c r="U733" s="25"/>
      <c r="V733" s="25"/>
      <c r="W733" s="25"/>
      <c r="X733" s="25"/>
      <c r="Y733" s="25"/>
      <c r="Z733" s="25"/>
    </row>
    <row r="734" spans="1:26" ht="14.25" customHeight="1" x14ac:dyDescent="0.25">
      <c r="A734" s="26"/>
      <c r="B734" s="25"/>
      <c r="C734" s="25"/>
      <c r="D734" s="25"/>
      <c r="E734" s="26"/>
      <c r="F734" s="26"/>
      <c r="G734" s="26"/>
      <c r="H734" s="26"/>
      <c r="I734" s="26"/>
      <c r="J734" s="25"/>
      <c r="K734" s="25"/>
      <c r="L734" s="25"/>
      <c r="M734" s="25"/>
      <c r="N734" s="25"/>
      <c r="O734" s="25"/>
      <c r="P734" s="25"/>
      <c r="Q734" s="25"/>
      <c r="R734" s="25"/>
      <c r="S734" s="25"/>
      <c r="T734" s="25"/>
      <c r="U734" s="25"/>
      <c r="V734" s="25"/>
      <c r="W734" s="25"/>
      <c r="X734" s="25"/>
      <c r="Y734" s="25"/>
      <c r="Z734" s="25"/>
    </row>
    <row r="735" spans="1:26" ht="14.25" customHeight="1" x14ac:dyDescent="0.25">
      <c r="A735" s="26"/>
      <c r="B735" s="25"/>
      <c r="C735" s="25"/>
      <c r="D735" s="25"/>
      <c r="E735" s="26"/>
      <c r="F735" s="26"/>
      <c r="G735" s="26"/>
      <c r="H735" s="26"/>
      <c r="I735" s="26"/>
      <c r="J735" s="25"/>
      <c r="K735" s="25"/>
      <c r="L735" s="25"/>
      <c r="M735" s="25"/>
      <c r="N735" s="25"/>
      <c r="O735" s="25"/>
      <c r="P735" s="25"/>
      <c r="Q735" s="25"/>
      <c r="R735" s="25"/>
      <c r="S735" s="25"/>
      <c r="T735" s="25"/>
      <c r="U735" s="25"/>
      <c r="V735" s="25"/>
      <c r="W735" s="25"/>
      <c r="X735" s="25"/>
      <c r="Y735" s="25"/>
      <c r="Z735" s="25"/>
    </row>
    <row r="736" spans="1:26" ht="14.25" customHeight="1" x14ac:dyDescent="0.25">
      <c r="A736" s="26"/>
      <c r="B736" s="25"/>
      <c r="C736" s="25"/>
      <c r="D736" s="25"/>
      <c r="E736" s="26"/>
      <c r="F736" s="26"/>
      <c r="G736" s="26"/>
      <c r="H736" s="26"/>
      <c r="I736" s="26"/>
      <c r="J736" s="25"/>
      <c r="K736" s="25"/>
      <c r="L736" s="25"/>
      <c r="M736" s="25"/>
      <c r="N736" s="25"/>
      <c r="O736" s="25"/>
      <c r="P736" s="25"/>
      <c r="Q736" s="25"/>
      <c r="R736" s="25"/>
      <c r="S736" s="25"/>
      <c r="T736" s="25"/>
      <c r="U736" s="25"/>
      <c r="V736" s="25"/>
      <c r="W736" s="25"/>
      <c r="X736" s="25"/>
      <c r="Y736" s="25"/>
      <c r="Z736" s="25"/>
    </row>
    <row r="737" spans="1:26" ht="14.25" customHeight="1" x14ac:dyDescent="0.25">
      <c r="A737" s="26"/>
      <c r="B737" s="25"/>
      <c r="C737" s="25"/>
      <c r="D737" s="25"/>
      <c r="E737" s="26"/>
      <c r="F737" s="26"/>
      <c r="G737" s="26"/>
      <c r="H737" s="26"/>
      <c r="I737" s="26"/>
      <c r="J737" s="25"/>
      <c r="K737" s="25"/>
      <c r="L737" s="25"/>
      <c r="M737" s="25"/>
      <c r="N737" s="25"/>
      <c r="O737" s="25"/>
      <c r="P737" s="25"/>
      <c r="Q737" s="25"/>
      <c r="R737" s="25"/>
      <c r="S737" s="25"/>
      <c r="T737" s="25"/>
      <c r="U737" s="25"/>
      <c r="V737" s="25"/>
      <c r="W737" s="25"/>
      <c r="X737" s="25"/>
      <c r="Y737" s="25"/>
      <c r="Z737" s="25"/>
    </row>
    <row r="738" spans="1:26" ht="14.25" customHeight="1" x14ac:dyDescent="0.25">
      <c r="A738" s="26"/>
      <c r="B738" s="25"/>
      <c r="C738" s="25"/>
      <c r="D738" s="25"/>
      <c r="E738" s="26"/>
      <c r="F738" s="26"/>
      <c r="G738" s="26"/>
      <c r="H738" s="26"/>
      <c r="I738" s="26"/>
      <c r="J738" s="25"/>
      <c r="K738" s="25"/>
      <c r="L738" s="25"/>
      <c r="M738" s="25"/>
      <c r="N738" s="25"/>
      <c r="O738" s="25"/>
      <c r="P738" s="25"/>
      <c r="Q738" s="25"/>
      <c r="R738" s="25"/>
      <c r="S738" s="25"/>
      <c r="T738" s="25"/>
      <c r="U738" s="25"/>
      <c r="V738" s="25"/>
      <c r="W738" s="25"/>
      <c r="X738" s="25"/>
      <c r="Y738" s="25"/>
      <c r="Z738" s="25"/>
    </row>
    <row r="739" spans="1:26" ht="14.25" customHeight="1" x14ac:dyDescent="0.25">
      <c r="A739" s="26"/>
      <c r="B739" s="25"/>
      <c r="C739" s="25"/>
      <c r="D739" s="25"/>
      <c r="E739" s="26"/>
      <c r="F739" s="26"/>
      <c r="G739" s="26"/>
      <c r="H739" s="26"/>
      <c r="I739" s="26"/>
      <c r="J739" s="25"/>
      <c r="K739" s="25"/>
      <c r="L739" s="25"/>
      <c r="M739" s="25"/>
      <c r="N739" s="25"/>
      <c r="O739" s="25"/>
      <c r="P739" s="25"/>
      <c r="Q739" s="25"/>
      <c r="R739" s="25"/>
      <c r="S739" s="25"/>
      <c r="T739" s="25"/>
      <c r="U739" s="25"/>
      <c r="V739" s="25"/>
      <c r="W739" s="25"/>
      <c r="X739" s="25"/>
      <c r="Y739" s="25"/>
      <c r="Z739" s="25"/>
    </row>
    <row r="740" spans="1:26" ht="14.25" customHeight="1" x14ac:dyDescent="0.25">
      <c r="A740" s="26"/>
      <c r="B740" s="25"/>
      <c r="C740" s="25"/>
      <c r="D740" s="25"/>
      <c r="E740" s="26"/>
      <c r="F740" s="26"/>
      <c r="G740" s="26"/>
      <c r="H740" s="26"/>
      <c r="I740" s="26"/>
      <c r="J740" s="25"/>
      <c r="K740" s="25"/>
      <c r="L740" s="25"/>
      <c r="M740" s="25"/>
      <c r="N740" s="25"/>
      <c r="O740" s="25"/>
      <c r="P740" s="25"/>
      <c r="Q740" s="25"/>
      <c r="R740" s="25"/>
      <c r="S740" s="25"/>
      <c r="T740" s="25"/>
      <c r="U740" s="25"/>
      <c r="V740" s="25"/>
      <c r="W740" s="25"/>
      <c r="X740" s="25"/>
      <c r="Y740" s="25"/>
      <c r="Z740" s="25"/>
    </row>
    <row r="741" spans="1:26" ht="14.25" customHeight="1" x14ac:dyDescent="0.25">
      <c r="A741" s="26"/>
      <c r="B741" s="25"/>
      <c r="C741" s="25"/>
      <c r="D741" s="25"/>
      <c r="E741" s="26"/>
      <c r="F741" s="26"/>
      <c r="G741" s="26"/>
      <c r="H741" s="26"/>
      <c r="I741" s="26"/>
      <c r="J741" s="25"/>
      <c r="K741" s="25"/>
      <c r="L741" s="25"/>
      <c r="M741" s="25"/>
      <c r="N741" s="25"/>
      <c r="O741" s="25"/>
      <c r="P741" s="25"/>
      <c r="Q741" s="25"/>
      <c r="R741" s="25"/>
      <c r="S741" s="25"/>
      <c r="T741" s="25"/>
      <c r="U741" s="25"/>
      <c r="V741" s="25"/>
      <c r="W741" s="25"/>
      <c r="X741" s="25"/>
      <c r="Y741" s="25"/>
      <c r="Z741" s="25"/>
    </row>
    <row r="742" spans="1:26" ht="14.25" customHeight="1" x14ac:dyDescent="0.25">
      <c r="A742" s="26"/>
      <c r="B742" s="25"/>
      <c r="C742" s="25"/>
      <c r="D742" s="25"/>
      <c r="E742" s="26"/>
      <c r="F742" s="26"/>
      <c r="G742" s="26"/>
      <c r="H742" s="26"/>
      <c r="I742" s="26"/>
      <c r="J742" s="25"/>
      <c r="K742" s="25"/>
      <c r="L742" s="25"/>
      <c r="M742" s="25"/>
      <c r="N742" s="25"/>
      <c r="O742" s="25"/>
      <c r="P742" s="25"/>
      <c r="Q742" s="25"/>
      <c r="R742" s="25"/>
      <c r="S742" s="25"/>
      <c r="T742" s="25"/>
      <c r="U742" s="25"/>
      <c r="V742" s="25"/>
      <c r="W742" s="25"/>
      <c r="X742" s="25"/>
      <c r="Y742" s="25"/>
      <c r="Z742" s="25"/>
    </row>
    <row r="743" spans="1:26" ht="14.25" customHeight="1" x14ac:dyDescent="0.25">
      <c r="A743" s="26"/>
      <c r="B743" s="25"/>
      <c r="C743" s="25"/>
      <c r="D743" s="25"/>
      <c r="E743" s="26"/>
      <c r="F743" s="26"/>
      <c r="G743" s="26"/>
      <c r="H743" s="26"/>
      <c r="I743" s="26"/>
      <c r="J743" s="25"/>
      <c r="K743" s="25"/>
      <c r="L743" s="25"/>
      <c r="M743" s="25"/>
      <c r="N743" s="25"/>
      <c r="O743" s="25"/>
      <c r="P743" s="25"/>
      <c r="Q743" s="25"/>
      <c r="R743" s="25"/>
      <c r="S743" s="25"/>
      <c r="T743" s="25"/>
      <c r="U743" s="25"/>
      <c r="V743" s="25"/>
      <c r="W743" s="25"/>
      <c r="X743" s="25"/>
      <c r="Y743" s="25"/>
      <c r="Z743" s="25"/>
    </row>
    <row r="744" spans="1:26" ht="14.25" customHeight="1" x14ac:dyDescent="0.25">
      <c r="A744" s="26"/>
      <c r="B744" s="25"/>
      <c r="C744" s="25"/>
      <c r="D744" s="25"/>
      <c r="E744" s="26"/>
      <c r="F744" s="26"/>
      <c r="G744" s="26"/>
      <c r="H744" s="26"/>
      <c r="I744" s="26"/>
      <c r="J744" s="25"/>
      <c r="K744" s="25"/>
      <c r="L744" s="25"/>
      <c r="M744" s="25"/>
      <c r="N744" s="25"/>
      <c r="O744" s="25"/>
      <c r="P744" s="25"/>
      <c r="Q744" s="25"/>
      <c r="R744" s="25"/>
      <c r="S744" s="25"/>
      <c r="T744" s="25"/>
      <c r="U744" s="25"/>
      <c r="V744" s="25"/>
      <c r="W744" s="25"/>
      <c r="X744" s="25"/>
      <c r="Y744" s="25"/>
      <c r="Z744" s="25"/>
    </row>
    <row r="745" spans="1:26" ht="14.25" customHeight="1" x14ac:dyDescent="0.25">
      <c r="A745" s="26"/>
      <c r="B745" s="25"/>
      <c r="C745" s="25"/>
      <c r="D745" s="25"/>
      <c r="E745" s="26"/>
      <c r="F745" s="26"/>
      <c r="G745" s="26"/>
      <c r="H745" s="26"/>
      <c r="I745" s="26"/>
      <c r="J745" s="25"/>
      <c r="K745" s="25"/>
      <c r="L745" s="25"/>
      <c r="M745" s="25"/>
      <c r="N745" s="25"/>
      <c r="O745" s="25"/>
      <c r="P745" s="25"/>
      <c r="Q745" s="25"/>
      <c r="R745" s="25"/>
      <c r="S745" s="25"/>
      <c r="T745" s="25"/>
      <c r="U745" s="25"/>
      <c r="V745" s="25"/>
      <c r="W745" s="25"/>
      <c r="X745" s="25"/>
      <c r="Y745" s="25"/>
      <c r="Z745" s="25"/>
    </row>
    <row r="746" spans="1:26" ht="14.25" customHeight="1" x14ac:dyDescent="0.25">
      <c r="A746" s="26"/>
      <c r="B746" s="25"/>
      <c r="C746" s="25"/>
      <c r="D746" s="25"/>
      <c r="E746" s="26"/>
      <c r="F746" s="26"/>
      <c r="G746" s="26"/>
      <c r="H746" s="26"/>
      <c r="I746" s="26"/>
      <c r="J746" s="25"/>
      <c r="K746" s="25"/>
      <c r="L746" s="25"/>
      <c r="M746" s="25"/>
      <c r="N746" s="25"/>
      <c r="O746" s="25"/>
      <c r="P746" s="25"/>
      <c r="Q746" s="25"/>
      <c r="R746" s="25"/>
      <c r="S746" s="25"/>
      <c r="T746" s="25"/>
      <c r="U746" s="25"/>
      <c r="V746" s="25"/>
      <c r="W746" s="25"/>
      <c r="X746" s="25"/>
      <c r="Y746" s="25"/>
      <c r="Z746" s="25"/>
    </row>
    <row r="747" spans="1:26" ht="14.25" customHeight="1" x14ac:dyDescent="0.25">
      <c r="A747" s="26"/>
      <c r="B747" s="25"/>
      <c r="C747" s="25"/>
      <c r="D747" s="25"/>
      <c r="E747" s="26"/>
      <c r="F747" s="26"/>
      <c r="G747" s="26"/>
      <c r="H747" s="26"/>
      <c r="I747" s="26"/>
      <c r="J747" s="25"/>
      <c r="K747" s="25"/>
      <c r="L747" s="25"/>
      <c r="M747" s="25"/>
      <c r="N747" s="25"/>
      <c r="O747" s="25"/>
      <c r="P747" s="25"/>
      <c r="Q747" s="25"/>
      <c r="R747" s="25"/>
      <c r="S747" s="25"/>
      <c r="T747" s="25"/>
      <c r="U747" s="25"/>
      <c r="V747" s="25"/>
      <c r="W747" s="25"/>
      <c r="X747" s="25"/>
      <c r="Y747" s="25"/>
      <c r="Z747" s="25"/>
    </row>
    <row r="748" spans="1:26" ht="14.25" customHeight="1" x14ac:dyDescent="0.25">
      <c r="A748" s="26"/>
      <c r="B748" s="25"/>
      <c r="C748" s="25"/>
      <c r="D748" s="25"/>
      <c r="E748" s="26"/>
      <c r="F748" s="26"/>
      <c r="G748" s="26"/>
      <c r="H748" s="26"/>
      <c r="I748" s="26"/>
      <c r="J748" s="25"/>
      <c r="K748" s="25"/>
      <c r="L748" s="25"/>
      <c r="M748" s="25"/>
      <c r="N748" s="25"/>
      <c r="O748" s="25"/>
      <c r="P748" s="25"/>
      <c r="Q748" s="25"/>
      <c r="R748" s="25"/>
      <c r="S748" s="25"/>
      <c r="T748" s="25"/>
      <c r="U748" s="25"/>
      <c r="V748" s="25"/>
      <c r="W748" s="25"/>
      <c r="X748" s="25"/>
      <c r="Y748" s="25"/>
      <c r="Z748" s="25"/>
    </row>
    <row r="749" spans="1:26" ht="14.25" customHeight="1" x14ac:dyDescent="0.25">
      <c r="A749" s="26"/>
      <c r="B749" s="25"/>
      <c r="C749" s="25"/>
      <c r="D749" s="25"/>
      <c r="E749" s="26"/>
      <c r="F749" s="26"/>
      <c r="G749" s="26"/>
      <c r="H749" s="26"/>
      <c r="I749" s="26"/>
      <c r="J749" s="25"/>
      <c r="K749" s="25"/>
      <c r="L749" s="25"/>
      <c r="M749" s="25"/>
      <c r="N749" s="25"/>
      <c r="O749" s="25"/>
      <c r="P749" s="25"/>
      <c r="Q749" s="25"/>
      <c r="R749" s="25"/>
      <c r="S749" s="25"/>
      <c r="T749" s="25"/>
      <c r="U749" s="25"/>
      <c r="V749" s="25"/>
      <c r="W749" s="25"/>
      <c r="X749" s="25"/>
      <c r="Y749" s="25"/>
      <c r="Z749" s="25"/>
    </row>
    <row r="750" spans="1:26" ht="14.25" customHeight="1" x14ac:dyDescent="0.25">
      <c r="A750" s="26"/>
      <c r="B750" s="25"/>
      <c r="C750" s="25"/>
      <c r="D750" s="25"/>
      <c r="E750" s="26"/>
      <c r="F750" s="26"/>
      <c r="G750" s="26"/>
      <c r="H750" s="26"/>
      <c r="I750" s="26"/>
      <c r="J750" s="25"/>
      <c r="K750" s="25"/>
      <c r="L750" s="25"/>
      <c r="M750" s="25"/>
      <c r="N750" s="25"/>
      <c r="O750" s="25"/>
      <c r="P750" s="25"/>
      <c r="Q750" s="25"/>
      <c r="R750" s="25"/>
      <c r="S750" s="25"/>
      <c r="T750" s="25"/>
      <c r="U750" s="25"/>
      <c r="V750" s="25"/>
      <c r="W750" s="25"/>
      <c r="X750" s="25"/>
      <c r="Y750" s="25"/>
      <c r="Z750" s="25"/>
    </row>
    <row r="751" spans="1:26" ht="14.25" customHeight="1" x14ac:dyDescent="0.25">
      <c r="A751" s="26"/>
      <c r="B751" s="25"/>
      <c r="C751" s="25"/>
      <c r="D751" s="25"/>
      <c r="E751" s="26"/>
      <c r="F751" s="26"/>
      <c r="G751" s="26"/>
      <c r="H751" s="26"/>
      <c r="I751" s="26"/>
      <c r="J751" s="25"/>
      <c r="K751" s="25"/>
      <c r="L751" s="25"/>
      <c r="M751" s="25"/>
      <c r="N751" s="25"/>
      <c r="O751" s="25"/>
      <c r="P751" s="25"/>
      <c r="Q751" s="25"/>
      <c r="R751" s="25"/>
      <c r="S751" s="25"/>
      <c r="T751" s="25"/>
      <c r="U751" s="25"/>
      <c r="V751" s="25"/>
      <c r="W751" s="25"/>
      <c r="X751" s="25"/>
      <c r="Y751" s="25"/>
      <c r="Z751" s="25"/>
    </row>
    <row r="752" spans="1:26" ht="14.25" customHeight="1" x14ac:dyDescent="0.25">
      <c r="A752" s="26"/>
      <c r="B752" s="25"/>
      <c r="C752" s="25"/>
      <c r="D752" s="25"/>
      <c r="E752" s="26"/>
      <c r="F752" s="26"/>
      <c r="G752" s="26"/>
      <c r="H752" s="26"/>
      <c r="I752" s="26"/>
      <c r="J752" s="25"/>
      <c r="K752" s="25"/>
      <c r="L752" s="25"/>
      <c r="M752" s="25"/>
      <c r="N752" s="25"/>
      <c r="O752" s="25"/>
      <c r="P752" s="25"/>
      <c r="Q752" s="25"/>
      <c r="R752" s="25"/>
      <c r="S752" s="25"/>
      <c r="T752" s="25"/>
      <c r="U752" s="25"/>
      <c r="V752" s="25"/>
      <c r="W752" s="25"/>
      <c r="X752" s="25"/>
      <c r="Y752" s="25"/>
      <c r="Z752" s="25"/>
    </row>
    <row r="753" spans="1:26" ht="14.25" customHeight="1" x14ac:dyDescent="0.25">
      <c r="A753" s="26"/>
      <c r="B753" s="25"/>
      <c r="C753" s="25"/>
      <c r="D753" s="25"/>
      <c r="E753" s="26"/>
      <c r="F753" s="26"/>
      <c r="G753" s="26"/>
      <c r="H753" s="26"/>
      <c r="I753" s="26"/>
      <c r="J753" s="25"/>
      <c r="K753" s="25"/>
      <c r="L753" s="25"/>
      <c r="M753" s="25"/>
      <c r="N753" s="25"/>
      <c r="O753" s="25"/>
      <c r="P753" s="25"/>
      <c r="Q753" s="25"/>
      <c r="R753" s="25"/>
      <c r="S753" s="25"/>
      <c r="T753" s="25"/>
      <c r="U753" s="25"/>
      <c r="V753" s="25"/>
      <c r="W753" s="25"/>
      <c r="X753" s="25"/>
      <c r="Y753" s="25"/>
      <c r="Z753" s="25"/>
    </row>
    <row r="754" spans="1:26" ht="14.25" customHeight="1" x14ac:dyDescent="0.25">
      <c r="A754" s="26"/>
      <c r="B754" s="25"/>
      <c r="C754" s="25"/>
      <c r="D754" s="25"/>
      <c r="E754" s="26"/>
      <c r="F754" s="26"/>
      <c r="G754" s="26"/>
      <c r="H754" s="26"/>
      <c r="I754" s="26"/>
      <c r="J754" s="25"/>
      <c r="K754" s="25"/>
      <c r="L754" s="25"/>
      <c r="M754" s="25"/>
      <c r="N754" s="25"/>
      <c r="O754" s="25"/>
      <c r="P754" s="25"/>
      <c r="Q754" s="25"/>
      <c r="R754" s="25"/>
      <c r="S754" s="25"/>
      <c r="T754" s="25"/>
      <c r="U754" s="25"/>
      <c r="V754" s="25"/>
      <c r="W754" s="25"/>
      <c r="X754" s="25"/>
      <c r="Y754" s="25"/>
      <c r="Z754" s="25"/>
    </row>
    <row r="755" spans="1:26" ht="14.25" customHeight="1" x14ac:dyDescent="0.25">
      <c r="A755" s="26"/>
      <c r="B755" s="25"/>
      <c r="C755" s="25"/>
      <c r="D755" s="25"/>
      <c r="E755" s="26"/>
      <c r="F755" s="26"/>
      <c r="G755" s="26"/>
      <c r="H755" s="26"/>
      <c r="I755" s="26"/>
      <c r="J755" s="25"/>
      <c r="K755" s="25"/>
      <c r="L755" s="25"/>
      <c r="M755" s="25"/>
      <c r="N755" s="25"/>
      <c r="O755" s="25"/>
      <c r="P755" s="25"/>
      <c r="Q755" s="25"/>
      <c r="R755" s="25"/>
      <c r="S755" s="25"/>
      <c r="T755" s="25"/>
      <c r="U755" s="25"/>
      <c r="V755" s="25"/>
      <c r="W755" s="25"/>
      <c r="X755" s="25"/>
      <c r="Y755" s="25"/>
      <c r="Z755" s="25"/>
    </row>
    <row r="756" spans="1:26" ht="14.25" customHeight="1" x14ac:dyDescent="0.25">
      <c r="A756" s="26"/>
      <c r="B756" s="25"/>
      <c r="C756" s="25"/>
      <c r="D756" s="25"/>
      <c r="E756" s="26"/>
      <c r="F756" s="26"/>
      <c r="G756" s="26"/>
      <c r="H756" s="26"/>
      <c r="I756" s="26"/>
      <c r="J756" s="25"/>
      <c r="K756" s="25"/>
      <c r="L756" s="25"/>
      <c r="M756" s="25"/>
      <c r="N756" s="25"/>
      <c r="O756" s="25"/>
      <c r="P756" s="25"/>
      <c r="Q756" s="25"/>
      <c r="R756" s="25"/>
      <c r="S756" s="25"/>
      <c r="T756" s="25"/>
      <c r="U756" s="25"/>
      <c r="V756" s="25"/>
      <c r="W756" s="25"/>
      <c r="X756" s="25"/>
      <c r="Y756" s="25"/>
      <c r="Z756" s="25"/>
    </row>
    <row r="757" spans="1:26" ht="14.25" customHeight="1" x14ac:dyDescent="0.25">
      <c r="A757" s="26"/>
      <c r="B757" s="25"/>
      <c r="C757" s="25"/>
      <c r="D757" s="25"/>
      <c r="E757" s="26"/>
      <c r="F757" s="26"/>
      <c r="G757" s="26"/>
      <c r="H757" s="26"/>
      <c r="I757" s="26"/>
      <c r="J757" s="25"/>
      <c r="K757" s="25"/>
      <c r="L757" s="25"/>
      <c r="M757" s="25"/>
      <c r="N757" s="25"/>
      <c r="O757" s="25"/>
      <c r="P757" s="25"/>
      <c r="Q757" s="25"/>
      <c r="R757" s="25"/>
      <c r="S757" s="25"/>
      <c r="T757" s="25"/>
      <c r="U757" s="25"/>
      <c r="V757" s="25"/>
      <c r="W757" s="25"/>
      <c r="X757" s="25"/>
      <c r="Y757" s="25"/>
      <c r="Z757" s="25"/>
    </row>
    <row r="758" spans="1:26" ht="14.25" customHeight="1" x14ac:dyDescent="0.25">
      <c r="A758" s="26"/>
      <c r="B758" s="25"/>
      <c r="C758" s="25"/>
      <c r="D758" s="25"/>
      <c r="E758" s="26"/>
      <c r="F758" s="26"/>
      <c r="G758" s="26"/>
      <c r="H758" s="26"/>
      <c r="I758" s="26"/>
      <c r="J758" s="25"/>
      <c r="K758" s="25"/>
      <c r="L758" s="25"/>
      <c r="M758" s="25"/>
      <c r="N758" s="25"/>
      <c r="O758" s="25"/>
      <c r="P758" s="25"/>
      <c r="Q758" s="25"/>
      <c r="R758" s="25"/>
      <c r="S758" s="25"/>
      <c r="T758" s="25"/>
      <c r="U758" s="25"/>
      <c r="V758" s="25"/>
      <c r="W758" s="25"/>
      <c r="X758" s="25"/>
      <c r="Y758" s="25"/>
      <c r="Z758" s="25"/>
    </row>
    <row r="759" spans="1:26" ht="14.25" customHeight="1" x14ac:dyDescent="0.25">
      <c r="A759" s="26"/>
      <c r="B759" s="25"/>
      <c r="C759" s="25"/>
      <c r="D759" s="25"/>
      <c r="E759" s="26"/>
      <c r="F759" s="26"/>
      <c r="G759" s="26"/>
      <c r="H759" s="26"/>
      <c r="I759" s="26"/>
      <c r="J759" s="25"/>
      <c r="K759" s="25"/>
      <c r="L759" s="25"/>
      <c r="M759" s="25"/>
      <c r="N759" s="25"/>
      <c r="O759" s="25"/>
      <c r="P759" s="25"/>
      <c r="Q759" s="25"/>
      <c r="R759" s="25"/>
      <c r="S759" s="25"/>
      <c r="T759" s="25"/>
      <c r="U759" s="25"/>
      <c r="V759" s="25"/>
      <c r="W759" s="25"/>
      <c r="X759" s="25"/>
      <c r="Y759" s="25"/>
      <c r="Z759" s="25"/>
    </row>
    <row r="760" spans="1:26" ht="14.25" customHeight="1" x14ac:dyDescent="0.25">
      <c r="A760" s="26"/>
      <c r="B760" s="25"/>
      <c r="C760" s="25"/>
      <c r="D760" s="25"/>
      <c r="E760" s="26"/>
      <c r="F760" s="26"/>
      <c r="G760" s="26"/>
      <c r="H760" s="26"/>
      <c r="I760" s="26"/>
      <c r="J760" s="25"/>
      <c r="K760" s="25"/>
      <c r="L760" s="25"/>
      <c r="M760" s="25"/>
      <c r="N760" s="25"/>
      <c r="O760" s="25"/>
      <c r="P760" s="25"/>
      <c r="Q760" s="25"/>
      <c r="R760" s="25"/>
      <c r="S760" s="25"/>
      <c r="T760" s="25"/>
      <c r="U760" s="25"/>
      <c r="V760" s="25"/>
      <c r="W760" s="25"/>
      <c r="X760" s="25"/>
      <c r="Y760" s="25"/>
      <c r="Z760" s="25"/>
    </row>
    <row r="761" spans="1:26" ht="14.25" customHeight="1" x14ac:dyDescent="0.25">
      <c r="A761" s="26"/>
      <c r="B761" s="25"/>
      <c r="C761" s="25"/>
      <c r="D761" s="25"/>
      <c r="E761" s="26"/>
      <c r="F761" s="26"/>
      <c r="G761" s="26"/>
      <c r="H761" s="26"/>
      <c r="I761" s="26"/>
      <c r="J761" s="25"/>
      <c r="K761" s="25"/>
      <c r="L761" s="25"/>
      <c r="M761" s="25"/>
      <c r="N761" s="25"/>
      <c r="O761" s="25"/>
      <c r="P761" s="25"/>
      <c r="Q761" s="25"/>
      <c r="R761" s="25"/>
      <c r="S761" s="25"/>
      <c r="T761" s="25"/>
      <c r="U761" s="25"/>
      <c r="V761" s="25"/>
      <c r="W761" s="25"/>
      <c r="X761" s="25"/>
      <c r="Y761" s="25"/>
      <c r="Z761" s="25"/>
    </row>
    <row r="762" spans="1:26" ht="14.25" customHeight="1" x14ac:dyDescent="0.25">
      <c r="A762" s="26"/>
      <c r="B762" s="25"/>
      <c r="C762" s="25"/>
      <c r="D762" s="25"/>
      <c r="E762" s="26"/>
      <c r="F762" s="26"/>
      <c r="G762" s="26"/>
      <c r="H762" s="26"/>
      <c r="I762" s="26"/>
      <c r="J762" s="25"/>
      <c r="K762" s="25"/>
      <c r="L762" s="25"/>
      <c r="M762" s="25"/>
      <c r="N762" s="25"/>
      <c r="O762" s="25"/>
      <c r="P762" s="25"/>
      <c r="Q762" s="25"/>
      <c r="R762" s="25"/>
      <c r="S762" s="25"/>
      <c r="T762" s="25"/>
      <c r="U762" s="25"/>
      <c r="V762" s="25"/>
      <c r="W762" s="25"/>
      <c r="X762" s="25"/>
      <c r="Y762" s="25"/>
      <c r="Z762" s="25"/>
    </row>
    <row r="763" spans="1:26" ht="14.25" customHeight="1" x14ac:dyDescent="0.25">
      <c r="A763" s="26"/>
      <c r="B763" s="25"/>
      <c r="C763" s="25"/>
      <c r="D763" s="25"/>
      <c r="E763" s="26"/>
      <c r="F763" s="26"/>
      <c r="G763" s="26"/>
      <c r="H763" s="26"/>
      <c r="I763" s="26"/>
      <c r="J763" s="25"/>
      <c r="K763" s="25"/>
      <c r="L763" s="25"/>
      <c r="M763" s="25"/>
      <c r="N763" s="25"/>
      <c r="O763" s="25"/>
      <c r="P763" s="25"/>
      <c r="Q763" s="25"/>
      <c r="R763" s="25"/>
      <c r="S763" s="25"/>
      <c r="T763" s="25"/>
      <c r="U763" s="25"/>
      <c r="V763" s="25"/>
      <c r="W763" s="25"/>
      <c r="X763" s="25"/>
      <c r="Y763" s="25"/>
      <c r="Z763" s="25"/>
    </row>
    <row r="764" spans="1:26" ht="14.25" customHeight="1" x14ac:dyDescent="0.25">
      <c r="A764" s="26"/>
      <c r="B764" s="25"/>
      <c r="C764" s="25"/>
      <c r="D764" s="25"/>
      <c r="E764" s="26"/>
      <c r="F764" s="26"/>
      <c r="G764" s="26"/>
      <c r="H764" s="26"/>
      <c r="I764" s="26"/>
      <c r="J764" s="25"/>
      <c r="K764" s="25"/>
      <c r="L764" s="25"/>
      <c r="M764" s="25"/>
      <c r="N764" s="25"/>
      <c r="O764" s="25"/>
      <c r="P764" s="25"/>
      <c r="Q764" s="25"/>
      <c r="R764" s="25"/>
      <c r="S764" s="25"/>
      <c r="T764" s="25"/>
      <c r="U764" s="25"/>
      <c r="V764" s="25"/>
      <c r="W764" s="25"/>
      <c r="X764" s="25"/>
      <c r="Y764" s="25"/>
      <c r="Z764" s="25"/>
    </row>
    <row r="765" spans="1:26" ht="14.25" customHeight="1" x14ac:dyDescent="0.25">
      <c r="A765" s="26"/>
      <c r="B765" s="25"/>
      <c r="C765" s="25"/>
      <c r="D765" s="25"/>
      <c r="E765" s="26"/>
      <c r="F765" s="26"/>
      <c r="G765" s="26"/>
      <c r="H765" s="26"/>
      <c r="I765" s="26"/>
      <c r="J765" s="25"/>
      <c r="K765" s="25"/>
      <c r="L765" s="25"/>
      <c r="M765" s="25"/>
      <c r="N765" s="25"/>
      <c r="O765" s="25"/>
      <c r="P765" s="25"/>
      <c r="Q765" s="25"/>
      <c r="R765" s="25"/>
      <c r="S765" s="25"/>
      <c r="T765" s="25"/>
      <c r="U765" s="25"/>
      <c r="V765" s="25"/>
      <c r="W765" s="25"/>
      <c r="X765" s="25"/>
      <c r="Y765" s="25"/>
      <c r="Z765" s="25"/>
    </row>
    <row r="766" spans="1:26" ht="14.25" customHeight="1" x14ac:dyDescent="0.25">
      <c r="A766" s="26"/>
      <c r="B766" s="25"/>
      <c r="C766" s="25"/>
      <c r="D766" s="25"/>
      <c r="E766" s="26"/>
      <c r="F766" s="26"/>
      <c r="G766" s="26"/>
      <c r="H766" s="26"/>
      <c r="I766" s="26"/>
      <c r="J766" s="25"/>
      <c r="K766" s="25"/>
      <c r="L766" s="25"/>
      <c r="M766" s="25"/>
      <c r="N766" s="25"/>
      <c r="O766" s="25"/>
      <c r="P766" s="25"/>
      <c r="Q766" s="25"/>
      <c r="R766" s="25"/>
      <c r="S766" s="25"/>
      <c r="T766" s="25"/>
      <c r="U766" s="25"/>
      <c r="V766" s="25"/>
      <c r="W766" s="25"/>
      <c r="X766" s="25"/>
      <c r="Y766" s="25"/>
      <c r="Z766" s="25"/>
    </row>
    <row r="767" spans="1:26" ht="14.25" customHeight="1" x14ac:dyDescent="0.25">
      <c r="A767" s="26"/>
      <c r="B767" s="25"/>
      <c r="C767" s="25"/>
      <c r="D767" s="25"/>
      <c r="E767" s="26"/>
      <c r="F767" s="26"/>
      <c r="G767" s="26"/>
      <c r="H767" s="26"/>
      <c r="I767" s="26"/>
      <c r="J767" s="25"/>
      <c r="K767" s="25"/>
      <c r="L767" s="25"/>
      <c r="M767" s="25"/>
      <c r="N767" s="25"/>
      <c r="O767" s="25"/>
      <c r="P767" s="25"/>
      <c r="Q767" s="25"/>
      <c r="R767" s="25"/>
      <c r="S767" s="25"/>
      <c r="T767" s="25"/>
      <c r="U767" s="25"/>
      <c r="V767" s="25"/>
      <c r="W767" s="25"/>
      <c r="X767" s="25"/>
      <c r="Y767" s="25"/>
      <c r="Z767" s="25"/>
    </row>
    <row r="768" spans="1:26" ht="14.25" customHeight="1" x14ac:dyDescent="0.25">
      <c r="A768" s="26"/>
      <c r="B768" s="25"/>
      <c r="C768" s="25"/>
      <c r="D768" s="25"/>
      <c r="E768" s="26"/>
      <c r="F768" s="26"/>
      <c r="G768" s="26"/>
      <c r="H768" s="26"/>
      <c r="I768" s="26"/>
      <c r="J768" s="25"/>
      <c r="K768" s="25"/>
      <c r="L768" s="25"/>
      <c r="M768" s="25"/>
      <c r="N768" s="25"/>
      <c r="O768" s="25"/>
      <c r="P768" s="25"/>
      <c r="Q768" s="25"/>
      <c r="R768" s="25"/>
      <c r="S768" s="25"/>
      <c r="T768" s="25"/>
      <c r="U768" s="25"/>
      <c r="V768" s="25"/>
      <c r="W768" s="25"/>
      <c r="X768" s="25"/>
      <c r="Y768" s="25"/>
      <c r="Z768" s="25"/>
    </row>
    <row r="769" spans="1:26" ht="14.25" customHeight="1" x14ac:dyDescent="0.25">
      <c r="A769" s="26"/>
      <c r="B769" s="25"/>
      <c r="C769" s="25"/>
      <c r="D769" s="25"/>
      <c r="E769" s="26"/>
      <c r="F769" s="26"/>
      <c r="G769" s="26"/>
      <c r="H769" s="26"/>
      <c r="I769" s="26"/>
      <c r="J769" s="25"/>
      <c r="K769" s="25"/>
      <c r="L769" s="25"/>
      <c r="M769" s="25"/>
      <c r="N769" s="25"/>
      <c r="O769" s="25"/>
      <c r="P769" s="25"/>
      <c r="Q769" s="25"/>
      <c r="R769" s="25"/>
      <c r="S769" s="25"/>
      <c r="T769" s="25"/>
      <c r="U769" s="25"/>
      <c r="V769" s="25"/>
      <c r="W769" s="25"/>
      <c r="X769" s="25"/>
      <c r="Y769" s="25"/>
      <c r="Z769" s="25"/>
    </row>
    <row r="770" spans="1:26" ht="14.25" customHeight="1" x14ac:dyDescent="0.25">
      <c r="A770" s="26"/>
      <c r="B770" s="25"/>
      <c r="C770" s="25"/>
      <c r="D770" s="25"/>
      <c r="E770" s="26"/>
      <c r="F770" s="26"/>
      <c r="G770" s="26"/>
      <c r="H770" s="26"/>
      <c r="I770" s="26"/>
      <c r="J770" s="25"/>
      <c r="K770" s="25"/>
      <c r="L770" s="25"/>
      <c r="M770" s="25"/>
      <c r="N770" s="25"/>
      <c r="O770" s="25"/>
      <c r="P770" s="25"/>
      <c r="Q770" s="25"/>
      <c r="R770" s="25"/>
      <c r="S770" s="25"/>
      <c r="T770" s="25"/>
      <c r="U770" s="25"/>
      <c r="V770" s="25"/>
      <c r="W770" s="25"/>
      <c r="X770" s="25"/>
      <c r="Y770" s="25"/>
      <c r="Z770" s="25"/>
    </row>
    <row r="771" spans="1:26" ht="14.25" customHeight="1" x14ac:dyDescent="0.25">
      <c r="A771" s="26"/>
      <c r="B771" s="25"/>
      <c r="C771" s="25"/>
      <c r="D771" s="25"/>
      <c r="E771" s="26"/>
      <c r="F771" s="26"/>
      <c r="G771" s="26"/>
      <c r="H771" s="26"/>
      <c r="I771" s="26"/>
      <c r="J771" s="25"/>
      <c r="K771" s="25"/>
      <c r="L771" s="25"/>
      <c r="M771" s="25"/>
      <c r="N771" s="25"/>
      <c r="O771" s="25"/>
      <c r="P771" s="25"/>
      <c r="Q771" s="25"/>
      <c r="R771" s="25"/>
      <c r="S771" s="25"/>
      <c r="T771" s="25"/>
      <c r="U771" s="25"/>
      <c r="V771" s="25"/>
      <c r="W771" s="25"/>
      <c r="X771" s="25"/>
      <c r="Y771" s="25"/>
      <c r="Z771" s="25"/>
    </row>
    <row r="772" spans="1:26" ht="14.25" customHeight="1" x14ac:dyDescent="0.25">
      <c r="A772" s="26"/>
      <c r="B772" s="25"/>
      <c r="C772" s="25"/>
      <c r="D772" s="25"/>
      <c r="E772" s="26"/>
      <c r="F772" s="26"/>
      <c r="G772" s="26"/>
      <c r="H772" s="26"/>
      <c r="I772" s="26"/>
      <c r="J772" s="25"/>
      <c r="K772" s="25"/>
      <c r="L772" s="25"/>
      <c r="M772" s="25"/>
      <c r="N772" s="25"/>
      <c r="O772" s="25"/>
      <c r="P772" s="25"/>
      <c r="Q772" s="25"/>
      <c r="R772" s="25"/>
      <c r="S772" s="25"/>
      <c r="T772" s="25"/>
      <c r="U772" s="25"/>
      <c r="V772" s="25"/>
      <c r="W772" s="25"/>
      <c r="X772" s="25"/>
      <c r="Y772" s="25"/>
      <c r="Z772" s="25"/>
    </row>
    <row r="773" spans="1:26" ht="14.25" customHeight="1" x14ac:dyDescent="0.25">
      <c r="A773" s="26"/>
      <c r="B773" s="25"/>
      <c r="C773" s="25"/>
      <c r="D773" s="25"/>
      <c r="E773" s="26"/>
      <c r="F773" s="26"/>
      <c r="G773" s="26"/>
      <c r="H773" s="26"/>
      <c r="I773" s="26"/>
      <c r="J773" s="25"/>
      <c r="K773" s="25"/>
      <c r="L773" s="25"/>
      <c r="M773" s="25"/>
      <c r="N773" s="25"/>
      <c r="O773" s="25"/>
      <c r="P773" s="25"/>
      <c r="Q773" s="25"/>
      <c r="R773" s="25"/>
      <c r="S773" s="25"/>
      <c r="T773" s="25"/>
      <c r="U773" s="25"/>
      <c r="V773" s="25"/>
      <c r="W773" s="25"/>
      <c r="X773" s="25"/>
      <c r="Y773" s="25"/>
      <c r="Z773" s="25"/>
    </row>
    <row r="774" spans="1:26" ht="14.25" customHeight="1" x14ac:dyDescent="0.25">
      <c r="A774" s="26"/>
      <c r="B774" s="25"/>
      <c r="C774" s="25"/>
      <c r="D774" s="25"/>
      <c r="E774" s="26"/>
      <c r="F774" s="26"/>
      <c r="G774" s="26"/>
      <c r="H774" s="26"/>
      <c r="I774" s="26"/>
      <c r="J774" s="25"/>
      <c r="K774" s="25"/>
      <c r="L774" s="25"/>
      <c r="M774" s="25"/>
      <c r="N774" s="25"/>
      <c r="O774" s="25"/>
      <c r="P774" s="25"/>
      <c r="Q774" s="25"/>
      <c r="R774" s="25"/>
      <c r="S774" s="25"/>
      <c r="T774" s="25"/>
      <c r="U774" s="25"/>
      <c r="V774" s="25"/>
      <c r="W774" s="25"/>
      <c r="X774" s="25"/>
      <c r="Y774" s="25"/>
      <c r="Z774" s="25"/>
    </row>
    <row r="775" spans="1:26" ht="14.25" customHeight="1" x14ac:dyDescent="0.25">
      <c r="A775" s="26"/>
      <c r="B775" s="25"/>
      <c r="C775" s="25"/>
      <c r="D775" s="25"/>
      <c r="E775" s="26"/>
      <c r="F775" s="26"/>
      <c r="G775" s="26"/>
      <c r="H775" s="26"/>
      <c r="I775" s="26"/>
      <c r="J775" s="25"/>
      <c r="K775" s="25"/>
      <c r="L775" s="25"/>
      <c r="M775" s="25"/>
      <c r="N775" s="25"/>
      <c r="O775" s="25"/>
      <c r="P775" s="25"/>
      <c r="Q775" s="25"/>
      <c r="R775" s="25"/>
      <c r="S775" s="25"/>
      <c r="T775" s="25"/>
      <c r="U775" s="25"/>
      <c r="V775" s="25"/>
      <c r="W775" s="25"/>
      <c r="X775" s="25"/>
      <c r="Y775" s="25"/>
      <c r="Z775" s="25"/>
    </row>
    <row r="776" spans="1:26" ht="14.25" customHeight="1" x14ac:dyDescent="0.25">
      <c r="A776" s="26"/>
      <c r="B776" s="25"/>
      <c r="C776" s="25"/>
      <c r="D776" s="25"/>
      <c r="E776" s="26"/>
      <c r="F776" s="26"/>
      <c r="G776" s="26"/>
      <c r="H776" s="26"/>
      <c r="I776" s="26"/>
      <c r="J776" s="25"/>
      <c r="K776" s="25"/>
      <c r="L776" s="25"/>
      <c r="M776" s="25"/>
      <c r="N776" s="25"/>
      <c r="O776" s="25"/>
      <c r="P776" s="25"/>
      <c r="Q776" s="25"/>
      <c r="R776" s="25"/>
      <c r="S776" s="25"/>
      <c r="T776" s="25"/>
      <c r="U776" s="25"/>
      <c r="V776" s="25"/>
      <c r="W776" s="25"/>
      <c r="X776" s="25"/>
      <c r="Y776" s="25"/>
      <c r="Z776" s="25"/>
    </row>
    <row r="777" spans="1:26" ht="14.25" customHeight="1" x14ac:dyDescent="0.25">
      <c r="A777" s="26"/>
      <c r="B777" s="25"/>
      <c r="C777" s="25"/>
      <c r="D777" s="25"/>
      <c r="E777" s="26"/>
      <c r="F777" s="26"/>
      <c r="G777" s="26"/>
      <c r="H777" s="26"/>
      <c r="I777" s="26"/>
      <c r="J777" s="25"/>
      <c r="K777" s="25"/>
      <c r="L777" s="25"/>
      <c r="M777" s="25"/>
      <c r="N777" s="25"/>
      <c r="O777" s="25"/>
      <c r="P777" s="25"/>
      <c r="Q777" s="25"/>
      <c r="R777" s="25"/>
      <c r="S777" s="25"/>
      <c r="T777" s="25"/>
      <c r="U777" s="25"/>
      <c r="V777" s="25"/>
      <c r="W777" s="25"/>
      <c r="X777" s="25"/>
      <c r="Y777" s="25"/>
      <c r="Z777" s="25"/>
    </row>
    <row r="778" spans="1:26" ht="14.25" customHeight="1" x14ac:dyDescent="0.25">
      <c r="A778" s="26"/>
      <c r="B778" s="25"/>
      <c r="C778" s="25"/>
      <c r="D778" s="25"/>
      <c r="E778" s="26"/>
      <c r="F778" s="26"/>
      <c r="G778" s="26"/>
      <c r="H778" s="26"/>
      <c r="I778" s="26"/>
      <c r="J778" s="25"/>
      <c r="K778" s="25"/>
      <c r="L778" s="25"/>
      <c r="M778" s="25"/>
      <c r="N778" s="25"/>
      <c r="O778" s="25"/>
      <c r="P778" s="25"/>
      <c r="Q778" s="25"/>
      <c r="R778" s="25"/>
      <c r="S778" s="25"/>
      <c r="T778" s="25"/>
      <c r="U778" s="25"/>
      <c r="V778" s="25"/>
      <c r="W778" s="25"/>
      <c r="X778" s="25"/>
      <c r="Y778" s="25"/>
      <c r="Z778" s="25"/>
    </row>
    <row r="779" spans="1:26" ht="14.25" customHeight="1" x14ac:dyDescent="0.25">
      <c r="A779" s="26"/>
      <c r="B779" s="25"/>
      <c r="C779" s="25"/>
      <c r="D779" s="25"/>
      <c r="E779" s="26"/>
      <c r="F779" s="26"/>
      <c r="G779" s="26"/>
      <c r="H779" s="26"/>
      <c r="I779" s="26"/>
      <c r="J779" s="25"/>
      <c r="K779" s="25"/>
      <c r="L779" s="25"/>
      <c r="M779" s="25"/>
      <c r="N779" s="25"/>
      <c r="O779" s="25"/>
      <c r="P779" s="25"/>
      <c r="Q779" s="25"/>
      <c r="R779" s="25"/>
      <c r="S779" s="25"/>
      <c r="T779" s="25"/>
      <c r="U779" s="25"/>
      <c r="V779" s="25"/>
      <c r="W779" s="25"/>
      <c r="X779" s="25"/>
      <c r="Y779" s="25"/>
      <c r="Z779" s="25"/>
    </row>
    <row r="780" spans="1:26" ht="14.25" customHeight="1" x14ac:dyDescent="0.25">
      <c r="A780" s="26"/>
      <c r="B780" s="25"/>
      <c r="C780" s="25"/>
      <c r="D780" s="25"/>
      <c r="E780" s="26"/>
      <c r="F780" s="26"/>
      <c r="G780" s="26"/>
      <c r="H780" s="26"/>
      <c r="I780" s="26"/>
      <c r="J780" s="25"/>
      <c r="K780" s="25"/>
      <c r="L780" s="25"/>
      <c r="M780" s="25"/>
      <c r="N780" s="25"/>
      <c r="O780" s="25"/>
      <c r="P780" s="25"/>
      <c r="Q780" s="25"/>
      <c r="R780" s="25"/>
      <c r="S780" s="25"/>
      <c r="T780" s="25"/>
      <c r="U780" s="25"/>
      <c r="V780" s="25"/>
      <c r="W780" s="25"/>
      <c r="X780" s="25"/>
      <c r="Y780" s="25"/>
      <c r="Z780" s="25"/>
    </row>
    <row r="781" spans="1:26" ht="14.25" customHeight="1" x14ac:dyDescent="0.25">
      <c r="A781" s="26"/>
      <c r="B781" s="25"/>
      <c r="C781" s="25"/>
      <c r="D781" s="25"/>
      <c r="E781" s="26"/>
      <c r="F781" s="26"/>
      <c r="G781" s="26"/>
      <c r="H781" s="26"/>
      <c r="I781" s="26"/>
      <c r="J781" s="25"/>
      <c r="K781" s="25"/>
      <c r="L781" s="25"/>
      <c r="M781" s="25"/>
      <c r="N781" s="25"/>
      <c r="O781" s="25"/>
      <c r="P781" s="25"/>
      <c r="Q781" s="25"/>
      <c r="R781" s="25"/>
      <c r="S781" s="25"/>
      <c r="T781" s="25"/>
      <c r="U781" s="25"/>
      <c r="V781" s="25"/>
      <c r="W781" s="25"/>
      <c r="X781" s="25"/>
      <c r="Y781" s="25"/>
      <c r="Z781" s="25"/>
    </row>
    <row r="782" spans="1:26" ht="14.25" customHeight="1" x14ac:dyDescent="0.25">
      <c r="A782" s="26"/>
      <c r="B782" s="25"/>
      <c r="C782" s="25"/>
      <c r="D782" s="25"/>
      <c r="E782" s="26"/>
      <c r="F782" s="26"/>
      <c r="G782" s="26"/>
      <c r="H782" s="26"/>
      <c r="I782" s="26"/>
      <c r="J782" s="25"/>
      <c r="K782" s="25"/>
      <c r="L782" s="25"/>
      <c r="M782" s="25"/>
      <c r="N782" s="25"/>
      <c r="O782" s="25"/>
      <c r="P782" s="25"/>
      <c r="Q782" s="25"/>
      <c r="R782" s="25"/>
      <c r="S782" s="25"/>
      <c r="T782" s="25"/>
      <c r="U782" s="25"/>
      <c r="V782" s="25"/>
      <c r="W782" s="25"/>
      <c r="X782" s="25"/>
      <c r="Y782" s="25"/>
      <c r="Z782" s="25"/>
    </row>
    <row r="783" spans="1:26" ht="14.25" customHeight="1" x14ac:dyDescent="0.25">
      <c r="A783" s="26"/>
      <c r="B783" s="25"/>
      <c r="C783" s="25"/>
      <c r="D783" s="25"/>
      <c r="E783" s="26"/>
      <c r="F783" s="26"/>
      <c r="G783" s="26"/>
      <c r="H783" s="26"/>
      <c r="I783" s="26"/>
      <c r="J783" s="25"/>
      <c r="K783" s="25"/>
      <c r="L783" s="25"/>
      <c r="M783" s="25"/>
      <c r="N783" s="25"/>
      <c r="O783" s="25"/>
      <c r="P783" s="25"/>
      <c r="Q783" s="25"/>
      <c r="R783" s="25"/>
      <c r="S783" s="25"/>
      <c r="T783" s="25"/>
      <c r="U783" s="25"/>
      <c r="V783" s="25"/>
      <c r="W783" s="25"/>
      <c r="X783" s="25"/>
      <c r="Y783" s="25"/>
      <c r="Z783" s="25"/>
    </row>
    <row r="784" spans="1:26" ht="14.25" customHeight="1" x14ac:dyDescent="0.25">
      <c r="A784" s="26"/>
      <c r="B784" s="25"/>
      <c r="C784" s="25"/>
      <c r="D784" s="25"/>
      <c r="E784" s="26"/>
      <c r="F784" s="26"/>
      <c r="G784" s="26"/>
      <c r="H784" s="26"/>
      <c r="I784" s="26"/>
      <c r="J784" s="25"/>
      <c r="K784" s="25"/>
      <c r="L784" s="25"/>
      <c r="M784" s="25"/>
      <c r="N784" s="25"/>
      <c r="O784" s="25"/>
      <c r="P784" s="25"/>
      <c r="Q784" s="25"/>
      <c r="R784" s="25"/>
      <c r="S784" s="25"/>
      <c r="T784" s="25"/>
      <c r="U784" s="25"/>
      <c r="V784" s="25"/>
      <c r="W784" s="25"/>
      <c r="X784" s="25"/>
      <c r="Y784" s="25"/>
      <c r="Z784" s="25"/>
    </row>
    <row r="785" spans="1:26" ht="14.25" customHeight="1" x14ac:dyDescent="0.25">
      <c r="A785" s="26"/>
      <c r="B785" s="25"/>
      <c r="C785" s="25"/>
      <c r="D785" s="25"/>
      <c r="E785" s="26"/>
      <c r="F785" s="26"/>
      <c r="G785" s="26"/>
      <c r="H785" s="26"/>
      <c r="I785" s="26"/>
      <c r="J785" s="25"/>
      <c r="K785" s="25"/>
      <c r="L785" s="25"/>
      <c r="M785" s="25"/>
      <c r="N785" s="25"/>
      <c r="O785" s="25"/>
      <c r="P785" s="25"/>
      <c r="Q785" s="25"/>
      <c r="R785" s="25"/>
      <c r="S785" s="25"/>
      <c r="T785" s="25"/>
      <c r="U785" s="25"/>
      <c r="V785" s="25"/>
      <c r="W785" s="25"/>
      <c r="X785" s="25"/>
      <c r="Y785" s="25"/>
      <c r="Z785" s="25"/>
    </row>
    <row r="786" spans="1:26" ht="14.25" customHeight="1" x14ac:dyDescent="0.25">
      <c r="A786" s="26"/>
      <c r="B786" s="25"/>
      <c r="C786" s="25"/>
      <c r="D786" s="25"/>
      <c r="E786" s="26"/>
      <c r="F786" s="26"/>
      <c r="G786" s="26"/>
      <c r="H786" s="26"/>
      <c r="I786" s="26"/>
      <c r="J786" s="25"/>
      <c r="K786" s="25"/>
      <c r="L786" s="25"/>
      <c r="M786" s="25"/>
      <c r="N786" s="25"/>
      <c r="O786" s="25"/>
      <c r="P786" s="25"/>
      <c r="Q786" s="25"/>
      <c r="R786" s="25"/>
      <c r="S786" s="25"/>
      <c r="T786" s="25"/>
      <c r="U786" s="25"/>
      <c r="V786" s="25"/>
      <c r="W786" s="25"/>
      <c r="X786" s="25"/>
      <c r="Y786" s="25"/>
      <c r="Z786" s="25"/>
    </row>
    <row r="787" spans="1:26" ht="14.25" customHeight="1" x14ac:dyDescent="0.25">
      <c r="A787" s="26"/>
      <c r="B787" s="25"/>
      <c r="C787" s="25"/>
      <c r="D787" s="25"/>
      <c r="E787" s="26"/>
      <c r="F787" s="26"/>
      <c r="G787" s="26"/>
      <c r="H787" s="26"/>
      <c r="I787" s="26"/>
      <c r="J787" s="25"/>
      <c r="K787" s="25"/>
      <c r="L787" s="25"/>
      <c r="M787" s="25"/>
      <c r="N787" s="25"/>
      <c r="O787" s="25"/>
      <c r="P787" s="25"/>
      <c r="Q787" s="25"/>
      <c r="R787" s="25"/>
      <c r="S787" s="25"/>
      <c r="T787" s="25"/>
      <c r="U787" s="25"/>
      <c r="V787" s="25"/>
      <c r="W787" s="25"/>
      <c r="X787" s="25"/>
      <c r="Y787" s="25"/>
      <c r="Z787" s="25"/>
    </row>
    <row r="788" spans="1:26" ht="14.25" customHeight="1" x14ac:dyDescent="0.25">
      <c r="A788" s="26"/>
      <c r="B788" s="25"/>
      <c r="C788" s="25"/>
      <c r="D788" s="25"/>
      <c r="E788" s="26"/>
      <c r="F788" s="26"/>
      <c r="G788" s="26"/>
      <c r="H788" s="26"/>
      <c r="I788" s="26"/>
      <c r="J788" s="25"/>
      <c r="K788" s="25"/>
      <c r="L788" s="25"/>
      <c r="M788" s="25"/>
      <c r="N788" s="25"/>
      <c r="O788" s="25"/>
      <c r="P788" s="25"/>
      <c r="Q788" s="25"/>
      <c r="R788" s="25"/>
      <c r="S788" s="25"/>
      <c r="T788" s="25"/>
      <c r="U788" s="25"/>
      <c r="V788" s="25"/>
      <c r="W788" s="25"/>
      <c r="X788" s="25"/>
      <c r="Y788" s="25"/>
      <c r="Z788" s="25"/>
    </row>
    <row r="789" spans="1:26" ht="14.25" customHeight="1" x14ac:dyDescent="0.25">
      <c r="A789" s="26"/>
      <c r="B789" s="25"/>
      <c r="C789" s="25"/>
      <c r="D789" s="25"/>
      <c r="E789" s="26"/>
      <c r="F789" s="26"/>
      <c r="G789" s="26"/>
      <c r="H789" s="26"/>
      <c r="I789" s="26"/>
      <c r="J789" s="25"/>
      <c r="K789" s="25"/>
      <c r="L789" s="25"/>
      <c r="M789" s="25"/>
      <c r="N789" s="25"/>
      <c r="O789" s="25"/>
      <c r="P789" s="25"/>
      <c r="Q789" s="25"/>
      <c r="R789" s="25"/>
      <c r="S789" s="25"/>
      <c r="T789" s="25"/>
      <c r="U789" s="25"/>
      <c r="V789" s="25"/>
      <c r="W789" s="25"/>
      <c r="X789" s="25"/>
      <c r="Y789" s="25"/>
      <c r="Z789" s="25"/>
    </row>
    <row r="790" spans="1:26" ht="14.25" customHeight="1" x14ac:dyDescent="0.25">
      <c r="A790" s="26"/>
      <c r="B790" s="25"/>
      <c r="C790" s="25"/>
      <c r="D790" s="25"/>
      <c r="E790" s="26"/>
      <c r="F790" s="26"/>
      <c r="G790" s="26"/>
      <c r="H790" s="26"/>
      <c r="I790" s="26"/>
      <c r="J790" s="25"/>
      <c r="K790" s="25"/>
      <c r="L790" s="25"/>
      <c r="M790" s="25"/>
      <c r="N790" s="25"/>
      <c r="O790" s="25"/>
      <c r="P790" s="25"/>
      <c r="Q790" s="25"/>
      <c r="R790" s="25"/>
      <c r="S790" s="25"/>
      <c r="T790" s="25"/>
      <c r="U790" s="25"/>
      <c r="V790" s="25"/>
      <c r="W790" s="25"/>
      <c r="X790" s="25"/>
      <c r="Y790" s="25"/>
      <c r="Z790" s="25"/>
    </row>
    <row r="791" spans="1:26" ht="14.25" customHeight="1" x14ac:dyDescent="0.25">
      <c r="A791" s="26"/>
      <c r="B791" s="25"/>
      <c r="C791" s="25"/>
      <c r="D791" s="25"/>
      <c r="E791" s="26"/>
      <c r="F791" s="26"/>
      <c r="G791" s="26"/>
      <c r="H791" s="26"/>
      <c r="I791" s="26"/>
      <c r="J791" s="25"/>
      <c r="K791" s="25"/>
      <c r="L791" s="25"/>
      <c r="M791" s="25"/>
      <c r="N791" s="25"/>
      <c r="O791" s="25"/>
      <c r="P791" s="25"/>
      <c r="Q791" s="25"/>
      <c r="R791" s="25"/>
      <c r="S791" s="25"/>
      <c r="T791" s="25"/>
      <c r="U791" s="25"/>
      <c r="V791" s="25"/>
      <c r="W791" s="25"/>
      <c r="X791" s="25"/>
      <c r="Y791" s="25"/>
      <c r="Z791" s="25"/>
    </row>
    <row r="792" spans="1:26" ht="14.25" customHeight="1" x14ac:dyDescent="0.25">
      <c r="A792" s="26"/>
      <c r="B792" s="25"/>
      <c r="C792" s="25"/>
      <c r="D792" s="25"/>
      <c r="E792" s="26"/>
      <c r="F792" s="26"/>
      <c r="G792" s="26"/>
      <c r="H792" s="26"/>
      <c r="I792" s="26"/>
      <c r="J792" s="25"/>
      <c r="K792" s="25"/>
      <c r="L792" s="25"/>
      <c r="M792" s="25"/>
      <c r="N792" s="25"/>
      <c r="O792" s="25"/>
      <c r="P792" s="25"/>
      <c r="Q792" s="25"/>
      <c r="R792" s="25"/>
      <c r="S792" s="25"/>
      <c r="T792" s="25"/>
      <c r="U792" s="25"/>
      <c r="V792" s="25"/>
      <c r="W792" s="25"/>
      <c r="X792" s="25"/>
      <c r="Y792" s="25"/>
      <c r="Z792" s="25"/>
    </row>
    <row r="793" spans="1:26" ht="14.25" customHeight="1" x14ac:dyDescent="0.25">
      <c r="A793" s="26"/>
      <c r="B793" s="25"/>
      <c r="C793" s="25"/>
      <c r="D793" s="25"/>
      <c r="E793" s="26"/>
      <c r="F793" s="26"/>
      <c r="G793" s="26"/>
      <c r="H793" s="26"/>
      <c r="I793" s="26"/>
      <c r="J793" s="25"/>
      <c r="K793" s="25"/>
      <c r="L793" s="25"/>
      <c r="M793" s="25"/>
      <c r="N793" s="25"/>
      <c r="O793" s="25"/>
      <c r="P793" s="25"/>
      <c r="Q793" s="25"/>
      <c r="R793" s="25"/>
      <c r="S793" s="25"/>
      <c r="T793" s="25"/>
      <c r="U793" s="25"/>
      <c r="V793" s="25"/>
      <c r="W793" s="25"/>
      <c r="X793" s="25"/>
      <c r="Y793" s="25"/>
      <c r="Z793" s="25"/>
    </row>
    <row r="794" spans="1:26" ht="14.25" customHeight="1" x14ac:dyDescent="0.25">
      <c r="A794" s="26"/>
      <c r="B794" s="25"/>
      <c r="C794" s="25"/>
      <c r="D794" s="25"/>
      <c r="E794" s="26"/>
      <c r="F794" s="26"/>
      <c r="G794" s="26"/>
      <c r="H794" s="26"/>
      <c r="I794" s="26"/>
      <c r="J794" s="25"/>
      <c r="K794" s="25"/>
      <c r="L794" s="25"/>
      <c r="M794" s="25"/>
      <c r="N794" s="25"/>
      <c r="O794" s="25"/>
      <c r="P794" s="25"/>
      <c r="Q794" s="25"/>
      <c r="R794" s="25"/>
      <c r="S794" s="25"/>
      <c r="T794" s="25"/>
      <c r="U794" s="25"/>
      <c r="V794" s="25"/>
      <c r="W794" s="25"/>
      <c r="X794" s="25"/>
      <c r="Y794" s="25"/>
      <c r="Z794" s="25"/>
    </row>
    <row r="795" spans="1:26" ht="14.25" customHeight="1" x14ac:dyDescent="0.25">
      <c r="A795" s="26"/>
      <c r="B795" s="25"/>
      <c r="C795" s="25"/>
      <c r="D795" s="25"/>
      <c r="E795" s="26"/>
      <c r="F795" s="26"/>
      <c r="G795" s="26"/>
      <c r="H795" s="26"/>
      <c r="I795" s="26"/>
      <c r="J795" s="25"/>
      <c r="K795" s="25"/>
      <c r="L795" s="25"/>
      <c r="M795" s="25"/>
      <c r="N795" s="25"/>
      <c r="O795" s="25"/>
      <c r="P795" s="25"/>
      <c r="Q795" s="25"/>
      <c r="R795" s="25"/>
      <c r="S795" s="25"/>
      <c r="T795" s="25"/>
      <c r="U795" s="25"/>
      <c r="V795" s="25"/>
      <c r="W795" s="25"/>
      <c r="X795" s="25"/>
      <c r="Y795" s="25"/>
      <c r="Z795" s="25"/>
    </row>
    <row r="796" spans="1:26" ht="14.25" customHeight="1" x14ac:dyDescent="0.25">
      <c r="A796" s="26"/>
      <c r="B796" s="25"/>
      <c r="C796" s="25"/>
      <c r="D796" s="25"/>
      <c r="E796" s="26"/>
      <c r="F796" s="26"/>
      <c r="G796" s="26"/>
      <c r="H796" s="26"/>
      <c r="I796" s="26"/>
      <c r="J796" s="25"/>
      <c r="K796" s="25"/>
      <c r="L796" s="25"/>
      <c r="M796" s="25"/>
      <c r="N796" s="25"/>
      <c r="O796" s="25"/>
      <c r="P796" s="25"/>
      <c r="Q796" s="25"/>
      <c r="R796" s="25"/>
      <c r="S796" s="25"/>
      <c r="T796" s="25"/>
      <c r="U796" s="25"/>
      <c r="V796" s="25"/>
      <c r="W796" s="25"/>
      <c r="X796" s="25"/>
      <c r="Y796" s="25"/>
      <c r="Z796" s="25"/>
    </row>
    <row r="797" spans="1:26" ht="14.25" customHeight="1" x14ac:dyDescent="0.25">
      <c r="A797" s="26"/>
      <c r="B797" s="25"/>
      <c r="C797" s="25"/>
      <c r="D797" s="25"/>
      <c r="E797" s="26"/>
      <c r="F797" s="26"/>
      <c r="G797" s="26"/>
      <c r="H797" s="26"/>
      <c r="I797" s="26"/>
      <c r="J797" s="25"/>
      <c r="K797" s="25"/>
      <c r="L797" s="25"/>
      <c r="M797" s="25"/>
      <c r="N797" s="25"/>
      <c r="O797" s="25"/>
      <c r="P797" s="25"/>
      <c r="Q797" s="25"/>
      <c r="R797" s="25"/>
      <c r="S797" s="25"/>
      <c r="T797" s="25"/>
      <c r="U797" s="25"/>
      <c r="V797" s="25"/>
      <c r="W797" s="25"/>
      <c r="X797" s="25"/>
      <c r="Y797" s="25"/>
      <c r="Z797" s="25"/>
    </row>
    <row r="798" spans="1:26" ht="14.25" customHeight="1" x14ac:dyDescent="0.25">
      <c r="A798" s="26"/>
      <c r="B798" s="25"/>
      <c r="C798" s="25"/>
      <c r="D798" s="25"/>
      <c r="E798" s="26"/>
      <c r="F798" s="26"/>
      <c r="G798" s="26"/>
      <c r="H798" s="26"/>
      <c r="I798" s="26"/>
      <c r="J798" s="25"/>
      <c r="K798" s="25"/>
      <c r="L798" s="25"/>
      <c r="M798" s="25"/>
      <c r="N798" s="25"/>
      <c r="O798" s="25"/>
      <c r="P798" s="25"/>
      <c r="Q798" s="25"/>
      <c r="R798" s="25"/>
      <c r="S798" s="25"/>
      <c r="T798" s="25"/>
      <c r="U798" s="25"/>
      <c r="V798" s="25"/>
      <c r="W798" s="25"/>
      <c r="X798" s="25"/>
      <c r="Y798" s="25"/>
      <c r="Z798" s="25"/>
    </row>
    <row r="799" spans="1:26" ht="14.25" customHeight="1" x14ac:dyDescent="0.25">
      <c r="A799" s="26"/>
      <c r="B799" s="25"/>
      <c r="C799" s="25"/>
      <c r="D799" s="25"/>
      <c r="E799" s="26"/>
      <c r="F799" s="26"/>
      <c r="G799" s="26"/>
      <c r="H799" s="26"/>
      <c r="I799" s="26"/>
      <c r="J799" s="25"/>
      <c r="K799" s="25"/>
      <c r="L799" s="25"/>
      <c r="M799" s="25"/>
      <c r="N799" s="25"/>
      <c r="O799" s="25"/>
      <c r="P799" s="25"/>
      <c r="Q799" s="25"/>
      <c r="R799" s="25"/>
      <c r="S799" s="25"/>
      <c r="T799" s="25"/>
      <c r="U799" s="25"/>
      <c r="V799" s="25"/>
      <c r="W799" s="25"/>
      <c r="X799" s="25"/>
      <c r="Y799" s="25"/>
      <c r="Z799" s="25"/>
    </row>
    <row r="800" spans="1:26" ht="14.25" customHeight="1" x14ac:dyDescent="0.25">
      <c r="A800" s="26"/>
      <c r="B800" s="25"/>
      <c r="C800" s="25"/>
      <c r="D800" s="25"/>
      <c r="E800" s="26"/>
      <c r="F800" s="26"/>
      <c r="G800" s="26"/>
      <c r="H800" s="26"/>
      <c r="I800" s="26"/>
      <c r="J800" s="25"/>
      <c r="K800" s="25"/>
      <c r="L800" s="25"/>
      <c r="M800" s="25"/>
      <c r="N800" s="25"/>
      <c r="O800" s="25"/>
      <c r="P800" s="25"/>
      <c r="Q800" s="25"/>
      <c r="R800" s="25"/>
      <c r="S800" s="25"/>
      <c r="T800" s="25"/>
      <c r="U800" s="25"/>
      <c r="V800" s="25"/>
      <c r="W800" s="25"/>
      <c r="X800" s="25"/>
      <c r="Y800" s="25"/>
      <c r="Z800" s="25"/>
    </row>
    <row r="801" spans="1:26" ht="14.25" customHeight="1" x14ac:dyDescent="0.25">
      <c r="A801" s="26"/>
      <c r="B801" s="25"/>
      <c r="C801" s="25"/>
      <c r="D801" s="25"/>
      <c r="E801" s="26"/>
      <c r="F801" s="26"/>
      <c r="G801" s="26"/>
      <c r="H801" s="26"/>
      <c r="I801" s="26"/>
      <c r="J801" s="25"/>
      <c r="K801" s="25"/>
      <c r="L801" s="25"/>
      <c r="M801" s="25"/>
      <c r="N801" s="25"/>
      <c r="O801" s="25"/>
      <c r="P801" s="25"/>
      <c r="Q801" s="25"/>
      <c r="R801" s="25"/>
      <c r="S801" s="25"/>
      <c r="T801" s="25"/>
      <c r="U801" s="25"/>
      <c r="V801" s="25"/>
      <c r="W801" s="25"/>
      <c r="X801" s="25"/>
      <c r="Y801" s="25"/>
      <c r="Z801" s="25"/>
    </row>
    <row r="802" spans="1:26" ht="14.25" customHeight="1" x14ac:dyDescent="0.25">
      <c r="A802" s="26"/>
      <c r="B802" s="25"/>
      <c r="C802" s="25"/>
      <c r="D802" s="25"/>
      <c r="E802" s="26"/>
      <c r="F802" s="26"/>
      <c r="G802" s="26"/>
      <c r="H802" s="26"/>
      <c r="I802" s="26"/>
      <c r="J802" s="25"/>
      <c r="K802" s="25"/>
      <c r="L802" s="25"/>
      <c r="M802" s="25"/>
      <c r="N802" s="25"/>
      <c r="O802" s="25"/>
      <c r="P802" s="25"/>
      <c r="Q802" s="25"/>
      <c r="R802" s="25"/>
      <c r="S802" s="25"/>
      <c r="T802" s="25"/>
      <c r="U802" s="25"/>
      <c r="V802" s="25"/>
      <c r="W802" s="25"/>
      <c r="X802" s="25"/>
      <c r="Y802" s="25"/>
      <c r="Z802" s="25"/>
    </row>
    <row r="803" spans="1:26" ht="14.25" customHeight="1" x14ac:dyDescent="0.25">
      <c r="A803" s="26"/>
      <c r="B803" s="25"/>
      <c r="C803" s="25"/>
      <c r="D803" s="25"/>
      <c r="E803" s="26"/>
      <c r="F803" s="26"/>
      <c r="G803" s="26"/>
      <c r="H803" s="26"/>
      <c r="I803" s="26"/>
      <c r="J803" s="25"/>
      <c r="K803" s="25"/>
      <c r="L803" s="25"/>
      <c r="M803" s="25"/>
      <c r="N803" s="25"/>
      <c r="O803" s="25"/>
      <c r="P803" s="25"/>
      <c r="Q803" s="25"/>
      <c r="R803" s="25"/>
      <c r="S803" s="25"/>
      <c r="T803" s="25"/>
      <c r="U803" s="25"/>
      <c r="V803" s="25"/>
      <c r="W803" s="25"/>
      <c r="X803" s="25"/>
      <c r="Y803" s="25"/>
      <c r="Z803" s="25"/>
    </row>
    <row r="804" spans="1:26" ht="14.25" customHeight="1" x14ac:dyDescent="0.25">
      <c r="A804" s="26"/>
      <c r="B804" s="25"/>
      <c r="C804" s="25"/>
      <c r="D804" s="25"/>
      <c r="E804" s="26"/>
      <c r="F804" s="26"/>
      <c r="G804" s="26"/>
      <c r="H804" s="26"/>
      <c r="I804" s="26"/>
      <c r="J804" s="25"/>
      <c r="K804" s="25"/>
      <c r="L804" s="25"/>
      <c r="M804" s="25"/>
      <c r="N804" s="25"/>
      <c r="O804" s="25"/>
      <c r="P804" s="25"/>
      <c r="Q804" s="25"/>
      <c r="R804" s="25"/>
      <c r="S804" s="25"/>
      <c r="T804" s="25"/>
      <c r="U804" s="25"/>
      <c r="V804" s="25"/>
      <c r="W804" s="25"/>
      <c r="X804" s="25"/>
      <c r="Y804" s="25"/>
      <c r="Z804" s="25"/>
    </row>
    <row r="805" spans="1:26" ht="14.25" customHeight="1" x14ac:dyDescent="0.25">
      <c r="A805" s="26"/>
      <c r="B805" s="25"/>
      <c r="C805" s="25"/>
      <c r="D805" s="25"/>
      <c r="E805" s="26"/>
      <c r="F805" s="26"/>
      <c r="G805" s="26"/>
      <c r="H805" s="26"/>
      <c r="I805" s="26"/>
      <c r="J805" s="25"/>
      <c r="K805" s="25"/>
      <c r="L805" s="25"/>
      <c r="M805" s="25"/>
      <c r="N805" s="25"/>
      <c r="O805" s="25"/>
      <c r="P805" s="25"/>
      <c r="Q805" s="25"/>
      <c r="R805" s="25"/>
      <c r="S805" s="25"/>
      <c r="T805" s="25"/>
      <c r="U805" s="25"/>
      <c r="V805" s="25"/>
      <c r="W805" s="25"/>
      <c r="X805" s="25"/>
      <c r="Y805" s="25"/>
      <c r="Z805" s="25"/>
    </row>
    <row r="806" spans="1:26" ht="14.25" customHeight="1" x14ac:dyDescent="0.25">
      <c r="A806" s="26"/>
      <c r="B806" s="25"/>
      <c r="C806" s="25"/>
      <c r="D806" s="25"/>
      <c r="E806" s="26"/>
      <c r="F806" s="26"/>
      <c r="G806" s="26"/>
      <c r="H806" s="26"/>
      <c r="I806" s="26"/>
      <c r="J806" s="25"/>
      <c r="K806" s="25"/>
      <c r="L806" s="25"/>
      <c r="M806" s="25"/>
      <c r="N806" s="25"/>
      <c r="O806" s="25"/>
      <c r="P806" s="25"/>
      <c r="Q806" s="25"/>
      <c r="R806" s="25"/>
      <c r="S806" s="25"/>
      <c r="T806" s="25"/>
      <c r="U806" s="25"/>
      <c r="V806" s="25"/>
      <c r="W806" s="25"/>
      <c r="X806" s="25"/>
      <c r="Y806" s="25"/>
      <c r="Z806" s="25"/>
    </row>
    <row r="807" spans="1:26" ht="14.25" customHeight="1" x14ac:dyDescent="0.25">
      <c r="A807" s="26"/>
      <c r="B807" s="25"/>
      <c r="C807" s="25"/>
      <c r="D807" s="25"/>
      <c r="E807" s="26"/>
      <c r="F807" s="26"/>
      <c r="G807" s="26"/>
      <c r="H807" s="26"/>
      <c r="I807" s="26"/>
      <c r="J807" s="25"/>
      <c r="K807" s="25"/>
      <c r="L807" s="25"/>
      <c r="M807" s="25"/>
      <c r="N807" s="25"/>
      <c r="O807" s="25"/>
      <c r="P807" s="25"/>
      <c r="Q807" s="25"/>
      <c r="R807" s="25"/>
      <c r="S807" s="25"/>
      <c r="T807" s="25"/>
      <c r="U807" s="25"/>
      <c r="V807" s="25"/>
      <c r="W807" s="25"/>
      <c r="X807" s="25"/>
      <c r="Y807" s="25"/>
      <c r="Z807" s="25"/>
    </row>
    <row r="808" spans="1:26" ht="14.25" customHeight="1" x14ac:dyDescent="0.25">
      <c r="A808" s="26"/>
      <c r="B808" s="25"/>
      <c r="C808" s="25"/>
      <c r="D808" s="25"/>
      <c r="E808" s="26"/>
      <c r="F808" s="26"/>
      <c r="G808" s="26"/>
      <c r="H808" s="26"/>
      <c r="I808" s="26"/>
      <c r="J808" s="25"/>
      <c r="K808" s="25"/>
      <c r="L808" s="25"/>
      <c r="M808" s="25"/>
      <c r="N808" s="25"/>
      <c r="O808" s="25"/>
      <c r="P808" s="25"/>
      <c r="Q808" s="25"/>
      <c r="R808" s="25"/>
      <c r="S808" s="25"/>
      <c r="T808" s="25"/>
      <c r="U808" s="25"/>
      <c r="V808" s="25"/>
      <c r="W808" s="25"/>
      <c r="X808" s="25"/>
      <c r="Y808" s="25"/>
      <c r="Z808" s="25"/>
    </row>
    <row r="809" spans="1:26" ht="14.25" customHeight="1" x14ac:dyDescent="0.25">
      <c r="A809" s="26"/>
      <c r="B809" s="25"/>
      <c r="C809" s="25"/>
      <c r="D809" s="25"/>
      <c r="E809" s="26"/>
      <c r="F809" s="26"/>
      <c r="G809" s="26"/>
      <c r="H809" s="26"/>
      <c r="I809" s="26"/>
      <c r="J809" s="25"/>
      <c r="K809" s="25"/>
      <c r="L809" s="25"/>
      <c r="M809" s="25"/>
      <c r="N809" s="25"/>
      <c r="O809" s="25"/>
      <c r="P809" s="25"/>
      <c r="Q809" s="25"/>
      <c r="R809" s="25"/>
      <c r="S809" s="25"/>
      <c r="T809" s="25"/>
      <c r="U809" s="25"/>
      <c r="V809" s="25"/>
      <c r="W809" s="25"/>
      <c r="X809" s="25"/>
      <c r="Y809" s="25"/>
      <c r="Z809" s="25"/>
    </row>
    <row r="810" spans="1:26" ht="14.25" customHeight="1" x14ac:dyDescent="0.25">
      <c r="A810" s="26"/>
      <c r="B810" s="25"/>
      <c r="C810" s="25"/>
      <c r="D810" s="25"/>
      <c r="E810" s="26"/>
      <c r="F810" s="26"/>
      <c r="G810" s="26"/>
      <c r="H810" s="26"/>
      <c r="I810" s="26"/>
      <c r="J810" s="25"/>
      <c r="K810" s="25"/>
      <c r="L810" s="25"/>
      <c r="M810" s="25"/>
      <c r="N810" s="25"/>
      <c r="O810" s="25"/>
      <c r="P810" s="25"/>
      <c r="Q810" s="25"/>
      <c r="R810" s="25"/>
      <c r="S810" s="25"/>
      <c r="T810" s="25"/>
      <c r="U810" s="25"/>
      <c r="V810" s="25"/>
      <c r="W810" s="25"/>
      <c r="X810" s="25"/>
      <c r="Y810" s="25"/>
      <c r="Z810" s="25"/>
    </row>
    <row r="811" spans="1:26" ht="14.25" customHeight="1" x14ac:dyDescent="0.25">
      <c r="A811" s="26"/>
      <c r="B811" s="25"/>
      <c r="C811" s="25"/>
      <c r="D811" s="25"/>
      <c r="E811" s="26"/>
      <c r="F811" s="26"/>
      <c r="G811" s="26"/>
      <c r="H811" s="26"/>
      <c r="I811" s="26"/>
      <c r="J811" s="25"/>
      <c r="K811" s="25"/>
      <c r="L811" s="25"/>
      <c r="M811" s="25"/>
      <c r="N811" s="25"/>
      <c r="O811" s="25"/>
      <c r="P811" s="25"/>
      <c r="Q811" s="25"/>
      <c r="R811" s="25"/>
      <c r="S811" s="25"/>
      <c r="T811" s="25"/>
      <c r="U811" s="25"/>
      <c r="V811" s="25"/>
      <c r="W811" s="25"/>
      <c r="X811" s="25"/>
      <c r="Y811" s="25"/>
      <c r="Z811" s="25"/>
    </row>
    <row r="812" spans="1:26" ht="14.25" customHeight="1" x14ac:dyDescent="0.25">
      <c r="A812" s="26"/>
      <c r="B812" s="25"/>
      <c r="C812" s="25"/>
      <c r="D812" s="25"/>
      <c r="E812" s="26"/>
      <c r="F812" s="26"/>
      <c r="G812" s="26"/>
      <c r="H812" s="26"/>
      <c r="I812" s="26"/>
      <c r="J812" s="25"/>
      <c r="K812" s="25"/>
      <c r="L812" s="25"/>
      <c r="M812" s="25"/>
      <c r="N812" s="25"/>
      <c r="O812" s="25"/>
      <c r="P812" s="25"/>
      <c r="Q812" s="25"/>
      <c r="R812" s="25"/>
      <c r="S812" s="25"/>
      <c r="T812" s="25"/>
      <c r="U812" s="25"/>
      <c r="V812" s="25"/>
      <c r="W812" s="25"/>
      <c r="X812" s="25"/>
      <c r="Y812" s="25"/>
      <c r="Z812" s="25"/>
    </row>
    <row r="813" spans="1:26" ht="14.25" customHeight="1" x14ac:dyDescent="0.25">
      <c r="A813" s="26"/>
      <c r="B813" s="25"/>
      <c r="C813" s="25"/>
      <c r="D813" s="25"/>
      <c r="E813" s="26"/>
      <c r="F813" s="26"/>
      <c r="G813" s="26"/>
      <c r="H813" s="26"/>
      <c r="I813" s="26"/>
      <c r="J813" s="25"/>
      <c r="K813" s="25"/>
      <c r="L813" s="25"/>
      <c r="M813" s="25"/>
      <c r="N813" s="25"/>
      <c r="O813" s="25"/>
      <c r="P813" s="25"/>
      <c r="Q813" s="25"/>
      <c r="R813" s="25"/>
      <c r="S813" s="25"/>
      <c r="T813" s="25"/>
      <c r="U813" s="25"/>
      <c r="V813" s="25"/>
      <c r="W813" s="25"/>
      <c r="X813" s="25"/>
      <c r="Y813" s="25"/>
      <c r="Z813" s="25"/>
    </row>
    <row r="814" spans="1:26" ht="14.25" customHeight="1" x14ac:dyDescent="0.25">
      <c r="A814" s="26"/>
      <c r="B814" s="25"/>
      <c r="C814" s="25"/>
      <c r="D814" s="25"/>
      <c r="E814" s="26"/>
      <c r="F814" s="26"/>
      <c r="G814" s="26"/>
      <c r="H814" s="26"/>
      <c r="I814" s="26"/>
      <c r="J814" s="25"/>
      <c r="K814" s="25"/>
      <c r="L814" s="25"/>
      <c r="M814" s="25"/>
      <c r="N814" s="25"/>
      <c r="O814" s="25"/>
      <c r="P814" s="25"/>
      <c r="Q814" s="25"/>
      <c r="R814" s="25"/>
      <c r="S814" s="25"/>
      <c r="T814" s="25"/>
      <c r="U814" s="25"/>
      <c r="V814" s="25"/>
      <c r="W814" s="25"/>
      <c r="X814" s="25"/>
      <c r="Y814" s="25"/>
      <c r="Z814" s="25"/>
    </row>
    <row r="815" spans="1:26" ht="14.25" customHeight="1" x14ac:dyDescent="0.25">
      <c r="A815" s="26"/>
      <c r="B815" s="25"/>
      <c r="C815" s="25"/>
      <c r="D815" s="25"/>
      <c r="E815" s="26"/>
      <c r="F815" s="26"/>
      <c r="G815" s="26"/>
      <c r="H815" s="26"/>
      <c r="I815" s="26"/>
      <c r="J815" s="25"/>
      <c r="K815" s="25"/>
      <c r="L815" s="25"/>
      <c r="M815" s="25"/>
      <c r="N815" s="25"/>
      <c r="O815" s="25"/>
      <c r="P815" s="25"/>
      <c r="Q815" s="25"/>
      <c r="R815" s="25"/>
      <c r="S815" s="25"/>
      <c r="T815" s="25"/>
      <c r="U815" s="25"/>
      <c r="V815" s="25"/>
      <c r="W815" s="25"/>
      <c r="X815" s="25"/>
      <c r="Y815" s="25"/>
      <c r="Z815" s="25"/>
    </row>
    <row r="816" spans="1:26" ht="14.25" customHeight="1" x14ac:dyDescent="0.25">
      <c r="A816" s="26"/>
      <c r="B816" s="25"/>
      <c r="C816" s="25"/>
      <c r="D816" s="25"/>
      <c r="E816" s="26"/>
      <c r="F816" s="26"/>
      <c r="G816" s="26"/>
      <c r="H816" s="26"/>
      <c r="I816" s="26"/>
      <c r="J816" s="25"/>
      <c r="K816" s="25"/>
      <c r="L816" s="25"/>
      <c r="M816" s="25"/>
      <c r="N816" s="25"/>
      <c r="O816" s="25"/>
      <c r="P816" s="25"/>
      <c r="Q816" s="25"/>
      <c r="R816" s="25"/>
      <c r="S816" s="25"/>
      <c r="T816" s="25"/>
      <c r="U816" s="25"/>
      <c r="V816" s="25"/>
      <c r="W816" s="25"/>
      <c r="X816" s="25"/>
      <c r="Y816" s="25"/>
      <c r="Z816" s="25"/>
    </row>
    <row r="817" spans="1:26" ht="14.25" customHeight="1" x14ac:dyDescent="0.25">
      <c r="A817" s="26"/>
      <c r="B817" s="25"/>
      <c r="C817" s="25"/>
      <c r="D817" s="25"/>
      <c r="E817" s="26"/>
      <c r="F817" s="26"/>
      <c r="G817" s="26"/>
      <c r="H817" s="26"/>
      <c r="I817" s="26"/>
      <c r="J817" s="25"/>
      <c r="K817" s="25"/>
      <c r="L817" s="25"/>
      <c r="M817" s="25"/>
      <c r="N817" s="25"/>
      <c r="O817" s="25"/>
      <c r="P817" s="25"/>
      <c r="Q817" s="25"/>
      <c r="R817" s="25"/>
      <c r="S817" s="25"/>
      <c r="T817" s="25"/>
      <c r="U817" s="25"/>
      <c r="V817" s="25"/>
      <c r="W817" s="25"/>
      <c r="X817" s="25"/>
      <c r="Y817" s="25"/>
      <c r="Z817" s="25"/>
    </row>
    <row r="818" spans="1:26" ht="14.25" customHeight="1" x14ac:dyDescent="0.25">
      <c r="A818" s="26"/>
      <c r="B818" s="25"/>
      <c r="C818" s="25"/>
      <c r="D818" s="25"/>
      <c r="E818" s="26"/>
      <c r="F818" s="26"/>
      <c r="G818" s="26"/>
      <c r="H818" s="26"/>
      <c r="I818" s="26"/>
      <c r="J818" s="25"/>
      <c r="K818" s="25"/>
      <c r="L818" s="25"/>
      <c r="M818" s="25"/>
      <c r="N818" s="25"/>
      <c r="O818" s="25"/>
      <c r="P818" s="25"/>
      <c r="Q818" s="25"/>
      <c r="R818" s="25"/>
      <c r="S818" s="25"/>
      <c r="T818" s="25"/>
      <c r="U818" s="25"/>
      <c r="V818" s="25"/>
      <c r="W818" s="25"/>
      <c r="X818" s="25"/>
      <c r="Y818" s="25"/>
      <c r="Z818" s="25"/>
    </row>
    <row r="819" spans="1:26" ht="14.25" customHeight="1" x14ac:dyDescent="0.25">
      <c r="A819" s="26"/>
      <c r="B819" s="25"/>
      <c r="C819" s="25"/>
      <c r="D819" s="25"/>
      <c r="E819" s="26"/>
      <c r="F819" s="26"/>
      <c r="G819" s="26"/>
      <c r="H819" s="26"/>
      <c r="I819" s="26"/>
      <c r="J819" s="25"/>
      <c r="K819" s="25"/>
      <c r="L819" s="25"/>
      <c r="M819" s="25"/>
      <c r="N819" s="25"/>
      <c r="O819" s="25"/>
      <c r="P819" s="25"/>
      <c r="Q819" s="25"/>
      <c r="R819" s="25"/>
      <c r="S819" s="25"/>
      <c r="T819" s="25"/>
      <c r="U819" s="25"/>
      <c r="V819" s="25"/>
      <c r="W819" s="25"/>
      <c r="X819" s="25"/>
      <c r="Y819" s="25"/>
      <c r="Z819" s="25"/>
    </row>
    <row r="820" spans="1:26" ht="14.25" customHeight="1" x14ac:dyDescent="0.25">
      <c r="A820" s="26"/>
      <c r="B820" s="25"/>
      <c r="C820" s="25"/>
      <c r="D820" s="25"/>
      <c r="E820" s="26"/>
      <c r="F820" s="26"/>
      <c r="G820" s="26"/>
      <c r="H820" s="26"/>
      <c r="I820" s="26"/>
      <c r="J820" s="25"/>
      <c r="K820" s="25"/>
      <c r="L820" s="25"/>
      <c r="M820" s="25"/>
      <c r="N820" s="25"/>
      <c r="O820" s="25"/>
      <c r="P820" s="25"/>
      <c r="Q820" s="25"/>
      <c r="R820" s="25"/>
      <c r="S820" s="25"/>
      <c r="T820" s="25"/>
      <c r="U820" s="25"/>
      <c r="V820" s="25"/>
      <c r="W820" s="25"/>
      <c r="X820" s="25"/>
      <c r="Y820" s="25"/>
      <c r="Z820" s="25"/>
    </row>
    <row r="821" spans="1:26" ht="14.25" customHeight="1" x14ac:dyDescent="0.25">
      <c r="A821" s="26"/>
      <c r="B821" s="25"/>
      <c r="C821" s="25"/>
      <c r="D821" s="25"/>
      <c r="E821" s="26"/>
      <c r="F821" s="26"/>
      <c r="G821" s="26"/>
      <c r="H821" s="26"/>
      <c r="I821" s="26"/>
      <c r="J821" s="25"/>
      <c r="K821" s="25"/>
      <c r="L821" s="25"/>
      <c r="M821" s="25"/>
      <c r="N821" s="25"/>
      <c r="O821" s="25"/>
      <c r="P821" s="25"/>
      <c r="Q821" s="25"/>
      <c r="R821" s="25"/>
      <c r="S821" s="25"/>
      <c r="T821" s="25"/>
      <c r="U821" s="25"/>
      <c r="V821" s="25"/>
      <c r="W821" s="25"/>
      <c r="X821" s="25"/>
      <c r="Y821" s="25"/>
      <c r="Z821" s="25"/>
    </row>
    <row r="822" spans="1:26" ht="14.25" customHeight="1" x14ac:dyDescent="0.25">
      <c r="A822" s="26"/>
      <c r="B822" s="25"/>
      <c r="C822" s="25"/>
      <c r="D822" s="25"/>
      <c r="E822" s="26"/>
      <c r="F822" s="26"/>
      <c r="G822" s="26"/>
      <c r="H822" s="26"/>
      <c r="I822" s="26"/>
      <c r="J822" s="25"/>
      <c r="K822" s="25"/>
      <c r="L822" s="25"/>
      <c r="M822" s="25"/>
      <c r="N822" s="25"/>
      <c r="O822" s="25"/>
      <c r="P822" s="25"/>
      <c r="Q822" s="25"/>
      <c r="R822" s="25"/>
      <c r="S822" s="25"/>
      <c r="T822" s="25"/>
      <c r="U822" s="25"/>
      <c r="V822" s="25"/>
      <c r="W822" s="25"/>
      <c r="X822" s="25"/>
      <c r="Y822" s="25"/>
      <c r="Z822" s="25"/>
    </row>
    <row r="823" spans="1:26" ht="14.25" customHeight="1" x14ac:dyDescent="0.25">
      <c r="A823" s="26"/>
      <c r="B823" s="25"/>
      <c r="C823" s="25"/>
      <c r="D823" s="25"/>
      <c r="E823" s="26"/>
      <c r="F823" s="26"/>
      <c r="G823" s="26"/>
      <c r="H823" s="26"/>
      <c r="I823" s="26"/>
      <c r="J823" s="25"/>
      <c r="K823" s="25"/>
      <c r="L823" s="25"/>
      <c r="M823" s="25"/>
      <c r="N823" s="25"/>
      <c r="O823" s="25"/>
      <c r="P823" s="25"/>
      <c r="Q823" s="25"/>
      <c r="R823" s="25"/>
      <c r="S823" s="25"/>
      <c r="T823" s="25"/>
      <c r="U823" s="25"/>
      <c r="V823" s="25"/>
      <c r="W823" s="25"/>
      <c r="X823" s="25"/>
      <c r="Y823" s="25"/>
      <c r="Z823" s="25"/>
    </row>
    <row r="824" spans="1:26" ht="14.25" customHeight="1" x14ac:dyDescent="0.25">
      <c r="A824" s="26"/>
      <c r="B824" s="25"/>
      <c r="C824" s="25"/>
      <c r="D824" s="25"/>
      <c r="E824" s="26"/>
      <c r="F824" s="26"/>
      <c r="G824" s="26"/>
      <c r="H824" s="26"/>
      <c r="I824" s="26"/>
      <c r="J824" s="25"/>
      <c r="K824" s="25"/>
      <c r="L824" s="25"/>
      <c r="M824" s="25"/>
      <c r="N824" s="25"/>
      <c r="O824" s="25"/>
      <c r="P824" s="25"/>
      <c r="Q824" s="25"/>
      <c r="R824" s="25"/>
      <c r="S824" s="25"/>
      <c r="T824" s="25"/>
      <c r="U824" s="25"/>
      <c r="V824" s="25"/>
      <c r="W824" s="25"/>
      <c r="X824" s="25"/>
      <c r="Y824" s="25"/>
      <c r="Z824" s="25"/>
    </row>
    <row r="825" spans="1:26" ht="14.25" customHeight="1" x14ac:dyDescent="0.25">
      <c r="A825" s="26"/>
      <c r="B825" s="25"/>
      <c r="C825" s="25"/>
      <c r="D825" s="25"/>
      <c r="E825" s="26"/>
      <c r="F825" s="26"/>
      <c r="G825" s="26"/>
      <c r="H825" s="26"/>
      <c r="I825" s="26"/>
      <c r="J825" s="25"/>
      <c r="K825" s="25"/>
      <c r="L825" s="25"/>
      <c r="M825" s="25"/>
      <c r="N825" s="25"/>
      <c r="O825" s="25"/>
      <c r="P825" s="25"/>
      <c r="Q825" s="25"/>
      <c r="R825" s="25"/>
      <c r="S825" s="25"/>
      <c r="T825" s="25"/>
      <c r="U825" s="25"/>
      <c r="V825" s="25"/>
      <c r="W825" s="25"/>
      <c r="X825" s="25"/>
      <c r="Y825" s="25"/>
      <c r="Z825" s="25"/>
    </row>
    <row r="826" spans="1:26" ht="14.25" customHeight="1" x14ac:dyDescent="0.25">
      <c r="A826" s="26"/>
      <c r="B826" s="25"/>
      <c r="C826" s="25"/>
      <c r="D826" s="25"/>
      <c r="E826" s="26"/>
      <c r="F826" s="26"/>
      <c r="G826" s="26"/>
      <c r="H826" s="26"/>
      <c r="I826" s="26"/>
      <c r="J826" s="25"/>
      <c r="K826" s="25"/>
      <c r="L826" s="25"/>
      <c r="M826" s="25"/>
      <c r="N826" s="25"/>
      <c r="O826" s="25"/>
      <c r="P826" s="25"/>
      <c r="Q826" s="25"/>
      <c r="R826" s="25"/>
      <c r="S826" s="25"/>
      <c r="T826" s="25"/>
      <c r="U826" s="25"/>
      <c r="V826" s="25"/>
      <c r="W826" s="25"/>
      <c r="X826" s="25"/>
      <c r="Y826" s="25"/>
      <c r="Z826" s="25"/>
    </row>
    <row r="827" spans="1:26" ht="14.25" customHeight="1" x14ac:dyDescent="0.25">
      <c r="A827" s="26"/>
      <c r="B827" s="25"/>
      <c r="C827" s="25"/>
      <c r="D827" s="25"/>
      <c r="E827" s="26"/>
      <c r="F827" s="26"/>
      <c r="G827" s="26"/>
      <c r="H827" s="26"/>
      <c r="I827" s="26"/>
      <c r="J827" s="25"/>
      <c r="K827" s="25"/>
      <c r="L827" s="25"/>
      <c r="M827" s="25"/>
      <c r="N827" s="25"/>
      <c r="O827" s="25"/>
      <c r="P827" s="25"/>
      <c r="Q827" s="25"/>
      <c r="R827" s="25"/>
      <c r="S827" s="25"/>
      <c r="T827" s="25"/>
      <c r="U827" s="25"/>
      <c r="V827" s="25"/>
      <c r="W827" s="25"/>
      <c r="X827" s="25"/>
      <c r="Y827" s="25"/>
      <c r="Z827" s="25"/>
    </row>
    <row r="828" spans="1:26" ht="14.25" customHeight="1" x14ac:dyDescent="0.25">
      <c r="A828" s="26"/>
      <c r="B828" s="25"/>
      <c r="C828" s="25"/>
      <c r="D828" s="25"/>
      <c r="E828" s="26"/>
      <c r="F828" s="26"/>
      <c r="G828" s="26"/>
      <c r="H828" s="26"/>
      <c r="I828" s="26"/>
      <c r="J828" s="25"/>
      <c r="K828" s="25"/>
      <c r="L828" s="25"/>
      <c r="M828" s="25"/>
      <c r="N828" s="25"/>
      <c r="O828" s="25"/>
      <c r="P828" s="25"/>
      <c r="Q828" s="25"/>
      <c r="R828" s="25"/>
      <c r="S828" s="25"/>
      <c r="T828" s="25"/>
      <c r="U828" s="25"/>
      <c r="V828" s="25"/>
      <c r="W828" s="25"/>
      <c r="X828" s="25"/>
      <c r="Y828" s="25"/>
      <c r="Z828" s="25"/>
    </row>
    <row r="829" spans="1:26" ht="14.25" customHeight="1" x14ac:dyDescent="0.25">
      <c r="A829" s="26"/>
      <c r="B829" s="25"/>
      <c r="C829" s="25"/>
      <c r="D829" s="25"/>
      <c r="E829" s="26"/>
      <c r="F829" s="26"/>
      <c r="G829" s="26"/>
      <c r="H829" s="26"/>
      <c r="I829" s="26"/>
      <c r="J829" s="25"/>
      <c r="K829" s="25"/>
      <c r="L829" s="25"/>
      <c r="M829" s="25"/>
      <c r="N829" s="25"/>
      <c r="O829" s="25"/>
      <c r="P829" s="25"/>
      <c r="Q829" s="25"/>
      <c r="R829" s="25"/>
      <c r="S829" s="25"/>
      <c r="T829" s="25"/>
      <c r="U829" s="25"/>
      <c r="V829" s="25"/>
      <c r="W829" s="25"/>
      <c r="X829" s="25"/>
      <c r="Y829" s="25"/>
      <c r="Z829" s="25"/>
    </row>
    <row r="830" spans="1:26" ht="14.25" customHeight="1" x14ac:dyDescent="0.25">
      <c r="A830" s="26"/>
      <c r="B830" s="25"/>
      <c r="C830" s="25"/>
      <c r="D830" s="25"/>
      <c r="E830" s="26"/>
      <c r="F830" s="26"/>
      <c r="G830" s="26"/>
      <c r="H830" s="26"/>
      <c r="I830" s="26"/>
      <c r="J830" s="25"/>
      <c r="K830" s="25"/>
      <c r="L830" s="25"/>
      <c r="M830" s="25"/>
      <c r="N830" s="25"/>
      <c r="O830" s="25"/>
      <c r="P830" s="25"/>
      <c r="Q830" s="25"/>
      <c r="R830" s="25"/>
      <c r="S830" s="25"/>
      <c r="T830" s="25"/>
      <c r="U830" s="25"/>
      <c r="V830" s="25"/>
      <c r="W830" s="25"/>
      <c r="X830" s="25"/>
      <c r="Y830" s="25"/>
      <c r="Z830" s="25"/>
    </row>
    <row r="831" spans="1:26" ht="14.25" customHeight="1" x14ac:dyDescent="0.25">
      <c r="A831" s="26"/>
      <c r="B831" s="25"/>
      <c r="C831" s="25"/>
      <c r="D831" s="25"/>
      <c r="E831" s="26"/>
      <c r="F831" s="26"/>
      <c r="G831" s="26"/>
      <c r="H831" s="26"/>
      <c r="I831" s="26"/>
      <c r="J831" s="25"/>
      <c r="K831" s="25"/>
      <c r="L831" s="25"/>
      <c r="M831" s="25"/>
      <c r="N831" s="25"/>
      <c r="O831" s="25"/>
      <c r="P831" s="25"/>
      <c r="Q831" s="25"/>
      <c r="R831" s="25"/>
      <c r="S831" s="25"/>
      <c r="T831" s="25"/>
      <c r="U831" s="25"/>
      <c r="V831" s="25"/>
      <c r="W831" s="25"/>
      <c r="X831" s="25"/>
      <c r="Y831" s="25"/>
      <c r="Z831" s="25"/>
    </row>
    <row r="832" spans="1:26" ht="14.25" customHeight="1" x14ac:dyDescent="0.25">
      <c r="A832" s="26"/>
      <c r="B832" s="25"/>
      <c r="C832" s="25"/>
      <c r="D832" s="25"/>
      <c r="E832" s="26"/>
      <c r="F832" s="26"/>
      <c r="G832" s="26"/>
      <c r="H832" s="26"/>
      <c r="I832" s="26"/>
      <c r="J832" s="25"/>
      <c r="K832" s="25"/>
      <c r="L832" s="25"/>
      <c r="M832" s="25"/>
      <c r="N832" s="25"/>
      <c r="O832" s="25"/>
      <c r="P832" s="25"/>
      <c r="Q832" s="25"/>
      <c r="R832" s="25"/>
      <c r="S832" s="25"/>
      <c r="T832" s="25"/>
      <c r="U832" s="25"/>
      <c r="V832" s="25"/>
      <c r="W832" s="25"/>
      <c r="X832" s="25"/>
      <c r="Y832" s="25"/>
      <c r="Z832" s="25"/>
    </row>
    <row r="833" spans="1:26" ht="14.25" customHeight="1" x14ac:dyDescent="0.25">
      <c r="A833" s="26"/>
      <c r="B833" s="25"/>
      <c r="C833" s="25"/>
      <c r="D833" s="25"/>
      <c r="E833" s="26"/>
      <c r="F833" s="26"/>
      <c r="G833" s="26"/>
      <c r="H833" s="26"/>
      <c r="I833" s="26"/>
      <c r="J833" s="25"/>
      <c r="K833" s="25"/>
      <c r="L833" s="25"/>
      <c r="M833" s="25"/>
      <c r="N833" s="25"/>
      <c r="O833" s="25"/>
      <c r="P833" s="25"/>
      <c r="Q833" s="25"/>
      <c r="R833" s="25"/>
      <c r="S833" s="25"/>
      <c r="T833" s="25"/>
      <c r="U833" s="25"/>
      <c r="V833" s="25"/>
      <c r="W833" s="25"/>
      <c r="X833" s="25"/>
      <c r="Y833" s="25"/>
      <c r="Z833" s="25"/>
    </row>
    <row r="834" spans="1:26" ht="14.25" customHeight="1" x14ac:dyDescent="0.25">
      <c r="A834" s="26"/>
      <c r="B834" s="25"/>
      <c r="C834" s="25"/>
      <c r="D834" s="25"/>
      <c r="E834" s="26"/>
      <c r="F834" s="26"/>
      <c r="G834" s="26"/>
      <c r="H834" s="26"/>
      <c r="I834" s="26"/>
      <c r="J834" s="25"/>
      <c r="K834" s="25"/>
      <c r="L834" s="25"/>
      <c r="M834" s="25"/>
      <c r="N834" s="25"/>
      <c r="O834" s="25"/>
      <c r="P834" s="25"/>
      <c r="Q834" s="25"/>
      <c r="R834" s="25"/>
      <c r="S834" s="25"/>
      <c r="T834" s="25"/>
      <c r="U834" s="25"/>
      <c r="V834" s="25"/>
      <c r="W834" s="25"/>
      <c r="X834" s="25"/>
      <c r="Y834" s="25"/>
      <c r="Z834" s="25"/>
    </row>
    <row r="835" spans="1:26" ht="14.25" customHeight="1" x14ac:dyDescent="0.25">
      <c r="A835" s="26"/>
      <c r="B835" s="25"/>
      <c r="C835" s="25"/>
      <c r="D835" s="25"/>
      <c r="E835" s="26"/>
      <c r="F835" s="26"/>
      <c r="G835" s="26"/>
      <c r="H835" s="26"/>
      <c r="I835" s="26"/>
      <c r="J835" s="25"/>
      <c r="K835" s="25"/>
      <c r="L835" s="25"/>
      <c r="M835" s="25"/>
      <c r="N835" s="25"/>
      <c r="O835" s="25"/>
      <c r="P835" s="25"/>
      <c r="Q835" s="25"/>
      <c r="R835" s="25"/>
      <c r="S835" s="25"/>
      <c r="T835" s="25"/>
      <c r="U835" s="25"/>
      <c r="V835" s="25"/>
      <c r="W835" s="25"/>
      <c r="X835" s="25"/>
      <c r="Y835" s="25"/>
      <c r="Z835" s="25"/>
    </row>
    <row r="836" spans="1:26" ht="14.25" customHeight="1" x14ac:dyDescent="0.25">
      <c r="A836" s="26"/>
      <c r="B836" s="25"/>
      <c r="C836" s="25"/>
      <c r="D836" s="25"/>
      <c r="E836" s="26"/>
      <c r="F836" s="26"/>
      <c r="G836" s="26"/>
      <c r="H836" s="26"/>
      <c r="I836" s="26"/>
      <c r="J836" s="25"/>
      <c r="K836" s="25"/>
      <c r="L836" s="25"/>
      <c r="M836" s="25"/>
      <c r="N836" s="25"/>
      <c r="O836" s="25"/>
      <c r="P836" s="25"/>
      <c r="Q836" s="25"/>
      <c r="R836" s="25"/>
      <c r="S836" s="25"/>
      <c r="T836" s="25"/>
      <c r="U836" s="25"/>
      <c r="V836" s="25"/>
      <c r="W836" s="25"/>
      <c r="X836" s="25"/>
      <c r="Y836" s="25"/>
      <c r="Z836" s="25"/>
    </row>
    <row r="837" spans="1:26" ht="14.25" customHeight="1" x14ac:dyDescent="0.25">
      <c r="A837" s="26"/>
      <c r="B837" s="25"/>
      <c r="C837" s="25"/>
      <c r="D837" s="25"/>
      <c r="E837" s="26"/>
      <c r="F837" s="26"/>
      <c r="G837" s="26"/>
      <c r="H837" s="26"/>
      <c r="I837" s="26"/>
      <c r="J837" s="25"/>
      <c r="K837" s="25"/>
      <c r="L837" s="25"/>
      <c r="M837" s="25"/>
      <c r="N837" s="25"/>
      <c r="O837" s="25"/>
      <c r="P837" s="25"/>
      <c r="Q837" s="25"/>
      <c r="R837" s="25"/>
      <c r="S837" s="25"/>
      <c r="T837" s="25"/>
      <c r="U837" s="25"/>
      <c r="V837" s="25"/>
      <c r="W837" s="25"/>
      <c r="X837" s="25"/>
      <c r="Y837" s="25"/>
      <c r="Z837" s="25"/>
    </row>
    <row r="838" spans="1:26" ht="14.25" customHeight="1" x14ac:dyDescent="0.25">
      <c r="A838" s="26"/>
      <c r="B838" s="25"/>
      <c r="C838" s="25"/>
      <c r="D838" s="25"/>
      <c r="E838" s="26"/>
      <c r="F838" s="26"/>
      <c r="G838" s="26"/>
      <c r="H838" s="26"/>
      <c r="I838" s="26"/>
      <c r="J838" s="25"/>
      <c r="K838" s="25"/>
      <c r="L838" s="25"/>
      <c r="M838" s="25"/>
      <c r="N838" s="25"/>
      <c r="O838" s="25"/>
      <c r="P838" s="25"/>
      <c r="Q838" s="25"/>
      <c r="R838" s="25"/>
      <c r="S838" s="25"/>
      <c r="T838" s="25"/>
      <c r="U838" s="25"/>
      <c r="V838" s="25"/>
      <c r="W838" s="25"/>
      <c r="X838" s="25"/>
      <c r="Y838" s="25"/>
      <c r="Z838" s="25"/>
    </row>
    <row r="839" spans="1:26" ht="14.25" customHeight="1" x14ac:dyDescent="0.25">
      <c r="A839" s="26"/>
      <c r="B839" s="25"/>
      <c r="C839" s="25"/>
      <c r="D839" s="25"/>
      <c r="E839" s="26"/>
      <c r="F839" s="26"/>
      <c r="G839" s="26"/>
      <c r="H839" s="26"/>
      <c r="I839" s="26"/>
      <c r="J839" s="25"/>
      <c r="K839" s="25"/>
      <c r="L839" s="25"/>
      <c r="M839" s="25"/>
      <c r="N839" s="25"/>
      <c r="O839" s="25"/>
      <c r="P839" s="25"/>
      <c r="Q839" s="25"/>
      <c r="R839" s="25"/>
      <c r="S839" s="25"/>
      <c r="T839" s="25"/>
      <c r="U839" s="25"/>
      <c r="V839" s="25"/>
      <c r="W839" s="25"/>
      <c r="X839" s="25"/>
      <c r="Y839" s="25"/>
      <c r="Z839" s="25"/>
    </row>
    <row r="840" spans="1:26" ht="14.25" customHeight="1" x14ac:dyDescent="0.25">
      <c r="A840" s="26"/>
      <c r="B840" s="25"/>
      <c r="C840" s="25"/>
      <c r="D840" s="25"/>
      <c r="E840" s="26"/>
      <c r="F840" s="26"/>
      <c r="G840" s="26"/>
      <c r="H840" s="26"/>
      <c r="I840" s="26"/>
      <c r="J840" s="25"/>
      <c r="K840" s="25"/>
      <c r="L840" s="25"/>
      <c r="M840" s="25"/>
      <c r="N840" s="25"/>
      <c r="O840" s="25"/>
      <c r="P840" s="25"/>
      <c r="Q840" s="25"/>
      <c r="R840" s="25"/>
      <c r="S840" s="25"/>
      <c r="T840" s="25"/>
      <c r="U840" s="25"/>
      <c r="V840" s="25"/>
      <c r="W840" s="25"/>
      <c r="X840" s="25"/>
      <c r="Y840" s="25"/>
      <c r="Z840" s="25"/>
    </row>
    <row r="841" spans="1:26" ht="14.25" customHeight="1" x14ac:dyDescent="0.25">
      <c r="A841" s="26"/>
      <c r="B841" s="25"/>
      <c r="C841" s="25"/>
      <c r="D841" s="25"/>
      <c r="E841" s="26"/>
      <c r="F841" s="26"/>
      <c r="G841" s="26"/>
      <c r="H841" s="26"/>
      <c r="I841" s="26"/>
      <c r="J841" s="25"/>
      <c r="K841" s="25"/>
      <c r="L841" s="25"/>
      <c r="M841" s="25"/>
      <c r="N841" s="25"/>
      <c r="O841" s="25"/>
      <c r="P841" s="25"/>
      <c r="Q841" s="25"/>
      <c r="R841" s="25"/>
      <c r="S841" s="25"/>
      <c r="T841" s="25"/>
      <c r="U841" s="25"/>
      <c r="V841" s="25"/>
      <c r="W841" s="25"/>
      <c r="X841" s="25"/>
      <c r="Y841" s="25"/>
      <c r="Z841" s="25"/>
    </row>
    <row r="842" spans="1:26" ht="14.25" customHeight="1" x14ac:dyDescent="0.25">
      <c r="A842" s="26"/>
      <c r="B842" s="25"/>
      <c r="C842" s="25"/>
      <c r="D842" s="25"/>
      <c r="E842" s="26"/>
      <c r="F842" s="26"/>
      <c r="G842" s="26"/>
      <c r="H842" s="26"/>
      <c r="I842" s="26"/>
      <c r="J842" s="25"/>
      <c r="K842" s="25"/>
      <c r="L842" s="25"/>
      <c r="M842" s="25"/>
      <c r="N842" s="25"/>
      <c r="O842" s="25"/>
      <c r="P842" s="25"/>
      <c r="Q842" s="25"/>
      <c r="R842" s="25"/>
      <c r="S842" s="25"/>
      <c r="T842" s="25"/>
      <c r="U842" s="25"/>
      <c r="V842" s="25"/>
      <c r="W842" s="25"/>
      <c r="X842" s="25"/>
      <c r="Y842" s="25"/>
      <c r="Z842" s="25"/>
    </row>
    <row r="843" spans="1:26" ht="14.25" customHeight="1" x14ac:dyDescent="0.25">
      <c r="A843" s="26"/>
      <c r="B843" s="25"/>
      <c r="C843" s="25"/>
      <c r="D843" s="25"/>
      <c r="E843" s="26"/>
      <c r="F843" s="26"/>
      <c r="G843" s="26"/>
      <c r="H843" s="26"/>
      <c r="I843" s="26"/>
      <c r="J843" s="25"/>
      <c r="K843" s="25"/>
      <c r="L843" s="25"/>
      <c r="M843" s="25"/>
      <c r="N843" s="25"/>
      <c r="O843" s="25"/>
      <c r="P843" s="25"/>
      <c r="Q843" s="25"/>
      <c r="R843" s="25"/>
      <c r="S843" s="25"/>
      <c r="T843" s="25"/>
      <c r="U843" s="25"/>
      <c r="V843" s="25"/>
      <c r="W843" s="25"/>
      <c r="X843" s="25"/>
      <c r="Y843" s="25"/>
      <c r="Z843" s="25"/>
    </row>
    <row r="844" spans="1:26" ht="14.25" customHeight="1" x14ac:dyDescent="0.25">
      <c r="A844" s="26"/>
      <c r="B844" s="25"/>
      <c r="C844" s="25"/>
      <c r="D844" s="25"/>
      <c r="E844" s="26"/>
      <c r="F844" s="26"/>
      <c r="G844" s="26"/>
      <c r="H844" s="26"/>
      <c r="I844" s="26"/>
      <c r="J844" s="25"/>
      <c r="K844" s="25"/>
      <c r="L844" s="25"/>
      <c r="M844" s="25"/>
      <c r="N844" s="25"/>
      <c r="O844" s="25"/>
      <c r="P844" s="25"/>
      <c r="Q844" s="25"/>
      <c r="R844" s="25"/>
      <c r="S844" s="25"/>
      <c r="T844" s="25"/>
      <c r="U844" s="25"/>
      <c r="V844" s="25"/>
      <c r="W844" s="25"/>
      <c r="X844" s="25"/>
      <c r="Y844" s="25"/>
      <c r="Z844" s="25"/>
    </row>
    <row r="845" spans="1:26" ht="14.25" customHeight="1" x14ac:dyDescent="0.25">
      <c r="A845" s="26"/>
      <c r="B845" s="25"/>
      <c r="C845" s="25"/>
      <c r="D845" s="25"/>
      <c r="E845" s="26"/>
      <c r="F845" s="26"/>
      <c r="G845" s="26"/>
      <c r="H845" s="26"/>
      <c r="I845" s="26"/>
      <c r="J845" s="25"/>
      <c r="K845" s="25"/>
      <c r="L845" s="25"/>
      <c r="M845" s="25"/>
      <c r="N845" s="25"/>
      <c r="O845" s="25"/>
      <c r="P845" s="25"/>
      <c r="Q845" s="25"/>
      <c r="R845" s="25"/>
      <c r="S845" s="25"/>
      <c r="T845" s="25"/>
      <c r="U845" s="25"/>
      <c r="V845" s="25"/>
      <c r="W845" s="25"/>
      <c r="X845" s="25"/>
      <c r="Y845" s="25"/>
      <c r="Z845" s="25"/>
    </row>
    <row r="846" spans="1:26" ht="14.25" customHeight="1" x14ac:dyDescent="0.25">
      <c r="A846" s="26"/>
      <c r="B846" s="25"/>
      <c r="C846" s="25"/>
      <c r="D846" s="25"/>
      <c r="E846" s="26"/>
      <c r="F846" s="26"/>
      <c r="G846" s="26"/>
      <c r="H846" s="26"/>
      <c r="I846" s="26"/>
      <c r="J846" s="25"/>
      <c r="K846" s="25"/>
      <c r="L846" s="25"/>
      <c r="M846" s="25"/>
      <c r="N846" s="25"/>
      <c r="O846" s="25"/>
      <c r="P846" s="25"/>
      <c r="Q846" s="25"/>
      <c r="R846" s="25"/>
      <c r="S846" s="25"/>
      <c r="T846" s="25"/>
      <c r="U846" s="25"/>
      <c r="V846" s="25"/>
      <c r="W846" s="25"/>
      <c r="X846" s="25"/>
      <c r="Y846" s="25"/>
      <c r="Z846" s="25"/>
    </row>
    <row r="847" spans="1:26" ht="14.25" customHeight="1" x14ac:dyDescent="0.25">
      <c r="A847" s="26"/>
      <c r="B847" s="25"/>
      <c r="C847" s="25"/>
      <c r="D847" s="25"/>
      <c r="E847" s="26"/>
      <c r="F847" s="26"/>
      <c r="G847" s="26"/>
      <c r="H847" s="26"/>
      <c r="I847" s="26"/>
      <c r="J847" s="25"/>
      <c r="K847" s="25"/>
      <c r="L847" s="25"/>
      <c r="M847" s="25"/>
      <c r="N847" s="25"/>
      <c r="O847" s="25"/>
      <c r="P847" s="25"/>
      <c r="Q847" s="25"/>
      <c r="R847" s="25"/>
      <c r="S847" s="25"/>
      <c r="T847" s="25"/>
      <c r="U847" s="25"/>
      <c r="V847" s="25"/>
      <c r="W847" s="25"/>
      <c r="X847" s="25"/>
      <c r="Y847" s="25"/>
      <c r="Z847" s="25"/>
    </row>
    <row r="848" spans="1:26" ht="14.25" customHeight="1" x14ac:dyDescent="0.25">
      <c r="A848" s="26"/>
      <c r="B848" s="25"/>
      <c r="C848" s="25"/>
      <c r="D848" s="25"/>
      <c r="E848" s="26"/>
      <c r="F848" s="26"/>
      <c r="G848" s="26"/>
      <c r="H848" s="26"/>
      <c r="I848" s="26"/>
      <c r="J848" s="25"/>
      <c r="K848" s="25"/>
      <c r="L848" s="25"/>
      <c r="M848" s="25"/>
      <c r="N848" s="25"/>
      <c r="O848" s="25"/>
      <c r="P848" s="25"/>
      <c r="Q848" s="25"/>
      <c r="R848" s="25"/>
      <c r="S848" s="25"/>
      <c r="T848" s="25"/>
      <c r="U848" s="25"/>
      <c r="V848" s="25"/>
      <c r="W848" s="25"/>
      <c r="X848" s="25"/>
      <c r="Y848" s="25"/>
      <c r="Z848" s="25"/>
    </row>
    <row r="849" spans="1:26" ht="14.25" customHeight="1" x14ac:dyDescent="0.25">
      <c r="A849" s="26"/>
      <c r="B849" s="25"/>
      <c r="C849" s="25"/>
      <c r="D849" s="25"/>
      <c r="E849" s="26"/>
      <c r="F849" s="26"/>
      <c r="G849" s="26"/>
      <c r="H849" s="26"/>
      <c r="I849" s="26"/>
      <c r="J849" s="25"/>
      <c r="K849" s="25"/>
      <c r="L849" s="25"/>
      <c r="M849" s="25"/>
      <c r="N849" s="25"/>
      <c r="O849" s="25"/>
      <c r="P849" s="25"/>
      <c r="Q849" s="25"/>
      <c r="R849" s="25"/>
      <c r="S849" s="25"/>
      <c r="T849" s="25"/>
      <c r="U849" s="25"/>
      <c r="V849" s="25"/>
      <c r="W849" s="25"/>
      <c r="X849" s="25"/>
      <c r="Y849" s="25"/>
      <c r="Z849" s="25"/>
    </row>
    <row r="850" spans="1:26" ht="14.25" customHeight="1" x14ac:dyDescent="0.25">
      <c r="A850" s="26"/>
      <c r="B850" s="25"/>
      <c r="C850" s="25"/>
      <c r="D850" s="25"/>
      <c r="E850" s="26"/>
      <c r="F850" s="26"/>
      <c r="G850" s="26"/>
      <c r="H850" s="26"/>
      <c r="I850" s="26"/>
      <c r="J850" s="25"/>
      <c r="K850" s="25"/>
      <c r="L850" s="25"/>
      <c r="M850" s="25"/>
      <c r="N850" s="25"/>
      <c r="O850" s="25"/>
      <c r="P850" s="25"/>
      <c r="Q850" s="25"/>
      <c r="R850" s="25"/>
      <c r="S850" s="25"/>
      <c r="T850" s="25"/>
      <c r="U850" s="25"/>
      <c r="V850" s="25"/>
      <c r="W850" s="25"/>
      <c r="X850" s="25"/>
      <c r="Y850" s="25"/>
      <c r="Z850" s="25"/>
    </row>
    <row r="851" spans="1:26" ht="14.25" customHeight="1" x14ac:dyDescent="0.25">
      <c r="A851" s="26"/>
      <c r="B851" s="25"/>
      <c r="C851" s="25"/>
      <c r="D851" s="25"/>
      <c r="E851" s="26"/>
      <c r="F851" s="26"/>
      <c r="G851" s="26"/>
      <c r="H851" s="26"/>
      <c r="I851" s="26"/>
      <c r="J851" s="25"/>
      <c r="K851" s="25"/>
      <c r="L851" s="25"/>
      <c r="M851" s="25"/>
      <c r="N851" s="25"/>
      <c r="O851" s="25"/>
      <c r="P851" s="25"/>
      <c r="Q851" s="25"/>
      <c r="R851" s="25"/>
      <c r="S851" s="25"/>
      <c r="T851" s="25"/>
      <c r="U851" s="25"/>
      <c r="V851" s="25"/>
      <c r="W851" s="25"/>
      <c r="X851" s="25"/>
      <c r="Y851" s="25"/>
      <c r="Z851" s="25"/>
    </row>
    <row r="852" spans="1:26" ht="14.25" customHeight="1" x14ac:dyDescent="0.25">
      <c r="A852" s="26"/>
      <c r="B852" s="25"/>
      <c r="C852" s="25"/>
      <c r="D852" s="25"/>
      <c r="E852" s="26"/>
      <c r="F852" s="26"/>
      <c r="G852" s="26"/>
      <c r="H852" s="26"/>
      <c r="I852" s="26"/>
      <c r="J852" s="25"/>
      <c r="K852" s="25"/>
      <c r="L852" s="25"/>
      <c r="M852" s="25"/>
      <c r="N852" s="25"/>
      <c r="O852" s="25"/>
      <c r="P852" s="25"/>
      <c r="Q852" s="25"/>
      <c r="R852" s="25"/>
      <c r="S852" s="25"/>
      <c r="T852" s="25"/>
      <c r="U852" s="25"/>
      <c r="V852" s="25"/>
      <c r="W852" s="25"/>
      <c r="X852" s="25"/>
      <c r="Y852" s="25"/>
      <c r="Z852" s="25"/>
    </row>
    <row r="853" spans="1:26" ht="14.25" customHeight="1" x14ac:dyDescent="0.25">
      <c r="A853" s="26"/>
      <c r="B853" s="25"/>
      <c r="C853" s="25"/>
      <c r="D853" s="25"/>
      <c r="E853" s="26"/>
      <c r="F853" s="26"/>
      <c r="G853" s="26"/>
      <c r="H853" s="26"/>
      <c r="I853" s="26"/>
      <c r="J853" s="25"/>
      <c r="K853" s="25"/>
      <c r="L853" s="25"/>
      <c r="M853" s="25"/>
      <c r="N853" s="25"/>
      <c r="O853" s="25"/>
      <c r="P853" s="25"/>
      <c r="Q853" s="25"/>
      <c r="R853" s="25"/>
      <c r="S853" s="25"/>
      <c r="T853" s="25"/>
      <c r="U853" s="25"/>
      <c r="V853" s="25"/>
      <c r="W853" s="25"/>
      <c r="X853" s="25"/>
      <c r="Y853" s="25"/>
      <c r="Z853" s="25"/>
    </row>
    <row r="854" spans="1:26" ht="14.25" customHeight="1" x14ac:dyDescent="0.25">
      <c r="A854" s="26"/>
      <c r="B854" s="25"/>
      <c r="C854" s="25"/>
      <c r="D854" s="25"/>
      <c r="E854" s="26"/>
      <c r="F854" s="26"/>
      <c r="G854" s="26"/>
      <c r="H854" s="26"/>
      <c r="I854" s="26"/>
      <c r="J854" s="25"/>
      <c r="K854" s="25"/>
      <c r="L854" s="25"/>
      <c r="M854" s="25"/>
      <c r="N854" s="25"/>
      <c r="O854" s="25"/>
      <c r="P854" s="25"/>
      <c r="Q854" s="25"/>
      <c r="R854" s="25"/>
      <c r="S854" s="25"/>
      <c r="T854" s="25"/>
      <c r="U854" s="25"/>
      <c r="V854" s="25"/>
      <c r="W854" s="25"/>
      <c r="X854" s="25"/>
      <c r="Y854" s="25"/>
      <c r="Z854" s="25"/>
    </row>
    <row r="855" spans="1:26" ht="14.25" customHeight="1" x14ac:dyDescent="0.25">
      <c r="A855" s="26"/>
      <c r="B855" s="25"/>
      <c r="C855" s="25"/>
      <c r="D855" s="25"/>
      <c r="E855" s="26"/>
      <c r="F855" s="26"/>
      <c r="G855" s="26"/>
      <c r="H855" s="26"/>
      <c r="I855" s="26"/>
      <c r="J855" s="25"/>
      <c r="K855" s="25"/>
      <c r="L855" s="25"/>
      <c r="M855" s="25"/>
      <c r="N855" s="25"/>
      <c r="O855" s="25"/>
      <c r="P855" s="25"/>
      <c r="Q855" s="25"/>
      <c r="R855" s="25"/>
      <c r="S855" s="25"/>
      <c r="T855" s="25"/>
      <c r="U855" s="25"/>
      <c r="V855" s="25"/>
      <c r="W855" s="25"/>
      <c r="X855" s="25"/>
      <c r="Y855" s="25"/>
      <c r="Z855" s="25"/>
    </row>
    <row r="856" spans="1:26" ht="14.25" customHeight="1" x14ac:dyDescent="0.25">
      <c r="A856" s="26"/>
      <c r="B856" s="25"/>
      <c r="C856" s="25"/>
      <c r="D856" s="25"/>
      <c r="E856" s="26"/>
      <c r="F856" s="26"/>
      <c r="G856" s="26"/>
      <c r="H856" s="26"/>
      <c r="I856" s="26"/>
      <c r="J856" s="25"/>
      <c r="K856" s="25"/>
      <c r="L856" s="25"/>
      <c r="M856" s="25"/>
      <c r="N856" s="25"/>
      <c r="O856" s="25"/>
      <c r="P856" s="25"/>
      <c r="Q856" s="25"/>
      <c r="R856" s="25"/>
      <c r="S856" s="25"/>
      <c r="T856" s="25"/>
      <c r="U856" s="25"/>
      <c r="V856" s="25"/>
      <c r="W856" s="25"/>
      <c r="X856" s="25"/>
      <c r="Y856" s="25"/>
      <c r="Z856" s="25"/>
    </row>
    <row r="857" spans="1:26" ht="14.25" customHeight="1" x14ac:dyDescent="0.25">
      <c r="A857" s="26"/>
      <c r="B857" s="25"/>
      <c r="C857" s="25"/>
      <c r="D857" s="25"/>
      <c r="E857" s="26"/>
      <c r="F857" s="26"/>
      <c r="G857" s="26"/>
      <c r="H857" s="26"/>
      <c r="I857" s="26"/>
      <c r="J857" s="25"/>
      <c r="K857" s="25"/>
      <c r="L857" s="25"/>
      <c r="M857" s="25"/>
      <c r="N857" s="25"/>
      <c r="O857" s="25"/>
      <c r="P857" s="25"/>
      <c r="Q857" s="25"/>
      <c r="R857" s="25"/>
      <c r="S857" s="25"/>
      <c r="T857" s="25"/>
      <c r="U857" s="25"/>
      <c r="V857" s="25"/>
      <c r="W857" s="25"/>
      <c r="X857" s="25"/>
      <c r="Y857" s="25"/>
      <c r="Z857" s="25"/>
    </row>
    <row r="858" spans="1:26" ht="14.25" customHeight="1" x14ac:dyDescent="0.25">
      <c r="A858" s="26"/>
      <c r="B858" s="25"/>
      <c r="C858" s="25"/>
      <c r="D858" s="25"/>
      <c r="E858" s="26"/>
      <c r="F858" s="26"/>
      <c r="G858" s="26"/>
      <c r="H858" s="26"/>
      <c r="I858" s="26"/>
      <c r="J858" s="25"/>
      <c r="K858" s="25"/>
      <c r="L858" s="25"/>
      <c r="M858" s="25"/>
      <c r="N858" s="25"/>
      <c r="O858" s="25"/>
      <c r="P858" s="25"/>
      <c r="Q858" s="25"/>
      <c r="R858" s="25"/>
      <c r="S858" s="25"/>
      <c r="T858" s="25"/>
      <c r="U858" s="25"/>
      <c r="V858" s="25"/>
      <c r="W858" s="25"/>
      <c r="X858" s="25"/>
      <c r="Y858" s="25"/>
      <c r="Z858" s="25"/>
    </row>
    <row r="859" spans="1:26" ht="14.25" customHeight="1" x14ac:dyDescent="0.25">
      <c r="A859" s="26"/>
      <c r="B859" s="25"/>
      <c r="C859" s="25"/>
      <c r="D859" s="25"/>
      <c r="E859" s="26"/>
      <c r="F859" s="26"/>
      <c r="G859" s="26"/>
      <c r="H859" s="26"/>
      <c r="I859" s="26"/>
      <c r="J859" s="25"/>
      <c r="K859" s="25"/>
      <c r="L859" s="25"/>
      <c r="M859" s="25"/>
      <c r="N859" s="25"/>
      <c r="O859" s="25"/>
      <c r="P859" s="25"/>
      <c r="Q859" s="25"/>
      <c r="R859" s="25"/>
      <c r="S859" s="25"/>
      <c r="T859" s="25"/>
      <c r="U859" s="25"/>
      <c r="V859" s="25"/>
      <c r="W859" s="25"/>
      <c r="X859" s="25"/>
      <c r="Y859" s="25"/>
      <c r="Z859" s="25"/>
    </row>
    <row r="860" spans="1:26" ht="14.25" customHeight="1" x14ac:dyDescent="0.25">
      <c r="A860" s="26"/>
      <c r="B860" s="25"/>
      <c r="C860" s="25"/>
      <c r="D860" s="25"/>
      <c r="E860" s="26"/>
      <c r="F860" s="26"/>
      <c r="G860" s="26"/>
      <c r="H860" s="26"/>
      <c r="I860" s="26"/>
      <c r="J860" s="25"/>
      <c r="K860" s="25"/>
      <c r="L860" s="25"/>
      <c r="M860" s="25"/>
      <c r="N860" s="25"/>
      <c r="O860" s="25"/>
      <c r="P860" s="25"/>
      <c r="Q860" s="25"/>
      <c r="R860" s="25"/>
      <c r="S860" s="25"/>
      <c r="T860" s="25"/>
      <c r="U860" s="25"/>
      <c r="V860" s="25"/>
      <c r="W860" s="25"/>
      <c r="X860" s="25"/>
      <c r="Y860" s="25"/>
      <c r="Z860" s="25"/>
    </row>
    <row r="861" spans="1:26" ht="14.25" customHeight="1" x14ac:dyDescent="0.25">
      <c r="A861" s="26"/>
      <c r="B861" s="25"/>
      <c r="C861" s="25"/>
      <c r="D861" s="25"/>
      <c r="E861" s="26"/>
      <c r="F861" s="26"/>
      <c r="G861" s="26"/>
      <c r="H861" s="26"/>
      <c r="I861" s="26"/>
      <c r="J861" s="25"/>
      <c r="K861" s="25"/>
      <c r="L861" s="25"/>
      <c r="M861" s="25"/>
      <c r="N861" s="25"/>
      <c r="O861" s="25"/>
      <c r="P861" s="25"/>
      <c r="Q861" s="25"/>
      <c r="R861" s="25"/>
      <c r="S861" s="25"/>
      <c r="T861" s="25"/>
      <c r="U861" s="25"/>
      <c r="V861" s="25"/>
      <c r="W861" s="25"/>
      <c r="X861" s="25"/>
      <c r="Y861" s="25"/>
      <c r="Z861" s="25"/>
    </row>
    <row r="862" spans="1:26" ht="14.25" customHeight="1" x14ac:dyDescent="0.25">
      <c r="A862" s="26"/>
      <c r="B862" s="25"/>
      <c r="C862" s="25"/>
      <c r="D862" s="25"/>
      <c r="E862" s="26"/>
      <c r="F862" s="26"/>
      <c r="G862" s="26"/>
      <c r="H862" s="26"/>
      <c r="I862" s="26"/>
      <c r="J862" s="25"/>
      <c r="K862" s="25"/>
      <c r="L862" s="25"/>
      <c r="M862" s="25"/>
      <c r="N862" s="25"/>
      <c r="O862" s="25"/>
      <c r="P862" s="25"/>
      <c r="Q862" s="25"/>
      <c r="R862" s="25"/>
      <c r="S862" s="25"/>
      <c r="T862" s="25"/>
      <c r="U862" s="25"/>
      <c r="V862" s="25"/>
      <c r="W862" s="25"/>
      <c r="X862" s="25"/>
      <c r="Y862" s="25"/>
      <c r="Z862" s="25"/>
    </row>
    <row r="863" spans="1:26" ht="14.25" customHeight="1" x14ac:dyDescent="0.25">
      <c r="A863" s="26"/>
      <c r="B863" s="25"/>
      <c r="C863" s="25"/>
      <c r="D863" s="25"/>
      <c r="E863" s="26"/>
      <c r="F863" s="26"/>
      <c r="G863" s="26"/>
      <c r="H863" s="26"/>
      <c r="I863" s="26"/>
      <c r="J863" s="25"/>
      <c r="K863" s="25"/>
      <c r="L863" s="25"/>
      <c r="M863" s="25"/>
      <c r="N863" s="25"/>
      <c r="O863" s="25"/>
      <c r="P863" s="25"/>
      <c r="Q863" s="25"/>
      <c r="R863" s="25"/>
      <c r="S863" s="25"/>
      <c r="T863" s="25"/>
      <c r="U863" s="25"/>
      <c r="V863" s="25"/>
      <c r="W863" s="25"/>
      <c r="X863" s="25"/>
      <c r="Y863" s="25"/>
      <c r="Z863" s="25"/>
    </row>
    <row r="864" spans="1:26" ht="14.25" customHeight="1" x14ac:dyDescent="0.25">
      <c r="A864" s="26"/>
      <c r="B864" s="25"/>
      <c r="C864" s="25"/>
      <c r="D864" s="25"/>
      <c r="E864" s="26"/>
      <c r="F864" s="26"/>
      <c r="G864" s="26"/>
      <c r="H864" s="26"/>
      <c r="I864" s="26"/>
      <c r="J864" s="25"/>
      <c r="K864" s="25"/>
      <c r="L864" s="25"/>
      <c r="M864" s="25"/>
      <c r="N864" s="25"/>
      <c r="O864" s="25"/>
      <c r="P864" s="25"/>
      <c r="Q864" s="25"/>
      <c r="R864" s="25"/>
      <c r="S864" s="25"/>
      <c r="T864" s="25"/>
      <c r="U864" s="25"/>
      <c r="V864" s="25"/>
      <c r="W864" s="25"/>
      <c r="X864" s="25"/>
      <c r="Y864" s="25"/>
      <c r="Z864" s="25"/>
    </row>
    <row r="865" spans="1:26" ht="14.25" customHeight="1" x14ac:dyDescent="0.25">
      <c r="A865" s="26"/>
      <c r="B865" s="25"/>
      <c r="C865" s="25"/>
      <c r="D865" s="25"/>
      <c r="E865" s="26"/>
      <c r="F865" s="26"/>
      <c r="G865" s="26"/>
      <c r="H865" s="26"/>
      <c r="I865" s="26"/>
      <c r="J865" s="25"/>
      <c r="K865" s="25"/>
      <c r="L865" s="25"/>
      <c r="M865" s="25"/>
      <c r="N865" s="25"/>
      <c r="O865" s="25"/>
      <c r="P865" s="25"/>
      <c r="Q865" s="25"/>
      <c r="R865" s="25"/>
      <c r="S865" s="25"/>
      <c r="T865" s="25"/>
      <c r="U865" s="25"/>
      <c r="V865" s="25"/>
      <c r="W865" s="25"/>
      <c r="X865" s="25"/>
      <c r="Y865" s="25"/>
      <c r="Z865" s="25"/>
    </row>
    <row r="866" spans="1:26" ht="14.25" customHeight="1" x14ac:dyDescent="0.25">
      <c r="A866" s="26"/>
      <c r="B866" s="25"/>
      <c r="C866" s="25"/>
      <c r="D866" s="25"/>
      <c r="E866" s="26"/>
      <c r="F866" s="26"/>
      <c r="G866" s="26"/>
      <c r="H866" s="26"/>
      <c r="I866" s="26"/>
      <c r="J866" s="25"/>
      <c r="K866" s="25"/>
      <c r="L866" s="25"/>
      <c r="M866" s="25"/>
      <c r="N866" s="25"/>
      <c r="O866" s="25"/>
      <c r="P866" s="25"/>
      <c r="Q866" s="25"/>
      <c r="R866" s="25"/>
      <c r="S866" s="25"/>
      <c r="T866" s="25"/>
      <c r="U866" s="25"/>
      <c r="V866" s="25"/>
      <c r="W866" s="25"/>
      <c r="X866" s="25"/>
      <c r="Y866" s="25"/>
      <c r="Z866" s="25"/>
    </row>
    <row r="867" spans="1:26" ht="14.25" customHeight="1" x14ac:dyDescent="0.25">
      <c r="A867" s="26"/>
      <c r="B867" s="25"/>
      <c r="C867" s="25"/>
      <c r="D867" s="25"/>
      <c r="E867" s="26"/>
      <c r="F867" s="26"/>
      <c r="G867" s="26"/>
      <c r="H867" s="26"/>
      <c r="I867" s="26"/>
      <c r="J867" s="25"/>
      <c r="K867" s="25"/>
      <c r="L867" s="25"/>
      <c r="M867" s="25"/>
      <c r="N867" s="25"/>
      <c r="O867" s="25"/>
      <c r="P867" s="25"/>
      <c r="Q867" s="25"/>
      <c r="R867" s="25"/>
      <c r="S867" s="25"/>
      <c r="T867" s="25"/>
      <c r="U867" s="25"/>
      <c r="V867" s="25"/>
      <c r="W867" s="25"/>
      <c r="X867" s="25"/>
      <c r="Y867" s="25"/>
      <c r="Z867" s="25"/>
    </row>
    <row r="868" spans="1:26" ht="14.25" customHeight="1" x14ac:dyDescent="0.25">
      <c r="A868" s="26"/>
      <c r="B868" s="25"/>
      <c r="C868" s="25"/>
      <c r="D868" s="25"/>
      <c r="E868" s="26"/>
      <c r="F868" s="26"/>
      <c r="G868" s="26"/>
      <c r="H868" s="26"/>
      <c r="I868" s="26"/>
      <c r="J868" s="25"/>
      <c r="K868" s="25"/>
      <c r="L868" s="25"/>
      <c r="M868" s="25"/>
      <c r="N868" s="25"/>
      <c r="O868" s="25"/>
      <c r="P868" s="25"/>
      <c r="Q868" s="25"/>
      <c r="R868" s="25"/>
      <c r="S868" s="25"/>
      <c r="T868" s="25"/>
      <c r="U868" s="25"/>
      <c r="V868" s="25"/>
      <c r="W868" s="25"/>
      <c r="X868" s="25"/>
      <c r="Y868" s="25"/>
      <c r="Z868" s="25"/>
    </row>
    <row r="869" spans="1:26" ht="14.25" customHeight="1" x14ac:dyDescent="0.25">
      <c r="A869" s="26"/>
      <c r="B869" s="25"/>
      <c r="C869" s="25"/>
      <c r="D869" s="25"/>
      <c r="E869" s="26"/>
      <c r="F869" s="26"/>
      <c r="G869" s="26"/>
      <c r="H869" s="26"/>
      <c r="I869" s="26"/>
      <c r="J869" s="25"/>
      <c r="K869" s="25"/>
      <c r="L869" s="25"/>
      <c r="M869" s="25"/>
      <c r="N869" s="25"/>
      <c r="O869" s="25"/>
      <c r="P869" s="25"/>
      <c r="Q869" s="25"/>
      <c r="R869" s="25"/>
      <c r="S869" s="25"/>
      <c r="T869" s="25"/>
      <c r="U869" s="25"/>
      <c r="V869" s="25"/>
      <c r="W869" s="25"/>
      <c r="X869" s="25"/>
      <c r="Y869" s="25"/>
      <c r="Z869" s="25"/>
    </row>
    <row r="870" spans="1:26" ht="14.25" customHeight="1" x14ac:dyDescent="0.25">
      <c r="A870" s="26"/>
      <c r="B870" s="25"/>
      <c r="C870" s="25"/>
      <c r="D870" s="25"/>
      <c r="E870" s="26"/>
      <c r="F870" s="26"/>
      <c r="G870" s="26"/>
      <c r="H870" s="26"/>
      <c r="I870" s="26"/>
      <c r="J870" s="25"/>
      <c r="K870" s="25"/>
      <c r="L870" s="25"/>
      <c r="M870" s="25"/>
      <c r="N870" s="25"/>
      <c r="O870" s="25"/>
      <c r="P870" s="25"/>
      <c r="Q870" s="25"/>
      <c r="R870" s="25"/>
      <c r="S870" s="25"/>
      <c r="T870" s="25"/>
      <c r="U870" s="25"/>
      <c r="V870" s="25"/>
      <c r="W870" s="25"/>
      <c r="X870" s="25"/>
      <c r="Y870" s="25"/>
      <c r="Z870" s="25"/>
    </row>
    <row r="871" spans="1:26" ht="14.25" customHeight="1" x14ac:dyDescent="0.25">
      <c r="A871" s="26"/>
      <c r="B871" s="25"/>
      <c r="C871" s="25"/>
      <c r="D871" s="25"/>
      <c r="E871" s="26"/>
      <c r="F871" s="26"/>
      <c r="G871" s="26"/>
      <c r="H871" s="26"/>
      <c r="I871" s="26"/>
      <c r="J871" s="25"/>
      <c r="K871" s="25"/>
      <c r="L871" s="25"/>
      <c r="M871" s="25"/>
      <c r="N871" s="25"/>
      <c r="O871" s="25"/>
      <c r="P871" s="25"/>
      <c r="Q871" s="25"/>
      <c r="R871" s="25"/>
      <c r="S871" s="25"/>
      <c r="T871" s="25"/>
      <c r="U871" s="25"/>
      <c r="V871" s="25"/>
      <c r="W871" s="25"/>
      <c r="X871" s="25"/>
      <c r="Y871" s="25"/>
      <c r="Z871" s="25"/>
    </row>
    <row r="872" spans="1:26" ht="14.25" customHeight="1" x14ac:dyDescent="0.25">
      <c r="A872" s="26"/>
      <c r="B872" s="25"/>
      <c r="C872" s="25"/>
      <c r="D872" s="25"/>
      <c r="E872" s="26"/>
      <c r="F872" s="26"/>
      <c r="G872" s="26"/>
      <c r="H872" s="26"/>
      <c r="I872" s="26"/>
      <c r="J872" s="25"/>
      <c r="K872" s="25"/>
      <c r="L872" s="25"/>
      <c r="M872" s="25"/>
      <c r="N872" s="25"/>
      <c r="O872" s="25"/>
      <c r="P872" s="25"/>
      <c r="Q872" s="25"/>
      <c r="R872" s="25"/>
      <c r="S872" s="25"/>
      <c r="T872" s="25"/>
      <c r="U872" s="25"/>
      <c r="V872" s="25"/>
      <c r="W872" s="25"/>
      <c r="X872" s="25"/>
      <c r="Y872" s="25"/>
      <c r="Z872" s="25"/>
    </row>
    <row r="873" spans="1:26" ht="14.25" customHeight="1" x14ac:dyDescent="0.25">
      <c r="A873" s="26"/>
      <c r="B873" s="25"/>
      <c r="C873" s="25"/>
      <c r="D873" s="25"/>
      <c r="E873" s="26"/>
      <c r="F873" s="26"/>
      <c r="G873" s="26"/>
      <c r="H873" s="26"/>
      <c r="I873" s="26"/>
      <c r="J873" s="25"/>
      <c r="K873" s="25"/>
      <c r="L873" s="25"/>
      <c r="M873" s="25"/>
      <c r="N873" s="25"/>
      <c r="O873" s="25"/>
      <c r="P873" s="25"/>
      <c r="Q873" s="25"/>
      <c r="R873" s="25"/>
      <c r="S873" s="25"/>
      <c r="T873" s="25"/>
      <c r="U873" s="25"/>
      <c r="V873" s="25"/>
      <c r="W873" s="25"/>
      <c r="X873" s="25"/>
      <c r="Y873" s="25"/>
      <c r="Z873" s="25"/>
    </row>
    <row r="874" spans="1:26" ht="14.25" customHeight="1" x14ac:dyDescent="0.25">
      <c r="A874" s="26"/>
      <c r="B874" s="25"/>
      <c r="C874" s="25"/>
      <c r="D874" s="25"/>
      <c r="E874" s="26"/>
      <c r="F874" s="26"/>
      <c r="G874" s="26"/>
      <c r="H874" s="26"/>
      <c r="I874" s="26"/>
      <c r="J874" s="25"/>
      <c r="K874" s="25"/>
      <c r="L874" s="25"/>
      <c r="M874" s="25"/>
      <c r="N874" s="25"/>
      <c r="O874" s="25"/>
      <c r="P874" s="25"/>
      <c r="Q874" s="25"/>
      <c r="R874" s="25"/>
      <c r="S874" s="25"/>
      <c r="T874" s="25"/>
      <c r="U874" s="25"/>
      <c r="V874" s="25"/>
      <c r="W874" s="25"/>
      <c r="X874" s="25"/>
      <c r="Y874" s="25"/>
      <c r="Z874" s="25"/>
    </row>
    <row r="875" spans="1:26" ht="14.25" customHeight="1" x14ac:dyDescent="0.25">
      <c r="A875" s="26"/>
      <c r="B875" s="25"/>
      <c r="C875" s="25"/>
      <c r="D875" s="25"/>
      <c r="E875" s="26"/>
      <c r="F875" s="26"/>
      <c r="G875" s="26"/>
      <c r="H875" s="26"/>
      <c r="I875" s="26"/>
      <c r="J875" s="25"/>
      <c r="K875" s="25"/>
      <c r="L875" s="25"/>
      <c r="M875" s="25"/>
      <c r="N875" s="25"/>
      <c r="O875" s="25"/>
      <c r="P875" s="25"/>
      <c r="Q875" s="25"/>
      <c r="R875" s="25"/>
      <c r="S875" s="25"/>
      <c r="T875" s="25"/>
      <c r="U875" s="25"/>
      <c r="V875" s="25"/>
      <c r="W875" s="25"/>
      <c r="X875" s="25"/>
      <c r="Y875" s="25"/>
      <c r="Z875" s="25"/>
    </row>
    <row r="876" spans="1:26" ht="14.25" customHeight="1" x14ac:dyDescent="0.25">
      <c r="A876" s="26"/>
      <c r="B876" s="25"/>
      <c r="C876" s="25"/>
      <c r="D876" s="25"/>
      <c r="E876" s="26"/>
      <c r="F876" s="26"/>
      <c r="G876" s="26"/>
      <c r="H876" s="26"/>
      <c r="I876" s="26"/>
      <c r="J876" s="25"/>
      <c r="K876" s="25"/>
      <c r="L876" s="25"/>
      <c r="M876" s="25"/>
      <c r="N876" s="25"/>
      <c r="O876" s="25"/>
      <c r="P876" s="25"/>
      <c r="Q876" s="25"/>
      <c r="R876" s="25"/>
      <c r="S876" s="25"/>
      <c r="T876" s="25"/>
      <c r="U876" s="25"/>
      <c r="V876" s="25"/>
      <c r="W876" s="25"/>
      <c r="X876" s="25"/>
      <c r="Y876" s="25"/>
      <c r="Z876" s="25"/>
    </row>
    <row r="877" spans="1:26" ht="14.25" customHeight="1" x14ac:dyDescent="0.25">
      <c r="A877" s="26"/>
      <c r="B877" s="25"/>
      <c r="C877" s="25"/>
      <c r="D877" s="25"/>
      <c r="E877" s="26"/>
      <c r="F877" s="26"/>
      <c r="G877" s="26"/>
      <c r="H877" s="26"/>
      <c r="I877" s="26"/>
      <c r="J877" s="25"/>
      <c r="K877" s="25"/>
      <c r="L877" s="25"/>
      <c r="M877" s="25"/>
      <c r="N877" s="25"/>
      <c r="O877" s="25"/>
      <c r="P877" s="25"/>
      <c r="Q877" s="25"/>
      <c r="R877" s="25"/>
      <c r="S877" s="25"/>
      <c r="T877" s="25"/>
      <c r="U877" s="25"/>
      <c r="V877" s="25"/>
      <c r="W877" s="25"/>
      <c r="X877" s="25"/>
      <c r="Y877" s="25"/>
      <c r="Z877" s="25"/>
    </row>
    <row r="878" spans="1:26" ht="14.25" customHeight="1" x14ac:dyDescent="0.25">
      <c r="A878" s="26"/>
      <c r="B878" s="25"/>
      <c r="C878" s="25"/>
      <c r="D878" s="25"/>
      <c r="E878" s="26"/>
      <c r="F878" s="26"/>
      <c r="G878" s="26"/>
      <c r="H878" s="26"/>
      <c r="I878" s="26"/>
      <c r="J878" s="25"/>
      <c r="K878" s="25"/>
      <c r="L878" s="25"/>
      <c r="M878" s="25"/>
      <c r="N878" s="25"/>
      <c r="O878" s="25"/>
      <c r="P878" s="25"/>
      <c r="Q878" s="25"/>
      <c r="R878" s="25"/>
      <c r="S878" s="25"/>
      <c r="T878" s="25"/>
      <c r="U878" s="25"/>
      <c r="V878" s="25"/>
      <c r="W878" s="25"/>
      <c r="X878" s="25"/>
      <c r="Y878" s="25"/>
      <c r="Z878" s="25"/>
    </row>
    <row r="879" spans="1:26" ht="14.25" customHeight="1" x14ac:dyDescent="0.25">
      <c r="A879" s="26"/>
      <c r="B879" s="25"/>
      <c r="C879" s="25"/>
      <c r="D879" s="25"/>
      <c r="E879" s="26"/>
      <c r="F879" s="26"/>
      <c r="G879" s="26"/>
      <c r="H879" s="26"/>
      <c r="I879" s="26"/>
      <c r="J879" s="25"/>
      <c r="K879" s="25"/>
      <c r="L879" s="25"/>
      <c r="M879" s="25"/>
      <c r="N879" s="25"/>
      <c r="O879" s="25"/>
      <c r="P879" s="25"/>
      <c r="Q879" s="25"/>
      <c r="R879" s="25"/>
      <c r="S879" s="25"/>
      <c r="T879" s="25"/>
      <c r="U879" s="25"/>
      <c r="V879" s="25"/>
      <c r="W879" s="25"/>
      <c r="X879" s="25"/>
      <c r="Y879" s="25"/>
      <c r="Z879" s="25"/>
    </row>
    <row r="880" spans="1:26" ht="14.25" customHeight="1" x14ac:dyDescent="0.25">
      <c r="A880" s="26"/>
      <c r="B880" s="25"/>
      <c r="C880" s="25"/>
      <c r="D880" s="25"/>
      <c r="E880" s="26"/>
      <c r="F880" s="26"/>
      <c r="G880" s="26"/>
      <c r="H880" s="26"/>
      <c r="I880" s="26"/>
      <c r="J880" s="25"/>
      <c r="K880" s="25"/>
      <c r="L880" s="25"/>
      <c r="M880" s="25"/>
      <c r="N880" s="25"/>
      <c r="O880" s="25"/>
      <c r="P880" s="25"/>
      <c r="Q880" s="25"/>
      <c r="R880" s="25"/>
      <c r="S880" s="25"/>
      <c r="T880" s="25"/>
      <c r="U880" s="25"/>
      <c r="V880" s="25"/>
      <c r="W880" s="25"/>
      <c r="X880" s="25"/>
      <c r="Y880" s="25"/>
      <c r="Z880" s="25"/>
    </row>
    <row r="881" spans="1:26" ht="14.25" customHeight="1" x14ac:dyDescent="0.25">
      <c r="A881" s="26"/>
      <c r="B881" s="25"/>
      <c r="C881" s="25"/>
      <c r="D881" s="25"/>
      <c r="E881" s="26"/>
      <c r="F881" s="26"/>
      <c r="G881" s="26"/>
      <c r="H881" s="26"/>
      <c r="I881" s="26"/>
      <c r="J881" s="25"/>
      <c r="K881" s="25"/>
      <c r="L881" s="25"/>
      <c r="M881" s="25"/>
      <c r="N881" s="25"/>
      <c r="O881" s="25"/>
      <c r="P881" s="25"/>
      <c r="Q881" s="25"/>
      <c r="R881" s="25"/>
      <c r="S881" s="25"/>
      <c r="T881" s="25"/>
      <c r="U881" s="25"/>
      <c r="V881" s="25"/>
      <c r="W881" s="25"/>
      <c r="X881" s="25"/>
      <c r="Y881" s="25"/>
      <c r="Z881" s="25"/>
    </row>
    <row r="882" spans="1:26" ht="14.25" customHeight="1" x14ac:dyDescent="0.25">
      <c r="A882" s="26"/>
      <c r="B882" s="25"/>
      <c r="C882" s="25"/>
      <c r="D882" s="25"/>
      <c r="E882" s="26"/>
      <c r="F882" s="26"/>
      <c r="G882" s="26"/>
      <c r="H882" s="26"/>
      <c r="I882" s="26"/>
      <c r="J882" s="25"/>
      <c r="K882" s="25"/>
      <c r="L882" s="25"/>
      <c r="M882" s="25"/>
      <c r="N882" s="25"/>
      <c r="O882" s="25"/>
      <c r="P882" s="25"/>
      <c r="Q882" s="25"/>
      <c r="R882" s="25"/>
      <c r="S882" s="25"/>
      <c r="T882" s="25"/>
      <c r="U882" s="25"/>
      <c r="V882" s="25"/>
      <c r="W882" s="25"/>
      <c r="X882" s="25"/>
      <c r="Y882" s="25"/>
      <c r="Z882" s="25"/>
    </row>
    <row r="883" spans="1:26" ht="14.25" customHeight="1" x14ac:dyDescent="0.25">
      <c r="A883" s="26"/>
      <c r="B883" s="25"/>
      <c r="C883" s="25"/>
      <c r="D883" s="25"/>
      <c r="E883" s="26"/>
      <c r="F883" s="26"/>
      <c r="G883" s="26"/>
      <c r="H883" s="26"/>
      <c r="I883" s="26"/>
      <c r="J883" s="25"/>
      <c r="K883" s="25"/>
      <c r="L883" s="25"/>
      <c r="M883" s="25"/>
      <c r="N883" s="25"/>
      <c r="O883" s="25"/>
      <c r="P883" s="25"/>
      <c r="Q883" s="25"/>
      <c r="R883" s="25"/>
      <c r="S883" s="25"/>
      <c r="T883" s="25"/>
      <c r="U883" s="25"/>
      <c r="V883" s="25"/>
      <c r="W883" s="25"/>
      <c r="X883" s="25"/>
      <c r="Y883" s="25"/>
      <c r="Z883" s="25"/>
    </row>
    <row r="884" spans="1:26" ht="14.25" customHeight="1" x14ac:dyDescent="0.25">
      <c r="A884" s="26"/>
      <c r="B884" s="25"/>
      <c r="C884" s="25"/>
      <c r="D884" s="25"/>
      <c r="E884" s="26"/>
      <c r="F884" s="26"/>
      <c r="G884" s="26"/>
      <c r="H884" s="26"/>
      <c r="I884" s="26"/>
      <c r="J884" s="25"/>
      <c r="K884" s="25"/>
      <c r="L884" s="25"/>
      <c r="M884" s="25"/>
      <c r="N884" s="25"/>
      <c r="O884" s="25"/>
      <c r="P884" s="25"/>
      <c r="Q884" s="25"/>
      <c r="R884" s="25"/>
      <c r="S884" s="25"/>
      <c r="T884" s="25"/>
      <c r="U884" s="25"/>
      <c r="V884" s="25"/>
      <c r="W884" s="25"/>
      <c r="X884" s="25"/>
      <c r="Y884" s="25"/>
      <c r="Z884" s="25"/>
    </row>
    <row r="885" spans="1:26" ht="14.25" customHeight="1" x14ac:dyDescent="0.25">
      <c r="A885" s="26"/>
      <c r="B885" s="25"/>
      <c r="C885" s="25"/>
      <c r="D885" s="25"/>
      <c r="E885" s="26"/>
      <c r="F885" s="26"/>
      <c r="G885" s="26"/>
      <c r="H885" s="26"/>
      <c r="I885" s="26"/>
      <c r="J885" s="25"/>
      <c r="K885" s="25"/>
      <c r="L885" s="25"/>
      <c r="M885" s="25"/>
      <c r="N885" s="25"/>
      <c r="O885" s="25"/>
      <c r="P885" s="25"/>
      <c r="Q885" s="25"/>
      <c r="R885" s="25"/>
      <c r="S885" s="25"/>
      <c r="T885" s="25"/>
      <c r="U885" s="25"/>
      <c r="V885" s="25"/>
      <c r="W885" s="25"/>
      <c r="X885" s="25"/>
      <c r="Y885" s="25"/>
      <c r="Z885" s="25"/>
    </row>
    <row r="886" spans="1:26" ht="14.25" customHeight="1" x14ac:dyDescent="0.25">
      <c r="A886" s="26"/>
      <c r="B886" s="25"/>
      <c r="C886" s="25"/>
      <c r="D886" s="25"/>
      <c r="E886" s="26"/>
      <c r="F886" s="26"/>
      <c r="G886" s="26"/>
      <c r="H886" s="26"/>
      <c r="I886" s="26"/>
      <c r="J886" s="25"/>
      <c r="K886" s="25"/>
      <c r="L886" s="25"/>
      <c r="M886" s="25"/>
      <c r="N886" s="25"/>
      <c r="O886" s="25"/>
      <c r="P886" s="25"/>
      <c r="Q886" s="25"/>
      <c r="R886" s="25"/>
      <c r="S886" s="25"/>
      <c r="T886" s="25"/>
      <c r="U886" s="25"/>
      <c r="V886" s="25"/>
      <c r="W886" s="25"/>
      <c r="X886" s="25"/>
      <c r="Y886" s="25"/>
      <c r="Z886" s="25"/>
    </row>
    <row r="887" spans="1:26" ht="14.25" customHeight="1" x14ac:dyDescent="0.25">
      <c r="A887" s="26"/>
      <c r="B887" s="25"/>
      <c r="C887" s="25"/>
      <c r="D887" s="25"/>
      <c r="E887" s="26"/>
      <c r="F887" s="26"/>
      <c r="G887" s="26"/>
      <c r="H887" s="26"/>
      <c r="I887" s="26"/>
      <c r="J887" s="25"/>
      <c r="K887" s="25"/>
      <c r="L887" s="25"/>
      <c r="M887" s="25"/>
      <c r="N887" s="25"/>
      <c r="O887" s="25"/>
      <c r="P887" s="25"/>
      <c r="Q887" s="25"/>
      <c r="R887" s="25"/>
      <c r="S887" s="25"/>
      <c r="T887" s="25"/>
      <c r="U887" s="25"/>
      <c r="V887" s="25"/>
      <c r="W887" s="25"/>
      <c r="X887" s="25"/>
      <c r="Y887" s="25"/>
      <c r="Z887" s="25"/>
    </row>
    <row r="888" spans="1:26" ht="14.25" customHeight="1" x14ac:dyDescent="0.25">
      <c r="A888" s="26"/>
      <c r="B888" s="25"/>
      <c r="C888" s="25"/>
      <c r="D888" s="25"/>
      <c r="E888" s="26"/>
      <c r="F888" s="26"/>
      <c r="G888" s="26"/>
      <c r="H888" s="26"/>
      <c r="I888" s="26"/>
      <c r="J888" s="25"/>
      <c r="K888" s="25"/>
      <c r="L888" s="25"/>
      <c r="M888" s="25"/>
      <c r="N888" s="25"/>
      <c r="O888" s="25"/>
      <c r="P888" s="25"/>
      <c r="Q888" s="25"/>
      <c r="R888" s="25"/>
      <c r="S888" s="25"/>
      <c r="T888" s="25"/>
      <c r="U888" s="25"/>
      <c r="V888" s="25"/>
      <c r="W888" s="25"/>
      <c r="X888" s="25"/>
      <c r="Y888" s="25"/>
      <c r="Z888" s="25"/>
    </row>
    <row r="889" spans="1:26" ht="14.25" customHeight="1" x14ac:dyDescent="0.25">
      <c r="A889" s="26"/>
      <c r="B889" s="25"/>
      <c r="C889" s="25"/>
      <c r="D889" s="25"/>
      <c r="E889" s="26"/>
      <c r="F889" s="26"/>
      <c r="G889" s="26"/>
      <c r="H889" s="26"/>
      <c r="I889" s="26"/>
      <c r="J889" s="25"/>
      <c r="K889" s="25"/>
      <c r="L889" s="25"/>
      <c r="M889" s="25"/>
      <c r="N889" s="25"/>
      <c r="O889" s="25"/>
      <c r="P889" s="25"/>
      <c r="Q889" s="25"/>
      <c r="R889" s="25"/>
      <c r="S889" s="25"/>
      <c r="T889" s="25"/>
      <c r="U889" s="25"/>
      <c r="V889" s="25"/>
      <c r="W889" s="25"/>
      <c r="X889" s="25"/>
      <c r="Y889" s="25"/>
      <c r="Z889" s="25"/>
    </row>
    <row r="890" spans="1:26" ht="14.25" customHeight="1" x14ac:dyDescent="0.25">
      <c r="A890" s="26"/>
      <c r="B890" s="25"/>
      <c r="C890" s="25"/>
      <c r="D890" s="25"/>
      <c r="E890" s="26"/>
      <c r="F890" s="26"/>
      <c r="G890" s="26"/>
      <c r="H890" s="26"/>
      <c r="I890" s="26"/>
      <c r="J890" s="25"/>
      <c r="K890" s="25"/>
      <c r="L890" s="25"/>
      <c r="M890" s="25"/>
      <c r="N890" s="25"/>
      <c r="O890" s="25"/>
      <c r="P890" s="25"/>
      <c r="Q890" s="25"/>
      <c r="R890" s="25"/>
      <c r="S890" s="25"/>
      <c r="T890" s="25"/>
      <c r="U890" s="25"/>
      <c r="V890" s="25"/>
      <c r="W890" s="25"/>
      <c r="X890" s="25"/>
      <c r="Y890" s="25"/>
      <c r="Z890" s="25"/>
    </row>
    <row r="891" spans="1:26" ht="14.25" customHeight="1" x14ac:dyDescent="0.25">
      <c r="A891" s="26"/>
      <c r="B891" s="25"/>
      <c r="C891" s="25"/>
      <c r="D891" s="25"/>
      <c r="E891" s="26"/>
      <c r="F891" s="26"/>
      <c r="G891" s="26"/>
      <c r="H891" s="26"/>
      <c r="I891" s="26"/>
      <c r="J891" s="25"/>
      <c r="K891" s="25"/>
      <c r="L891" s="25"/>
      <c r="M891" s="25"/>
      <c r="N891" s="25"/>
      <c r="O891" s="25"/>
      <c r="P891" s="25"/>
      <c r="Q891" s="25"/>
      <c r="R891" s="25"/>
      <c r="S891" s="25"/>
      <c r="T891" s="25"/>
      <c r="U891" s="25"/>
      <c r="V891" s="25"/>
      <c r="W891" s="25"/>
      <c r="X891" s="25"/>
      <c r="Y891" s="25"/>
      <c r="Z891" s="25"/>
    </row>
    <row r="892" spans="1:26" ht="14.25" customHeight="1" x14ac:dyDescent="0.25">
      <c r="A892" s="26"/>
      <c r="B892" s="25"/>
      <c r="C892" s="25"/>
      <c r="D892" s="25"/>
      <c r="E892" s="26"/>
      <c r="F892" s="26"/>
      <c r="G892" s="26"/>
      <c r="H892" s="26"/>
      <c r="I892" s="26"/>
      <c r="J892" s="25"/>
      <c r="K892" s="25"/>
      <c r="L892" s="25"/>
      <c r="M892" s="25"/>
      <c r="N892" s="25"/>
      <c r="O892" s="25"/>
      <c r="P892" s="25"/>
      <c r="Q892" s="25"/>
      <c r="R892" s="25"/>
      <c r="S892" s="25"/>
      <c r="T892" s="25"/>
      <c r="U892" s="25"/>
      <c r="V892" s="25"/>
      <c r="W892" s="25"/>
      <c r="X892" s="25"/>
      <c r="Y892" s="25"/>
      <c r="Z892" s="25"/>
    </row>
    <row r="893" spans="1:26" ht="14.25" customHeight="1" x14ac:dyDescent="0.25">
      <c r="A893" s="26"/>
      <c r="B893" s="25"/>
      <c r="C893" s="25"/>
      <c r="D893" s="25"/>
      <c r="E893" s="26"/>
      <c r="F893" s="26"/>
      <c r="G893" s="26"/>
      <c r="H893" s="26"/>
      <c r="I893" s="26"/>
      <c r="J893" s="25"/>
      <c r="K893" s="25"/>
      <c r="L893" s="25"/>
      <c r="M893" s="25"/>
      <c r="N893" s="25"/>
      <c r="O893" s="25"/>
      <c r="P893" s="25"/>
      <c r="Q893" s="25"/>
      <c r="R893" s="25"/>
      <c r="S893" s="25"/>
      <c r="T893" s="25"/>
      <c r="U893" s="25"/>
      <c r="V893" s="25"/>
      <c r="W893" s="25"/>
      <c r="X893" s="25"/>
      <c r="Y893" s="25"/>
      <c r="Z893" s="25"/>
    </row>
    <row r="894" spans="1:26" ht="14.25" customHeight="1" x14ac:dyDescent="0.25">
      <c r="A894" s="26"/>
      <c r="B894" s="25"/>
      <c r="C894" s="25"/>
      <c r="D894" s="25"/>
      <c r="E894" s="26"/>
      <c r="F894" s="26"/>
      <c r="G894" s="26"/>
      <c r="H894" s="26"/>
      <c r="I894" s="26"/>
      <c r="J894" s="25"/>
      <c r="K894" s="25"/>
      <c r="L894" s="25"/>
      <c r="M894" s="25"/>
      <c r="N894" s="25"/>
      <c r="O894" s="25"/>
      <c r="P894" s="25"/>
      <c r="Q894" s="25"/>
      <c r="R894" s="25"/>
      <c r="S894" s="25"/>
      <c r="T894" s="25"/>
      <c r="U894" s="25"/>
      <c r="V894" s="25"/>
      <c r="W894" s="25"/>
      <c r="X894" s="25"/>
      <c r="Y894" s="25"/>
      <c r="Z894" s="25"/>
    </row>
    <row r="895" spans="1:26" ht="14.25" customHeight="1" x14ac:dyDescent="0.25">
      <c r="A895" s="26"/>
      <c r="B895" s="25"/>
      <c r="C895" s="25"/>
      <c r="D895" s="25"/>
      <c r="E895" s="26"/>
      <c r="F895" s="26"/>
      <c r="G895" s="26"/>
      <c r="H895" s="26"/>
      <c r="I895" s="26"/>
      <c r="J895" s="25"/>
      <c r="K895" s="25"/>
      <c r="L895" s="25"/>
      <c r="M895" s="25"/>
      <c r="N895" s="25"/>
      <c r="O895" s="25"/>
      <c r="P895" s="25"/>
      <c r="Q895" s="25"/>
      <c r="R895" s="25"/>
      <c r="S895" s="25"/>
      <c r="T895" s="25"/>
      <c r="U895" s="25"/>
      <c r="V895" s="25"/>
      <c r="W895" s="25"/>
      <c r="X895" s="25"/>
      <c r="Y895" s="25"/>
      <c r="Z895" s="25"/>
    </row>
    <row r="896" spans="1:26" ht="14.25" customHeight="1" x14ac:dyDescent="0.25">
      <c r="A896" s="26"/>
      <c r="B896" s="25"/>
      <c r="C896" s="25"/>
      <c r="D896" s="25"/>
      <c r="E896" s="26"/>
      <c r="F896" s="26"/>
      <c r="G896" s="26"/>
      <c r="H896" s="26"/>
      <c r="I896" s="26"/>
      <c r="J896" s="25"/>
      <c r="K896" s="25"/>
      <c r="L896" s="25"/>
      <c r="M896" s="25"/>
      <c r="N896" s="25"/>
      <c r="O896" s="25"/>
      <c r="P896" s="25"/>
      <c r="Q896" s="25"/>
      <c r="R896" s="25"/>
      <c r="S896" s="25"/>
      <c r="T896" s="25"/>
      <c r="U896" s="25"/>
      <c r="V896" s="25"/>
      <c r="W896" s="25"/>
      <c r="X896" s="25"/>
      <c r="Y896" s="25"/>
      <c r="Z896" s="25"/>
    </row>
    <row r="897" spans="1:26" ht="14.25" customHeight="1" x14ac:dyDescent="0.25">
      <c r="A897" s="26"/>
      <c r="B897" s="25"/>
      <c r="C897" s="25"/>
      <c r="D897" s="25"/>
      <c r="E897" s="26"/>
      <c r="F897" s="26"/>
      <c r="G897" s="26"/>
      <c r="H897" s="26"/>
      <c r="I897" s="26"/>
      <c r="J897" s="25"/>
      <c r="K897" s="25"/>
      <c r="L897" s="25"/>
      <c r="M897" s="25"/>
      <c r="N897" s="25"/>
      <c r="O897" s="25"/>
      <c r="P897" s="25"/>
      <c r="Q897" s="25"/>
      <c r="R897" s="25"/>
      <c r="S897" s="25"/>
      <c r="T897" s="25"/>
      <c r="U897" s="25"/>
      <c r="V897" s="25"/>
      <c r="W897" s="25"/>
      <c r="X897" s="25"/>
      <c r="Y897" s="25"/>
      <c r="Z897" s="25"/>
    </row>
    <row r="898" spans="1:26" ht="14.25" customHeight="1" x14ac:dyDescent="0.25">
      <c r="A898" s="26"/>
      <c r="B898" s="25"/>
      <c r="C898" s="25"/>
      <c r="D898" s="25"/>
      <c r="E898" s="26"/>
      <c r="F898" s="26"/>
      <c r="G898" s="26"/>
      <c r="H898" s="26"/>
      <c r="I898" s="26"/>
      <c r="J898" s="25"/>
      <c r="K898" s="25"/>
      <c r="L898" s="25"/>
      <c r="M898" s="25"/>
      <c r="N898" s="25"/>
      <c r="O898" s="25"/>
      <c r="P898" s="25"/>
      <c r="Q898" s="25"/>
      <c r="R898" s="25"/>
      <c r="S898" s="25"/>
      <c r="T898" s="25"/>
      <c r="U898" s="25"/>
      <c r="V898" s="25"/>
      <c r="W898" s="25"/>
      <c r="X898" s="25"/>
      <c r="Y898" s="25"/>
      <c r="Z898" s="25"/>
    </row>
    <row r="899" spans="1:26" ht="14.25" customHeight="1" x14ac:dyDescent="0.25">
      <c r="A899" s="26"/>
      <c r="B899" s="25"/>
      <c r="C899" s="25"/>
      <c r="D899" s="25"/>
      <c r="E899" s="26"/>
      <c r="F899" s="26"/>
      <c r="G899" s="26"/>
      <c r="H899" s="26"/>
      <c r="I899" s="26"/>
      <c r="J899" s="25"/>
      <c r="K899" s="25"/>
      <c r="L899" s="25"/>
      <c r="M899" s="25"/>
      <c r="N899" s="25"/>
      <c r="O899" s="25"/>
      <c r="P899" s="25"/>
      <c r="Q899" s="25"/>
      <c r="R899" s="25"/>
      <c r="S899" s="25"/>
      <c r="T899" s="25"/>
      <c r="U899" s="25"/>
      <c r="V899" s="25"/>
      <c r="W899" s="25"/>
      <c r="X899" s="25"/>
      <c r="Y899" s="25"/>
      <c r="Z899" s="25"/>
    </row>
    <row r="900" spans="1:26" ht="14.25" customHeight="1" x14ac:dyDescent="0.25">
      <c r="A900" s="26"/>
      <c r="B900" s="25"/>
      <c r="C900" s="25"/>
      <c r="D900" s="25"/>
      <c r="E900" s="26"/>
      <c r="F900" s="26"/>
      <c r="G900" s="26"/>
      <c r="H900" s="26"/>
      <c r="I900" s="26"/>
      <c r="J900" s="25"/>
      <c r="K900" s="25"/>
      <c r="L900" s="25"/>
      <c r="M900" s="25"/>
      <c r="N900" s="25"/>
      <c r="O900" s="25"/>
      <c r="P900" s="25"/>
      <c r="Q900" s="25"/>
      <c r="R900" s="25"/>
      <c r="S900" s="25"/>
      <c r="T900" s="25"/>
      <c r="U900" s="25"/>
      <c r="V900" s="25"/>
      <c r="W900" s="25"/>
      <c r="X900" s="25"/>
      <c r="Y900" s="25"/>
      <c r="Z900" s="25"/>
    </row>
    <row r="901" spans="1:26" ht="14.25" customHeight="1" x14ac:dyDescent="0.25">
      <c r="A901" s="26"/>
      <c r="B901" s="25"/>
      <c r="C901" s="25"/>
      <c r="D901" s="25"/>
      <c r="E901" s="26"/>
      <c r="F901" s="26"/>
      <c r="G901" s="26"/>
      <c r="H901" s="26"/>
      <c r="I901" s="26"/>
      <c r="J901" s="25"/>
      <c r="K901" s="25"/>
      <c r="L901" s="25"/>
      <c r="M901" s="25"/>
      <c r="N901" s="25"/>
      <c r="O901" s="25"/>
      <c r="P901" s="25"/>
      <c r="Q901" s="25"/>
      <c r="R901" s="25"/>
      <c r="S901" s="25"/>
      <c r="T901" s="25"/>
      <c r="U901" s="25"/>
      <c r="V901" s="25"/>
      <c r="W901" s="25"/>
      <c r="X901" s="25"/>
      <c r="Y901" s="25"/>
      <c r="Z901" s="25"/>
    </row>
    <row r="902" spans="1:26" ht="14.25" customHeight="1" x14ac:dyDescent="0.25">
      <c r="A902" s="26"/>
      <c r="B902" s="25"/>
      <c r="C902" s="25"/>
      <c r="D902" s="25"/>
      <c r="E902" s="26"/>
      <c r="F902" s="26"/>
      <c r="G902" s="26"/>
      <c r="H902" s="26"/>
      <c r="I902" s="26"/>
      <c r="J902" s="25"/>
      <c r="K902" s="25"/>
      <c r="L902" s="25"/>
      <c r="M902" s="25"/>
      <c r="N902" s="25"/>
      <c r="O902" s="25"/>
      <c r="P902" s="25"/>
      <c r="Q902" s="25"/>
      <c r="R902" s="25"/>
      <c r="S902" s="25"/>
      <c r="T902" s="25"/>
      <c r="U902" s="25"/>
      <c r="V902" s="25"/>
      <c r="W902" s="25"/>
      <c r="X902" s="25"/>
      <c r="Y902" s="25"/>
      <c r="Z902" s="25"/>
    </row>
    <row r="903" spans="1:26" ht="14.25" customHeight="1" x14ac:dyDescent="0.25">
      <c r="A903" s="26"/>
      <c r="B903" s="25"/>
      <c r="C903" s="25"/>
      <c r="D903" s="25"/>
      <c r="E903" s="26"/>
      <c r="F903" s="26"/>
      <c r="G903" s="26"/>
      <c r="H903" s="26"/>
      <c r="I903" s="26"/>
      <c r="J903" s="25"/>
      <c r="K903" s="25"/>
      <c r="L903" s="25"/>
      <c r="M903" s="25"/>
      <c r="N903" s="25"/>
      <c r="O903" s="25"/>
      <c r="P903" s="25"/>
      <c r="Q903" s="25"/>
      <c r="R903" s="25"/>
      <c r="S903" s="25"/>
      <c r="T903" s="25"/>
      <c r="U903" s="25"/>
      <c r="V903" s="25"/>
      <c r="W903" s="25"/>
      <c r="X903" s="25"/>
      <c r="Y903" s="25"/>
      <c r="Z903" s="25"/>
    </row>
    <row r="904" spans="1:26" ht="14.25" customHeight="1" x14ac:dyDescent="0.25">
      <c r="A904" s="26"/>
      <c r="B904" s="25"/>
      <c r="C904" s="25"/>
      <c r="D904" s="25"/>
      <c r="E904" s="26"/>
      <c r="F904" s="26"/>
      <c r="G904" s="26"/>
      <c r="H904" s="26"/>
      <c r="I904" s="26"/>
      <c r="J904" s="25"/>
      <c r="K904" s="25"/>
      <c r="L904" s="25"/>
      <c r="M904" s="25"/>
      <c r="N904" s="25"/>
      <c r="O904" s="25"/>
      <c r="P904" s="25"/>
      <c r="Q904" s="25"/>
      <c r="R904" s="25"/>
      <c r="S904" s="25"/>
      <c r="T904" s="25"/>
      <c r="U904" s="25"/>
      <c r="V904" s="25"/>
      <c r="W904" s="25"/>
      <c r="X904" s="25"/>
      <c r="Y904" s="25"/>
      <c r="Z904" s="25"/>
    </row>
    <row r="905" spans="1:26" ht="14.25" customHeight="1" x14ac:dyDescent="0.25">
      <c r="A905" s="26"/>
      <c r="B905" s="25"/>
      <c r="C905" s="25"/>
      <c r="D905" s="25"/>
      <c r="E905" s="26"/>
      <c r="F905" s="26"/>
      <c r="G905" s="26"/>
      <c r="H905" s="26"/>
      <c r="I905" s="26"/>
      <c r="J905" s="25"/>
      <c r="K905" s="25"/>
      <c r="L905" s="25"/>
      <c r="M905" s="25"/>
      <c r="N905" s="25"/>
      <c r="O905" s="25"/>
      <c r="P905" s="25"/>
      <c r="Q905" s="25"/>
      <c r="R905" s="25"/>
      <c r="S905" s="25"/>
      <c r="T905" s="25"/>
      <c r="U905" s="25"/>
      <c r="V905" s="25"/>
      <c r="W905" s="25"/>
      <c r="X905" s="25"/>
      <c r="Y905" s="25"/>
      <c r="Z905" s="25"/>
    </row>
    <row r="906" spans="1:26" ht="14.25" customHeight="1" x14ac:dyDescent="0.25">
      <c r="A906" s="26"/>
      <c r="B906" s="25"/>
      <c r="C906" s="25"/>
      <c r="D906" s="25"/>
      <c r="E906" s="26"/>
      <c r="F906" s="26"/>
      <c r="G906" s="26"/>
      <c r="H906" s="26"/>
      <c r="I906" s="26"/>
      <c r="J906" s="25"/>
      <c r="K906" s="25"/>
      <c r="L906" s="25"/>
      <c r="M906" s="25"/>
      <c r="N906" s="25"/>
      <c r="O906" s="25"/>
      <c r="P906" s="25"/>
      <c r="Q906" s="25"/>
      <c r="R906" s="25"/>
      <c r="S906" s="25"/>
      <c r="T906" s="25"/>
      <c r="U906" s="25"/>
      <c r="V906" s="25"/>
      <c r="W906" s="25"/>
      <c r="X906" s="25"/>
      <c r="Y906" s="25"/>
      <c r="Z906" s="25"/>
    </row>
    <row r="907" spans="1:26" ht="14.25" customHeight="1" x14ac:dyDescent="0.25">
      <c r="A907" s="26"/>
      <c r="B907" s="25"/>
      <c r="C907" s="25"/>
      <c r="D907" s="25"/>
      <c r="E907" s="26"/>
      <c r="F907" s="26"/>
      <c r="G907" s="26"/>
      <c r="H907" s="26"/>
      <c r="I907" s="26"/>
      <c r="J907" s="25"/>
      <c r="K907" s="25"/>
      <c r="L907" s="25"/>
      <c r="M907" s="25"/>
      <c r="N907" s="25"/>
      <c r="O907" s="25"/>
      <c r="P907" s="25"/>
      <c r="Q907" s="25"/>
      <c r="R907" s="25"/>
      <c r="S907" s="25"/>
      <c r="T907" s="25"/>
      <c r="U907" s="25"/>
      <c r="V907" s="25"/>
      <c r="W907" s="25"/>
      <c r="X907" s="25"/>
      <c r="Y907" s="25"/>
      <c r="Z907" s="25"/>
    </row>
    <row r="908" spans="1:26" ht="14.25" customHeight="1" x14ac:dyDescent="0.25">
      <c r="A908" s="26"/>
      <c r="B908" s="25"/>
      <c r="C908" s="25"/>
      <c r="D908" s="25"/>
      <c r="E908" s="26"/>
      <c r="F908" s="26"/>
      <c r="G908" s="26"/>
      <c r="H908" s="26"/>
      <c r="I908" s="26"/>
      <c r="J908" s="25"/>
      <c r="K908" s="25"/>
      <c r="L908" s="25"/>
      <c r="M908" s="25"/>
      <c r="N908" s="25"/>
      <c r="O908" s="25"/>
      <c r="P908" s="25"/>
      <c r="Q908" s="25"/>
      <c r="R908" s="25"/>
      <c r="S908" s="25"/>
      <c r="T908" s="25"/>
      <c r="U908" s="25"/>
      <c r="V908" s="25"/>
      <c r="W908" s="25"/>
      <c r="X908" s="25"/>
      <c r="Y908" s="25"/>
      <c r="Z908" s="25"/>
    </row>
    <row r="909" spans="1:26" ht="14.25" customHeight="1" x14ac:dyDescent="0.25">
      <c r="A909" s="26"/>
      <c r="B909" s="25"/>
      <c r="C909" s="25"/>
      <c r="D909" s="25"/>
      <c r="E909" s="26"/>
      <c r="F909" s="26"/>
      <c r="G909" s="26"/>
      <c r="H909" s="26"/>
      <c r="I909" s="26"/>
      <c r="J909" s="25"/>
      <c r="K909" s="25"/>
      <c r="L909" s="25"/>
      <c r="M909" s="25"/>
      <c r="N909" s="25"/>
      <c r="O909" s="25"/>
      <c r="P909" s="25"/>
      <c r="Q909" s="25"/>
      <c r="R909" s="25"/>
      <c r="S909" s="25"/>
      <c r="T909" s="25"/>
      <c r="U909" s="25"/>
      <c r="V909" s="25"/>
      <c r="W909" s="25"/>
      <c r="X909" s="25"/>
      <c r="Y909" s="25"/>
      <c r="Z909" s="25"/>
    </row>
    <row r="910" spans="1:26" ht="14.25" customHeight="1" x14ac:dyDescent="0.25">
      <c r="A910" s="26"/>
      <c r="B910" s="25"/>
      <c r="C910" s="25"/>
      <c r="D910" s="25"/>
      <c r="E910" s="26"/>
      <c r="F910" s="26"/>
      <c r="G910" s="26"/>
      <c r="H910" s="26"/>
      <c r="I910" s="26"/>
      <c r="J910" s="25"/>
      <c r="K910" s="25"/>
      <c r="L910" s="25"/>
      <c r="M910" s="25"/>
      <c r="N910" s="25"/>
      <c r="O910" s="25"/>
      <c r="P910" s="25"/>
      <c r="Q910" s="25"/>
      <c r="R910" s="25"/>
      <c r="S910" s="25"/>
      <c r="T910" s="25"/>
      <c r="U910" s="25"/>
      <c r="V910" s="25"/>
      <c r="W910" s="25"/>
      <c r="X910" s="25"/>
      <c r="Y910" s="25"/>
      <c r="Z910" s="25"/>
    </row>
    <row r="911" spans="1:26" ht="14.25" customHeight="1" x14ac:dyDescent="0.25">
      <c r="A911" s="26"/>
      <c r="B911" s="25"/>
      <c r="C911" s="25"/>
      <c r="D911" s="25"/>
      <c r="E911" s="26"/>
      <c r="F911" s="26"/>
      <c r="G911" s="26"/>
      <c r="H911" s="26"/>
      <c r="I911" s="26"/>
      <c r="J911" s="25"/>
      <c r="K911" s="25"/>
      <c r="L911" s="25"/>
      <c r="M911" s="25"/>
      <c r="N911" s="25"/>
      <c r="O911" s="25"/>
      <c r="P911" s="25"/>
      <c r="Q911" s="25"/>
      <c r="R911" s="25"/>
      <c r="S911" s="25"/>
      <c r="T911" s="25"/>
      <c r="U911" s="25"/>
      <c r="V911" s="25"/>
      <c r="W911" s="25"/>
      <c r="X911" s="25"/>
      <c r="Y911" s="25"/>
      <c r="Z911" s="25"/>
    </row>
    <row r="912" spans="1:26" ht="14.25" customHeight="1" x14ac:dyDescent="0.25">
      <c r="A912" s="26"/>
      <c r="B912" s="25"/>
      <c r="C912" s="25"/>
      <c r="D912" s="25"/>
      <c r="E912" s="26"/>
      <c r="F912" s="26"/>
      <c r="G912" s="26"/>
      <c r="H912" s="26"/>
      <c r="I912" s="26"/>
      <c r="J912" s="25"/>
      <c r="K912" s="25"/>
      <c r="L912" s="25"/>
      <c r="M912" s="25"/>
      <c r="N912" s="25"/>
      <c r="O912" s="25"/>
      <c r="P912" s="25"/>
      <c r="Q912" s="25"/>
      <c r="R912" s="25"/>
      <c r="S912" s="25"/>
      <c r="T912" s="25"/>
      <c r="U912" s="25"/>
      <c r="V912" s="25"/>
      <c r="W912" s="25"/>
      <c r="X912" s="25"/>
      <c r="Y912" s="25"/>
      <c r="Z912" s="25"/>
    </row>
    <row r="913" spans="1:26" ht="14.25" customHeight="1" x14ac:dyDescent="0.25">
      <c r="A913" s="26"/>
      <c r="B913" s="25"/>
      <c r="C913" s="25"/>
      <c r="D913" s="25"/>
      <c r="E913" s="26"/>
      <c r="F913" s="26"/>
      <c r="G913" s="26"/>
      <c r="H913" s="26"/>
      <c r="I913" s="26"/>
      <c r="J913" s="25"/>
      <c r="K913" s="25"/>
      <c r="L913" s="25"/>
      <c r="M913" s="25"/>
      <c r="N913" s="25"/>
      <c r="O913" s="25"/>
      <c r="P913" s="25"/>
      <c r="Q913" s="25"/>
      <c r="R913" s="25"/>
      <c r="S913" s="25"/>
      <c r="T913" s="25"/>
      <c r="U913" s="25"/>
      <c r="V913" s="25"/>
      <c r="W913" s="25"/>
      <c r="X913" s="25"/>
      <c r="Y913" s="25"/>
      <c r="Z913" s="25"/>
    </row>
    <row r="914" spans="1:26" ht="14.25" customHeight="1" x14ac:dyDescent="0.25">
      <c r="A914" s="26"/>
      <c r="B914" s="25"/>
      <c r="C914" s="25"/>
      <c r="D914" s="25"/>
      <c r="E914" s="26"/>
      <c r="F914" s="26"/>
      <c r="G914" s="26"/>
      <c r="H914" s="26"/>
      <c r="I914" s="26"/>
      <c r="J914" s="25"/>
      <c r="K914" s="25"/>
      <c r="L914" s="25"/>
      <c r="M914" s="25"/>
      <c r="N914" s="25"/>
      <c r="O914" s="25"/>
      <c r="P914" s="25"/>
      <c r="Q914" s="25"/>
      <c r="R914" s="25"/>
      <c r="S914" s="25"/>
      <c r="T914" s="25"/>
      <c r="U914" s="25"/>
      <c r="V914" s="25"/>
      <c r="W914" s="25"/>
      <c r="X914" s="25"/>
      <c r="Y914" s="25"/>
      <c r="Z914" s="25"/>
    </row>
    <row r="915" spans="1:26" ht="14.25" customHeight="1" x14ac:dyDescent="0.25">
      <c r="A915" s="26"/>
      <c r="B915" s="25"/>
      <c r="C915" s="25"/>
      <c r="D915" s="25"/>
      <c r="E915" s="26"/>
      <c r="F915" s="26"/>
      <c r="G915" s="26"/>
      <c r="H915" s="26"/>
      <c r="I915" s="26"/>
      <c r="J915" s="25"/>
      <c r="K915" s="25"/>
      <c r="L915" s="25"/>
      <c r="M915" s="25"/>
      <c r="N915" s="25"/>
      <c r="O915" s="25"/>
      <c r="P915" s="25"/>
      <c r="Q915" s="25"/>
      <c r="R915" s="25"/>
      <c r="S915" s="25"/>
      <c r="T915" s="25"/>
      <c r="U915" s="25"/>
      <c r="V915" s="25"/>
      <c r="W915" s="25"/>
      <c r="X915" s="25"/>
      <c r="Y915" s="25"/>
      <c r="Z915" s="25"/>
    </row>
    <row r="916" spans="1:26" ht="14.25" customHeight="1" x14ac:dyDescent="0.25">
      <c r="A916" s="26"/>
      <c r="B916" s="25"/>
      <c r="C916" s="25"/>
      <c r="D916" s="25"/>
      <c r="E916" s="26"/>
      <c r="F916" s="26"/>
      <c r="G916" s="26"/>
      <c r="H916" s="26"/>
      <c r="I916" s="26"/>
      <c r="J916" s="25"/>
      <c r="K916" s="25"/>
      <c r="L916" s="25"/>
      <c r="M916" s="25"/>
      <c r="N916" s="25"/>
      <c r="O916" s="25"/>
      <c r="P916" s="25"/>
      <c r="Q916" s="25"/>
      <c r="R916" s="25"/>
      <c r="S916" s="25"/>
      <c r="T916" s="25"/>
      <c r="U916" s="25"/>
      <c r="V916" s="25"/>
      <c r="W916" s="25"/>
      <c r="X916" s="25"/>
      <c r="Y916" s="25"/>
      <c r="Z916" s="25"/>
    </row>
    <row r="917" spans="1:26" ht="14.25" customHeight="1" x14ac:dyDescent="0.25">
      <c r="A917" s="26"/>
      <c r="B917" s="25"/>
      <c r="C917" s="25"/>
      <c r="D917" s="25"/>
      <c r="E917" s="26"/>
      <c r="F917" s="26"/>
      <c r="G917" s="26"/>
      <c r="H917" s="26"/>
      <c r="I917" s="26"/>
      <c r="J917" s="25"/>
      <c r="K917" s="25"/>
      <c r="L917" s="25"/>
      <c r="M917" s="25"/>
      <c r="N917" s="25"/>
      <c r="O917" s="25"/>
      <c r="P917" s="25"/>
      <c r="Q917" s="25"/>
      <c r="R917" s="25"/>
      <c r="S917" s="25"/>
      <c r="T917" s="25"/>
      <c r="U917" s="25"/>
      <c r="V917" s="25"/>
      <c r="W917" s="25"/>
      <c r="X917" s="25"/>
      <c r="Y917" s="25"/>
      <c r="Z917" s="25"/>
    </row>
    <row r="918" spans="1:26" ht="14.25" customHeight="1" x14ac:dyDescent="0.25">
      <c r="A918" s="26"/>
      <c r="B918" s="25"/>
      <c r="C918" s="25"/>
      <c r="D918" s="25"/>
      <c r="E918" s="26"/>
      <c r="F918" s="26"/>
      <c r="G918" s="26"/>
      <c r="H918" s="26"/>
      <c r="I918" s="26"/>
      <c r="J918" s="25"/>
      <c r="K918" s="25"/>
      <c r="L918" s="25"/>
      <c r="M918" s="25"/>
      <c r="N918" s="25"/>
      <c r="O918" s="25"/>
      <c r="P918" s="25"/>
      <c r="Q918" s="25"/>
      <c r="R918" s="25"/>
      <c r="S918" s="25"/>
      <c r="T918" s="25"/>
      <c r="U918" s="25"/>
      <c r="V918" s="25"/>
      <c r="W918" s="25"/>
      <c r="X918" s="25"/>
      <c r="Y918" s="25"/>
      <c r="Z918" s="25"/>
    </row>
    <row r="919" spans="1:26" ht="14.25" customHeight="1" x14ac:dyDescent="0.25">
      <c r="A919" s="26"/>
      <c r="B919" s="25"/>
      <c r="C919" s="25"/>
      <c r="D919" s="25"/>
      <c r="E919" s="26"/>
      <c r="F919" s="26"/>
      <c r="G919" s="26"/>
      <c r="H919" s="26"/>
      <c r="I919" s="26"/>
      <c r="J919" s="25"/>
      <c r="K919" s="25"/>
      <c r="L919" s="25"/>
      <c r="M919" s="25"/>
      <c r="N919" s="25"/>
      <c r="O919" s="25"/>
      <c r="P919" s="25"/>
      <c r="Q919" s="25"/>
      <c r="R919" s="25"/>
      <c r="S919" s="25"/>
      <c r="T919" s="25"/>
      <c r="U919" s="25"/>
      <c r="V919" s="25"/>
      <c r="W919" s="25"/>
      <c r="X919" s="25"/>
      <c r="Y919" s="25"/>
      <c r="Z919" s="25"/>
    </row>
    <row r="920" spans="1:26" ht="14.25" customHeight="1" x14ac:dyDescent="0.25">
      <c r="A920" s="26"/>
      <c r="B920" s="25"/>
      <c r="C920" s="25"/>
      <c r="D920" s="25"/>
      <c r="E920" s="26"/>
      <c r="F920" s="26"/>
      <c r="G920" s="26"/>
      <c r="H920" s="26"/>
      <c r="I920" s="26"/>
      <c r="J920" s="25"/>
      <c r="K920" s="25"/>
      <c r="L920" s="25"/>
      <c r="M920" s="25"/>
      <c r="N920" s="25"/>
      <c r="O920" s="25"/>
      <c r="P920" s="25"/>
      <c r="Q920" s="25"/>
      <c r="R920" s="25"/>
      <c r="S920" s="25"/>
      <c r="T920" s="25"/>
      <c r="U920" s="25"/>
      <c r="V920" s="25"/>
      <c r="W920" s="25"/>
      <c r="X920" s="25"/>
      <c r="Y920" s="25"/>
      <c r="Z920" s="25"/>
    </row>
    <row r="921" spans="1:26" ht="14.25" customHeight="1" x14ac:dyDescent="0.25">
      <c r="A921" s="26"/>
      <c r="B921" s="25"/>
      <c r="C921" s="25"/>
      <c r="D921" s="25"/>
      <c r="E921" s="26"/>
      <c r="F921" s="26"/>
      <c r="G921" s="26"/>
      <c r="H921" s="26"/>
      <c r="I921" s="26"/>
      <c r="J921" s="25"/>
      <c r="K921" s="25"/>
      <c r="L921" s="25"/>
      <c r="M921" s="25"/>
      <c r="N921" s="25"/>
      <c r="O921" s="25"/>
      <c r="P921" s="25"/>
      <c r="Q921" s="25"/>
      <c r="R921" s="25"/>
      <c r="S921" s="25"/>
      <c r="T921" s="25"/>
      <c r="U921" s="25"/>
      <c r="V921" s="25"/>
      <c r="W921" s="25"/>
      <c r="X921" s="25"/>
      <c r="Y921" s="25"/>
      <c r="Z921" s="25"/>
    </row>
    <row r="922" spans="1:26" ht="14.25" customHeight="1" x14ac:dyDescent="0.25">
      <c r="A922" s="26"/>
      <c r="B922" s="25"/>
      <c r="C922" s="25"/>
      <c r="D922" s="25"/>
      <c r="E922" s="26"/>
      <c r="F922" s="26"/>
      <c r="G922" s="26"/>
      <c r="H922" s="26"/>
      <c r="I922" s="26"/>
      <c r="J922" s="25"/>
      <c r="K922" s="25"/>
      <c r="L922" s="25"/>
      <c r="M922" s="25"/>
      <c r="N922" s="25"/>
      <c r="O922" s="25"/>
      <c r="P922" s="25"/>
      <c r="Q922" s="25"/>
      <c r="R922" s="25"/>
      <c r="S922" s="25"/>
      <c r="T922" s="25"/>
      <c r="U922" s="25"/>
      <c r="V922" s="25"/>
      <c r="W922" s="25"/>
      <c r="X922" s="25"/>
      <c r="Y922" s="25"/>
      <c r="Z922" s="25"/>
    </row>
    <row r="923" spans="1:26" ht="14.25" customHeight="1" x14ac:dyDescent="0.25">
      <c r="A923" s="26"/>
      <c r="B923" s="25"/>
      <c r="C923" s="25"/>
      <c r="D923" s="25"/>
      <c r="E923" s="26"/>
      <c r="F923" s="26"/>
      <c r="G923" s="26"/>
      <c r="H923" s="26"/>
      <c r="I923" s="26"/>
      <c r="J923" s="25"/>
      <c r="K923" s="25"/>
      <c r="L923" s="25"/>
      <c r="M923" s="25"/>
      <c r="N923" s="25"/>
      <c r="O923" s="25"/>
      <c r="P923" s="25"/>
      <c r="Q923" s="25"/>
      <c r="R923" s="25"/>
      <c r="S923" s="25"/>
      <c r="T923" s="25"/>
      <c r="U923" s="25"/>
      <c r="V923" s="25"/>
      <c r="W923" s="25"/>
      <c r="X923" s="25"/>
      <c r="Y923" s="25"/>
      <c r="Z923" s="25"/>
    </row>
    <row r="924" spans="1:26" ht="14.25" customHeight="1" x14ac:dyDescent="0.25">
      <c r="A924" s="26"/>
      <c r="B924" s="25"/>
      <c r="C924" s="25"/>
      <c r="D924" s="25"/>
      <c r="E924" s="26"/>
      <c r="F924" s="26"/>
      <c r="G924" s="26"/>
      <c r="H924" s="26"/>
      <c r="I924" s="26"/>
      <c r="J924" s="25"/>
      <c r="K924" s="25"/>
      <c r="L924" s="25"/>
      <c r="M924" s="25"/>
      <c r="N924" s="25"/>
      <c r="O924" s="25"/>
      <c r="P924" s="25"/>
      <c r="Q924" s="25"/>
      <c r="R924" s="25"/>
      <c r="S924" s="25"/>
      <c r="T924" s="25"/>
      <c r="U924" s="25"/>
      <c r="V924" s="25"/>
      <c r="W924" s="25"/>
      <c r="X924" s="25"/>
      <c r="Y924" s="25"/>
      <c r="Z924" s="25"/>
    </row>
    <row r="925" spans="1:26" ht="14.25" customHeight="1" x14ac:dyDescent="0.25">
      <c r="A925" s="26"/>
      <c r="B925" s="25"/>
      <c r="C925" s="25"/>
      <c r="D925" s="25"/>
      <c r="E925" s="26"/>
      <c r="F925" s="26"/>
      <c r="G925" s="26"/>
      <c r="H925" s="26"/>
      <c r="I925" s="26"/>
      <c r="J925" s="25"/>
      <c r="K925" s="25"/>
      <c r="L925" s="25"/>
      <c r="M925" s="25"/>
      <c r="N925" s="25"/>
      <c r="O925" s="25"/>
      <c r="P925" s="25"/>
      <c r="Q925" s="25"/>
      <c r="R925" s="25"/>
      <c r="S925" s="25"/>
      <c r="T925" s="25"/>
      <c r="U925" s="25"/>
      <c r="V925" s="25"/>
      <c r="W925" s="25"/>
      <c r="X925" s="25"/>
      <c r="Y925" s="25"/>
      <c r="Z925" s="25"/>
    </row>
    <row r="926" spans="1:26" ht="14.25" customHeight="1" x14ac:dyDescent="0.25">
      <c r="A926" s="26"/>
      <c r="B926" s="25"/>
      <c r="C926" s="25"/>
      <c r="D926" s="25"/>
      <c r="E926" s="26"/>
      <c r="F926" s="26"/>
      <c r="G926" s="26"/>
      <c r="H926" s="26"/>
      <c r="I926" s="26"/>
      <c r="J926" s="25"/>
      <c r="K926" s="25"/>
      <c r="L926" s="25"/>
      <c r="M926" s="25"/>
      <c r="N926" s="25"/>
      <c r="O926" s="25"/>
      <c r="P926" s="25"/>
      <c r="Q926" s="25"/>
      <c r="R926" s="25"/>
      <c r="S926" s="25"/>
      <c r="T926" s="25"/>
      <c r="U926" s="25"/>
      <c r="V926" s="25"/>
      <c r="W926" s="25"/>
      <c r="X926" s="25"/>
      <c r="Y926" s="25"/>
      <c r="Z926" s="25"/>
    </row>
    <row r="927" spans="1:26" ht="14.25" customHeight="1" x14ac:dyDescent="0.25">
      <c r="A927" s="26"/>
      <c r="B927" s="25"/>
      <c r="C927" s="25"/>
      <c r="D927" s="25"/>
      <c r="E927" s="26"/>
      <c r="F927" s="26"/>
      <c r="G927" s="26"/>
      <c r="H927" s="26"/>
      <c r="I927" s="26"/>
      <c r="J927" s="25"/>
      <c r="K927" s="25"/>
      <c r="L927" s="25"/>
      <c r="M927" s="25"/>
      <c r="N927" s="25"/>
      <c r="O927" s="25"/>
      <c r="P927" s="25"/>
      <c r="Q927" s="25"/>
      <c r="R927" s="25"/>
      <c r="S927" s="25"/>
      <c r="T927" s="25"/>
      <c r="U927" s="25"/>
      <c r="V927" s="25"/>
      <c r="W927" s="25"/>
      <c r="X927" s="25"/>
      <c r="Y927" s="25"/>
      <c r="Z927" s="25"/>
    </row>
    <row r="928" spans="1:26" ht="14.25" customHeight="1" x14ac:dyDescent="0.25">
      <c r="A928" s="26"/>
      <c r="B928" s="25"/>
      <c r="C928" s="25"/>
      <c r="D928" s="25"/>
      <c r="E928" s="26"/>
      <c r="F928" s="26"/>
      <c r="G928" s="26"/>
      <c r="H928" s="26"/>
      <c r="I928" s="26"/>
      <c r="J928" s="25"/>
      <c r="K928" s="25"/>
      <c r="L928" s="25"/>
      <c r="M928" s="25"/>
      <c r="N928" s="25"/>
      <c r="O928" s="25"/>
      <c r="P928" s="25"/>
      <c r="Q928" s="25"/>
      <c r="R928" s="25"/>
      <c r="S928" s="25"/>
      <c r="T928" s="25"/>
      <c r="U928" s="25"/>
      <c r="V928" s="25"/>
      <c r="W928" s="25"/>
      <c r="X928" s="25"/>
      <c r="Y928" s="25"/>
      <c r="Z928" s="25"/>
    </row>
    <row r="929" spans="1:26" ht="14.25" customHeight="1" x14ac:dyDescent="0.25">
      <c r="A929" s="26"/>
      <c r="B929" s="25"/>
      <c r="C929" s="25"/>
      <c r="D929" s="25"/>
      <c r="E929" s="26"/>
      <c r="F929" s="26"/>
      <c r="G929" s="26"/>
      <c r="H929" s="26"/>
      <c r="I929" s="26"/>
      <c r="J929" s="25"/>
      <c r="K929" s="25"/>
      <c r="L929" s="25"/>
      <c r="M929" s="25"/>
      <c r="N929" s="25"/>
      <c r="O929" s="25"/>
      <c r="P929" s="25"/>
      <c r="Q929" s="25"/>
      <c r="R929" s="25"/>
      <c r="S929" s="25"/>
      <c r="T929" s="25"/>
      <c r="U929" s="25"/>
      <c r="V929" s="25"/>
      <c r="W929" s="25"/>
      <c r="X929" s="25"/>
      <c r="Y929" s="25"/>
      <c r="Z929" s="25"/>
    </row>
    <row r="930" spans="1:26" ht="14.25" customHeight="1" x14ac:dyDescent="0.25">
      <c r="A930" s="26"/>
      <c r="B930" s="25"/>
      <c r="C930" s="25"/>
      <c r="D930" s="25"/>
      <c r="E930" s="26"/>
      <c r="F930" s="26"/>
      <c r="G930" s="26"/>
      <c r="H930" s="26"/>
      <c r="I930" s="26"/>
      <c r="J930" s="25"/>
      <c r="K930" s="25"/>
      <c r="L930" s="25"/>
      <c r="M930" s="25"/>
      <c r="N930" s="25"/>
      <c r="O930" s="25"/>
      <c r="P930" s="25"/>
      <c r="Q930" s="25"/>
      <c r="R930" s="25"/>
      <c r="S930" s="25"/>
      <c r="T930" s="25"/>
      <c r="U930" s="25"/>
      <c r="V930" s="25"/>
      <c r="W930" s="25"/>
      <c r="X930" s="25"/>
      <c r="Y930" s="25"/>
      <c r="Z930" s="25"/>
    </row>
    <row r="931" spans="1:26" ht="14.25" customHeight="1" x14ac:dyDescent="0.25">
      <c r="A931" s="26"/>
      <c r="B931" s="25"/>
      <c r="C931" s="25"/>
      <c r="D931" s="25"/>
      <c r="E931" s="26"/>
      <c r="F931" s="26"/>
      <c r="G931" s="26"/>
      <c r="H931" s="26"/>
      <c r="I931" s="26"/>
      <c r="J931" s="25"/>
      <c r="K931" s="25"/>
      <c r="L931" s="25"/>
      <c r="M931" s="25"/>
      <c r="N931" s="25"/>
      <c r="O931" s="25"/>
      <c r="P931" s="25"/>
      <c r="Q931" s="25"/>
      <c r="R931" s="25"/>
      <c r="S931" s="25"/>
      <c r="T931" s="25"/>
      <c r="U931" s="25"/>
      <c r="V931" s="25"/>
      <c r="W931" s="25"/>
      <c r="X931" s="25"/>
      <c r="Y931" s="25"/>
      <c r="Z931" s="25"/>
    </row>
    <row r="932" spans="1:26" ht="14.25" customHeight="1" x14ac:dyDescent="0.25">
      <c r="A932" s="26"/>
      <c r="B932" s="25"/>
      <c r="C932" s="25"/>
      <c r="D932" s="25"/>
      <c r="E932" s="26"/>
      <c r="F932" s="26"/>
      <c r="G932" s="26"/>
      <c r="H932" s="26"/>
      <c r="I932" s="26"/>
      <c r="J932" s="25"/>
      <c r="K932" s="25"/>
      <c r="L932" s="25"/>
      <c r="M932" s="25"/>
      <c r="N932" s="25"/>
      <c r="O932" s="25"/>
      <c r="P932" s="25"/>
      <c r="Q932" s="25"/>
      <c r="R932" s="25"/>
      <c r="S932" s="25"/>
      <c r="T932" s="25"/>
      <c r="U932" s="25"/>
      <c r="V932" s="25"/>
      <c r="W932" s="25"/>
      <c r="X932" s="25"/>
      <c r="Y932" s="25"/>
      <c r="Z932" s="25"/>
    </row>
    <row r="933" spans="1:26" ht="14.25" customHeight="1" x14ac:dyDescent="0.25">
      <c r="A933" s="26"/>
      <c r="B933" s="25"/>
      <c r="C933" s="25"/>
      <c r="D933" s="25"/>
      <c r="E933" s="26"/>
      <c r="F933" s="26"/>
      <c r="G933" s="26"/>
      <c r="H933" s="26"/>
      <c r="I933" s="26"/>
      <c r="J933" s="25"/>
      <c r="K933" s="25"/>
      <c r="L933" s="25"/>
      <c r="M933" s="25"/>
      <c r="N933" s="25"/>
      <c r="O933" s="25"/>
      <c r="P933" s="25"/>
      <c r="Q933" s="25"/>
      <c r="R933" s="25"/>
      <c r="S933" s="25"/>
      <c r="T933" s="25"/>
      <c r="U933" s="25"/>
      <c r="V933" s="25"/>
      <c r="W933" s="25"/>
      <c r="X933" s="25"/>
      <c r="Y933" s="25"/>
      <c r="Z933" s="25"/>
    </row>
    <row r="934" spans="1:26" ht="14.25" customHeight="1" x14ac:dyDescent="0.25">
      <c r="A934" s="26"/>
      <c r="B934" s="25"/>
      <c r="C934" s="25"/>
      <c r="D934" s="25"/>
      <c r="E934" s="26"/>
      <c r="F934" s="26"/>
      <c r="G934" s="26"/>
      <c r="H934" s="26"/>
      <c r="I934" s="26"/>
      <c r="J934" s="25"/>
      <c r="K934" s="25"/>
      <c r="L934" s="25"/>
      <c r="M934" s="25"/>
      <c r="N934" s="25"/>
      <c r="O934" s="25"/>
      <c r="P934" s="25"/>
      <c r="Q934" s="25"/>
      <c r="R934" s="25"/>
      <c r="S934" s="25"/>
      <c r="T934" s="25"/>
      <c r="U934" s="25"/>
      <c r="V934" s="25"/>
      <c r="W934" s="25"/>
      <c r="X934" s="25"/>
      <c r="Y934" s="25"/>
      <c r="Z934" s="25"/>
    </row>
    <row r="935" spans="1:26" ht="14.25" customHeight="1" x14ac:dyDescent="0.25">
      <c r="A935" s="26"/>
      <c r="B935" s="25"/>
      <c r="C935" s="25"/>
      <c r="D935" s="25"/>
      <c r="E935" s="26"/>
      <c r="F935" s="26"/>
      <c r="G935" s="26"/>
      <c r="H935" s="26"/>
      <c r="I935" s="26"/>
      <c r="J935" s="25"/>
      <c r="K935" s="25"/>
      <c r="L935" s="25"/>
      <c r="M935" s="25"/>
      <c r="N935" s="25"/>
      <c r="O935" s="25"/>
      <c r="P935" s="25"/>
      <c r="Q935" s="25"/>
      <c r="R935" s="25"/>
      <c r="S935" s="25"/>
      <c r="T935" s="25"/>
      <c r="U935" s="25"/>
      <c r="V935" s="25"/>
      <c r="W935" s="25"/>
      <c r="X935" s="25"/>
      <c r="Y935" s="25"/>
      <c r="Z935" s="25"/>
    </row>
    <row r="936" spans="1:26" ht="14.25" customHeight="1" x14ac:dyDescent="0.25">
      <c r="A936" s="26"/>
      <c r="B936" s="25"/>
      <c r="C936" s="25"/>
      <c r="D936" s="25"/>
      <c r="E936" s="26"/>
      <c r="F936" s="26"/>
      <c r="G936" s="26"/>
      <c r="H936" s="26"/>
      <c r="I936" s="26"/>
      <c r="J936" s="25"/>
      <c r="K936" s="25"/>
      <c r="L936" s="25"/>
      <c r="M936" s="25"/>
      <c r="N936" s="25"/>
      <c r="O936" s="25"/>
      <c r="P936" s="25"/>
      <c r="Q936" s="25"/>
      <c r="R936" s="25"/>
      <c r="S936" s="25"/>
      <c r="T936" s="25"/>
      <c r="U936" s="25"/>
      <c r="V936" s="25"/>
      <c r="W936" s="25"/>
      <c r="X936" s="25"/>
      <c r="Y936" s="25"/>
      <c r="Z936" s="25"/>
    </row>
    <row r="937" spans="1:26" ht="14.25" customHeight="1" x14ac:dyDescent="0.25">
      <c r="A937" s="26"/>
      <c r="B937" s="25"/>
      <c r="C937" s="25"/>
      <c r="D937" s="25"/>
      <c r="E937" s="26"/>
      <c r="F937" s="26"/>
      <c r="G937" s="26"/>
      <c r="H937" s="26"/>
      <c r="I937" s="26"/>
      <c r="J937" s="25"/>
      <c r="K937" s="25"/>
      <c r="L937" s="25"/>
      <c r="M937" s="25"/>
      <c r="N937" s="25"/>
      <c r="O937" s="25"/>
      <c r="P937" s="25"/>
      <c r="Q937" s="25"/>
      <c r="R937" s="25"/>
      <c r="S937" s="25"/>
      <c r="T937" s="25"/>
      <c r="U937" s="25"/>
      <c r="V937" s="25"/>
      <c r="W937" s="25"/>
      <c r="X937" s="25"/>
      <c r="Y937" s="25"/>
      <c r="Z937" s="25"/>
    </row>
    <row r="938" spans="1:26" ht="14.25" customHeight="1" x14ac:dyDescent="0.25">
      <c r="A938" s="26"/>
      <c r="B938" s="25"/>
      <c r="C938" s="25"/>
      <c r="D938" s="25"/>
      <c r="E938" s="26"/>
      <c r="F938" s="26"/>
      <c r="G938" s="26"/>
      <c r="H938" s="26"/>
      <c r="I938" s="26"/>
      <c r="J938" s="25"/>
      <c r="K938" s="25"/>
      <c r="L938" s="25"/>
      <c r="M938" s="25"/>
      <c r="N938" s="25"/>
      <c r="O938" s="25"/>
      <c r="P938" s="25"/>
      <c r="Q938" s="25"/>
      <c r="R938" s="25"/>
      <c r="S938" s="25"/>
      <c r="T938" s="25"/>
      <c r="U938" s="25"/>
      <c r="V938" s="25"/>
      <c r="W938" s="25"/>
      <c r="X938" s="25"/>
      <c r="Y938" s="25"/>
      <c r="Z938" s="25"/>
    </row>
    <row r="939" spans="1:26" ht="14.25" customHeight="1" x14ac:dyDescent="0.25">
      <c r="A939" s="26"/>
      <c r="B939" s="25"/>
      <c r="C939" s="25"/>
      <c r="D939" s="25"/>
      <c r="E939" s="26"/>
      <c r="F939" s="26"/>
      <c r="G939" s="26"/>
      <c r="H939" s="26"/>
      <c r="I939" s="26"/>
      <c r="J939" s="25"/>
      <c r="K939" s="25"/>
      <c r="L939" s="25"/>
      <c r="M939" s="25"/>
      <c r="N939" s="25"/>
      <c r="O939" s="25"/>
      <c r="P939" s="25"/>
      <c r="Q939" s="25"/>
      <c r="R939" s="25"/>
      <c r="S939" s="25"/>
      <c r="T939" s="25"/>
      <c r="U939" s="25"/>
      <c r="V939" s="25"/>
      <c r="W939" s="25"/>
      <c r="X939" s="25"/>
      <c r="Y939" s="25"/>
      <c r="Z939" s="25"/>
    </row>
    <row r="940" spans="1:26" ht="14.25" customHeight="1" x14ac:dyDescent="0.25">
      <c r="A940" s="26"/>
      <c r="B940" s="25"/>
      <c r="C940" s="25"/>
      <c r="D940" s="25"/>
      <c r="E940" s="26"/>
      <c r="F940" s="26"/>
      <c r="G940" s="26"/>
      <c r="H940" s="26"/>
      <c r="I940" s="26"/>
      <c r="J940" s="25"/>
      <c r="K940" s="25"/>
      <c r="L940" s="25"/>
      <c r="M940" s="25"/>
      <c r="N940" s="25"/>
      <c r="O940" s="25"/>
      <c r="P940" s="25"/>
      <c r="Q940" s="25"/>
      <c r="R940" s="25"/>
      <c r="S940" s="25"/>
      <c r="T940" s="25"/>
      <c r="U940" s="25"/>
      <c r="V940" s="25"/>
      <c r="W940" s="25"/>
      <c r="X940" s="25"/>
      <c r="Y940" s="25"/>
      <c r="Z940" s="25"/>
    </row>
    <row r="941" spans="1:26" ht="14.25" customHeight="1" x14ac:dyDescent="0.25">
      <c r="A941" s="26"/>
      <c r="B941" s="25"/>
      <c r="C941" s="25"/>
      <c r="D941" s="25"/>
      <c r="E941" s="26"/>
      <c r="F941" s="26"/>
      <c r="G941" s="26"/>
      <c r="H941" s="26"/>
      <c r="I941" s="26"/>
      <c r="J941" s="25"/>
      <c r="K941" s="25"/>
      <c r="L941" s="25"/>
      <c r="M941" s="25"/>
      <c r="N941" s="25"/>
      <c r="O941" s="25"/>
      <c r="P941" s="25"/>
      <c r="Q941" s="25"/>
      <c r="R941" s="25"/>
      <c r="S941" s="25"/>
      <c r="T941" s="25"/>
      <c r="U941" s="25"/>
      <c r="V941" s="25"/>
      <c r="W941" s="25"/>
      <c r="X941" s="25"/>
      <c r="Y941" s="25"/>
      <c r="Z941" s="25"/>
    </row>
    <row r="942" spans="1:26" ht="14.25" customHeight="1" x14ac:dyDescent="0.25">
      <c r="A942" s="26"/>
      <c r="B942" s="25"/>
      <c r="C942" s="25"/>
      <c r="D942" s="25"/>
      <c r="E942" s="26"/>
      <c r="F942" s="26"/>
      <c r="G942" s="26"/>
      <c r="H942" s="26"/>
      <c r="I942" s="26"/>
      <c r="J942" s="25"/>
      <c r="K942" s="25"/>
      <c r="L942" s="25"/>
      <c r="M942" s="25"/>
      <c r="N942" s="25"/>
      <c r="O942" s="25"/>
      <c r="P942" s="25"/>
      <c r="Q942" s="25"/>
      <c r="R942" s="25"/>
      <c r="S942" s="25"/>
      <c r="T942" s="25"/>
      <c r="U942" s="25"/>
      <c r="V942" s="25"/>
      <c r="W942" s="25"/>
      <c r="X942" s="25"/>
      <c r="Y942" s="25"/>
      <c r="Z942" s="25"/>
    </row>
    <row r="943" spans="1:26" ht="14.25" customHeight="1" x14ac:dyDescent="0.25">
      <c r="A943" s="26"/>
      <c r="B943" s="25"/>
      <c r="C943" s="25"/>
      <c r="D943" s="25"/>
      <c r="E943" s="26"/>
      <c r="F943" s="26"/>
      <c r="G943" s="26"/>
      <c r="H943" s="26"/>
      <c r="I943" s="26"/>
      <c r="J943" s="25"/>
      <c r="K943" s="25"/>
      <c r="L943" s="25"/>
      <c r="M943" s="25"/>
      <c r="N943" s="25"/>
      <c r="O943" s="25"/>
      <c r="P943" s="25"/>
      <c r="Q943" s="25"/>
      <c r="R943" s="25"/>
      <c r="S943" s="25"/>
      <c r="T943" s="25"/>
      <c r="U943" s="25"/>
      <c r="V943" s="25"/>
      <c r="W943" s="25"/>
      <c r="X943" s="25"/>
      <c r="Y943" s="25"/>
      <c r="Z943" s="25"/>
    </row>
    <row r="944" spans="1:26" ht="14.25" customHeight="1" x14ac:dyDescent="0.25">
      <c r="A944" s="26"/>
      <c r="B944" s="25"/>
      <c r="C944" s="25"/>
      <c r="D944" s="25"/>
      <c r="E944" s="26"/>
      <c r="F944" s="26"/>
      <c r="G944" s="26"/>
      <c r="H944" s="26"/>
      <c r="I944" s="26"/>
      <c r="J944" s="25"/>
      <c r="K944" s="25"/>
      <c r="L944" s="25"/>
      <c r="M944" s="25"/>
      <c r="N944" s="25"/>
      <c r="O944" s="25"/>
      <c r="P944" s="25"/>
      <c r="Q944" s="25"/>
      <c r="R944" s="25"/>
      <c r="S944" s="25"/>
      <c r="T944" s="25"/>
      <c r="U944" s="25"/>
      <c r="V944" s="25"/>
      <c r="W944" s="25"/>
      <c r="X944" s="25"/>
      <c r="Y944" s="25"/>
      <c r="Z944" s="25"/>
    </row>
    <row r="945" spans="1:26" ht="14.25" customHeight="1" x14ac:dyDescent="0.25">
      <c r="A945" s="26"/>
      <c r="B945" s="25"/>
      <c r="C945" s="25"/>
      <c r="D945" s="25"/>
      <c r="E945" s="26"/>
      <c r="F945" s="26"/>
      <c r="G945" s="26"/>
      <c r="H945" s="26"/>
      <c r="I945" s="26"/>
      <c r="J945" s="25"/>
      <c r="K945" s="25"/>
      <c r="L945" s="25"/>
      <c r="M945" s="25"/>
      <c r="N945" s="25"/>
      <c r="O945" s="25"/>
      <c r="P945" s="25"/>
      <c r="Q945" s="25"/>
      <c r="R945" s="25"/>
      <c r="S945" s="25"/>
      <c r="T945" s="25"/>
      <c r="U945" s="25"/>
      <c r="V945" s="25"/>
      <c r="W945" s="25"/>
      <c r="X945" s="25"/>
      <c r="Y945" s="25"/>
      <c r="Z945" s="25"/>
    </row>
    <row r="946" spans="1:26" ht="14.25" customHeight="1" x14ac:dyDescent="0.25">
      <c r="A946" s="26"/>
      <c r="B946" s="25"/>
      <c r="C946" s="25"/>
      <c r="D946" s="25"/>
      <c r="E946" s="26"/>
      <c r="F946" s="26"/>
      <c r="G946" s="26"/>
      <c r="H946" s="26"/>
      <c r="I946" s="26"/>
      <c r="J946" s="25"/>
      <c r="K946" s="25"/>
      <c r="L946" s="25"/>
      <c r="M946" s="25"/>
      <c r="N946" s="25"/>
      <c r="O946" s="25"/>
      <c r="P946" s="25"/>
      <c r="Q946" s="25"/>
      <c r="R946" s="25"/>
      <c r="S946" s="25"/>
      <c r="T946" s="25"/>
      <c r="U946" s="25"/>
      <c r="V946" s="25"/>
      <c r="W946" s="25"/>
      <c r="X946" s="25"/>
      <c r="Y946" s="25"/>
      <c r="Z946" s="25"/>
    </row>
    <row r="947" spans="1:26" ht="14.25" customHeight="1" x14ac:dyDescent="0.25">
      <c r="A947" s="26"/>
      <c r="B947" s="25"/>
      <c r="C947" s="25"/>
      <c r="D947" s="25"/>
      <c r="E947" s="26"/>
      <c r="F947" s="26"/>
      <c r="G947" s="26"/>
      <c r="H947" s="26"/>
      <c r="I947" s="26"/>
      <c r="J947" s="25"/>
      <c r="K947" s="25"/>
      <c r="L947" s="25"/>
      <c r="M947" s="25"/>
      <c r="N947" s="25"/>
      <c r="O947" s="25"/>
      <c r="P947" s="25"/>
      <c r="Q947" s="25"/>
      <c r="R947" s="25"/>
      <c r="S947" s="25"/>
      <c r="T947" s="25"/>
      <c r="U947" s="25"/>
      <c r="V947" s="25"/>
      <c r="W947" s="25"/>
      <c r="X947" s="25"/>
      <c r="Y947" s="25"/>
      <c r="Z947" s="25"/>
    </row>
    <row r="948" spans="1:26" ht="14.25" customHeight="1" x14ac:dyDescent="0.25">
      <c r="A948" s="26"/>
      <c r="B948" s="25"/>
      <c r="C948" s="25"/>
      <c r="D948" s="25"/>
      <c r="E948" s="26"/>
      <c r="F948" s="26"/>
      <c r="G948" s="26"/>
      <c r="H948" s="26"/>
      <c r="I948" s="26"/>
      <c r="J948" s="25"/>
      <c r="K948" s="25"/>
      <c r="L948" s="25"/>
      <c r="M948" s="25"/>
      <c r="N948" s="25"/>
      <c r="O948" s="25"/>
      <c r="P948" s="25"/>
      <c r="Q948" s="25"/>
      <c r="R948" s="25"/>
      <c r="S948" s="25"/>
      <c r="T948" s="25"/>
      <c r="U948" s="25"/>
      <c r="V948" s="25"/>
      <c r="W948" s="25"/>
      <c r="X948" s="25"/>
      <c r="Y948" s="25"/>
      <c r="Z948" s="25"/>
    </row>
    <row r="949" spans="1:26" ht="14.25" customHeight="1" x14ac:dyDescent="0.25">
      <c r="A949" s="26"/>
      <c r="B949" s="25"/>
      <c r="C949" s="25"/>
      <c r="D949" s="25"/>
      <c r="E949" s="26"/>
      <c r="F949" s="26"/>
      <c r="G949" s="26"/>
      <c r="H949" s="26"/>
      <c r="I949" s="26"/>
      <c r="J949" s="25"/>
      <c r="K949" s="25"/>
      <c r="L949" s="25"/>
      <c r="M949" s="25"/>
      <c r="N949" s="25"/>
      <c r="O949" s="25"/>
      <c r="P949" s="25"/>
      <c r="Q949" s="25"/>
      <c r="R949" s="25"/>
      <c r="S949" s="25"/>
      <c r="T949" s="25"/>
      <c r="U949" s="25"/>
      <c r="V949" s="25"/>
      <c r="W949" s="25"/>
      <c r="X949" s="25"/>
      <c r="Y949" s="25"/>
      <c r="Z949" s="25"/>
    </row>
    <row r="950" spans="1:26" ht="14.25" customHeight="1" x14ac:dyDescent="0.25">
      <c r="A950" s="26"/>
      <c r="B950" s="25"/>
      <c r="C950" s="25"/>
      <c r="D950" s="25"/>
      <c r="E950" s="26"/>
      <c r="F950" s="26"/>
      <c r="G950" s="26"/>
      <c r="H950" s="26"/>
      <c r="I950" s="26"/>
      <c r="J950" s="25"/>
      <c r="K950" s="25"/>
      <c r="L950" s="25"/>
      <c r="M950" s="25"/>
      <c r="N950" s="25"/>
      <c r="O950" s="25"/>
      <c r="P950" s="25"/>
      <c r="Q950" s="25"/>
      <c r="R950" s="25"/>
      <c r="S950" s="25"/>
      <c r="T950" s="25"/>
      <c r="U950" s="25"/>
      <c r="V950" s="25"/>
      <c r="W950" s="25"/>
      <c r="X950" s="25"/>
      <c r="Y950" s="25"/>
      <c r="Z950" s="25"/>
    </row>
    <row r="951" spans="1:26" ht="14.25" customHeight="1" x14ac:dyDescent="0.25">
      <c r="A951" s="26"/>
      <c r="B951" s="25"/>
      <c r="C951" s="25"/>
      <c r="D951" s="25"/>
      <c r="E951" s="26"/>
      <c r="F951" s="26"/>
      <c r="G951" s="26"/>
      <c r="H951" s="26"/>
      <c r="I951" s="26"/>
      <c r="J951" s="25"/>
      <c r="K951" s="25"/>
      <c r="L951" s="25"/>
      <c r="M951" s="25"/>
      <c r="N951" s="25"/>
      <c r="O951" s="25"/>
      <c r="P951" s="25"/>
      <c r="Q951" s="25"/>
      <c r="R951" s="25"/>
      <c r="S951" s="25"/>
      <c r="T951" s="25"/>
      <c r="U951" s="25"/>
      <c r="V951" s="25"/>
      <c r="W951" s="25"/>
      <c r="X951" s="25"/>
      <c r="Y951" s="25"/>
      <c r="Z951" s="25"/>
    </row>
    <row r="952" spans="1:26" ht="14.25" customHeight="1" x14ac:dyDescent="0.25">
      <c r="A952" s="26"/>
      <c r="B952" s="25"/>
      <c r="C952" s="25"/>
      <c r="D952" s="25"/>
      <c r="E952" s="26"/>
      <c r="F952" s="26"/>
      <c r="G952" s="26"/>
      <c r="H952" s="26"/>
      <c r="I952" s="26"/>
      <c r="J952" s="25"/>
      <c r="K952" s="25"/>
      <c r="L952" s="25"/>
      <c r="M952" s="25"/>
      <c r="N952" s="25"/>
      <c r="O952" s="25"/>
      <c r="P952" s="25"/>
      <c r="Q952" s="25"/>
      <c r="R952" s="25"/>
      <c r="S952" s="25"/>
      <c r="T952" s="25"/>
      <c r="U952" s="25"/>
      <c r="V952" s="25"/>
      <c r="W952" s="25"/>
      <c r="X952" s="25"/>
      <c r="Y952" s="25"/>
      <c r="Z952" s="25"/>
    </row>
    <row r="953" spans="1:26" ht="14.25" customHeight="1" x14ac:dyDescent="0.25">
      <c r="A953" s="26"/>
      <c r="B953" s="25"/>
      <c r="C953" s="25"/>
      <c r="D953" s="25"/>
      <c r="E953" s="26"/>
      <c r="F953" s="26"/>
      <c r="G953" s="26"/>
      <c r="H953" s="26"/>
      <c r="I953" s="26"/>
      <c r="J953" s="25"/>
      <c r="K953" s="25"/>
      <c r="L953" s="25"/>
      <c r="M953" s="25"/>
      <c r="N953" s="25"/>
      <c r="O953" s="25"/>
      <c r="P953" s="25"/>
      <c r="Q953" s="25"/>
      <c r="R953" s="25"/>
      <c r="S953" s="25"/>
      <c r="T953" s="25"/>
      <c r="U953" s="25"/>
      <c r="V953" s="25"/>
      <c r="W953" s="25"/>
      <c r="X953" s="25"/>
      <c r="Y953" s="25"/>
      <c r="Z953" s="25"/>
    </row>
    <row r="954" spans="1:26" ht="14.25" customHeight="1" x14ac:dyDescent="0.25">
      <c r="A954" s="26"/>
      <c r="B954" s="25"/>
      <c r="C954" s="25"/>
      <c r="D954" s="25"/>
      <c r="E954" s="26"/>
      <c r="F954" s="26"/>
      <c r="G954" s="26"/>
      <c r="H954" s="26"/>
      <c r="I954" s="26"/>
      <c r="J954" s="25"/>
      <c r="K954" s="25"/>
      <c r="L954" s="25"/>
      <c r="M954" s="25"/>
      <c r="N954" s="25"/>
      <c r="O954" s="25"/>
      <c r="P954" s="25"/>
      <c r="Q954" s="25"/>
      <c r="R954" s="25"/>
      <c r="S954" s="25"/>
      <c r="T954" s="25"/>
      <c r="U954" s="25"/>
      <c r="V954" s="25"/>
      <c r="W954" s="25"/>
      <c r="X954" s="25"/>
      <c r="Y954" s="25"/>
      <c r="Z954" s="25"/>
    </row>
    <row r="955" spans="1:26" ht="14.25" customHeight="1" x14ac:dyDescent="0.25">
      <c r="A955" s="26"/>
      <c r="B955" s="25"/>
      <c r="C955" s="25"/>
      <c r="D955" s="25"/>
      <c r="E955" s="26"/>
      <c r="F955" s="26"/>
      <c r="G955" s="26"/>
      <c r="H955" s="26"/>
      <c r="I955" s="26"/>
      <c r="J955" s="25"/>
      <c r="K955" s="25"/>
      <c r="L955" s="25"/>
      <c r="M955" s="25"/>
      <c r="N955" s="25"/>
      <c r="O955" s="25"/>
      <c r="P955" s="25"/>
      <c r="Q955" s="25"/>
      <c r="R955" s="25"/>
      <c r="S955" s="25"/>
      <c r="T955" s="25"/>
      <c r="U955" s="25"/>
      <c r="V955" s="25"/>
      <c r="W955" s="25"/>
      <c r="X955" s="25"/>
      <c r="Y955" s="25"/>
      <c r="Z955" s="25"/>
    </row>
    <row r="956" spans="1:26" ht="14.25" customHeight="1" x14ac:dyDescent="0.25">
      <c r="A956" s="26"/>
      <c r="B956" s="25"/>
      <c r="C956" s="25"/>
      <c r="D956" s="25"/>
      <c r="E956" s="26"/>
      <c r="F956" s="26"/>
      <c r="G956" s="26"/>
      <c r="H956" s="26"/>
      <c r="I956" s="26"/>
      <c r="J956" s="25"/>
      <c r="K956" s="25"/>
      <c r="L956" s="25"/>
      <c r="M956" s="25"/>
      <c r="N956" s="25"/>
      <c r="O956" s="25"/>
      <c r="P956" s="25"/>
      <c r="Q956" s="25"/>
      <c r="R956" s="25"/>
      <c r="S956" s="25"/>
      <c r="T956" s="25"/>
      <c r="U956" s="25"/>
      <c r="V956" s="25"/>
      <c r="W956" s="25"/>
      <c r="X956" s="25"/>
      <c r="Y956" s="25"/>
      <c r="Z956" s="25"/>
    </row>
    <row r="957" spans="1:26" ht="14.25" customHeight="1" x14ac:dyDescent="0.25">
      <c r="A957" s="26"/>
      <c r="B957" s="25"/>
      <c r="C957" s="25"/>
      <c r="D957" s="25"/>
      <c r="E957" s="26"/>
      <c r="F957" s="26"/>
      <c r="G957" s="26"/>
      <c r="H957" s="26"/>
      <c r="I957" s="26"/>
      <c r="J957" s="25"/>
      <c r="K957" s="25"/>
      <c r="L957" s="25"/>
      <c r="M957" s="25"/>
      <c r="N957" s="25"/>
      <c r="O957" s="25"/>
      <c r="P957" s="25"/>
      <c r="Q957" s="25"/>
      <c r="R957" s="25"/>
      <c r="S957" s="25"/>
      <c r="T957" s="25"/>
      <c r="U957" s="25"/>
      <c r="V957" s="25"/>
      <c r="W957" s="25"/>
      <c r="X957" s="25"/>
      <c r="Y957" s="25"/>
      <c r="Z957" s="25"/>
    </row>
    <row r="958" spans="1:26" ht="14.25" customHeight="1" x14ac:dyDescent="0.25">
      <c r="A958" s="26"/>
      <c r="B958" s="25"/>
      <c r="C958" s="25"/>
      <c r="D958" s="25"/>
      <c r="E958" s="26"/>
      <c r="F958" s="26"/>
      <c r="G958" s="26"/>
      <c r="H958" s="26"/>
      <c r="I958" s="26"/>
      <c r="J958" s="25"/>
      <c r="K958" s="25"/>
      <c r="L958" s="25"/>
      <c r="M958" s="25"/>
      <c r="N958" s="25"/>
      <c r="O958" s="25"/>
      <c r="P958" s="25"/>
      <c r="Q958" s="25"/>
      <c r="R958" s="25"/>
      <c r="S958" s="25"/>
      <c r="T958" s="25"/>
      <c r="U958" s="25"/>
      <c r="V958" s="25"/>
      <c r="W958" s="25"/>
      <c r="X958" s="25"/>
      <c r="Y958" s="25"/>
      <c r="Z958" s="25"/>
    </row>
    <row r="959" spans="1:26" ht="14.25" customHeight="1" x14ac:dyDescent="0.25">
      <c r="A959" s="26"/>
      <c r="B959" s="25"/>
      <c r="C959" s="25"/>
      <c r="D959" s="25"/>
      <c r="E959" s="26"/>
      <c r="F959" s="26"/>
      <c r="G959" s="26"/>
      <c r="H959" s="26"/>
      <c r="I959" s="26"/>
      <c r="J959" s="25"/>
      <c r="K959" s="25"/>
      <c r="L959" s="25"/>
      <c r="M959" s="25"/>
      <c r="N959" s="25"/>
      <c r="O959" s="25"/>
      <c r="P959" s="25"/>
      <c r="Q959" s="25"/>
      <c r="R959" s="25"/>
      <c r="S959" s="25"/>
      <c r="T959" s="25"/>
      <c r="U959" s="25"/>
      <c r="V959" s="25"/>
      <c r="W959" s="25"/>
      <c r="X959" s="25"/>
      <c r="Y959" s="25"/>
      <c r="Z959" s="25"/>
    </row>
    <row r="960" spans="1:26" ht="14.25" customHeight="1" x14ac:dyDescent="0.25">
      <c r="A960" s="26"/>
      <c r="B960" s="25"/>
      <c r="C960" s="25"/>
      <c r="D960" s="25"/>
      <c r="E960" s="26"/>
      <c r="F960" s="26"/>
      <c r="G960" s="26"/>
      <c r="H960" s="26"/>
      <c r="I960" s="26"/>
      <c r="J960" s="25"/>
      <c r="K960" s="25"/>
      <c r="L960" s="25"/>
      <c r="M960" s="25"/>
      <c r="N960" s="25"/>
      <c r="O960" s="25"/>
      <c r="P960" s="25"/>
      <c r="Q960" s="25"/>
      <c r="R960" s="25"/>
      <c r="S960" s="25"/>
      <c r="T960" s="25"/>
      <c r="U960" s="25"/>
      <c r="V960" s="25"/>
      <c r="W960" s="25"/>
      <c r="X960" s="25"/>
      <c r="Y960" s="25"/>
      <c r="Z960" s="25"/>
    </row>
    <row r="961" spans="1:26" ht="14.25" customHeight="1" x14ac:dyDescent="0.25">
      <c r="A961" s="26"/>
      <c r="B961" s="25"/>
      <c r="C961" s="25"/>
      <c r="D961" s="25"/>
      <c r="E961" s="26"/>
      <c r="F961" s="26"/>
      <c r="G961" s="26"/>
      <c r="H961" s="26"/>
      <c r="I961" s="26"/>
      <c r="J961" s="25"/>
      <c r="K961" s="25"/>
      <c r="L961" s="25"/>
      <c r="M961" s="25"/>
      <c r="N961" s="25"/>
      <c r="O961" s="25"/>
      <c r="P961" s="25"/>
      <c r="Q961" s="25"/>
      <c r="R961" s="25"/>
      <c r="S961" s="25"/>
      <c r="T961" s="25"/>
      <c r="U961" s="25"/>
      <c r="V961" s="25"/>
      <c r="W961" s="25"/>
      <c r="X961" s="25"/>
      <c r="Y961" s="25"/>
      <c r="Z961" s="25"/>
    </row>
    <row r="962" spans="1:26" ht="14.25" customHeight="1" x14ac:dyDescent="0.25">
      <c r="A962" s="26"/>
      <c r="B962" s="25"/>
      <c r="C962" s="25"/>
      <c r="D962" s="25"/>
      <c r="E962" s="26"/>
      <c r="F962" s="26"/>
      <c r="G962" s="26"/>
      <c r="H962" s="26"/>
      <c r="I962" s="26"/>
      <c r="J962" s="25"/>
      <c r="K962" s="25"/>
      <c r="L962" s="25"/>
      <c r="M962" s="25"/>
      <c r="N962" s="25"/>
      <c r="O962" s="25"/>
      <c r="P962" s="25"/>
      <c r="Q962" s="25"/>
      <c r="R962" s="25"/>
      <c r="S962" s="25"/>
      <c r="T962" s="25"/>
      <c r="U962" s="25"/>
      <c r="V962" s="25"/>
      <c r="W962" s="25"/>
      <c r="X962" s="25"/>
      <c r="Y962" s="25"/>
      <c r="Z962" s="25"/>
    </row>
    <row r="963" spans="1:26" ht="14.25" customHeight="1" x14ac:dyDescent="0.25">
      <c r="A963" s="26"/>
      <c r="B963" s="25"/>
      <c r="C963" s="25"/>
      <c r="D963" s="25"/>
      <c r="E963" s="26"/>
      <c r="F963" s="26"/>
      <c r="G963" s="26"/>
      <c r="H963" s="26"/>
      <c r="I963" s="26"/>
      <c r="J963" s="25"/>
      <c r="K963" s="25"/>
      <c r="L963" s="25"/>
      <c r="M963" s="25"/>
      <c r="N963" s="25"/>
      <c r="O963" s="25"/>
      <c r="P963" s="25"/>
      <c r="Q963" s="25"/>
      <c r="R963" s="25"/>
      <c r="S963" s="25"/>
      <c r="T963" s="25"/>
      <c r="U963" s="25"/>
      <c r="V963" s="25"/>
      <c r="W963" s="25"/>
      <c r="X963" s="25"/>
      <c r="Y963" s="25"/>
      <c r="Z963" s="25"/>
    </row>
    <row r="964" spans="1:26" ht="14.25" customHeight="1" x14ac:dyDescent="0.25">
      <c r="A964" s="26"/>
      <c r="B964" s="25"/>
      <c r="C964" s="25"/>
      <c r="D964" s="25"/>
      <c r="E964" s="26"/>
      <c r="F964" s="26"/>
      <c r="G964" s="26"/>
      <c r="H964" s="26"/>
      <c r="I964" s="26"/>
      <c r="J964" s="25"/>
      <c r="K964" s="25"/>
      <c r="L964" s="25"/>
      <c r="M964" s="25"/>
      <c r="N964" s="25"/>
      <c r="O964" s="25"/>
      <c r="P964" s="25"/>
      <c r="Q964" s="25"/>
      <c r="R964" s="25"/>
      <c r="S964" s="25"/>
      <c r="T964" s="25"/>
      <c r="U964" s="25"/>
      <c r="V964" s="25"/>
      <c r="W964" s="25"/>
      <c r="X964" s="25"/>
      <c r="Y964" s="25"/>
      <c r="Z964" s="25"/>
    </row>
    <row r="965" spans="1:26" ht="14.25" customHeight="1" x14ac:dyDescent="0.25">
      <c r="A965" s="26"/>
      <c r="B965" s="25"/>
      <c r="C965" s="25"/>
      <c r="D965" s="25"/>
      <c r="E965" s="26"/>
      <c r="F965" s="26"/>
      <c r="G965" s="26"/>
      <c r="H965" s="26"/>
      <c r="I965" s="26"/>
      <c r="J965" s="25"/>
      <c r="K965" s="25"/>
      <c r="L965" s="25"/>
      <c r="M965" s="25"/>
      <c r="N965" s="25"/>
      <c r="O965" s="25"/>
      <c r="P965" s="25"/>
      <c r="Q965" s="25"/>
      <c r="R965" s="25"/>
      <c r="S965" s="25"/>
      <c r="T965" s="25"/>
      <c r="U965" s="25"/>
      <c r="V965" s="25"/>
      <c r="W965" s="25"/>
      <c r="X965" s="25"/>
      <c r="Y965" s="25"/>
      <c r="Z965" s="25"/>
    </row>
    <row r="966" spans="1:26" ht="14.25" customHeight="1" x14ac:dyDescent="0.25">
      <c r="A966" s="26"/>
      <c r="B966" s="25"/>
      <c r="C966" s="25"/>
      <c r="D966" s="25"/>
      <c r="E966" s="26"/>
      <c r="F966" s="26"/>
      <c r="G966" s="26"/>
      <c r="H966" s="26"/>
      <c r="I966" s="26"/>
      <c r="J966" s="25"/>
      <c r="K966" s="25"/>
      <c r="L966" s="25"/>
      <c r="M966" s="25"/>
      <c r="N966" s="25"/>
      <c r="O966" s="25"/>
      <c r="P966" s="25"/>
      <c r="Q966" s="25"/>
      <c r="R966" s="25"/>
      <c r="S966" s="25"/>
      <c r="T966" s="25"/>
      <c r="U966" s="25"/>
      <c r="V966" s="25"/>
      <c r="W966" s="25"/>
      <c r="X966" s="25"/>
      <c r="Y966" s="25"/>
      <c r="Z966" s="25"/>
    </row>
    <row r="967" spans="1:26" ht="14.25" customHeight="1" x14ac:dyDescent="0.25">
      <c r="A967" s="26"/>
      <c r="B967" s="25"/>
      <c r="C967" s="25"/>
      <c r="D967" s="25"/>
      <c r="E967" s="26"/>
      <c r="F967" s="26"/>
      <c r="G967" s="26"/>
      <c r="H967" s="26"/>
      <c r="I967" s="26"/>
      <c r="J967" s="25"/>
      <c r="K967" s="25"/>
      <c r="L967" s="25"/>
      <c r="M967" s="25"/>
      <c r="N967" s="25"/>
      <c r="O967" s="25"/>
      <c r="P967" s="25"/>
      <c r="Q967" s="25"/>
      <c r="R967" s="25"/>
      <c r="S967" s="25"/>
      <c r="T967" s="25"/>
      <c r="U967" s="25"/>
      <c r="V967" s="25"/>
      <c r="W967" s="25"/>
      <c r="X967" s="25"/>
      <c r="Y967" s="25"/>
      <c r="Z967" s="25"/>
    </row>
    <row r="968" spans="1:26" ht="14.25" customHeight="1" x14ac:dyDescent="0.25">
      <c r="A968" s="26"/>
      <c r="B968" s="25"/>
      <c r="C968" s="25"/>
      <c r="D968" s="25"/>
      <c r="E968" s="26"/>
      <c r="F968" s="26"/>
      <c r="G968" s="26"/>
      <c r="H968" s="26"/>
      <c r="I968" s="26"/>
      <c r="J968" s="25"/>
      <c r="K968" s="25"/>
      <c r="L968" s="25"/>
      <c r="M968" s="25"/>
      <c r="N968" s="25"/>
      <c r="O968" s="25"/>
      <c r="P968" s="25"/>
      <c r="Q968" s="25"/>
      <c r="R968" s="25"/>
      <c r="S968" s="25"/>
      <c r="T968" s="25"/>
      <c r="U968" s="25"/>
      <c r="V968" s="25"/>
      <c r="W968" s="25"/>
      <c r="X968" s="25"/>
      <c r="Y968" s="25"/>
      <c r="Z968" s="25"/>
    </row>
    <row r="969" spans="1:26" ht="14.25" customHeight="1" x14ac:dyDescent="0.25">
      <c r="A969" s="26"/>
      <c r="B969" s="25"/>
      <c r="C969" s="25"/>
      <c r="D969" s="25"/>
      <c r="E969" s="26"/>
      <c r="F969" s="26"/>
      <c r="G969" s="26"/>
      <c r="H969" s="26"/>
      <c r="I969" s="26"/>
      <c r="J969" s="25"/>
      <c r="K969" s="25"/>
      <c r="L969" s="25"/>
      <c r="M969" s="25"/>
      <c r="N969" s="25"/>
      <c r="O969" s="25"/>
      <c r="P969" s="25"/>
      <c r="Q969" s="25"/>
      <c r="R969" s="25"/>
      <c r="S969" s="25"/>
      <c r="T969" s="25"/>
      <c r="U969" s="25"/>
      <c r="V969" s="25"/>
      <c r="W969" s="25"/>
      <c r="X969" s="25"/>
      <c r="Y969" s="25"/>
      <c r="Z969" s="25"/>
    </row>
    <row r="970" spans="1:26" ht="14.25" customHeight="1" x14ac:dyDescent="0.25">
      <c r="A970" s="26"/>
      <c r="B970" s="25"/>
      <c r="C970" s="25"/>
      <c r="D970" s="25"/>
      <c r="E970" s="26"/>
      <c r="F970" s="26"/>
      <c r="G970" s="26"/>
      <c r="H970" s="26"/>
      <c r="I970" s="26"/>
      <c r="J970" s="25"/>
      <c r="K970" s="25"/>
      <c r="L970" s="25"/>
      <c r="M970" s="25"/>
      <c r="N970" s="25"/>
      <c r="O970" s="25"/>
      <c r="P970" s="25"/>
      <c r="Q970" s="25"/>
      <c r="R970" s="25"/>
      <c r="S970" s="25"/>
      <c r="T970" s="25"/>
      <c r="U970" s="25"/>
      <c r="V970" s="25"/>
      <c r="W970" s="25"/>
      <c r="X970" s="25"/>
      <c r="Y970" s="25"/>
      <c r="Z970" s="25"/>
    </row>
    <row r="971" spans="1:26" ht="14.25" customHeight="1" x14ac:dyDescent="0.25">
      <c r="A971" s="26"/>
      <c r="B971" s="25"/>
      <c r="C971" s="25"/>
      <c r="D971" s="25"/>
      <c r="E971" s="26"/>
      <c r="F971" s="26"/>
      <c r="G971" s="26"/>
      <c r="H971" s="26"/>
      <c r="I971" s="26"/>
      <c r="J971" s="25"/>
      <c r="K971" s="25"/>
      <c r="L971" s="25"/>
      <c r="M971" s="25"/>
      <c r="N971" s="25"/>
      <c r="O971" s="25"/>
      <c r="P971" s="25"/>
      <c r="Q971" s="25"/>
      <c r="R971" s="25"/>
      <c r="S971" s="25"/>
      <c r="T971" s="25"/>
      <c r="U971" s="25"/>
      <c r="V971" s="25"/>
      <c r="W971" s="25"/>
      <c r="X971" s="25"/>
      <c r="Y971" s="25"/>
      <c r="Z971" s="25"/>
    </row>
    <row r="972" spans="1:26" ht="14.25" customHeight="1" x14ac:dyDescent="0.25">
      <c r="A972" s="26"/>
      <c r="B972" s="25"/>
      <c r="C972" s="25"/>
      <c r="D972" s="25"/>
      <c r="E972" s="26"/>
      <c r="F972" s="26"/>
      <c r="G972" s="26"/>
      <c r="H972" s="26"/>
      <c r="I972" s="26"/>
      <c r="J972" s="25"/>
      <c r="K972" s="25"/>
      <c r="L972" s="25"/>
      <c r="M972" s="25"/>
      <c r="N972" s="25"/>
      <c r="O972" s="25"/>
      <c r="P972" s="25"/>
      <c r="Q972" s="25"/>
      <c r="R972" s="25"/>
      <c r="S972" s="25"/>
      <c r="T972" s="25"/>
      <c r="U972" s="25"/>
      <c r="V972" s="25"/>
      <c r="W972" s="25"/>
      <c r="X972" s="25"/>
      <c r="Y972" s="25"/>
      <c r="Z972" s="25"/>
    </row>
    <row r="973" spans="1:26" ht="14.25" customHeight="1" x14ac:dyDescent="0.25">
      <c r="A973" s="26"/>
      <c r="B973" s="25"/>
      <c r="C973" s="25"/>
      <c r="D973" s="25"/>
      <c r="E973" s="26"/>
      <c r="F973" s="26"/>
      <c r="G973" s="26"/>
      <c r="H973" s="26"/>
      <c r="I973" s="26"/>
      <c r="J973" s="25"/>
      <c r="K973" s="25"/>
      <c r="L973" s="25"/>
      <c r="M973" s="25"/>
      <c r="N973" s="25"/>
      <c r="O973" s="25"/>
      <c r="P973" s="25"/>
      <c r="Q973" s="25"/>
      <c r="R973" s="25"/>
      <c r="S973" s="25"/>
      <c r="T973" s="25"/>
      <c r="U973" s="25"/>
      <c r="V973" s="25"/>
      <c r="W973" s="25"/>
      <c r="X973" s="25"/>
      <c r="Y973" s="25"/>
      <c r="Z973" s="25"/>
    </row>
    <row r="974" spans="1:26" ht="14.25" customHeight="1" x14ac:dyDescent="0.25">
      <c r="A974" s="26"/>
      <c r="B974" s="25"/>
      <c r="C974" s="25"/>
      <c r="D974" s="25"/>
      <c r="E974" s="26"/>
      <c r="F974" s="26"/>
      <c r="G974" s="26"/>
      <c r="H974" s="26"/>
      <c r="I974" s="26"/>
      <c r="J974" s="25"/>
      <c r="K974" s="25"/>
      <c r="L974" s="25"/>
      <c r="M974" s="25"/>
      <c r="N974" s="25"/>
      <c r="O974" s="25"/>
      <c r="P974" s="25"/>
      <c r="Q974" s="25"/>
      <c r="R974" s="25"/>
      <c r="S974" s="25"/>
      <c r="T974" s="25"/>
      <c r="U974" s="25"/>
      <c r="V974" s="25"/>
      <c r="W974" s="25"/>
      <c r="X974" s="25"/>
      <c r="Y974" s="25"/>
      <c r="Z974" s="25"/>
    </row>
    <row r="975" spans="1:26" ht="14.25" customHeight="1" x14ac:dyDescent="0.25">
      <c r="A975" s="26"/>
      <c r="B975" s="25"/>
      <c r="C975" s="25"/>
      <c r="D975" s="25"/>
      <c r="E975" s="26"/>
      <c r="F975" s="26"/>
      <c r="G975" s="26"/>
      <c r="H975" s="26"/>
      <c r="I975" s="26"/>
      <c r="J975" s="25"/>
      <c r="K975" s="25"/>
      <c r="L975" s="25"/>
      <c r="M975" s="25"/>
      <c r="N975" s="25"/>
      <c r="O975" s="25"/>
      <c r="P975" s="25"/>
      <c r="Q975" s="25"/>
      <c r="R975" s="25"/>
      <c r="S975" s="25"/>
      <c r="T975" s="25"/>
      <c r="U975" s="25"/>
      <c r="V975" s="25"/>
      <c r="W975" s="25"/>
      <c r="X975" s="25"/>
      <c r="Y975" s="25"/>
      <c r="Z975" s="25"/>
    </row>
    <row r="976" spans="1:26" ht="14.25" customHeight="1" x14ac:dyDescent="0.25">
      <c r="A976" s="26"/>
      <c r="B976" s="25"/>
      <c r="C976" s="25"/>
      <c r="D976" s="25"/>
      <c r="E976" s="26"/>
      <c r="F976" s="26"/>
      <c r="G976" s="26"/>
      <c r="H976" s="26"/>
      <c r="I976" s="26"/>
      <c r="J976" s="25"/>
      <c r="K976" s="25"/>
      <c r="L976" s="25"/>
      <c r="M976" s="25"/>
      <c r="N976" s="25"/>
      <c r="O976" s="25"/>
      <c r="P976" s="25"/>
      <c r="Q976" s="25"/>
      <c r="R976" s="25"/>
      <c r="S976" s="25"/>
      <c r="T976" s="25"/>
      <c r="U976" s="25"/>
      <c r="V976" s="25"/>
      <c r="W976" s="25"/>
      <c r="X976" s="25"/>
      <c r="Y976" s="25"/>
      <c r="Z976" s="25"/>
    </row>
    <row r="977" spans="1:26" ht="14.25" customHeight="1" x14ac:dyDescent="0.25">
      <c r="A977" s="26"/>
      <c r="B977" s="25"/>
      <c r="C977" s="25"/>
      <c r="D977" s="25"/>
      <c r="E977" s="26"/>
      <c r="F977" s="26"/>
      <c r="G977" s="26"/>
      <c r="H977" s="26"/>
      <c r="I977" s="26"/>
      <c r="J977" s="25"/>
      <c r="K977" s="25"/>
      <c r="L977" s="25"/>
      <c r="M977" s="25"/>
      <c r="N977" s="25"/>
      <c r="O977" s="25"/>
      <c r="P977" s="25"/>
      <c r="Q977" s="25"/>
      <c r="R977" s="25"/>
      <c r="S977" s="25"/>
      <c r="T977" s="25"/>
      <c r="U977" s="25"/>
      <c r="V977" s="25"/>
      <c r="W977" s="25"/>
      <c r="X977" s="25"/>
      <c r="Y977" s="25"/>
      <c r="Z977" s="25"/>
    </row>
    <row r="978" spans="1:26" ht="14.25" customHeight="1" x14ac:dyDescent="0.25">
      <c r="A978" s="26"/>
      <c r="B978" s="25"/>
      <c r="C978" s="25"/>
      <c r="D978" s="25"/>
      <c r="E978" s="26"/>
      <c r="F978" s="26"/>
      <c r="G978" s="26"/>
      <c r="H978" s="26"/>
      <c r="I978" s="26"/>
      <c r="J978" s="25"/>
      <c r="K978" s="25"/>
      <c r="L978" s="25"/>
      <c r="M978" s="25"/>
      <c r="N978" s="25"/>
      <c r="O978" s="25"/>
      <c r="P978" s="25"/>
      <c r="Q978" s="25"/>
      <c r="R978" s="25"/>
      <c r="S978" s="25"/>
      <c r="T978" s="25"/>
      <c r="U978" s="25"/>
      <c r="V978" s="25"/>
      <c r="W978" s="25"/>
      <c r="X978" s="25"/>
      <c r="Y978" s="25"/>
      <c r="Z978" s="25"/>
    </row>
    <row r="979" spans="1:26" ht="14.25" customHeight="1" x14ac:dyDescent="0.25">
      <c r="A979" s="26"/>
      <c r="B979" s="25"/>
      <c r="C979" s="25"/>
      <c r="D979" s="25"/>
      <c r="E979" s="26"/>
      <c r="F979" s="26"/>
      <c r="G979" s="26"/>
      <c r="H979" s="26"/>
      <c r="I979" s="26"/>
      <c r="J979" s="25"/>
      <c r="K979" s="25"/>
      <c r="L979" s="25"/>
      <c r="M979" s="25"/>
      <c r="N979" s="25"/>
      <c r="O979" s="25"/>
      <c r="P979" s="25"/>
      <c r="Q979" s="25"/>
      <c r="R979" s="25"/>
      <c r="S979" s="25"/>
      <c r="T979" s="25"/>
      <c r="U979" s="25"/>
      <c r="V979" s="25"/>
      <c r="W979" s="25"/>
      <c r="X979" s="25"/>
      <c r="Y979" s="25"/>
      <c r="Z979" s="25"/>
    </row>
    <row r="980" spans="1:26" ht="14.25" customHeight="1" x14ac:dyDescent="0.25">
      <c r="A980" s="26"/>
      <c r="B980" s="25"/>
      <c r="C980" s="25"/>
      <c r="D980" s="25"/>
      <c r="E980" s="26"/>
      <c r="F980" s="26"/>
      <c r="G980" s="26"/>
      <c r="H980" s="26"/>
      <c r="I980" s="26"/>
      <c r="J980" s="25"/>
      <c r="K980" s="25"/>
      <c r="L980" s="25"/>
      <c r="M980" s="25"/>
      <c r="N980" s="25"/>
      <c r="O980" s="25"/>
      <c r="P980" s="25"/>
      <c r="Q980" s="25"/>
      <c r="R980" s="25"/>
      <c r="S980" s="25"/>
      <c r="T980" s="25"/>
      <c r="U980" s="25"/>
      <c r="V980" s="25"/>
      <c r="W980" s="25"/>
      <c r="X980" s="25"/>
      <c r="Y980" s="25"/>
      <c r="Z980" s="25"/>
    </row>
    <row r="981" spans="1:26" ht="14.25" customHeight="1" x14ac:dyDescent="0.25">
      <c r="A981" s="26"/>
      <c r="B981" s="25"/>
      <c r="C981" s="25"/>
      <c r="D981" s="25"/>
      <c r="E981" s="26"/>
      <c r="F981" s="26"/>
      <c r="G981" s="26"/>
      <c r="H981" s="26"/>
      <c r="I981" s="26"/>
      <c r="J981" s="25"/>
      <c r="K981" s="25"/>
      <c r="L981" s="25"/>
      <c r="M981" s="25"/>
      <c r="N981" s="25"/>
      <c r="O981" s="25"/>
      <c r="P981" s="25"/>
      <c r="Q981" s="25"/>
      <c r="R981" s="25"/>
      <c r="S981" s="25"/>
      <c r="T981" s="25"/>
      <c r="U981" s="25"/>
      <c r="V981" s="25"/>
      <c r="W981" s="25"/>
      <c r="X981" s="25"/>
      <c r="Y981" s="25"/>
      <c r="Z981" s="25"/>
    </row>
    <row r="982" spans="1:26" ht="14.25" customHeight="1" x14ac:dyDescent="0.25">
      <c r="A982" s="26"/>
      <c r="B982" s="25"/>
      <c r="C982" s="25"/>
      <c r="D982" s="25"/>
      <c r="E982" s="26"/>
      <c r="F982" s="26"/>
      <c r="G982" s="26"/>
      <c r="H982" s="26"/>
      <c r="I982" s="26"/>
      <c r="J982" s="25"/>
      <c r="K982" s="25"/>
      <c r="L982" s="25"/>
      <c r="M982" s="25"/>
      <c r="N982" s="25"/>
      <c r="O982" s="25"/>
      <c r="P982" s="25"/>
      <c r="Q982" s="25"/>
      <c r="R982" s="25"/>
      <c r="S982" s="25"/>
      <c r="T982" s="25"/>
      <c r="U982" s="25"/>
      <c r="V982" s="25"/>
      <c r="W982" s="25"/>
      <c r="X982" s="25"/>
      <c r="Y982" s="25"/>
      <c r="Z982" s="25"/>
    </row>
    <row r="983" spans="1:26" ht="14.25" customHeight="1" x14ac:dyDescent="0.25">
      <c r="A983" s="26"/>
      <c r="B983" s="25"/>
      <c r="C983" s="25"/>
      <c r="D983" s="25"/>
      <c r="E983" s="26"/>
      <c r="F983" s="26"/>
      <c r="G983" s="26"/>
      <c r="H983" s="26"/>
      <c r="I983" s="26"/>
      <c r="J983" s="25"/>
      <c r="K983" s="25"/>
      <c r="L983" s="25"/>
      <c r="M983" s="25"/>
      <c r="N983" s="25"/>
      <c r="O983" s="25"/>
      <c r="P983" s="25"/>
      <c r="Q983" s="25"/>
      <c r="R983" s="25"/>
      <c r="S983" s="25"/>
      <c r="T983" s="25"/>
      <c r="U983" s="25"/>
      <c r="V983" s="25"/>
      <c r="W983" s="25"/>
      <c r="X983" s="25"/>
      <c r="Y983" s="25"/>
      <c r="Z983" s="25"/>
    </row>
    <row r="984" spans="1:26" ht="14.25" customHeight="1" x14ac:dyDescent="0.25">
      <c r="A984" s="26"/>
      <c r="B984" s="25"/>
      <c r="C984" s="25"/>
      <c r="D984" s="25"/>
      <c r="E984" s="26"/>
      <c r="F984" s="26"/>
      <c r="G984" s="26"/>
      <c r="H984" s="26"/>
      <c r="I984" s="26"/>
      <c r="J984" s="25"/>
      <c r="K984" s="25"/>
      <c r="L984" s="25"/>
      <c r="M984" s="25"/>
      <c r="N984" s="25"/>
      <c r="O984" s="25"/>
      <c r="P984" s="25"/>
      <c r="Q984" s="25"/>
      <c r="R984" s="25"/>
      <c r="S984" s="25"/>
      <c r="T984" s="25"/>
      <c r="U984" s="25"/>
      <c r="V984" s="25"/>
      <c r="W984" s="25"/>
      <c r="X984" s="25"/>
      <c r="Y984" s="25"/>
      <c r="Z984" s="25"/>
    </row>
    <row r="985" spans="1:26" ht="14.25" customHeight="1" x14ac:dyDescent="0.25">
      <c r="A985" s="26"/>
      <c r="B985" s="25"/>
      <c r="C985" s="25"/>
      <c r="D985" s="25"/>
      <c r="E985" s="26"/>
      <c r="F985" s="26"/>
      <c r="G985" s="26"/>
      <c r="H985" s="26"/>
      <c r="I985" s="26"/>
      <c r="J985" s="25"/>
      <c r="K985" s="25"/>
      <c r="L985" s="25"/>
      <c r="M985" s="25"/>
      <c r="N985" s="25"/>
      <c r="O985" s="25"/>
      <c r="P985" s="25"/>
      <c r="Q985" s="25"/>
      <c r="R985" s="25"/>
      <c r="S985" s="25"/>
      <c r="T985" s="25"/>
      <c r="U985" s="25"/>
      <c r="V985" s="25"/>
      <c r="W985" s="25"/>
      <c r="X985" s="25"/>
      <c r="Y985" s="25"/>
      <c r="Z985" s="25"/>
    </row>
    <row r="986" spans="1:26" ht="14.25" customHeight="1" x14ac:dyDescent="0.25">
      <c r="A986" s="26"/>
      <c r="B986" s="25"/>
      <c r="C986" s="25"/>
      <c r="D986" s="25"/>
      <c r="E986" s="26"/>
      <c r="F986" s="26"/>
      <c r="G986" s="26"/>
      <c r="H986" s="26"/>
      <c r="I986" s="26"/>
      <c r="J986" s="25"/>
      <c r="K986" s="25"/>
      <c r="L986" s="25"/>
      <c r="M986" s="25"/>
      <c r="N986" s="25"/>
      <c r="O986" s="25"/>
      <c r="P986" s="25"/>
      <c r="Q986" s="25"/>
      <c r="R986" s="25"/>
      <c r="S986" s="25"/>
      <c r="T986" s="25"/>
      <c r="U986" s="25"/>
      <c r="V986" s="25"/>
      <c r="W986" s="25"/>
      <c r="X986" s="25"/>
      <c r="Y986" s="25"/>
      <c r="Z986" s="25"/>
    </row>
    <row r="987" spans="1:26" ht="14.25" customHeight="1" x14ac:dyDescent="0.25">
      <c r="A987" s="26"/>
      <c r="B987" s="25"/>
      <c r="C987" s="25"/>
      <c r="D987" s="25"/>
      <c r="E987" s="26"/>
      <c r="F987" s="26"/>
      <c r="G987" s="26"/>
      <c r="H987" s="26"/>
      <c r="I987" s="26"/>
      <c r="J987" s="25"/>
      <c r="K987" s="25"/>
      <c r="L987" s="25"/>
      <c r="M987" s="25"/>
      <c r="N987" s="25"/>
      <c r="O987" s="25"/>
      <c r="P987" s="25"/>
      <c r="Q987" s="25"/>
      <c r="R987" s="25"/>
      <c r="S987" s="25"/>
      <c r="T987" s="25"/>
      <c r="U987" s="25"/>
      <c r="V987" s="25"/>
      <c r="W987" s="25"/>
      <c r="X987" s="25"/>
      <c r="Y987" s="25"/>
      <c r="Z987" s="25"/>
    </row>
    <row r="988" spans="1:26" ht="14.25" customHeight="1" x14ac:dyDescent="0.25">
      <c r="A988" s="26"/>
      <c r="B988" s="25"/>
      <c r="C988" s="25"/>
      <c r="D988" s="25"/>
      <c r="E988" s="26"/>
      <c r="F988" s="26"/>
      <c r="G988" s="26"/>
      <c r="H988" s="26"/>
      <c r="I988" s="26"/>
      <c r="J988" s="25"/>
      <c r="K988" s="25"/>
      <c r="L988" s="25"/>
      <c r="M988" s="25"/>
      <c r="N988" s="25"/>
      <c r="O988" s="25"/>
      <c r="P988" s="25"/>
      <c r="Q988" s="25"/>
      <c r="R988" s="25"/>
      <c r="S988" s="25"/>
      <c r="T988" s="25"/>
      <c r="U988" s="25"/>
      <c r="V988" s="25"/>
      <c r="W988" s="25"/>
      <c r="X988" s="25"/>
      <c r="Y988" s="25"/>
      <c r="Z988" s="25"/>
    </row>
    <row r="989" spans="1:26" ht="14.25" customHeight="1" x14ac:dyDescent="0.25">
      <c r="A989" s="26"/>
      <c r="B989" s="25"/>
      <c r="C989" s="25"/>
      <c r="D989" s="25"/>
      <c r="E989" s="26"/>
      <c r="F989" s="26"/>
      <c r="G989" s="26"/>
      <c r="H989" s="26"/>
      <c r="I989" s="26"/>
      <c r="J989" s="25"/>
      <c r="K989" s="25"/>
      <c r="L989" s="25"/>
      <c r="M989" s="25"/>
      <c r="N989" s="25"/>
      <c r="O989" s="25"/>
      <c r="P989" s="25"/>
      <c r="Q989" s="25"/>
      <c r="R989" s="25"/>
      <c r="S989" s="25"/>
      <c r="T989" s="25"/>
      <c r="U989" s="25"/>
      <c r="V989" s="25"/>
      <c r="W989" s="25"/>
      <c r="X989" s="25"/>
      <c r="Y989" s="25"/>
      <c r="Z989" s="25"/>
    </row>
    <row r="990" spans="1:26" ht="14.25" customHeight="1" x14ac:dyDescent="0.25">
      <c r="A990" s="26"/>
      <c r="B990" s="25"/>
      <c r="C990" s="25"/>
      <c r="D990" s="25"/>
      <c r="E990" s="26"/>
      <c r="F990" s="26"/>
      <c r="G990" s="26"/>
      <c r="H990" s="26"/>
      <c r="I990" s="26"/>
      <c r="J990" s="25"/>
      <c r="K990" s="25"/>
      <c r="L990" s="25"/>
      <c r="M990" s="25"/>
      <c r="N990" s="25"/>
      <c r="O990" s="25"/>
      <c r="P990" s="25"/>
      <c r="Q990" s="25"/>
      <c r="R990" s="25"/>
      <c r="S990" s="25"/>
      <c r="T990" s="25"/>
      <c r="U990" s="25"/>
      <c r="V990" s="25"/>
      <c r="W990" s="25"/>
      <c r="X990" s="25"/>
      <c r="Y990" s="25"/>
      <c r="Z990" s="25"/>
    </row>
    <row r="991" spans="1:26" ht="14.25" customHeight="1" x14ac:dyDescent="0.25">
      <c r="A991" s="26"/>
      <c r="B991" s="25"/>
      <c r="C991" s="25"/>
      <c r="D991" s="25"/>
      <c r="E991" s="26"/>
      <c r="F991" s="26"/>
      <c r="G991" s="26"/>
      <c r="H991" s="26"/>
      <c r="I991" s="26"/>
      <c r="J991" s="25"/>
      <c r="K991" s="25"/>
      <c r="L991" s="25"/>
      <c r="M991" s="25"/>
      <c r="N991" s="25"/>
      <c r="O991" s="25"/>
      <c r="P991" s="25"/>
      <c r="Q991" s="25"/>
      <c r="R991" s="25"/>
      <c r="S991" s="25"/>
      <c r="T991" s="25"/>
      <c r="U991" s="25"/>
      <c r="V991" s="25"/>
      <c r="W991" s="25"/>
      <c r="X991" s="25"/>
      <c r="Y991" s="25"/>
      <c r="Z991" s="25"/>
    </row>
    <row r="992" spans="1:26" ht="14.25" customHeight="1" x14ac:dyDescent="0.25">
      <c r="A992" s="26"/>
      <c r="B992" s="25"/>
      <c r="C992" s="25"/>
      <c r="D992" s="25"/>
      <c r="E992" s="26"/>
      <c r="F992" s="26"/>
      <c r="G992" s="26"/>
      <c r="H992" s="26"/>
      <c r="I992" s="26"/>
      <c r="J992" s="25"/>
      <c r="K992" s="25"/>
      <c r="L992" s="25"/>
      <c r="M992" s="25"/>
      <c r="N992" s="25"/>
      <c r="O992" s="25"/>
      <c r="P992" s="25"/>
      <c r="Q992" s="25"/>
      <c r="R992" s="25"/>
      <c r="S992" s="25"/>
      <c r="T992" s="25"/>
      <c r="U992" s="25"/>
      <c r="V992" s="25"/>
      <c r="W992" s="25"/>
      <c r="X992" s="25"/>
      <c r="Y992" s="25"/>
      <c r="Z992" s="25"/>
    </row>
    <row r="993" spans="1:26" ht="14.25" customHeight="1" x14ac:dyDescent="0.25">
      <c r="A993" s="26"/>
      <c r="B993" s="25"/>
      <c r="C993" s="25"/>
      <c r="D993" s="25"/>
      <c r="E993" s="26"/>
      <c r="F993" s="26"/>
      <c r="G993" s="26"/>
      <c r="H993" s="26"/>
      <c r="I993" s="26"/>
      <c r="J993" s="25"/>
      <c r="K993" s="25"/>
      <c r="L993" s="25"/>
      <c r="M993" s="25"/>
      <c r="N993" s="25"/>
      <c r="O993" s="25"/>
      <c r="P993" s="25"/>
      <c r="Q993" s="25"/>
      <c r="R993" s="25"/>
      <c r="S993" s="25"/>
      <c r="T993" s="25"/>
      <c r="U993" s="25"/>
      <c r="V993" s="25"/>
      <c r="W993" s="25"/>
      <c r="X993" s="25"/>
      <c r="Y993" s="25"/>
      <c r="Z993" s="25"/>
    </row>
    <row r="994" spans="1:26" ht="14.25" customHeight="1" x14ac:dyDescent="0.25">
      <c r="A994" s="26"/>
      <c r="B994" s="25"/>
      <c r="C994" s="25"/>
      <c r="D994" s="25"/>
      <c r="E994" s="26"/>
      <c r="F994" s="26"/>
      <c r="G994" s="26"/>
      <c r="H994" s="26"/>
      <c r="I994" s="26"/>
      <c r="J994" s="25"/>
      <c r="K994" s="25"/>
      <c r="L994" s="25"/>
      <c r="M994" s="25"/>
      <c r="N994" s="25"/>
      <c r="O994" s="25"/>
      <c r="P994" s="25"/>
      <c r="Q994" s="25"/>
      <c r="R994" s="25"/>
      <c r="S994" s="25"/>
      <c r="T994" s="25"/>
      <c r="U994" s="25"/>
      <c r="V994" s="25"/>
      <c r="W994" s="25"/>
      <c r="X994" s="25"/>
      <c r="Y994" s="25"/>
      <c r="Z994" s="25"/>
    </row>
    <row r="995" spans="1:26" ht="14.25" customHeight="1" x14ac:dyDescent="0.25">
      <c r="A995" s="26"/>
      <c r="B995" s="25"/>
      <c r="C995" s="25"/>
      <c r="D995" s="25"/>
      <c r="E995" s="26"/>
      <c r="F995" s="26"/>
      <c r="G995" s="26"/>
      <c r="H995" s="26"/>
      <c r="I995" s="26"/>
      <c r="J995" s="25"/>
      <c r="K995" s="25"/>
      <c r="L995" s="25"/>
      <c r="M995" s="25"/>
      <c r="N995" s="25"/>
      <c r="O995" s="25"/>
      <c r="P995" s="25"/>
      <c r="Q995" s="25"/>
      <c r="R995" s="25"/>
      <c r="S995" s="25"/>
      <c r="T995" s="25"/>
      <c r="U995" s="25"/>
      <c r="V995" s="25"/>
      <c r="W995" s="25"/>
      <c r="X995" s="25"/>
      <c r="Y995" s="25"/>
      <c r="Z995" s="25"/>
    </row>
    <row r="996" spans="1:26" ht="14.25" customHeight="1" x14ac:dyDescent="0.25">
      <c r="A996" s="26"/>
      <c r="B996" s="25"/>
      <c r="C996" s="25"/>
      <c r="D996" s="25"/>
      <c r="E996" s="26"/>
      <c r="F996" s="26"/>
      <c r="G996" s="26"/>
      <c r="H996" s="26"/>
      <c r="I996" s="26"/>
      <c r="J996" s="25"/>
      <c r="K996" s="25"/>
      <c r="L996" s="25"/>
      <c r="M996" s="25"/>
      <c r="N996" s="25"/>
      <c r="O996" s="25"/>
      <c r="P996" s="25"/>
      <c r="Q996" s="25"/>
      <c r="R996" s="25"/>
      <c r="S996" s="25"/>
      <c r="T996" s="25"/>
      <c r="U996" s="25"/>
      <c r="V996" s="25"/>
      <c r="W996" s="25"/>
      <c r="X996" s="25"/>
      <c r="Y996" s="25"/>
      <c r="Z996" s="25"/>
    </row>
    <row r="997" spans="1:26" ht="14.25" customHeight="1" x14ac:dyDescent="0.25">
      <c r="A997" s="26"/>
      <c r="B997" s="25"/>
      <c r="C997" s="25"/>
      <c r="D997" s="25"/>
      <c r="E997" s="26"/>
      <c r="F997" s="26"/>
      <c r="G997" s="26"/>
      <c r="H997" s="26"/>
      <c r="I997" s="26"/>
      <c r="J997" s="25"/>
      <c r="K997" s="25"/>
      <c r="L997" s="25"/>
      <c r="M997" s="25"/>
      <c r="N997" s="25"/>
      <c r="O997" s="25"/>
      <c r="P997" s="25"/>
      <c r="Q997" s="25"/>
      <c r="R997" s="25"/>
      <c r="S997" s="25"/>
      <c r="T997" s="25"/>
      <c r="U997" s="25"/>
      <c r="V997" s="25"/>
      <c r="W997" s="25"/>
      <c r="X997" s="25"/>
      <c r="Y997" s="25"/>
      <c r="Z997" s="25"/>
    </row>
    <row r="998" spans="1:26" ht="14.25" customHeight="1" x14ac:dyDescent="0.25">
      <c r="A998" s="26"/>
      <c r="B998" s="25"/>
      <c r="C998" s="25"/>
      <c r="D998" s="25"/>
      <c r="E998" s="26"/>
      <c r="F998" s="26"/>
      <c r="G998" s="26"/>
      <c r="H998" s="26"/>
      <c r="I998" s="26"/>
      <c r="J998" s="25"/>
      <c r="K998" s="25"/>
      <c r="L998" s="25"/>
      <c r="M998" s="25"/>
      <c r="N998" s="25"/>
      <c r="O998" s="25"/>
      <c r="P998" s="25"/>
      <c r="Q998" s="25"/>
      <c r="R998" s="25"/>
      <c r="S998" s="25"/>
      <c r="T998" s="25"/>
      <c r="U998" s="25"/>
      <c r="V998" s="25"/>
      <c r="W998" s="25"/>
      <c r="X998" s="25"/>
      <c r="Y998" s="25"/>
      <c r="Z998" s="25"/>
    </row>
    <row r="999" spans="1:26" ht="14.25" customHeight="1" x14ac:dyDescent="0.25">
      <c r="A999" s="26"/>
      <c r="B999" s="25"/>
      <c r="C999" s="25"/>
      <c r="D999" s="25"/>
      <c r="E999" s="26"/>
      <c r="F999" s="26"/>
      <c r="G999" s="26"/>
      <c r="H999" s="26"/>
      <c r="I999" s="26"/>
      <c r="J999" s="25"/>
      <c r="K999" s="25"/>
      <c r="L999" s="25"/>
      <c r="M999" s="25"/>
      <c r="N999" s="25"/>
      <c r="O999" s="25"/>
      <c r="P999" s="25"/>
      <c r="Q999" s="25"/>
      <c r="R999" s="25"/>
      <c r="S999" s="25"/>
      <c r="T999" s="25"/>
      <c r="U999" s="25"/>
      <c r="V999" s="25"/>
      <c r="W999" s="25"/>
      <c r="X999" s="25"/>
      <c r="Y999" s="25"/>
      <c r="Z999" s="25"/>
    </row>
    <row r="1000" spans="1:26" ht="14.25" customHeight="1" x14ac:dyDescent="0.25">
      <c r="A1000" s="26"/>
      <c r="B1000" s="25"/>
      <c r="C1000" s="25"/>
      <c r="D1000" s="25"/>
      <c r="E1000" s="26"/>
      <c r="F1000" s="26"/>
      <c r="G1000" s="26"/>
      <c r="H1000" s="26"/>
      <c r="I1000" s="26"/>
      <c r="J1000" s="25"/>
      <c r="K1000" s="25"/>
      <c r="L1000" s="25"/>
      <c r="M1000" s="25"/>
      <c r="N1000" s="25"/>
      <c r="O1000" s="25"/>
      <c r="P1000" s="25"/>
      <c r="Q1000" s="25"/>
      <c r="R1000" s="25"/>
      <c r="S1000" s="25"/>
      <c r="T1000" s="25"/>
      <c r="U1000" s="25"/>
      <c r="V1000" s="25"/>
      <c r="W1000" s="25"/>
      <c r="X1000" s="25"/>
      <c r="Y1000" s="25"/>
      <c r="Z1000" s="25"/>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Globals</vt:lpstr>
      <vt:lpstr>field definitions</vt:lpstr>
      <vt:lpstr>biomes</vt:lpstr>
      <vt:lpstr>habitats</vt:lpstr>
      <vt:lpstr>Globals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Allison Shaw</dc:creator>
  <cp:lastModifiedBy>Clarke, Justin</cp:lastModifiedBy>
  <dcterms:created xsi:type="dcterms:W3CDTF">2024-05-09T22:22:02Z</dcterms:created>
  <dcterms:modified xsi:type="dcterms:W3CDTF">2026-04-30T14:16:43Z</dcterms:modified>
</cp:coreProperties>
</file>